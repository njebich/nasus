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3.xml" ContentType="application/vnd.openxmlformats-officedocument.spreadsheetml.comments+xml"/>
  <Override PartName="/xl/worksheets/sheet18.xml" ContentType="application/vnd.openxmlformats-officedocument.spreadsheetml.worksheet+xml"/>
  <Override PartName="/xl/comments/comment4.xml" ContentType="application/vnd.openxmlformats-officedocument.spreadsheetml.comments+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comments/comment6.xml" ContentType="application/vnd.openxmlformats-officedocument.spreadsheetml.comments+xml"/>
  <Override PartName="/xl/worksheets/sheet21.xml" ContentType="application/vnd.openxmlformats-officedocument.spreadsheetml.worksheet+xml"/>
  <Override PartName="/xl/comments/comment7.xml" ContentType="application/vnd.openxmlformats-officedocument.spreadsheetml.comments+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comment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erte" sheetId="1" state="visible" r:id="rId1"/>
    <sheet xmlns:r="http://schemas.openxmlformats.org/officeDocument/2006/relationships" name="EP-Stufe-Kreis" sheetId="2" state="visible" r:id="rId2"/>
    <sheet xmlns:r="http://schemas.openxmlformats.org/officeDocument/2006/relationships" name="WHK-Spez-Kosten" sheetId="3" state="visible" r:id="rId3"/>
    <sheet xmlns:r="http://schemas.openxmlformats.org/officeDocument/2006/relationships" name="Eigenschaften-Kosten" sheetId="4" state="visible" r:id="rId4"/>
    <sheet xmlns:r="http://schemas.openxmlformats.org/officeDocument/2006/relationships" name="Voelker-Maxima" sheetId="5" state="visible" r:id="rId5"/>
    <sheet xmlns:r="http://schemas.openxmlformats.org/officeDocument/2006/relationships" name="PSI-Zauberstufen" sheetId="6" state="visible" r:id="rId6"/>
    <sheet xmlns:r="http://schemas.openxmlformats.org/officeDocument/2006/relationships" name="KI-Baum-Kanten" sheetId="7" state="visible" r:id="rId7"/>
    <sheet xmlns:r="http://schemas.openxmlformats.org/officeDocument/2006/relationships" name="Preisliste" sheetId="8" state="visible" r:id="rId8"/>
    <sheet xmlns:r="http://schemas.openxmlformats.org/officeDocument/2006/relationships" name="Alchemika" sheetId="9" state="visible" r:id="rId9"/>
    <sheet xmlns:r="http://schemas.openxmlformats.org/officeDocument/2006/relationships" name="Ruestungstabelle" sheetId="10" state="visible" r:id="rId10"/>
    <sheet xmlns:r="http://schemas.openxmlformats.org/officeDocument/2006/relationships" name="NK-Material" sheetId="11" state="visible" r:id="rId11"/>
    <sheet xmlns:r="http://schemas.openxmlformats.org/officeDocument/2006/relationships" name="NK-Anpassung" sheetId="12" state="visible" r:id="rId12"/>
    <sheet xmlns:r="http://schemas.openxmlformats.org/officeDocument/2006/relationships" name="NK-Schaftmaterial" sheetId="13" state="visible" r:id="rId13"/>
    <sheet xmlns:r="http://schemas.openxmlformats.org/officeDocument/2006/relationships" name="NK-Fertigung" sheetId="14" state="visible" r:id="rId14"/>
    <sheet xmlns:r="http://schemas.openxmlformats.org/officeDocument/2006/relationships" name="NK-Waffen-Basis" sheetId="15" state="visible" r:id="rId15"/>
    <sheet xmlns:r="http://schemas.openxmlformats.org/officeDocument/2006/relationships" name="Entwickeln" sheetId="16" state="visible" r:id="rId16"/>
    <sheet xmlns:r="http://schemas.openxmlformats.org/officeDocument/2006/relationships" name="Schild-Material" sheetId="17" state="visible" r:id="rId17"/>
    <sheet xmlns:r="http://schemas.openxmlformats.org/officeDocument/2006/relationships" name="Schild-Fertigung" sheetId="18" state="visible" r:id="rId18"/>
    <sheet xmlns:r="http://schemas.openxmlformats.org/officeDocument/2006/relationships" name="Schild-Bespannung" sheetId="19" state="visible" r:id="rId19"/>
    <sheet xmlns:r="http://schemas.openxmlformats.org/officeDocument/2006/relationships" name="Schild-Verplatung" sheetId="20" state="visible" r:id="rId20"/>
    <sheet xmlns:r="http://schemas.openxmlformats.org/officeDocument/2006/relationships" name="Artefakt-Magus-Faehigkeiten" sheetId="21" state="visible" r:id="rId21"/>
    <sheet xmlns:r="http://schemas.openxmlformats.org/officeDocument/2006/relationships" name="Artefakt-Seelensteine" sheetId="22" state="visible" r:id="rId22"/>
    <sheet xmlns:r="http://schemas.openxmlformats.org/officeDocument/2006/relationships" name="Artefakt-Manamultiplikator" sheetId="23" state="visible" r:id="rId23"/>
    <sheet xmlns:r="http://schemas.openxmlformats.org/officeDocument/2006/relationships" name="Artefakt-Basis" sheetId="24" state="visible" r:id="rId24"/>
    <sheet xmlns:r="http://schemas.openxmlformats.org/officeDocument/2006/relationships" name="Artefakt-Kosten" sheetId="25" state="visible" r:id="rId25"/>
    <sheet xmlns:r="http://schemas.openxmlformats.org/officeDocument/2006/relationships" name="Verfuegbarkeit-Modifikatoren" sheetId="26" state="visible" r:id="rId26"/>
    <sheet xmlns:r="http://schemas.openxmlformats.org/officeDocument/2006/relationships" name="Ruestung-Basis" sheetId="27" state="visible" r:id="rId27"/>
    <sheet xmlns:r="http://schemas.openxmlformats.org/officeDocument/2006/relationships" name="Ruestung-Addons" sheetId="28" state="visible" r:id="rId28"/>
    <sheet xmlns:r="http://schemas.openxmlformats.org/officeDocument/2006/relationships" name="Ruestung-Verarbeitung" sheetId="29" state="visible" r:id="rId29"/>
    <sheet xmlns:r="http://schemas.openxmlformats.org/officeDocument/2006/relationships" name="Ruestung-Anpassung" sheetId="30" state="visible" r:id="rId30"/>
    <sheet xmlns:r="http://schemas.openxmlformats.org/officeDocument/2006/relationships" name="Munition-Feuerwaffen" sheetId="31" state="visible" r:id="rId31"/>
    <sheet xmlns:r="http://schemas.openxmlformats.org/officeDocument/2006/relationships" name="Munition-Ressourcen" sheetId="32" state="visible" r:id="rId32"/>
    <sheet xmlns:r="http://schemas.openxmlformats.org/officeDocument/2006/relationships" name="Boegen-Basis" sheetId="33" state="visible" r:id="rId33"/>
    <sheet xmlns:r="http://schemas.openxmlformats.org/officeDocument/2006/relationships" name="Pfeile-Basis" sheetId="34" state="visible" r:id="rId34"/>
    <sheet xmlns:r="http://schemas.openxmlformats.org/officeDocument/2006/relationships" name="Armbrust-Basis" sheetId="35" state="visible" r:id="rId35"/>
    <sheet xmlns:r="http://schemas.openxmlformats.org/officeDocument/2006/relationships" name="Bolzen-Basis" sheetId="36" state="visible" r:id="rId36"/>
    <sheet xmlns:r="http://schemas.openxmlformats.org/officeDocument/2006/relationships" name="Runengewehr-Basis" sheetId="37" state="visible" r:id="rId37"/>
    <sheet xmlns:r="http://schemas.openxmlformats.org/officeDocument/2006/relationships" name="Runengewehr-Munition" sheetId="38" state="visible" r:id="rId38"/>
    <sheet xmlns:r="http://schemas.openxmlformats.org/officeDocument/2006/relationships" name="Runengewehr-Gewehrrunen" sheetId="39" state="visible" r:id="rId39"/>
    <sheet xmlns:r="http://schemas.openxmlformats.org/officeDocument/2006/relationships" name="Sprachstufe-Kosten" sheetId="40" state="visible" r:id="rId40"/>
    <sheet xmlns:r="http://schemas.openxmlformats.org/officeDocument/2006/relationships" name="Kulturstufe-Kosten" sheetId="41" state="visible" r:id="rId41"/>
    <sheet xmlns:r="http://schemas.openxmlformats.org/officeDocument/2006/relationships" name="Boegen" sheetId="42" state="visible" r:id="rId42"/>
    <sheet xmlns:r="http://schemas.openxmlformats.org/officeDocument/2006/relationships" name="Armbrust" sheetId="43" state="visible" r:id="rId43"/>
    <sheet xmlns:r="http://schemas.openxmlformats.org/officeDocument/2006/relationships" name="Feuerwaffen-Munition" sheetId="44" state="visible" r:id="rId44"/>
    <sheet xmlns:r="http://schemas.openxmlformats.org/officeDocument/2006/relationships" name="Pfeile" sheetId="45" state="visible" r:id="rId45"/>
    <sheet xmlns:r="http://schemas.openxmlformats.org/officeDocument/2006/relationships" name="Bolzen" sheetId="46" state="visible" r:id="rId46"/>
    <sheet xmlns:r="http://schemas.openxmlformats.org/officeDocument/2006/relationships" name="Feuerwaffen" sheetId="47" state="visible" r:id="rId47"/>
    <sheet xmlns:r="http://schemas.openxmlformats.org/officeDocument/2006/relationships" name="Feuerwaffen-Ressourcen" sheetId="48" state="visible" r:id="rId48"/>
    <sheet xmlns:r="http://schemas.openxmlformats.org/officeDocument/2006/relationships" name="Spruchmagie-Details" sheetId="49" state="visible" r:id="rId49"/>
    <sheet xmlns:r="http://schemas.openxmlformats.org/officeDocument/2006/relationships" name="Artefakt-Wirkungsstufen" sheetId="50" state="visible" r:id="rId50"/>
    <sheet xmlns:r="http://schemas.openxmlformats.org/officeDocument/2006/relationships" name="Geweihte-Wunder" sheetId="51" state="visible" r:id="rId51"/>
  </sheets>
  <definedNames>
    <definedName name="test1">#REF!</definedName>
    <definedName name="test2">#REF!</definedName>
  </definedNames>
</workbook>
</file>

<file path=xl/styles.xml><?xml version="1.0" encoding="utf-8"?>
<styleSheet xmlns="http://schemas.openxmlformats.org/spreadsheetml/2006/main">
  <numFmts count="6">
    <numFmt numFmtId="164" formatCode="0.000&quot; kg&quot;"/>
    <numFmt numFmtId="165" formatCode="0&quot; mm&quot;"/>
    <numFmt numFmtId="166" formatCode="0.00&quot; D&quot;"/>
    <numFmt numFmtId="167" formatCode="0.0&quot; Tage&quot;"/>
    <numFmt numFmtId="168" formatCode="0"/>
    <numFmt numFmtId="169" formatCode="0.###"/>
  </numFmts>
  <fonts count="16">
    <font>
      <name val="Calibri"/>
      <color theme="1"/>
      <sz val="11"/>
    </font>
    <font>
      <name val="Calibri"/>
      <b val="1"/>
      <color theme="1"/>
      <sz val="11"/>
    </font>
    <font>
      <name val="Bookman Old Style"/>
      <color theme="1"/>
      <sz val="10"/>
    </font>
    <font>
      <name val="Bookman Old Style"/>
      <color rgb="FF000000"/>
      <sz val="10"/>
    </font>
    <font>
      <name val="Bookman Old Style"/>
      <sz val="10"/>
    </font>
    <font>
      <name val="Bookman Old Style"/>
      <color theme="3"/>
      <sz val="10"/>
    </font>
    <font>
      <name val="Bookman Old Style"/>
      <b val="1"/>
      <color rgb="FFFFFFFF"/>
      <sz val="10"/>
    </font>
    <font>
      <name val="Arial Unicode MS"/>
      <color theme="1"/>
      <sz val="10"/>
    </font>
    <font>
      <name val="Calibri"/>
      <color theme="1"/>
      <sz val="11"/>
    </font>
    <font>
      <name val="Calibri"/>
      <color theme="1"/>
      <sz val="10"/>
    </font>
    <font>
      <name val="Calibri"/>
      <color theme="1"/>
      <sz val="9"/>
    </font>
    <font>
      <name val="Calibri"/>
      <b val="1"/>
      <color rgb="FFFFFFFF"/>
      <sz val="11"/>
    </font>
    <font>
      <name val="Calibri"/>
      <color rgb="FF1F2937"/>
      <sz val="11"/>
    </font>
    <font>
      <name val="Calibri"/>
      <b val="1"/>
      <color rgb="FF1F2937"/>
      <sz val="11"/>
    </font>
    <font>
      <sz val="10"/>
      <color theme="1"/>
      <name val="Arial"/>
    </font>
    <font>
      <sz val="11"/>
      <color theme="1"/>
      <name val="Calibri"/>
    </font>
  </fonts>
  <fills count="6">
    <fill>
      <patternFill/>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border>
      <left style="thin">
        <color indexed="64"/>
      </left>
      <right style="thin">
        <color indexed="64"/>
      </right>
      <top style="thin">
        <color indexed="64"/>
      </top>
      <bottom style="thin">
        <color indexed="64"/>
      </bottom>
    </border>
    <border>
      <left style="thin">
        <color rgb="FF163A5B"/>
      </left>
      <top style="thin">
        <color rgb="FF163A5B"/>
      </top>
      <bottom style="thin">
        <color rgb="FF163A5B"/>
      </bottom>
    </border>
    <border>
      <top style="thin">
        <color rgb="FF163A5B"/>
      </top>
      <bottom style="thin">
        <color rgb="FF163A5B"/>
      </bottom>
    </border>
    <border>
      <right style="thin">
        <color rgb="FF163A5B"/>
      </right>
      <top style="thin">
        <color rgb="FF163A5B"/>
      </top>
      <bottom style="thin">
        <color rgb="FF163A5B"/>
      </bottom>
    </border>
    <border>
      <left style="thin">
        <color rgb="FFD1D5DB"/>
      </left>
      <right style="thin">
        <color rgb="FFD1D5DB"/>
      </right>
      <top style="thin">
        <color rgb="FFD1D5DB"/>
      </top>
      <bottom style="thin">
        <color rgb="FFD1D5DB"/>
      </bottom>
    </border>
    <border>
      <left style="thin">
        <color rgb="FF9CA3AF"/>
      </left>
      <right style="thin">
        <color rgb="FF9CA3AF"/>
      </right>
      <top style="thin">
        <color rgb="FF9CA3AF"/>
      </top>
      <bottom style="thin">
        <color rgb="FF9CA3AF"/>
      </bottom>
    </border>
    <border>
      <left style="medium">
        <color rgb="FF14213D"/>
      </left>
      <top style="medium">
        <color rgb="FF14213D"/>
      </top>
      <bottom style="medium">
        <color rgb="FF14213D"/>
      </bottom>
    </border>
    <border>
      <top style="medium">
        <color rgb="FF14213D"/>
      </top>
      <bottom style="medium">
        <color rgb="FF14213D"/>
      </bottom>
    </border>
    <border>
      <right style="medium">
        <color rgb="FF14213D"/>
      </right>
      <top style="medium">
        <color rgb="FF14213D"/>
      </top>
      <bottom style="medium">
        <color rgb="FF14213D"/>
      </bottom>
    </border>
    <border>
      <right style="thin">
        <color rgb="FFD9E1F2"/>
      </right>
      <bottom style="thin">
        <color rgb="FFD9E1F2"/>
      </bottom>
    </border>
    <border>
      <left style="thin">
        <color rgb="FFD9E1F2"/>
      </left>
      <right style="thin">
        <color rgb="FFD9E1F2"/>
      </right>
      <bottom style="thin">
        <color rgb="FFD9E1F2"/>
      </bottom>
    </border>
    <border>
      <left style="thin">
        <color rgb="FFD9E1F2"/>
      </left>
      <bottom style="thin">
        <color rgb="FFD9E1F2"/>
      </bottom>
    </border>
    <border>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top style="thin">
        <color rgb="FFD9E1F2"/>
      </top>
      <bottom style="thin">
        <color rgb="FFD9E1F2"/>
      </bottom>
    </border>
    <border>
      <right style="thin">
        <color rgb="FFD9E1F2"/>
      </right>
      <top style="thin">
        <color rgb="FFD9E1F2"/>
      </top>
    </border>
    <border>
      <left style="thin">
        <color rgb="FFD9E1F2"/>
      </left>
      <right style="thin">
        <color rgb="FFD9E1F2"/>
      </right>
      <top style="thin">
        <color rgb="FFD9E1F2"/>
      </top>
    </border>
    <border>
      <left style="thin">
        <color rgb="FFD9E1F2"/>
      </left>
      <top style="thin">
        <color rgb="FFD9E1F2"/>
      </top>
    </border>
  </borders>
  <cellStyleXfs count="2">
    <xf numFmtId="0" fontId="8" fillId="0" borderId="0"/>
    <xf numFmtId="0" fontId="15" fillId="5" borderId="0"/>
  </cellStyleXfs>
  <cellXfs count="79">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horizontal="left" vertical="top"/>
    </xf>
    <xf numFmtId="0" fontId="6" fillId="0" borderId="0" applyAlignment="1" pivotButton="0" quotePrefix="0" xfId="0">
      <alignment horizontal="center" vertical="top"/>
    </xf>
    <xf numFmtId="0" fontId="2" fillId="0" borderId="0" applyAlignment="1" pivotButton="0" quotePrefix="0" xfId="0">
      <alignment vertical="top" wrapText="1"/>
    </xf>
    <xf numFmtId="49" fontId="2" fillId="0" borderId="0" applyAlignment="1" pivotButton="0" quotePrefix="0" xfId="0">
      <alignment horizontal="left" vertical="center"/>
    </xf>
    <xf numFmtId="49" fontId="2" fillId="0" borderId="0" applyAlignment="1" pivotButton="0" quotePrefix="0" xfId="0">
      <alignment vertical="top"/>
    </xf>
    <xf numFmtId="49" fontId="3" fillId="0" borderId="0" pivotButton="0" quotePrefix="0" xfId="0"/>
    <xf numFmtId="0" fontId="2" fillId="0" borderId="0" applyAlignment="1" pivotButton="0" quotePrefix="0" xfId="0">
      <alignment horizontal="left"/>
    </xf>
    <xf numFmtId="0" fontId="2" fillId="0" borderId="0" applyAlignment="1" pivotButton="0" quotePrefix="0" xfId="0">
      <alignment vertical="center"/>
    </xf>
    <xf numFmtId="0" fontId="2" fillId="0" borderId="0" pivotButton="0" quotePrefix="0" xfId="0"/>
    <xf numFmtId="49" fontId="2" fillId="0" borderId="0" pivotButton="0" quotePrefix="0" xfId="0"/>
    <xf numFmtId="49" fontId="2"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7" fillId="0" borderId="0" applyAlignment="1" pivotButton="0" quotePrefix="0" xfId="0">
      <alignment vertical="center"/>
    </xf>
    <xf numFmtId="0" fontId="2" fillId="0" borderId="0" applyAlignment="1" pivotButton="0" quotePrefix="0" xfId="0">
      <alignment vertical="center" wrapText="1"/>
    </xf>
    <xf numFmtId="49" fontId="4" fillId="0" borderId="0" applyAlignment="1" pivotButton="0" quotePrefix="0" xfId="0">
      <alignment vertical="center"/>
    </xf>
    <xf numFmtId="49" fontId="4" fillId="0" borderId="0" applyAlignment="1" pivotButton="0" quotePrefix="0" xfId="0">
      <alignment horizontal="left"/>
    </xf>
    <xf numFmtId="49" fontId="2" fillId="0" borderId="0" applyAlignment="1" pivotButton="0" quotePrefix="0" xfId="0">
      <alignment horizontal="left"/>
    </xf>
    <xf numFmtId="49" fontId="3" fillId="0" borderId="0" applyAlignment="1" pivotButton="0" quotePrefix="0" xfId="0">
      <alignment vertical="top"/>
    </xf>
    <xf numFmtId="49" fontId="2" fillId="0" borderId="0" applyAlignment="1" pivotButton="0" quotePrefix="0" xfId="0">
      <alignment horizontal="left" vertical="top"/>
    </xf>
    <xf numFmtId="49" fontId="4" fillId="0" borderId="0" applyAlignment="1" pivotButton="0" quotePrefix="0" xfId="0">
      <alignment vertical="top"/>
    </xf>
    <xf numFmtId="49" fontId="4" fillId="0" borderId="0" applyAlignment="1" pivotButton="0" quotePrefix="0" xfId="0">
      <alignment horizontal="left" vertical="center"/>
    </xf>
    <xf numFmtId="49" fontId="3" fillId="0" borderId="0" applyAlignment="1" pivotButton="0" quotePrefix="0" xfId="0">
      <alignment vertical="center"/>
    </xf>
    <xf numFmtId="49" fontId="5"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0" fillId="0" borderId="1" pivotButton="0" quotePrefix="0" xfId="0"/>
    <xf numFmtId="0" fontId="1" fillId="0" borderId="1" applyAlignment="1" pivotButton="0" quotePrefix="0" xfId="0">
      <alignment vertical="top"/>
    </xf>
    <xf numFmtId="0" fontId="1" fillId="0" borderId="1" applyAlignment="1" pivotButton="0" quotePrefix="0" xfId="0">
      <alignment horizontal="center" vertical="top"/>
    </xf>
    <xf numFmtId="0" fontId="1" fillId="0" borderId="1" applyAlignment="1" pivotButton="0" quotePrefix="0" xfId="0">
      <alignment horizontal="right"/>
    </xf>
    <xf numFmtId="0" fontId="8" fillId="0" borderId="1" applyAlignment="1" pivotButton="0" quotePrefix="0" xfId="0">
      <alignment vertical="top"/>
    </xf>
    <xf numFmtId="0" fontId="9" fillId="0" borderId="1" pivotButton="0" quotePrefix="0" xfId="0"/>
    <xf numFmtId="0" fontId="8" fillId="0" borderId="1" applyAlignment="1" pivotButton="0" quotePrefix="0" xfId="0">
      <alignment horizontal="center" vertical="top"/>
    </xf>
    <xf numFmtId="3" fontId="8" fillId="0" borderId="1" applyAlignment="1" pivotButton="0" quotePrefix="0" xfId="0">
      <alignment horizontal="right"/>
    </xf>
    <xf numFmtId="0" fontId="8" fillId="0" borderId="1" applyAlignment="1" pivotButton="0" quotePrefix="0" xfId="0">
      <alignment horizontal="right"/>
    </xf>
    <xf numFmtId="0" fontId="0" fillId="0" borderId="1" applyAlignment="1" pivotButton="0" quotePrefix="0" xfId="0">
      <alignment horizontal="right" vertical="top"/>
    </xf>
    <xf numFmtId="0" fontId="10" fillId="0" borderId="1" pivotButton="0" quotePrefix="0" xfId="0"/>
    <xf numFmtId="0" fontId="0" fillId="0" borderId="1" applyAlignment="1" pivotButton="0" quotePrefix="0" xfId="0">
      <alignment vertical="top"/>
    </xf>
    <xf numFmtId="0" fontId="0" fillId="0" borderId="1" applyAlignment="1" pivotButton="0" quotePrefix="0" xfId="0">
      <alignment horizontal="right"/>
    </xf>
    <xf numFmtId="0" fontId="9" fillId="0" borderId="1" applyAlignment="1" pivotButton="0" quotePrefix="0" xfId="0">
      <alignment vertical="top"/>
    </xf>
    <xf numFmtId="0" fontId="8" fillId="0" borderId="0" applyAlignment="1" pivotButton="0" quotePrefix="0" xfId="0">
      <alignment horizontal="center" vertical="top"/>
    </xf>
    <xf numFmtId="0" fontId="11" fillId="2" borderId="2" applyAlignment="1" pivotButton="0" quotePrefix="0" xfId="0">
      <alignment horizontal="center" vertical="center" wrapText="1"/>
    </xf>
    <xf numFmtId="0" fontId="11" fillId="2" borderId="3" applyAlignment="1" pivotButton="0" quotePrefix="0" xfId="0">
      <alignment horizontal="center" vertical="center" wrapText="1"/>
    </xf>
    <xf numFmtId="0" fontId="11" fillId="2" borderId="4" applyAlignment="1" pivotButton="0" quotePrefix="0" xfId="0">
      <alignment horizontal="center" vertical="center" wrapText="1"/>
    </xf>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164" fontId="0" fillId="0" borderId="0" applyAlignment="1" pivotButton="0" quotePrefix="0" xfId="0">
      <alignment horizontal="right"/>
    </xf>
    <xf numFmtId="165" fontId="0" fillId="0" borderId="0" applyAlignment="1" pivotButton="0" quotePrefix="0" xfId="0">
      <alignment horizontal="right"/>
    </xf>
    <xf numFmtId="166" fontId="0" fillId="0" borderId="0" applyAlignment="1" pivotButton="0" quotePrefix="0" xfId="0">
      <alignment horizontal="right"/>
    </xf>
    <xf numFmtId="167" fontId="0" fillId="0" borderId="0" applyAlignment="1" pivotButton="0" quotePrefix="0" xfId="0">
      <alignment horizontal="right"/>
    </xf>
    <xf numFmtId="1" fontId="0" fillId="0" borderId="0" applyAlignment="1" pivotButton="0" quotePrefix="0" xfId="0">
      <alignment horizontal="right"/>
    </xf>
    <xf numFmtId="0" fontId="0" fillId="0" borderId="0" applyAlignment="1" pivotButton="0" quotePrefix="0" xfId="0">
      <alignment horizontal="center" vertical="center"/>
    </xf>
    <xf numFmtId="0" fontId="13" fillId="3" borderId="6" applyAlignment="1" pivotButton="0" quotePrefix="0" xfId="0">
      <alignment vertical="center" wrapText="1"/>
    </xf>
    <xf numFmtId="0" fontId="12" fillId="0" borderId="5" applyAlignment="1" pivotButton="0" quotePrefix="0" xfId="0">
      <alignment vertical="top" wrapText="1"/>
    </xf>
    <xf numFmtId="0" fontId="12" fillId="0" borderId="5" applyAlignment="1" pivotButton="0" quotePrefix="0" xfId="0">
      <alignment horizontal="center" vertical="top" wrapText="1"/>
    </xf>
    <xf numFmtId="0" fontId="0" fillId="0" borderId="10" applyAlignment="1" pivotButton="0" quotePrefix="0" xfId="0">
      <alignment vertical="top"/>
    </xf>
    <xf numFmtId="0" fontId="0" fillId="0" borderId="13" applyAlignment="1" pivotButton="0" quotePrefix="0" xfId="0">
      <alignment vertical="top"/>
    </xf>
    <xf numFmtId="0" fontId="0" fillId="0" borderId="16" applyAlignment="1" pivotButton="0" quotePrefix="0" xfId="0">
      <alignment vertical="top"/>
    </xf>
    <xf numFmtId="0" fontId="0" fillId="0" borderId="11" applyAlignment="1" pivotButton="0" quotePrefix="0" xfId="0">
      <alignment vertical="top" wrapText="1"/>
    </xf>
    <xf numFmtId="0" fontId="0" fillId="0" borderId="14" applyAlignment="1" pivotButton="0" quotePrefix="0" xfId="0">
      <alignment vertical="top" wrapText="1"/>
    </xf>
    <xf numFmtId="0" fontId="0" fillId="0" borderId="17" applyAlignment="1" pivotButton="0" quotePrefix="0" xfId="0">
      <alignment vertical="top" wrapText="1"/>
    </xf>
    <xf numFmtId="0" fontId="0" fillId="0" borderId="12" applyAlignment="1" pivotButton="0" quotePrefix="0" xfId="0">
      <alignment vertical="top" wrapText="1"/>
    </xf>
    <xf numFmtId="0" fontId="0" fillId="0" borderId="15" applyAlignment="1" pivotButton="0" quotePrefix="0" xfId="0">
      <alignment vertical="top" wrapText="1"/>
    </xf>
    <xf numFmtId="0" fontId="0" fillId="0" borderId="18" applyAlignment="1" pivotButton="0" quotePrefix="0" xfId="0">
      <alignment vertical="top" wrapText="1"/>
    </xf>
    <xf numFmtId="0" fontId="0" fillId="0" borderId="11" applyAlignment="1" pivotButton="0" quotePrefix="0" xfId="0">
      <alignment horizontal="center" vertical="top"/>
    </xf>
    <xf numFmtId="0" fontId="0" fillId="0" borderId="14" applyAlignment="1" pivotButton="0" quotePrefix="0" xfId="0">
      <alignment horizontal="center" vertical="top"/>
    </xf>
    <xf numFmtId="0" fontId="0" fillId="0" borderId="17" applyAlignment="1" pivotButton="0" quotePrefix="0" xfId="0">
      <alignment horizontal="center" vertical="top"/>
    </xf>
    <xf numFmtId="0" fontId="11" fillId="4" borderId="7" applyAlignment="1" pivotButton="0" quotePrefix="0" xfId="0">
      <alignment horizontal="center" vertical="center" wrapText="1"/>
    </xf>
    <xf numFmtId="0" fontId="11" fillId="4" borderId="8" applyAlignment="1" pivotButton="0" quotePrefix="0" xfId="0">
      <alignment horizontal="center" vertical="center" wrapText="1"/>
    </xf>
    <xf numFmtId="0" fontId="11" fillId="4" borderId="9" applyAlignment="1" pivotButton="0" quotePrefix="0" xfId="0">
      <alignment horizontal="center" vertical="center" wrapText="1"/>
    </xf>
    <xf numFmtId="0" fontId="8" fillId="0" borderId="0" applyAlignment="1" pivotButton="0" quotePrefix="0" xfId="0">
      <alignment horizontal="left" vertical="center"/>
    </xf>
    <xf numFmtId="0" fontId="14" fillId="5" borderId="0" xfId="1" applyNumberFormat="1" applyFont="1" applyFill="1" applyBorder="1" applyAlignment="1">
      <alignment vertical="top" wrapText="1"/>
    </xf>
    <xf numFmtId="168" fontId="14" fillId="5" borderId="0" xfId="1" applyNumberFormat="1" applyFont="1" applyFill="1" applyBorder="1" applyAlignment="1">
      <alignment vertical="top" wrapText="1"/>
    </xf>
    <xf numFmtId="169" fontId="14" fillId="5" borderId="0" xfId="1" applyNumberFormat="1" applyFont="1" applyFill="1" applyBorder="1" applyAlignment="1">
      <alignment vertical="top" wrapText="1"/>
    </xf>
  </cellXfs>
  <cellStyles count="1">
    <cellStyle name="Standard" xf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comments/comment26.xml><?xml version="1.0" encoding="utf-8"?>
<comments xmlns="http://schemas.openxmlformats.org/spreadsheetml/2006/main">
  <authors>
    <author>Claude Review</author>
    <author>Bruder Grabag</author>
  </authors>
  <commentList>
    <comment ref="Y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 ref="AI1" authorId="1" shapeId="0">
      <text>
        <t xml:space="preserve">Bruder Grabag:
min stä 1H*0,75
</t>
      </text>
    </comment>
  </commentList>
</comments>
</file>

<file path=xl/comments/comment27.xml><?xml version="1.0" encoding="utf-8"?>
<comments xmlns="http://schemas.openxmlformats.org/spreadsheetml/2006/main">
  <authors>
    <author>Claude Review</author>
  </authors>
  <commentList>
    <comment ref="AO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28.xml><?xml version="1.0" encoding="utf-8"?>
<comments xmlns="http://schemas.openxmlformats.org/spreadsheetml/2006/main">
  <authors>
    <author>Claude Review</author>
  </authors>
  <commentList>
    <comment ref="AH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tables/table1.xml><?xml version="1.0" encoding="utf-8"?>
<table xmlns="http://schemas.openxmlformats.org/spreadsheetml/2006/main" id="1" name="GeweihteWunderTable" displayName="GeweihteWunderTable" ref="A1:L61" headerRowCount="1" totalsRowShown="0">
  <autoFilter ref="A1:L61"/>
  <tableColumns count="12">
    <tableColumn id="1" name="Typ"/>
    <tableColumn id="2" name="Name"/>
    <tableColumn id="3" name="Gebet"/>
    <tableColumn id="4" name="Wirkung"/>
    <tableColumn id="5" name="Ziel"/>
    <tableColumn id="6" name="RW"/>
    <tableColumn id="7" name="VD"/>
    <tableColumn id="8" name="ED"/>
    <tableColumn id="9" name="WD"/>
    <tableColumn id="10" name="MinKarma"/>
    <tableColumn id="11" name="Malus"/>
    <tableColumn id="12"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9.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2.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3.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4.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5.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6.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7.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8.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9.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0.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1.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2.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3.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4.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5.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6.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7.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8.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9.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42.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43.xml.rels><Relationships xmlns="http://schemas.openxmlformats.org/package/2006/relationships"><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47.xml.rels><Relationships xmlns="http://schemas.openxmlformats.org/package/2006/relationships"><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5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E2252"/>
  <sheetViews>
    <sheetView workbookViewId="0">
      <selection activeCell="A1" sqref="A1"/>
    </sheetView>
  </sheetViews>
  <sheetFormatPr baseColWidth="10" defaultColWidth="9.140625" defaultRowHeight="15"/>
  <cols>
    <col width="25.7109375" customWidth="1" style="29" min="1" max="1"/>
    <col width="19" customWidth="1" style="11" min="2" max="2"/>
    <col width="39.7109375" customWidth="1" style="12" min="3" max="3"/>
    <col width="9.140625" customWidth="1" style="11" min="4" max="4"/>
    <col width="30.85546875" customWidth="1" style="11" min="5" max="5"/>
    <col width="12.5703125" customWidth="1" style="11" min="6" max="6"/>
    <col width="9.140625" customWidth="1" style="11" min="7" max="11"/>
    <col width="9.140625" customWidth="1" style="29" min="12" max="12"/>
    <col width="9.140625" customWidth="1" style="11" min="13" max="16"/>
    <col width="255" customWidth="1" style="11" min="17" max="17"/>
    <col width="9.140625" customWidth="1" style="11" min="18" max="56"/>
    <col width="9.140625" customWidth="1" style="11" min="57" max="16384"/>
  </cols>
  <sheetData>
    <row r="1" ht="15.75" customHeight="1" s="48">
      <c r="A1" s="29" t="inlineStr">
        <is>
          <t>Referenz</t>
        </is>
      </c>
      <c r="B1" s="11" t="inlineStr">
        <is>
          <t>Kategorie</t>
        </is>
      </c>
      <c r="C1" s="12" t="inlineStr">
        <is>
          <t>Beschreibung</t>
        </is>
      </c>
      <c r="D1" s="11" t="inlineStr">
        <is>
          <t>Abkürzung</t>
        </is>
      </c>
      <c r="E1" s="11" t="inlineStr">
        <is>
          <t>Info</t>
        </is>
      </c>
      <c r="F1" s="11" t="inlineStr">
        <is>
          <t>Parent</t>
        </is>
      </c>
      <c r="G1" s="11" t="inlineStr">
        <is>
          <t>Art</t>
        </is>
      </c>
      <c r="H1" s="11" t="inlineStr">
        <is>
          <t>Formel</t>
        </is>
      </c>
      <c r="I1" s="11" t="inlineStr">
        <is>
          <t>Pool</t>
        </is>
      </c>
      <c r="J1" s="11" t="inlineStr">
        <is>
          <t>Flag</t>
        </is>
      </c>
      <c r="K1" s="11" t="inlineStr">
        <is>
          <t>Grad</t>
        </is>
      </c>
      <c r="L1" s="28" t="inlineStr">
        <is>
          <t>Kosten</t>
        </is>
      </c>
      <c r="M1" t="inlineStr">
        <is>
          <t>Verfuegbarkeit</t>
        </is>
      </c>
      <c r="O1" t="inlineStr">
        <is>
          <t>Mindest-TaW</t>
        </is>
      </c>
      <c r="P1" t="inlineStr">
        <is>
          <t>Eig-Bonus</t>
        </is>
      </c>
      <c r="Q1" t="inlineStr">
        <is>
          <t>Wirkung</t>
        </is>
      </c>
    </row>
    <row r="2" hidden="1" ht="15.75" customHeight="1" s="48">
      <c r="A2" s="29" t="inlineStr">
        <is>
          <t>#spruchmagie_erdbeschwoerung_1_splitterwand</t>
        </is>
      </c>
      <c r="B2" s="11" t="inlineStr">
        <is>
          <t>Spruchmagie</t>
        </is>
      </c>
      <c r="C2" s="12" t="inlineStr">
        <is>
          <t>Splitterwand</t>
        </is>
      </c>
      <c r="F2" t="inlineStr">
        <is>
          <t>Erdbeschwörung</t>
        </is>
      </c>
      <c r="G2" s="11"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28"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idden="1" ht="15.75" customHeight="1" s="48">
      <c r="A3" s="29" t="inlineStr">
        <is>
          <t>#spruchmagie_erdbeschwoerung_2_splitterstrahl</t>
        </is>
      </c>
      <c r="B3" s="11" t="inlineStr">
        <is>
          <t>Spruchmagie</t>
        </is>
      </c>
      <c r="C3" s="12" t="inlineStr">
        <is>
          <t>Splitterstrahl</t>
        </is>
      </c>
      <c r="F3" t="inlineStr">
        <is>
          <t>Erdbeschwörung</t>
        </is>
      </c>
      <c r="G3" s="11"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28"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idden="1" ht="15.75" customHeight="1" s="48">
      <c r="A4" s="29" t="inlineStr">
        <is>
          <t>#spruchmagie_erdbeschwoerung_3_steinschlag</t>
        </is>
      </c>
      <c r="B4" s="11" t="inlineStr">
        <is>
          <t>Spruchmagie</t>
        </is>
      </c>
      <c r="C4" s="12" t="inlineStr">
        <is>
          <t>Steinschlag</t>
        </is>
      </c>
      <c r="F4" t="inlineStr">
        <is>
          <t>Erdbeschwörung</t>
        </is>
      </c>
      <c r="G4" s="11"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28" t="inlineStr">
        <is>
          <t>WENN(wert=0;0;10+(wert-1)*grad)</t>
        </is>
      </c>
      <c r="P4" t="inlineStr">
        <is>
          <t>eig_bonus_k_staerke</t>
        </is>
      </c>
      <c r="Q4" t="inlineStr">
        <is>
          <t>Der Magus erschafft um das Opfer eine Kugel aus Erde.  Treffer auf FK-TZ mit 2 TZ-Rerolls auf die gewünschte Trefferzone. Schaden: 2W6 + {Magie}, RB 6.</t>
        </is>
      </c>
    </row>
    <row r="5" hidden="1" ht="15.75" customHeight="1" s="48">
      <c r="A5" s="29" t="inlineStr">
        <is>
          <t>#spruchmagie_erdbeschwoerung_4_grosse_splitterwand</t>
        </is>
      </c>
      <c r="B5" s="11" t="inlineStr">
        <is>
          <t>Spruchmagie</t>
        </is>
      </c>
      <c r="C5" s="12" t="inlineStr">
        <is>
          <t>Große Splitterwand</t>
        </is>
      </c>
      <c r="F5" t="inlineStr">
        <is>
          <t>Erdbeschwörung</t>
        </is>
      </c>
      <c r="G5" s="11"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28"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idden="1" ht="15.75" customHeight="1" s="48">
      <c r="A6" s="29" t="inlineStr">
        <is>
          <t>#spruchmagie_erdbeschwoerung_5_grosse_splitteraura</t>
        </is>
      </c>
      <c r="B6" s="11" t="inlineStr">
        <is>
          <t>Spruchmagie</t>
        </is>
      </c>
      <c r="C6" s="12" t="inlineStr">
        <is>
          <t>Große Splitteraura</t>
        </is>
      </c>
      <c r="F6" t="inlineStr">
        <is>
          <t>Erdbeschwörung</t>
        </is>
      </c>
      <c r="G6" s="11"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28"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idden="1" ht="15.75" customHeight="1" s="48">
      <c r="A7" s="29" t="inlineStr">
        <is>
          <t>#spruchmagie_erdbeschwoerung_5_grosser_steinschuss</t>
        </is>
      </c>
      <c r="B7" s="11" t="inlineStr">
        <is>
          <t>Spruchmagie</t>
        </is>
      </c>
      <c r="C7" s="12" t="inlineStr">
        <is>
          <t>Großer Steinschuss</t>
        </is>
      </c>
      <c r="F7" t="inlineStr">
        <is>
          <t>Erdbeschwörung</t>
        </is>
      </c>
      <c r="G7" s="11"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28" t="inlineStr">
        <is>
          <t>WENN(wert=0;0;10+(wert-1)*grad)</t>
        </is>
      </c>
      <c r="P7" t="inlineStr">
        <is>
          <t>eig_bonus_k_staerke</t>
        </is>
      </c>
      <c r="Q7" t="inlineStr">
        <is>
          <t>Der Magus erschafft einen Bolzen aus Erde. Treffer auf FK-TZ. Schaden: 2W10 + {Magie}; RB: 6 + {M}:2</t>
        </is>
      </c>
    </row>
    <row r="8" hidden="1" ht="15.75" customHeight="1" s="48">
      <c r="A8" s="29" t="inlineStr">
        <is>
          <t>#spruchmagie_erdbeschwoerung_5_splittersturm</t>
        </is>
      </c>
      <c r="B8" s="11" t="inlineStr">
        <is>
          <t>Spruchmagie</t>
        </is>
      </c>
      <c r="C8" s="12" t="inlineStr">
        <is>
          <t>Splittersturm</t>
        </is>
      </c>
      <c r="F8" t="inlineStr">
        <is>
          <t>Erdbeschwörung</t>
        </is>
      </c>
      <c r="G8" s="11"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28"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idden="1" ht="15.75" customHeight="1" s="48">
      <c r="A9" s="29" t="inlineStr">
        <is>
          <t>#spruchmagie_erdbeschwoerung_6_grosser_splitterstrahl</t>
        </is>
      </c>
      <c r="B9" s="11" t="inlineStr">
        <is>
          <t>Spruchmagie</t>
        </is>
      </c>
      <c r="C9" s="12" t="inlineStr">
        <is>
          <t>Großer Splitterstrahl</t>
        </is>
      </c>
      <c r="F9" t="inlineStr">
        <is>
          <t>Erdbeschwörung</t>
        </is>
      </c>
      <c r="G9" s="11"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28"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idden="1" ht="15.75" customHeight="1" s="48">
      <c r="A10" s="29" t="inlineStr">
        <is>
          <t>#spruchmagie_erdbeschwoerung_6_grosser_steinschlag</t>
        </is>
      </c>
      <c r="B10" s="11" t="inlineStr">
        <is>
          <t>Spruchmagie</t>
        </is>
      </c>
      <c r="C10" s="12" t="inlineStr">
        <is>
          <t>Großer Steinschlag</t>
        </is>
      </c>
      <c r="F10" t="inlineStr">
        <is>
          <t>Erdbeschwörung</t>
        </is>
      </c>
      <c r="G10" s="11"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28" t="inlineStr">
        <is>
          <t>WENN(wert=0;0;10+(wert-1)*grad)</t>
        </is>
      </c>
      <c r="P10" t="inlineStr">
        <is>
          <t>eig_bonus_k_staerke</t>
        </is>
      </c>
      <c r="Q10" t="inlineStr">
        <is>
          <t>Der Magus erschafft um das Opfer eine Kugel aus Erde. Treffer auf FK-TZ mit 2 TZ-Rerolls auf die gewünschte Trefferzone. Schaden: 2W12 + {Magie}, RB 9.</t>
        </is>
      </c>
    </row>
    <row r="11" hidden="1" ht="15.75" customHeight="1" s="48">
      <c r="A11" s="29" t="inlineStr">
        <is>
          <t>#spruchmagie_erdbeschwoerung_7_grosser_splittersturm</t>
        </is>
      </c>
      <c r="B11" s="11" t="inlineStr">
        <is>
          <t>Spruchmagie</t>
        </is>
      </c>
      <c r="C11" s="12" t="inlineStr">
        <is>
          <t>Großer Splittersturm</t>
        </is>
      </c>
      <c r="F11" t="inlineStr">
        <is>
          <t>Erdbeschwörung</t>
        </is>
      </c>
      <c r="G11" s="11"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28"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idden="1" ht="15.75" customHeight="1" s="48">
      <c r="A12" s="29" t="inlineStr">
        <is>
          <t>#spruchmagie_feuerbeschwoerung_1_flammenwand</t>
        </is>
      </c>
      <c r="B12" s="11" t="inlineStr">
        <is>
          <t>Spruchmagie</t>
        </is>
      </c>
      <c r="C12" s="12" t="inlineStr">
        <is>
          <t>Flammenwand</t>
        </is>
      </c>
      <c r="F12" t="inlineStr">
        <is>
          <t>Feuerbeschwörung</t>
        </is>
      </c>
      <c r="G12" s="11"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28"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idden="1" ht="15.75" customHeight="1" s="48">
      <c r="A13" s="29" t="inlineStr">
        <is>
          <t>#spruchmagie_feuerbeschwoerung_2_flammenaura</t>
        </is>
      </c>
      <c r="B13" s="11" t="inlineStr">
        <is>
          <t>Spruchmagie</t>
        </is>
      </c>
      <c r="C13" s="12" t="inlineStr">
        <is>
          <t>Flammenaura</t>
        </is>
      </c>
      <c r="F13" t="inlineStr">
        <is>
          <t>Feuerbeschwörung</t>
        </is>
      </c>
      <c r="G13" s="11"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28"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idden="1" ht="15.75" customHeight="1" s="48">
      <c r="A14" s="29" t="inlineStr">
        <is>
          <t>#spruchmagie_feuerbeschwoerung_2_flammenstrahl</t>
        </is>
      </c>
      <c r="B14" s="11" t="inlineStr">
        <is>
          <t>Spruchmagie</t>
        </is>
      </c>
      <c r="C14" s="12" t="inlineStr">
        <is>
          <t>Flammenstrahl</t>
        </is>
      </c>
      <c r="F14" t="inlineStr">
        <is>
          <t>Feuerbeschwörung</t>
        </is>
      </c>
      <c r="G14" s="11"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28" t="inlineStr">
        <is>
          <t>WENN(wert=0;0;10+(wert-1)*grad)</t>
        </is>
      </c>
      <c r="P14" t="inlineStr">
        <is>
          <t>eig_bonus_g_mut</t>
        </is>
      </c>
      <c r="Q14" t="inlineStr">
        <is>
          <t>Aus der Handfläche des Magiers schießt ein {M} cm dicker Strahl aus Feuer. Schaden: W12+{Magie} pro sec, Treffer auf eine FK-TZ mit 1 zusätzlichen TZ-Reroll.</t>
        </is>
      </c>
    </row>
    <row r="15" hidden="1" ht="15.75" customHeight="1" s="48">
      <c r="A15" s="29" t="inlineStr">
        <is>
          <t>#spruchmagie_feuerbeschwoerung_3_feuerblitz</t>
        </is>
      </c>
      <c r="B15" s="11" t="inlineStr">
        <is>
          <t>Spruchmagie</t>
        </is>
      </c>
      <c r="C15" s="12" t="inlineStr">
        <is>
          <t>Feuerblitz</t>
        </is>
      </c>
      <c r="F15" t="inlineStr">
        <is>
          <t>Feuerbeschwörung</t>
        </is>
      </c>
      <c r="G15" s="11"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28" t="inlineStr">
        <is>
          <t>WENN(wert=0;0;10+(wert-1)*grad)</t>
        </is>
      </c>
      <c r="P15" t="inlineStr">
        <is>
          <t>eig_bonus_g_mut</t>
        </is>
      </c>
      <c r="Q15" t="inlineStr">
        <is>
          <t>Der Magus erschafft um das Opfer eine Kugel aus Feuer.  Treffer auf FK-TZ mit 2 TZ-Rerolls auf die gewünschte Trefferzone. Schaden: 2W8 + {Magie}.</t>
        </is>
      </c>
    </row>
    <row r="16" hidden="1" ht="15.75" customHeight="1" s="48">
      <c r="A16" s="29" t="inlineStr">
        <is>
          <t>#spruchmagie_feuerbeschwoerung_4_grosse_flammenwand</t>
        </is>
      </c>
      <c r="B16" s="11" t="inlineStr">
        <is>
          <t>Spruchmagie</t>
        </is>
      </c>
      <c r="C16" s="12" t="inlineStr">
        <is>
          <t>Große Flammenwand</t>
        </is>
      </c>
      <c r="F16" t="inlineStr">
        <is>
          <t>Feuerbeschwörung</t>
        </is>
      </c>
      <c r="G16" s="11"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28"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idden="1" ht="15.75" customHeight="1" s="48">
      <c r="A17" s="29" t="inlineStr">
        <is>
          <t>#spruchmagie_feuerbeschwoerung_5_flammenmeer</t>
        </is>
      </c>
      <c r="B17" s="11" t="inlineStr">
        <is>
          <t>Spruchmagie</t>
        </is>
      </c>
      <c r="C17" s="12" t="inlineStr">
        <is>
          <t>Flammenmeer</t>
        </is>
      </c>
      <c r="F17" t="inlineStr">
        <is>
          <t>Feuerbeschwörung</t>
        </is>
      </c>
      <c r="G17" s="11"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28" t="inlineStr">
        <is>
          <t>WENN(wert=0;0;10+(wert-1)*grad)</t>
        </is>
      </c>
      <c r="P17" t="inlineStr">
        <is>
          <t>eig_bonus_g_mut</t>
        </is>
      </c>
      <c r="Q17" t="inlineStr">
        <is>
          <t>Eine vom Magus ausgehende kugelförmige Explosion verursacht Elementarschaden. Es ist unmöglich, dem Schaden zu entgehen. Jede TZ wird getroffen. Schaden: W10 + {Magie} : 2</t>
        </is>
      </c>
    </row>
    <row r="18" hidden="1" ht="15.75" customHeight="1" s="48">
      <c r="A18" s="29" t="inlineStr">
        <is>
          <t>#spruchmagie_feuerbeschwoerung_5_grosse_flammenaura</t>
        </is>
      </c>
      <c r="B18" s="11" t="inlineStr">
        <is>
          <t>Spruchmagie</t>
        </is>
      </c>
      <c r="C18" s="12" t="inlineStr">
        <is>
          <t>Große Flammenaura</t>
        </is>
      </c>
      <c r="F18" t="inlineStr">
        <is>
          <t>Feuerbeschwörung</t>
        </is>
      </c>
      <c r="G18" s="11"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28"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idden="1" ht="15.75" customHeight="1" s="48">
      <c r="A19" s="29" t="inlineStr">
        <is>
          <t>#spruchmagie_feuerbeschwoerung_5_grosser_feuerpfeil</t>
        </is>
      </c>
      <c r="B19" s="11" t="inlineStr">
        <is>
          <t>Spruchmagie</t>
        </is>
      </c>
      <c r="C19" s="12" t="inlineStr">
        <is>
          <t>Großer Feuerpfeil</t>
        </is>
      </c>
      <c r="F19" t="inlineStr">
        <is>
          <t>Feuerbeschwörung</t>
        </is>
      </c>
      <c r="G19" s="11"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28" t="inlineStr">
        <is>
          <t>WENN(wert=0;0;10+(wert-1)*grad)</t>
        </is>
      </c>
      <c r="P19" t="inlineStr">
        <is>
          <t>eig_bonus_g_mut</t>
        </is>
      </c>
      <c r="Q19" t="inlineStr">
        <is>
          <t>Der Magus erschafft einen Bolzen aus Feuer. Treffer auf FK-TZ. Schaden: 2W12 + {Magie}; RB: {M}:2</t>
        </is>
      </c>
    </row>
    <row r="20" hidden="1" ht="15.75" customHeight="1" s="48">
      <c r="A20" s="29" t="inlineStr">
        <is>
          <t>#spruchmagie_feuerbeschwoerung_6_grosser_feuerblitz</t>
        </is>
      </c>
      <c r="B20" s="11" t="inlineStr">
        <is>
          <t>Spruchmagie</t>
        </is>
      </c>
      <c r="C20" s="12" t="inlineStr">
        <is>
          <t>Großer Feuerblitz</t>
        </is>
      </c>
      <c r="F20" t="inlineStr">
        <is>
          <t>Feuerbeschwörung</t>
        </is>
      </c>
      <c r="G20" s="11"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28" t="inlineStr">
        <is>
          <t>WENN(wert=0;0;10+(wert-1)*grad)</t>
        </is>
      </c>
      <c r="P20" t="inlineStr">
        <is>
          <t>eig_bonus_g_mut</t>
        </is>
      </c>
      <c r="Q20" t="inlineStr">
        <is>
          <t>Der Magus erschafft um das Opfer eine Kugel aus Eis.  Treffer auf FK-TZ mit 2 TZ-Rerolls auf die gewünschte Trefferzone. Schaden: 2W15 + {Magie}.</t>
        </is>
      </c>
    </row>
    <row r="21" hidden="1" ht="15.75" customHeight="1" s="48">
      <c r="A21" s="29" t="inlineStr">
        <is>
          <t>#spruchmagie_feuerbeschwoerung_6_grosser_flammenstrahl</t>
        </is>
      </c>
      <c r="B21" s="11" t="inlineStr">
        <is>
          <t>Spruchmagie</t>
        </is>
      </c>
      <c r="C21" s="12" t="inlineStr">
        <is>
          <t>Großer Flammenstrahl</t>
        </is>
      </c>
      <c r="F21" t="inlineStr">
        <is>
          <t>Feuerbeschwörung</t>
        </is>
      </c>
      <c r="G21" s="11" t="inlineStr">
        <is>
          <t>Wert</t>
        </is>
      </c>
      <c r="H21" s="29" t="n"/>
      <c r="I21" s="29"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28"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idden="1" ht="15.75" customHeight="1" s="48">
      <c r="A22" s="29" t="inlineStr">
        <is>
          <t>#spruchmagie_feuerbeschwoerung_7_inferno</t>
        </is>
      </c>
      <c r="B22" s="11" t="inlineStr">
        <is>
          <t>Spruchmagie</t>
        </is>
      </c>
      <c r="C22" s="12" t="inlineStr">
        <is>
          <t>Inferno</t>
        </is>
      </c>
      <c r="F22" t="inlineStr">
        <is>
          <t>Feuerbeschwörung</t>
        </is>
      </c>
      <c r="G22" s="11"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28"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idden="1" ht="15.75" customHeight="1" s="48">
      <c r="A23" s="29" t="inlineStr">
        <is>
          <t>#spruchmagie_luftbeschwoerung_1_sturmwand</t>
        </is>
      </c>
      <c r="B23" s="11" t="inlineStr">
        <is>
          <t>Spruchmagie</t>
        </is>
      </c>
      <c r="C23" s="12" t="inlineStr">
        <is>
          <t>Sturmwand</t>
        </is>
      </c>
      <c r="F23" t="inlineStr">
        <is>
          <t>Luftbeschwörung</t>
        </is>
      </c>
      <c r="G23" s="11"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28"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idden="1" ht="15.75" customHeight="1" s="48">
      <c r="A24" s="29" t="inlineStr">
        <is>
          <t>#spruchmagie_luftbeschwoerung_2_sturmaura</t>
        </is>
      </c>
      <c r="B24" s="11" t="inlineStr">
        <is>
          <t>Spruchmagie</t>
        </is>
      </c>
      <c r="C24" s="12" t="inlineStr">
        <is>
          <t>Sturmaura</t>
        </is>
      </c>
      <c r="F24" t="inlineStr">
        <is>
          <t>Luftbeschwörung</t>
        </is>
      </c>
      <c r="G24" s="11"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28"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idden="1" ht="15.75" customHeight="1" s="48">
      <c r="A25" s="29" t="inlineStr">
        <is>
          <t>#spruchmagie_luftbeschwoerung_2_sturmstrahl</t>
        </is>
      </c>
      <c r="B25" s="11" t="inlineStr">
        <is>
          <t>Spruchmagie</t>
        </is>
      </c>
      <c r="C25" s="12" t="inlineStr">
        <is>
          <t>Sturmstrahl</t>
        </is>
      </c>
      <c r="F25" t="inlineStr">
        <is>
          <t>Luftbeschwörung</t>
        </is>
      </c>
      <c r="G25" s="11"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28"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idden="1" ht="15.75" customHeight="1" s="48">
      <c r="A26" s="29" t="inlineStr">
        <is>
          <t>#spruchmagie_luftbeschwoerung_3_sturmblitz</t>
        </is>
      </c>
      <c r="B26" s="11" t="inlineStr">
        <is>
          <t>Spruchmagie</t>
        </is>
      </c>
      <c r="C26" s="12" t="inlineStr">
        <is>
          <t>Sturmblitz</t>
        </is>
      </c>
      <c r="F26" t="inlineStr">
        <is>
          <t>Luftbeschwörung</t>
        </is>
      </c>
      <c r="G26" s="11"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28"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idden="1" ht="15.75" customHeight="1" s="48">
      <c r="A27" s="29" t="inlineStr">
        <is>
          <t>#spruchmagie_luftbeschwoerung_4_grosse_sturmwand</t>
        </is>
      </c>
      <c r="B27" s="11" t="inlineStr">
        <is>
          <t>Spruchmagie</t>
        </is>
      </c>
      <c r="C27" s="12" t="inlineStr">
        <is>
          <t>Große Sturmwand</t>
        </is>
      </c>
      <c r="F27" t="inlineStr">
        <is>
          <t>Luftbeschwörung</t>
        </is>
      </c>
      <c r="G27" s="11"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28"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idden="1" ht="15.75" customHeight="1" s="48">
      <c r="A28" s="29" t="inlineStr">
        <is>
          <t>#spruchmagie_luftbeschwoerung_5_grosse_sturmaura</t>
        </is>
      </c>
      <c r="B28" s="11" t="inlineStr">
        <is>
          <t>Spruchmagie</t>
        </is>
      </c>
      <c r="C28" s="12" t="inlineStr">
        <is>
          <t>Große Sturmaura</t>
        </is>
      </c>
      <c r="F28" t="inlineStr">
        <is>
          <t>Luftbeschwörung</t>
        </is>
      </c>
      <c r="G28" s="11"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28"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idden="1" ht="15.75" customHeight="1" s="48">
      <c r="A29" s="29" t="inlineStr">
        <is>
          <t>#spruchmagie_luftbeschwoerung_5_grosser_sturmpfeil</t>
        </is>
      </c>
      <c r="B29" s="11" t="inlineStr">
        <is>
          <t>Spruchmagie</t>
        </is>
      </c>
      <c r="C29" s="12" t="inlineStr">
        <is>
          <t>Großer Sturmpfeil</t>
        </is>
      </c>
      <c r="F29" t="inlineStr">
        <is>
          <t>Luftbeschwörung</t>
        </is>
      </c>
      <c r="G29" s="11"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28"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idden="1" ht="15.75" customHeight="1" s="48">
      <c r="A30" s="29" t="inlineStr">
        <is>
          <t>#spruchmagie_luftbeschwoerung_5_tornado</t>
        </is>
      </c>
      <c r="B30" s="11" t="inlineStr">
        <is>
          <t>Spruchmagie</t>
        </is>
      </c>
      <c r="C30" s="12" t="inlineStr">
        <is>
          <t>Tornado</t>
        </is>
      </c>
      <c r="F30" t="inlineStr">
        <is>
          <t>Luftbeschwörung</t>
        </is>
      </c>
      <c r="G30" s="11"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28"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idden="1" ht="15.75" customHeight="1" s="48">
      <c r="A31" s="29" t="inlineStr">
        <is>
          <t>#spruchmagie_luftbeschwoerung_6_grosser_sturmblitz</t>
        </is>
      </c>
      <c r="B31" s="11" t="inlineStr">
        <is>
          <t>Spruchmagie</t>
        </is>
      </c>
      <c r="C31" s="12" t="inlineStr">
        <is>
          <t>Großer Sturmblitz</t>
        </is>
      </c>
      <c r="F31" t="inlineStr">
        <is>
          <t>Luftbeschwörung</t>
        </is>
      </c>
      <c r="G31" s="11"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28"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idden="1" ht="15.75" customHeight="1" s="48">
      <c r="A32" s="29" t="inlineStr">
        <is>
          <t>#spruchmagie_luftbeschwoerung_6_grosser_sturmstrahl</t>
        </is>
      </c>
      <c r="B32" s="11" t="inlineStr">
        <is>
          <t>Spruchmagie</t>
        </is>
      </c>
      <c r="C32" s="12" t="inlineStr">
        <is>
          <t>Großer Sturmstrahl</t>
        </is>
      </c>
      <c r="F32" t="inlineStr">
        <is>
          <t>Luftbeschwörung</t>
        </is>
      </c>
      <c r="G32" s="11"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28"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idden="1" ht="15.75" customHeight="1" s="48">
      <c r="A33" s="29" t="inlineStr">
        <is>
          <t>#spruchmagie_luftbeschwoerung_7_grosser_tornado</t>
        </is>
      </c>
      <c r="B33" s="11" t="inlineStr">
        <is>
          <t>Spruchmagie</t>
        </is>
      </c>
      <c r="C33" s="12" t="inlineStr">
        <is>
          <t>Großer Tornado</t>
        </is>
      </c>
      <c r="F33" t="inlineStr">
        <is>
          <t>Luftbeschwörung</t>
        </is>
      </c>
      <c r="G33" s="11"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28"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idden="1" ht="15.75" customHeight="1" s="48">
      <c r="A34" s="29" t="inlineStr">
        <is>
          <t>#spruchmagie_magiebeschwoerung_1_wand_aus_magie</t>
        </is>
      </c>
      <c r="B34" s="11" t="inlineStr">
        <is>
          <t>Spruchmagie</t>
        </is>
      </c>
      <c r="C34" s="12" t="inlineStr">
        <is>
          <t>Wand aus Magie</t>
        </is>
      </c>
      <c r="F34" t="inlineStr">
        <is>
          <t>Magiebeschwörung</t>
        </is>
      </c>
      <c r="G34" s="11"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28" t="inlineStr">
        <is>
          <t>WENN(wert=0;0;10+(wert-1)*grad)</t>
        </is>
      </c>
      <c r="P34" t="inlineStr">
        <is>
          <t>eig_bonus_g_ausstrahlung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idden="1" ht="15.75" customHeight="1" s="48">
      <c r="A35" s="29" t="inlineStr">
        <is>
          <t>#spruchmagie_magiebeschwoerung_2_magische_aura</t>
        </is>
      </c>
      <c r="B35" s="11" t="inlineStr">
        <is>
          <t>Spruchmagie</t>
        </is>
      </c>
      <c r="C35" s="12" t="inlineStr">
        <is>
          <t>Magische Aura</t>
        </is>
      </c>
      <c r="F35" t="inlineStr">
        <is>
          <t>Magiebeschwörung</t>
        </is>
      </c>
      <c r="G35" s="11"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28" t="inlineStr">
        <is>
          <t>WENN(wert=0;0;10+(wert-1)*grad)</t>
        </is>
      </c>
      <c r="P35" t="inlineStr">
        <is>
          <t>eig_bonus_g_ausstrahlung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idden="1" ht="15.75" customHeight="1" s="48">
      <c r="A36" s="29" t="inlineStr">
        <is>
          <t>#spruchmagie_magiebeschwoerung_2_magischer_strahl</t>
        </is>
      </c>
      <c r="B36" s="11" t="inlineStr">
        <is>
          <t>Spruchmagie</t>
        </is>
      </c>
      <c r="C36" s="12" t="inlineStr">
        <is>
          <t>Magischer Strahl</t>
        </is>
      </c>
      <c r="F36" t="inlineStr">
        <is>
          <t>Magiebeschwörung</t>
        </is>
      </c>
      <c r="G36" s="11"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28" t="inlineStr">
        <is>
          <t>WENN(wert=0;0;10+(wert-1)*grad)</t>
        </is>
      </c>
      <c r="P36" t="inlineStr">
        <is>
          <t>eig_bonus_g_ausstrahlung</t>
        </is>
      </c>
      <c r="Q36" t="inlineStr">
        <is>
          <t>Aus der Handfläche des Magiers schießt ein {M} cm dicker Strahl aus Magie. Schaden: W10+{Magie} pro sec, zusätzliche Erschwerung der SB-Probe -3. Treffer auf eine FK-TZ mit 1 zusätzlichen TZ-Reroll, wenn min. 1 SP erzielt wird.</t>
        </is>
      </c>
    </row>
    <row r="37" hidden="1" ht="15.75" customHeight="1" s="48">
      <c r="A37" s="29" t="inlineStr">
        <is>
          <t>#spruchmagie_magiebeschwoerung_3_magische_entladung</t>
        </is>
      </c>
      <c r="B37" s="11" t="inlineStr">
        <is>
          <t>Spruchmagie</t>
        </is>
      </c>
      <c r="C37" s="12" t="inlineStr">
        <is>
          <t>Magische Entladung</t>
        </is>
      </c>
      <c r="F37" t="inlineStr">
        <is>
          <t>Magiebeschwörung</t>
        </is>
      </c>
      <c r="G37" s="11" t="inlineStr">
        <is>
          <t>Wert</t>
        </is>
      </c>
      <c r="H37" s="29" t="n"/>
      <c r="I37" s="29"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28" t="inlineStr">
        <is>
          <t>WENN(wert=0;0;10+(wert-1)*grad)</t>
        </is>
      </c>
      <c r="P37" t="inlineStr">
        <is>
          <t>eig_bonus_g_ausstrahlung</t>
        </is>
      </c>
      <c r="Q37" t="inlineStr">
        <is>
          <t xml:space="preserve">Der Magus erschafft um das Opfer eine Kugel aus Magie.  Treffer auf FK (W30). Zwei Trefferzonen-Rerolls auf die gewünschte Trefferzone. Schaden: 2W12 + {Magie}, SB-Proben um 4 erschwert. Gegenprobe: Gück. </t>
        </is>
      </c>
    </row>
    <row r="38" hidden="1" ht="15.75" customHeight="1" s="48">
      <c r="A38" s="29" t="inlineStr">
        <is>
          <t>#spruchmagie_magiebeschwoerung_4_grosse_wand_aus_magie</t>
        </is>
      </c>
      <c r="B38" s="11" t="inlineStr">
        <is>
          <t>Spruchmagie</t>
        </is>
      </c>
      <c r="C38" s="12" t="inlineStr">
        <is>
          <t>Große Wand aus Magie</t>
        </is>
      </c>
      <c r="F38" t="inlineStr">
        <is>
          <t>Magiebeschwörung</t>
        </is>
      </c>
      <c r="G38" s="11"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28" t="inlineStr">
        <is>
          <t>WENN(wert=0;0;10+(wert-1)*grad)</t>
        </is>
      </c>
      <c r="P38" t="inlineStr">
        <is>
          <t>eig_bonus_g_ausstrahlung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idden="1" ht="15.75" customHeight="1" s="48">
      <c r="A39" s="29" t="inlineStr">
        <is>
          <t>#spruchmagie_magiebeschwoerung_5_grosse_magische_aura</t>
        </is>
      </c>
      <c r="B39" s="11" t="inlineStr">
        <is>
          <t>Spruchmagie</t>
        </is>
      </c>
      <c r="C39" s="12" t="inlineStr">
        <is>
          <t>Große Magische Aura</t>
        </is>
      </c>
      <c r="F39" t="inlineStr">
        <is>
          <t>Magiebeschwörung</t>
        </is>
      </c>
      <c r="G39" s="11"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28" t="inlineStr">
        <is>
          <t>WENN(wert=0;0;10+(wert-1)*grad)</t>
        </is>
      </c>
      <c r="P39" t="inlineStr">
        <is>
          <t>eig_bonus_g_ausstrahlung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idden="1" ht="15.75" customHeight="1" s="48">
      <c r="A40" s="29" t="inlineStr">
        <is>
          <t>#spruchmagie_magiebeschwoerung_5_grosses_magisches_geschoss</t>
        </is>
      </c>
      <c r="B40" s="11" t="inlineStr">
        <is>
          <t>Spruchmagie</t>
        </is>
      </c>
      <c r="C40" s="12" t="inlineStr">
        <is>
          <t>Großes Magisches Geschoss</t>
        </is>
      </c>
      <c r="F40" t="inlineStr">
        <is>
          <t>Magiebeschwörung</t>
        </is>
      </c>
      <c r="G40" s="11"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28" t="inlineStr">
        <is>
          <t>WENN(wert=0;0;10+(wert-1)*grad)</t>
        </is>
      </c>
      <c r="P40" t="inlineStr">
        <is>
          <t>eig_bonus_g_ausstrahlung</t>
        </is>
      </c>
      <c r="Q40" t="inlineStr">
        <is>
          <t>Der Magus erschafft einen Bolzen aus Magie. Treffer auf FK-TZ. Schaden: 2W10 + {Magie}; RB {M}:2, zusätzliche Erschwerung der SB-Probe -6, wenn min. 1 SP erzielt wird.</t>
        </is>
      </c>
    </row>
    <row r="41" hidden="1" ht="15.75" customHeight="1" s="48">
      <c r="A41" s="29" t="inlineStr">
        <is>
          <t>#spruchmagie_magiebeschwoerung_5_statisches_feld</t>
        </is>
      </c>
      <c r="B41" s="11" t="inlineStr">
        <is>
          <t>Spruchmagie</t>
        </is>
      </c>
      <c r="C41" s="12" t="inlineStr">
        <is>
          <t>Statisches Feld</t>
        </is>
      </c>
      <c r="F41" t="inlineStr">
        <is>
          <t>Magiebeschwörung</t>
        </is>
      </c>
      <c r="G41" s="11"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28" t="inlineStr">
        <is>
          <t>WENN(wert=0;0;10+(wert-1)*grad)</t>
        </is>
      </c>
      <c r="P41" t="inlineStr">
        <is>
          <t>eig_bonus_g_ausstrahlung</t>
        </is>
      </c>
      <c r="Q41" t="inlineStr">
        <is>
          <t xml:space="preserve">Eine vom Magus ausgehende kugelförmige Explosion verursacht Elementarschaden. Es ist unmöglich, dem Schaden zu entgehen. Alle TZ werden getroffen. Schaden: W10 + {Magie} : 2 SB-Proben um 14 erschwert. </t>
        </is>
      </c>
    </row>
    <row r="42" hidden="1" ht="15.75" customHeight="1" s="48">
      <c r="A42" s="29" t="inlineStr">
        <is>
          <t>#spruchmagie_magiebeschwoerung_6_grosse_magische_entladung</t>
        </is>
      </c>
      <c r="B42" s="11" t="inlineStr">
        <is>
          <t>Spruchmagie</t>
        </is>
      </c>
      <c r="C42" s="12" t="inlineStr">
        <is>
          <t>Große Magische Entladung</t>
        </is>
      </c>
      <c r="F42" t="inlineStr">
        <is>
          <t>Magiebeschwörung</t>
        </is>
      </c>
      <c r="G42" s="11"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28" t="inlineStr">
        <is>
          <t>WENN(wert=0;0;10+(wert-1)*grad)</t>
        </is>
      </c>
      <c r="P42" t="inlineStr">
        <is>
          <t>eig_bonus_g_ausstrahlung</t>
        </is>
      </c>
      <c r="Q42" t="inlineStr">
        <is>
          <t>Der Magus erschafft um das Opfer eine Kugel aus Magie. Treffer auf FK-TZ mit 2 TZ-Rerolls auf die gewünschte Trefferzone. Schaden: 2W12 + {Magie}, zusätzliche Erschwerung der SB-Probe -9, wenn min. 1 SP erzielt wird.</t>
        </is>
      </c>
    </row>
    <row r="43" hidden="1" ht="15.75" customHeight="1" s="48">
      <c r="A43" s="29" t="inlineStr">
        <is>
          <t>#spruchmagie_magiebeschwoerung_6_grosser_magischer_strahl</t>
        </is>
      </c>
      <c r="B43" s="11" t="inlineStr">
        <is>
          <t>Spruchmagie</t>
        </is>
      </c>
      <c r="C43" s="12" t="inlineStr">
        <is>
          <t>Großer Magischer Strahl</t>
        </is>
      </c>
      <c r="F43" t="inlineStr">
        <is>
          <t>Magiebeschwörung</t>
        </is>
      </c>
      <c r="G43" s="11" t="inlineStr">
        <is>
          <t>Wert</t>
        </is>
      </c>
      <c r="H43" s="29" t="n"/>
      <c r="I43" s="29"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28" t="inlineStr">
        <is>
          <t>WENN(wert=0;0;10+(wert-1)*grad)</t>
        </is>
      </c>
      <c r="P43" t="inlineStr">
        <is>
          <t>eig_bonus_g_ausstrahlung</t>
        </is>
      </c>
      <c r="Q43" t="inlineStr">
        <is>
          <t>Aus der Handfläche des Magiers schießt ein {M} cm dicker Strahl aus Magie. Treffer auf eine FK-TZ mit 1 TZ-Reroll. Schaden: 2W10 + {Magie} pro sec, zusätzliche Erschwerung der SB-Probe -6, wenn min. 1 SP erzielt wird.</t>
        </is>
      </c>
    </row>
    <row r="44" hidden="1" ht="15.75" customHeight="1" s="48">
      <c r="A44" s="29" t="inlineStr">
        <is>
          <t>#spruchmagie_magiebeschwoerung_7_grosses_statisches_feld</t>
        </is>
      </c>
      <c r="B44" s="11" t="inlineStr">
        <is>
          <t>Spruchmagie</t>
        </is>
      </c>
      <c r="C44" s="12" t="inlineStr">
        <is>
          <t>Großes statisches Feld</t>
        </is>
      </c>
      <c r="F44" t="inlineStr">
        <is>
          <t>Magiebeschwörung</t>
        </is>
      </c>
      <c r="G44" s="11" t="inlineStr">
        <is>
          <t>Wert</t>
        </is>
      </c>
      <c r="H44" s="29" t="n"/>
      <c r="I44" s="29"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28" t="inlineStr">
        <is>
          <t>WENN(wert=0;0;10+(wert-1)*grad)</t>
        </is>
      </c>
      <c r="P44" t="inlineStr">
        <is>
          <t>eig_bonus_g_ausstrahlung</t>
        </is>
      </c>
      <c r="Q44" t="inlineStr">
        <is>
          <t xml:space="preserve">Eine vom Magus ausgehende kugelförmige Explosion verursacht Elementarschaden. Es ist unmöglich, dem Schaden zu entgehen. Alle TZ werden getroffen. Schaden: W15 + {M}:2 SB-Proben um 42 erschwert. </t>
        </is>
      </c>
    </row>
    <row r="45" hidden="1" ht="15.75" customHeight="1" s="48">
      <c r="A45" s="29" t="inlineStr">
        <is>
          <t>#spruchmagie_wasserbeschwoerung_1_frostwand</t>
        </is>
      </c>
      <c r="B45" s="11" t="inlineStr">
        <is>
          <t>Spruchmagie</t>
        </is>
      </c>
      <c r="C45" s="18" t="inlineStr">
        <is>
          <t>Frostwand</t>
        </is>
      </c>
      <c r="E45" s="14" t="n"/>
      <c r="F45" s="14" t="inlineStr">
        <is>
          <t>Wasserbeschwörung</t>
        </is>
      </c>
      <c r="G45" s="11"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28"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idden="1" ht="15.75" customHeight="1" s="48">
      <c r="A46" s="29" t="inlineStr">
        <is>
          <t>#spruchmagie_wasserbeschwoerung_2_eisstrahl</t>
        </is>
      </c>
      <c r="B46" s="11" t="inlineStr">
        <is>
          <t>Spruchmagie</t>
        </is>
      </c>
      <c r="C46" s="18" t="inlineStr">
        <is>
          <t>Eisstrahl</t>
        </is>
      </c>
      <c r="E46" s="14" t="n"/>
      <c r="F46" s="14" t="inlineStr">
        <is>
          <t>Wasserbeschwörung</t>
        </is>
      </c>
      <c r="G46" s="11"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28"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idden="1" ht="15.75" customHeight="1" s="48">
      <c r="A47" s="29" t="inlineStr">
        <is>
          <t>#spruchmagie_wasserbeschwoerung_3_eisblitz</t>
        </is>
      </c>
      <c r="B47" s="11" t="inlineStr">
        <is>
          <t>Spruchmagie</t>
        </is>
      </c>
      <c r="C47" s="18" t="inlineStr">
        <is>
          <t>Eisblitz</t>
        </is>
      </c>
      <c r="E47" s="14" t="n"/>
      <c r="F47" s="14" t="inlineStr">
        <is>
          <t>Wasserbeschwörung</t>
        </is>
      </c>
      <c r="G47" s="11"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28"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idden="1" ht="15.75" customHeight="1" s="48">
      <c r="A48" s="29" t="inlineStr">
        <is>
          <t>#spruchmagie_wasserbeschwoerung_4_grosse_frostwand</t>
        </is>
      </c>
      <c r="B48" s="11" t="inlineStr">
        <is>
          <t>Spruchmagie</t>
        </is>
      </c>
      <c r="C48" s="18" t="inlineStr">
        <is>
          <t>Große Frostwand</t>
        </is>
      </c>
      <c r="E48" s="14" t="n"/>
      <c r="F48" s="14" t="inlineStr">
        <is>
          <t>Wasserbeschwörung</t>
        </is>
      </c>
      <c r="G48" s="11"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28"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idden="1" ht="15.75" customHeight="1" s="48">
      <c r="A49" s="29" t="inlineStr">
        <is>
          <t>#spruchmagie_wasserbeschwoerung_5_blizzard</t>
        </is>
      </c>
      <c r="B49" s="11" t="inlineStr">
        <is>
          <t>Spruchmagie</t>
        </is>
      </c>
      <c r="C49" s="18" t="inlineStr">
        <is>
          <t>Blizzard</t>
        </is>
      </c>
      <c r="E49" s="14" t="n"/>
      <c r="F49" s="14" t="inlineStr">
        <is>
          <t>Wasserbeschwörung</t>
        </is>
      </c>
      <c r="G49" s="11"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28"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idden="1" ht="15.75" customHeight="1" s="48">
      <c r="A50" s="29" t="inlineStr">
        <is>
          <t>#spruchmagie_wasserbeschwoerung_5_grosse_eisaura</t>
        </is>
      </c>
      <c r="B50" s="11" t="inlineStr">
        <is>
          <t>Spruchmagie</t>
        </is>
      </c>
      <c r="C50" s="18" t="inlineStr">
        <is>
          <t>Große Eisaura</t>
        </is>
      </c>
      <c r="E50" s="14" t="n"/>
      <c r="F50" s="14" t="inlineStr">
        <is>
          <t>Wasserbeschwörung</t>
        </is>
      </c>
      <c r="G50" s="11"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28"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idden="1" ht="15.75" customHeight="1" s="48">
      <c r="A51" s="29" t="inlineStr">
        <is>
          <t>#spruchmagie_wasserbeschwoerung_5_grosser_frostbolzen</t>
        </is>
      </c>
      <c r="B51" s="11" t="inlineStr">
        <is>
          <t>Spruchmagie</t>
        </is>
      </c>
      <c r="C51" s="18" t="inlineStr">
        <is>
          <t>Großer Frostbolzen</t>
        </is>
      </c>
      <c r="E51" s="14" t="n"/>
      <c r="F51" s="14" t="inlineStr">
        <is>
          <t>Wasserbeschwörung</t>
        </is>
      </c>
      <c r="G51" s="11"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28"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idden="1" ht="15.75" customHeight="1" s="48">
      <c r="A52" s="29" t="inlineStr">
        <is>
          <t>#spruchmagie_wasserbeschwoerung_6_grosser_eisblitz</t>
        </is>
      </c>
      <c r="B52" s="11" t="inlineStr">
        <is>
          <t>Spruchmagie</t>
        </is>
      </c>
      <c r="C52" s="18" t="inlineStr">
        <is>
          <t>Großer Eisblitz</t>
        </is>
      </c>
      <c r="E52" s="14" t="n"/>
      <c r="F52" s="14" t="inlineStr">
        <is>
          <t>Wasserbeschwörung</t>
        </is>
      </c>
      <c r="G52" s="11"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28"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idden="1" ht="15.75" customHeight="1" s="48">
      <c r="A53" s="29" t="inlineStr">
        <is>
          <t>#spruchmagie_wasserbeschwoerung_6_grosser_eisstrahl</t>
        </is>
      </c>
      <c r="B53" s="11" t="inlineStr">
        <is>
          <t>Spruchmagie</t>
        </is>
      </c>
      <c r="C53" s="18" t="inlineStr">
        <is>
          <t>Großer Eisstrahl</t>
        </is>
      </c>
      <c r="E53" s="14" t="n"/>
      <c r="F53" s="14" t="inlineStr">
        <is>
          <t>Wasserbeschwörung</t>
        </is>
      </c>
      <c r="G53" s="11"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28"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idden="1" ht="15.75" customHeight="1" s="48">
      <c r="A54" s="29" t="inlineStr">
        <is>
          <t>#spruchmagie_wasserbeschwoerung_7_grosser_blizzard</t>
        </is>
      </c>
      <c r="B54" s="11" t="inlineStr">
        <is>
          <t>Spruchmagie</t>
        </is>
      </c>
      <c r="C54" s="18" t="inlineStr">
        <is>
          <t>Großer Blizzard</t>
        </is>
      </c>
      <c r="E54" s="14" t="n"/>
      <c r="F54" s="14" t="inlineStr">
        <is>
          <t>Wasserbeschwörung</t>
        </is>
      </c>
      <c r="G54" s="11"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28"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idden="1" ht="15.75" customHeight="1" s="48">
      <c r="A55" s="29" t="inlineStr">
        <is>
          <t>#spruchmagie_erdbeschwoerung_2_splitter_aura</t>
        </is>
      </c>
      <c r="B55" s="11" t="inlineStr">
        <is>
          <t>Spruchmagie</t>
        </is>
      </c>
      <c r="C55" s="12" t="inlineStr">
        <is>
          <t>Splitter-Aura</t>
        </is>
      </c>
      <c r="F55" t="inlineStr">
        <is>
          <t>Erdbeschwörung</t>
        </is>
      </c>
      <c r="G55" s="11"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28"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idden="1" ht="15.75" customHeight="1" s="48">
      <c r="A56" s="29" t="inlineStr">
        <is>
          <t>#spruchmagie_erdbeschwoerung_3_erd_klinge</t>
        </is>
      </c>
      <c r="B56" s="11" t="inlineStr">
        <is>
          <t>Spruchmagie</t>
        </is>
      </c>
      <c r="C56" s="12" t="inlineStr">
        <is>
          <t>Erd-Klinge</t>
        </is>
      </c>
      <c r="F56" t="inlineStr">
        <is>
          <t>Erdbeschwörung</t>
        </is>
      </c>
      <c r="G56" s="11"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28"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idden="1" ht="15.75" customHeight="1" s="48">
      <c r="A57" s="29" t="inlineStr">
        <is>
          <t>#spruchmagie_erdbeschwoerung_3_splitter_pfeil</t>
        </is>
      </c>
      <c r="B57" s="11" t="inlineStr">
        <is>
          <t>Spruchmagie</t>
        </is>
      </c>
      <c r="C57" s="12" t="inlineStr">
        <is>
          <t>Splitter-Pfeil</t>
        </is>
      </c>
      <c r="F57" t="inlineStr">
        <is>
          <t>Erdbeschwörung</t>
        </is>
      </c>
      <c r="G57" s="11"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28"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idden="1" ht="15.75" customHeight="1" s="48">
      <c r="A58" s="29" t="inlineStr">
        <is>
          <t>#spruchmagie_erdbeschwoerung_7_grosse_steinschuss_salve</t>
        </is>
      </c>
      <c r="B58" s="11" t="inlineStr">
        <is>
          <t>Spruchmagie</t>
        </is>
      </c>
      <c r="C58" s="12" t="inlineStr">
        <is>
          <t>Große Steinschuss-Salve</t>
        </is>
      </c>
      <c r="F58" t="inlineStr">
        <is>
          <t>Erdbeschwörung</t>
        </is>
      </c>
      <c r="G58" s="11"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28" t="inlineStr">
        <is>
          <t>WENN(wert=0;0;10+(wert-1)*grad)</t>
        </is>
      </c>
      <c r="P58" t="inlineStr">
        <is>
          <t>eig_bonus_k_staerke</t>
        </is>
      </c>
      <c r="Q58" t="inlineStr">
        <is>
          <t xml:space="preserve">Der Magus erschafft {Magie} : 2 Bolzen aus Erde. Jeweils Treffer auf FK-TZ. Schaden: 2W10 + {Magie}; RB: 6 + {M}:2 </t>
        </is>
      </c>
    </row>
    <row r="59" hidden="1" ht="15.75" customHeight="1" s="48">
      <c r="A59" s="29" t="inlineStr">
        <is>
          <t>#spruchmagie_feuerbeschwoerung_3_feuer_klinge</t>
        </is>
      </c>
      <c r="B59" s="11" t="inlineStr">
        <is>
          <t>Spruchmagie</t>
        </is>
      </c>
      <c r="C59" s="12" t="inlineStr">
        <is>
          <t>Feuer-Klinge</t>
        </is>
      </c>
      <c r="F59" t="inlineStr">
        <is>
          <t>Feuerbeschwörung</t>
        </is>
      </c>
      <c r="G59" s="11"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28"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idden="1" ht="15.75" customHeight="1" s="48">
      <c r="A60" s="29" t="inlineStr">
        <is>
          <t>#spruchmagie_feuerbeschwoerung_3_flammen_pfeil</t>
        </is>
      </c>
      <c r="B60" s="11" t="inlineStr">
        <is>
          <t>Spruchmagie</t>
        </is>
      </c>
      <c r="C60" s="12" t="inlineStr">
        <is>
          <t>Flammen-Pfeil</t>
        </is>
      </c>
      <c r="F60" t="inlineStr">
        <is>
          <t>Feuerbeschwörung</t>
        </is>
      </c>
      <c r="G60" s="11"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28"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idden="1" ht="15.75" customHeight="1" s="48">
      <c r="A61" s="29" t="inlineStr">
        <is>
          <t>#spruchmagie_feuerbeschwoerung_7_grosse_feuerpfeil_salve</t>
        </is>
      </c>
      <c r="B61" s="11" t="inlineStr">
        <is>
          <t>Spruchmagie</t>
        </is>
      </c>
      <c r="C61" s="12" t="inlineStr">
        <is>
          <t>Große Feuerpfeil-Salve</t>
        </is>
      </c>
      <c r="F61" t="inlineStr">
        <is>
          <t>Feuerbeschwörung</t>
        </is>
      </c>
      <c r="G61" s="11"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28" t="inlineStr">
        <is>
          <t>WENN(wert=0;0;10+(wert-1)*grad)</t>
        </is>
      </c>
      <c r="P61" t="inlineStr">
        <is>
          <t>eig_bonus_g_mut</t>
        </is>
      </c>
      <c r="Q61" t="inlineStr">
        <is>
          <t xml:space="preserve">Der Magus erschafft {Magie} : 2 Bolzen aus Feuer. Jeweils Treffer auf FK-TZ. Schaden: 2W12 + {Magie}; RB: {M}:2 </t>
        </is>
      </c>
    </row>
    <row r="62" hidden="1" ht="15.75" customHeight="1" s="48">
      <c r="A62" s="29" t="inlineStr">
        <is>
          <t>#spruchmagie_luftbeschwoerung_3_luft_klinge</t>
        </is>
      </c>
      <c r="B62" s="11" t="inlineStr">
        <is>
          <t>Spruchmagie</t>
        </is>
      </c>
      <c r="C62" s="12" t="inlineStr">
        <is>
          <t>Luft-Klinge</t>
        </is>
      </c>
      <c r="F62" t="inlineStr">
        <is>
          <t>Luftbeschwörung</t>
        </is>
      </c>
      <c r="G62" s="11"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28"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idden="1" ht="15.75" customHeight="1" s="48">
      <c r="A63" s="29" t="inlineStr">
        <is>
          <t>#spruchmagie_luftbeschwoerung_3_sturm_pfeil</t>
        </is>
      </c>
      <c r="B63" s="11" t="inlineStr">
        <is>
          <t>Spruchmagie</t>
        </is>
      </c>
      <c r="C63" s="12" t="inlineStr">
        <is>
          <t>Sturm-Pfeil</t>
        </is>
      </c>
      <c r="F63" t="inlineStr">
        <is>
          <t>Luftbeschwörung</t>
        </is>
      </c>
      <c r="G63" s="11"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28"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idden="1" ht="15.75" customHeight="1" s="48">
      <c r="A64" s="29" t="inlineStr">
        <is>
          <t>#spruchmagie_luftbeschwoerung_7_grosse_sturmpfeil_salve</t>
        </is>
      </c>
      <c r="B64" s="11" t="inlineStr">
        <is>
          <t>Spruchmagie</t>
        </is>
      </c>
      <c r="C64" s="12" t="inlineStr">
        <is>
          <t>Große Sturmpfeil-Salve</t>
        </is>
      </c>
      <c r="F64" t="inlineStr">
        <is>
          <t>Luftbeschwörung</t>
        </is>
      </c>
      <c r="G64" s="11"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28" t="inlineStr">
        <is>
          <t>WENN(wert=0;0;10+(wert-1)*grad)</t>
        </is>
      </c>
      <c r="P64" t="inlineStr">
        <is>
          <t>eig_bonus_k_schnelligkeit</t>
        </is>
      </c>
      <c r="Q64" t="inlineStr">
        <is>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is>
      </c>
    </row>
    <row r="65" hidden="1" ht="15.75" customHeight="1" s="48">
      <c r="A65" s="29" t="inlineStr">
        <is>
          <t>#spruchmagie_magiebeschwoerung_3_blitz_klinge</t>
        </is>
      </c>
      <c r="B65" s="11" t="inlineStr">
        <is>
          <t>Spruchmagie</t>
        </is>
      </c>
      <c r="C65" s="12" t="inlineStr">
        <is>
          <t>Blitz-Klinge</t>
        </is>
      </c>
      <c r="F65" t="inlineStr">
        <is>
          <t>Magiebeschwörung</t>
        </is>
      </c>
      <c r="G65" s="11"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28" t="inlineStr">
        <is>
          <t>WENN(wert=0;0;10+(wert-1)*grad)</t>
        </is>
      </c>
      <c r="P65" t="inlineStr">
        <is>
          <t>eig_bonus_g_ausstrahlung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idden="1" ht="15.75" customHeight="1" s="48">
      <c r="A66" s="29" t="inlineStr">
        <is>
          <t>#spruchmagie_magiebeschwoerung_3_schock_pfeil</t>
        </is>
      </c>
      <c r="B66" s="11" t="inlineStr">
        <is>
          <t>Spruchmagie</t>
        </is>
      </c>
      <c r="C66" s="12" t="inlineStr">
        <is>
          <t>Schock-Pfeil</t>
        </is>
      </c>
      <c r="F66" t="inlineStr">
        <is>
          <t>Magiebeschwörung</t>
        </is>
      </c>
      <c r="G66" s="11"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28" t="inlineStr">
        <is>
          <t>WENN(wert=0;0;10+(wert-1)*grad)</t>
        </is>
      </c>
      <c r="P66" t="inlineStr">
        <is>
          <t>eig_bonus_g_ausstrahlung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idden="1" ht="15.75" customHeight="1" s="48">
      <c r="A67" s="29" t="inlineStr">
        <is>
          <t>#spruchmagie_magiebeschwoerung_7_grosse_magische_geschoss_salve</t>
        </is>
      </c>
      <c r="B67" s="11" t="inlineStr">
        <is>
          <t>Spruchmagie</t>
        </is>
      </c>
      <c r="C67" s="12" t="inlineStr">
        <is>
          <t>Große Magische Geschoss-Salve</t>
        </is>
      </c>
      <c r="F67" t="inlineStr">
        <is>
          <t>Magiebeschwörung</t>
        </is>
      </c>
      <c r="G67" s="11"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28" t="inlineStr">
        <is>
          <t>WENN(wert=0;0;10+(wert-1)*grad)</t>
        </is>
      </c>
      <c r="P67" t="inlineStr">
        <is>
          <t>eig_bonus_g_ausstrahlung</t>
        </is>
      </c>
      <c r="Q67" t="inlineStr">
        <is>
          <t>Der Magus erschafft {Magie} : 2 Bolzen aus Magie. Jeweils Treffer auf FK-TZ. Schaden: 2W10 + {Magie}, RB {M}:2, zusätzliche Erschwerung der SB-Probe -6, wenn min. 1 SP erzielt wird.</t>
        </is>
      </c>
    </row>
    <row r="68" hidden="1" ht="15.75" customHeight="1" s="48">
      <c r="A68" s="29" t="inlineStr">
        <is>
          <t>#spruchmagie_wasserbeschwoerung_2_eis_aura</t>
        </is>
      </c>
      <c r="B68" s="11" t="inlineStr">
        <is>
          <t>Spruchmagie</t>
        </is>
      </c>
      <c r="C68" s="18" t="inlineStr">
        <is>
          <t>Eis-Aura</t>
        </is>
      </c>
      <c r="E68" s="14" t="n"/>
      <c r="F68" s="14" t="inlineStr">
        <is>
          <t>Wasserbeschwörung</t>
        </is>
      </c>
      <c r="G68" s="11"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28"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idden="1" ht="15.75" customHeight="1" s="48">
      <c r="A69" s="29" t="inlineStr">
        <is>
          <t>#spruchmagie_wasserbeschwoerung_3_frost_klinge</t>
        </is>
      </c>
      <c r="B69" s="11" t="inlineStr">
        <is>
          <t>Spruchmagie</t>
        </is>
      </c>
      <c r="C69" s="18" t="inlineStr">
        <is>
          <t>Frost-Klinge</t>
        </is>
      </c>
      <c r="E69" s="14" t="n"/>
      <c r="F69" s="14" t="inlineStr">
        <is>
          <t>Wasserbeschwörung</t>
        </is>
      </c>
      <c r="G69" s="11"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28"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idden="1" ht="15.75" customHeight="1" s="48">
      <c r="A70" s="29" t="inlineStr">
        <is>
          <t>#spruchmagie_wasserbeschwoerung_3_frost_pfeil</t>
        </is>
      </c>
      <c r="B70" s="11" t="inlineStr">
        <is>
          <t>Spruchmagie</t>
        </is>
      </c>
      <c r="C70" s="18" t="inlineStr">
        <is>
          <t>Frost-Pfeil</t>
        </is>
      </c>
      <c r="E70" s="14" t="n"/>
      <c r="F70" s="14" t="inlineStr">
        <is>
          <t>Wasserbeschwörung</t>
        </is>
      </c>
      <c r="G70" s="11"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28"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idden="1" ht="15.75" customHeight="1" s="48">
      <c r="A71" s="29" t="inlineStr">
        <is>
          <t>#spruchmagie_wasserbeschwoerung_7_grosse_frostbolzen_salve</t>
        </is>
      </c>
      <c r="B71" s="11" t="inlineStr">
        <is>
          <t>Spruchmagie</t>
        </is>
      </c>
      <c r="C71" s="18" t="inlineStr">
        <is>
          <t>Große Frostbolzen-Salve</t>
        </is>
      </c>
      <c r="E71" s="14" t="n"/>
      <c r="F71" s="14" t="inlineStr">
        <is>
          <t>Wasserbeschwörung</t>
        </is>
      </c>
      <c r="G71" s="11"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28" t="inlineStr">
        <is>
          <t>WENN(wert=0;0;10+(wert-1)*grad)</t>
        </is>
      </c>
      <c r="P71" t="inlineStr">
        <is>
          <t>eig_bonus_k_athletik</t>
        </is>
      </c>
      <c r="Q71" t="inlineStr">
        <is>
          <t>Der Magus erschafft {Magie} : 2 Bolzen aus Wasser. Jeweils Treffer auf FK-TZ. Schaden: 2W10 + {Magie}; RB: {M}:2. Pro 5 TP erleidet das Opfer zusätzliche BE 1, nur die höchste so erzielte BE zählt.</t>
        </is>
      </c>
    </row>
    <row r="72" hidden="1" ht="15.75" customHeight="1" s="48">
      <c r="A72" s="29" t="inlineStr">
        <is>
          <t>ep_abenteuer</t>
        </is>
      </c>
      <c r="B72" s="11" t="inlineStr">
        <is>
          <t>Charakterwerte</t>
        </is>
      </c>
      <c r="C72" s="7" t="inlineStr">
        <is>
          <t>EP zum Abenteuerende</t>
        </is>
      </c>
      <c r="E72" s="10" t="inlineStr">
        <is>
          <t>S.1</t>
        </is>
      </c>
      <c r="F72" s="10" t="n"/>
      <c r="G72" s="10" t="inlineStr">
        <is>
          <t>Formel</t>
        </is>
      </c>
      <c r="H72" s="11" t="inlineStr">
        <is>
          <t>ep_gesamt-ep_start</t>
        </is>
      </c>
    </row>
    <row r="73" hidden="1" ht="15.75" customHeight="1" s="48">
      <c r="A73" s="29" t="inlineStr">
        <is>
          <t>le_leberschutz</t>
        </is>
      </c>
      <c r="B73" s="11" t="inlineStr">
        <is>
          <t>Kampf</t>
        </is>
      </c>
      <c r="C73" s="12" t="inlineStr">
        <is>
          <t>Leberschutz</t>
        </is>
      </c>
      <c r="E73" s="11" t="inlineStr">
        <is>
          <t>S.3</t>
        </is>
      </c>
      <c r="G73" s="11" t="inlineStr">
        <is>
          <t>Pool</t>
        </is>
      </c>
    </row>
    <row r="74" hidden="1" ht="15.75" customHeight="1" s="48">
      <c r="A74" s="29" t="inlineStr">
        <is>
          <t>ep_gesamt</t>
        </is>
      </c>
      <c r="B74" s="11" t="inlineStr">
        <is>
          <t>Charakterwerte</t>
        </is>
      </c>
      <c r="C74" s="6" t="inlineStr">
        <is>
          <t>Gesamte Erfahrungspunke</t>
        </is>
      </c>
      <c r="E74" s="10" t="inlineStr">
        <is>
          <t>S.1</t>
        </is>
      </c>
      <c r="G74" s="11" t="inlineStr">
        <is>
          <t>Wert</t>
        </is>
      </c>
    </row>
    <row r="75" hidden="1" ht="15.75" customHeight="1" s="48">
      <c r="A75" s="29" t="inlineStr">
        <is>
          <t>ep_start</t>
        </is>
      </c>
      <c r="B75" s="11" t="inlineStr">
        <is>
          <t>Charakterwerte</t>
        </is>
      </c>
      <c r="C75" s="7" t="inlineStr">
        <is>
          <t>EP bei Abenteuerbeginn</t>
        </is>
      </c>
      <c r="E75" s="10" t="inlineStr">
        <is>
          <t>S.1</t>
        </is>
      </c>
      <c r="F75" s="10" t="n"/>
      <c r="G75" s="10" t="inlineStr">
        <is>
          <t>Wert</t>
        </is>
      </c>
    </row>
    <row r="76" hidden="1" ht="15.75" customHeight="1" s="48">
      <c r="A76" s="29" t="inlineStr">
        <is>
          <t>bewegung_f_schnell_schwimmen</t>
        </is>
      </c>
      <c r="B76" s="11" t="inlineStr">
        <is>
          <t>Bewegung</t>
        </is>
      </c>
      <c r="C76" s="12" t="inlineStr">
        <is>
          <t>Schnell Schwimmen</t>
        </is>
      </c>
      <c r="E76" s="11" t="inlineStr">
        <is>
          <t>Meisterscreen S.3</t>
        </is>
      </c>
      <c r="G76" s="11" t="inlineStr">
        <is>
          <t>Formel</t>
        </is>
      </c>
      <c r="H76" s="11" t="inlineStr">
        <is>
          <t>(eig_k_konstitution+eig_k_athletik+gr_schwimmen)/30</t>
        </is>
      </c>
    </row>
    <row r="77" hidden="1" ht="15.75" customHeight="1" s="48">
      <c r="A77" s="29" t="inlineStr">
        <is>
          <t>bewegung_f_sprinten</t>
        </is>
      </c>
      <c r="B77" s="11" t="inlineStr">
        <is>
          <t>Bewegung</t>
        </is>
      </c>
      <c r="C77" s="12" t="inlineStr">
        <is>
          <t>Sprinten</t>
        </is>
      </c>
      <c r="E77" s="11" t="inlineStr">
        <is>
          <t>Meisterscreen S.3</t>
        </is>
      </c>
      <c r="G77" s="11" t="inlineStr">
        <is>
          <t>Formel</t>
        </is>
      </c>
      <c r="H77" s="11" t="inlineStr">
        <is>
          <t>(eig_k_athletik+eig_k_schnelligkeit+gr_laufen)/7+4</t>
        </is>
      </c>
    </row>
    <row r="78" hidden="1" ht="15.75" customHeight="1" s="48">
      <c r="A78" s="29" t="inlineStr">
        <is>
          <t>#spruchmagie_beherrschung_4_einschlaefern</t>
        </is>
      </c>
      <c r="B78" s="11" t="inlineStr">
        <is>
          <t>Spruchmagie</t>
        </is>
      </c>
      <c r="C78" s="12" t="inlineStr">
        <is>
          <t>Einschläfern</t>
        </is>
      </c>
      <c r="F78" t="inlineStr">
        <is>
          <t>Beherrschung</t>
        </is>
      </c>
      <c r="G78" s="11" t="inlineStr">
        <is>
          <t>Wert</t>
        </is>
      </c>
      <c r="K78" t="n">
        <v>4</v>
      </c>
      <c r="L78" s="28" t="inlineStr">
        <is>
          <t>WENN(wert=0;0;10+(wert-1)*grad)</t>
        </is>
      </c>
      <c r="P78" t="inlineStr">
        <is>
          <t>eig_bonus_g_ausstrahlung</t>
        </is>
      </c>
      <c r="Q7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79" hidden="1" ht="15.75" customHeight="1" s="48">
      <c r="A79" s="29" t="inlineStr">
        <is>
          <t>#spruchmagie_beherrschung_7_maechtige_f_daemonen_herrschaft</t>
        </is>
      </c>
      <c r="B79" s="11" t="inlineStr">
        <is>
          <t>Spruchmagie</t>
        </is>
      </c>
      <c r="C79" s="12" t="inlineStr">
        <is>
          <t>Mächtige f.Dämonen Herrschaft</t>
        </is>
      </c>
      <c r="F79" t="inlineStr">
        <is>
          <t>Beherrschung</t>
        </is>
      </c>
      <c r="G79" s="11" t="inlineStr">
        <is>
          <t>Wert</t>
        </is>
      </c>
      <c r="K79" t="n">
        <v>7</v>
      </c>
      <c r="L79" s="28" t="inlineStr">
        <is>
          <t>WENN(wert=0;0;10+(wert-1)*grad)</t>
        </is>
      </c>
      <c r="P79" t="inlineStr">
        <is>
          <t>eig_bonus_g_ausstrahlung</t>
        </is>
      </c>
      <c r="Q79"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0" hidden="1" ht="15.75" customHeight="1" s="48">
      <c r="A80" s="29" t="inlineStr">
        <is>
          <t>#spruchmagie_beherrschung_5_massen_besaenftigung</t>
        </is>
      </c>
      <c r="B80" s="11" t="inlineStr">
        <is>
          <t>Spruchmagie</t>
        </is>
      </c>
      <c r="C80" s="12" t="inlineStr">
        <is>
          <t>Massen Besänftigung</t>
        </is>
      </c>
      <c r="F80" t="inlineStr">
        <is>
          <t>Beherrschung</t>
        </is>
      </c>
      <c r="G80" s="11" t="inlineStr">
        <is>
          <t>Wert</t>
        </is>
      </c>
      <c r="K80" t="n">
        <v>5</v>
      </c>
      <c r="L80" s="28" t="inlineStr">
        <is>
          <t>WENN(wert=0;0;10+(wert-1)*grad)</t>
        </is>
      </c>
      <c r="P80" t="inlineStr">
        <is>
          <t>eig_bonus_g_ausstrahlung</t>
        </is>
      </c>
      <c r="Q8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81" hidden="1" ht="15.75" customHeight="1" s="48">
      <c r="A81" s="29" t="inlineStr">
        <is>
          <t>#spruchmagie_beherrschung_3_schmerzt_unterdruecken</t>
        </is>
      </c>
      <c r="B81" s="11" t="inlineStr">
        <is>
          <t>Spruchmagie</t>
        </is>
      </c>
      <c r="C81" s="12" t="inlineStr">
        <is>
          <t>Schmerzt unterdrücken</t>
        </is>
      </c>
      <c r="F81" t="inlineStr">
        <is>
          <t>Beherrschung</t>
        </is>
      </c>
      <c r="G81" s="11" t="inlineStr">
        <is>
          <t>Wert</t>
        </is>
      </c>
      <c r="K81" t="n">
        <v>3</v>
      </c>
      <c r="L81" s="28" t="inlineStr">
        <is>
          <t>WENN(wert=0;0;10+(wert-1)*grad)</t>
        </is>
      </c>
      <c r="P81" t="inlineStr">
        <is>
          <t>eig_bonus_g_willenskraft</t>
        </is>
      </c>
      <c r="Q81"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82" hidden="1" ht="15.75" customHeight="1" s="48">
      <c r="A82" s="29" t="inlineStr">
        <is>
          <t>#spruchmagie_beherrschung_2_zoegern</t>
        </is>
      </c>
      <c r="B82" s="11" t="inlineStr">
        <is>
          <t>Spruchmagie</t>
        </is>
      </c>
      <c r="C82" s="12" t="inlineStr">
        <is>
          <t>Zögern</t>
        </is>
      </c>
      <c r="F82" t="inlineStr">
        <is>
          <t>Beherrschung</t>
        </is>
      </c>
      <c r="G82" s="11" t="inlineStr">
        <is>
          <t>Wert</t>
        </is>
      </c>
      <c r="K82" t="n">
        <v>2</v>
      </c>
      <c r="L82" s="28" t="inlineStr">
        <is>
          <t>WENN(wert=0;0;10+(wert-1)*grad)</t>
        </is>
      </c>
      <c r="P82" t="inlineStr">
        <is>
          <t>eig_bonus_g_intelligenz</t>
        </is>
      </c>
      <c r="Q82"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83" hidden="1" ht="15.75" customHeight="1" s="48">
      <c r="A83" t="inlineStr">
        <is>
          <t>vn_angst_magie_10</t>
        </is>
      </c>
      <c r="B83" t="inlineStr">
        <is>
          <t>Vor- und Nachteile</t>
        </is>
      </c>
      <c r="C83" t="inlineStr">
        <is>
          <t>Nervosität: Magie</t>
        </is>
      </c>
      <c r="E83" t="inlineStr">
        <is>
          <t>Auswahlgruppe angst_magie; maximal 1 Stufe; Angstwert 10; direkte Konfrontation: bei jeder erneuten direkten Konfrontation; bloße Gegenwart: BE -1.</t>
        </is>
      </c>
      <c r="F83" t="inlineStr">
        <is>
          <t>Angst: Magie</t>
        </is>
      </c>
      <c r="G83" t="inlineStr">
        <is>
          <t>Auswahl</t>
        </is>
      </c>
      <c r="J83" t="inlineStr">
        <is>
          <t>EP-Rate für 'magie' aus NN NPC-Rechner 0.75, Sheet 'NPC-Rechner' Formel '=AOxx*-10' (Zeile 52ff). Kosten = Stufenwert(10) * Rate(-10). | EXKLUSIV_ANGST=angst_magie | ANGST_INTERVALL=NEUE_KONFRONTATION | ANGST_DIREKTE_KONFRONTATION=1 | ANGST_BE=-1</t>
        </is>
      </c>
      <c r="K83" t="n">
        <v>10</v>
      </c>
      <c r="L83" s="28" t="n">
        <v>-100</v>
      </c>
      <c r="M83" t="inlineStr">
        <is>
          <t>S</t>
        </is>
      </c>
      <c r="Q83" t="inlineStr">
        <is>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is>
      </c>
    </row>
    <row r="84" hidden="1" ht="15.75" customHeight="1" s="48">
      <c r="A84" t="inlineStr">
        <is>
          <t>vn_angst_magie_15</t>
        </is>
      </c>
      <c r="B84" t="inlineStr">
        <is>
          <t>Vor- und Nachteile</t>
        </is>
      </c>
      <c r="C84" t="inlineStr">
        <is>
          <t>Furcht: Magie</t>
        </is>
      </c>
      <c r="E84" t="inlineStr">
        <is>
          <t>Auswahlgruppe angst_magie; maximal 1 Stufe; Angstwert 15; direkte Konfrontation: sofort, danach alle 10 KR; bloße Gegenwart: BE -2.</t>
        </is>
      </c>
      <c r="F84" t="inlineStr">
        <is>
          <t>Angst: Magie</t>
        </is>
      </c>
      <c r="G84" t="inlineStr">
        <is>
          <t>Auswahl</t>
        </is>
      </c>
      <c r="J84" t="inlineStr">
        <is>
          <t>EP-Rate für 'magie' aus NN NPC-Rechner 0.75, Sheet 'NPC-Rechner' Formel '=AOxx*-10' (Zeile 52ff). Kosten = Stufenwert(15) * Rate(-10). | EXKLUSIV_ANGST=angst_magie | ANGST_INTERVALL=10_KR | ANGST_DIREKTE_KONFRONTATION=1 | ANGST_BE=-2</t>
        </is>
      </c>
      <c r="K84" t="n">
        <v>15</v>
      </c>
      <c r="L84" s="28" t="n">
        <v>-150</v>
      </c>
      <c r="M84" t="inlineStr">
        <is>
          <t>S</t>
        </is>
      </c>
      <c r="Q84" t="inlineStr">
        <is>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is>
      </c>
    </row>
    <row r="85" hidden="1" ht="15.75" customHeight="1" s="48">
      <c r="A85" t="inlineStr">
        <is>
          <t>vn_angst_magie_20</t>
        </is>
      </c>
      <c r="B85" t="inlineStr">
        <is>
          <t>Vor- und Nachteile</t>
        </is>
      </c>
      <c r="C85" t="inlineStr">
        <is>
          <t>Angst: Magie</t>
        </is>
      </c>
      <c r="E85" t="inlineStr">
        <is>
          <t>Auswahlgruppe angst_magie; maximal 1 Stufe; Angstwert 20; direkte Konfrontation: sofort, danach alle 5 KR; bloße Gegenwart: BE -3.</t>
        </is>
      </c>
      <c r="F85" t="inlineStr">
        <is>
          <t>Angst: Magie</t>
        </is>
      </c>
      <c r="G85" t="inlineStr">
        <is>
          <t>Auswahl</t>
        </is>
      </c>
      <c r="J85" t="inlineStr">
        <is>
          <t>EP-Rate für 'magie' aus NN NPC-Rechner 0.75, Sheet 'NPC-Rechner' Formel '=AOxx*-10' (Zeile 52ff). Kosten = Stufenwert(20) * Rate(-10). | EXKLUSIV_ANGST=angst_magie | ANGST_INTERVALL=5_KR | ANGST_DIREKTE_KONFRONTATION=1 | ANGST_BE=-3</t>
        </is>
      </c>
      <c r="K85" t="n">
        <v>20</v>
      </c>
      <c r="L85" s="28" t="n">
        <v>-200</v>
      </c>
      <c r="M85" t="inlineStr">
        <is>
          <t>S</t>
        </is>
      </c>
      <c r="Q85" t="inlineStr">
        <is>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is>
      </c>
    </row>
    <row r="86" hidden="1" ht="15.75" customHeight="1" s="48">
      <c r="A86" t="inlineStr">
        <is>
          <t>vn_angst_magie_30</t>
        </is>
      </c>
      <c r="B86" t="inlineStr">
        <is>
          <t>Vor- und Nachteile</t>
        </is>
      </c>
      <c r="C86" t="inlineStr">
        <is>
          <t>Phobie: Magie</t>
        </is>
      </c>
      <c r="E86" t="inlineStr">
        <is>
          <t>Auswahlgruppe angst_magie; maximal 1 Stufe; Angstwert 30; direkte Konfrontation: sofort, danach jede KR; bloße Gegenwart: BE -5.</t>
        </is>
      </c>
      <c r="F86" t="inlineStr">
        <is>
          <t>Angst: Magie</t>
        </is>
      </c>
      <c r="G86" t="inlineStr">
        <is>
          <t>Auswahl</t>
        </is>
      </c>
      <c r="J86" t="inlineStr">
        <is>
          <t>EP-Rate für 'magie' aus NN NPC-Rechner 0.75, Sheet 'NPC-Rechner' Formel '=AOxx*-10' (Zeile 52ff). Kosten = Stufenwert(30) * Rate(-10). | EXKLUSIV_ANGST=angst_magie | ANGST_INTERVALL=1_KR | ANGST_DIREKTE_KONFRONTATION=1 | ANGST_BE=-5</t>
        </is>
      </c>
      <c r="K86" t="n">
        <v>30</v>
      </c>
      <c r="L86" s="28" t="n">
        <v>-300</v>
      </c>
      <c r="M86" t="inlineStr">
        <is>
          <t>S</t>
        </is>
      </c>
      <c r="Q86" t="inlineStr">
        <is>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is>
      </c>
    </row>
    <row r="87" hidden="1" ht="15.75" customHeight="1" s="48">
      <c r="A87" t="inlineStr">
        <is>
          <t>vn_angst_magie_5</t>
        </is>
      </c>
      <c r="B87" t="inlineStr">
        <is>
          <t>Vor- und Nachteile</t>
        </is>
      </c>
      <c r="C87" t="inlineStr">
        <is>
          <t>Unbehagen: Magie</t>
        </is>
      </c>
      <c r="E87" t="inlineStr">
        <is>
          <t>Auswahlgruppe angst_magie; maximal 1 Stufe; Angstwert 5; direkte Konfrontation: einmal pro Situation; bloße Gegenwart: BE 0.</t>
        </is>
      </c>
      <c r="F87" t="inlineStr">
        <is>
          <t>Angst: Magie</t>
        </is>
      </c>
      <c r="G87" t="inlineStr">
        <is>
          <t>Auswahl</t>
        </is>
      </c>
      <c r="J87" t="inlineStr">
        <is>
          <t>EP-Rate für 'magie' aus NN NPC-Rechner 0.75, Sheet 'NPC-Rechner' Formel '=AOxx*-10' (Zeile 52ff). Kosten = Stufenwert(5) * Rate(-10). | EXKLUSIV_ANGST=angst_magie | ANGST_INTERVALL=SITUATION | ANGST_DIREKTE_KONFRONTATION=1 | ANGST_BE=0</t>
        </is>
      </c>
      <c r="K87" t="n">
        <v>5</v>
      </c>
      <c r="L87" s="28" t="n">
        <v>-50</v>
      </c>
      <c r="M87" t="inlineStr">
        <is>
          <t>S</t>
        </is>
      </c>
      <c r="Q87" t="inlineStr">
        <is>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is>
      </c>
    </row>
    <row r="88" hidden="1" ht="15.75" customHeight="1" s="48">
      <c r="A88" t="inlineStr">
        <is>
          <t>vn_schlechte_eigenschaft_ausstrahlung</t>
        </is>
      </c>
      <c r="B88" t="inlineStr">
        <is>
          <t>Vor- und Nachteile</t>
        </is>
      </c>
      <c r="C88" t="inlineStr">
        <is>
          <t>Schlechte Eigenschaft: Ausstrahlung</t>
        </is>
      </c>
      <c r="E88" t="inlineStr">
        <is>
          <t>Max=9 (ab Kreis 3); Erstellungs-Max=7; nicht uebersteigerbar</t>
        </is>
      </c>
      <c r="G88" t="inlineStr">
        <is>
          <t>Auswahl</t>
        </is>
      </c>
      <c r="J88" t="inlineStr">
        <is>
          <t>Ersetzt die normale Voelker-Maxima-Tabelle fuer diese Eigenschaft komplett (nicht MIN() mit dem Volkswert - die Regel ignoriert explizit die Erstellungs-/Kreis-3-Minima/Maxima und setzt eigene feste Werte).</t>
        </is>
      </c>
      <c r="L88" s="28" t="n">
        <v>-200</v>
      </c>
      <c r="M88" t="inlineStr">
        <is>
          <t>E</t>
        </is>
      </c>
      <c r="Q88" t="inlineStr">
        <is>
          <t>Dieser Charakter hat eine unterdurchschnittliche Ausstrahlung. Das absolute Maximum dieser Eigenschaft ist 9 (ab Kreis 3, davor darf die Eigenschaft 7 nicht übersteigen). Dieser Nachteil überschreibt die Spezies-Vorgaben. Die Eigenschaft ist grundsätzlich nicht übersteigerbar.</t>
        </is>
      </c>
    </row>
    <row r="89" hidden="1" ht="15.75" customHeight="1" s="48">
      <c r="A89" t="inlineStr">
        <is>
          <t>vn_schlechte_eigenschaft_intelligenz</t>
        </is>
      </c>
      <c r="B89" t="inlineStr">
        <is>
          <t>Vor- und Nachteile</t>
        </is>
      </c>
      <c r="C89" t="inlineStr">
        <is>
          <t>Schlechte Eigenschaft: Intelligenz</t>
        </is>
      </c>
      <c r="E89" t="inlineStr">
        <is>
          <t>Max=9 (ab Kreis 3); Erstellungs-Max=7; nicht uebersteigerbar</t>
        </is>
      </c>
      <c r="G89" t="inlineStr">
        <is>
          <t>Auswahl</t>
        </is>
      </c>
      <c r="J89" t="inlineStr">
        <is>
          <t>Ersetzt die normale Voelker-Maxima-Tabelle fuer diese Eigenschaft komplett (nicht MIN() mit dem Volkswert - die Regel ignoriert explizit die Erstellungs-/Kreis-3-Minima/Maxima und setzt eigene feste Werte).</t>
        </is>
      </c>
      <c r="L89" s="28" t="n">
        <v>-200</v>
      </c>
      <c r="M89" t="inlineStr">
        <is>
          <t>E</t>
        </is>
      </c>
      <c r="Q89" t="inlineStr">
        <is>
          <t>Dieser Charakter hat eine unterdurchschnittliche Intelligenz. Das absolute Maximum dieser Eigenschaft ist 9 (ab Kreis 3, davor darf die Eigenschaft 7 nicht übersteigen). Dieser Nachteil überschreibt die Spezies-Vorgaben. Die Eigenschaft ist grundsätzlich nicht übersteigerbar.</t>
        </is>
      </c>
    </row>
    <row r="90" hidden="1" ht="15.75" customHeight="1" s="48">
      <c r="A90" t="inlineStr">
        <is>
          <t>vn_schlechte_eigenschaft_mut</t>
        </is>
      </c>
      <c r="B90" t="inlineStr">
        <is>
          <t>Vor- und Nachteile</t>
        </is>
      </c>
      <c r="C90" t="inlineStr">
        <is>
          <t>Schlechte Eigenschaft: Mut</t>
        </is>
      </c>
      <c r="E90" t="inlineStr">
        <is>
          <t>Max=9 (ab Kreis 3); Erstellungs-Max=7; nicht uebersteigerbar</t>
        </is>
      </c>
      <c r="G90" t="inlineStr">
        <is>
          <t>Auswahl</t>
        </is>
      </c>
      <c r="J90" t="inlineStr">
        <is>
          <t>Ersetzt die normale Voelker-Maxima-Tabelle fuer diese Eigenschaft komplett (nicht MIN() mit dem Volkswert - die Regel ignoriert explizit die Erstellungs-/Kreis-3-Minima/Maxima und setzt eigene feste Werte).</t>
        </is>
      </c>
      <c r="L90" s="28" t="n">
        <v>-200</v>
      </c>
      <c r="M90" t="inlineStr">
        <is>
          <t>E</t>
        </is>
      </c>
      <c r="Q90" t="inlineStr">
        <is>
          <t>Dieser Charakter hat einen unterdurchschnittlichen Mut. Das absolute Maximum dieser Eigenschaft ist 9 (ab Kreis 3, davor darf die Eigenschaft 7 nicht übersteigen). Dieser Nachteil überschreibt die Spezies-Vorgaben. Die Eigenschaft ist grundsätzlich nicht übersteigerbar.</t>
        </is>
      </c>
    </row>
    <row r="91" hidden="1" ht="15.75" customHeight="1" s="48">
      <c r="A91" t="inlineStr">
        <is>
          <t>vn_schlechte_eigenschaft_sinnesschaerfe</t>
        </is>
      </c>
      <c r="B91" t="inlineStr">
        <is>
          <t>Vor- und Nachteile</t>
        </is>
      </c>
      <c r="C91" t="inlineStr">
        <is>
          <t>Schlechte Eigenschaft: Sinnesschaerfe</t>
        </is>
      </c>
      <c r="E91" t="inlineStr">
        <is>
          <t>Max=9 (ab Kreis 3); Erstellungs-Max=7; nicht uebersteigerbar</t>
        </is>
      </c>
      <c r="G91" t="inlineStr">
        <is>
          <t>Auswahl</t>
        </is>
      </c>
      <c r="J91" t="inlineStr">
        <is>
          <t>Ersetzt die normale Voelker-Maxima-Tabelle fuer diese Eigenschaft komplett (nicht MIN() mit dem Volkswert - die Regel ignoriert explizit die Erstellungs-/Kreis-3-Minima/Maxima und setzt eigene feste Werte).</t>
        </is>
      </c>
      <c r="L91" s="28" t="n">
        <v>-200</v>
      </c>
      <c r="M91" t="inlineStr">
        <is>
          <t>E</t>
        </is>
      </c>
      <c r="Q91" t="inlineStr">
        <is>
          <t>Dieser Charakter hat eine unterdurchschnittliche Sinnesschärfe. Das absolute Maximum dieser Eigenschaft ist 9 (ab Kreis 3, davor darf die Eigenschaft 7 nicht übersteigen). Dieser Nachteil überschreibt die Spezies-Vorgaben. Die Eigenschaft ist grundsätzlich nicht übersteigerbar.</t>
        </is>
      </c>
    </row>
    <row r="92" hidden="1" ht="15.75" customHeight="1" s="48">
      <c r="A92" t="inlineStr">
        <is>
          <t>vn_schlechte_eigenschaft_willenskraft</t>
        </is>
      </c>
      <c r="B92" t="inlineStr">
        <is>
          <t>Vor- und Nachteile</t>
        </is>
      </c>
      <c r="C92" t="inlineStr">
        <is>
          <t>Schlechte Eigenschaft: Willenskraft</t>
        </is>
      </c>
      <c r="E92" t="inlineStr">
        <is>
          <t>Max=9 (ab Kreis 3); Erstellungs-Max=7; nicht uebersteigerbar</t>
        </is>
      </c>
      <c r="G92" t="inlineStr">
        <is>
          <t>Auswahl</t>
        </is>
      </c>
      <c r="J92" t="inlineStr">
        <is>
          <t>Ersetzt die normale Voelker-Maxima-Tabelle fuer diese Eigenschaft komplett (nicht MIN() mit dem Volkswert - die Regel ignoriert explizit die Erstellungs-/Kreis-3-Minima/Maxima und setzt eigene feste Werte).</t>
        </is>
      </c>
      <c r="L92" s="28" t="n">
        <v>-200</v>
      </c>
      <c r="M92" t="inlineStr">
        <is>
          <t>E</t>
        </is>
      </c>
      <c r="Q92" t="inlineStr">
        <is>
          <t>Dieser Charakter hat eine unterdurchschnittliche Willenskraft. Das absolute Maximum dieser Eigenschaft ist 9 (ab Kreis 3, davor darf die Eigenschaft 7 nicht übersteigen). Dieser Nachteil überschreibt die Spezies-Vorgaben. Die Eigenschaft ist grundsätzlich nicht übersteigerbar.</t>
        </is>
      </c>
    </row>
    <row r="93" hidden="1" ht="15.75" customHeight="1" s="48">
      <c r="A93" t="inlineStr">
        <is>
          <t>vn_schlechte_eigenschaft_athletik</t>
        </is>
      </c>
      <c r="B93" t="inlineStr">
        <is>
          <t>Vor- und Nachteile</t>
        </is>
      </c>
      <c r="C93" t="inlineStr">
        <is>
          <t>Schlechte Eigenschaft: Athletik</t>
        </is>
      </c>
      <c r="E93" t="inlineStr">
        <is>
          <t>Max=9 (ab Kreis 3); Erstellungs-Max=7; nicht uebersteigerbar</t>
        </is>
      </c>
      <c r="G93" t="inlineStr">
        <is>
          <t>Auswahl</t>
        </is>
      </c>
      <c r="J93" t="inlineStr">
        <is>
          <t>Ersetzt die normale Voelker-Maxima-Tabelle fuer diese Eigenschaft komplett (nicht MIN() mit dem Volkswert - die Regel ignoriert explizit die Erstellungs-/Kreis-3-Minima/Maxima und setzt eigene feste Werte).</t>
        </is>
      </c>
      <c r="L93" s="28" t="n">
        <v>-200</v>
      </c>
      <c r="M93" t="inlineStr">
        <is>
          <t>E</t>
        </is>
      </c>
      <c r="Q93" t="inlineStr">
        <is>
          <t>Dieser Charakter hat eine unterdurchschnittliche Athletik. Das absolute Maximum dieser Eigenschaft ist 9 (ab Kreis 3, davor darf die Eigenschaft 7 nicht übersteigen). Dieser Nachteil überschreibt die Spezies-Vorgaben. Die Eigenschaft ist grundsätzlich nicht übersteigerbar.</t>
        </is>
      </c>
    </row>
    <row r="94" hidden="1" ht="15.75" customHeight="1" s="48">
      <c r="A94" t="inlineStr">
        <is>
          <t>vn_schlechte_eigenschaft_geschicklichkeit</t>
        </is>
      </c>
      <c r="B94" t="inlineStr">
        <is>
          <t>Vor- und Nachteile</t>
        </is>
      </c>
      <c r="C94" t="inlineStr">
        <is>
          <t>Schlechte Eigenschaft: Geschicklichkeit</t>
        </is>
      </c>
      <c r="E94" t="inlineStr">
        <is>
          <t>Max=9 (ab Kreis 3); Erstellungs-Max=7; nicht uebersteigerbar</t>
        </is>
      </c>
      <c r="G94" t="inlineStr">
        <is>
          <t>Auswahl</t>
        </is>
      </c>
      <c r="J94" t="inlineStr">
        <is>
          <t>Ersetzt die normale Voelker-Maxima-Tabelle fuer diese Eigenschaft komplett (nicht MIN() mit dem Volkswert - die Regel ignoriert explizit die Erstellungs-/Kreis-3-Minima/Maxima und setzt eigene feste Werte).</t>
        </is>
      </c>
      <c r="L94" s="28" t="n">
        <v>-200</v>
      </c>
      <c r="M94" t="inlineStr">
        <is>
          <t>E</t>
        </is>
      </c>
      <c r="Q94" t="inlineStr">
        <is>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is>
      </c>
    </row>
    <row r="95" hidden="1" ht="15.75" customHeight="1" s="48">
      <c r="A95" t="inlineStr">
        <is>
          <t>vn_schlechte_eigenschaft_konstitution</t>
        </is>
      </c>
      <c r="B95" t="inlineStr">
        <is>
          <t>Vor- und Nachteile</t>
        </is>
      </c>
      <c r="C95" t="inlineStr">
        <is>
          <t>Schlechte Eigenschaft: Konstitution</t>
        </is>
      </c>
      <c r="E95" t="inlineStr">
        <is>
          <t>Max=9 (ab Kreis 3); Erstellungs-Max=7; nicht uebersteigerbar</t>
        </is>
      </c>
      <c r="G95" t="inlineStr">
        <is>
          <t>Auswahl</t>
        </is>
      </c>
      <c r="J95" t="inlineStr">
        <is>
          <t>Ersetzt die normale Voelker-Maxima-Tabelle fuer diese Eigenschaft komplett (nicht MIN() mit dem Volkswert - die Regel ignoriert explizit die Erstellungs-/Kreis-3-Minima/Maxima und setzt eigene feste Werte).</t>
        </is>
      </c>
      <c r="L95" s="28" t="n">
        <v>-200</v>
      </c>
      <c r="M95" t="inlineStr">
        <is>
          <t>E</t>
        </is>
      </c>
      <c r="Q95" t="inlineStr">
        <is>
          <t>Dieser Charakter hat eine unterdurchschnittliche Konstitution. Das absolute Maximum dieser Eigenschaft ist 9 (ab Kreis 3, davor darf die Eigenschaft 7 nicht übersteigen). Dieser Nachteil überschreibt die Spezies-Vorgaben. Die Eigenschaft ist grundsätzlich nicht übersteigerbar.</t>
        </is>
      </c>
    </row>
    <row r="96" hidden="1" ht="15.75" customHeight="1" s="48">
      <c r="A96" t="inlineStr">
        <is>
          <t>vn_schlechte_eigenschaft_schnelligkeit</t>
        </is>
      </c>
      <c r="B96" t="inlineStr">
        <is>
          <t>Vor- und Nachteile</t>
        </is>
      </c>
      <c r="C96" t="inlineStr">
        <is>
          <t>Schlechte Eigenschaft: Schnelligkeit</t>
        </is>
      </c>
      <c r="E96" t="inlineStr">
        <is>
          <t>Max=9 (ab Kreis 3); Erstellungs-Max=7; nicht uebersteigerbar</t>
        </is>
      </c>
      <c r="G96" t="inlineStr">
        <is>
          <t>Auswahl</t>
        </is>
      </c>
      <c r="J96" t="inlineStr">
        <is>
          <t>Ersetzt die normale Voelker-Maxima-Tabelle fuer diese Eigenschaft komplett (nicht MIN() mit dem Volkswert - die Regel ignoriert explizit die Erstellungs-/Kreis-3-Minima/Maxima und setzt eigene feste Werte).</t>
        </is>
      </c>
      <c r="L96" s="28" t="n">
        <v>-200</v>
      </c>
      <c r="M96" t="inlineStr">
        <is>
          <t>E</t>
        </is>
      </c>
      <c r="Q96" t="inlineStr">
        <is>
          <t>Dieser Charakter hat eine unterdurchschnittliche Schnelligkeit. Das absolute Maximum dieser Eigenschaft ist 9 (ab Kreis 3, davor darf die Eigenschaft 7 nicht übersteigen). Dieser Nachteil überschreibt die Spezies-Vorgaben. Die Eigenschaft ist grundsätzlich nicht übersteigerbar.</t>
        </is>
      </c>
    </row>
    <row r="97" hidden="1" ht="15.75" customHeight="1" s="48">
      <c r="A97" t="inlineStr">
        <is>
          <t>vn_schlechte_eigenschaft_staerke</t>
        </is>
      </c>
      <c r="B97" t="inlineStr">
        <is>
          <t>Vor- und Nachteile</t>
        </is>
      </c>
      <c r="C97" t="inlineStr">
        <is>
          <t>Schlechte Eigenschaft: Staerke</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28" t="n">
        <v>-200</v>
      </c>
      <c r="M97" t="inlineStr">
        <is>
          <t>E</t>
        </is>
      </c>
      <c r="Q97" t="inlineStr">
        <is>
          <t>Dieser Charakter hat eine unterdurchschnittliche Stärke. Das absolute Maximum dieser Eigenschaft ist 9 (ab Kreis 3, davor darf die Eigenschaft 7 nicht übersteigen). Dieser Nachteil überschreibt die Spezies-Vorgaben. Die Eigenschaft ist grundsätzlich nicht übersteigerbar.</t>
        </is>
      </c>
    </row>
    <row r="98" hidden="1" ht="15.75" customHeight="1" s="48">
      <c r="A98" s="11" t="inlineStr">
        <is>
          <t>nk_pool_unbewaffnet</t>
        </is>
      </c>
      <c r="B98" s="11" t="inlineStr">
        <is>
          <t>Nahkampf</t>
        </is>
      </c>
      <c r="C98" s="12" t="inlineStr">
        <is>
          <t>Pool Unbewaffnet</t>
        </is>
      </c>
      <c r="G98" s="11" t="inlineStr">
        <is>
          <t>Pool</t>
        </is>
      </c>
      <c r="H98" s="16" t="n"/>
      <c r="I98" s="16" t="inlineStr">
        <is>
          <t>MAX(0;(eig_g_mut+eig_k_schnelligkeit+nk_unbewaffnet)/3-20)+MAX(0;(eig_k_athletik+eig_k_schnelligkeit+nk_unbewaffnet)/3-20)</t>
        </is>
      </c>
      <c r="J98" t="inlineStr">
        <is>
          <t>Formel hatte nur den Attacke-seitigen MAX-Term. Alle anderen 'Pool &lt;Gruppe&gt;'-Zeilen (198,203,207,212) kombinieren Attacke- und Parade-seitigen Überschuss - fehlenden Parade-Term ergänzt.</t>
        </is>
      </c>
    </row>
    <row r="99" hidden="1" ht="15.75" customHeight="1" s="48">
      <c r="A99" s="29" t="inlineStr">
        <is>
          <t>f_ausdauer</t>
        </is>
      </c>
      <c r="B99" s="11" t="inlineStr">
        <is>
          <t>Charakterwerte</t>
        </is>
      </c>
      <c r="C99" s="7" t="inlineStr">
        <is>
          <t>Ausdauer</t>
        </is>
      </c>
      <c r="D99" s="11" t="inlineStr">
        <is>
          <t>Ausd.</t>
        </is>
      </c>
      <c r="E99" s="10" t="inlineStr">
        <is>
          <t>S.2</t>
        </is>
      </c>
      <c r="F99" s="10" t="n"/>
      <c r="G99" s="10" t="inlineStr">
        <is>
          <t>Formel</t>
        </is>
      </c>
      <c r="H99" s="11" t="inlineStr">
        <is>
          <t>eig_k_athletik+2*eig_k_konstitution+(eig_k_staerke/2)+3*att_vitalitaet+stufe</t>
        </is>
      </c>
      <c r="J99" t="inlineStr">
        <is>
          <t>Formel referenzierte 'att_vitalität' (alte Umlautschreibweise) statt der aktuellen Referenz 'att_vitalitaet' - korrigiert.</t>
        </is>
      </c>
    </row>
    <row r="100" hidden="1" ht="15.75" customHeight="1" s="48">
      <c r="A100" s="29" t="inlineStr">
        <is>
          <t>f_alchemieresistenz</t>
        </is>
      </c>
      <c r="B100" s="11" t="inlineStr">
        <is>
          <t>Charakterwerte</t>
        </is>
      </c>
      <c r="C100" s="12" t="inlineStr">
        <is>
          <t>Alchemieresistenz</t>
        </is>
      </c>
      <c r="D100" s="11" t="inlineStr">
        <is>
          <t>AR</t>
        </is>
      </c>
      <c r="E100" s="12" t="n"/>
      <c r="F100" s="12" t="n"/>
      <c r="G100" s="11" t="inlineStr">
        <is>
          <t>Formel</t>
        </is>
      </c>
      <c r="H100" s="11" t="inlineStr">
        <is>
          <t>eig_k_konstitution+3*att_vitalitaet+sf_alchemieresistenz</t>
        </is>
      </c>
      <c r="J100" t="inlineStr">
        <is>
          <t>Formel referenzierte 'att_vitalität' (alte Umlautschreibweise) statt der aktuellen Referenz 'att_vitalitaet' - korrigiert. | Formel referenzierte veraltete Gro�-/Kleinschreibung (sf_Alchemieresistenz) - an aktuelle (kleingeschriebene) Referenz angepasst.</t>
        </is>
      </c>
    </row>
    <row r="101" hidden="1" ht="15.75" customHeight="1" s="48">
      <c r="A101" s="29" t="inlineStr">
        <is>
          <t>selbstbeherrschung</t>
        </is>
      </c>
      <c r="B101" s="11" t="inlineStr">
        <is>
          <t>Charakterwerte</t>
        </is>
      </c>
      <c r="C101" s="7" t="inlineStr">
        <is>
          <t>Selbstbeherrschung</t>
        </is>
      </c>
      <c r="D101" s="11" t="inlineStr">
        <is>
          <t>SB</t>
        </is>
      </c>
      <c r="E101" s="10" t="inlineStr">
        <is>
          <t>S.2</t>
        </is>
      </c>
      <c r="F101" s="10" t="n"/>
      <c r="G101" s="10" t="inlineStr">
        <is>
          <t>Formel</t>
        </is>
      </c>
      <c r="H101" s="11" t="inlineStr">
        <is>
          <t>(eig_g_mut+eig_g_willenskraft+eig_k_konstitution+eig_k_staerke+sf_selbstbeherrschung)/7+att_vitalitaet+12</t>
        </is>
      </c>
      <c r="J101" t="inlineStr">
        <is>
          <t>Formel referenzierte 'att_vitalität' (alte Umlautschreibweise) statt der aktuellen Referenz 'att_vitalitaet' - korrigiert. | Formel referenzierte veraltete Gro�-/Kleinschreibung (sf_Selbstbeherrschung) - an aktuelle (kleingeschriebene) Referenz angepasst.</t>
        </is>
      </c>
    </row>
    <row r="102" hidden="1" ht="15.75" customHeight="1" s="48">
      <c r="A102" s="11" t="inlineStr">
        <is>
          <t>fk_basis_blasrohre</t>
        </is>
      </c>
      <c r="B102" s="11" t="inlineStr">
        <is>
          <t>Fernkampf</t>
        </is>
      </c>
      <c r="C102" s="7" t="inlineStr">
        <is>
          <t>Fernkampf-Basis-Wert Blasrohre</t>
        </is>
      </c>
      <c r="E102" s="10" t="n"/>
      <c r="F102" s="10" t="n"/>
      <c r="G102" s="10" t="inlineStr">
        <is>
          <t>Formel</t>
        </is>
      </c>
      <c r="H102" s="11" t="inlineStr">
        <is>
          <t>(eig_g_sinneschaerfe+eig_k_geschicklichkeit+fk_blasrohre)/4</t>
        </is>
      </c>
      <c r="J102" t="inlineStr">
        <is>
          <t>Formel referenzierte veraltete Gro�-/Kleinschreibung (fk_blasrohre) - an aktuelle (kleingeschriebene) Referenz angepasst.</t>
        </is>
      </c>
    </row>
    <row r="103" hidden="1" ht="15.75" customHeight="1" s="48">
      <c r="A103" s="11" t="inlineStr">
        <is>
          <t>fk_basis_spez_blasrohre_blasrohre</t>
        </is>
      </c>
      <c r="B103" s="11" t="inlineStr">
        <is>
          <t>Fernkampf</t>
        </is>
      </c>
      <c r="C103" s="7" t="inlineStr">
        <is>
          <t>Fernkampf-Spezialisierungs-Wert Blasrohre</t>
        </is>
      </c>
      <c r="E103" s="10" t="n"/>
      <c r="F103" s="10" t="n"/>
      <c r="G103" s="10" t="inlineStr">
        <is>
          <t>Formel</t>
        </is>
      </c>
      <c r="H103" s="11" t="inlineStr">
        <is>
          <t>(eig_g_sinneschaerfe+eig_k_geschicklichkeit+fk_blasrohre+fk_spez_blasrohre_blasrohre)/4</t>
        </is>
      </c>
      <c r="J103" t="inlineStr">
        <is>
          <t>Formel referenzierte veraltete Gro�-/Kleinschreibung (fk_spez_Blasrohre_blasrohre, fk_blasrohre) - an aktuelle (kleingeschriebene) Referenz angepasst.</t>
        </is>
      </c>
    </row>
    <row r="104" hidden="1" ht="15.75" customHeight="1" s="48">
      <c r="A104" s="29" t="inlineStr">
        <is>
          <t>aw_def_normal</t>
        </is>
      </c>
      <c r="B104" s="11" t="inlineStr">
        <is>
          <t>Kampf</t>
        </is>
      </c>
      <c r="C104" s="7" t="inlineStr">
        <is>
          <t>Defensives Ausweichen</t>
        </is>
      </c>
      <c r="D104" s="11" t="inlineStr">
        <is>
          <t>def. nAW</t>
        </is>
      </c>
      <c r="E104" s="10" t="inlineStr">
        <is>
          <t>S.2</t>
        </is>
      </c>
      <c r="F104" s="10" t="n"/>
      <c r="G104" s="10" t="inlineStr">
        <is>
          <t>Formel</t>
        </is>
      </c>
      <c r="H104" s="11" t="inlineStr">
        <is>
          <t>(eig_k_athletik+eig_k_schnelligkeit+att_glueck+sf_ausweichen)/5+6-gewichtsbelastung</t>
        </is>
      </c>
      <c r="J104" t="inlineStr">
        <is>
          <t>Formel referenzierte veraltete Gro�-/Kleinschreibung (Gewichtsbelastung, sf_Ausweichen) - an aktuelle (kleingeschriebene) Referenz angepasst.</t>
        </is>
      </c>
    </row>
    <row r="105" hidden="1" ht="15.75" customHeight="1" s="48">
      <c r="A105" s="29" t="inlineStr">
        <is>
          <t>aw_off_normal</t>
        </is>
      </c>
      <c r="B105" s="11" t="inlineStr">
        <is>
          <t>Kampf</t>
        </is>
      </c>
      <c r="C105" s="7" t="inlineStr">
        <is>
          <t>Offensives Ausweichen</t>
        </is>
      </c>
      <c r="D105" s="11" t="inlineStr">
        <is>
          <t>off. nAW</t>
        </is>
      </c>
      <c r="E105" s="10" t="inlineStr">
        <is>
          <t>S.2</t>
        </is>
      </c>
      <c r="F105" s="10" t="n"/>
      <c r="G105" s="10" t="inlineStr">
        <is>
          <t>Formel</t>
        </is>
      </c>
      <c r="H105" s="11" t="inlineStr">
        <is>
          <t>(eig_k_athletik+eig_k_schnelligkeit+att_glueck+sf_ausweichen)/5+2-gewichtsbelastung</t>
        </is>
      </c>
      <c r="J105" t="inlineStr">
        <is>
          <t>Formel referenzierte veraltete Gro�-/Kleinschreibung (Gewichtsbelastung, sf_Ausweichen) - an aktuelle (kleingeschriebene) Referenz angepasst.</t>
        </is>
      </c>
    </row>
    <row r="106" hidden="1" ht="15.75" customHeight="1" s="48">
      <c r="A106" s="29" t="inlineStr">
        <is>
          <t>aw_gut</t>
        </is>
      </c>
      <c r="B106" s="11" t="inlineStr">
        <is>
          <t>Kampf</t>
        </is>
      </c>
      <c r="C106" s="7" t="inlineStr">
        <is>
          <t>Gutes Ausweichen</t>
        </is>
      </c>
      <c r="D106" s="11" t="inlineStr">
        <is>
          <t>gAW</t>
        </is>
      </c>
      <c r="E106" s="10" t="inlineStr">
        <is>
          <t>S.2</t>
        </is>
      </c>
      <c r="F106" s="10" t="n"/>
      <c r="G106" s="10" t="inlineStr">
        <is>
          <t>Formel</t>
        </is>
      </c>
      <c r="H106" s="11" t="inlineStr">
        <is>
          <t>(eig_bonus_k_athletik+sf_gutes_aw)/5+1</t>
        </is>
      </c>
      <c r="J106" t="inlineStr">
        <is>
          <t>Formel referenzierte veraltete Gro�-/Kleinschreibung (sf_Gutes_AW) - an aktuelle (kleingeschriebene) Referenz angepasst.</t>
        </is>
      </c>
    </row>
    <row r="107" hidden="1" ht="15.75" customHeight="1" s="48">
      <c r="A107" s="29" t="inlineStr">
        <is>
          <t>mana</t>
        </is>
      </c>
      <c r="B107" s="11" t="inlineStr">
        <is>
          <t>Charakterwerte</t>
        </is>
      </c>
      <c r="C107" s="7" t="inlineStr">
        <is>
          <t>Mana</t>
        </is>
      </c>
      <c r="E107" s="10" t="inlineStr">
        <is>
          <t>S.1</t>
        </is>
      </c>
      <c r="F107" s="10" t="n"/>
      <c r="G107" s="10" t="inlineStr">
        <is>
          <t>Formel</t>
        </is>
      </c>
      <c r="H107" s="11" t="inlineStr">
        <is>
          <t>att_aura*7+att_magie*3+3*eig_g_willenskraft-30+eig_bonus_g_intelligenz*att_weisheit+stufe+sf_mana_talent*2</t>
        </is>
      </c>
      <c r="J107" t="inlineStr">
        <is>
          <t>Formel referenzierte veraltete Gro�-/Kleinschreibung (sf_Mana_Talent) - an aktuelle (kleingeschriebene) Referenz angepasst.</t>
        </is>
      </c>
    </row>
    <row r="108" hidden="1" ht="15.75" customHeight="1" s="48">
      <c r="A108" s="29" t="inlineStr">
        <is>
          <t>aw_meisterlich</t>
        </is>
      </c>
      <c r="B108" s="11" t="inlineStr">
        <is>
          <t>Kampf</t>
        </is>
      </c>
      <c r="C108" s="7" t="inlineStr">
        <is>
          <t>Meisterliches Ausweichen</t>
        </is>
      </c>
      <c r="D108" s="11" t="inlineStr">
        <is>
          <t>mAW</t>
        </is>
      </c>
      <c r="E108" s="10" t="inlineStr">
        <is>
          <t>S.2</t>
        </is>
      </c>
      <c r="F108" s="10" t="n"/>
      <c r="G108" s="10" t="inlineStr">
        <is>
          <t>Formel</t>
        </is>
      </c>
      <c r="H108" s="11" t="inlineStr">
        <is>
          <t>(eig_bonus_k_schnelligkeit+sf_meisterliches_ausweichen)/5+21</t>
        </is>
      </c>
      <c r="J108" t="inlineStr">
        <is>
          <t>Formel referenzierte veraltete Gro�-/Kleinschreibung (sf_Meisterliches_ausweichen) - an aktuelle (kleingeschriebene) Referenz angepasst.</t>
        </is>
      </c>
    </row>
    <row r="109" hidden="1" ht="15.75" customHeight="1" s="48">
      <c r="A109" s="29" t="inlineStr">
        <is>
          <t>gbe_ausgeruestet</t>
        </is>
      </c>
      <c r="B109" s="11" t="inlineStr">
        <is>
          <t>Gewichtsbelastung</t>
        </is>
      </c>
      <c r="C109" s="12" t="inlineStr">
        <is>
          <t>Ausgerüstet</t>
        </is>
      </c>
      <c r="G109" s="11" t="inlineStr">
        <is>
          <t>Formel</t>
        </is>
      </c>
      <c r="H109" s="11" t="inlineStr">
        <is>
          <t>eig_k_staerke+sf_tragen*1,5</t>
        </is>
      </c>
      <c r="J109" t="inlineStr">
        <is>
          <t>Formel referenzierte veraltete Gro�-/Kleinschreibung (sf_Tragen) - an aktuelle (kleingeschriebene) Referenz angepasst.</t>
        </is>
      </c>
    </row>
    <row r="110" hidden="1" ht="15.75" customHeight="1" s="48">
      <c r="A110" s="29" t="inlineStr">
        <is>
          <t>gbe_leichtes_marschgepaeck</t>
        </is>
      </c>
      <c r="B110" s="11" t="inlineStr">
        <is>
          <t>Gewichtsbelastung</t>
        </is>
      </c>
      <c r="C110" s="12" t="inlineStr">
        <is>
          <t>Leichtes Marschgepäck</t>
        </is>
      </c>
      <c r="G110" s="11" t="inlineStr">
        <is>
          <t>Formel</t>
        </is>
      </c>
      <c r="H110" s="11" t="inlineStr">
        <is>
          <t>eig_k_staerke+sf_tragen*3</t>
        </is>
      </c>
      <c r="J110" t="inlineStr">
        <is>
          <t>Formel referenzierte veraltete Gro�-/Kleinschreibung (sf_Tragen) - an aktuelle (kleingeschriebene) Referenz angepasst.</t>
        </is>
      </c>
    </row>
    <row r="111" hidden="1" ht="15.75" customHeight="1" s="48">
      <c r="A111" s="29" t="inlineStr">
        <is>
          <t>gbe_max_hebelast</t>
        </is>
      </c>
      <c r="B111" s="11" t="inlineStr">
        <is>
          <t>Gewichtsbelastung</t>
        </is>
      </c>
      <c r="C111" s="12" t="inlineStr">
        <is>
          <t>max. Hebelast</t>
        </is>
      </c>
      <c r="G111" s="11" t="inlineStr">
        <is>
          <t>Formel</t>
        </is>
      </c>
      <c r="H111" s="11" t="inlineStr">
        <is>
          <t>eig_k_staerke+sf_tragen*15</t>
        </is>
      </c>
      <c r="J111" t="inlineStr">
        <is>
          <t>Formel referenzierte veraltete Gro�-/Kleinschreibung (sf_Tragen) - an aktuelle (kleingeschriebene) Referenz angepasst.</t>
        </is>
      </c>
    </row>
    <row r="112" hidden="1" ht="15.75" customHeight="1" s="48">
      <c r="A112" s="29" t="inlineStr">
        <is>
          <t>gbe_mittel_ueberladen</t>
        </is>
      </c>
      <c r="B112" s="11" t="inlineStr">
        <is>
          <t>Gewichtsbelastung</t>
        </is>
      </c>
      <c r="C112" s="12" t="inlineStr">
        <is>
          <t>Mittel Überladen</t>
        </is>
      </c>
      <c r="G112" s="11" t="inlineStr">
        <is>
          <t>Formel</t>
        </is>
      </c>
      <c r="H112" s="11" t="inlineStr">
        <is>
          <t>eig_k_staerke+sf_tragen*7</t>
        </is>
      </c>
      <c r="J112" t="inlineStr">
        <is>
          <t>Formel referenzierte veraltete Gro�-/Kleinschreibung (sf_Tragen) - an aktuelle (kleingeschriebene) Referenz angepasst.</t>
        </is>
      </c>
    </row>
    <row r="113" hidden="1" ht="15.75" customHeight="1" s="48">
      <c r="A113" s="29" t="inlineStr">
        <is>
          <t>gbe_schwer_schleppend</t>
        </is>
      </c>
      <c r="B113" s="11" t="inlineStr">
        <is>
          <t>Gewichtsbelastung</t>
        </is>
      </c>
      <c r="C113" s="12" t="inlineStr">
        <is>
          <t>Schwer schleppend</t>
        </is>
      </c>
      <c r="G113" s="11" t="inlineStr">
        <is>
          <t>Formel</t>
        </is>
      </c>
      <c r="H113" s="11" t="inlineStr">
        <is>
          <t>eig_k_staerke+sf_tragen*11</t>
        </is>
      </c>
      <c r="J113" t="inlineStr">
        <is>
          <t>Formel referenzierte veraltete Gro�-/Kleinschreibung (sf_Tragen) - an aktuelle (kleingeschriebene) Referenz angepasst.</t>
        </is>
      </c>
    </row>
    <row r="114" hidden="1" ht="15.75" customHeight="1" s="48">
      <c r="A114" s="29" t="inlineStr">
        <is>
          <t>gbe_schweres_marschgepaeck</t>
        </is>
      </c>
      <c r="B114" s="11" t="inlineStr">
        <is>
          <t>Gewichtsbelastung</t>
        </is>
      </c>
      <c r="C114" s="12" t="inlineStr">
        <is>
          <t>Schweres Marschgepäck</t>
        </is>
      </c>
      <c r="G114" s="11" t="inlineStr">
        <is>
          <t>Formel</t>
        </is>
      </c>
      <c r="H114" s="11" t="inlineStr">
        <is>
          <t>eig_k_staerke+sf_tragen*5</t>
        </is>
      </c>
      <c r="J114" t="inlineStr">
        <is>
          <t>Formel referenzierte veraltete Gro�-/Kleinschreibung (sf_Tragen) - an aktuelle (kleingeschriebene) Referenz angepasst.</t>
        </is>
      </c>
    </row>
    <row r="115" hidden="1" ht="15.75" customHeight="1" s="48">
      <c r="A115" s="29" t="inlineStr">
        <is>
          <t>gbe_unbelastet</t>
        </is>
      </c>
      <c r="B115" s="11" t="inlineStr">
        <is>
          <t>Gewichtsbelastung</t>
        </is>
      </c>
      <c r="C115" s="12" t="inlineStr">
        <is>
          <t>Unbelastet</t>
        </is>
      </c>
      <c r="G115" s="11" t="inlineStr">
        <is>
          <t>Formel</t>
        </is>
      </c>
      <c r="H115" s="11" t="inlineStr">
        <is>
          <t>eig_k_staerke+sf_tragen*0,5</t>
        </is>
      </c>
      <c r="J115" t="inlineStr">
        <is>
          <t>Formel referenzierte veraltete Gro�-/Kleinschreibung (sf_Tragen) - an aktuelle (kleingeschriebene) Referenz angepasst.</t>
        </is>
      </c>
    </row>
    <row r="116" hidden="1" ht="15.75" customHeight="1" s="48">
      <c r="A116" t="inlineStr">
        <is>
          <t>fk_gute_spez_schusswaffen_armbrueste</t>
        </is>
      </c>
      <c r="B116" t="inlineStr">
        <is>
          <t>Fernkampf</t>
        </is>
      </c>
      <c r="C116" t="inlineStr">
        <is>
          <t>Fernkampf-Spezialisierungs-Gute-Wert Armbrust</t>
        </is>
      </c>
      <c r="E11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6" t="inlineStr">
        <is>
          <t>Formel</t>
        </is>
      </c>
      <c r="H116" t="inlineStr">
        <is>
          <t>WENN(talente_fernkampfgeschick_stufe_2&gt;0;1+AUFRUNDEN(fk_basis_spez_schusswaffen_armbrueste/3;0);WENN(talente_fernkampfgeschick_stufe_1&gt;0;1+AUFRUNDEN(fk_basis_spez_schusswaffen_armbrueste/4;0);1))</t>
        </is>
      </c>
      <c r="J116" t="inlineStr">
        <is>
          <t>Gleiches Muster wie fk_gute_* (Basiswaffe), nur auf den Spezialisierungs-Basiswert angewandt - Nutzerbestaetigung: 'Spezialisierungen sollten als simples +Spez in der /4 Formel gefuehrt sein'.</t>
        </is>
      </c>
    </row>
    <row r="117" hidden="1" ht="15.75" customHeight="1" s="48">
      <c r="A117" t="inlineStr">
        <is>
          <t>fk_gute_spez_blasrohre_blasrohre</t>
        </is>
      </c>
      <c r="B117" t="inlineStr">
        <is>
          <t>Fernkampf</t>
        </is>
      </c>
      <c r="C117" t="inlineStr">
        <is>
          <t>Fernkampf-Spezialisierungs-Gute-Wert Blasrohre</t>
        </is>
      </c>
      <c r="E11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7" t="inlineStr">
        <is>
          <t>Formel</t>
        </is>
      </c>
      <c r="H117" t="inlineStr">
        <is>
          <t>WENN(talente_fernkampfgeschick_stufe_2&gt;0;1+AUFRUNDEN(fk_basis_spez_blasrohre_blasrohre/3;0);WENN(talente_fernkampfgeschick_stufe_1&gt;0;1+AUFRUNDEN(fk_basis_spez_blasrohre_blasrohre/4;0);1))</t>
        </is>
      </c>
      <c r="J117" t="inlineStr">
        <is>
          <t>Gleiches Muster wie fk_gute_* (Basiswaffe), nur auf den Spezialisierungs-Basiswert angewandt - Nutzerbestaetigung: 'Spezialisierungen sollten als simples +Spez in der /4 Formel gefuehrt sein'.</t>
        </is>
      </c>
    </row>
    <row r="118" hidden="1" ht="15.75" customHeight="1" s="48">
      <c r="A118" t="inlineStr">
        <is>
          <t>fk_gute_spez_feuerwaffen_musketen</t>
        </is>
      </c>
      <c r="B118" t="inlineStr">
        <is>
          <t>Fernkampf</t>
        </is>
      </c>
      <c r="C118" t="inlineStr">
        <is>
          <t>Fernkampf-Spezialisierungs-Gute-Wert Musketen</t>
        </is>
      </c>
      <c r="E11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8" t="inlineStr">
        <is>
          <t>Formel</t>
        </is>
      </c>
      <c r="H118" t="inlineStr">
        <is>
          <t>WENN(talente_fernkampfgeschick_stufe_2&gt;0;1+AUFRUNDEN(fk_basis_spez_feuerwaffen_musketen/3;0);WENN(talente_fernkampfgeschick_stufe_1&gt;0;1+AUFRUNDEN(fk_basis_spez_feuerwaffen_musketen/4;0);1))</t>
        </is>
      </c>
      <c r="J118" t="inlineStr">
        <is>
          <t>Gleiches Muster wie fk_gute_* (Basiswaffe), nur auf den Spezialisierungs-Basiswert angewandt - Nutzerbestaetigung: 'Spezialisierungen sollten als simples +Spez in der /4 Formel gefuehrt sein'.</t>
        </is>
      </c>
    </row>
    <row r="119" hidden="1" ht="15.75" customHeight="1" s="48">
      <c r="A119" t="inlineStr">
        <is>
          <t>fk_gute_spez_feuerwaffen_pistolen</t>
        </is>
      </c>
      <c r="B119" t="inlineStr">
        <is>
          <t>Fernkampf</t>
        </is>
      </c>
      <c r="C119" t="inlineStr">
        <is>
          <t>Fernkampf-Spezialisierungs-Gute-Wert Pistolen</t>
        </is>
      </c>
      <c r="E11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9" t="inlineStr">
        <is>
          <t>Formel</t>
        </is>
      </c>
      <c r="H119" t="inlineStr">
        <is>
          <t>WENN(talente_fernkampfgeschick_stufe_2&gt;0;1+AUFRUNDEN(fk_basis_spez_feuerwaffen_pistolen/3;0);WENN(talente_fernkampfgeschick_stufe_1&gt;0;1+AUFRUNDEN(fk_basis_spez_feuerwaffen_pistolen/4;0);1))</t>
        </is>
      </c>
      <c r="J119" t="inlineStr">
        <is>
          <t>Gleiches Muster wie fk_gute_* (Basiswaffe), nur auf den Spezialisierungs-Basiswert angewandt - Nutzerbestaetigung: 'Spezialisierungen sollten als simples +Spez in der /4 Formel gefuehrt sein'.</t>
        </is>
      </c>
    </row>
    <row r="120" hidden="1" ht="15.75" customHeight="1" s="48">
      <c r="A120" t="inlineStr">
        <is>
          <t>fk_gute_spez_boegen_boegen</t>
        </is>
      </c>
      <c r="B120" t="inlineStr">
        <is>
          <t>Fernkampf</t>
        </is>
      </c>
      <c r="C120" t="inlineStr">
        <is>
          <t>Fernkampf-Spezialisierungs-Gute-Wert Bögen</t>
        </is>
      </c>
      <c r="E12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0" t="inlineStr">
        <is>
          <t>Formel</t>
        </is>
      </c>
      <c r="H120" t="inlineStr">
        <is>
          <t>WENN(talente_fernkampfgeschick_stufe_2&gt;0;1+AUFRUNDEN(fk_basis_spez_boegen_boegen/3;0);WENN(talente_fernkampfgeschick_stufe_1&gt;0;1+AUFRUNDEN(fk_basis_spez_boegen_boegen/4;0);1))</t>
        </is>
      </c>
      <c r="J120" t="inlineStr">
        <is>
          <t>Gleiches Muster wie fk_gute_* (Basiswaffe), nur auf den Spezialisierungs-Basiswert angewandt - Nutzerbestaetigung: 'Spezialisierungen sollten als simples +Spez in der /4 Formel gefuehrt sein'.</t>
        </is>
      </c>
    </row>
    <row r="121" hidden="1" ht="15.75" customHeight="1" s="48">
      <c r="A121" t="inlineStr">
        <is>
          <t>fk_meisterlich_spez_schusswaffen_armbrueste</t>
        </is>
      </c>
      <c r="B121" t="inlineStr">
        <is>
          <t>Fernkampf</t>
        </is>
      </c>
      <c r="C121" t="inlineStr">
        <is>
          <t>Fernkampf-Spezialisierungs-Meisterliche-Wert Armbrust</t>
        </is>
      </c>
      <c r="E12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1" t="inlineStr">
        <is>
          <t>Formel</t>
        </is>
      </c>
      <c r="H121" t="inlineStr">
        <is>
          <t>WENN(talente_fernkampfgeschick_stufe_3&gt;0;21+AUFRUNDEN(fk_basis_spez_schusswaffen_armbrueste/20;0);21)</t>
        </is>
      </c>
      <c r="J121" t="inlineStr">
        <is>
          <t>Gleiches Muster wie fk_meisterlich_* (Basiswaffe), nur auf den Spezialisierungs-Basiswert angewandt.</t>
        </is>
      </c>
    </row>
    <row r="122" hidden="1" ht="15.75" customHeight="1" s="48">
      <c r="A122" t="inlineStr">
        <is>
          <t>fk_meisterlich_spez_blasrohre_blasrohre</t>
        </is>
      </c>
      <c r="B122" t="inlineStr">
        <is>
          <t>Fernkampf</t>
        </is>
      </c>
      <c r="C122" t="inlineStr">
        <is>
          <t>Fernkampf-Spezialisierungs-Meisterliche-Wert Blasrohre</t>
        </is>
      </c>
      <c r="E12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2" t="inlineStr">
        <is>
          <t>Formel</t>
        </is>
      </c>
      <c r="H122" t="inlineStr">
        <is>
          <t>WENN(talente_fernkampfgeschick_stufe_3&gt;0;21+AUFRUNDEN(fk_basis_spez_blasrohre_blasrohre/20;0);21)</t>
        </is>
      </c>
      <c r="J122" t="inlineStr">
        <is>
          <t>Gleiches Muster wie fk_meisterlich_* (Basiswaffe), nur auf den Spezialisierungs-Basiswert angewandt.</t>
        </is>
      </c>
    </row>
    <row r="123" hidden="1" ht="15.75" customHeight="1" s="48">
      <c r="A123" t="inlineStr">
        <is>
          <t>fk_meisterlich_spez_feuerwaffen_musketen</t>
        </is>
      </c>
      <c r="B123" t="inlineStr">
        <is>
          <t>Fernkampf</t>
        </is>
      </c>
      <c r="C123" t="inlineStr">
        <is>
          <t>Fernkampf-Spezialisierungs-Meisterliche-Wert Musketen</t>
        </is>
      </c>
      <c r="E12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3" t="inlineStr">
        <is>
          <t>Formel</t>
        </is>
      </c>
      <c r="H123" t="inlineStr">
        <is>
          <t>WENN(talente_fernkampfgeschick_stufe_3&gt;0;21+AUFRUNDEN(fk_basis_spez_feuerwaffen_musketen/20;0);21)</t>
        </is>
      </c>
      <c r="J123" t="inlineStr">
        <is>
          <t>Gleiches Muster wie fk_meisterlich_* (Basiswaffe), nur auf den Spezialisierungs-Basiswert angewandt.</t>
        </is>
      </c>
    </row>
    <row r="124" hidden="1" ht="15.75" customHeight="1" s="48">
      <c r="A124" t="inlineStr">
        <is>
          <t>fk_meisterlich_spez_feuerwaffen_pistolen</t>
        </is>
      </c>
      <c r="B124" t="inlineStr">
        <is>
          <t>Fernkampf</t>
        </is>
      </c>
      <c r="C124" t="inlineStr">
        <is>
          <t>Fernkampf-Spezialisierungs-Meisterliche-Wert Pistolen</t>
        </is>
      </c>
      <c r="E12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4" t="inlineStr">
        <is>
          <t>Formel</t>
        </is>
      </c>
      <c r="H124" t="inlineStr">
        <is>
          <t>WENN(talente_fernkampfgeschick_stufe_3&gt;0;21+AUFRUNDEN(fk_basis_spez_feuerwaffen_pistolen/20;0);21)</t>
        </is>
      </c>
      <c r="J124" t="inlineStr">
        <is>
          <t>Gleiches Muster wie fk_meisterlich_* (Basiswaffe), nur auf den Spezialisierungs-Basiswert angewandt.</t>
        </is>
      </c>
    </row>
    <row r="125" hidden="1" ht="15.75" customHeight="1" s="48">
      <c r="A125" t="inlineStr">
        <is>
          <t>fk_meisterlich_spez_boegen_boegen</t>
        </is>
      </c>
      <c r="B125" t="inlineStr">
        <is>
          <t>Fernkampf</t>
        </is>
      </c>
      <c r="C125" t="inlineStr">
        <is>
          <t>Fernkampf-Spezialisierungs-Meisterliche-Wert Bögen</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WENN(talente_fernkampfgeschick_stufe_3&gt;0;21+AUFRUNDEN(fk_basis_spez_boegen_boegen/20;0);21)</t>
        </is>
      </c>
      <c r="J125" t="inlineStr">
        <is>
          <t>Gleiches Muster wie fk_meisterlich_* (Basiswaffe), nur auf den Spezialisierungs-Basiswert angewandt.</t>
        </is>
      </c>
    </row>
    <row r="126" hidden="1" ht="15.75" customHeight="1" s="48">
      <c r="A126" s="29" t="inlineStr">
        <is>
          <t>rs_arme</t>
        </is>
      </c>
      <c r="B126" s="11" t="inlineStr">
        <is>
          <t>Kampf</t>
        </is>
      </c>
      <c r="C126" s="7" t="inlineStr">
        <is>
          <t>Rüstungsschutz Arme</t>
        </is>
      </c>
      <c r="E126" s="10" t="inlineStr">
        <is>
          <t>S.2</t>
        </is>
      </c>
      <c r="F126" s="10" t="n"/>
      <c r="G126" s="10" t="inlineStr">
        <is>
          <t>Formel</t>
        </is>
      </c>
      <c r="H126" t="inlineStr">
        <is>
          <t>SUMME(RS der 5 Ruestungslagen in Zone arme)</t>
        </is>
      </c>
      <c r="J12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7" hidden="1" ht="15.75" customHeight="1" s="48">
      <c r="A127" s="29" t="inlineStr">
        <is>
          <t>rs_beine</t>
        </is>
      </c>
      <c r="B127" s="11" t="inlineStr">
        <is>
          <t>Kampf</t>
        </is>
      </c>
      <c r="C127" s="7" t="inlineStr">
        <is>
          <t>Rüstungsschutz Beine</t>
        </is>
      </c>
      <c r="E127" s="10" t="inlineStr">
        <is>
          <t>S.2</t>
        </is>
      </c>
      <c r="F127" s="10" t="n"/>
      <c r="G127" s="10" t="inlineStr">
        <is>
          <t>Formel</t>
        </is>
      </c>
      <c r="H127" t="inlineStr">
        <is>
          <t>SUMME(RS der 5 Ruestungslagen in Zone beine)</t>
        </is>
      </c>
      <c r="J12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8" hidden="1" ht="15.75" customHeight="1" s="48">
      <c r="A128" s="29" t="inlineStr">
        <is>
          <t>rs_kopf</t>
        </is>
      </c>
      <c r="B128" s="11" t="inlineStr">
        <is>
          <t>Kampf</t>
        </is>
      </c>
      <c r="C128" s="7" t="inlineStr">
        <is>
          <t>Rüstungsschutz Kopf</t>
        </is>
      </c>
      <c r="E128" s="10" t="inlineStr">
        <is>
          <t>S.2</t>
        </is>
      </c>
      <c r="F128" s="10" t="n"/>
      <c r="G128" s="10" t="inlineStr">
        <is>
          <t>Formel</t>
        </is>
      </c>
      <c r="H128" t="inlineStr">
        <is>
          <t>SUMME(RS der 5 Ruestungslagen in Zone kopf)</t>
        </is>
      </c>
      <c r="J12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9" hidden="1" ht="15.75" customHeight="1" s="48">
      <c r="A129" s="29" t="inlineStr">
        <is>
          <t>rs_torso</t>
        </is>
      </c>
      <c r="B129" s="11" t="inlineStr">
        <is>
          <t>Kampf</t>
        </is>
      </c>
      <c r="C129" s="7" t="inlineStr">
        <is>
          <t>Rüstungsschutz Torso</t>
        </is>
      </c>
      <c r="E129" s="10" t="inlineStr">
        <is>
          <t>S.2</t>
        </is>
      </c>
      <c r="F129" s="10" t="n"/>
      <c r="G129" s="10" t="inlineStr">
        <is>
          <t>Formel</t>
        </is>
      </c>
      <c r="H129" t="inlineStr">
        <is>
          <t>SUMME(RS der 5 Ruestungslagen in Zone torso)</t>
        </is>
      </c>
      <c r="J129"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0" hidden="1" ht="15.75" customHeight="1" s="48">
      <c r="A130" s="29" t="inlineStr">
        <is>
          <t>talente_gefahrensinn</t>
        </is>
      </c>
      <c r="B130" s="10" t="inlineStr">
        <is>
          <t>Talente</t>
        </is>
      </c>
      <c r="C130" s="12" t="inlineStr">
        <is>
          <t>Gefahrensinn</t>
        </is>
      </c>
      <c r="E130" s="10" t="n"/>
      <c r="F130" s="10" t="inlineStr">
        <is>
          <t>Abenteurer</t>
        </is>
      </c>
      <c r="G130" s="10" t="inlineStr">
        <is>
          <t>Auswahl</t>
        </is>
      </c>
      <c r="H130" s="10" t="n"/>
      <c r="I130" s="10" t="n"/>
      <c r="J130" t="inlineStr">
        <is>
          <t>Kein exakter Namenstreffer in NN NPC-Rechner 0.75/Talente - dort heißt das Talent 'Gefahreninstinkt' (Kategorie=Abenteurer). Vermutlich dasselbe Talent unter leicht anderem Namen, Parent trotzdem gesetzt.</t>
        </is>
      </c>
      <c r="L130" s="28" t="n">
        <v>2</v>
      </c>
      <c r="Q130" t="inlineStr">
        <is>
          <t>Erhöht das Maximum der Sonderfertigkeit "Gefahreninstinkt" um 6 Punkte.</t>
        </is>
      </c>
    </row>
    <row r="131" hidden="1" ht="15.75" customHeight="1" s="48">
      <c r="A131" s="29" t="inlineStr">
        <is>
          <t>bewegung_f_leiter_steigen_schnell</t>
        </is>
      </c>
      <c r="B131" s="11" t="inlineStr">
        <is>
          <t>Bewegung</t>
        </is>
      </c>
      <c r="C131" s="12" t="inlineStr">
        <is>
          <t>Leiter steigen schnell</t>
        </is>
      </c>
      <c r="E131" s="11" t="inlineStr">
        <is>
          <t>Meisterscreen S.3</t>
        </is>
      </c>
      <c r="G131" s="11" t="inlineStr">
        <is>
          <t>Formel</t>
        </is>
      </c>
      <c r="H131" s="11" t="inlineStr">
        <is>
          <t>FEHLT</t>
        </is>
      </c>
      <c r="J131" s="11" t="inlineStr">
        <is>
          <t>kein Formeltext vorhanden</t>
        </is>
      </c>
    </row>
    <row r="132" hidden="1" ht="15.75" customHeight="1" s="48">
      <c r="A132" s="29" t="inlineStr">
        <is>
          <t>bewegung_f_seil_hochklettern</t>
        </is>
      </c>
      <c r="B132" s="11" t="inlineStr">
        <is>
          <t>Bewegung</t>
        </is>
      </c>
      <c r="C132" s="12" t="inlineStr">
        <is>
          <t>Seil hochklettern</t>
        </is>
      </c>
      <c r="E132" s="11" t="inlineStr">
        <is>
          <t>Meisterscreen S.3</t>
        </is>
      </c>
      <c r="G132" s="11" t="inlineStr">
        <is>
          <t>Formel</t>
        </is>
      </c>
      <c r="H132" s="11" t="inlineStr">
        <is>
          <t>FEHLT</t>
        </is>
      </c>
      <c r="J132" s="11" t="inlineStr">
        <is>
          <t>kein Formeltext vorhanden</t>
        </is>
      </c>
    </row>
    <row r="133" hidden="1" ht="15.75" customHeight="1" s="48">
      <c r="A133" s="29" t="inlineStr">
        <is>
          <t>f_gefahreninstinkt</t>
        </is>
      </c>
      <c r="B133" s="11" t="inlineStr">
        <is>
          <t>Charakterwerte</t>
        </is>
      </c>
      <c r="C133" s="8" t="inlineStr">
        <is>
          <t>Gefahreninstinkt</t>
        </is>
      </c>
      <c r="D133" s="11" t="inlineStr">
        <is>
          <t>GI</t>
        </is>
      </c>
      <c r="E133" s="11" t="inlineStr">
        <is>
          <t>S.2</t>
        </is>
      </c>
      <c r="G133" s="10" t="inlineStr">
        <is>
          <t>Formel</t>
        </is>
      </c>
      <c r="H133" s="11" t="inlineStr">
        <is>
          <t>eig_g_sinneschaerfe+sf_gefahreninstinkt</t>
        </is>
      </c>
      <c r="J133" s="11"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34" hidden="1" ht="15.75" customHeight="1" s="48">
      <c r="A134" s="29" t="inlineStr">
        <is>
          <t>bewegung_f_lesegeschwindigkeit</t>
        </is>
      </c>
      <c r="B134" s="11" t="inlineStr">
        <is>
          <t>Bewegung</t>
        </is>
      </c>
      <c r="C134" s="6" t="inlineStr">
        <is>
          <t>Lesegeschwindigkeit (Wörter/min)</t>
        </is>
      </c>
      <c r="E134" s="11" t="inlineStr">
        <is>
          <t>Meisterscreen S.3</t>
        </is>
      </c>
      <c r="G134" s="11" t="inlineStr">
        <is>
          <t>Formel</t>
        </is>
      </c>
      <c r="H134" s="11" t="inlineStr">
        <is>
          <t>FEHLT</t>
        </is>
      </c>
      <c r="J134" s="11" t="inlineStr">
        <is>
          <t>kein Formeltext vorhanden | Referenz (Spalte G) enthält Klammern und Schrägstrich '(.../...)' unverändert aus der Beschreibung übernommen.</t>
        </is>
      </c>
    </row>
    <row r="135" hidden="1" ht="15.75" customHeight="1" s="48">
      <c r="A135" s="29" t="inlineStr">
        <is>
          <t>ep_verbraucht</t>
        </is>
      </c>
      <c r="B135" s="11" t="inlineStr">
        <is>
          <t>Charakterwerte</t>
        </is>
      </c>
      <c r="C135" s="7" t="inlineStr">
        <is>
          <t>Verbrauchte EP</t>
        </is>
      </c>
      <c r="E135" s="10" t="inlineStr">
        <is>
          <t>S.1</t>
        </is>
      </c>
      <c r="F135" s="10" t="n"/>
      <c r="G135" s="10" t="inlineStr">
        <is>
          <t>Formel</t>
        </is>
      </c>
      <c r="H135" t="inlineStr">
        <is>
          <t>SUMME(Kosten aller gewaehlten Werte)</t>
        </is>
      </c>
      <c r="J135"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36" hidden="1" ht="15.75" customHeight="1" s="48">
      <c r="A136" t="inlineStr">
        <is>
          <t>startbudget_ausruestung</t>
        </is>
      </c>
      <c r="B136" t="inlineStr">
        <is>
          <t>Charakterwerte</t>
        </is>
      </c>
      <c r="C136" t="inlineStr">
        <is>
          <t>Startbudget Ausruestung</t>
        </is>
      </c>
      <c r="E136" t="inlineStr">
        <is>
          <t>In Dublonen. 1 Dublone = 1000 Fuffzisch. Meister kann Kosten mit % anpassen (App-Verhalten, nicht Formel).</t>
        </is>
      </c>
      <c r="G136" t="inlineStr">
        <is>
          <t>Fixwert</t>
        </is>
      </c>
      <c r="H136" t="inlineStr">
        <is>
          <t>5000</t>
        </is>
      </c>
      <c r="J136" t="inlineStr">
        <is>
          <t>KORRIGIERT 2026-07-16 (Nutzerangabe): 5000 Dublonen Startbudget fuer Ausruestung bei Erschaffung (vorher faelschlich 4000 eingetragen).</t>
        </is>
      </c>
    </row>
    <row r="137" hidden="1" ht="15.75" customHeight="1" s="48">
      <c r="A137" s="29" t="inlineStr">
        <is>
          <t>gr_betoeren</t>
        </is>
      </c>
      <c r="B137" s="11" t="inlineStr">
        <is>
          <t>Grundfertigkeit</t>
        </is>
      </c>
      <c r="C137" s="8" t="inlineStr">
        <is>
          <t>Betören</t>
        </is>
      </c>
      <c r="E137" t="inlineStr">
        <is>
          <t>Geistige Grundfertigkeiten: Betören steht für die Fähigkeit, jemand anderem zu imponieren, es zu verführen oder sich einzuschmeicheln. Dies kann gegebenenfalls ausgenutzt werden, um eine Person zu beeinflussen.</t>
        </is>
      </c>
      <c r="G137" s="11" t="inlineStr">
        <is>
          <t>Wert</t>
        </is>
      </c>
      <c r="J137" t="inlineStr">
        <is>
          <t>Kosten = statisch 9 EP/Punkt (Nutzerangabe).</t>
        </is>
      </c>
      <c r="L137" s="28" t="inlineStr">
        <is>
          <t>wert*9</t>
        </is>
      </c>
    </row>
    <row r="138" hidden="1" ht="15.75" customHeight="1" s="48">
      <c r="A138" s="29" t="inlineStr">
        <is>
          <t>gr_einschuechtern</t>
        </is>
      </c>
      <c r="B138" s="11" t="inlineStr">
        <is>
          <t>Grundfertigkeit</t>
        </is>
      </c>
      <c r="C138" s="8" t="inlineStr">
        <is>
          <t>Einschüchtern</t>
        </is>
      </c>
      <c r="E138" t="inlineStr">
        <is>
          <t>Geistige Grundfertigkeiten: Einschüchtern ist die Fähigkeit, andere auf subtile Art einzuschüchtern, Angst zu machen, über das Ausmaß an Furcht hinaus, für das es einen objektiven Grund gibt.</t>
        </is>
      </c>
      <c r="G138" s="11" t="inlineStr">
        <is>
          <t>Wert</t>
        </is>
      </c>
      <c r="J138" t="inlineStr">
        <is>
          <t>Kosten = statisch 9 EP/Punkt (Nutzerangabe).</t>
        </is>
      </c>
      <c r="L138" s="28" t="inlineStr">
        <is>
          <t>wert*9</t>
        </is>
      </c>
    </row>
    <row r="139" hidden="1" ht="15.75" customHeight="1" s="48">
      <c r="A139" s="29" t="inlineStr">
        <is>
          <t>gr_faehrtensuche</t>
        </is>
      </c>
      <c r="B139" s="11" t="inlineStr">
        <is>
          <t>Grundfertigkeit</t>
        </is>
      </c>
      <c r="C139" s="8" t="inlineStr">
        <is>
          <t>Fährtensuche</t>
        </is>
      </c>
      <c r="E139" t="inlineStr">
        <is>
          <t>Geistige Grundfertigkeiten: Fährtensuche ist die Fähigkeit, Fährten oder Spuren, die durch Wesen verursacht wurden, aufzufinden. Das Analysieren dieser Spuren geschieht mit der WHK-Fertigkeit Spuren Lesen.</t>
        </is>
      </c>
      <c r="G139" s="11" t="inlineStr">
        <is>
          <t>Wert</t>
        </is>
      </c>
      <c r="J139" t="inlineStr">
        <is>
          <t>Kosten = statisch 9 EP/Punkt (Nutzerangabe).</t>
        </is>
      </c>
      <c r="L139" s="28" t="inlineStr">
        <is>
          <t>wert*9</t>
        </is>
      </c>
    </row>
    <row r="140" hidden="1" ht="15.75" customHeight="1" s="48">
      <c r="A140" s="29" t="inlineStr">
        <is>
          <t>gr_fliegen</t>
        </is>
      </c>
      <c r="B140" s="11" t="inlineStr">
        <is>
          <t>Grundfertigkeit</t>
        </is>
      </c>
      <c r="C140" s="12" t="inlineStr">
        <is>
          <t>Fliegen</t>
        </is>
      </c>
      <c r="E140" t="inlineStr">
        <is>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is>
      </c>
      <c r="G140" s="11" t="inlineStr">
        <is>
          <t>Wert</t>
        </is>
      </c>
      <c r="J140" t="inlineStr">
        <is>
          <t>Kosten = statisch 9 EP/Punkt (Nutzerangabe).</t>
        </is>
      </c>
      <c r="L140" s="28" t="inlineStr">
        <is>
          <t>wert*9</t>
        </is>
      </c>
    </row>
    <row r="141" hidden="1" ht="15.75" customHeight="1" s="48">
      <c r="A141" s="29" t="inlineStr">
        <is>
          <t>gr_klettern</t>
        </is>
      </c>
      <c r="B141" s="11" t="inlineStr">
        <is>
          <t>Grundfertigkeit</t>
        </is>
      </c>
      <c r="C141" s="12" t="inlineStr">
        <is>
          <t>Klettern</t>
        </is>
      </c>
      <c r="E141" t="inlineStr">
        <is>
          <t>Körperliche Grundfertigkeiten: Klettern kommt zum Tragen, wenn der Charakter in irgendeiner Form klettert und darauf eine Grundfertigkeits-Probe ablegen muss.</t>
        </is>
      </c>
      <c r="G141" s="11" t="inlineStr">
        <is>
          <t>Wert</t>
        </is>
      </c>
      <c r="J141" t="inlineStr">
        <is>
          <t>Kosten = statisch 9 EP/Punkt (Nutzerangabe).</t>
        </is>
      </c>
      <c r="L141" s="28" t="inlineStr">
        <is>
          <t>wert*9</t>
        </is>
      </c>
    </row>
    <row r="142" hidden="1" ht="15.75" customHeight="1" s="48">
      <c r="A142" s="29" t="inlineStr">
        <is>
          <t>gr_koerperbeherrschung</t>
        </is>
      </c>
      <c r="B142" s="11" t="inlineStr">
        <is>
          <t>Grundfertigkeit</t>
        </is>
      </c>
      <c r="C142" s="8" t="inlineStr">
        <is>
          <t>Körperbeherrschung</t>
        </is>
      </c>
      <c r="D142" s="11" t="inlineStr">
        <is>
          <t>KB</t>
        </is>
      </c>
      <c r="E142" t="inlineStr">
        <is>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is>
      </c>
      <c r="G142" s="11" t="inlineStr">
        <is>
          <t>Wert</t>
        </is>
      </c>
      <c r="J142" t="inlineStr">
        <is>
          <t>Kosten = statisch 9 EP/Punkt (Nutzerangabe).</t>
        </is>
      </c>
      <c r="L142" s="28" t="inlineStr">
        <is>
          <t>wert*9</t>
        </is>
      </c>
    </row>
    <row r="143" hidden="1" ht="15.75" customHeight="1" s="48">
      <c r="A143" s="29" t="inlineStr">
        <is>
          <t>gr_laufen</t>
        </is>
      </c>
      <c r="B143" s="11" t="inlineStr">
        <is>
          <t>Grundfertigkeit</t>
        </is>
      </c>
      <c r="C143" s="25" t="inlineStr">
        <is>
          <t>Laufen</t>
        </is>
      </c>
      <c r="E143" t="inlineStr">
        <is>
          <t>Körperliche Grundfertigkeiten: Laufen ist die Fähigkeit eines Charakters, schneller zu laufen. Dazu wird die Fertigkeit Laufen in die Formeln für Sprinten und Dauerlauf eingerechnet.</t>
        </is>
      </c>
      <c r="G143" s="11" t="inlineStr">
        <is>
          <t>Wert</t>
        </is>
      </c>
      <c r="J143" t="inlineStr">
        <is>
          <t>Kosten = statisch 9 EP/Punkt (Nutzerangabe).</t>
        </is>
      </c>
      <c r="L143" s="28" t="inlineStr">
        <is>
          <t>wert*9</t>
        </is>
      </c>
    </row>
    <row r="144" hidden="1" ht="15.75" customHeight="1" s="48">
      <c r="A144" s="11" t="inlineStr">
        <is>
          <t>gr_luft_anhalten</t>
        </is>
      </c>
      <c r="B144" s="11" t="inlineStr">
        <is>
          <t>Grundfertigkeit</t>
        </is>
      </c>
      <c r="C144" s="12" t="inlineStr">
        <is>
          <t>Luft anhalten</t>
        </is>
      </c>
      <c r="E144" t="inlineStr">
        <is>
          <t>Körperliche Grundfertigkeiten: Luft anhalten beschreibt die Fähigkeit des Helden, über längere Zeit ohne Frischluftzufuhr auszukommen.</t>
        </is>
      </c>
      <c r="G144" s="11" t="inlineStr">
        <is>
          <t>Wert</t>
        </is>
      </c>
      <c r="J144" t="inlineStr">
        <is>
          <t>Kosten = statisch 9 EP/Punkt (Nutzerangabe).</t>
        </is>
      </c>
      <c r="L144" s="28" t="inlineStr">
        <is>
          <t>wert*9</t>
        </is>
      </c>
    </row>
    <row r="145" hidden="1" ht="15.75" customHeight="1" s="48">
      <c r="A145" s="11" t="inlineStr">
        <is>
          <t>gr_luegen</t>
        </is>
      </c>
      <c r="B145" s="11" t="inlineStr">
        <is>
          <t>Grundfertigkeit</t>
        </is>
      </c>
      <c r="C145" s="12" t="inlineStr">
        <is>
          <t>Lügen</t>
        </is>
      </c>
      <c r="E145" t="inlineStr">
        <is>
          <t>Geistige Grundfertigkeiten: Lügen ist die Fähigkeit, glaubwürdig die Unwahrheit zu sagen.</t>
        </is>
      </c>
      <c r="G145" s="11" t="inlineStr">
        <is>
          <t>Wert</t>
        </is>
      </c>
      <c r="J145" t="inlineStr">
        <is>
          <t>Kosten = statisch 9 EP/Punkt (Nutzerangabe).</t>
        </is>
      </c>
      <c r="L145" s="28" t="inlineStr">
        <is>
          <t>wert*9</t>
        </is>
      </c>
    </row>
    <row r="146" hidden="1" ht="15.75" customHeight="1" s="48">
      <c r="A146" s="11" t="inlineStr">
        <is>
          <t>gr_menschenkenntnis</t>
        </is>
      </c>
      <c r="B146" s="11" t="inlineStr">
        <is>
          <t>Grundfertigkeit</t>
        </is>
      </c>
      <c r="C146" s="12" t="inlineStr">
        <is>
          <t>Menschenkenntnis</t>
        </is>
      </c>
      <c r="E146" t="inlineStr">
        <is>
          <t>Geistige Grundfertigkeiten: Menschenkenntnis ist die Fähigkeit, einzelne Personen oder sogar Gruppen zu lesen und kleine Feinheiten in ihrem Verhalten wahrzunehmen, die es erlauben, Beeinflussungsversuche, Lügen und ähnliches zu durchschauen.</t>
        </is>
      </c>
      <c r="G146" s="11" t="inlineStr">
        <is>
          <t>Wert</t>
        </is>
      </c>
      <c r="J146" t="inlineStr">
        <is>
          <t>Kosten = statisch 9 EP/Punkt (Nutzerangabe).</t>
        </is>
      </c>
      <c r="L146" s="28" t="inlineStr">
        <is>
          <t>wert*9</t>
        </is>
      </c>
    </row>
    <row r="147" hidden="1" ht="15.75" customHeight="1" s="48">
      <c r="A147" s="11" t="inlineStr">
        <is>
          <t>gr_orientierung</t>
        </is>
      </c>
      <c r="B147" s="11" t="inlineStr">
        <is>
          <t>Grundfertigkeit</t>
        </is>
      </c>
      <c r="C147" s="12" t="inlineStr">
        <is>
          <t>Orientierung</t>
        </is>
      </c>
      <c r="E147" t="inlineStr">
        <is>
          <t>Geistige Grundfertigkeiten: Orientierung beschreibt die Fähigkeit, sich die Umgebung gut einzuprägen, kleine Details wahrzunehmen, die bei der Navigation helfen, sich intuitiv zu orientieren.</t>
        </is>
      </c>
      <c r="G147" s="11" t="inlineStr">
        <is>
          <t>Wert</t>
        </is>
      </c>
      <c r="J147" t="inlineStr">
        <is>
          <t>Kosten = statisch 9 EP/Punkt (Nutzerangabe).</t>
        </is>
      </c>
      <c r="L147" s="28" t="inlineStr">
        <is>
          <t>wert*9</t>
        </is>
      </c>
    </row>
    <row r="148" hidden="1" ht="15.75" customHeight="1" s="48">
      <c r="A148" s="11" t="inlineStr">
        <is>
          <t>gr_reiten</t>
        </is>
      </c>
      <c r="B148" s="11" t="inlineStr">
        <is>
          <t>Grundfertigkeit</t>
        </is>
      </c>
      <c r="C148" s="12" t="inlineStr">
        <is>
          <t>Reiten</t>
        </is>
      </c>
      <c r="E148" t="inlineStr">
        <is>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is>
      </c>
      <c r="G148" s="11" t="inlineStr">
        <is>
          <t>Wert</t>
        </is>
      </c>
      <c r="J148" t="inlineStr">
        <is>
          <t>Kosten = statisch 9 EP/Punkt (Nutzerangabe).</t>
        </is>
      </c>
      <c r="L148" s="28" t="inlineStr">
        <is>
          <t>wert*9</t>
        </is>
      </c>
    </row>
    <row r="149" hidden="1" ht="15.75" customHeight="1" s="48">
      <c r="A149" s="11" t="inlineStr">
        <is>
          <t>gr_rudern</t>
        </is>
      </c>
      <c r="B149" s="11" t="inlineStr">
        <is>
          <t>Grundfertigkeit</t>
        </is>
      </c>
      <c r="C149" s="8" t="inlineStr">
        <is>
          <t>Rudern</t>
        </is>
      </c>
      <c r="E149" t="inlineStr">
        <is>
          <t>Körperliche Grundfertigkeiten: Rudern zählt zum Probenwert hinzu, wenn eine Probe abgelegt wird, um ein Wasserfahrzeug in irgendeiner Form zu rudern.</t>
        </is>
      </c>
      <c r="G149" s="11" t="inlineStr">
        <is>
          <t>Wert</t>
        </is>
      </c>
      <c r="J149" t="inlineStr">
        <is>
          <t>Kosten = statisch 9 EP/Punkt (Nutzerangabe).</t>
        </is>
      </c>
      <c r="L149" s="28" t="inlineStr">
        <is>
          <t>wert*9</t>
        </is>
      </c>
    </row>
    <row r="150" hidden="1" ht="15.75" customHeight="1" s="48">
      <c r="A150" s="11" t="inlineStr">
        <is>
          <t>gr_schaetzen</t>
        </is>
      </c>
      <c r="B150" s="11" t="inlineStr">
        <is>
          <t>Grundfertigkeit</t>
        </is>
      </c>
      <c r="C150" s="12" t="inlineStr">
        <is>
          <t>Schätzen</t>
        </is>
      </c>
      <c r="E150" t="inlineStr">
        <is>
          <t>Geistige Grundfertigkeiten: Schätzen beschreibt die Fähigkeit, Distanzen, Gewichte, Höhen etc. ohne Hilfsmittel einzuschätzen. Für den Geldwert von Waren benötigt man außerdem die passende WHK.</t>
        </is>
      </c>
      <c r="G150" s="11" t="inlineStr">
        <is>
          <t>Wert</t>
        </is>
      </c>
      <c r="J150" t="inlineStr">
        <is>
          <t>Kosten = statisch 9 EP/Punkt (Nutzerangabe).</t>
        </is>
      </c>
      <c r="L150" s="28" t="inlineStr">
        <is>
          <t>wert*9</t>
        </is>
      </c>
    </row>
    <row r="151" hidden="1" ht="15.75" customHeight="1" s="48">
      <c r="A151" s="11" t="inlineStr">
        <is>
          <t>gr_schleichen</t>
        </is>
      </c>
      <c r="B151" s="11" t="inlineStr">
        <is>
          <t>Grundfertigkeit</t>
        </is>
      </c>
      <c r="C151" s="12" t="inlineStr">
        <is>
          <t>Schleichen</t>
        </is>
      </c>
      <c r="E151" t="inlineStr">
        <is>
          <t>Körperliche Grundfertigkeiten: Schleichen ermöglicht es, bei der Fortbewegung weitestgehend lautlos zu sein.</t>
        </is>
      </c>
      <c r="G151" s="11" t="inlineStr">
        <is>
          <t>Wert</t>
        </is>
      </c>
      <c r="J151" t="inlineStr">
        <is>
          <t>Kosten = statisch 9 EP/Punkt (Nutzerangabe).</t>
        </is>
      </c>
      <c r="L151" s="28" t="inlineStr">
        <is>
          <t>wert*9</t>
        </is>
      </c>
    </row>
    <row r="152" hidden="1" ht="15.75" customHeight="1" s="48">
      <c r="A152" s="11" t="inlineStr">
        <is>
          <t>gr_schwimmen</t>
        </is>
      </c>
      <c r="B152" s="11" t="inlineStr">
        <is>
          <t>Grundfertigkeit</t>
        </is>
      </c>
      <c r="C152" s="12" t="inlineStr">
        <is>
          <t>Schwimmen</t>
        </is>
      </c>
      <c r="E152" t="inlineStr">
        <is>
          <t>Körperliche Grundfertigkeiten: Schwimmen erhöht die Sicherheit und Geschwindigkeit der Bewegung des Charakters in Flüssigkeiten. Ein Charakter mit Schwimmen 0 kann auch Schwimmen, wenn die Eigenchaft+SchwimmenProbe gelingt.</t>
        </is>
      </c>
      <c r="G152" s="11" t="inlineStr">
        <is>
          <t>Wert</t>
        </is>
      </c>
      <c r="J152" t="inlineStr">
        <is>
          <t>Kosten = statisch 9 EP/Punkt (Nutzerangabe).</t>
        </is>
      </c>
      <c r="L152" s="28" t="inlineStr">
        <is>
          <t>wert*9</t>
        </is>
      </c>
    </row>
    <row r="153" hidden="1" ht="15.75" customHeight="1" s="48">
      <c r="A153" s="11" t="inlineStr">
        <is>
          <t>gr_springen</t>
        </is>
      </c>
      <c r="B153" s="11" t="inlineStr">
        <is>
          <t>Grundfertigkeit</t>
        </is>
      </c>
      <c r="C153" s="12" t="inlineStr">
        <is>
          <t>Springen</t>
        </is>
      </c>
      <c r="E153" t="inlineStr">
        <is>
          <t>Körperliche Grundfertigkeiten: Springen: Diese Fertigkeit beschreibt die Fähigkeit, besonders weit oder hoch zu springen.</t>
        </is>
      </c>
      <c r="G153" s="11" t="inlineStr">
        <is>
          <t>Wert</t>
        </is>
      </c>
      <c r="J153" t="inlineStr">
        <is>
          <t>Kosten = statisch 9 EP/Punkt (Nutzerangabe).</t>
        </is>
      </c>
      <c r="L153" s="28" t="inlineStr">
        <is>
          <t>wert*9</t>
        </is>
      </c>
    </row>
    <row r="154" hidden="1" ht="15.75" customHeight="1" s="48">
      <c r="A154" s="11" t="inlineStr">
        <is>
          <t>gr_ueberzeugen</t>
        </is>
      </c>
      <c r="B154" s="11" t="inlineStr">
        <is>
          <t>Grundfertigkeit</t>
        </is>
      </c>
      <c r="C154" s="12" t="inlineStr">
        <is>
          <t>Überzeugen</t>
        </is>
      </c>
      <c r="E154" t="inlineStr">
        <is>
          <t>Geistige Grundfertigkeiten: Überzeugen steht für die Fähigkeit, jemand andere überzeugend klar zu machen, dass die vertretene Position die richtige ist.</t>
        </is>
      </c>
      <c r="G154" s="11" t="inlineStr">
        <is>
          <t>Wert</t>
        </is>
      </c>
      <c r="J154" t="inlineStr">
        <is>
          <t>Kosten = statisch 9 EP/Punkt (Nutzerangabe).</t>
        </is>
      </c>
      <c r="L154" s="28" t="inlineStr">
        <is>
          <t>wert*9</t>
        </is>
      </c>
    </row>
    <row r="155" hidden="1" ht="15.75" customHeight="1" s="48">
      <c r="A155" s="11" t="inlineStr">
        <is>
          <t>gr_verstecken</t>
        </is>
      </c>
      <c r="B155" s="11" t="inlineStr">
        <is>
          <t>Grundfertigkeit</t>
        </is>
      </c>
      <c r="C155" s="8" t="inlineStr">
        <is>
          <t>Verstecken</t>
        </is>
      </c>
      <c r="E155" t="inlineStr">
        <is>
          <t>Körperliche Grundfertigkeiten: Verstecken kommt zum Tragen, wenn der Charakter sich selbst oder etwas anderes verstecken oder tarnen möchte.</t>
        </is>
      </c>
      <c r="G155" s="11" t="inlineStr">
        <is>
          <t>Wert</t>
        </is>
      </c>
      <c r="J155" t="inlineStr">
        <is>
          <t>Kosten = statisch 9 EP/Punkt (Nutzerangabe).</t>
        </is>
      </c>
      <c r="L155" s="28" t="inlineStr">
        <is>
          <t>wert*9</t>
        </is>
      </c>
    </row>
    <row r="156" hidden="1" ht="15.75" customHeight="1" s="48">
      <c r="A156" s="29" t="inlineStr">
        <is>
          <t>gr_werfen</t>
        </is>
      </c>
      <c r="B156" s="11" t="inlineStr">
        <is>
          <t>Grundfertigkeit</t>
        </is>
      </c>
      <c r="C156" s="13" t="inlineStr">
        <is>
          <t>Werfen</t>
        </is>
      </c>
      <c r="E156" t="inlineStr">
        <is>
          <t>Körperliche Grundfertigkeiten: Werfen beschreibt die Fähigkeit, Dinge nicht nur wegzuschleudern, sondern gezielt durch die Luft an den gewünschten Ort zu befördern. Werfen zählt zusätzlich als Bonus auf Stärke (bzw. Schnelligkeit beim Wurfspeer) in die Wurfweiten-Formeln ein.</t>
        </is>
      </c>
      <c r="G156" s="11" t="inlineStr">
        <is>
          <t>Wert</t>
        </is>
      </c>
      <c r="J156" t="inlineStr">
        <is>
          <t>Kosten = statisch 9 EP/Punkt (Nutzerangabe).</t>
        </is>
      </c>
      <c r="L156" s="28" t="inlineStr">
        <is>
          <t>wert*9</t>
        </is>
      </c>
    </row>
    <row r="157" hidden="1" ht="15.75" customHeight="1" s="48">
      <c r="A157" s="29" t="inlineStr">
        <is>
          <t>psi_deformation</t>
        </is>
      </c>
      <c r="B157" s="11" t="inlineStr">
        <is>
          <t>PSI</t>
        </is>
      </c>
      <c r="C157" s="13" t="inlineStr">
        <is>
          <t>Deformation</t>
        </is>
      </c>
      <c r="D157" s="17" t="n"/>
      <c r="E15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7" s="10" t="inlineStr">
        <is>
          <t>psi_hoehere_telekinese</t>
        </is>
      </c>
      <c r="G157" s="11" t="inlineStr">
        <is>
          <t>Wert</t>
        </is>
      </c>
      <c r="J157" t="inlineStr">
        <is>
          <t>Kosten = statisch 9 EP/Punkt (Nutzerangabe).</t>
        </is>
      </c>
      <c r="L157" s="28" t="inlineStr">
        <is>
          <t>wert*9</t>
        </is>
      </c>
      <c r="O157" t="n">
        <v>10</v>
      </c>
      <c r="P157" t="inlineStr">
        <is>
          <t>eig_bonus_k_staerke</t>
        </is>
      </c>
    </row>
    <row r="158" hidden="1" ht="15.75" customHeight="1" s="48">
      <c r="A158" s="29" t="inlineStr">
        <is>
          <t>psi_destruktion</t>
        </is>
      </c>
      <c r="B158" s="11" t="inlineStr">
        <is>
          <t>PSI</t>
        </is>
      </c>
      <c r="C158" s="13" t="inlineStr">
        <is>
          <t>Destruktion</t>
        </is>
      </c>
      <c r="D158" s="17" t="n"/>
      <c r="E15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8" s="10" t="inlineStr">
        <is>
          <t>psi_pyrokinese</t>
        </is>
      </c>
      <c r="G158" s="11" t="inlineStr">
        <is>
          <t>Wert</t>
        </is>
      </c>
      <c r="J158" t="inlineStr">
        <is>
          <t>Kosten = statisch 9 EP/Punkt (Nutzerangabe).</t>
        </is>
      </c>
      <c r="L158" s="28" t="inlineStr">
        <is>
          <t>wert*9</t>
        </is>
      </c>
      <c r="O158" t="n">
        <v>15</v>
      </c>
      <c r="P158" t="inlineStr">
        <is>
          <t>eig_bonus_g_willenskraft</t>
        </is>
      </c>
    </row>
    <row r="159" hidden="1" ht="15.75" customHeight="1" s="48">
      <c r="A159" s="29" t="inlineStr">
        <is>
          <t>psi_geschosse_ablenken</t>
        </is>
      </c>
      <c r="B159" s="11" t="inlineStr">
        <is>
          <t>PSI</t>
        </is>
      </c>
      <c r="C159" s="13" t="inlineStr">
        <is>
          <t>Geschosse ablenken</t>
        </is>
      </c>
      <c r="D159" s="17" t="n"/>
      <c r="E159"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9" s="10" t="inlineStr">
        <is>
          <t>psi_deformation</t>
        </is>
      </c>
      <c r="G159" s="11" t="inlineStr">
        <is>
          <t>Wert</t>
        </is>
      </c>
      <c r="J159" t="inlineStr">
        <is>
          <t>Kosten = statisch 9 EP/Punkt (Nutzerangabe).</t>
        </is>
      </c>
      <c r="L159" s="28" t="inlineStr">
        <is>
          <t>wert*9</t>
        </is>
      </c>
      <c r="O159" t="n">
        <v>10</v>
      </c>
      <c r="P159" t="inlineStr">
        <is>
          <t>eig_bonus_k_schnelligkeit</t>
        </is>
      </c>
    </row>
    <row r="160" hidden="1" ht="15.75" customHeight="1" s="48">
      <c r="A160" s="29" t="inlineStr">
        <is>
          <t>psi_hoehere_telekinese</t>
        </is>
      </c>
      <c r="B160" s="11" t="inlineStr">
        <is>
          <t>PSI</t>
        </is>
      </c>
      <c r="C160" s="13" t="inlineStr">
        <is>
          <t>Höhere Telekinese</t>
        </is>
      </c>
      <c r="D160" s="17" t="n"/>
      <c r="E160"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0" s="10" t="inlineStr">
        <is>
          <t>psi_telekinese</t>
        </is>
      </c>
      <c r="G160" s="11" t="inlineStr">
        <is>
          <t>Wert</t>
        </is>
      </c>
      <c r="J160" t="inlineStr">
        <is>
          <t>Kosten = statisch 9 EP/Punkt (Nutzerangabe).</t>
        </is>
      </c>
      <c r="L160" s="28" t="inlineStr">
        <is>
          <t>wert*9</t>
        </is>
      </c>
      <c r="O160" t="n">
        <v>15</v>
      </c>
      <c r="P160" t="inlineStr">
        <is>
          <t>eig_bonus_g_willenskraft</t>
        </is>
      </c>
    </row>
    <row r="161" hidden="1" ht="15.75" customHeight="1" s="48">
      <c r="A161" s="29" t="inlineStr">
        <is>
          <t>psi_im_schatten_verstecken</t>
        </is>
      </c>
      <c r="B161" s="11" t="inlineStr">
        <is>
          <t>PSI</t>
        </is>
      </c>
      <c r="C161" s="13" t="inlineStr">
        <is>
          <t>Im Schatten verstecken</t>
        </is>
      </c>
      <c r="D161" s="10" t="n"/>
      <c r="E161"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1" s="10" t="inlineStr">
        <is>
          <t>psi_suggestion</t>
        </is>
      </c>
      <c r="G161" s="11" t="inlineStr">
        <is>
          <t>Wert</t>
        </is>
      </c>
      <c r="J161" t="inlineStr">
        <is>
          <t>Kosten = statisch 9 EP/Punkt (Nutzerangabe).</t>
        </is>
      </c>
      <c r="L161" s="28" t="inlineStr">
        <is>
          <t>wert*9</t>
        </is>
      </c>
      <c r="O161" t="n">
        <v>10</v>
      </c>
      <c r="P161" t="inlineStr">
        <is>
          <t>eig_bonus_g_ausstrahlung</t>
        </is>
      </c>
    </row>
    <row r="162" hidden="1" ht="15.75" customHeight="1" s="48">
      <c r="A162" s="29" t="inlineStr">
        <is>
          <t>psi_im_wald_verstecken</t>
        </is>
      </c>
      <c r="B162" s="11" t="inlineStr">
        <is>
          <t>PSI</t>
        </is>
      </c>
      <c r="C162" s="13" t="inlineStr">
        <is>
          <t>Im Wald verstecken</t>
        </is>
      </c>
      <c r="D162" s="10" t="n"/>
      <c r="E16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2" s="10" t="inlineStr">
        <is>
          <t>psi_suggestion</t>
        </is>
      </c>
      <c r="G162" s="11" t="inlineStr">
        <is>
          <t>Wert</t>
        </is>
      </c>
      <c r="J162" t="inlineStr">
        <is>
          <t>Kosten = statisch 9 EP/Punkt (Nutzerangabe).</t>
        </is>
      </c>
      <c r="L162" s="28" t="inlineStr">
        <is>
          <t>wert*9</t>
        </is>
      </c>
      <c r="O162" t="n">
        <v>10</v>
      </c>
      <c r="P162" t="inlineStr">
        <is>
          <t>eig_bonus_g_ausstrahlung</t>
        </is>
      </c>
    </row>
    <row r="163" hidden="1" ht="15.75" customHeight="1" s="48">
      <c r="A163" s="29" t="inlineStr">
        <is>
          <t>psi_in_der_ferne_verstecken</t>
        </is>
      </c>
      <c r="B163" s="11" t="inlineStr">
        <is>
          <t>PSI</t>
        </is>
      </c>
      <c r="C163" s="13" t="inlineStr">
        <is>
          <t>In der Ferne verstecken</t>
        </is>
      </c>
      <c r="D163" s="10" t="n"/>
      <c r="E16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3" s="10" t="inlineStr">
        <is>
          <t>psi_suggestion</t>
        </is>
      </c>
      <c r="G163" s="11" t="inlineStr">
        <is>
          <t>Wert</t>
        </is>
      </c>
      <c r="J163" t="inlineStr">
        <is>
          <t>Kosten = statisch 9 EP/Punkt (Nutzerangabe).</t>
        </is>
      </c>
      <c r="L163" s="28" t="inlineStr">
        <is>
          <t>wert*9</t>
        </is>
      </c>
      <c r="O163" t="n">
        <v>10</v>
      </c>
      <c r="P163" t="inlineStr">
        <is>
          <t>eig_bonus_g_ausstrahlung</t>
        </is>
      </c>
    </row>
    <row r="164" hidden="1" ht="15.75" customHeight="1" s="48">
      <c r="A164" s="29" t="inlineStr">
        <is>
          <t>psi_in_der_menge_verstecken</t>
        </is>
      </c>
      <c r="B164" s="11" t="inlineStr">
        <is>
          <t>PSI</t>
        </is>
      </c>
      <c r="C164" s="13" t="inlineStr">
        <is>
          <t>In der Menge verstecken</t>
        </is>
      </c>
      <c r="D164" s="10" t="n"/>
      <c r="E16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4" s="10" t="inlineStr">
        <is>
          <t>psi_suggestion</t>
        </is>
      </c>
      <c r="G164" s="11" t="inlineStr">
        <is>
          <t>Wert</t>
        </is>
      </c>
      <c r="J164" t="inlineStr">
        <is>
          <t>Kosten = statisch 9 EP/Punkt (Nutzerangabe).</t>
        </is>
      </c>
      <c r="L164" s="28" t="inlineStr">
        <is>
          <t>wert*9</t>
        </is>
      </c>
      <c r="O164" t="n">
        <v>10</v>
      </c>
      <c r="P164" t="inlineStr">
        <is>
          <t>eig_bonus_g_ausstrahlung</t>
        </is>
      </c>
    </row>
    <row r="165" hidden="1" ht="15.75" customHeight="1" s="48">
      <c r="A165" s="29" t="inlineStr">
        <is>
          <t>psi_kryokinese</t>
        </is>
      </c>
      <c r="B165" s="11" t="inlineStr">
        <is>
          <t>PSI</t>
        </is>
      </c>
      <c r="C165" s="13" t="inlineStr">
        <is>
          <t>Kryokinese</t>
        </is>
      </c>
      <c r="D165" s="10" t="n"/>
      <c r="E165"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5" s="10" t="inlineStr">
        <is>
          <t>psi_telekinese</t>
        </is>
      </c>
      <c r="G165" s="11" t="inlineStr">
        <is>
          <t>Wert</t>
        </is>
      </c>
      <c r="J165" t="inlineStr">
        <is>
          <t>Kosten = statisch 9 EP/Punkt (Nutzerangabe).</t>
        </is>
      </c>
      <c r="L165" s="28" t="inlineStr">
        <is>
          <t>wert*9</t>
        </is>
      </c>
      <c r="O165" t="n">
        <v>10</v>
      </c>
      <c r="P165" t="inlineStr">
        <is>
          <t>eig_bonus_g_intelligenz</t>
        </is>
      </c>
    </row>
    <row r="166" hidden="1" ht="15.75" customHeight="1" s="48">
      <c r="A166" s="29" t="inlineStr">
        <is>
          <t>psi_pyrokinese</t>
        </is>
      </c>
      <c r="B166" s="11" t="inlineStr">
        <is>
          <t>PSI</t>
        </is>
      </c>
      <c r="C166" s="13" t="inlineStr">
        <is>
          <t>Pyrokinese</t>
        </is>
      </c>
      <c r="D166" s="10" t="n"/>
      <c r="E166"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6" s="10" t="inlineStr">
        <is>
          <t>psi_kryokinese</t>
        </is>
      </c>
      <c r="G166" s="11" t="inlineStr">
        <is>
          <t>Wert</t>
        </is>
      </c>
      <c r="J166" t="inlineStr">
        <is>
          <t>Kosten = statisch 9 EP/Punkt (Nutzerangabe).</t>
        </is>
      </c>
      <c r="L166" s="28" t="inlineStr">
        <is>
          <t>wert*9</t>
        </is>
      </c>
      <c r="O166" t="n">
        <v>15</v>
      </c>
      <c r="P166" t="inlineStr">
        <is>
          <t>eig_bonus_g_intelligenz</t>
        </is>
      </c>
    </row>
    <row r="167" hidden="1" ht="15.75" customHeight="1" s="48">
      <c r="A167" s="29" t="inlineStr">
        <is>
          <t>psi_telekinese_griff</t>
        </is>
      </c>
      <c r="B167" s="11" t="inlineStr">
        <is>
          <t>PSI</t>
        </is>
      </c>
      <c r="C167" s="13" t="inlineStr">
        <is>
          <t>Telekinese Griff</t>
        </is>
      </c>
      <c r="D167" s="17" t="n"/>
      <c r="E16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7" s="10" t="inlineStr">
        <is>
          <t>psi_hoehere_telekinese</t>
        </is>
      </c>
      <c r="G167" s="11" t="inlineStr">
        <is>
          <t>Wert</t>
        </is>
      </c>
      <c r="J167" t="inlineStr">
        <is>
          <t>Kosten = statisch 9 EP/Punkt (Nutzerangabe).</t>
        </is>
      </c>
      <c r="L167" s="28" t="inlineStr">
        <is>
          <t>wert*9</t>
        </is>
      </c>
      <c r="O167" t="n">
        <v>15</v>
      </c>
      <c r="P167" t="inlineStr">
        <is>
          <t>eig_bonus_k_staerke</t>
        </is>
      </c>
    </row>
    <row r="168" hidden="1" ht="15.75" customHeight="1" s="48">
      <c r="A168" s="29" t="inlineStr">
        <is>
          <t>psi_telekinetisches_geschoss</t>
        </is>
      </c>
      <c r="B168" s="11" t="inlineStr">
        <is>
          <t>PSI</t>
        </is>
      </c>
      <c r="C168" s="13" t="inlineStr">
        <is>
          <t>Telekinetisches Geschoss</t>
        </is>
      </c>
      <c r="D168" s="17" t="n"/>
      <c r="E16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8" s="10" t="inlineStr">
        <is>
          <t>psi_telekinese</t>
        </is>
      </c>
      <c r="G168" s="11" t="inlineStr">
        <is>
          <t>Wert</t>
        </is>
      </c>
      <c r="J168" t="inlineStr">
        <is>
          <t>Kosten = statisch 9 EP/Punkt (Nutzerangabe).</t>
        </is>
      </c>
      <c r="L168" s="28" t="inlineStr">
        <is>
          <t>wert*9</t>
        </is>
      </c>
      <c r="O168" t="n">
        <v>12</v>
      </c>
      <c r="P168" t="inlineStr">
        <is>
          <t>eig_bonus_g_willenskraft</t>
        </is>
      </c>
    </row>
    <row r="169" hidden="1" ht="15.75" customHeight="1" s="48">
      <c r="A169" s="29" t="inlineStr">
        <is>
          <t>sf_alchemieresistenz</t>
        </is>
      </c>
      <c r="B169" s="11" t="inlineStr">
        <is>
          <t>Sonderfertigkeit</t>
        </is>
      </c>
      <c r="C169" s="12" t="inlineStr">
        <is>
          <t>Alchemieresistenz</t>
        </is>
      </c>
      <c r="E169" t="inlineStr">
        <is>
          <t>Alchemieresistenz zählt in die Formel auf der Seite „Gifte und Tränke“. Nur mit dem Vorteil „SF: Alchemieresistenz“ verfügbar. Maximum 12.</t>
        </is>
      </c>
      <c r="G169" s="11" t="inlineStr">
        <is>
          <t>Wert</t>
        </is>
      </c>
      <c r="J169" t="inlineStr">
        <is>
          <t>Kosten = statisch 9 EP/Punkt (Nutzerangabe). | VORAUSSETZUNG_VORTEIL=vn_sf_alchemieresistenz | MAXIMUM=12</t>
        </is>
      </c>
      <c r="L169" s="28" t="inlineStr">
        <is>
          <t>wert*9</t>
        </is>
      </c>
    </row>
    <row r="170" hidden="1" ht="15.75" customHeight="1" s="48">
      <c r="A170" s="29" t="inlineStr">
        <is>
          <t>sf_ausdauer</t>
        </is>
      </c>
      <c r="B170" s="11" t="inlineStr">
        <is>
          <t>Sonderfertigkeit</t>
        </is>
      </c>
      <c r="C170" s="12" t="inlineStr">
        <is>
          <t>Ausdauer</t>
        </is>
      </c>
      <c r="E170" t="inlineStr">
        <is>
          <t>Ausdauer zählt in die Ausdauer-Formel.</t>
        </is>
      </c>
      <c r="G170" s="11" t="inlineStr">
        <is>
          <t>Wert</t>
        </is>
      </c>
      <c r="J170" t="inlineStr">
        <is>
          <t>Kosten = statisch 9 EP/Punkt (Nutzerangabe).</t>
        </is>
      </c>
      <c r="L170" s="28" t="inlineStr">
        <is>
          <t>wert*9</t>
        </is>
      </c>
    </row>
    <row r="171" hidden="1" ht="15.75" customHeight="1" s="48">
      <c r="A171" s="29" t="inlineStr">
        <is>
          <t>sf_ausweichen</t>
        </is>
      </c>
      <c r="B171" s="11" t="inlineStr">
        <is>
          <t>Sonderfertigkeit</t>
        </is>
      </c>
      <c r="C171" s="12" t="inlineStr">
        <is>
          <t>Ausweichen</t>
        </is>
      </c>
      <c r="D171" s="11" t="inlineStr">
        <is>
          <t>AW</t>
        </is>
      </c>
      <c r="E171" t="inlineStr">
        <is>
          <t>Ausweichen zählt sowohl in die Formel für offensives als auch in die Formel für defensives Ausweichen.</t>
        </is>
      </c>
      <c r="G171" s="11" t="inlineStr">
        <is>
          <t>Wert</t>
        </is>
      </c>
      <c r="J171" t="inlineStr">
        <is>
          <t>Kosten = statisch 9 EP/Punkt (Nutzerangabe).</t>
        </is>
      </c>
      <c r="L171" s="28" t="inlineStr">
        <is>
          <t>wert*9</t>
        </is>
      </c>
    </row>
    <row r="172" hidden="1" ht="15.75" customHeight="1" s="48">
      <c r="A172" s="29" t="inlineStr">
        <is>
          <t>sf_fliehen</t>
        </is>
      </c>
      <c r="B172" s="11" t="inlineStr">
        <is>
          <t>Sonderfertigkeit</t>
        </is>
      </c>
      <c r="C172" s="12" t="inlineStr">
        <is>
          <t>Fliehen</t>
        </is>
      </c>
      <c r="E172" t="inlineStr">
        <is>
          <t>Fliehen gilt als Bonus bei allen Fliehen-Proben, auch bei einer Verfolgungsjagd.</t>
        </is>
      </c>
      <c r="G172" s="11" t="inlineStr">
        <is>
          <t>Wert</t>
        </is>
      </c>
      <c r="J172" t="inlineStr">
        <is>
          <t>Kosten = statisch 9 EP/Punkt (Nutzerangabe).</t>
        </is>
      </c>
      <c r="L172" s="28" t="inlineStr">
        <is>
          <t>wert*9</t>
        </is>
      </c>
    </row>
    <row r="173" hidden="1" ht="15.75" customHeight="1" s="48">
      <c r="A173" s="29" t="inlineStr">
        <is>
          <t>sf_gefahreninstinkt</t>
        </is>
      </c>
      <c r="B173" s="11" t="inlineStr">
        <is>
          <t>Sonderfertigkeit</t>
        </is>
      </c>
      <c r="C173" s="8" t="inlineStr">
        <is>
          <t>Gefahreninstinkt</t>
        </is>
      </c>
      <c r="E173" t="inlineStr">
        <is>
          <t>Gefahreninstinkt zählt in die Gefahreninstinkt-Formel. Deren Probenwert ergibt sich aus Sinneschärfe plus Gefahreninstinkt.</t>
        </is>
      </c>
      <c r="G173" s="11" t="inlineStr">
        <is>
          <t>Wert</t>
        </is>
      </c>
      <c r="J173" t="inlineStr">
        <is>
          <t>Kosten = statisch 9 EP/Punkt (Nutzerangabe).</t>
        </is>
      </c>
      <c r="L173" s="28" t="inlineStr">
        <is>
          <t>wert*9</t>
        </is>
      </c>
    </row>
    <row r="174" hidden="1" ht="15.75" customHeight="1" s="48">
      <c r="A174" s="29" t="inlineStr">
        <is>
          <t>sf_gutes_aw</t>
        </is>
      </c>
      <c r="B174" s="11" t="inlineStr">
        <is>
          <t>Sonderfertigkeit</t>
        </is>
      </c>
      <c r="C174" s="12" t="inlineStr">
        <is>
          <t>Gutes AW</t>
        </is>
      </c>
      <c r="D174" s="11" t="inlineStr">
        <is>
          <t>gAW</t>
        </is>
      </c>
      <c r="E174" t="inlineStr">
        <is>
          <t>Gutes Ausweichen zählt in die Gutes-Ausweichen-Formel.</t>
        </is>
      </c>
      <c r="G174" s="11" t="inlineStr">
        <is>
          <t>Wert</t>
        </is>
      </c>
      <c r="J174" t="inlineStr">
        <is>
          <t>Kosten = statisch 9 EP/Punkt (Nutzerangabe).</t>
        </is>
      </c>
      <c r="L174" s="28" t="inlineStr">
        <is>
          <t>wert*9</t>
        </is>
      </c>
    </row>
    <row r="175" hidden="1" ht="15.75" customHeight="1" s="48">
      <c r="A175" s="29" t="inlineStr">
        <is>
          <t>sf_ladeschuetze_armbrust</t>
        </is>
      </c>
      <c r="B175" s="11" t="inlineStr">
        <is>
          <t>Sonderfertigkeit</t>
        </is>
      </c>
      <c r="C175" s="12" t="inlineStr">
        <is>
          <t>Ladeschütze Armbrust</t>
        </is>
      </c>
      <c r="E175" t="inlineStr">
        <is>
          <t>Ladeschütze Armbrust verringert die Ladezeit um (Ges.-Bon. + Sonderfertigkeit Ladeschütze Armbrust), geteilt durch den Ladezeit-Modifikator der jeweiligen Waffe, aufgerundet, in Sekunden. Die Ladezeit kann nicht unter eine Sekunde fallen.</t>
        </is>
      </c>
      <c r="G175" s="11" t="inlineStr">
        <is>
          <t>Wert</t>
        </is>
      </c>
      <c r="J175" t="inlineStr">
        <is>
          <t>Kosten = statisch 9 EP/Punkt (Nutzerangabe).</t>
        </is>
      </c>
      <c r="L175" s="28" t="inlineStr">
        <is>
          <t>wert*9</t>
        </is>
      </c>
    </row>
    <row r="176" hidden="1" ht="15.75" customHeight="1" s="48">
      <c r="A176" s="29" t="inlineStr">
        <is>
          <t>sf_ladeschuetze_blasrohr</t>
        </is>
      </c>
      <c r="B176" s="11" t="inlineStr">
        <is>
          <t>Sonderfertigkeit</t>
        </is>
      </c>
      <c r="C176" s="12" t="inlineStr">
        <is>
          <t>Ladeschütze Blasrohr</t>
        </is>
      </c>
      <c r="E176" t="inlineStr">
        <is>
          <t>Ladeschütze Blasrohr verringert die Ladezeit um (Ges.-Bon. + Sonderfertigkeit Ladeschütze Blasrohr), geteilt durch den Ladezeit-Modifikator der jeweiligen Waffe, aufgerundet, in Sekunden. Die Ladezeit kann nicht unter eine Sekunde fallen.</t>
        </is>
      </c>
      <c r="G176" s="11" t="inlineStr">
        <is>
          <t>Wert</t>
        </is>
      </c>
      <c r="J176" t="inlineStr">
        <is>
          <t>Kosten = statisch 9 EP/Punkt (Nutzerangabe).</t>
        </is>
      </c>
      <c r="L176" s="28" t="inlineStr">
        <is>
          <t>wert*9</t>
        </is>
      </c>
    </row>
    <row r="177" hidden="1" ht="15.75" customHeight="1" s="48">
      <c r="A177" s="29" t="inlineStr">
        <is>
          <t>sf_ladeschuetze_bogen</t>
        </is>
      </c>
      <c r="B177" s="11" t="inlineStr">
        <is>
          <t>Sonderfertigkeit</t>
        </is>
      </c>
      <c r="C177" s="12" t="inlineStr">
        <is>
          <t>Ladeschütze Bogen</t>
        </is>
      </c>
      <c r="E177" t="inlineStr">
        <is>
          <t>Ladeschütze Bogen verringert die Ladezeit um (Ges.-Bon. + Sonderfertigkeit Ladeschütze Bogen), geteilt durch den Ladezeit-Modifikator der jeweiligen Waffe, aufgerundet, in Sekunden. Die Ladezeit kann nicht unter eine Sekunde fallen.</t>
        </is>
      </c>
      <c r="G177" s="11" t="inlineStr">
        <is>
          <t>Wert</t>
        </is>
      </c>
      <c r="J177" t="inlineStr">
        <is>
          <t>Kosten = statisch 9 EP/Punkt (Nutzerangabe).</t>
        </is>
      </c>
      <c r="L177" s="28" t="inlineStr">
        <is>
          <t>wert*9</t>
        </is>
      </c>
    </row>
    <row r="178" hidden="1" ht="15.75" customHeight="1" s="48">
      <c r="A178" s="29" t="inlineStr">
        <is>
          <t>sf_ladeschuetze_kanone</t>
        </is>
      </c>
      <c r="B178" s="11" t="inlineStr">
        <is>
          <t>Sonderfertigkeit</t>
        </is>
      </c>
      <c r="C178" s="8" t="inlineStr">
        <is>
          <t>Ladeschütze Kanone</t>
        </is>
      </c>
      <c r="E178" t="inlineStr">
        <is>
          <t>Ladeschütze Kanone verringert die Ladezeit um (Ges.-Bon. + Sonderfertigkeit Ladeschütze Kanone), geteilt durch den Ladezeit-Modifikator der jeweiligen Waffe, aufgerundet, in Sekunden. Die Ladezeit kann nicht unter eine Sekunde fallen.</t>
        </is>
      </c>
      <c r="G178" s="11" t="inlineStr">
        <is>
          <t>Wert</t>
        </is>
      </c>
      <c r="J178" t="inlineStr">
        <is>
          <t>Kosten = statisch 9 EP/Punkt (Nutzerangabe).</t>
        </is>
      </c>
      <c r="L178" s="28" t="inlineStr">
        <is>
          <t>wert*9</t>
        </is>
      </c>
    </row>
    <row r="179" hidden="1" ht="15.75" customHeight="1" s="48">
      <c r="A179" s="29" t="inlineStr">
        <is>
          <t>sf_ladeschuetze_patrone</t>
        </is>
      </c>
      <c r="B179" s="11" t="inlineStr">
        <is>
          <t>Sonderfertigkeit</t>
        </is>
      </c>
      <c r="C179" s="12" t="inlineStr">
        <is>
          <t>Ladeschütze Patrone</t>
        </is>
      </c>
      <c r="E179" t="inlineStr">
        <is>
          <t>Ladeschütze Patrone verringert die Ladezeit um (Ges.-Bon. + Sonderfertigkeit Ladeschütze Patrone), geteilt durch den Ladezeit-Modifikator der jeweiligen Waffe, aufgerundet, in Sekunden. Die Ladezeit kann nicht unter eine Sekunde fallen.</t>
        </is>
      </c>
      <c r="G179" s="11" t="inlineStr">
        <is>
          <t>Wert</t>
        </is>
      </c>
      <c r="J179" t="inlineStr">
        <is>
          <t>Kosten = statisch 9 EP/Punkt (Nutzerangabe).</t>
        </is>
      </c>
      <c r="L179" s="28" t="inlineStr">
        <is>
          <t>wert*9</t>
        </is>
      </c>
    </row>
    <row r="180" hidden="1" ht="15.75" customHeight="1" s="48">
      <c r="A180" s="29" t="inlineStr">
        <is>
          <t>sf_ladeschuetze_rune</t>
        </is>
      </c>
      <c r="B180" s="11" t="inlineStr">
        <is>
          <t>Sonderfertigkeit</t>
        </is>
      </c>
      <c r="C180" s="8" t="inlineStr">
        <is>
          <t>Ladeschütze Rune</t>
        </is>
      </c>
      <c r="E180" t="inlineStr">
        <is>
          <t>Ladeschütze Rune verringert die Ladezeit um (Ges.-Bon. + Sonderfertigkeit Ladeschütze Rune), geteilt durch den Ladezeit-Modifikator der jeweiligen Waffe, aufgerundet, in Sekunden. Die Ladezeit kann nicht unter eine Sekunde fallen.</t>
        </is>
      </c>
      <c r="G180" s="11" t="inlineStr">
        <is>
          <t>Wert</t>
        </is>
      </c>
      <c r="J180" t="inlineStr">
        <is>
          <t>Kosten = statisch 9 EP/Punkt (Nutzerangabe).</t>
        </is>
      </c>
      <c r="L180" s="28" t="inlineStr">
        <is>
          <t>wert*9</t>
        </is>
      </c>
    </row>
    <row r="181" hidden="1" ht="15.75" customHeight="1" s="48">
      <c r="A181" s="29" t="inlineStr">
        <is>
          <t>#sf_ladeschuetze_schleuder</t>
        </is>
      </c>
      <c r="B181" s="11" t="inlineStr">
        <is>
          <t>Sonderfertigkeit</t>
        </is>
      </c>
      <c r="C181" s="12" t="inlineStr">
        <is>
          <t>Ladeschütze Schleuder</t>
        </is>
      </c>
      <c r="G181" s="11" t="inlineStr">
        <is>
          <t>Wert</t>
        </is>
      </c>
      <c r="J181" t="inlineStr">
        <is>
          <t>Kosten = statisch 9 EP/Punkt (Nutzerangabe).</t>
        </is>
      </c>
      <c r="L181" s="28" t="inlineStr">
        <is>
          <t>wert*9</t>
        </is>
      </c>
    </row>
    <row r="182" hidden="1" ht="15.75" customHeight="1" s="48">
      <c r="A182" s="29" t="inlineStr">
        <is>
          <t>sf_ladeschuetze_vorderlader</t>
        </is>
      </c>
      <c r="B182" s="11" t="inlineStr">
        <is>
          <t>Sonderfertigkeit</t>
        </is>
      </c>
      <c r="C182" s="12" t="inlineStr">
        <is>
          <t>Ladeschütze Vorderlader</t>
        </is>
      </c>
      <c r="E182" t="inlineStr">
        <is>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is>
      </c>
      <c r="G182" s="11" t="inlineStr">
        <is>
          <t>Wert</t>
        </is>
      </c>
      <c r="J182" t="inlineStr">
        <is>
          <t>Kosten = statisch 9 EP/Punkt (Nutzerangabe).</t>
        </is>
      </c>
      <c r="L182" s="28" t="inlineStr">
        <is>
          <t>wert*9</t>
        </is>
      </c>
    </row>
    <row r="183" hidden="1" ht="15.75" customHeight="1" s="48">
      <c r="A183" s="29" t="inlineStr">
        <is>
          <t>sf_ladeschuetze_wurfmesser</t>
        </is>
      </c>
      <c r="B183" s="11" t="inlineStr">
        <is>
          <t>Sonderfertigkeit</t>
        </is>
      </c>
      <c r="C183" s="12" t="inlineStr">
        <is>
          <t>Ladeschütze Wurfmesser</t>
        </is>
      </c>
      <c r="E183" t="inlineStr">
        <is>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is>
      </c>
      <c r="G183" s="11" t="inlineStr">
        <is>
          <t>Wert</t>
        </is>
      </c>
      <c r="J183" t="inlineStr">
        <is>
          <t>Kosten = statisch 9 EP/Punkt (Nutzerangabe).</t>
        </is>
      </c>
      <c r="L183" s="28" t="inlineStr">
        <is>
          <t>wert*9</t>
        </is>
      </c>
    </row>
    <row r="184" hidden="1" ht="15.75" customHeight="1" s="48">
      <c r="A184" s="29" t="inlineStr">
        <is>
          <t>sf_mana_talent</t>
        </is>
      </c>
      <c r="B184" s="11" t="inlineStr">
        <is>
          <t>Sonderfertigkeit</t>
        </is>
      </c>
      <c r="C184" s="12" t="inlineStr">
        <is>
          <t>Mana-Talent</t>
        </is>
      </c>
      <c r="E184" t="inlineStr">
        <is>
          <t>Mana-Talent erhöht das Mana um 2 Punkte pro Fertigkeitspunkt.</t>
        </is>
      </c>
      <c r="G184" s="11" t="inlineStr">
        <is>
          <t>Wert</t>
        </is>
      </c>
      <c r="J184" t="inlineStr">
        <is>
          <t>Kosten = statisch 9 EP/Punkt (Nutzerangabe).</t>
        </is>
      </c>
      <c r="L184" s="28" t="inlineStr">
        <is>
          <t>wert*9</t>
        </is>
      </c>
    </row>
    <row r="185" hidden="1" ht="15.75" customHeight="1" s="48">
      <c r="A185" s="29" t="inlineStr">
        <is>
          <t>sf_meditation</t>
        </is>
      </c>
      <c r="B185" s="11" t="inlineStr">
        <is>
          <t>Sonderfertigkeit</t>
        </is>
      </c>
      <c r="C185" s="12" t="inlineStr">
        <is>
          <t>Meditation</t>
        </is>
      </c>
      <c r="E185" t="inlineStr">
        <is>
          <t>Meditation ermöglicht es einem Charakter, sich während einer Meditation in die Astralsphäre zu versenken und so halbstündlich Manapunkte in Höhe seines Fertigkeitswertes zu regenerieren.</t>
        </is>
      </c>
      <c r="G185" s="11" t="inlineStr">
        <is>
          <t>Wert</t>
        </is>
      </c>
      <c r="J185" t="inlineStr">
        <is>
          <t>Kosten = statisch 9 EP/Punkt (Nutzerangabe).</t>
        </is>
      </c>
      <c r="L185" s="28" t="inlineStr">
        <is>
          <t>wert*9</t>
        </is>
      </c>
    </row>
    <row r="186" hidden="1" ht="15.75" customHeight="1" s="48">
      <c r="A186" s="29" t="inlineStr">
        <is>
          <t>sf_meisterliches_ausweichen</t>
        </is>
      </c>
      <c r="B186" s="11" t="inlineStr">
        <is>
          <t>Sonderfertigkeit</t>
        </is>
      </c>
      <c r="C186" s="12" t="inlineStr">
        <is>
          <t>Meisterliches Ausweichen</t>
        </is>
      </c>
      <c r="D186" s="11" t="inlineStr">
        <is>
          <t>mAW</t>
        </is>
      </c>
      <c r="E186" t="inlineStr">
        <is>
          <t>Meisterliches Ausweichen zählt in die Meisterliches-Ausweichen-Formel.</t>
        </is>
      </c>
      <c r="G186" s="11" t="inlineStr">
        <is>
          <t>Wert</t>
        </is>
      </c>
      <c r="J186" t="inlineStr">
        <is>
          <t>Kosten = statisch 9 EP/Punkt (Nutzerangabe).</t>
        </is>
      </c>
      <c r="L186" s="28" t="inlineStr">
        <is>
          <t>wert*9</t>
        </is>
      </c>
    </row>
    <row r="187" hidden="1" ht="15.75" customHeight="1" s="48">
      <c r="A187" s="29" t="inlineStr">
        <is>
          <t>sf_mentale_kapazitaet</t>
        </is>
      </c>
      <c r="B187" s="11" t="inlineStr">
        <is>
          <t>Sonderfertigkeit</t>
        </is>
      </c>
      <c r="C187" s="12" t="inlineStr">
        <is>
          <t>Mentale Kapazität</t>
        </is>
      </c>
      <c r="D187" s="11" t="inlineStr">
        <is>
          <t>MK</t>
        </is>
      </c>
      <c r="E187" t="inlineStr">
        <is>
          <t>Mentale Kapazität erhöht die Mentale Kapazität für KI-Fähigkeiten um 1 Punkt pro Fertigkeitspunkt.</t>
        </is>
      </c>
      <c r="G187" s="11" t="inlineStr">
        <is>
          <t>Wert</t>
        </is>
      </c>
      <c r="J187" t="inlineStr">
        <is>
          <t>Kosten = statisch 9 EP/Punkt (Nutzerangabe).</t>
        </is>
      </c>
      <c r="L187" s="28" t="inlineStr">
        <is>
          <t>wert*9</t>
        </is>
      </c>
    </row>
    <row r="188" hidden="1" ht="15.75" customHeight="1" s="48">
      <c r="A188" s="29" t="inlineStr">
        <is>
          <t>sf_mentaler_fokus</t>
        </is>
      </c>
      <c r="B188" s="11" t="inlineStr">
        <is>
          <t>Sonderfertigkeit</t>
        </is>
      </c>
      <c r="C188" s="12" t="inlineStr">
        <is>
          <t>Mentaler Fokus</t>
        </is>
      </c>
      <c r="D188" s="11" t="inlineStr">
        <is>
          <t>MF</t>
        </is>
      </c>
      <c r="E188" t="inlineStr">
        <is>
          <t>Mentaler Fokus zählt in die Mentaler-Fokus-Formel (KI). Deren Probenwert ergibt sich aus Willenskraft plus Mentaler Fokus.</t>
        </is>
      </c>
      <c r="G188" s="11" t="inlineStr">
        <is>
          <t>Wert</t>
        </is>
      </c>
      <c r="J188" t="inlineStr">
        <is>
          <t>Kosten = statisch 9 EP/Punkt (Nutzerangabe).</t>
        </is>
      </c>
      <c r="L188" s="28" t="inlineStr">
        <is>
          <t>wert*9</t>
        </is>
      </c>
    </row>
    <row r="189" hidden="1" ht="15.75" customHeight="1" s="48">
      <c r="A189" s="29" t="inlineStr">
        <is>
          <t>sf_ruestungsmanoever</t>
        </is>
      </c>
      <c r="B189" s="11" t="inlineStr">
        <is>
          <t>Sonderfertigkeit</t>
        </is>
      </c>
      <c r="C189" s="12" t="inlineStr">
        <is>
          <t>Rüstungsmanöver</t>
        </is>
      </c>
      <c r="D189" s="11" t="inlineStr">
        <is>
          <t>RSM</t>
        </is>
      </c>
      <c r="E189" t="inlineStr">
        <is>
          <t>Rüstungsmanöver kompensiert bei der Berechnung der RBE pro Punkt einen Punkt Hinderlichkeit.</t>
        </is>
      </c>
      <c r="G189" s="11" t="inlineStr">
        <is>
          <t>Wert</t>
        </is>
      </c>
      <c r="J189" t="inlineStr">
        <is>
          <t>Kosten = statisch 9 EP/Punkt (Nutzerangabe).</t>
        </is>
      </c>
      <c r="L189" s="28" t="inlineStr">
        <is>
          <t>wert*9</t>
        </is>
      </c>
    </row>
    <row r="190" hidden="1" ht="15.75" customHeight="1" s="48">
      <c r="A190" s="29" t="inlineStr">
        <is>
          <t>sf_selbstbeherrschung</t>
        </is>
      </c>
      <c r="B190" s="11" t="inlineStr">
        <is>
          <t>Sonderfertigkeit</t>
        </is>
      </c>
      <c r="C190" s="12" t="inlineStr">
        <is>
          <t>Selbstbeherrschung</t>
        </is>
      </c>
      <c r="D190" s="11" t="inlineStr">
        <is>
          <t>SB</t>
        </is>
      </c>
      <c r="E190" t="inlineStr">
        <is>
          <t>Selbstbeherrschung zählt in die Selbstbeherrschungs-Formel.</t>
        </is>
      </c>
      <c r="G190" s="11" t="inlineStr">
        <is>
          <t>Wert</t>
        </is>
      </c>
      <c r="J190" t="inlineStr">
        <is>
          <t>Kosten = statisch 9 EP/Punkt (Nutzerangabe).</t>
        </is>
      </c>
      <c r="L190" s="28" t="inlineStr">
        <is>
          <t>wert*9</t>
        </is>
      </c>
    </row>
    <row r="191" hidden="1" ht="15.75" customHeight="1" s="48">
      <c r="A191" s="29" t="inlineStr">
        <is>
          <t>sf_tragen</t>
        </is>
      </c>
      <c r="B191" s="11" t="inlineStr">
        <is>
          <t>Sonderfertigkeit</t>
        </is>
      </c>
      <c r="C191" s="12" t="inlineStr">
        <is>
          <t>Tragen</t>
        </is>
      </c>
      <c r="E191" t="inlineStr">
        <is>
          <t>Tragen gilt in der GBE-Belastungsstufen-Tabelle als Bonus auf Stärke und bestimmt so die maximale Last.</t>
        </is>
      </c>
      <c r="G191" s="11" t="inlineStr">
        <is>
          <t>Wert</t>
        </is>
      </c>
      <c r="J191" t="inlineStr">
        <is>
          <t>Kosten = statisch 9 EP/Punkt (Nutzerangabe).</t>
        </is>
      </c>
      <c r="L191" s="28" t="inlineStr">
        <is>
          <t>wert*9</t>
        </is>
      </c>
    </row>
    <row r="192" hidden="1" ht="15.75" customHeight="1" s="48">
      <c r="A192" s="29" t="inlineStr">
        <is>
          <t>psi_suggestion</t>
        </is>
      </c>
      <c r="B192" s="11" t="inlineStr">
        <is>
          <t>PSI</t>
        </is>
      </c>
      <c r="C192" s="13" t="inlineStr">
        <is>
          <t>Suggestion</t>
        </is>
      </c>
      <c r="D192" s="10" t="n"/>
      <c r="E19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2" s="10" t="inlineStr">
        <is>
          <t>psi_empathie</t>
        </is>
      </c>
      <c r="G192" s="11" t="inlineStr">
        <is>
          <t>Wert</t>
        </is>
      </c>
      <c r="J192" t="inlineStr">
        <is>
          <t>Kosten = statisch 9 EP/Punkt (Nutzerangabe). | Beschreibung hatte Leerzeichen am Rand ('Suggestion ') - getrimmt.</t>
        </is>
      </c>
      <c r="L192" s="28" t="inlineStr">
        <is>
          <t>wert*9</t>
        </is>
      </c>
      <c r="O192" t="n">
        <v>15</v>
      </c>
      <c r="P192" t="inlineStr">
        <is>
          <t>eig_bonus_g_ausstrahlung</t>
        </is>
      </c>
    </row>
    <row r="193" hidden="1" ht="15.75" customHeight="1" s="48">
      <c r="A193" s="29" t="inlineStr">
        <is>
          <t>psi_empathie</t>
        </is>
      </c>
      <c r="B193" s="11" t="inlineStr">
        <is>
          <t>PSI</t>
        </is>
      </c>
      <c r="C193" s="13" t="inlineStr">
        <is>
          <t>Empathie</t>
        </is>
      </c>
      <c r="D193" s="10" t="n"/>
      <c r="E19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3" s="10" t="n"/>
      <c r="G193" s="11" t="inlineStr">
        <is>
          <t>Wert</t>
        </is>
      </c>
      <c r="J193" t="inlineStr">
        <is>
          <t>Kosten = statisch 9 EP/Punkt (Nutzerangabe). | Startpunkt des PSI-Zauberbaums (Telekinese/Empathie) - keine Vorbedingung.</t>
        </is>
      </c>
      <c r="L193" s="28" t="inlineStr">
        <is>
          <t>wert*9</t>
        </is>
      </c>
      <c r="P193" t="inlineStr">
        <is>
          <t>eig_bonus_g_willenskraft</t>
        </is>
      </c>
    </row>
    <row r="194" hidden="1" ht="15.75" customHeight="1" s="48">
      <c r="A194" s="29" t="inlineStr">
        <is>
          <t>psi_telekinese</t>
        </is>
      </c>
      <c r="B194" s="11" t="inlineStr">
        <is>
          <t>PSI</t>
        </is>
      </c>
      <c r="C194" s="13" t="inlineStr">
        <is>
          <t>Telekinese</t>
        </is>
      </c>
      <c r="D194" s="17" t="n"/>
      <c r="E19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4" s="10" t="n"/>
      <c r="G194" s="11" t="inlineStr">
        <is>
          <t>Wert</t>
        </is>
      </c>
      <c r="J194" t="inlineStr">
        <is>
          <t>Kosten = statisch 9 EP/Punkt (Nutzerangabe). | Startpunkt des PSI-Zauberbaums (Telekinese/Empathie) - keine Vorbedingung.</t>
        </is>
      </c>
      <c r="L194" s="28" t="inlineStr">
        <is>
          <t>wert*9</t>
        </is>
      </c>
      <c r="P194" t="inlineStr">
        <is>
          <t>eig_bonus_g_willenskraft</t>
        </is>
      </c>
    </row>
    <row r="195" hidden="1" ht="15.75" customHeight="1" s="48">
      <c r="A195" s="11" t="inlineStr">
        <is>
          <t>att_aura</t>
        </is>
      </c>
      <c r="B195" s="11" t="inlineStr">
        <is>
          <t>Attribute</t>
        </is>
      </c>
      <c r="C195" s="12" t="inlineStr">
        <is>
          <t>Aura</t>
        </is>
      </c>
      <c r="D195" s="11" t="inlineStr">
        <is>
          <t>Aur</t>
        </is>
      </c>
      <c r="E195" t="inlineStr">
        <is>
          <t>Aura beschreibt die magische Ausstrahlung eines Charakters und fließt in Formeln wie Mana, Macht und (bei KI-Fähigkeiten) Mentale Kapazität ein.</t>
        </is>
      </c>
      <c r="G195" s="11" t="inlineStr">
        <is>
          <t>Wert</t>
        </is>
      </c>
      <c r="L195" s="28" t="inlineStr">
        <is>
          <t>10*wert*wert+70*wert</t>
        </is>
      </c>
    </row>
    <row r="196" hidden="1" ht="15.75" customHeight="1" s="48">
      <c r="A196" s="11" t="inlineStr">
        <is>
          <t>#att_essenz</t>
        </is>
      </c>
      <c r="B196" s="11" t="inlineStr">
        <is>
          <t>Attribute</t>
        </is>
      </c>
      <c r="C196" s="12" t="inlineStr">
        <is>
          <t>Essenz</t>
        </is>
      </c>
      <c r="D196" s="11" t="inlineStr">
        <is>
          <t>Ess</t>
        </is>
      </c>
      <c r="G196" s="11" t="inlineStr">
        <is>
          <t>Wert</t>
        </is>
      </c>
      <c r="L196" s="28" t="inlineStr">
        <is>
          <t>80+wert*20</t>
        </is>
      </c>
    </row>
    <row r="197" hidden="1" ht="15.75" customHeight="1" s="48">
      <c r="A197" s="11" t="inlineStr">
        <is>
          <t>att_glueck</t>
        </is>
      </c>
      <c r="B197" s="11" t="inlineStr">
        <is>
          <t>Attribute</t>
        </is>
      </c>
      <c r="C197" s="12" t="inlineStr">
        <is>
          <t>Glück</t>
        </is>
      </c>
      <c r="D197" s="11" t="inlineStr">
        <is>
          <t>Glü</t>
        </is>
      </c>
      <c r="E197" t="inlineStr">
        <is>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is>
      </c>
      <c r="G197" s="11" t="inlineStr">
        <is>
          <t>Wert</t>
        </is>
      </c>
      <c r="L197" s="28" t="inlineStr">
        <is>
          <t>10*wert*wert+70*wert</t>
        </is>
      </c>
    </row>
    <row r="198" hidden="1" ht="15.75" customHeight="1" s="48">
      <c r="A198" s="11" t="inlineStr">
        <is>
          <t>att_karma</t>
        </is>
      </c>
      <c r="B198" s="11" t="inlineStr">
        <is>
          <t>Attribute</t>
        </is>
      </c>
      <c r="C198" s="12" t="inlineStr">
        <is>
          <t>Karma</t>
        </is>
      </c>
      <c r="D198" s="11" t="inlineStr">
        <is>
          <t>Kar</t>
        </is>
      </c>
      <c r="E198" t="inlineStr">
        <is>
          <t>Karma beschreibt die spirituelle Verbindung eines Charakters zu seiner Gottheit. Nur Paladine oder Geweihte haben einen Karma-Wert.</t>
        </is>
      </c>
      <c r="G198" s="11" t="inlineStr">
        <is>
          <t>Wert</t>
        </is>
      </c>
      <c r="L198" s="28" t="inlineStr">
        <is>
          <t>10*wert*wert+70*wert</t>
        </is>
      </c>
    </row>
    <row r="199" hidden="1" ht="15.75" customHeight="1" s="48">
      <c r="A199" s="11" t="inlineStr">
        <is>
          <t>att_magie</t>
        </is>
      </c>
      <c r="B199" s="11" t="inlineStr">
        <is>
          <t>Attribute</t>
        </is>
      </c>
      <c r="C199" s="12" t="inlineStr">
        <is>
          <t>Magie</t>
        </is>
      </c>
      <c r="D199" s="11" t="inlineStr">
        <is>
          <t>Mag</t>
        </is>
      </c>
      <c r="E199" t="inlineStr">
        <is>
          <t>Magie beschreibt die grundsätzliche magische Begabung eines Charakters, sich in den Astralraum zu tauchen und aus ihm Kräfte zu bündeln.</t>
        </is>
      </c>
      <c r="G199" s="11" t="inlineStr">
        <is>
          <t>Wert</t>
        </is>
      </c>
      <c r="L199" s="28" t="inlineStr">
        <is>
          <t>10*wert*wert+70*wert</t>
        </is>
      </c>
    </row>
    <row r="200" hidden="1" ht="15.75" customHeight="1" s="48">
      <c r="A200" s="11" t="inlineStr">
        <is>
          <t>att_vitalitaet</t>
        </is>
      </c>
      <c r="B200" s="11" t="inlineStr">
        <is>
          <t>Attribute</t>
        </is>
      </c>
      <c r="C200" s="12" t="inlineStr">
        <is>
          <t>Vitalität</t>
        </is>
      </c>
      <c r="D200" s="11" t="inlineStr">
        <is>
          <t>Vit</t>
        </is>
      </c>
      <c r="E200" t="inlineStr">
        <is>
          <t>Vitalität beschreibt die körperliche Lebenskraft eines Charakters und fließt in zahlreiche Formeln ein (Ausdauer, Gesundheit, Lebensenergie Kopf/Brust/Unterleib, Trefferschwelle).</t>
        </is>
      </c>
      <c r="G200" s="11" t="inlineStr">
        <is>
          <t>Wert</t>
        </is>
      </c>
      <c r="L200" s="28" t="inlineStr">
        <is>
          <t>10*wert*wert+70*wert</t>
        </is>
      </c>
    </row>
    <row r="201" hidden="1" ht="15.75" customHeight="1" s="48">
      <c r="A201" s="11" t="inlineStr">
        <is>
          <t>att_weisheit</t>
        </is>
      </c>
      <c r="B201" s="11" t="inlineStr">
        <is>
          <t>Attribute</t>
        </is>
      </c>
      <c r="C201" s="12" t="inlineStr">
        <is>
          <t>Weisheit</t>
        </is>
      </c>
      <c r="D201" s="11" t="inlineStr">
        <is>
          <t>Wei</t>
        </is>
      </c>
      <c r="E201" t="inlineStr">
        <is>
          <t>Weisheit gibt Auskunft über die Lebenserfahrung eines Charakters. Manche Dinge kann nur verstehen, wer schon genügend Dunkelheit erfahren hat.</t>
        </is>
      </c>
      <c r="G201" s="11" t="inlineStr">
        <is>
          <t>Formel</t>
        </is>
      </c>
      <c r="H201" s="11" t="inlineStr">
        <is>
          <t>kreis+1</t>
        </is>
      </c>
      <c r="L201" s="28" t="n"/>
    </row>
    <row r="202" hidden="1" ht="15.75" customHeight="1" s="48">
      <c r="A202" s="11" t="inlineStr">
        <is>
          <t>eig_g_intelligenz</t>
        </is>
      </c>
      <c r="B202" s="11" t="inlineStr">
        <is>
          <t>Eigenschaft</t>
        </is>
      </c>
      <c r="C202" s="12" t="inlineStr">
        <is>
          <t>Intelligenz</t>
        </is>
      </c>
      <c r="D202" s="11" t="inlineStr">
        <is>
          <t>Int</t>
        </is>
      </c>
      <c r="E202" t="inlineStr">
        <is>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is>
      </c>
      <c r="G202" s="11" t="inlineStr">
        <is>
          <t>Wert</t>
        </is>
      </c>
      <c r="L202" s="28" t="inlineStr">
        <is>
          <t>SVERWEIS(wert;'Eigenschaften-Kosten';2;0)</t>
        </is>
      </c>
    </row>
    <row r="203" hidden="1" ht="15.75" customHeight="1" s="48">
      <c r="A203" s="11" t="inlineStr">
        <is>
          <t>eig_g_mut</t>
        </is>
      </c>
      <c r="B203" s="11" t="inlineStr">
        <is>
          <t>Eigenschaft</t>
        </is>
      </c>
      <c r="C203" s="12" t="inlineStr">
        <is>
          <t>Mut</t>
        </is>
      </c>
      <c r="D203" s="11" t="inlineStr">
        <is>
          <t>Mut</t>
        </is>
      </c>
      <c r="E203" t="inlineStr">
        <is>
          <t>Mut beschreibt die Entschlossenheit und Angriffslust eines Charakters und ist die zentrale Eigenschaft für die Nahkampf-Attacke-Werte sowie die Initiative.</t>
        </is>
      </c>
      <c r="G203" s="11" t="inlineStr">
        <is>
          <t>Wert</t>
        </is>
      </c>
      <c r="L203" s="28" t="inlineStr">
        <is>
          <t>SVERWEIS(wert;'Eigenschaften-Kosten';2;0)</t>
        </is>
      </c>
    </row>
    <row r="204" hidden="1" ht="15.75" customHeight="1" s="48">
      <c r="A204" s="11" t="inlineStr">
        <is>
          <t>eig_g_sinneschaerfe</t>
        </is>
      </c>
      <c r="B204" s="11" t="inlineStr">
        <is>
          <t>Eigenschaft</t>
        </is>
      </c>
      <c r="C204" s="12" t="inlineStr">
        <is>
          <t>Sinnesschärfe</t>
        </is>
      </c>
      <c r="D204" s="11" t="inlineStr">
        <is>
          <t>Sin</t>
        </is>
      </c>
      <c r="E204" t="inlineStr">
        <is>
          <t>Sinnesschärfe beschreibt die Wahrnehmungsfähigkeit eines Charakters und fließt in die meisten Fernkampf-Formeln sowie in den Gefahreninstinkt ein.</t>
        </is>
      </c>
      <c r="G204" s="11" t="inlineStr">
        <is>
          <t>Wert</t>
        </is>
      </c>
      <c r="L204" s="28" t="inlineStr">
        <is>
          <t>SVERWEIS(wert;'Eigenschaften-Kosten';2;0)</t>
        </is>
      </c>
    </row>
    <row r="205" hidden="1" ht="15.75" customHeight="1" s="48">
      <c r="A205" s="11" t="inlineStr">
        <is>
          <t>eig_g_willenskraft</t>
        </is>
      </c>
      <c r="B205" s="11" t="inlineStr">
        <is>
          <t>Eigenschaft</t>
        </is>
      </c>
      <c r="C205" s="12" t="inlineStr">
        <is>
          <t>Willenskraft</t>
        </is>
      </c>
      <c r="D205" s="11" t="inlineStr">
        <is>
          <t>Wil</t>
        </is>
      </c>
      <c r="E205" t="inlineStr">
        <is>
          <t>Willenskraft beschreibt die geistige Widerstandskraft eines Charakters und fließt in Mana, Mentale Kapazität (KI) und Gesundheit ein.</t>
        </is>
      </c>
      <c r="G205" s="11" t="inlineStr">
        <is>
          <t>Wert</t>
        </is>
      </c>
      <c r="L205" s="28" t="inlineStr">
        <is>
          <t>SVERWEIS(wert;'Eigenschaften-Kosten';2;0)</t>
        </is>
      </c>
    </row>
    <row r="206" hidden="1" ht="15.75" customHeight="1" s="48">
      <c r="A206" s="11" t="inlineStr">
        <is>
          <t>eig_k_athletik</t>
        </is>
      </c>
      <c r="B206" s="11" t="inlineStr">
        <is>
          <t>Eigenschaft</t>
        </is>
      </c>
      <c r="C206" s="12" t="inlineStr">
        <is>
          <t>Athletik</t>
        </is>
      </c>
      <c r="D206" s="11" t="inlineStr">
        <is>
          <t>Ath</t>
        </is>
      </c>
      <c r="E206" t="inlineStr">
        <is>
          <t>Athletik beschreibt die allgemeine körperliche Leistungsfähigkeit und fließt u.a. in Ausdauer, Ausweichen, Bewegungs-Formeln (Sprinten, Dauerlauf, Klettern) und Werfen ein.</t>
        </is>
      </c>
      <c r="G206" s="11" t="inlineStr">
        <is>
          <t>Wert</t>
        </is>
      </c>
      <c r="L206" s="28" t="inlineStr">
        <is>
          <t>SVERWEIS(wert;'Eigenschaften-Kosten';2;0)</t>
        </is>
      </c>
    </row>
    <row r="207" hidden="1" ht="15.75" customHeight="1" s="48">
      <c r="A207" s="11" t="inlineStr">
        <is>
          <t>eig_g_ausstrahlung</t>
        </is>
      </c>
      <c r="B207" s="11" t="inlineStr">
        <is>
          <t>Eigenschaft</t>
        </is>
      </c>
      <c r="C207" s="12" t="inlineStr">
        <is>
          <t>Ausstrahlung</t>
        </is>
      </c>
      <c r="D207" s="11" t="inlineStr">
        <is>
          <t>Aus</t>
        </is>
      </c>
      <c r="E207" t="inlineStr">
        <is>
          <t>Ausstrahlung beschreibt die Wirkung eines Charakters auf andere und dient als Eigenschafts-Basis für soziale Grundfertigkeiten wie Betören, Einschüchtern und Überzeugen.</t>
        </is>
      </c>
      <c r="G207" s="11" t="inlineStr">
        <is>
          <t>Wert</t>
        </is>
      </c>
      <c r="L207" s="28" t="inlineStr">
        <is>
          <t>SVERWEIS(wert;'Eigenschaften-Kosten';2;0)</t>
        </is>
      </c>
    </row>
    <row r="208" hidden="1" ht="15.75" customHeight="1" s="48">
      <c r="A208" s="11" t="inlineStr">
        <is>
          <t>eig_k_geschicklichkeit</t>
        </is>
      </c>
      <c r="B208" s="11" t="inlineStr">
        <is>
          <t>Eigenschaft</t>
        </is>
      </c>
      <c r="C208" s="12" t="inlineStr">
        <is>
          <t>Geschicklichkeit</t>
        </is>
      </c>
      <c r="D208" s="11" t="inlineStr">
        <is>
          <t>Ges</t>
        </is>
      </c>
      <c r="E208" t="inlineStr">
        <is>
          <t>Geschicklichkeit beschreibt die Feinmotorik eines Charakters und fließt in alle Fernkampf-Formeln, die Initiative sowie den Geschicklichkeits-Bonus ein.</t>
        </is>
      </c>
      <c r="G208" s="11" t="inlineStr">
        <is>
          <t>Wert</t>
        </is>
      </c>
      <c r="L208" s="28" t="inlineStr">
        <is>
          <t>SVERWEIS(wert;'Eigenschaften-Kosten';2;0)</t>
        </is>
      </c>
    </row>
    <row r="209" hidden="1" ht="15.75" customHeight="1" s="48">
      <c r="A209" s="11" t="inlineStr">
        <is>
          <t>eig_k_konstitution</t>
        </is>
      </c>
      <c r="B209" s="11" t="inlineStr">
        <is>
          <t>Eigenschaft</t>
        </is>
      </c>
      <c r="C209" s="12" t="inlineStr">
        <is>
          <t>Konstitution</t>
        </is>
      </c>
      <c r="D209" s="11" t="inlineStr">
        <is>
          <t>Kon</t>
        </is>
      </c>
      <c r="E209" t="inlineStr">
        <is>
          <t>Konstitution beschreibt die körperliche Widerstandskraft eines Charakters und fließt in Ausdauer, Gesundheit und die Lebensenergie-Formeln ein.</t>
        </is>
      </c>
      <c r="G209" s="11" t="inlineStr">
        <is>
          <t>Wert</t>
        </is>
      </c>
      <c r="L209" s="28" t="inlineStr">
        <is>
          <t>SVERWEIS(wert;'Eigenschaften-Kosten';2;0)</t>
        </is>
      </c>
    </row>
    <row r="210" hidden="1" ht="15.75" customHeight="1" s="48">
      <c r="A210" s="11" t="inlineStr">
        <is>
          <t>eig_k_schnelligkeit</t>
        </is>
      </c>
      <c r="B210" s="11" t="inlineStr">
        <is>
          <t>Eigenschaft</t>
        </is>
      </c>
      <c r="C210" s="12" t="inlineStr">
        <is>
          <t>Schnelligkeit</t>
        </is>
      </c>
      <c r="D210" s="11" t="inlineStr">
        <is>
          <t>Sch</t>
        </is>
      </c>
      <c r="E210" t="inlineStr">
        <is>
          <t>Schnelligkeit beschreibt die Reaktions- und Bewegungsgeschwindigkeit eines Charakters und fließt in Ausweichen, Initiative, Sprinten und einige Nahkampf-Attacke-Formeln ein.</t>
        </is>
      </c>
      <c r="G210" s="11" t="inlineStr">
        <is>
          <t>Wert</t>
        </is>
      </c>
      <c r="L210" s="28" t="inlineStr">
        <is>
          <t>SVERWEIS(wert;'Eigenschaften-Kosten';2;0)</t>
        </is>
      </c>
    </row>
    <row r="211" hidden="1" ht="15.75" customHeight="1" s="48">
      <c r="A211" s="11" t="inlineStr">
        <is>
          <t>eig_k_staerke</t>
        </is>
      </c>
      <c r="B211" s="11" t="inlineStr">
        <is>
          <t>Eigenschaft</t>
        </is>
      </c>
      <c r="C211" s="12" t="inlineStr">
        <is>
          <t>Stärke</t>
        </is>
      </c>
      <c r="D211" s="11" t="inlineStr">
        <is>
          <t>Stä</t>
        </is>
      </c>
      <c r="E211" t="inlineStr">
        <is>
          <t>Stärke beschreibt die körperliche Kraft eines Charakters und fließt in Ausdauer, Lebensenergie Brust und die Werfen-Formeln ein.</t>
        </is>
      </c>
      <c r="G211" s="11" t="inlineStr">
        <is>
          <t>Wert</t>
        </is>
      </c>
      <c r="L211" s="28" t="inlineStr">
        <is>
          <t>SVERWEIS(wert;'Eigenschaften-Kosten';2;0)</t>
        </is>
      </c>
    </row>
    <row r="212" hidden="1" ht="15.75" customHeight="1" s="48">
      <c r="A212" s="29" t="inlineStr">
        <is>
          <t>ki_abhaertung</t>
        </is>
      </c>
      <c r="B212" s="11" t="inlineStr">
        <is>
          <t>KI</t>
        </is>
      </c>
      <c r="C212" s="12" t="inlineStr">
        <is>
          <t>Abhärtung</t>
        </is>
      </c>
      <c r="E212" s="14" t="inlineStr">
        <is>
          <t>KI Fertigkeits-Maximum=24, mit Talent 'KI-Meister' insgesamt 42.</t>
        </is>
      </c>
      <c r="F212" s="14" t="n"/>
      <c r="G212" s="11" t="inlineStr">
        <is>
          <t>Wert</t>
        </is>
      </c>
      <c r="L212" s="28" t="inlineStr">
        <is>
          <t>WENN(wert=0;0;10+(wert-1)*wert/2)</t>
        </is>
      </c>
      <c r="P212" t="inlineStr">
        <is>
          <t>eig_bonus_k_konstitution</t>
        </is>
      </c>
      <c r="Q212" t="inlineStr">
        <is>
          <t>TS+1 pro+2 und 1LE pro+1. Die durch Abhärtung gewonnenen LE werden als Puffer behandelt, werden also nach Abzug von RS vor allen TZ gesenkt, und verfallen nach Ende der Wirkungsdauer mitsamt dem Schaden. Erhöht zusätzlich die Alchemieresistenz um 1 pro+2.</t>
        </is>
      </c>
    </row>
    <row r="213" hidden="1" ht="15.75" customHeight="1" s="48">
      <c r="A213" s="29" t="inlineStr">
        <is>
          <t>ki_adlerauge</t>
        </is>
      </c>
      <c r="B213" s="11" t="inlineStr">
        <is>
          <t>KI</t>
        </is>
      </c>
      <c r="C213" s="12" t="inlineStr">
        <is>
          <t>Adlerauge</t>
        </is>
      </c>
      <c r="E213" s="14" t="inlineStr">
        <is>
          <t>KI Fertigkeits-Maximum=24, mit Talent 'KI-Meister' insgesamt 42.</t>
        </is>
      </c>
      <c r="F213" s="14" t="n"/>
      <c r="G213" s="11" t="inlineStr">
        <is>
          <t>Wert</t>
        </is>
      </c>
      <c r="L213" s="28" t="inlineStr">
        <is>
          <t>WENN(wert=0;0;10+(wert-1)*wert/2)</t>
        </is>
      </c>
      <c r="P213" t="inlineStr">
        <is>
          <t>eig_bonus_g_sinneschaerfe</t>
        </is>
      </c>
      <c r="Q213" t="inlineStr">
        <is>
          <t>Sehen: Sin+2 pro+1 und FK-Basis-Werte+1 pro+2  und +20Wörter/Minute Lesen pro+1.</t>
        </is>
      </c>
    </row>
    <row r="214" hidden="1" ht="15.75" customHeight="1" s="48">
      <c r="A214" s="29" t="inlineStr">
        <is>
          <t>ki_charisma</t>
        </is>
      </c>
      <c r="B214" s="11" t="inlineStr">
        <is>
          <t>KI</t>
        </is>
      </c>
      <c r="C214" s="13" t="inlineStr">
        <is>
          <t>Charisma</t>
        </is>
      </c>
      <c r="D214" s="10" t="n"/>
      <c r="E214" s="15" t="inlineStr">
        <is>
          <t>KI Fertigkeits-Maximum=24, mit Talent 'KI-Meister' insgesamt 42.</t>
        </is>
      </c>
      <c r="F214" s="15" t="n"/>
      <c r="G214" s="11" t="inlineStr">
        <is>
          <t>Wert</t>
        </is>
      </c>
      <c r="L214" s="28" t="inlineStr">
        <is>
          <t>WENN(wert=0;0;10+(wert-1)*wert/2)</t>
        </is>
      </c>
      <c r="P214" t="inlineStr">
        <is>
          <t>eig_bonus_g_ausstrahlung</t>
        </is>
      </c>
      <c r="Q214" t="inlineStr">
        <is>
          <t>Aus+2 pro+1.</t>
        </is>
      </c>
    </row>
    <row r="215" hidden="1" ht="15.75" customHeight="1" s="48">
      <c r="A215" s="29" t="inlineStr">
        <is>
          <t>ki_erleuchtung</t>
        </is>
      </c>
      <c r="B215" s="11" t="inlineStr">
        <is>
          <t>KI</t>
        </is>
      </c>
      <c r="C215" s="13" t="inlineStr">
        <is>
          <t>Erleuchtung</t>
        </is>
      </c>
      <c r="D215" s="10" t="n"/>
      <c r="E215" s="15" t="inlineStr">
        <is>
          <t>KI Fertigkeits-Maximum=24, mit Talent 'KI-Meister' insgesamt 42.</t>
        </is>
      </c>
      <c r="F215" s="15" t="n"/>
      <c r="G215" s="11" t="inlineStr">
        <is>
          <t>Wert</t>
        </is>
      </c>
      <c r="L215" s="28" t="inlineStr">
        <is>
          <t>WENN(wert=0;0;10+(wert-1)*wert/2)</t>
        </is>
      </c>
      <c r="P215" t="inlineStr">
        <is>
          <t>eig_bonus_g_intelligenz</t>
        </is>
      </c>
      <c r="Q215" t="inlineStr">
        <is>
          <t>Int+2 pro+1 und Initiative+1 pro+3 und +20Wörter/Minute Lesen pro+1.</t>
        </is>
      </c>
    </row>
    <row r="216" hidden="1" ht="15.75" customHeight="1" s="48">
      <c r="A216" s="29" t="inlineStr">
        <is>
          <t>ki_ewige_erinnerung</t>
        </is>
      </c>
      <c r="B216" s="11" t="inlineStr">
        <is>
          <t>KI</t>
        </is>
      </c>
      <c r="C216" s="13" t="inlineStr">
        <is>
          <t>Ewige Erinnerung</t>
        </is>
      </c>
      <c r="D216" s="10" t="n"/>
      <c r="E216" s="15" t="inlineStr">
        <is>
          <t>KI Fertigkeits-Maximum=24, mit Talent 'KI-Meister' insgesamt 42.</t>
        </is>
      </c>
      <c r="F216" s="15" t="n"/>
      <c r="G216" s="11" t="inlineStr">
        <is>
          <t>Wert</t>
        </is>
      </c>
      <c r="L216" s="28" t="inlineStr">
        <is>
          <t>WENN(wert=0;0;10+(wert-1)*wert/2)</t>
        </is>
      </c>
      <c r="P216" t="inlineStr">
        <is>
          <t>eig_bonus_g_intelligenz</t>
        </is>
      </c>
      <c r="Q216" t="inlineStr">
        <is>
          <t>Der Magus prägt seine Sinneswahrnehmungen für immer in sein Gedächtnis. Er kann sich 1 sec pro +1 merken(ca. eine DIN A4-Seite).</t>
        </is>
      </c>
    </row>
    <row r="217" hidden="1" ht="15.75" customHeight="1" s="48">
      <c r="A217" s="29" t="inlineStr">
        <is>
          <t>ki_fledermausohr_aalnase</t>
        </is>
      </c>
      <c r="B217" s="11" t="inlineStr">
        <is>
          <t>KI</t>
        </is>
      </c>
      <c r="C217" s="12" t="inlineStr">
        <is>
          <t>Fledermausohr &amp; Aalnase (aka Luchsenohr)</t>
        </is>
      </c>
      <c r="E217" s="14" t="inlineStr">
        <is>
          <t>KI Fertigkeits-Maximum=24, mit Talent 'KI-Meister' insgesamt 42.</t>
        </is>
      </c>
      <c r="F217" s="14" t="n"/>
      <c r="G217" s="11" t="inlineStr">
        <is>
          <t>Wert</t>
        </is>
      </c>
      <c r="L217" s="28" t="inlineStr">
        <is>
          <t>WENN(wert=0;0;10+(wert-1)*wert/2)</t>
        </is>
      </c>
      <c r="P217" t="inlineStr">
        <is>
          <t>eig_bonus_g_sinneschaerfe</t>
        </is>
      </c>
      <c r="Q217" t="inlineStr">
        <is>
          <t>Gehör-, Geruchs- und Geschmackssinn: Sin+2 pro+1 und eine Stufe entsprechender selektiver Sinnesfilter pro+6. Der Einsatz des Filters zum Dämpfen zu starker Sinneseindrücke erfolgt automatisch.</t>
        </is>
      </c>
    </row>
    <row r="218" hidden="1" ht="15.75" customHeight="1" s="48">
      <c r="A218" s="29" t="inlineStr">
        <is>
          <t>ki_froschlunge</t>
        </is>
      </c>
      <c r="B218" s="11" t="inlineStr">
        <is>
          <t>KI</t>
        </is>
      </c>
      <c r="C218" s="12" t="inlineStr">
        <is>
          <t>Froschlunge</t>
        </is>
      </c>
      <c r="E218" s="14" t="inlineStr">
        <is>
          <t>KI Fertigkeits-Maximum=24, mit Talent 'KI-Meister' insgesamt 42.</t>
        </is>
      </c>
      <c r="F218" s="14" t="n"/>
      <c r="G218" s="11" t="inlineStr">
        <is>
          <t>Wert</t>
        </is>
      </c>
      <c r="L218" s="28" t="inlineStr">
        <is>
          <t>WENN(wert=0;0;10+(wert-1)*wert/2)</t>
        </is>
      </c>
      <c r="P218" t="inlineStr">
        <is>
          <t>eig_bonus_g_willenskraft</t>
        </is>
      </c>
      <c r="Q218" t="inlineStr">
        <is>
          <t>Der KI-Magier kommt diese Zeit zusätzlich ohne Luft aus.</t>
        </is>
      </c>
    </row>
    <row r="219" hidden="1" ht="15.75" customHeight="1" s="48">
      <c r="A219" s="29" t="inlineStr">
        <is>
          <t>ki_geschossen_ausweichen</t>
        </is>
      </c>
      <c r="B219" s="11" t="inlineStr">
        <is>
          <t>KI</t>
        </is>
      </c>
      <c r="C219" s="12" t="inlineStr">
        <is>
          <t>Geschossen ausweichen</t>
        </is>
      </c>
      <c r="E219" s="14" t="inlineStr">
        <is>
          <t>KI Fertigkeits-Maximum=24, mit Talent 'KI-Meister' insgesamt 42.</t>
        </is>
      </c>
      <c r="F219" s="14" t="n"/>
      <c r="G219" s="11" t="inlineStr">
        <is>
          <t>Wert</t>
        </is>
      </c>
      <c r="L219" s="28" t="inlineStr">
        <is>
          <t>WENN(wert=0;0;10+(wert-1)*wert/2)</t>
        </is>
      </c>
      <c r="P219" t="inlineStr">
        <is>
          <t>eig_bonus_k_schnelligkeit</t>
        </is>
      </c>
      <c r="Q219" t="inlineStr">
        <is>
          <t>Geschossen ausweichen mit Glück+1 bzw. Ausweichen+1 pro+2.</t>
        </is>
      </c>
    </row>
    <row r="220" hidden="1" ht="15.75" customHeight="1" s="48">
      <c r="A220" s="29" t="inlineStr">
        <is>
          <t>ki_gleichgewicht_&amp;_feingefuehl</t>
        </is>
      </c>
      <c r="B220" s="11" t="inlineStr">
        <is>
          <t>KI</t>
        </is>
      </c>
      <c r="C220" s="12" t="inlineStr">
        <is>
          <t>Gleichgewicht &amp; Feingefühl</t>
        </is>
      </c>
      <c r="E220" s="14" t="inlineStr">
        <is>
          <t>KI Fertigkeits-Maximum=24, mit Talent 'KI-Meister' insgesamt 42.</t>
        </is>
      </c>
      <c r="F220" s="14" t="n"/>
      <c r="G220" s="11" t="inlineStr">
        <is>
          <t>Wert</t>
        </is>
      </c>
      <c r="L220" s="28" t="inlineStr">
        <is>
          <t>WENN(wert=0;0;10+(wert-1)*wert/2)</t>
        </is>
      </c>
      <c r="P220" t="inlineStr">
        <is>
          <t>eig_bonus_k_geschicklichkeit</t>
        </is>
      </c>
      <c r="Q220" t="inlineStr">
        <is>
          <t>Ges+2 pro+1 und FK-Basis-Werte+1 pro+2 und Initiative+1 pro+3 und Freiklettern + 0,006m/s pro+1.</t>
        </is>
      </c>
    </row>
    <row r="221" hidden="1" ht="15.75" customHeight="1" s="48">
      <c r="A221" s="29" t="inlineStr">
        <is>
          <t>ki_heilender_schlaf</t>
        </is>
      </c>
      <c r="B221" s="11" t="inlineStr">
        <is>
          <t>KI</t>
        </is>
      </c>
      <c r="C221" s="12" t="inlineStr">
        <is>
          <t>Heilender Schlaf</t>
        </is>
      </c>
      <c r="E221" s="14" t="inlineStr">
        <is>
          <t>KI Fertigkeits-Maximum=24, mit Talent 'KI-Meister' insgesamt 42.</t>
        </is>
      </c>
      <c r="F221" s="14" t="n"/>
      <c r="G221" s="11" t="inlineStr">
        <is>
          <t>Wert</t>
        </is>
      </c>
      <c r="L221" s="28" t="inlineStr">
        <is>
          <t>WENN(wert=0;0;10+(wert-1)*wert/2)</t>
        </is>
      </c>
      <c r="P221" t="inlineStr">
        <is>
          <t>eig_bonus_g_ausstrahlung</t>
        </is>
      </c>
      <c r="Q221" t="inlineStr">
        <is>
          <t>Alle TZ+GES regenerieren während des Schlafes je 1LE  pro+1. Der Magier ist während des Schlafes nur durch Schmerzen oder extrem laute Geräusche zu wecken.</t>
        </is>
      </c>
    </row>
    <row r="222" hidden="1" ht="15.75" customHeight="1" s="48">
      <c r="A222" s="29" t="inlineStr">
        <is>
          <t>ki_kampfrausch</t>
        </is>
      </c>
      <c r="B222" s="11" t="inlineStr">
        <is>
          <t>KI</t>
        </is>
      </c>
      <c r="C222" s="12" t="inlineStr">
        <is>
          <t>Kampfrausch</t>
        </is>
      </c>
      <c r="E222" s="14" t="inlineStr">
        <is>
          <t>KI Fertigkeits-Maximum=24, mit Talent 'KI-Meister' insgesamt 42.</t>
        </is>
      </c>
      <c r="F222" s="14" t="n"/>
      <c r="G222" s="11" t="inlineStr">
        <is>
          <t>Wert</t>
        </is>
      </c>
      <c r="L222" s="28" t="inlineStr">
        <is>
          <t>WENN(wert=0;0;10+(wert-1)*wert/2)</t>
        </is>
      </c>
      <c r="P222" t="inlineStr">
        <is>
          <t>eig_bonus_g_mut</t>
        </is>
      </c>
      <c r="Q222" t="inlineStr">
        <is>
          <t>Mut+2 pro+1 und Initiative+1 pro+1  und  nAT +1 pro+2.</t>
        </is>
      </c>
    </row>
    <row r="223" hidden="1" ht="15.75" customHeight="1" s="48">
      <c r="A223" s="29" t="inlineStr">
        <is>
          <t>ki_katzenauge</t>
        </is>
      </c>
      <c r="B223" s="11" t="inlineStr">
        <is>
          <t>KI</t>
        </is>
      </c>
      <c r="C223" s="12" t="inlineStr">
        <is>
          <t>Katzenauge</t>
        </is>
      </c>
      <c r="E223" s="14" t="inlineStr">
        <is>
          <t>KI Fertigkeits-Maximum=24, mit Talent 'KI-Meister' insgesamt 42.</t>
        </is>
      </c>
      <c r="F223" s="14" t="n"/>
      <c r="G223" s="11" t="inlineStr">
        <is>
          <t>Wert</t>
        </is>
      </c>
      <c r="L223" s="28" t="inlineStr">
        <is>
          <t>WENN(wert=0;0;10+(wert-1)*wert/2)</t>
        </is>
      </c>
      <c r="P223" t="inlineStr">
        <is>
          <t>eig_bonus_g_sinneschaerfe</t>
        </is>
      </c>
      <c r="Q223" t="inlineStr">
        <is>
          <t>Im Dunkeln wird die Sin um +4 pro+1  angepasst; der FK-Basis-Wert um +1 pro+1 , aber nur soweit, dass er Mali durch Lichtverhältnisse kompensiert. Blendeffekte werden mit +1 pro+1 reduziert.</t>
        </is>
      </c>
    </row>
    <row r="224" hidden="1" ht="15.75" customHeight="1" s="48">
      <c r="A224" s="29" t="inlineStr">
        <is>
          <t>ki_konterattacke</t>
        </is>
      </c>
      <c r="B224" s="11" t="inlineStr">
        <is>
          <t>KI</t>
        </is>
      </c>
      <c r="C224" s="12" t="inlineStr">
        <is>
          <t>Konterattacke</t>
        </is>
      </c>
      <c r="E224" s="14" t="inlineStr">
        <is>
          <t>KI Fertigkeits-Maximum=24, mit Talent 'KI-Meister' insgesamt 42.</t>
        </is>
      </c>
      <c r="F224" s="14" t="n"/>
      <c r="G224" s="11" t="inlineStr">
        <is>
          <t>Wert</t>
        </is>
      </c>
      <c r="L224" s="28" t="inlineStr">
        <is>
          <t>WENN(wert=0;0;10+(wert-1)*wert/2)</t>
        </is>
      </c>
      <c r="P224" t="inlineStr">
        <is>
          <t>eig_bonus_k_schnelligkeit</t>
        </is>
      </c>
      <c r="Q224" t="inlineStr">
        <is>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is>
      </c>
    </row>
    <row r="225" hidden="1" ht="15.75" customHeight="1" s="48">
      <c r="A225" s="29" t="inlineStr">
        <is>
          <t>ki_kraftakt</t>
        </is>
      </c>
      <c r="B225" s="11" t="inlineStr">
        <is>
          <t>KI</t>
        </is>
      </c>
      <c r="C225" s="12" t="inlineStr">
        <is>
          <t>Kraftakt</t>
        </is>
      </c>
      <c r="E225" s="14" t="inlineStr">
        <is>
          <t>KI Fertigkeits-Maximum=24, mit Talent 'KI-Meister' insgesamt 42.</t>
        </is>
      </c>
      <c r="F225" s="14" t="n"/>
      <c r="G225" s="11" t="inlineStr">
        <is>
          <t>Wert</t>
        </is>
      </c>
      <c r="L225" s="28" t="inlineStr">
        <is>
          <t>WENN(wert=0;0;10+(wert-1)*wert/2)</t>
        </is>
      </c>
      <c r="P225" t="inlineStr">
        <is>
          <t>eig_bonus_k_staerke</t>
        </is>
      </c>
      <c r="Q225" t="inlineStr">
        <is>
          <t>Stä+2 pro+1 und NK/Wurfwaffen-TP+1 pro+2 und Rückstoß-1 pro+1.  (Traglast + 8kg; maximal Heben +22kg; Sprung hoch +0,05m; Sprung aus dem Stand +0,15m; Sprung weit +0,25m; Sprung weitest +0,33m; Wurfreichweite 1kg +3m) pro+1.</t>
        </is>
      </c>
    </row>
    <row r="226" hidden="1" ht="15.75" customHeight="1" s="48">
      <c r="A226" s="29" t="inlineStr">
        <is>
          <t>ki_magie_aufspueren</t>
        </is>
      </c>
      <c r="B226" s="11" t="inlineStr">
        <is>
          <t>KI</t>
        </is>
      </c>
      <c r="C226" s="12" t="inlineStr">
        <is>
          <t>Magie aufspüren</t>
        </is>
      </c>
      <c r="E226" s="14" t="inlineStr">
        <is>
          <t>KI Fertigkeits-Maximum=24, mit Talent 'KI-Meister' insgesamt 42.</t>
        </is>
      </c>
      <c r="F226" s="14" t="n"/>
      <c r="G226" s="11" t="inlineStr">
        <is>
          <t>Wert</t>
        </is>
      </c>
      <c r="L226" s="28" t="inlineStr">
        <is>
          <t>WENN(wert=0;0;10+(wert-1)*wert/2)</t>
        </is>
      </c>
      <c r="P226" t="inlineStr">
        <is>
          <t>eig_bonus_g_sinneschaerfe</t>
        </is>
      </c>
      <c r="Q226" t="inlineStr">
        <is>
          <t>Der KI-Adept ist in der Lage zu erkennen, ob ein Gegenstand oder Lebewesen irgendeine Form von Magie oder KI wirken kann. Die normale Wahrnehmung wird hierdurch nicht beinträchtigt. Sichtweite ist (Erschwerung)² * m.</t>
        </is>
      </c>
    </row>
    <row r="227" hidden="1" ht="15.75" customHeight="1" s="48">
      <c r="A227" s="29" t="inlineStr">
        <is>
          <t>ki_paradeserie</t>
        </is>
      </c>
      <c r="B227" s="11" t="inlineStr">
        <is>
          <t>KI</t>
        </is>
      </c>
      <c r="C227" s="12" t="inlineStr">
        <is>
          <t>Paradeserie</t>
        </is>
      </c>
      <c r="E227" s="14" t="inlineStr">
        <is>
          <t>KI Fertigkeits-Maximum=24, mit Talent 'KI-Meister' insgesamt 42.</t>
        </is>
      </c>
      <c r="F227" s="14" t="n"/>
      <c r="G227" s="11" t="inlineStr">
        <is>
          <t>Wert</t>
        </is>
      </c>
      <c r="L227" s="28" t="inlineStr">
        <is>
          <t>WENN(wert=0;0;10+(wert-1)*wert/2)</t>
        </is>
      </c>
      <c r="P227" t="inlineStr">
        <is>
          <t>eig_bonus_k_schnelligkeit</t>
        </is>
      </c>
      <c r="Q227" t="inlineStr">
        <is>
          <t>Zusätzliche Paraden pro KR: 1PA/KR: +5;  2PA/KR: +15;  3PA/KR: +30</t>
        </is>
      </c>
    </row>
    <row r="228" hidden="1" ht="15.75" customHeight="1" s="48">
      <c r="A228" s="29" t="inlineStr">
        <is>
          <t>ki_regeneration</t>
        </is>
      </c>
      <c r="B228" s="11" t="inlineStr">
        <is>
          <t>KI</t>
        </is>
      </c>
      <c r="C228" s="12" t="inlineStr">
        <is>
          <t>Regeneration</t>
        </is>
      </c>
      <c r="E228" s="14" t="inlineStr">
        <is>
          <t>KI Fertigkeits-Maximum=24, mit Talent 'KI-Meister' insgesamt 42.</t>
        </is>
      </c>
      <c r="F228" s="14" t="n"/>
      <c r="G228" s="11" t="inlineStr">
        <is>
          <t>Wert</t>
        </is>
      </c>
      <c r="L228" s="28" t="inlineStr">
        <is>
          <t>WENN(wert=0;0;10+(wert-1)*wert/2)</t>
        </is>
      </c>
      <c r="P228" t="inlineStr">
        <is>
          <t>eig_bonus_k_konstitution</t>
        </is>
      </c>
      <c r="Q228" t="inlineStr">
        <is>
          <t>Während der Wirkungsdauer regeneriert der Magier pro sec 1LE auf alle TZ verteilt pro +3. Gliedmaßen wachsen nach, Gesundheit wird nicht wiederhergestellt!</t>
        </is>
      </c>
    </row>
    <row r="229" hidden="1" ht="15.75" customHeight="1" s="48">
      <c r="A229" s="29" t="inlineStr">
        <is>
          <t>ki_selbstheilung</t>
        </is>
      </c>
      <c r="B229" s="11" t="inlineStr">
        <is>
          <t>KI</t>
        </is>
      </c>
      <c r="C229" s="12" t="inlineStr">
        <is>
          <t>Selbstheilung</t>
        </is>
      </c>
      <c r="E229" s="14" t="inlineStr">
        <is>
          <t>KI Fertigkeits-Maximum=24, mit Talent 'KI-Meister' insgesamt 42.</t>
        </is>
      </c>
      <c r="F229" s="14" t="n"/>
      <c r="G229" s="11" t="inlineStr">
        <is>
          <t>Wert</t>
        </is>
      </c>
      <c r="L229" s="28" t="inlineStr">
        <is>
          <t>WENN(wert=0;0;10+(wert-1)*wert/2)</t>
        </is>
      </c>
      <c r="P229" t="inlineStr">
        <is>
          <t>eig_bonus_g_ausstrahlung</t>
        </is>
      </c>
      <c r="Q229" t="inlineStr">
        <is>
          <t>Eine TZ regeneriert innerhalb der Meditation alle 2 Sekunden 1LE pro+1. Pro+5 verteilt sich die Heilung auf eine weitere TZ. Gesundheit wird nicht wiederhergestellt!</t>
        </is>
      </c>
    </row>
    <row r="230" hidden="1" ht="15.75" customHeight="1" s="48">
      <c r="A230" s="29" t="inlineStr">
        <is>
          <t>ki_sprint</t>
        </is>
      </c>
      <c r="B230" s="11" t="inlineStr">
        <is>
          <t>KI</t>
        </is>
      </c>
      <c r="C230" s="12" t="inlineStr">
        <is>
          <t>Sprint</t>
        </is>
      </c>
      <c r="E230" s="14" t="inlineStr">
        <is>
          <t>KI Fertigkeits-Maximum=24, mit Talent 'KI-Meister' insgesamt 42.</t>
        </is>
      </c>
      <c r="F230" s="14" t="n"/>
      <c r="G230" s="11" t="inlineStr">
        <is>
          <t>Wert</t>
        </is>
      </c>
      <c r="L230" s="28" t="inlineStr">
        <is>
          <t>WENN(wert=0;0;10+(wert-1)*wert/2)</t>
        </is>
      </c>
      <c r="P230" t="inlineStr">
        <is>
          <t>eig_bonus_k_athletik</t>
        </is>
      </c>
      <c r="Q230" t="inlineStr">
        <is>
          <t>Laufen+3 pro+1 und Geschwindigkeit +1m/s pro+2.</t>
        </is>
      </c>
    </row>
    <row r="231" hidden="1" ht="15.75" customHeight="1" s="48">
      <c r="A231" s="29" t="inlineStr">
        <is>
          <t>ki_sprung</t>
        </is>
      </c>
      <c r="B231" s="11" t="inlineStr">
        <is>
          <t>KI</t>
        </is>
      </c>
      <c r="C231" s="12" t="inlineStr">
        <is>
          <t>Sprung</t>
        </is>
      </c>
      <c r="E231" s="14" t="inlineStr">
        <is>
          <t>KI Fertigkeits-Maximum=24, mit Talent 'KI-Meister' insgesamt 42.</t>
        </is>
      </c>
      <c r="F231" s="14" t="n"/>
      <c r="G231" s="11" t="inlineStr">
        <is>
          <t>Wert</t>
        </is>
      </c>
      <c r="L231" s="28" t="inlineStr">
        <is>
          <t>WENN(wert=0;0;10+(wert-1)*wert/2)</t>
        </is>
      </c>
      <c r="P231" t="inlineStr">
        <is>
          <t>eig_bonus_k_athletik</t>
        </is>
      </c>
      <c r="Q231" t="inlineStr">
        <is>
          <t>Der KI-Magier springt mit gleicher Kraft aber geringerer Gravitation und Luftwiderstand höher: +50cm pro+1  oder weiter: +1m pro+1.</t>
        </is>
      </c>
    </row>
    <row r="232" hidden="1" ht="15.75" customHeight="1" s="48">
      <c r="A232" s="29" t="inlineStr">
        <is>
          <t>ki_steinhaut</t>
        </is>
      </c>
      <c r="B232" s="11" t="inlineStr">
        <is>
          <t>KI</t>
        </is>
      </c>
      <c r="C232" s="12" t="inlineStr">
        <is>
          <t>Steinhaut</t>
        </is>
      </c>
      <c r="E232" s="14" t="inlineStr">
        <is>
          <t>KI Fertigkeits-Maximum=24, mit Talent 'KI-Meister' insgesamt 42.</t>
        </is>
      </c>
      <c r="F232" s="14" t="n"/>
      <c r="G232" s="11" t="inlineStr">
        <is>
          <t>Wert</t>
        </is>
      </c>
      <c r="L232" s="28" t="inlineStr">
        <is>
          <t>WENN(wert=0;0;10+(wert-1)*wert/2)</t>
        </is>
      </c>
      <c r="P232" t="inlineStr">
        <is>
          <t>eig_bonus_k_konstitution</t>
        </is>
      </c>
      <c r="Q232" t="inlineStr">
        <is>
          <t>Alle TZ: RS+1 pro+3.</t>
        </is>
      </c>
    </row>
    <row r="233" hidden="1" ht="15.75" customHeight="1" s="48">
      <c r="A233" s="29" t="inlineStr">
        <is>
          <t>ki_abwehr</t>
        </is>
      </c>
      <c r="B233" s="11" t="inlineStr">
        <is>
          <t>KI</t>
        </is>
      </c>
      <c r="C233" s="12" t="inlineStr">
        <is>
          <t>Abwehr</t>
        </is>
      </c>
      <c r="E233" s="14" t="inlineStr">
        <is>
          <t>KI Fertigkeits-Maximum=24, mit Talent 'KI-Meister' insgesamt 42.</t>
        </is>
      </c>
      <c r="F233" s="14" t="n"/>
      <c r="G233" s="11" t="inlineStr">
        <is>
          <t>Wert</t>
        </is>
      </c>
      <c r="L233" s="28" t="inlineStr">
        <is>
          <t>WENN(wert=0;0;10+(wert-1)*wert/2)</t>
        </is>
      </c>
      <c r="P233" t="inlineStr">
        <is>
          <t>eig_bonus_k_schnelligkeit</t>
        </is>
      </c>
      <c r="Q233" t="inlineStr">
        <is>
          <t>PA-Basis-Werte+1 pro+2  und Ausweichen+1 pro+4.</t>
        </is>
      </c>
    </row>
    <row r="234" hidden="1" ht="15.75" customHeight="1" s="48">
      <c r="A234" s="29" t="inlineStr">
        <is>
          <t>ki_eigenanziehung_verringern</t>
        </is>
      </c>
      <c r="B234" s="11" t="inlineStr">
        <is>
          <t>KI</t>
        </is>
      </c>
      <c r="C234" s="12" t="inlineStr">
        <is>
          <t>Eigenanziehung verringern</t>
        </is>
      </c>
      <c r="E234" s="14" t="inlineStr">
        <is>
          <t>KI Fertigkeits-Maximum=24, mit Talent 'KI-Meister' insgesamt 42.</t>
        </is>
      </c>
      <c r="F234" s="14" t="n"/>
      <c r="G234" s="11" t="inlineStr">
        <is>
          <t>Wert</t>
        </is>
      </c>
      <c r="L234" s="28" t="inlineStr">
        <is>
          <t>WENN(wert=0;0;10+(wert-1)*wert/2)</t>
        </is>
      </c>
      <c r="P234" t="inlineStr">
        <is>
          <t>eig_bonus_g_willenskraft</t>
        </is>
      </c>
      <c r="Q234" t="inlineStr">
        <is>
          <t xml:space="preserve">Die Gravitation verringert sich für den Magus, die natürlichen Sprungreichweiten und Fallgeschwindigkeiten verändern sich im selben Maße.     25% +5    50% +15   75% +30 </t>
        </is>
      </c>
    </row>
    <row r="235" hidden="1" ht="15.75" customHeight="1" s="48">
      <c r="A235" s="29" t="inlineStr">
        <is>
          <t>ki_wuchtschlag</t>
        </is>
      </c>
      <c r="B235" s="11" t="inlineStr">
        <is>
          <t>KI</t>
        </is>
      </c>
      <c r="C235" s="12" t="inlineStr">
        <is>
          <t>Wuchtschlag</t>
        </is>
      </c>
      <c r="E235" s="14" t="inlineStr">
        <is>
          <t>KI Fertigkeits-Maximum=24, mit Talent 'KI-Meister' insgesamt 42.</t>
        </is>
      </c>
      <c r="F235" s="14" t="n"/>
      <c r="G235" s="11" t="inlineStr">
        <is>
          <t>Wert</t>
        </is>
      </c>
      <c r="L235" s="28" t="inlineStr">
        <is>
          <t>WENN(wert=0;0;10+(wert-1)*wert/2)</t>
        </is>
      </c>
      <c r="P235" t="inlineStr">
        <is>
          <t>eig_bonus_k_staerke</t>
        </is>
      </c>
      <c r="Q235" t="inlineStr">
        <is>
          <t>NK/Wurfwaffen-TP+3 pro+2</t>
        </is>
      </c>
    </row>
    <row r="236" hidden="1" ht="15.75" customHeight="1" s="48">
      <c r="A236" s="29" t="inlineStr">
        <is>
          <t>ki_meister_der_grundfertigkeiten</t>
        </is>
      </c>
      <c r="B236" s="11" t="inlineStr">
        <is>
          <t>KI</t>
        </is>
      </c>
      <c r="C236" s="13" t="inlineStr">
        <is>
          <t>Meister der Grundfertigkeiten</t>
        </is>
      </c>
      <c r="D236" s="10" t="n"/>
      <c r="E236" s="15" t="inlineStr">
        <is>
          <t>KI Fertigkeits-Maximum=24, mit Talent 'KI-Meister' insgesamt 42.</t>
        </is>
      </c>
      <c r="F236" s="15" t="n"/>
      <c r="G236" s="11" t="inlineStr">
        <is>
          <t>Wert</t>
        </is>
      </c>
      <c r="H236" t="inlineStr">
        <is>
          <t>1+AUFRUNDEN(wert/5;0)</t>
        </is>
      </c>
      <c r="L236" s="28" t="inlineStr">
        <is>
          <t>WENN(wert=0;0;10+(wert-1)*wert/2)</t>
        </is>
      </c>
      <c r="P236" t="inlineStr">
        <is>
          <t>eig_bonus_k_geschicklichkeit</t>
        </is>
      </c>
      <c r="Q236" t="inlineStr">
        <is>
          <t>Eine fest ausgewählte Grundfertigkeit+3 pro+1. Pro Fertigkeitswert von 5 kann eine weitere Grundfertigkeit fest hinzu gewählt werden.</t>
        </is>
      </c>
    </row>
    <row r="237" hidden="1" ht="15.75" customHeight="1" s="48">
      <c r="A237" s="29" t="inlineStr">
        <is>
          <t>ki_f_mentale_kapazitaet</t>
        </is>
      </c>
      <c r="B237" s="11" t="inlineStr">
        <is>
          <t>KI</t>
        </is>
      </c>
      <c r="C237" s="7" t="inlineStr">
        <is>
          <t>Mentale Kapazität</t>
        </is>
      </c>
      <c r="E237" s="15" t="inlineStr">
        <is>
          <t>KI</t>
        </is>
      </c>
      <c r="F237" s="10" t="n"/>
      <c r="G237" s="10" t="inlineStr">
        <is>
          <t>Formel</t>
        </is>
      </c>
      <c r="H237" s="11" t="inlineStr">
        <is>
          <t>eig_g_willenskraft+att_aura+stufe+sf_mentale_kapazitaet</t>
        </is>
      </c>
      <c r="L237" s="28" t="inlineStr">
        <is>
          <t>WENN(wert=0;0;10+(wert-1)*wert/2)</t>
        </is>
      </c>
    </row>
    <row r="238" hidden="1" ht="15.75" customHeight="1" s="48">
      <c r="A238" s="29" t="inlineStr">
        <is>
          <t>ki_f_mentaler_fokus</t>
        </is>
      </c>
      <c r="B238" s="11" t="inlineStr">
        <is>
          <t>KI</t>
        </is>
      </c>
      <c r="C238" s="12" t="inlineStr">
        <is>
          <t>Mentaler Fokus</t>
        </is>
      </c>
      <c r="E238" s="15" t="inlineStr">
        <is>
          <t>KI</t>
        </is>
      </c>
      <c r="F238" s="14" t="n"/>
      <c r="G238" s="11" t="inlineStr">
        <is>
          <t>Formel</t>
        </is>
      </c>
      <c r="H238" s="11" t="inlineStr">
        <is>
          <t>eig_g_willenskraft+sf_mentaler_fokus</t>
        </is>
      </c>
      <c r="L238" s="28" t="inlineStr">
        <is>
          <t>WENN(wert=0;0;10+(wert-1)*wert/2)</t>
        </is>
      </c>
    </row>
    <row r="239" hidden="1" ht="15.75" customHeight="1" s="48">
      <c r="A239" s="29" t="inlineStr">
        <is>
          <t>ki_dauerlauf</t>
        </is>
      </c>
      <c r="B239" s="11" t="inlineStr">
        <is>
          <t>KI</t>
        </is>
      </c>
      <c r="C239" s="12" t="inlineStr">
        <is>
          <t>Dauerlauf</t>
        </is>
      </c>
      <c r="E239" s="14" t="inlineStr">
        <is>
          <t>KI Fertigkeits-Maximum=24, mit Talent 'KI-Meister' insgesamt 42.</t>
        </is>
      </c>
      <c r="F239" s="14" t="n"/>
      <c r="G239" s="11" t="inlineStr">
        <is>
          <t>Wert</t>
        </is>
      </c>
      <c r="L239" s="28" t="inlineStr">
        <is>
          <t>WENN(wert=0;0;10+(wert-1)*wert/2)</t>
        </is>
      </c>
      <c r="P239" t="inlineStr">
        <is>
          <t>eig_bonus_k_konstitution</t>
        </is>
      </c>
      <c r="Q239" t="inlineStr">
        <is>
          <t>Die Zeit, die man von 1 Punkt Ausdauer laufen kann, erhöht sich um 25% pro +1.</t>
        </is>
      </c>
    </row>
    <row r="240" hidden="1" ht="15.75" customHeight="1" s="48">
      <c r="A240" s="29" t="inlineStr">
        <is>
          <t>#ki_ki_faehigkeiten</t>
        </is>
      </c>
      <c r="B240" s="11" t="inlineStr">
        <is>
          <t>KI</t>
        </is>
      </c>
      <c r="C240" s="13" t="inlineStr">
        <is>
          <t>KI-Fähigkeiten</t>
        </is>
      </c>
      <c r="E240" s="14" t="inlineStr">
        <is>
          <t>KI</t>
        </is>
      </c>
      <c r="F240" s="14" t="n"/>
      <c r="G240" s="11" t="inlineStr">
        <is>
          <t>Wert</t>
        </is>
      </c>
      <c r="L240" s="28" t="inlineStr">
        <is>
          <t>WENN(wert=0;0;10+(wert-1)*wert/2)</t>
        </is>
      </c>
    </row>
    <row r="241" hidden="1" ht="15.75" customHeight="1" s="48">
      <c r="A241" s="29" t="inlineStr">
        <is>
          <t>ki_ki_schutz</t>
        </is>
      </c>
      <c r="B241" s="11" t="inlineStr">
        <is>
          <t>KI</t>
        </is>
      </c>
      <c r="C241" s="12" t="inlineStr">
        <is>
          <t>KI-Schutz</t>
        </is>
      </c>
      <c r="E241" s="14" t="inlineStr">
        <is>
          <t>KI Fertigkeits-Maximum=24, mit Talent 'KI-Meister' insgesamt 42.</t>
        </is>
      </c>
      <c r="F241" s="14" t="n"/>
      <c r="G241" s="11" t="inlineStr">
        <is>
          <t>Wert</t>
        </is>
      </c>
      <c r="L241" s="28" t="inlineStr">
        <is>
          <t>WENN(wert=0;0;10+(wert-1)*wert/2)</t>
        </is>
      </c>
      <c r="P241" t="inlineStr">
        <is>
          <t>eig_bonus_k_konstitution</t>
        </is>
      </c>
      <c r="Q241" t="inlineStr">
        <is>
          <t>Eine TZ: RS+1 pro+1.</t>
        </is>
      </c>
    </row>
    <row r="242" hidden="1" ht="15.75" customHeight="1" s="48">
      <c r="A242" s="29" t="inlineStr">
        <is>
          <t>ki_konzentration</t>
        </is>
      </c>
      <c r="B242" s="11" t="inlineStr">
        <is>
          <t>KI</t>
        </is>
      </c>
      <c r="C242" s="12" t="inlineStr">
        <is>
          <t>Konzentration</t>
        </is>
      </c>
      <c r="E242" s="14" t="inlineStr">
        <is>
          <t>KI Fertigkeits-Maximum=24, mit Talent 'KI-Meister' insgesamt 42.</t>
        </is>
      </c>
      <c r="F242" s="14" t="n"/>
      <c r="G242" s="11" t="inlineStr">
        <is>
          <t>Wert</t>
        </is>
      </c>
      <c r="L242" s="28" t="inlineStr">
        <is>
          <t>WENN(wert=0;0;10+(wert-1)*wert/2)</t>
        </is>
      </c>
      <c r="P242" t="inlineStr">
        <is>
          <t>eig_bonus_g_willenskraft</t>
        </is>
      </c>
      <c r="Q242" t="inlineStr">
        <is>
          <t>Willenskraft+2 pro+1 und Selbstbeherrschung+2 pro+1 und Trefferschwelle+1 pro+2.</t>
        </is>
      </c>
    </row>
    <row r="243" hidden="1" ht="15.75" customHeight="1" s="48">
      <c r="A243" s="29" t="inlineStr">
        <is>
          <t>stufe</t>
        </is>
      </c>
      <c r="B243" s="11" t="inlineStr">
        <is>
          <t>Charakterwerte</t>
        </is>
      </c>
      <c r="C243" s="7" t="inlineStr">
        <is>
          <t>Stufe</t>
        </is>
      </c>
      <c r="E243" s="10" t="inlineStr">
        <is>
          <t>S.1</t>
        </is>
      </c>
      <c r="F243" s="10" t="n"/>
      <c r="G243" s="10" t="inlineStr">
        <is>
          <t>Lookup</t>
        </is>
      </c>
      <c r="H243" t="inlineStr">
        <is>
          <t>SVERWEIS(ep_gesamt;'EP-Stufe-Kreis';2;1)</t>
        </is>
      </c>
    </row>
    <row r="244" hidden="1" ht="15.75" customHeight="1" s="48">
      <c r="A244" s="29" t="inlineStr">
        <is>
          <t>kreis</t>
        </is>
      </c>
      <c r="B244" s="11" t="inlineStr">
        <is>
          <t>Charakterwerte</t>
        </is>
      </c>
      <c r="C244" s="12" t="inlineStr">
        <is>
          <t>Kreis</t>
        </is>
      </c>
      <c r="E244" s="10" t="inlineStr">
        <is>
          <t>S.1</t>
        </is>
      </c>
      <c r="F244" s="10" t="n"/>
      <c r="G244" s="11" t="inlineStr">
        <is>
          <t>Lookup</t>
        </is>
      </c>
      <c r="H244" t="inlineStr">
        <is>
          <t>SVERWEIS(ep_gesamt;'EP-Stufe-Kreis';3;1)</t>
        </is>
      </c>
    </row>
    <row r="245" hidden="1" ht="15.75" customHeight="1" s="48">
      <c r="A245" t="inlineStr">
        <is>
          <t>talentpunkte</t>
        </is>
      </c>
      <c r="B245" t="inlineStr">
        <is>
          <t>Charakterwerte</t>
        </is>
      </c>
      <c r="C245" t="inlineStr">
        <is>
          <t>Talentpunkte</t>
        </is>
      </c>
      <c r="G245" t="inlineStr">
        <is>
          <t>Formel</t>
        </is>
      </c>
      <c r="H245" t="inlineStr">
        <is>
          <t>20+stufe*5</t>
        </is>
      </c>
      <c r="AE245" s="1" t="n"/>
    </row>
    <row r="246" hidden="1" ht="15.75" customHeight="1" s="48">
      <c r="A246" t="inlineStr">
        <is>
          <t>ssk_kultur_dalkini</t>
        </is>
      </c>
      <c r="B246" t="inlineStr">
        <is>
          <t>Sprache &amp; Kultur</t>
        </is>
      </c>
      <c r="C246" t="inlineStr">
        <is>
          <t>Daikinische Kultur</t>
        </is>
      </c>
      <c r="G246" t="inlineStr">
        <is>
          <t>Wert</t>
        </is>
      </c>
      <c r="L246" s="28" t="inlineStr">
        <is>
          <t>SVERWEIS(wert;'Kulturstufe-Kosten';2;0)</t>
        </is>
      </c>
      <c r="AE246" s="3" t="n"/>
    </row>
    <row r="247" hidden="1" ht="15.75" customHeight="1" s="48">
      <c r="A247" t="inlineStr">
        <is>
          <t>ssk_kultur_draw</t>
        </is>
      </c>
      <c r="B247" t="inlineStr">
        <is>
          <t>Sprache &amp; Kultur</t>
        </is>
      </c>
      <c r="C247" t="inlineStr">
        <is>
          <t>Drawsche Kultur</t>
        </is>
      </c>
      <c r="G247" t="inlineStr">
        <is>
          <t>Wert</t>
        </is>
      </c>
      <c r="L247" s="28" t="inlineStr">
        <is>
          <t>SVERWEIS(wert;'Kulturstufe-Kosten';2;0)</t>
        </is>
      </c>
      <c r="AE247" s="3" t="n"/>
    </row>
    <row r="248" hidden="1" ht="15.75" customHeight="1" s="48">
      <c r="A248" t="inlineStr">
        <is>
          <t>ssk_kultur_elfen</t>
        </is>
      </c>
      <c r="B248" t="inlineStr">
        <is>
          <t>Sprache &amp; Kultur</t>
        </is>
      </c>
      <c r="C248" t="inlineStr">
        <is>
          <t>Elfische Kultur</t>
        </is>
      </c>
      <c r="G248" t="inlineStr">
        <is>
          <t>Wert</t>
        </is>
      </c>
      <c r="L248" s="28" t="inlineStr">
        <is>
          <t>SVERWEIS(wert;'Kulturstufe-Kosten';2;0)</t>
        </is>
      </c>
    </row>
    <row r="249" hidden="1" ht="15.75" customHeight="1" s="48">
      <c r="A249" t="inlineStr">
        <is>
          <t>ssk_kultur_gnome</t>
        </is>
      </c>
      <c r="B249" t="inlineStr">
        <is>
          <t>Sprache &amp; Kultur</t>
        </is>
      </c>
      <c r="C249" t="inlineStr">
        <is>
          <t>Gnomische Kultur</t>
        </is>
      </c>
      <c r="G249" t="inlineStr">
        <is>
          <t>Wert</t>
        </is>
      </c>
      <c r="L249" s="28" t="inlineStr">
        <is>
          <t>SVERWEIS(wert;'Kulturstufe-Kosten';2;0)</t>
        </is>
      </c>
    </row>
    <row r="250" hidden="1" ht="15.75" customHeight="1" s="48">
      <c r="A250" t="inlineStr">
        <is>
          <t>ssk_kultur_goblins</t>
        </is>
      </c>
      <c r="B250" t="inlineStr">
        <is>
          <t>Sprache &amp; Kultur</t>
        </is>
      </c>
      <c r="C250" t="inlineStr">
        <is>
          <t>Goblinsche Kultur</t>
        </is>
      </c>
      <c r="G250" t="inlineStr">
        <is>
          <t>Wert</t>
        </is>
      </c>
      <c r="L250" s="28" t="inlineStr">
        <is>
          <t>SVERWEIS(wert;'Kulturstufe-Kosten';2;0)</t>
        </is>
      </c>
      <c r="U250" s="1" t="n"/>
      <c r="X250" s="2" t="n"/>
    </row>
    <row r="251" hidden="1" ht="15.75" customHeight="1" s="48">
      <c r="A251" t="inlineStr">
        <is>
          <t>ssk_kultur_indianer</t>
        </is>
      </c>
      <c r="B251" t="inlineStr">
        <is>
          <t>Sprache &amp; Kultur</t>
        </is>
      </c>
      <c r="C251" t="inlineStr">
        <is>
          <t>Indianische Kultur</t>
        </is>
      </c>
      <c r="G251" t="inlineStr">
        <is>
          <t>Wert</t>
        </is>
      </c>
      <c r="L251" s="28" t="inlineStr">
        <is>
          <t>SVERWEIS(wert;'Kulturstufe-Kosten';2;0)</t>
        </is>
      </c>
    </row>
    <row r="252" hidden="1" ht="15.75" customHeight="1" s="48">
      <c r="A252" t="inlineStr">
        <is>
          <t>ssk_kultur_katzen</t>
        </is>
      </c>
      <c r="B252" t="inlineStr">
        <is>
          <t>Sprache &amp; Kultur</t>
        </is>
      </c>
      <c r="C252" t="inlineStr">
        <is>
          <t>Kultur der Katzenmenschen</t>
        </is>
      </c>
      <c r="G252" t="inlineStr">
        <is>
          <t>Wert</t>
        </is>
      </c>
      <c r="L252" s="28" t="inlineStr">
        <is>
          <t>SVERWEIS(wert;'Kulturstufe-Kosten';2;0)</t>
        </is>
      </c>
    </row>
    <row r="253" hidden="1" ht="15.75" customHeight="1" s="48">
      <c r="A253" t="inlineStr">
        <is>
          <t>ssk_kultur_orks</t>
        </is>
      </c>
      <c r="B253" t="inlineStr">
        <is>
          <t>Sprache &amp; Kultur</t>
        </is>
      </c>
      <c r="C253" t="inlineStr">
        <is>
          <t>Orkische Kultur</t>
        </is>
      </c>
      <c r="G253" t="inlineStr">
        <is>
          <t>Wert</t>
        </is>
      </c>
      <c r="L253" s="28" t="inlineStr">
        <is>
          <t>SVERWEIS(wert;'Kulturstufe-Kosten';2;0)</t>
        </is>
      </c>
    </row>
    <row r="254" hidden="1" ht="15.75" customHeight="1" s="48">
      <c r="A254" t="inlineStr">
        <is>
          <t>ssk_kultur_trolle</t>
        </is>
      </c>
      <c r="B254" t="inlineStr">
        <is>
          <t>Sprache &amp; Kultur</t>
        </is>
      </c>
      <c r="C254" t="inlineStr">
        <is>
          <t>Trollische Kultur</t>
        </is>
      </c>
      <c r="G254" t="inlineStr">
        <is>
          <t>Wert</t>
        </is>
      </c>
      <c r="L254" s="28" t="inlineStr">
        <is>
          <t>SVERWEIS(wert;'Kulturstufe-Kosten';2;0)</t>
        </is>
      </c>
    </row>
    <row r="255" hidden="1" ht="15.75" customHeight="1" s="48">
      <c r="A255" t="inlineStr">
        <is>
          <t>ssk_kultur_zentauren</t>
        </is>
      </c>
      <c r="B255" t="inlineStr">
        <is>
          <t>Sprache &amp; Kultur</t>
        </is>
      </c>
      <c r="C255" t="inlineStr">
        <is>
          <t>Zentaurische Kultur</t>
        </is>
      </c>
      <c r="G255" t="inlineStr">
        <is>
          <t>Wert</t>
        </is>
      </c>
      <c r="L255" s="28" t="inlineStr">
        <is>
          <t>SVERWEIS(wert;'Kulturstufe-Kosten';2;0)</t>
        </is>
      </c>
      <c r="U255" s="2" t="n"/>
    </row>
    <row r="256" hidden="1" ht="15.75" customHeight="1" s="48">
      <c r="A256" t="inlineStr">
        <is>
          <t>ssk_kultur_zwerge</t>
        </is>
      </c>
      <c r="B256" t="inlineStr">
        <is>
          <t>Sprache &amp; Kultur</t>
        </is>
      </c>
      <c r="C256" t="inlineStr">
        <is>
          <t>Zwergische Kultur</t>
        </is>
      </c>
      <c r="G256" t="inlineStr">
        <is>
          <t>Wert</t>
        </is>
      </c>
      <c r="L256" s="28" t="inlineStr">
        <is>
          <t>SVERWEIS(wert;'Kulturstufe-Kosten';2;0)</t>
        </is>
      </c>
      <c r="U256" s="2" t="n"/>
    </row>
    <row r="257" hidden="1" ht="15.75" customHeight="1" s="48">
      <c r="A257" t="inlineStr">
        <is>
          <t>rerolls</t>
        </is>
      </c>
      <c r="B257" t="inlineStr">
        <is>
          <t>Charakterwerte</t>
        </is>
      </c>
      <c r="C257" t="inlineStr">
        <is>
          <t>Rerolls</t>
        </is>
      </c>
      <c r="G257" t="inlineStr">
        <is>
          <t>Formel</t>
        </is>
      </c>
      <c r="H257" t="inlineStr">
        <is>
          <t>kreis</t>
        </is>
      </c>
      <c r="U257" s="4" t="n"/>
    </row>
    <row r="258" hidden="1" ht="15.75" customHeight="1" s="48">
      <c r="A258" t="inlineStr">
        <is>
          <t>fk_gute_blasrohre</t>
        </is>
      </c>
      <c r="B258" t="inlineStr">
        <is>
          <t>Fernkampf</t>
        </is>
      </c>
      <c r="C258" t="inlineStr">
        <is>
          <t>Fernkampf-Gute-Wert Blasrohre</t>
        </is>
      </c>
      <c r="E25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8" t="inlineStr">
        <is>
          <t>Formel</t>
        </is>
      </c>
      <c r="H258" t="inlineStr">
        <is>
          <t>WENN(talente_fernkampfgeschick_stufe_2&gt;0;1+AUFRUNDEN(fk_basis_blasrohre/3;0);WENN(talente_fernkampfgeschick_stufe_1&gt;0;1+AUFRUNDEN(fk_basis_blasrohre/4;0);1))</t>
        </is>
      </c>
      <c r="J258" t="inlineStr">
        <is>
          <t>Nur mit Talent 'Fernkampfgeschick Stufe 1/2' ueber die Basis 1 steigerbar. Quelle: NN NPC-Rechner 0.76 Talente + Nutzerbestaetigung. Kein MIN()-Deckel.</t>
        </is>
      </c>
      <c r="U258" s="1" t="n"/>
    </row>
    <row r="259" hidden="1" ht="15.75" customHeight="1" s="48">
      <c r="A259" t="inlineStr">
        <is>
          <t>fk_gute_boegen</t>
        </is>
      </c>
      <c r="B259" t="inlineStr">
        <is>
          <t>Fernkampf</t>
        </is>
      </c>
      <c r="C259" t="inlineStr">
        <is>
          <t>Fernkampf-Gute-Wert Bögen</t>
        </is>
      </c>
      <c r="E25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9" t="inlineStr">
        <is>
          <t>Formel</t>
        </is>
      </c>
      <c r="H259" t="inlineStr">
        <is>
          <t>WENN(talente_fernkampfgeschick_stufe_2&gt;0;1+AUFRUNDEN(fk_basis_boegen/3;0);WENN(talente_fernkampfgeschick_stufe_1&gt;0;1+AUFRUNDEN(fk_basis_boegen/4;0);1))</t>
        </is>
      </c>
      <c r="J259" t="inlineStr">
        <is>
          <t>Nur mit Talent 'Fernkampfgeschick Stufe 1/2' ueber die Basis 1 steigerbar. Quelle: NN NPC-Rechner 0.76 Talente + Nutzerbestaetigung. Kein MIN()-Deckel.</t>
        </is>
      </c>
      <c r="U259" s="1" t="n"/>
    </row>
    <row r="260" hidden="1" ht="15.75" customHeight="1" s="48">
      <c r="A260" t="inlineStr">
        <is>
          <t>fk_gute_schusswaffen</t>
        </is>
      </c>
      <c r="B260" t="inlineStr">
        <is>
          <t>Fernkampf</t>
        </is>
      </c>
      <c r="C260" t="inlineStr">
        <is>
          <t>Fernkampf-Gute-Wert Schusswaffen</t>
        </is>
      </c>
      <c r="E26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0" t="inlineStr">
        <is>
          <t>Formel</t>
        </is>
      </c>
      <c r="H260" t="inlineStr">
        <is>
          <t>WENN(talente_fernkampfgeschick_stufe_2&gt;0;1+AUFRUNDEN(fk_basis_schusswaffen/3;0);WENN(talente_fernkampfgeschick_stufe_1&gt;0;1+AUFRUNDEN(fk_basis_schusswaffen/4;0);1))</t>
        </is>
      </c>
      <c r="J260" t="inlineStr">
        <is>
          <t>Nur mit Talent 'Fernkampfgeschick Stufe 1/2' ueber die Basis 1 steigerbar. Quelle: NN NPC-Rechner 0.76 Talente + Nutzerbestaetigung. Kein MIN()-Deckel.</t>
        </is>
      </c>
      <c r="AE260" s="1" t="n"/>
    </row>
    <row r="261" hidden="1" ht="15.75" customHeight="1" s="48">
      <c r="A261" t="inlineStr">
        <is>
          <t>fk_gute_wurfwaffen</t>
        </is>
      </c>
      <c r="B261" t="inlineStr">
        <is>
          <t>Fernkampf</t>
        </is>
      </c>
      <c r="C261" t="inlineStr">
        <is>
          <t>Fernkampf-Gute-Wert Wurfwaffen</t>
        </is>
      </c>
      <c r="E26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1" t="inlineStr">
        <is>
          <t>Formel</t>
        </is>
      </c>
      <c r="H261" t="inlineStr">
        <is>
          <t>WENN(talente_fernkampfgeschick_stufe_2&gt;0;1+AUFRUNDEN(fk_basis_wurfwaffen/3;0);WENN(talente_fernkampfgeschick_stufe_1&gt;0;1+AUFRUNDEN(fk_basis_wurfwaffen/4;0);1))</t>
        </is>
      </c>
      <c r="J261" t="inlineStr">
        <is>
          <t>Nur mit Talent 'Fernkampfgeschick Stufe 1/2' ueber die Basis 1 steigerbar. Quelle: NN NPC-Rechner 0.76 Talente + Nutzerbestaetigung. Kein MIN()-Deckel.</t>
        </is>
      </c>
      <c r="AE261" s="3" t="n"/>
    </row>
    <row r="262" hidden="1" ht="15.75" customHeight="1" s="48">
      <c r="A262" t="inlineStr">
        <is>
          <t>fk_meisterlich_blasrohre</t>
        </is>
      </c>
      <c r="B262" t="inlineStr">
        <is>
          <t>Fernkampf</t>
        </is>
      </c>
      <c r="C262" t="inlineStr">
        <is>
          <t>Fernkampf-Meisterliche-Wert Blasrohre</t>
        </is>
      </c>
      <c r="E26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2" t="inlineStr">
        <is>
          <t>Formel</t>
        </is>
      </c>
      <c r="H262" t="inlineStr">
        <is>
          <t>WENN(talente_fernkampfgeschick_stufe_3&gt;0;21+AUFRUNDEN(fk_basis_blasrohre/20;0);21)</t>
        </is>
      </c>
      <c r="J262" t="inlineStr">
        <is>
          <t>Nur mit Talent 'Fernkampfgeschick Stufe 3' ueber die Basis 21 steigerbar. Quelle: NN NPC-Rechner 0.76 Talente + Nutzerbestaetigung. Kein MIN()-Deckel.</t>
        </is>
      </c>
      <c r="AE262" s="3" t="n"/>
    </row>
    <row r="263" hidden="1" ht="15.75" customHeight="1" s="48">
      <c r="A263" t="inlineStr">
        <is>
          <t>fk_meisterlich_boegen</t>
        </is>
      </c>
      <c r="B263" t="inlineStr">
        <is>
          <t>Fernkampf</t>
        </is>
      </c>
      <c r="C263" t="inlineStr">
        <is>
          <t>Fernkampf-Meisterliche-Wert Bögen</t>
        </is>
      </c>
      <c r="E26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3" t="inlineStr">
        <is>
          <t>Formel</t>
        </is>
      </c>
      <c r="H263" t="inlineStr">
        <is>
          <t>WENN(talente_fernkampfgeschick_stufe_3&gt;0;21+AUFRUNDEN(fk_basis_boegen/20;0);21)</t>
        </is>
      </c>
      <c r="J263" t="inlineStr">
        <is>
          <t>Nur mit Talent 'Fernkampfgeschick Stufe 3' ueber die Basis 21 steigerbar. Quelle: NN NPC-Rechner 0.76 Talente + Nutzerbestaetigung. Kein MIN()-Deckel.</t>
        </is>
      </c>
    </row>
    <row r="264" hidden="1" ht="15.75" customHeight="1" s="48">
      <c r="A264" t="inlineStr">
        <is>
          <t>fk_meisterlich_schusswaffen</t>
        </is>
      </c>
      <c r="B264" t="inlineStr">
        <is>
          <t>Fernkampf</t>
        </is>
      </c>
      <c r="C264" t="inlineStr">
        <is>
          <t>Fernkampf-Meisterliche-Wert Schusswaffen</t>
        </is>
      </c>
      <c r="E26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4" t="inlineStr">
        <is>
          <t>Formel</t>
        </is>
      </c>
      <c r="H264" t="inlineStr">
        <is>
          <t>WENN(talente_fernkampfgeschick_stufe_3&gt;0;21+AUFRUNDEN(fk_basis_schusswaffen/20;0);21)</t>
        </is>
      </c>
      <c r="J264" t="inlineStr">
        <is>
          <t>Nur mit Talent 'Fernkampfgeschick Stufe 3' ueber die Basis 21 steigerbar. Quelle: NN NPC-Rechner 0.76 Talente + Nutzerbestaetigung. Kein MIN()-Deckel.</t>
        </is>
      </c>
    </row>
    <row r="265" hidden="1" ht="15.75" customHeight="1" s="48">
      <c r="A265" t="inlineStr">
        <is>
          <t>fk_meisterlich_wurfwaffen</t>
        </is>
      </c>
      <c r="B265" t="inlineStr">
        <is>
          <t>Fernkampf</t>
        </is>
      </c>
      <c r="C265" t="inlineStr">
        <is>
          <t>Fernkampf-Meisterliche-Wert Wurfwaffen</t>
        </is>
      </c>
      <c r="E26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5" t="inlineStr">
        <is>
          <t>Formel</t>
        </is>
      </c>
      <c r="H265" t="inlineStr">
        <is>
          <t>WENN(talente_fernkampfgeschick_stufe_3&gt;0;21+AUFRUNDEN(fk_basis_wurfwaffen/20;0);21)</t>
        </is>
      </c>
      <c r="J265" t="inlineStr">
        <is>
          <t>Nur mit Talent 'Fernkampfgeschick Stufe 3' ueber die Basis 21 steigerbar. Quelle: NN NPC-Rechner 0.76 Talente + Nutzerbestaetigung. Kein MIN()-Deckel.</t>
        </is>
      </c>
    </row>
    <row r="266" hidden="1" ht="15.75" customHeight="1" s="48">
      <c r="A266" s="12" t="inlineStr">
        <is>
          <t>#gewichtsbelastung</t>
        </is>
      </c>
      <c r="B266" s="11" t="inlineStr">
        <is>
          <t>Charakterwerte</t>
        </is>
      </c>
      <c r="C266" s="12" t="inlineStr">
        <is>
          <t>Gewichtsbelastung</t>
        </is>
      </c>
      <c r="D266" s="11" t="inlineStr">
        <is>
          <t>GBE</t>
        </is>
      </c>
      <c r="G266" s="11" t="inlineStr">
        <is>
          <t>Formel</t>
        </is>
      </c>
      <c r="H266" s="11" t="inlineStr">
        <is>
          <t>MAX(0;RBE)</t>
        </is>
      </c>
      <c r="J266"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267" hidden="1" ht="15.75" customHeight="1" s="48">
      <c r="A267" t="inlineStr">
        <is>
          <t>startbudget_ausruestung_gehoben</t>
        </is>
      </c>
      <c r="B267" t="inlineStr">
        <is>
          <t>Charakterwerte</t>
        </is>
      </c>
      <c r="C267" t="inlineStr">
        <is>
          <t>Startbudget Ausruestung (gehobener Start)</t>
        </is>
      </c>
      <c r="E267" t="inlineStr">
        <is>
          <t>In Dublonen. Gilt bei 'gehobenem Start' auf Stufe 15 statt des regulaeren Startbudgets. 1 Dublone = 1000 Fuffzisch. Meister kann Kosten mit % anpassen (App-Verhalten, nicht Formel).</t>
        </is>
      </c>
      <c r="G267" t="inlineStr">
        <is>
          <t>Fixwert</t>
        </is>
      </c>
      <c r="H267" t="inlineStr">
        <is>
          <t>6000</t>
        </is>
      </c>
    </row>
    <row r="268" hidden="1" ht="15.75" customHeight="1" s="48">
      <c r="A268" s="11" t="inlineStr">
        <is>
          <t>nk_spez_hiebwaffen_beidhand_hiebwaffen</t>
        </is>
      </c>
      <c r="B268" s="11" t="inlineStr">
        <is>
          <t>Nahkampf</t>
        </is>
      </c>
      <c r="C268" s="13" t="inlineStr">
        <is>
          <t>-&gt; Beidhand-Hiebwaffen</t>
        </is>
      </c>
      <c r="D268" s="10" t="n"/>
      <c r="F268" s="11" t="inlineStr">
        <is>
          <t>nk_hiebwaffen</t>
        </is>
      </c>
      <c r="G268" s="11" t="inlineStr">
        <is>
          <t>Wert</t>
        </is>
      </c>
    </row>
    <row r="269" hidden="1" ht="15.75" customHeight="1" s="48">
      <c r="A269" s="11" t="inlineStr">
        <is>
          <t>nk_pool_hiebwaffen_beidhand_hiebwaffen</t>
        </is>
      </c>
      <c r="B269" s="11" t="inlineStr">
        <is>
          <t>Nahkampf</t>
        </is>
      </c>
      <c r="C269" s="12" t="inlineStr">
        <is>
          <t>Pool Beidhand-Hiebwaffen</t>
        </is>
      </c>
      <c r="G269" s="11" t="inlineStr">
        <is>
          <t>Pool</t>
        </is>
      </c>
      <c r="I269" t="inlineStr">
        <is>
          <t>nk_spez_hiebwaffen_beidhand_hiebwaffen+MAX(0;(eig_g_mut+eig_k_athletik+nk_hiebwaffen)/3-20)+MAX(0;(eig_k_athletik+eig_k_schnelligkeit+nk_hiebwaffen)/3-20)</t>
        </is>
      </c>
    </row>
    <row r="270" hidden="1" ht="15.75" customHeight="1" s="48">
      <c r="A270" s="29" t="inlineStr">
        <is>
          <t>#spruchmagie_erdbeschwoerung_3_steinkugel_salve</t>
        </is>
      </c>
      <c r="B270" s="11" t="inlineStr">
        <is>
          <t>Spruchmagie</t>
        </is>
      </c>
      <c r="C270" s="12" t="inlineStr">
        <is>
          <t>Steinkugel-Salve</t>
        </is>
      </c>
      <c r="F270" t="inlineStr">
        <is>
          <t>Erdbeschwörung</t>
        </is>
      </c>
      <c r="G270" s="11" t="inlineStr">
        <is>
          <t>Wert</t>
        </is>
      </c>
      <c r="K270" t="n">
        <v>3</v>
      </c>
      <c r="L270" s="28" t="inlineStr">
        <is>
          <t>WENN(wert=0;0;10+(wert-1)*grad)</t>
        </is>
      </c>
      <c r="P270" t="inlineStr">
        <is>
          <t>eig_bonus_k_staerke</t>
        </is>
      </c>
      <c r="Q270" t="inlineStr">
        <is>
          <t>Der Magus erschafft {Magie} : 2 Bälle aus Erde. Schaden: 2W4 + {Magie}, RB 6.</t>
        </is>
      </c>
      <c r="X270" s="2" t="n"/>
    </row>
    <row r="271" hidden="1" ht="15.75" customHeight="1" s="48">
      <c r="A271" s="29" t="inlineStr">
        <is>
          <t>#spruchmagie_erdbeschwoerung_3_steinkugel_salve_nr</t>
        </is>
      </c>
      <c r="B271" s="11" t="inlineStr">
        <is>
          <t>Spruchmagie</t>
        </is>
      </c>
      <c r="C271" s="12" t="inlineStr">
        <is>
          <t>Steinkugel-Salve NR</t>
        </is>
      </c>
      <c r="F271" t="inlineStr">
        <is>
          <t>Erdbeschwörung</t>
        </is>
      </c>
      <c r="G271" s="11" t="inlineStr">
        <is>
          <t>Wert</t>
        </is>
      </c>
      <c r="K271" t="n">
        <v>3</v>
      </c>
      <c r="L271" s="28" t="inlineStr">
        <is>
          <t>WENN(wert=0;0;10+(wert-1)*grad)</t>
        </is>
      </c>
      <c r="P271" t="inlineStr">
        <is>
          <t>eig_bonus_k_staerke</t>
        </is>
      </c>
      <c r="Q271" t="inlineStr">
        <is>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272" hidden="1" ht="15.75" customHeight="1" s="48">
      <c r="A272" s="29" t="inlineStr">
        <is>
          <t>#spruchmagie_erdbeschwoerung_4_steinschuss_salve</t>
        </is>
      </c>
      <c r="B272" s="11" t="inlineStr">
        <is>
          <t>Spruchmagie</t>
        </is>
      </c>
      <c r="C272" s="12" t="inlineStr">
        <is>
          <t>Steinschuss-Salve</t>
        </is>
      </c>
      <c r="F272" t="inlineStr">
        <is>
          <t>Erdbeschwörung</t>
        </is>
      </c>
      <c r="G272" s="11" t="inlineStr">
        <is>
          <t>Wert</t>
        </is>
      </c>
      <c r="K272" t="n">
        <v>4</v>
      </c>
      <c r="L272" s="28" t="inlineStr">
        <is>
          <t>WENN(wert=0;0;10+(wert-1)*grad)</t>
        </is>
      </c>
      <c r="P272" t="inlineStr">
        <is>
          <t>eig_bonus_k_staerke</t>
        </is>
      </c>
      <c r="Q272" t="inlineStr">
        <is>
          <t>Der Magus erschafft {Magie} : 2 Bolzen aus Erde. Treffer auf FK-TZ, Schaden: 2W6 + {Magie}; RB: 6 + {Magie}*2</t>
        </is>
      </c>
    </row>
    <row r="273" hidden="1" ht="15.75" customHeight="1" s="48">
      <c r="A273" s="29" t="inlineStr">
        <is>
          <t>#spruchmagie_erdbeschwoerung_4_steinschuss_salve_nr</t>
        </is>
      </c>
      <c r="B273" s="11" t="inlineStr">
        <is>
          <t>Spruchmagie</t>
        </is>
      </c>
      <c r="C273" s="12" t="inlineStr">
        <is>
          <t>Steinschuss-Salve NR</t>
        </is>
      </c>
      <c r="F273" t="inlineStr">
        <is>
          <t>Erdbeschwörung</t>
        </is>
      </c>
      <c r="G273" s="11" t="inlineStr">
        <is>
          <t>Wert</t>
        </is>
      </c>
      <c r="K273" t="n">
        <v>4</v>
      </c>
      <c r="L273" s="28" t="inlineStr">
        <is>
          <t>WENN(wert=0;0;10+(wert-1)*grad)</t>
        </is>
      </c>
      <c r="P273" t="inlineStr">
        <is>
          <t>eig_bonus_k_staerke</t>
        </is>
      </c>
      <c r="Q273" t="inlineStr">
        <is>
          <t>Der Magus erschafft {Magie} : 2 Bolzen aus einem Element. Bis {M}m Glücks-Probe, bis {M}*2m AW:2, danach AW, um dem Schaden zu entgehen. Fluggeschwindigkeit ist {M}m/s. Treffer auf FK (W30). Schaden: 2W8 + {Magie}; RB: {Magie}*2 + 4</t>
        </is>
      </c>
    </row>
    <row r="274" hidden="1" ht="15.75" customHeight="1" s="48">
      <c r="A274" s="29" t="inlineStr">
        <is>
          <t>#spruchmagie_erdbeschwoerung_6_grosse_steinkugel_salve</t>
        </is>
      </c>
      <c r="B274" s="11" t="inlineStr">
        <is>
          <t>Spruchmagie</t>
        </is>
      </c>
      <c r="C274" s="12" t="inlineStr">
        <is>
          <t>Große Steinkugel-Salve</t>
        </is>
      </c>
      <c r="F274" t="inlineStr">
        <is>
          <t>Erdbeschwörung</t>
        </is>
      </c>
      <c r="G274" s="11" t="inlineStr">
        <is>
          <t>Wert</t>
        </is>
      </c>
      <c r="K274" t="n">
        <v>6</v>
      </c>
      <c r="L274" s="28" t="inlineStr">
        <is>
          <t>WENN(wert=0;0;10+(wert-1)*grad)</t>
        </is>
      </c>
      <c r="P274" t="inlineStr">
        <is>
          <t>eig_bonus_k_staerke</t>
        </is>
      </c>
      <c r="Q274" t="inlineStr">
        <is>
          <t>Der Magus erschafft {Magie} : 2 Bälle aus Erde. W12 + {Magie}, RB 5, auf jede Trefferzone.</t>
        </is>
      </c>
    </row>
    <row r="275" hidden="1" ht="15.75" customHeight="1" s="48">
      <c r="A275" s="29" t="inlineStr">
        <is>
          <t>#spruchmagie_erdbeschwoerung_6_grosse_steinkugel_salve_nr</t>
        </is>
      </c>
      <c r="B275" s="11" t="inlineStr">
        <is>
          <t>Spruchmagie</t>
        </is>
      </c>
      <c r="C275" s="12" t="inlineStr">
        <is>
          <t>Große Steinkugel-Salve NR</t>
        </is>
      </c>
      <c r="F275" t="inlineStr">
        <is>
          <t>Erdbeschwörung</t>
        </is>
      </c>
      <c r="G275" s="11" t="inlineStr">
        <is>
          <t>Wert</t>
        </is>
      </c>
      <c r="K275" t="n">
        <v>6</v>
      </c>
      <c r="L275" s="28" t="inlineStr">
        <is>
          <t>WENN(wert=0;0;10+(wert-1)*grad)</t>
        </is>
      </c>
      <c r="P275" t="inlineStr">
        <is>
          <t>eig_bonus_k_staerke</t>
        </is>
      </c>
      <c r="Q275" t="inlineStr">
        <is>
          <t>Der Magus erschafft {Magie} : 2 Bälle aus einem Element. Bis {M}:2 m Glücks-Probe, ab {M}:2 m Ausweichen-Probe, um dem Schaden zu entgehen. Treffer auf FK-TZ (W30). Fluggeschwindigkeit ist {M}:2 m/s. Schaden: W15 + {Magie}*2, RB 21 auf jede Trefferzone.</t>
        </is>
      </c>
    </row>
    <row r="276" hidden="1" ht="15.75" customHeight="1" s="48">
      <c r="A276" s="29" t="inlineStr">
        <is>
          <t>#spruchmagie_feuerbeschwoerung_3_feuerball_salve</t>
        </is>
      </c>
      <c r="B276" s="11" t="inlineStr">
        <is>
          <t>Spruchmagie</t>
        </is>
      </c>
      <c r="C276" s="12" t="inlineStr">
        <is>
          <t>Feuerball-Salve</t>
        </is>
      </c>
      <c r="F276" t="inlineStr">
        <is>
          <t>Feuerbeschwörung</t>
        </is>
      </c>
      <c r="G276" s="11" t="inlineStr">
        <is>
          <t>Wert</t>
        </is>
      </c>
      <c r="K276" t="n">
        <v>3</v>
      </c>
      <c r="L276" s="28" t="inlineStr">
        <is>
          <t>WENN(wert=0;0;10+(wert-1)*grad)</t>
        </is>
      </c>
      <c r="P276" t="inlineStr">
        <is>
          <t>eig_bonus_g_mut</t>
        </is>
      </c>
      <c r="Q276" t="inlineStr">
        <is>
          <t>Der Magus erschafft {Magie} : 2 Bälle aus Feuer. Schaden: 2W6 + {Magie}.</t>
        </is>
      </c>
    </row>
    <row r="277" hidden="1" ht="15.75" customHeight="1" s="48">
      <c r="A277" s="29" t="inlineStr">
        <is>
          <t>#spruchmagie_feuerbeschwoerung_3_feuerball_salve_nr</t>
        </is>
      </c>
      <c r="B277" s="11" t="inlineStr">
        <is>
          <t>Spruchmagie</t>
        </is>
      </c>
      <c r="C277" s="12" t="inlineStr">
        <is>
          <t>Feuerball-Salve NR</t>
        </is>
      </c>
      <c r="F277" t="inlineStr">
        <is>
          <t>Feuerbeschwörung</t>
        </is>
      </c>
      <c r="G277" s="11" t="inlineStr">
        <is>
          <t>Wert</t>
        </is>
      </c>
      <c r="K277" t="n">
        <v>3</v>
      </c>
      <c r="L277" s="28" t="inlineStr">
        <is>
          <t>WENN(wert=0;0;10+(wert-1)*grad)</t>
        </is>
      </c>
      <c r="P277" t="inlineStr">
        <is>
          <t>eig_bonus_g_mut</t>
        </is>
      </c>
      <c r="Q277" t="inlineStr">
        <is>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is>
      </c>
    </row>
    <row r="278" hidden="1" ht="15.75" customHeight="1" s="48">
      <c r="A278" s="29" t="inlineStr">
        <is>
          <t>#spruchmagie_feuerbeschwoerung_4_feuerpfeil_salve</t>
        </is>
      </c>
      <c r="B278" s="11" t="inlineStr">
        <is>
          <t>Spruchmagie</t>
        </is>
      </c>
      <c r="C278" s="12" t="inlineStr">
        <is>
          <t>Feuerpfeil-Salve</t>
        </is>
      </c>
      <c r="F278" t="inlineStr">
        <is>
          <t>Feuerbeschwörung</t>
        </is>
      </c>
      <c r="G278" s="11" t="inlineStr">
        <is>
          <t>Wert</t>
        </is>
      </c>
      <c r="K278" t="n">
        <v>4</v>
      </c>
      <c r="L278" s="28" t="inlineStr">
        <is>
          <t>WENN(wert=0;0;10+(wert-1)*grad)</t>
        </is>
      </c>
      <c r="P278" t="inlineStr">
        <is>
          <t>eig_bonus_g_mut</t>
        </is>
      </c>
      <c r="Q278" t="inlineStr">
        <is>
          <t>Der Magus erschafft {Magie} : 2 Bolzen aus Feuer. Treffer auf FK-TZ, Schaden: 2W8 + {Magie}; RB: {Magie}*2</t>
        </is>
      </c>
    </row>
    <row r="279" hidden="1" ht="15.75" customHeight="1" s="48">
      <c r="A279" s="29" t="inlineStr">
        <is>
          <t>#spruchmagie_feuerbeschwoerung_4_feuerpfeil_salve_nr</t>
        </is>
      </c>
      <c r="B279" s="11" t="inlineStr">
        <is>
          <t>Spruchmagie</t>
        </is>
      </c>
      <c r="C279" s="12" t="inlineStr">
        <is>
          <t>Feuerpfeil-Salve NR</t>
        </is>
      </c>
      <c r="F279" t="inlineStr">
        <is>
          <t>Feuerbeschwörung</t>
        </is>
      </c>
      <c r="G279" s="11" t="inlineStr">
        <is>
          <t>Wert</t>
        </is>
      </c>
      <c r="K279" t="n">
        <v>4</v>
      </c>
      <c r="L279" s="28" t="inlineStr">
        <is>
          <t>WENN(wert=0;0;10+(wert-1)*grad)</t>
        </is>
      </c>
      <c r="P279" t="inlineStr">
        <is>
          <t>eig_bonus_g_mut</t>
        </is>
      </c>
      <c r="Q279" t="inlineStr">
        <is>
          <t>Der Magus erschafft {Magie} : 2 Bolzen aus Feuer. Bis {M}m Glücks-Probe, bis {M}*2m AW:2, danach AW, um dem Schaden zu entgehen. Fluggeschwindigkeit ist {M}m/s. Treffer auf FK (W30). Schaden: 2W10 + {Magie}; RB: {Magie}*2</t>
        </is>
      </c>
    </row>
    <row r="280" hidden="1" ht="15.75" customHeight="1" s="48">
      <c r="A280" s="29" t="inlineStr">
        <is>
          <t>#spruchmagie_feuerbeschwoerung_6_grosse_feuerball_salve</t>
        </is>
      </c>
      <c r="B280" s="11" t="inlineStr">
        <is>
          <t>Spruchmagie</t>
        </is>
      </c>
      <c r="C280" s="12" t="inlineStr">
        <is>
          <t>Große Feuerball-Salve</t>
        </is>
      </c>
      <c r="F280" t="inlineStr">
        <is>
          <t>Feuerbeschwörung</t>
        </is>
      </c>
      <c r="G280" s="11" t="inlineStr">
        <is>
          <t>Wert</t>
        </is>
      </c>
      <c r="H280" s="29" t="n"/>
      <c r="I280" s="29" t="n"/>
      <c r="K280" t="n">
        <v>6</v>
      </c>
      <c r="L280" s="28" t="inlineStr">
        <is>
          <t>WENN(wert=0;0;10+(wert-1)*grad)</t>
        </is>
      </c>
      <c r="P280" t="inlineStr">
        <is>
          <t>eig_bonus_g_mut</t>
        </is>
      </c>
      <c r="Q280" t="inlineStr">
        <is>
          <t>Der Magus erschafft {Magie} : 2 Bälle aus Feuer. W15 + {Magie} auf jede Trefferzone.</t>
        </is>
      </c>
    </row>
    <row r="281" hidden="1" ht="15.75" customHeight="1" s="48">
      <c r="A281" s="29" t="inlineStr">
        <is>
          <t>#spruchmagie_feuerbeschwoerung_6_grosse_feuerball_salve_nr</t>
        </is>
      </c>
      <c r="B281" s="11" t="inlineStr">
        <is>
          <t>Spruchmagie</t>
        </is>
      </c>
      <c r="C281" s="12" t="inlineStr">
        <is>
          <t>Große Feuerball-Salve NR</t>
        </is>
      </c>
      <c r="F281" t="inlineStr">
        <is>
          <t>Feuerbeschwörung</t>
        </is>
      </c>
      <c r="G281" s="11" t="inlineStr">
        <is>
          <t>Wert</t>
        </is>
      </c>
      <c r="K281" t="n">
        <v>6</v>
      </c>
      <c r="L281" s="28" t="inlineStr">
        <is>
          <t>WENN(wert=0;0;10+(wert-1)*grad)</t>
        </is>
      </c>
      <c r="P281" t="inlineStr">
        <is>
          <t>eig_bonus_g_mut</t>
        </is>
      </c>
      <c r="Q281" t="inlineStr">
        <is>
          <t xml:space="preserve">Der Magus erschafft {Magie} : 2 Bälle aus Feuer.  Bis {M}:2 m Glücks-Probe, ab {M}:2 m Ausweichen-Probe, um dem Schaden zu entgehen. Treffer auf FK-TZ (W30). Fluggeschwindigkeit ist {M}:2 m/s.  Schaden: W20 + {Magie}*2 auf jede Trefferzone. </t>
        </is>
      </c>
    </row>
    <row r="282" hidden="1" ht="15.75" customHeight="1" s="48">
      <c r="A282" s="29" t="inlineStr">
        <is>
          <t>#spruchmagie_luftbeschwoerung_3_sturmball_salve</t>
        </is>
      </c>
      <c r="B282" s="11" t="inlineStr">
        <is>
          <t>Spruchmagie</t>
        </is>
      </c>
      <c r="C282" s="12" t="inlineStr">
        <is>
          <t>Sturmball-Salve</t>
        </is>
      </c>
      <c r="F282" t="inlineStr">
        <is>
          <t>Luftbeschwörung</t>
        </is>
      </c>
      <c r="G282" s="11" t="inlineStr">
        <is>
          <t>Wert</t>
        </is>
      </c>
      <c r="K282" t="n">
        <v>3</v>
      </c>
      <c r="L282" s="28" t="inlineStr">
        <is>
          <t>WENN(wert=0;0;10+(wert-1)*grad)</t>
        </is>
      </c>
      <c r="P282" t="inlineStr">
        <is>
          <t>eig_bonus_k_schnelligkeit</t>
        </is>
      </c>
      <c r="Q282" t="inlineStr">
        <is>
          <t>Der Magus erschafft {Magie} : 2 Bälle aus Luft. Das Opfer muss eine KB-Probeablegen, um nicht in der selben KR um so viele Meter zurückgeschleudert zu werden, wie der jeweils höchste Schadenswürfel anzeigt. Schaden: 2W4 + {Magie}, Erschwerung der KB-Probe: -TP -6.</t>
        </is>
      </c>
    </row>
    <row r="283" hidden="1" ht="15.75" customHeight="1" s="48">
      <c r="A283" s="29" t="inlineStr">
        <is>
          <t>#spruchmagie_luftbeschwoerung_3_sturmball_salve_nr</t>
        </is>
      </c>
      <c r="B283" s="11" t="inlineStr">
        <is>
          <t>Spruchmagie</t>
        </is>
      </c>
      <c r="C283" s="12" t="inlineStr">
        <is>
          <t>Sturmball-Salve NR</t>
        </is>
      </c>
      <c r="F283" t="inlineStr">
        <is>
          <t>Luftbeschwörung</t>
        </is>
      </c>
      <c r="G283" s="11" t="inlineStr">
        <is>
          <t>Wert</t>
        </is>
      </c>
      <c r="K283" t="n">
        <v>3</v>
      </c>
      <c r="L283" s="28" t="inlineStr">
        <is>
          <t>WENN(wert=0;0;10+(wert-1)*grad)</t>
        </is>
      </c>
      <c r="P283" t="inlineStr">
        <is>
          <t>eig_bonus_k_schnelligkeit</t>
        </is>
      </c>
      <c r="Q283" t="inlineStr">
        <is>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284" hidden="1" ht="15.75" customHeight="1" s="48">
      <c r="A284" s="29" t="inlineStr">
        <is>
          <t>#spruchmagie_luftbeschwoerung_4_sturmpfeil_salve</t>
        </is>
      </c>
      <c r="B284" s="11" t="inlineStr">
        <is>
          <t>Spruchmagie</t>
        </is>
      </c>
      <c r="C284" s="12" t="inlineStr">
        <is>
          <t>Sturmpfeil-Salve</t>
        </is>
      </c>
      <c r="F284" t="inlineStr">
        <is>
          <t>Luftbeschwörung</t>
        </is>
      </c>
      <c r="G284" s="11" t="inlineStr">
        <is>
          <t>Wert</t>
        </is>
      </c>
      <c r="K284" t="n">
        <v>4</v>
      </c>
      <c r="L284" s="28" t="inlineStr">
        <is>
          <t>WENN(wert=0;0;10+(wert-1)*grad)</t>
        </is>
      </c>
      <c r="P284" t="inlineStr">
        <is>
          <t>eig_bonus_k_schnelligkeit</t>
        </is>
      </c>
      <c r="Q284" t="inlineStr">
        <is>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is>
      </c>
    </row>
    <row r="285" hidden="1" ht="15.75" customHeight="1" s="48">
      <c r="A285" s="29" t="inlineStr">
        <is>
          <t>#spruchmagie_luftbeschwoerung_4_sturmpfeil_salve_nr</t>
        </is>
      </c>
      <c r="B285" s="11" t="inlineStr">
        <is>
          <t>Spruchmagie</t>
        </is>
      </c>
      <c r="C285" s="12" t="inlineStr">
        <is>
          <t>Sturmpfeil-Salve NR</t>
        </is>
      </c>
      <c r="F285" t="inlineStr">
        <is>
          <t>Luftbeschwörung</t>
        </is>
      </c>
      <c r="G285" s="11" t="inlineStr">
        <is>
          <t>Wert</t>
        </is>
      </c>
      <c r="K285" t="n">
        <v>4</v>
      </c>
      <c r="L285" s="28" t="inlineStr">
        <is>
          <t>WENN(wert=0;0;10+(wert-1)*grad)</t>
        </is>
      </c>
      <c r="P285" t="inlineStr">
        <is>
          <t>eig_bonus_k_schnelligkeit</t>
        </is>
      </c>
      <c r="Q285" t="inlineStr">
        <is>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is>
      </c>
    </row>
    <row r="286" hidden="1" ht="15.75" customHeight="1" s="48">
      <c r="A286" s="29" t="inlineStr">
        <is>
          <t>#spruchmagie_luftbeschwoerung_6_grosse_sturmball_salve</t>
        </is>
      </c>
      <c r="B286" s="11" t="inlineStr">
        <is>
          <t>Spruchmagie</t>
        </is>
      </c>
      <c r="C286" s="12" t="inlineStr">
        <is>
          <t>Große Sturmball-Salve</t>
        </is>
      </c>
      <c r="F286" t="inlineStr">
        <is>
          <t>Luftbeschwörung</t>
        </is>
      </c>
      <c r="G286" s="11" t="inlineStr">
        <is>
          <t>Wert</t>
        </is>
      </c>
      <c r="K286" t="n">
        <v>6</v>
      </c>
      <c r="L286" s="28" t="inlineStr">
        <is>
          <t>WENN(wert=0;0;10+(wert-1)*grad)</t>
        </is>
      </c>
      <c r="P286" t="inlineStr">
        <is>
          <t>eig_bonus_k_schnelligkeit</t>
        </is>
      </c>
      <c r="Q286" t="inlineStr">
        <is>
          <t>Der Magus erschafft {Magie} : 2 Bälle aus Luft. Das Opfer muss eine KB-Probeablegen, um nicht in der selben KR um so viele Meter zurückgeschleudert zu werden, wie der jeweilige Schadenswürfel anzeigt. Schaden: W12 + {Magie} auf jede Trefferzone, Erschwerung der KB-Probe: -TP -35.</t>
        </is>
      </c>
    </row>
    <row r="287" hidden="1" ht="15.75" customHeight="1" s="48">
      <c r="A287" s="29" t="inlineStr">
        <is>
          <t>#spruchmagie_luftbeschwoerung_6_grosse_sturmball_salve_nr</t>
        </is>
      </c>
      <c r="B287" s="11" t="inlineStr">
        <is>
          <t>Spruchmagie</t>
        </is>
      </c>
      <c r="C287" s="12" t="inlineStr">
        <is>
          <t>Große Sturmball-Salve NR</t>
        </is>
      </c>
      <c r="F287" t="inlineStr">
        <is>
          <t>Luftbeschwörung</t>
        </is>
      </c>
      <c r="G287" s="11" t="inlineStr">
        <is>
          <t>Wert</t>
        </is>
      </c>
      <c r="K287" t="n">
        <v>6</v>
      </c>
      <c r="L287" s="28" t="inlineStr">
        <is>
          <t>WENN(wert=0;0;10+(wert-1)*grad)</t>
        </is>
      </c>
      <c r="P287" t="inlineStr">
        <is>
          <t>eig_bonus_k_schnelligkeit</t>
        </is>
      </c>
      <c r="Q287" t="inlineStr">
        <is>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288" hidden="1" ht="15.75" customHeight="1" s="48">
      <c r="A288" s="29" t="inlineStr">
        <is>
          <t>#spruchmagie_magiebeschwoerung_3_magische_ball_salve</t>
        </is>
      </c>
      <c r="B288" s="11" t="inlineStr">
        <is>
          <t>Spruchmagie</t>
        </is>
      </c>
      <c r="C288" s="12" t="inlineStr">
        <is>
          <t>Magische Ball-Salve</t>
        </is>
      </c>
      <c r="F288" t="inlineStr">
        <is>
          <t>Magiebeschwörung</t>
        </is>
      </c>
      <c r="G288" s="11" t="inlineStr">
        <is>
          <t>Wert</t>
        </is>
      </c>
      <c r="K288" t="n">
        <v>3</v>
      </c>
      <c r="L288" s="28" t="inlineStr">
        <is>
          <t>WENN(wert=0;0;10+(wert-1)*grad)</t>
        </is>
      </c>
      <c r="P288" t="inlineStr">
        <is>
          <t>eig_bonus_g_ausstrahlung</t>
        </is>
      </c>
      <c r="Q288" t="inlineStr">
        <is>
          <t>Der Magus erschafft {Magie} : 2 Bälle aus Magie. Schaden: 2W4 + {Magie}, zusätzliche Erschwerung der SB-Probe -6, wenn min. 1 SP erzielt wird.</t>
        </is>
      </c>
    </row>
    <row r="289" hidden="1" ht="15.75" customHeight="1" s="48">
      <c r="A289" s="29" t="inlineStr">
        <is>
          <t>#spruchmagie_magiebeschwoerung_3_magische_ball_salve_nr</t>
        </is>
      </c>
      <c r="B289" s="11" t="inlineStr">
        <is>
          <t>Spruchmagie</t>
        </is>
      </c>
      <c r="C289" s="12" t="inlineStr">
        <is>
          <t>Magische Ball-Salve NR</t>
        </is>
      </c>
      <c r="F289" t="inlineStr">
        <is>
          <t>Magiebeschwörung</t>
        </is>
      </c>
      <c r="G289" s="11" t="inlineStr">
        <is>
          <t>Wert</t>
        </is>
      </c>
      <c r="K289" t="n">
        <v>3</v>
      </c>
      <c r="L289" s="28" t="inlineStr">
        <is>
          <t>WENN(wert=0;0;10+(wert-1)*grad)</t>
        </is>
      </c>
      <c r="P289" t="inlineStr">
        <is>
          <t>eig_bonus_g_ausstrahlung</t>
        </is>
      </c>
      <c r="Q289" t="inlineStr">
        <is>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290" hidden="1" ht="15.75" customHeight="1" s="48">
      <c r="A290" s="29" t="inlineStr">
        <is>
          <t>#spruchmagie_magiebeschwoerung_4_magische_geschoss_salve</t>
        </is>
      </c>
      <c r="B290" s="11" t="inlineStr">
        <is>
          <t>Spruchmagie</t>
        </is>
      </c>
      <c r="C290" s="12" t="inlineStr">
        <is>
          <t>Magische Geschoss-Salve</t>
        </is>
      </c>
      <c r="F290" t="inlineStr">
        <is>
          <t>Magiebeschwörung</t>
        </is>
      </c>
      <c r="G290" s="11" t="inlineStr">
        <is>
          <t>Wert</t>
        </is>
      </c>
      <c r="K290" t="n">
        <v>4</v>
      </c>
      <c r="L290" s="28" t="inlineStr">
        <is>
          <t>WENN(wert=0;0;10+(wert-1)*grad)</t>
        </is>
      </c>
      <c r="P290" t="inlineStr">
        <is>
          <t>eig_bonus_g_ausstrahlung</t>
        </is>
      </c>
      <c r="Q290" t="inlineStr">
        <is>
          <t>Der Magus erschafft {Magie} : 2 Bolzen aus Magie. Treffer auf FK-TZ, Schaden: 2W6 + {Magie}; RB {Magie}*2, zusätzliche Erschwerung der SB-Probe -6, wenn min. 1 SP erzielt wird.</t>
        </is>
      </c>
    </row>
    <row r="291" hidden="1" ht="15.75" customHeight="1" s="48">
      <c r="A291" s="29" t="inlineStr">
        <is>
          <t>#spruchmagie_magiebeschwoerung_4_magische_geschoss_salve_nr</t>
        </is>
      </c>
      <c r="B291" s="11" t="inlineStr">
        <is>
          <t>Spruchmagie</t>
        </is>
      </c>
      <c r="C291" s="12" t="inlineStr">
        <is>
          <t>Magische Geschoss-Salve NR</t>
        </is>
      </c>
      <c r="F291" t="inlineStr">
        <is>
          <t>Magiebeschwörung</t>
        </is>
      </c>
      <c r="G291" s="11" t="inlineStr">
        <is>
          <t>Wert</t>
        </is>
      </c>
      <c r="K291" t="n">
        <v>4</v>
      </c>
      <c r="L291" s="28" t="inlineStr">
        <is>
          <t>WENN(wert=0;0;10+(wert-1)*grad)</t>
        </is>
      </c>
      <c r="P291" t="inlineStr">
        <is>
          <t>eig_bonus_g_ausstrahlung</t>
        </is>
      </c>
      <c r="Q291" t="inlineStr">
        <is>
          <t>Der Magus erschafft {Magie} : 2 Bolzen aus Magie. Bis {M}m Glücks-Probe, bis {M}*2m AW:2, danach AW, um dem Schaden zu entgehen. Fluggeschwindigkeit ist {M}m/s. Treffer auf FK (W30). Schaden: 2W8 + {Magie}; RB: {Magie}*2 SB-Proben um 4 erschwert.</t>
        </is>
      </c>
    </row>
    <row r="292" hidden="1" ht="15.75" customHeight="1" s="48">
      <c r="A292" s="29" t="inlineStr">
        <is>
          <t>#spruchmagie_magiebeschwoerung_6_grosse_magische_ball_salve</t>
        </is>
      </c>
      <c r="B292" s="11" t="inlineStr">
        <is>
          <t>Spruchmagie</t>
        </is>
      </c>
      <c r="C292" s="12" t="inlineStr">
        <is>
          <t>Große Magische Ball-Salve</t>
        </is>
      </c>
      <c r="F292" t="inlineStr">
        <is>
          <t>Magiebeschwörung</t>
        </is>
      </c>
      <c r="G292" s="11" t="inlineStr">
        <is>
          <t>Wert</t>
        </is>
      </c>
      <c r="K292" t="n">
        <v>6</v>
      </c>
      <c r="L292" s="28" t="inlineStr">
        <is>
          <t>WENN(wert=0;0;10+(wert-1)*grad)</t>
        </is>
      </c>
      <c r="P292" t="inlineStr">
        <is>
          <t>eig_bonus_g_ausstrahlung</t>
        </is>
      </c>
      <c r="Q292" t="inlineStr">
        <is>
          <t>Der Magus erschafft {Magie} : 2 Bälle aus Magie. W12 + {Magie} auf jede Trefferzone, zusätzliche Erschwerung der SB-Probe -35, wenn min. 1 SP erzielt wird.</t>
        </is>
      </c>
    </row>
    <row r="293" hidden="1" ht="15.75" customHeight="1" s="48">
      <c r="A293" s="29" t="inlineStr">
        <is>
          <t>#spruchmagie_magiebeschwoerung_6_grosse_magische_ball_salve_nr</t>
        </is>
      </c>
      <c r="B293" s="11" t="inlineStr">
        <is>
          <t>Spruchmagie</t>
        </is>
      </c>
      <c r="C293" s="12" t="inlineStr">
        <is>
          <t>Große Magische Ball-Salve NR</t>
        </is>
      </c>
      <c r="F293" t="inlineStr">
        <is>
          <t>Magiebeschwörung</t>
        </is>
      </c>
      <c r="G293" s="11" t="inlineStr">
        <is>
          <t>Wert</t>
        </is>
      </c>
      <c r="K293" t="n">
        <v>6</v>
      </c>
      <c r="L293" s="28" t="inlineStr">
        <is>
          <t>WENN(wert=0;0;10+(wert-1)*grad)</t>
        </is>
      </c>
      <c r="P293" t="inlineStr">
        <is>
          <t>eig_bonus_g_ausstrahlung</t>
        </is>
      </c>
      <c r="Q293" t="inlineStr">
        <is>
          <t>Der Magus erschafft {Magie} : 2 Bälle aus Magie.  Bis {M}:2 m Glücks-Probe, ab {M}:2 m Ausweichen-Probe, um dem Schaden zu entgehen. Treffer auf FK-TZ (W30). Fluggeschwindigkeit ist {M}:2 m/s.  Schaden: W15 + {Magie}*2 auf jede Trefferzone,  SB-Proben um 42 erschwert.</t>
        </is>
      </c>
    </row>
    <row r="294" hidden="1" ht="15.75" customHeight="1" s="48">
      <c r="A294" s="29" t="inlineStr">
        <is>
          <t>#spruchmagie_verzauberung_2_mana_fernspende</t>
        </is>
      </c>
      <c r="B294" s="11" t="inlineStr">
        <is>
          <t>Spruchmagie</t>
        </is>
      </c>
      <c r="C294" s="18" t="inlineStr">
        <is>
          <t>Mana-Fernspende</t>
        </is>
      </c>
      <c r="E294" s="14" t="n"/>
      <c r="F294" s="14" t="inlineStr">
        <is>
          <t>Verzauberung</t>
        </is>
      </c>
      <c r="G294" s="11" t="inlineStr">
        <is>
          <t>Wert</t>
        </is>
      </c>
      <c r="K294" t="n">
        <v>2</v>
      </c>
      <c r="L294" s="28" t="inlineStr">
        <is>
          <t>WENN(wert=0;0;10+(wert-1)*grad)</t>
        </is>
      </c>
      <c r="P294" t="inlineStr">
        <is>
          <t>eig_bonus_g_intelligenz</t>
        </is>
      </c>
      <c r="Q294" t="inlineStr">
        <is>
          <t xml:space="preserve">Der Magus überträgt dem Ziel 10 Mana/sec, max. {M} x 2 Mana. Das übertragene Mana ist astral als Verbindung zwischen den Köpfen von Magus und Ziel sichtbar. Das Mana, das vom Ziel nicht mehr aufgenommen werden kann, verfällt. </t>
        </is>
      </c>
      <c r="V294" s="5" t="n"/>
    </row>
    <row r="295" hidden="1" ht="15.75" customHeight="1" s="48">
      <c r="A295" s="29" t="inlineStr">
        <is>
          <t>#spruchmagie_verzauberung_3_blitz_klinge_v</t>
        </is>
      </c>
      <c r="B295" s="11" t="inlineStr">
        <is>
          <t>Spruchmagie</t>
        </is>
      </c>
      <c r="C295" s="18" t="inlineStr">
        <is>
          <t>Blitz-Klinge (V)</t>
        </is>
      </c>
      <c r="E295" s="14" t="n"/>
      <c r="F295" s="14" t="inlineStr">
        <is>
          <t>Verzauberung</t>
        </is>
      </c>
      <c r="G295" s="11" t="inlineStr">
        <is>
          <t>Wert</t>
        </is>
      </c>
      <c r="K295" t="n">
        <v>3</v>
      </c>
      <c r="L295" s="28" t="inlineStr">
        <is>
          <t>WENN(wert=0;0;10+(wert-1)*grad)</t>
        </is>
      </c>
      <c r="P295" t="inlineStr">
        <is>
          <t>eig_bonus_g_ausstrahlung</t>
        </is>
      </c>
      <c r="Q295" t="inlineStr">
        <is>
          <t>Eine Waffe erhält zusätzliche Schadenswirkung entsprechend der Magie des Magus:1=W4 SB 3, 2=W6 SB 3, 3=W8 SB 3, 4=W10 SB 3, 5=W12 SB 4, 6=W15 SB 7, 7=W20 SB 13, 8=W30 SB 14; alle +{Magie}</t>
        </is>
      </c>
      <c r="V295" s="5" t="n"/>
    </row>
    <row r="296" hidden="1" ht="15.75" customHeight="1" s="48">
      <c r="A296" s="29" t="inlineStr">
        <is>
          <t>#spruchmagie_verzauberung_3_erd_klinge_v</t>
        </is>
      </c>
      <c r="B296" s="11" t="inlineStr">
        <is>
          <t>Spruchmagie</t>
        </is>
      </c>
      <c r="C296" s="18" t="inlineStr">
        <is>
          <t>Erd-Klinge (V)</t>
        </is>
      </c>
      <c r="E296" s="14" t="n"/>
      <c r="F296" s="14" t="inlineStr">
        <is>
          <t>Verzauberung</t>
        </is>
      </c>
      <c r="G296" s="11" t="inlineStr">
        <is>
          <t>Wert</t>
        </is>
      </c>
      <c r="K296" t="n">
        <v>3</v>
      </c>
      <c r="L296" s="28" t="inlineStr">
        <is>
          <t>WENN(wert=0;0;10+(wert-1)*grad)</t>
        </is>
      </c>
      <c r="P296" t="inlineStr">
        <is>
          <t>eig_bonus_k_staerke</t>
        </is>
      </c>
      <c r="Q296" t="inlineStr">
        <is>
          <t>Eine Waffe erhält zusätzliche Schadenswirkung entsprechend der Magie des Magus:1=W4 RB 2, 2=W6 RB 2, 3=W8 RB 2, 4=W10 RB 2, 5=W12 RB 3, 6=W15 RB 4, 7=W20 RB 8, 8=W30 RB 9; alle +{Magie}</t>
        </is>
      </c>
      <c r="V296" s="5" t="n"/>
    </row>
    <row r="297" hidden="1" ht="15.75" customHeight="1" s="48">
      <c r="A297" s="29" t="inlineStr">
        <is>
          <t>#spruchmagie_verzauberung_3_feuer_klinge_v</t>
        </is>
      </c>
      <c r="B297" s="11" t="inlineStr">
        <is>
          <t>Spruchmagie</t>
        </is>
      </c>
      <c r="C297" s="18" t="inlineStr">
        <is>
          <t>Feuer-Klinge (V)</t>
        </is>
      </c>
      <c r="E297" s="14" t="n"/>
      <c r="F297" s="14" t="inlineStr">
        <is>
          <t>Verzauberung</t>
        </is>
      </c>
      <c r="G297" s="11" t="inlineStr">
        <is>
          <t>Wert</t>
        </is>
      </c>
      <c r="K297" t="n">
        <v>3</v>
      </c>
      <c r="L297" s="28" t="inlineStr">
        <is>
          <t>WENN(wert=0;0;10+(wert-1)*grad)</t>
        </is>
      </c>
      <c r="P297" t="inlineStr">
        <is>
          <t>eig_bonus_g_mut</t>
        </is>
      </c>
      <c r="Q297" t="inlineStr">
        <is>
          <t>Eine Waffe erhält zusätzliche Schadenswirkung entsprechend der Magie des Magus:1=W6, 2=W8, 3=W10, 4=W12, 5=W15, 6=W20, 7=W30, 8=2W20; alle +{Magie}</t>
        </is>
      </c>
      <c r="V297" s="5" t="n"/>
    </row>
    <row r="298" hidden="1" ht="15.75" customHeight="1" s="48">
      <c r="A298" s="29" t="inlineStr">
        <is>
          <t>#spruchmagie_verzauberung_3_flammen_pfeil_v</t>
        </is>
      </c>
      <c r="B298" s="11" t="inlineStr">
        <is>
          <t>Spruchmagie</t>
        </is>
      </c>
      <c r="C298" s="18" t="inlineStr">
        <is>
          <t>Flammen-Pfeil (V)</t>
        </is>
      </c>
      <c r="E298" s="14" t="n"/>
      <c r="F298" s="14" t="inlineStr">
        <is>
          <t>Verzauberung</t>
        </is>
      </c>
      <c r="G298" s="11" t="inlineStr">
        <is>
          <t>Wert</t>
        </is>
      </c>
      <c r="K298" t="n">
        <v>3</v>
      </c>
      <c r="L298" s="28" t="inlineStr">
        <is>
          <t>WENN(wert=0;0;10+(wert-1)*grad)</t>
        </is>
      </c>
      <c r="P298" t="inlineStr">
        <is>
          <t>eig_bonus_g_mut</t>
        </is>
      </c>
      <c r="Q298" t="inlineStr">
        <is>
          <t>Ein Pfeil erhält zusätzliche Schadenswirkung entsprechend der Magie des Magus:1=W6, 2=W8, 3=W10, 4=W12, 5=W15, 6=W20, 7=W30, 8=2W20; alle +{Magie}</t>
        </is>
      </c>
    </row>
    <row r="299" hidden="1" ht="15.75" customHeight="1" s="48">
      <c r="A299" s="29" t="inlineStr">
        <is>
          <t>#spruchmagie_verzauberung_3_frost_klinge_v</t>
        </is>
      </c>
      <c r="B299" s="11" t="inlineStr">
        <is>
          <t>Spruchmagie</t>
        </is>
      </c>
      <c r="C299" s="18" t="inlineStr">
        <is>
          <t>Frost-Klinge (V)</t>
        </is>
      </c>
      <c r="E299" s="14" t="n"/>
      <c r="F299" s="14" t="inlineStr">
        <is>
          <t>Verzauberung</t>
        </is>
      </c>
      <c r="G299" s="11" t="inlineStr">
        <is>
          <t>Wert</t>
        </is>
      </c>
      <c r="K299" t="n">
        <v>3</v>
      </c>
      <c r="L299" s="28" t="inlineStr">
        <is>
          <t>WENN(wert=0;0;10+(wert-1)*grad)</t>
        </is>
      </c>
      <c r="P299" t="inlineStr">
        <is>
          <t>eig_bonus_k_athletik</t>
        </is>
      </c>
      <c r="Q299" t="inlineStr">
        <is>
          <t>Eine Waffe erhält zusätzliche Schadenswirkung entsprechend der Magie des Magus:1=W4, 2=W6, 3=W8, 4=W10, 5=W12, 6=W15, 7=W20, 8=W30; alle +{Magie}. Pro 5 TP erleidet das Opfer eine BE von 1.</t>
        </is>
      </c>
    </row>
    <row r="300" hidden="1" ht="15.75" customHeight="1" s="48">
      <c r="A300" s="29" t="inlineStr">
        <is>
          <t>#spruchmagie_verzauberung_3_frost_pfeil_v</t>
        </is>
      </c>
      <c r="B300" s="11" t="inlineStr">
        <is>
          <t>Spruchmagie</t>
        </is>
      </c>
      <c r="C300" s="18" t="inlineStr">
        <is>
          <t>Frost-Pfeil (V)</t>
        </is>
      </c>
      <c r="E300" s="14" t="n"/>
      <c r="F300" s="14" t="inlineStr">
        <is>
          <t>Verzauberung</t>
        </is>
      </c>
      <c r="G300" s="11" t="inlineStr">
        <is>
          <t>Wert</t>
        </is>
      </c>
      <c r="K300" t="n">
        <v>3</v>
      </c>
      <c r="L300" s="28" t="inlineStr">
        <is>
          <t>WENN(wert=0;0;10+(wert-1)*grad)</t>
        </is>
      </c>
      <c r="P300" t="inlineStr">
        <is>
          <t>eig_bonus_k_athletik</t>
        </is>
      </c>
      <c r="Q300" t="inlineStr">
        <is>
          <t>Ein Pfeil erhält eine zusätzliche Schadenswirkung entsprechend der Magie des Magus:1=W4, 2=W6, 3=W8, 4=W10, 5=W12, 6=W15, 7=W20, 8=W30; alle +MagiePro 5 TP erleidet das Opfer eine BE von 1.</t>
        </is>
      </c>
    </row>
    <row r="301" hidden="1" ht="15.75" customHeight="1" s="48">
      <c r="A301" s="29" t="inlineStr">
        <is>
          <t>#spruchmagie_verzauberung_3_luft_klinge_v</t>
        </is>
      </c>
      <c r="B301" s="11" t="inlineStr">
        <is>
          <t>Spruchmagie</t>
        </is>
      </c>
      <c r="C301" s="18" t="inlineStr">
        <is>
          <t>Luft-Klinge (V)</t>
        </is>
      </c>
      <c r="E301" s="14" t="n"/>
      <c r="F301" s="14" t="inlineStr">
        <is>
          <t>Verzauberung</t>
        </is>
      </c>
      <c r="G301" s="11" t="inlineStr">
        <is>
          <t>Wert</t>
        </is>
      </c>
      <c r="K301" t="n">
        <v>3</v>
      </c>
      <c r="L301" s="28" t="inlineStr">
        <is>
          <t>WENN(wert=0;0;10+(wert-1)*grad)</t>
        </is>
      </c>
      <c r="P301" t="inlineStr">
        <is>
          <t>eig_bonus_k_schnelligkeit</t>
        </is>
      </c>
      <c r="Q301" t="inlineStr">
        <is>
          <t>Eine Waffe erhält zusätzliche Schadenswirkung entsprechend der Magie des Magus: 1=W3, 2=W4, 3=W6, 4=W8, 5=W10, 6=W12, 7=W15, 8=W20; alle +{Magie}. Ziel wird TP*m weggeschleudert; Ath-Probe erschwert um TP, sonst W8 Sturzschaden auf FK-TZ (W30).</t>
        </is>
      </c>
    </row>
    <row r="302" hidden="1" ht="15.75" customHeight="1" s="48">
      <c r="A302" s="29" t="inlineStr">
        <is>
          <t>#spruchmagie_verzauberung_3_schock_pfeil_v</t>
        </is>
      </c>
      <c r="B302" s="11" t="inlineStr">
        <is>
          <t>Spruchmagie</t>
        </is>
      </c>
      <c r="C302" s="18" t="inlineStr">
        <is>
          <t>Schock-Pfeil (V)</t>
        </is>
      </c>
      <c r="E302" s="14" t="n"/>
      <c r="F302" s="14" t="inlineStr">
        <is>
          <t>Verzauberung</t>
        </is>
      </c>
      <c r="G302" s="11" t="inlineStr">
        <is>
          <t>Wert</t>
        </is>
      </c>
      <c r="K302" t="n">
        <v>3</v>
      </c>
      <c r="L302" s="28" t="inlineStr">
        <is>
          <t>WENN(wert=0;0;10+(wert-1)*grad)</t>
        </is>
      </c>
      <c r="P302" t="inlineStr">
        <is>
          <t>eig_bonus_g_ausstrahlung</t>
        </is>
      </c>
      <c r="Q302" t="inlineStr">
        <is>
          <t>Ein Pfeil erhält zusätzliche Schadenswirkung entsprechend der Magie des Magus: 1=W4 SB 3, 2=W6 SB 3, 3=W8 SB 3, 4=W10 SB 3, 5=W12 SB 4, 6=W15 SB 7, 7=W20 SB 13, 8=W30 SB 14; alle +{Magie}</t>
        </is>
      </c>
    </row>
    <row r="303" hidden="1" ht="15.75" customHeight="1" s="48">
      <c r="A303" s="29" t="inlineStr">
        <is>
          <t>#spruchmagie_verzauberung_3_splitter_pfeil_v</t>
        </is>
      </c>
      <c r="B303" s="11" t="inlineStr">
        <is>
          <t>Spruchmagie</t>
        </is>
      </c>
      <c r="C303" s="18" t="inlineStr">
        <is>
          <t>Splitter-Pfeil (V)</t>
        </is>
      </c>
      <c r="E303" s="14" t="n"/>
      <c r="F303" s="14" t="inlineStr">
        <is>
          <t>Verzauberung</t>
        </is>
      </c>
      <c r="G303" s="11" t="inlineStr">
        <is>
          <t>Wert</t>
        </is>
      </c>
      <c r="K303" t="n">
        <v>3</v>
      </c>
      <c r="L303" s="28" t="inlineStr">
        <is>
          <t>WENN(wert=0;0;10+(wert-1)*grad)</t>
        </is>
      </c>
      <c r="P303" t="inlineStr">
        <is>
          <t>eig_bonus_k_staerke</t>
        </is>
      </c>
      <c r="Q303" t="inlineStr">
        <is>
          <t>Ein Pfeil erhält zusätzliche Schadenswirkung entsprechend der Magie des Magus: 1=W4 RB 2, 2=W6 RB 2, 3=W8 RB 2, 4=W10 RB 2, 5=W12 RB 3, 6=W15 RB 4, 7=W20 RB 8, 8=W30 RB 9; alle +{Magie}</t>
        </is>
      </c>
    </row>
    <row r="304" hidden="1" ht="15.75" customHeight="1" s="48">
      <c r="A304" s="29" t="inlineStr">
        <is>
          <t>#spruchmagie_verzauberung_3_sturm_pfeil_v</t>
        </is>
      </c>
      <c r="B304" s="11" t="inlineStr">
        <is>
          <t>Spruchmagie</t>
        </is>
      </c>
      <c r="C304" s="18" t="inlineStr">
        <is>
          <t>Sturm-Pfeil (V)</t>
        </is>
      </c>
      <c r="E304" s="14" t="n"/>
      <c r="F304" s="14" t="inlineStr">
        <is>
          <t>Verzauberung</t>
        </is>
      </c>
      <c r="G304" s="11" t="inlineStr">
        <is>
          <t>Wert</t>
        </is>
      </c>
      <c r="K304" t="n">
        <v>3</v>
      </c>
      <c r="L304" s="28" t="inlineStr">
        <is>
          <t>WENN(wert=0;0;10+(wert-1)*grad)</t>
        </is>
      </c>
      <c r="P304" t="inlineStr">
        <is>
          <t>eig_bonus_k_schnelligkeit</t>
        </is>
      </c>
      <c r="Q304" t="inlineStr">
        <is>
          <t>Ein Pfeil erhält zusätzliche Schadenswirkung entsprechend der Magie des Magus: 1=W3, 2=W4, 3=W6, 4=W8, 5=W10, 6=W12, 7=W15, 8=W20; alle +{Magie}. Ziel wird TP*m weggeschleudert; Ath-Probe erschwert um TP, sonst W8 Sturzschaden auf FK-TZ (W30).</t>
        </is>
      </c>
    </row>
    <row r="305" hidden="1" ht="15.75" customHeight="1" s="48">
      <c r="A305" s="29" t="inlineStr">
        <is>
          <t>#spruchmagie_wasserbeschwoerung_3_eisball_salve</t>
        </is>
      </c>
      <c r="B305" s="11" t="inlineStr">
        <is>
          <t>Spruchmagie</t>
        </is>
      </c>
      <c r="C305" s="18" t="inlineStr">
        <is>
          <t>Eisball-Salve</t>
        </is>
      </c>
      <c r="E305" s="14" t="n"/>
      <c r="F305" s="14" t="inlineStr">
        <is>
          <t>Wasserbeschwörung</t>
        </is>
      </c>
      <c r="G305" s="11" t="inlineStr">
        <is>
          <t>Wert</t>
        </is>
      </c>
      <c r="K305" t="n">
        <v>3</v>
      </c>
      <c r="L305" s="28" t="inlineStr">
        <is>
          <t>WENN(wert=0;0;10+(wert-1)*grad)</t>
        </is>
      </c>
      <c r="P305" t="inlineStr">
        <is>
          <t>eig_bonus_k_athletik</t>
        </is>
      </c>
      <c r="Q305" t="inlineStr">
        <is>
          <t>Der Magus erschafft {Magie} : 2 Bälle aus Wasser. Schaden: 2W4 + {Magie}. Pro 5 TP erleidet das Opfer zusätzliche BE 1, nur die höchste so erzielte BE zählt.</t>
        </is>
      </c>
    </row>
    <row r="306" hidden="1" ht="15.75" customHeight="1" s="48">
      <c r="A306" s="29" t="inlineStr">
        <is>
          <t>#spruchmagie_wasserbeschwoerung_3_eisball_salve_nr</t>
        </is>
      </c>
      <c r="B306" s="11" t="inlineStr">
        <is>
          <t>Spruchmagie</t>
        </is>
      </c>
      <c r="C306" s="18" t="inlineStr">
        <is>
          <t>Eisball-Salve NR</t>
        </is>
      </c>
      <c r="E306" s="14" t="n"/>
      <c r="F306" s="14" t="inlineStr">
        <is>
          <t>Wasserbeschwörung</t>
        </is>
      </c>
      <c r="G306" s="11" t="inlineStr">
        <is>
          <t>Wert</t>
        </is>
      </c>
      <c r="K306" t="n">
        <v>3</v>
      </c>
      <c r="L306" s="28" t="inlineStr">
        <is>
          <t>WENN(wert=0;0;10+(wert-1)*grad)</t>
        </is>
      </c>
      <c r="P306" t="inlineStr">
        <is>
          <t>eig_bonus_k_athletik</t>
        </is>
      </c>
      <c r="Q306" t="inlineStr">
        <is>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307" hidden="1" ht="15.75" customHeight="1" s="48">
      <c r="A307" s="29" t="inlineStr">
        <is>
          <t>#spruchmagie_wasserbeschwoerung_4_frostbolzen_salve</t>
        </is>
      </c>
      <c r="B307" s="11" t="inlineStr">
        <is>
          <t>Spruchmagie</t>
        </is>
      </c>
      <c r="C307" s="18" t="inlineStr">
        <is>
          <t>Frostbolzen-Salve</t>
        </is>
      </c>
      <c r="E307" s="14" t="n"/>
      <c r="F307" s="14" t="inlineStr">
        <is>
          <t>Wasserbeschwörung</t>
        </is>
      </c>
      <c r="G307" s="11" t="inlineStr">
        <is>
          <t>Wert</t>
        </is>
      </c>
      <c r="K307" t="n">
        <v>4</v>
      </c>
      <c r="L307" s="28" t="inlineStr">
        <is>
          <t>WENN(wert=0;0;10+(wert-1)*grad)</t>
        </is>
      </c>
      <c r="P307" t="inlineStr">
        <is>
          <t>eig_bonus_k_athletik</t>
        </is>
      </c>
      <c r="Q307" t="inlineStr">
        <is>
          <t>Der Magus erschafft {Magie} : 2 Bolzen aus Wasser. Treffer auf FK-TZ, Schaden: 2W6 + {Magie}; RB: {Magie}*2. Pro 5 TP erleidet das Opfer zusätzliche BE 1, nur die höchste so erzielte BE zählt.</t>
        </is>
      </c>
    </row>
    <row r="308" hidden="1" ht="15.75" customHeight="1" s="48">
      <c r="A308" s="29" t="inlineStr">
        <is>
          <t>#spruchmagie_wasserbeschwoerung_4_frostbolzen_salve_nr</t>
        </is>
      </c>
      <c r="B308" s="11" t="inlineStr">
        <is>
          <t>Spruchmagie</t>
        </is>
      </c>
      <c r="C308" s="18" t="inlineStr">
        <is>
          <t>Frostbolzen-Salve NR</t>
        </is>
      </c>
      <c r="E308" s="14" t="n"/>
      <c r="F308" s="14" t="inlineStr">
        <is>
          <t>Wasserbeschwörung</t>
        </is>
      </c>
      <c r="G308" s="11" t="inlineStr">
        <is>
          <t>Wert</t>
        </is>
      </c>
      <c r="K308" t="n">
        <v>4</v>
      </c>
      <c r="L308" s="28" t="inlineStr">
        <is>
          <t>WENN(wert=0;0;10+(wert-1)*grad)</t>
        </is>
      </c>
      <c r="P308" t="inlineStr">
        <is>
          <t>eig_bonus_k_athletik</t>
        </is>
      </c>
      <c r="Q308" t="inlineStr">
        <is>
          <t>Der Magus erschafft {Magie} : 2 Bolzen aus Eis. Bis {M}m Glücks-Probe, bis {M}*2m AW:2, danach AW, um dem Schaden zu entgehen. Fluggeschwindigkeit ist {M}m/s. Treffer auf FK (W30). Schaden: 2W8 + {Magie}; RB: {Magie}*2 Pro 5 TP erleidet das Opfer BE 1 für {M} sec.</t>
        </is>
      </c>
    </row>
    <row r="309" hidden="1" ht="15.75" customHeight="1" s="48">
      <c r="A309" s="29" t="inlineStr">
        <is>
          <t>#spruchmagie_wasserbeschwoerung_6_grosse_eisball_salve</t>
        </is>
      </c>
      <c r="B309" s="11" t="inlineStr">
        <is>
          <t>Spruchmagie</t>
        </is>
      </c>
      <c r="C309" s="18" t="inlineStr">
        <is>
          <t>Große Eisball-Salve</t>
        </is>
      </c>
      <c r="E309" s="14" t="n"/>
      <c r="F309" s="14" t="inlineStr">
        <is>
          <t>Wasserbeschwörung</t>
        </is>
      </c>
      <c r="G309" s="11" t="inlineStr">
        <is>
          <t>Wert</t>
        </is>
      </c>
      <c r="K309" t="n">
        <v>6</v>
      </c>
      <c r="L309" s="28" t="inlineStr">
        <is>
          <t>WENN(wert=0;0;10+(wert-1)*grad)</t>
        </is>
      </c>
      <c r="P309" t="inlineStr">
        <is>
          <t>eig_bonus_k_athletik</t>
        </is>
      </c>
      <c r="Q309" t="inlineStr">
        <is>
          <t>Der Magus erschafft {Magie} : 2 Bälle aus Wasser. W12 + {Magie} auf jede Trefferzone. Pro 5 TP erleidet das Opfer zusätzliche BE 1, nur die höchste so erzielte BE zählt.</t>
        </is>
      </c>
    </row>
    <row r="310" hidden="1" ht="15.75" customHeight="1" s="48">
      <c r="A310" s="29" t="inlineStr">
        <is>
          <t>#spruchmagie_wasserbeschwoerung_6_grosse_eisball_salve_nr</t>
        </is>
      </c>
      <c r="B310" s="11" t="inlineStr">
        <is>
          <t>Spruchmagie</t>
        </is>
      </c>
      <c r="C310" s="18" t="inlineStr">
        <is>
          <t>Große Eisball-Salve NR</t>
        </is>
      </c>
      <c r="E310" s="14" t="n"/>
      <c r="F310" s="14" t="inlineStr">
        <is>
          <t>Wasserbeschwörung</t>
        </is>
      </c>
      <c r="G310" s="11" t="inlineStr">
        <is>
          <t>Wert</t>
        </is>
      </c>
      <c r="K310" t="n">
        <v>6</v>
      </c>
      <c r="L310" s="28" t="inlineStr">
        <is>
          <t>WENN(wert=0;0;10+(wert-1)*grad)</t>
        </is>
      </c>
      <c r="P310" t="inlineStr">
        <is>
          <t>eig_bonus_k_athletik</t>
        </is>
      </c>
      <c r="Q310" t="inlineStr">
        <is>
          <t xml:space="preserve">Der Magus erschafft {Magie} : 2 Bälle aus Eis.  Bis {M}:2 m Glücks-Probe, ab {M}:2 m Ausweichen-Probe, um dem Schaden zu entgehen. Treffer auf FK-TZ (W30). Fluggeschwindigkeit ist {M}:2 m/s.  Schaden: W15 + {Magie}*2 auf jede Trefferzone. Pro 5 TP erleidet das Opfer BE 1 für {M} sec.  </t>
        </is>
      </c>
    </row>
    <row r="311" hidden="1" ht="15.75" customHeight="1" s="48">
      <c r="A311" s="29" t="inlineStr">
        <is>
          <t>#spruchmagie_z_beherrschung_entwicklung_3_massen_aufmerksamkeit</t>
        </is>
      </c>
      <c r="B311" s="11" t="inlineStr">
        <is>
          <t>Spruchmagie</t>
        </is>
      </c>
      <c r="C311" s="18" t="inlineStr">
        <is>
          <t>Massen-Aufmerksamkeit</t>
        </is>
      </c>
      <c r="E311" s="14" t="n"/>
      <c r="F311" s="14" t="inlineStr">
        <is>
          <t>z_beherrschung_entwicklung</t>
        </is>
      </c>
      <c r="G311" s="11" t="inlineStr">
        <is>
          <t>Wert</t>
        </is>
      </c>
      <c r="K311" t="n">
        <v>3</v>
      </c>
      <c r="L311" s="28" t="inlineStr">
        <is>
          <t>WENN(wert=0;0;10+(wert-1)*grad)</t>
        </is>
      </c>
      <c r="P311" t="inlineStr">
        <is>
          <t>eig_bonus_g_willenskraft</t>
        </is>
      </c>
      <c r="Q311"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312" hidden="1" ht="15.75" customHeight="1" s="48">
      <c r="A312" s="29" t="inlineStr">
        <is>
          <t>#spruchmagie_z_beherrschung_entwicklung_3_massen_beruhigung</t>
        </is>
      </c>
      <c r="B312" s="11" t="inlineStr">
        <is>
          <t>Spruchmagie</t>
        </is>
      </c>
      <c r="C312" s="18" t="inlineStr">
        <is>
          <t>Massen-Beruhigung</t>
        </is>
      </c>
      <c r="E312" s="14" t="n"/>
      <c r="F312" s="14" t="inlineStr">
        <is>
          <t>z_beherrschung_entwicklung</t>
        </is>
      </c>
      <c r="G312" s="11" t="inlineStr">
        <is>
          <t>Wert</t>
        </is>
      </c>
      <c r="K312" t="n">
        <v>3</v>
      </c>
      <c r="L312" s="28" t="inlineStr">
        <is>
          <t>WENN(wert=0;0;10+(wert-1)*grad)</t>
        </is>
      </c>
      <c r="P312" t="inlineStr">
        <is>
          <t>eig_bonus_g_willenskraft</t>
        </is>
      </c>
      <c r="Q312"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313" hidden="1" ht="15.75" customHeight="1" s="48">
      <c r="A313" s="29" t="inlineStr">
        <is>
          <t>#spruchmagie_z_beherrschung_entwicklung_3_massen_entscheidungshilfe</t>
        </is>
      </c>
      <c r="B313" s="11" t="inlineStr">
        <is>
          <t>Spruchmagie</t>
        </is>
      </c>
      <c r="C313" s="18" t="inlineStr">
        <is>
          <t>Massen-Entscheidungshilfe</t>
        </is>
      </c>
      <c r="E313" s="14" t="n"/>
      <c r="F313" s="14" t="inlineStr">
        <is>
          <t>z_beherrschung_entwicklung</t>
        </is>
      </c>
      <c r="G313" s="11" t="inlineStr">
        <is>
          <t>Wert</t>
        </is>
      </c>
      <c r="K313" t="n">
        <v>3</v>
      </c>
      <c r="L313" s="28" t="inlineStr">
        <is>
          <t>WENN(wert=0;0;10+(wert-1)*grad)</t>
        </is>
      </c>
      <c r="P313" t="inlineStr">
        <is>
          <t>eig_bonus_g_willenskraft</t>
        </is>
      </c>
      <c r="Q313"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314" hidden="1" ht="15.75" customHeight="1" s="48">
      <c r="A314" s="29" t="inlineStr">
        <is>
          <t>#spruchmagie_z_beherrschung_entwicklung_3_massen_verwirrung</t>
        </is>
      </c>
      <c r="B314" s="11" t="inlineStr">
        <is>
          <t>Spruchmagie</t>
        </is>
      </c>
      <c r="C314" s="18" t="inlineStr">
        <is>
          <t>Massen-Verwirrung</t>
        </is>
      </c>
      <c r="E314" s="14" t="n"/>
      <c r="F314" s="14" t="inlineStr">
        <is>
          <t>z_beherrschung_entwicklung</t>
        </is>
      </c>
      <c r="G314" s="11" t="inlineStr">
        <is>
          <t>Wert</t>
        </is>
      </c>
      <c r="K314" t="n">
        <v>3</v>
      </c>
      <c r="L314" s="28" t="inlineStr">
        <is>
          <t>WENN(wert=0;0;10+(wert-1)*grad)</t>
        </is>
      </c>
      <c r="P314" t="inlineStr">
        <is>
          <t>eig_bonus_g_willenskraft</t>
        </is>
      </c>
      <c r="Q314"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is>
      </c>
    </row>
    <row r="315" hidden="1" ht="15.75" customHeight="1" s="48">
      <c r="A315" s="29" t="inlineStr">
        <is>
          <t>#spruchmagie_z_beherrschung_entwicklung_4_massen_angst</t>
        </is>
      </c>
      <c r="B315" s="11" t="inlineStr">
        <is>
          <t>Spruchmagie</t>
        </is>
      </c>
      <c r="C315" s="18" t="inlineStr">
        <is>
          <t>Massen-Angst</t>
        </is>
      </c>
      <c r="E315" s="14" t="n"/>
      <c r="F315" s="14" t="inlineStr">
        <is>
          <t>z_beherrschung_entwicklung</t>
        </is>
      </c>
      <c r="G315" s="11" t="inlineStr">
        <is>
          <t>Wert</t>
        </is>
      </c>
      <c r="K315" t="n">
        <v>4</v>
      </c>
      <c r="L315" s="28" t="inlineStr">
        <is>
          <t>WENN(wert=0;0;10+(wert-1)*grad)</t>
        </is>
      </c>
      <c r="P315" t="inlineStr">
        <is>
          <t>eig_bonus_g_willenskraft</t>
        </is>
      </c>
      <c r="Q31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316" hidden="1" ht="15.75" customHeight="1" s="48">
      <c r="A316" s="29" t="inlineStr">
        <is>
          <t>#spruchmagie_z_beherrschung_entwicklung_4_massen_konfusion</t>
        </is>
      </c>
      <c r="B316" s="11" t="inlineStr">
        <is>
          <t>Spruchmagie</t>
        </is>
      </c>
      <c r="C316" s="18" t="inlineStr">
        <is>
          <t>Massen-Konfusion</t>
        </is>
      </c>
      <c r="E316" s="14" t="n"/>
      <c r="F316" s="14" t="inlineStr">
        <is>
          <t>z_beherrschung_entwicklung</t>
        </is>
      </c>
      <c r="G316" s="11" t="inlineStr">
        <is>
          <t>Wert</t>
        </is>
      </c>
      <c r="K316" t="n">
        <v>4</v>
      </c>
      <c r="L316" s="28" t="inlineStr">
        <is>
          <t>WENN(wert=0;0;10+(wert-1)*grad)</t>
        </is>
      </c>
      <c r="P316" t="inlineStr">
        <is>
          <t>eig_bonus_g_willenskraft</t>
        </is>
      </c>
      <c r="Q316" t="inlineStr">
        <is>
          <t>Alle Ziele im Wirkungsbereich vergessen vollkommen, wer seine Freunde oder Feinde sind und greifen ein zufälliges Ziel an, wenn sie sich bereits im Kampf befinden. Widerstandswurf: Willenskraft ; alle {Magie} * sec eine weitere.</t>
        </is>
      </c>
    </row>
    <row r="317" hidden="1" ht="15.75" customHeight="1" s="48">
      <c r="A317" s="29" t="inlineStr">
        <is>
          <t>#spruchmagie_z_beherrschung_entwicklung_4_menschen_befehl</t>
        </is>
      </c>
      <c r="B317" s="11" t="inlineStr">
        <is>
          <t>Spruchmagie</t>
        </is>
      </c>
      <c r="C317" s="18" t="inlineStr">
        <is>
          <t>Menschen-Befehl</t>
        </is>
      </c>
      <c r="E317" s="14" t="n"/>
      <c r="F317" s="14" t="inlineStr">
        <is>
          <t>z_beherrschung_entwicklung</t>
        </is>
      </c>
      <c r="G317" s="11" t="inlineStr">
        <is>
          <t>Wert</t>
        </is>
      </c>
      <c r="K317" t="n">
        <v>4</v>
      </c>
      <c r="L317" s="28" t="inlineStr">
        <is>
          <t>WENN(wert=0;0;10+(wert-1)*grad)</t>
        </is>
      </c>
      <c r="P317" t="inlineStr">
        <is>
          <t>eig_bonus_g_willenskraft</t>
        </is>
      </c>
      <c r="Q317"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318" hidden="1" ht="15.75" customHeight="1" s="48">
      <c r="A318" s="29" t="inlineStr">
        <is>
          <t>#spruchmagie_z_beherrschung_entwicklung_5_massen_tierbefehl</t>
        </is>
      </c>
      <c r="B318" s="11" t="inlineStr">
        <is>
          <t>Spruchmagie</t>
        </is>
      </c>
      <c r="C318" s="12" t="inlineStr">
        <is>
          <t>Massen-Tierbefehl</t>
        </is>
      </c>
      <c r="F318" t="inlineStr">
        <is>
          <t>z_beherrschung_entwicklung</t>
        </is>
      </c>
      <c r="G318" s="11" t="inlineStr">
        <is>
          <t>Wert</t>
        </is>
      </c>
      <c r="K318" t="n">
        <v>5</v>
      </c>
      <c r="L318" s="28" t="inlineStr">
        <is>
          <t>WENN(wert=0;0;10+(wert-1)*grad)</t>
        </is>
      </c>
      <c r="P318" t="inlineStr">
        <is>
          <t>eig_bonus_g_willenskraft</t>
        </is>
      </c>
      <c r="Q318"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319" hidden="1" ht="15.75" customHeight="1" s="48">
      <c r="A319" s="29" t="inlineStr">
        <is>
          <t>#spruchmagie_z_beherrschung_entwicklung_5_massen_wut</t>
        </is>
      </c>
      <c r="B319" s="11" t="inlineStr">
        <is>
          <t>Spruchmagie</t>
        </is>
      </c>
      <c r="C319" s="18" t="inlineStr">
        <is>
          <t>Massen-Wut</t>
        </is>
      </c>
      <c r="E319" s="14" t="n"/>
      <c r="F319" s="14" t="inlineStr">
        <is>
          <t>z_beherrschung_entwicklung</t>
        </is>
      </c>
      <c r="G319" s="11" t="inlineStr">
        <is>
          <t>Wert</t>
        </is>
      </c>
      <c r="K319" t="n">
        <v>5</v>
      </c>
      <c r="L319" s="28" t="inlineStr">
        <is>
          <t>WENN(wert=0;0;10+(wert-1)*grad)</t>
        </is>
      </c>
      <c r="P319" t="inlineStr">
        <is>
          <t>eig_bonus_g_willenskraft</t>
        </is>
      </c>
      <c r="Q319"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320" hidden="1" ht="15.75" customHeight="1" s="48">
      <c r="A320" s="29" t="inlineStr">
        <is>
          <t>#spruchmagie_z_beherrschung_entwicklung_5_massen_zwang</t>
        </is>
      </c>
      <c r="B320" s="11" t="inlineStr">
        <is>
          <t>Spruchmagie</t>
        </is>
      </c>
      <c r="C320" s="18" t="inlineStr">
        <is>
          <t>Massen-Zwang</t>
        </is>
      </c>
      <c r="E320" s="14" t="n"/>
      <c r="F320" s="14" t="inlineStr">
        <is>
          <t>z_beherrschung_entwicklung</t>
        </is>
      </c>
      <c r="G320" s="11" t="inlineStr">
        <is>
          <t>Wert</t>
        </is>
      </c>
      <c r="K320" t="n">
        <v>5</v>
      </c>
      <c r="L320" s="28" t="inlineStr">
        <is>
          <t>WENN(wert=0;0;10+(wert-1)*grad)</t>
        </is>
      </c>
      <c r="P320" t="inlineStr">
        <is>
          <t>eig_bonus_g_willenskraft</t>
        </is>
      </c>
      <c r="Q320"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321" hidden="1" ht="15.75" customHeight="1" s="48">
      <c r="A321" s="29" t="inlineStr">
        <is>
          <t>#spruchmagie_z_beherrschung_entwicklung_6_massen_feindschaft</t>
        </is>
      </c>
      <c r="B321" s="11" t="inlineStr">
        <is>
          <t>Spruchmagie</t>
        </is>
      </c>
      <c r="C321" s="18" t="inlineStr">
        <is>
          <t>Massen-Feindschaft</t>
        </is>
      </c>
      <c r="E321" s="14" t="n"/>
      <c r="F321" s="14" t="inlineStr">
        <is>
          <t>z_beherrschung_entwicklung</t>
        </is>
      </c>
      <c r="G321" s="11" t="inlineStr">
        <is>
          <t>Wert</t>
        </is>
      </c>
      <c r="K321" t="n">
        <v>6</v>
      </c>
      <c r="L321" s="28" t="inlineStr">
        <is>
          <t>WENN(wert=0;0;10+(wert-1)*grad)</t>
        </is>
      </c>
      <c r="P321" t="inlineStr">
        <is>
          <t>eig_bonus_g_willenskraft</t>
        </is>
      </c>
      <c r="Q321" t="inlineStr">
        <is>
          <t>Alle Ziele im Wirkungsbereich werden von brennendem Hass gegenüber einem vom Magier bestimmten Ziel erfüllt. Je nach Veranlagung des Opfers wird es bei Provokationen gewalttätig. Widerstandswurf: Intelligenz ; alle {Magie} * sec eine weitere.</t>
        </is>
      </c>
    </row>
    <row r="322" hidden="1" ht="15.75" customHeight="1" s="48">
      <c r="A322" s="29" t="inlineStr">
        <is>
          <t>#spruchmagie_z_beherrschung_entwicklung_6_massen_gier</t>
        </is>
      </c>
      <c r="B322" s="11" t="inlineStr">
        <is>
          <t>Spruchmagie</t>
        </is>
      </c>
      <c r="C322" s="18" t="inlineStr">
        <is>
          <t>Massen-Gier</t>
        </is>
      </c>
      <c r="E322" s="14" t="n"/>
      <c r="F322" s="14" t="inlineStr">
        <is>
          <t>z_beherrschung_entwicklung</t>
        </is>
      </c>
      <c r="G322" s="11" t="inlineStr">
        <is>
          <t>Wert</t>
        </is>
      </c>
      <c r="K322" t="n">
        <v>6</v>
      </c>
      <c r="L322" s="28" t="inlineStr">
        <is>
          <t>WENN(wert=0;0;10+(wert-1)*grad)</t>
        </is>
      </c>
      <c r="P322" t="inlineStr">
        <is>
          <t>eig_bonus_g_willenskraft</t>
        </is>
      </c>
      <c r="Q3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323" hidden="1" ht="15.75" customHeight="1" s="48">
      <c r="A323" s="29" t="inlineStr">
        <is>
          <t>#spruchmagie_z_beherrschung_entwicklung_6_massen_zonenzwang</t>
        </is>
      </c>
      <c r="B323" s="11" t="inlineStr">
        <is>
          <t>Spruchmagie</t>
        </is>
      </c>
      <c r="C323" s="18" t="inlineStr">
        <is>
          <t>Massen-Zonenzwang</t>
        </is>
      </c>
      <c r="E323" s="14" t="n"/>
      <c r="F323" s="14" t="inlineStr">
        <is>
          <t>z_beherrschung_entwicklung</t>
        </is>
      </c>
      <c r="G323" s="11" t="inlineStr">
        <is>
          <t>Wert</t>
        </is>
      </c>
      <c r="K323" t="n">
        <v>6</v>
      </c>
      <c r="L323" s="28" t="inlineStr">
        <is>
          <t>WENN(wert=0;0;10+(wert-1)*grad)</t>
        </is>
      </c>
      <c r="P323" t="inlineStr">
        <is>
          <t>eig_bonus_g_willenskraft</t>
        </is>
      </c>
      <c r="Q3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324" hidden="1" ht="15.75" customHeight="1" s="48">
      <c r="A324" s="29" t="inlineStr">
        <is>
          <t>#spruchmagie_z_beherrschung_entwicklung_7_massen_paralyse</t>
        </is>
      </c>
      <c r="B324" s="11" t="inlineStr">
        <is>
          <t>Spruchmagie</t>
        </is>
      </c>
      <c r="C324" s="13" t="inlineStr">
        <is>
          <t>Massen-Paralyse</t>
        </is>
      </c>
      <c r="E324" s="29" t="n"/>
      <c r="F324" s="29" t="inlineStr">
        <is>
          <t>z_beherrschung_entwicklung</t>
        </is>
      </c>
      <c r="G324" s="11" t="inlineStr">
        <is>
          <t>Wert</t>
        </is>
      </c>
      <c r="K324" t="n">
        <v>7</v>
      </c>
      <c r="L324" s="28" t="inlineStr">
        <is>
          <t>WENN(wert=0;0;10+(wert-1)*grad)</t>
        </is>
      </c>
      <c r="P324" t="inlineStr">
        <is>
          <t>eig_bonus_g_willenskraft</t>
        </is>
      </c>
      <c r="Q324"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325" hidden="1" ht="15.75" customHeight="1" s="48">
      <c r="A325" s="29" t="inlineStr">
        <is>
          <t>#spruchmagie_z_beherrschung_entwicklung_7_massen_sinneseinschraenkung</t>
        </is>
      </c>
      <c r="B325" s="11" t="inlineStr">
        <is>
          <t>Spruchmagie</t>
        </is>
      </c>
      <c r="C325" s="18" t="inlineStr">
        <is>
          <t>Massen-Sinneseinschränkung</t>
        </is>
      </c>
      <c r="E325" s="14" t="n"/>
      <c r="F325" s="14" t="inlineStr">
        <is>
          <t>z_beherrschung_entwicklung</t>
        </is>
      </c>
      <c r="G325" s="11" t="inlineStr">
        <is>
          <t>Wert</t>
        </is>
      </c>
      <c r="K325" t="n">
        <v>7</v>
      </c>
      <c r="L325" s="28" t="inlineStr">
        <is>
          <t>WENN(wert=0;0;10+(wert-1)*grad)</t>
        </is>
      </c>
      <c r="P325" t="inlineStr">
        <is>
          <t>eig_bonus_g_willenskraft</t>
        </is>
      </c>
      <c r="Q325" t="inlineStr">
        <is>
          <t>Alle Ziele im Wirkungsbereich sind entweder vollständig Blind oder vollständig Taub, je nach Maßgabe des Magiers. Widerstandswurf: Sinnesschärfe ; alle {Magie} * sec eine weitere.</t>
        </is>
      </c>
    </row>
    <row r="326" hidden="1" ht="15.75" customHeight="1" s="48">
      <c r="A326" s="29" t="inlineStr">
        <is>
          <t>talente_attributs_maximum_erhoehen__aura</t>
        </is>
      </c>
      <c r="B326" s="10" t="inlineStr">
        <is>
          <t>Talente</t>
        </is>
      </c>
      <c r="C326" s="7" t="inlineStr">
        <is>
          <t>Attributs-Maximum erhöhen +1 AURA</t>
        </is>
      </c>
      <c r="E326" s="10" t="n"/>
      <c r="F326" s="10" t="inlineStr">
        <is>
          <t>Abenteurer</t>
        </is>
      </c>
      <c r="G326" s="10" t="inlineStr">
        <is>
          <t>Auswahl</t>
        </is>
      </c>
      <c r="L326" s="28" t="n">
        <v>18</v>
      </c>
      <c r="Q326" t="inlineStr">
        <is>
          <t>Das Attributs-Maximum wird um 1 erhöht.</t>
        </is>
      </c>
    </row>
    <row r="327" hidden="1" ht="15.75" customHeight="1" s="48">
      <c r="A327" s="29" t="inlineStr">
        <is>
          <t>talente_attributs_maximum_erhoehen__glueck</t>
        </is>
      </c>
      <c r="B327" s="10" t="inlineStr">
        <is>
          <t>Talente</t>
        </is>
      </c>
      <c r="C327" s="7" t="inlineStr">
        <is>
          <t>Attributs-Maximum erhöhen +1 GLÜCK</t>
        </is>
      </c>
      <c r="E327" s="10" t="n"/>
      <c r="F327" s="10" t="inlineStr">
        <is>
          <t>Abenteurer</t>
        </is>
      </c>
      <c r="G327" s="10" t="inlineStr">
        <is>
          <t>Auswahl</t>
        </is>
      </c>
      <c r="L327" s="28" t="n">
        <v>18</v>
      </c>
      <c r="Q327" t="inlineStr">
        <is>
          <t>Das Attributs-Maximum wird um 1 erhöht.</t>
        </is>
      </c>
    </row>
    <row r="328" hidden="1" ht="15.75" customHeight="1" s="48">
      <c r="A328" s="29" t="inlineStr">
        <is>
          <t>talente_attributs_maximum_erhoehen__karma</t>
        </is>
      </c>
      <c r="B328" s="10" t="inlineStr">
        <is>
          <t>Talente</t>
        </is>
      </c>
      <c r="C328" s="7" t="inlineStr">
        <is>
          <t>Attributs-Maximum erhöhen +1 KARMA</t>
        </is>
      </c>
      <c r="E328" s="10" t="n"/>
      <c r="F328" s="10" t="inlineStr">
        <is>
          <t>Abenteurer</t>
        </is>
      </c>
      <c r="G328" s="10" t="inlineStr">
        <is>
          <t>Auswahl</t>
        </is>
      </c>
      <c r="L328" s="28" t="n">
        <v>18</v>
      </c>
      <c r="Q328" t="inlineStr">
        <is>
          <t>Das Attributs-Maximum wird um 1 erhöht.</t>
        </is>
      </c>
    </row>
    <row r="329" hidden="1" ht="15.75" customHeight="1" s="48">
      <c r="A329" s="29" t="inlineStr">
        <is>
          <t>talente_attributs_maximum_erhoehen__magie</t>
        </is>
      </c>
      <c r="B329" s="10" t="inlineStr">
        <is>
          <t>Talente</t>
        </is>
      </c>
      <c r="C329" s="7" t="inlineStr">
        <is>
          <t>Attributs-Maximum erhöhen +1 MAGIE</t>
        </is>
      </c>
      <c r="E329" s="10" t="n"/>
      <c r="F329" s="10" t="inlineStr">
        <is>
          <t>Abenteurer</t>
        </is>
      </c>
      <c r="G329" s="10" t="inlineStr">
        <is>
          <t>Auswahl</t>
        </is>
      </c>
      <c r="L329" s="28" t="n">
        <v>18</v>
      </c>
      <c r="Q329" t="inlineStr">
        <is>
          <t>Das Attributs-Maximum wird um 1 erhöht.</t>
        </is>
      </c>
    </row>
    <row r="330" hidden="1" ht="15.75" customHeight="1" s="48">
      <c r="A330" s="29" t="inlineStr">
        <is>
          <t>talente_attributs_maximum_erhoehen__vitalitaet</t>
        </is>
      </c>
      <c r="B330" s="10" t="inlineStr">
        <is>
          <t>Talente</t>
        </is>
      </c>
      <c r="C330" s="7" t="inlineStr">
        <is>
          <t>Attributs-Maximum erhöhen +1 VITALITÄT</t>
        </is>
      </c>
      <c r="E330" s="10" t="n"/>
      <c r="F330" s="10" t="inlineStr">
        <is>
          <t>Abenteurer</t>
        </is>
      </c>
      <c r="G330" s="10" t="inlineStr">
        <is>
          <t>Auswahl</t>
        </is>
      </c>
      <c r="L330" s="28" t="n">
        <v>18</v>
      </c>
      <c r="Q330" t="inlineStr">
        <is>
          <t>Das Attributs-Maximum wird um 1 erhöht.</t>
        </is>
      </c>
    </row>
    <row r="331" hidden="1" ht="15.75" customHeight="1" s="48">
      <c r="A331" s="29" t="inlineStr">
        <is>
          <t>talente_ki_meister</t>
        </is>
      </c>
      <c r="B331" s="10" t="inlineStr">
        <is>
          <t>Talente</t>
        </is>
      </c>
      <c r="C331" s="13" t="inlineStr">
        <is>
          <t>KI-Meister</t>
        </is>
      </c>
      <c r="E331" s="10" t="n"/>
      <c r="F331" s="10" t="inlineStr">
        <is>
          <t>KI-Adept</t>
        </is>
      </c>
      <c r="G331" s="10" t="inlineStr">
        <is>
          <t>Auswahl</t>
        </is>
      </c>
      <c r="L331" s="28" t="n">
        <v>1</v>
      </c>
      <c r="Q331" t="inlineStr">
        <is>
          <t>Erhöht das Maximum aller KI-Fähigkeiten um +18</t>
        </is>
      </c>
    </row>
    <row r="332" hidden="1" ht="15.75" customHeight="1" s="48">
      <c r="A332" s="29" t="inlineStr">
        <is>
          <t>talente_magus_stufe_1_antimagie_magus</t>
        </is>
      </c>
      <c r="B332" s="10" t="inlineStr">
        <is>
          <t>Talente</t>
        </is>
      </c>
      <c r="C332" s="13" t="inlineStr">
        <is>
          <t>Magus Stufe 1: Antimagie-Magus</t>
        </is>
      </c>
      <c r="E332" s="10" t="n"/>
      <c r="F332" s="10" t="inlineStr">
        <is>
          <t>Magier</t>
        </is>
      </c>
      <c r="G332" s="10" t="inlineStr">
        <is>
          <t>Auswahl</t>
        </is>
      </c>
      <c r="L332" s="28" t="n">
        <v>6</v>
      </c>
      <c r="Q332" t="inlineStr">
        <is>
          <t>Zaubermaximum +6 für eine Schule. Kann für jede Schule einmal gekauft werden.</t>
        </is>
      </c>
    </row>
    <row r="333" hidden="1" ht="15.75" customHeight="1" s="48">
      <c r="A333" s="29" t="inlineStr">
        <is>
          <t>talente_magus_stufe_1_beherrschungs_magus</t>
        </is>
      </c>
      <c r="B333" s="10" t="inlineStr">
        <is>
          <t>Talente</t>
        </is>
      </c>
      <c r="C333" s="13" t="inlineStr">
        <is>
          <t>Magus Stufe 1: Beherrschungs-Magus</t>
        </is>
      </c>
      <c r="E333" s="10" t="n"/>
      <c r="F333" s="10" t="inlineStr">
        <is>
          <t>Magier</t>
        </is>
      </c>
      <c r="G333" s="10" t="inlineStr">
        <is>
          <t>Auswahl</t>
        </is>
      </c>
      <c r="L333" s="28" t="n">
        <v>6</v>
      </c>
      <c r="Q333" t="inlineStr">
        <is>
          <t>Zaubermaximum +6 für eine Schule. Kann für jede Schule einmal gekauft werden.</t>
        </is>
      </c>
    </row>
    <row r="334" hidden="1" ht="15.75" customHeight="1" s="48">
      <c r="A334" s="29" t="inlineStr">
        <is>
          <t>talente_magus_stufe_1_erdbeschwoerungs_magus</t>
        </is>
      </c>
      <c r="B334" s="10" t="inlineStr">
        <is>
          <t>Talente</t>
        </is>
      </c>
      <c r="C334" s="13" t="inlineStr">
        <is>
          <t>Magus Stufe 1: Erdbeschwörungs-Magus</t>
        </is>
      </c>
      <c r="E334" s="10" t="n"/>
      <c r="F334" s="10" t="inlineStr">
        <is>
          <t>Magier</t>
        </is>
      </c>
      <c r="G334" s="10" t="inlineStr">
        <is>
          <t>Auswahl</t>
        </is>
      </c>
      <c r="L334" s="28" t="n">
        <v>6</v>
      </c>
      <c r="Q334" t="inlineStr">
        <is>
          <t>Zaubermaximum +6 für eine Schule. Kann für jede Schule einmal gekauft werden.</t>
        </is>
      </c>
    </row>
    <row r="335" hidden="1" ht="15.75" customHeight="1" s="48">
      <c r="A335" s="29" t="inlineStr">
        <is>
          <t>talente_magus_stufe_1_feuerbeschwoerungs_magus</t>
        </is>
      </c>
      <c r="B335" s="10" t="inlineStr">
        <is>
          <t>Talente</t>
        </is>
      </c>
      <c r="C335" s="13" t="inlineStr">
        <is>
          <t>Magus Stufe 1: Feuerbeschwörungs-Magus</t>
        </is>
      </c>
      <c r="E335" s="10" t="n"/>
      <c r="F335" s="10" t="inlineStr">
        <is>
          <t>Magier</t>
        </is>
      </c>
      <c r="G335" s="10" t="inlineStr">
        <is>
          <t>Auswahl</t>
        </is>
      </c>
      <c r="L335" s="28" t="n">
        <v>6</v>
      </c>
      <c r="Q335" t="inlineStr">
        <is>
          <t>Zaubermaximum +6 für eine Schule. Kann für jede Schule einmal gekauft werden.</t>
        </is>
      </c>
    </row>
    <row r="336" hidden="1" ht="15.75" customHeight="1" s="48">
      <c r="A336" s="29" t="inlineStr">
        <is>
          <t>talente_magus_stufe_1_heilungs_magus</t>
        </is>
      </c>
      <c r="B336" s="10" t="inlineStr">
        <is>
          <t>Talente</t>
        </is>
      </c>
      <c r="C336" s="13" t="inlineStr">
        <is>
          <t>Magus Stufe 1: Heilungs-Magus</t>
        </is>
      </c>
      <c r="E336" s="10" t="n"/>
      <c r="F336" s="10" t="inlineStr">
        <is>
          <t>Magier</t>
        </is>
      </c>
      <c r="G336" s="10" t="inlineStr">
        <is>
          <t>Auswahl</t>
        </is>
      </c>
      <c r="L336" s="28" t="n">
        <v>6</v>
      </c>
      <c r="Q336" t="inlineStr">
        <is>
          <t>Zaubermaximum +6 für eine Schule. Kann für jede Schule einmal gekauft werden.</t>
        </is>
      </c>
    </row>
    <row r="337" hidden="1" ht="15.75" customHeight="1" s="48">
      <c r="A337" s="29" t="inlineStr">
        <is>
          <t>talente_magus_stufe_1_hellsicht_magus</t>
        </is>
      </c>
      <c r="B337" s="10" t="inlineStr">
        <is>
          <t>Talente</t>
        </is>
      </c>
      <c r="C337" s="13" t="inlineStr">
        <is>
          <t>Magus Stufe 1: Hellsicht-Magus</t>
        </is>
      </c>
      <c r="E337" s="10" t="n"/>
      <c r="F337" s="10" t="inlineStr">
        <is>
          <t>Magier</t>
        </is>
      </c>
      <c r="G337" s="10" t="inlineStr">
        <is>
          <t>Auswahl</t>
        </is>
      </c>
      <c r="L337" s="28" t="n">
        <v>6</v>
      </c>
      <c r="Q337" t="inlineStr">
        <is>
          <t>Zaubermaximum +6 für eine Schule. Kann für jede Schule einmal gekauft werden.</t>
        </is>
      </c>
    </row>
    <row r="338" hidden="1" ht="15.75" customHeight="1" s="48">
      <c r="A338" s="29" t="inlineStr">
        <is>
          <t>talente_magus_stufe_1_illusions_magus</t>
        </is>
      </c>
      <c r="B338" s="10" t="inlineStr">
        <is>
          <t>Talente</t>
        </is>
      </c>
      <c r="C338" s="13" t="inlineStr">
        <is>
          <t>Magus Stufe 1: Illusions-Magus</t>
        </is>
      </c>
      <c r="E338" s="10" t="n"/>
      <c r="F338" s="10" t="inlineStr">
        <is>
          <t>Magier</t>
        </is>
      </c>
      <c r="G338" s="10" t="inlineStr">
        <is>
          <t>Auswahl</t>
        </is>
      </c>
      <c r="L338" s="28" t="n">
        <v>6</v>
      </c>
      <c r="Q338" t="inlineStr">
        <is>
          <t>Zaubermaximum +6 für eine Schule. Kann für jede Schule einmal gekauft werden.</t>
        </is>
      </c>
    </row>
    <row r="339" hidden="1" ht="15.75" customHeight="1" s="48">
      <c r="A339" s="29" t="inlineStr">
        <is>
          <t>talente_magus_stufe_1_luftbeschwoerungs_magus</t>
        </is>
      </c>
      <c r="B339" s="10" t="inlineStr">
        <is>
          <t>Talente</t>
        </is>
      </c>
      <c r="C339" s="13" t="inlineStr">
        <is>
          <t>Magus Stufe 1: Luftbeschwörungs-Magus</t>
        </is>
      </c>
      <c r="E339" s="10" t="n"/>
      <c r="F339" s="10" t="inlineStr">
        <is>
          <t>Magier</t>
        </is>
      </c>
      <c r="G339" s="10" t="inlineStr">
        <is>
          <t>Auswahl</t>
        </is>
      </c>
      <c r="L339" s="28" t="n">
        <v>6</v>
      </c>
      <c r="Q339" t="inlineStr">
        <is>
          <t>Zaubermaximum +6 für eine Schule. Kann für jede Schule einmal gekauft werden.</t>
        </is>
      </c>
    </row>
    <row r="340" hidden="1" ht="15.75" customHeight="1" s="48">
      <c r="A340" s="29" t="inlineStr">
        <is>
          <t>talente_magus_stufe_1_magiebeschwoerungs_magus</t>
        </is>
      </c>
      <c r="B340" s="10" t="inlineStr">
        <is>
          <t>Talente</t>
        </is>
      </c>
      <c r="C340" s="13" t="inlineStr">
        <is>
          <t>Magus Stufe 1: Magiebeschwörungs-Magus</t>
        </is>
      </c>
      <c r="E340" s="10" t="n"/>
      <c r="F340" s="10" t="inlineStr">
        <is>
          <t>Magier</t>
        </is>
      </c>
      <c r="G340" s="10" t="inlineStr">
        <is>
          <t>Auswahl</t>
        </is>
      </c>
      <c r="L340" s="28" t="n">
        <v>6</v>
      </c>
      <c r="Q340" t="inlineStr">
        <is>
          <t>Zaubermaximum +6 für eine Schule. Kann für jede Schule einmal gekauft werden.</t>
        </is>
      </c>
    </row>
    <row r="341" hidden="1" ht="15.75" customHeight="1" s="48">
      <c r="A341" s="29" t="inlineStr">
        <is>
          <t>talente_magus_stufe_1_veraenderungs_magus</t>
        </is>
      </c>
      <c r="B341" s="10" t="inlineStr">
        <is>
          <t>Talente</t>
        </is>
      </c>
      <c r="C341" s="13" t="inlineStr">
        <is>
          <t>Magus Stufe 1: Veränderungs-Magus</t>
        </is>
      </c>
      <c r="E341" s="10" t="n"/>
      <c r="F341" s="10" t="inlineStr">
        <is>
          <t>Magier</t>
        </is>
      </c>
      <c r="G341" s="10" t="inlineStr">
        <is>
          <t>Auswahl</t>
        </is>
      </c>
      <c r="L341" s="28" t="n">
        <v>6</v>
      </c>
      <c r="Q341" t="inlineStr">
        <is>
          <t>Zaubermaximum +6 für eine Schule. Kann für jede Schule einmal gekauft werden.</t>
        </is>
      </c>
    </row>
    <row r="342" hidden="1" ht="15.75" customHeight="1" s="48">
      <c r="A342" s="29" t="inlineStr">
        <is>
          <t>talente_magus_stufe_1_verzauberungs_magus</t>
        </is>
      </c>
      <c r="B342" s="10" t="inlineStr">
        <is>
          <t>Talente</t>
        </is>
      </c>
      <c r="C342" s="13" t="inlineStr">
        <is>
          <t>Magus Stufe 1: Verzauberungs-Magus</t>
        </is>
      </c>
      <c r="E342" s="10" t="n"/>
      <c r="F342" s="10" t="inlineStr">
        <is>
          <t>Magier</t>
        </is>
      </c>
      <c r="G342" s="10" t="inlineStr">
        <is>
          <t>Auswahl</t>
        </is>
      </c>
      <c r="L342" s="28" t="n">
        <v>6</v>
      </c>
      <c r="Q342" t="inlineStr">
        <is>
          <t>Zaubermaximum +6 für eine Schule. Kann für jede Schule einmal gekauft werden.</t>
        </is>
      </c>
    </row>
    <row r="343" hidden="1" ht="15.75" customHeight="1" s="48">
      <c r="A343" s="29" t="inlineStr">
        <is>
          <t>talente_magus_stufe_1_wasserbeschwoerungs_magus</t>
        </is>
      </c>
      <c r="B343" s="10" t="inlineStr">
        <is>
          <t>Talente</t>
        </is>
      </c>
      <c r="C343" s="13" t="inlineStr">
        <is>
          <t>Magus Stufe 1: Wasserbeschwörungs-Magus</t>
        </is>
      </c>
      <c r="E343" s="10" t="n"/>
      <c r="F343" s="10" t="inlineStr">
        <is>
          <t>Magier</t>
        </is>
      </c>
      <c r="G343" s="10" t="inlineStr">
        <is>
          <t>Auswahl</t>
        </is>
      </c>
      <c r="L343" s="28" t="n">
        <v>6</v>
      </c>
      <c r="Q343" t="inlineStr">
        <is>
          <t>Zaubermaximum +6 für eine Schule. Kann für jede Schule einmal gekauft werden.</t>
        </is>
      </c>
    </row>
    <row r="344" hidden="1" ht="15.75" customHeight="1" s="48">
      <c r="A344" s="29" t="inlineStr">
        <is>
          <t>talente_magus_stufe_2_antimagies_grossmagus</t>
        </is>
      </c>
      <c r="B344" s="10" t="inlineStr">
        <is>
          <t>Talente</t>
        </is>
      </c>
      <c r="C344" s="13" t="inlineStr">
        <is>
          <t>Magus Stufe 2: Antimagies-Großmagus</t>
        </is>
      </c>
      <c r="E344" s="10" t="n"/>
      <c r="F344" s="10" t="inlineStr">
        <is>
          <t>Magier</t>
        </is>
      </c>
      <c r="G344" s="10" t="inlineStr">
        <is>
          <t>Auswahl</t>
        </is>
      </c>
      <c r="L344" s="28" t="n">
        <v>12</v>
      </c>
      <c r="Q344" t="inlineStr">
        <is>
          <t>Zaubermaximum +12 für eine Schule. Kann für jede Schule einmal gekauft werden.</t>
        </is>
      </c>
    </row>
    <row r="345" hidden="1" ht="15.75" customHeight="1" s="48">
      <c r="A345" s="29" t="inlineStr">
        <is>
          <t>talente_magus_stufe_2_beherrschungs_grossmagus</t>
        </is>
      </c>
      <c r="B345" s="10" t="inlineStr">
        <is>
          <t>Talente</t>
        </is>
      </c>
      <c r="C345" s="13" t="inlineStr">
        <is>
          <t>Magus Stufe 2: Beherrschungs-Großmagus</t>
        </is>
      </c>
      <c r="E345" s="10" t="n"/>
      <c r="F345" s="10" t="inlineStr">
        <is>
          <t>Magier</t>
        </is>
      </c>
      <c r="G345" s="10" t="inlineStr">
        <is>
          <t>Auswahl</t>
        </is>
      </c>
      <c r="L345" s="28" t="n">
        <v>12</v>
      </c>
      <c r="Q345" t="inlineStr">
        <is>
          <t>Zaubermaximum +12 für eine Schule. Kann für jede Schule einmal gekauft werden.</t>
        </is>
      </c>
    </row>
    <row r="346" hidden="1" ht="15.75" customHeight="1" s="48">
      <c r="A346" s="29" t="inlineStr">
        <is>
          <t>talente_magus_stufe_2_erdbeschwoerungs_grossmagus</t>
        </is>
      </c>
      <c r="B346" s="10" t="inlineStr">
        <is>
          <t>Talente</t>
        </is>
      </c>
      <c r="C346" s="13" t="inlineStr">
        <is>
          <t>Magus Stufe 2: Erdbeschwörungs-Großmagus</t>
        </is>
      </c>
      <c r="E346" s="10" t="n"/>
      <c r="F346" s="10" t="inlineStr">
        <is>
          <t>Magier</t>
        </is>
      </c>
      <c r="G346" s="10" t="inlineStr">
        <is>
          <t>Auswahl</t>
        </is>
      </c>
      <c r="L346" s="28" t="n">
        <v>12</v>
      </c>
      <c r="Q346" t="inlineStr">
        <is>
          <t>Zaubermaximum +12 für eine Schule. Kann für jede Schule einmal gekauft werden.</t>
        </is>
      </c>
    </row>
    <row r="347" hidden="1" ht="15.75" customHeight="1" s="48">
      <c r="A347" s="29" t="inlineStr">
        <is>
          <t>talente_magus_stufe_2_feuerbeschwoerungs_grossmagus</t>
        </is>
      </c>
      <c r="B347" s="10" t="inlineStr">
        <is>
          <t>Talente</t>
        </is>
      </c>
      <c r="C347" s="13" t="inlineStr">
        <is>
          <t>Magus Stufe 2: Feuerbeschwörungs-Großmagus</t>
        </is>
      </c>
      <c r="E347" s="10" t="n"/>
      <c r="F347" s="10" t="inlineStr">
        <is>
          <t>Magier</t>
        </is>
      </c>
      <c r="G347" s="10" t="inlineStr">
        <is>
          <t>Auswahl</t>
        </is>
      </c>
      <c r="L347" s="28" t="n">
        <v>12</v>
      </c>
      <c r="Q347" t="inlineStr">
        <is>
          <t>Zaubermaximum +12 für eine Schule. Kann für jede Schule einmal gekauft werden.</t>
        </is>
      </c>
    </row>
    <row r="348" hidden="1" ht="15.75" customHeight="1" s="48">
      <c r="A348" s="29" t="inlineStr">
        <is>
          <t>talente_magus_stufe_2_heilungs_grossmagus</t>
        </is>
      </c>
      <c r="B348" s="10" t="inlineStr">
        <is>
          <t>Talente</t>
        </is>
      </c>
      <c r="C348" s="13" t="inlineStr">
        <is>
          <t>Magus Stufe 2: Heilungs-Großmagus</t>
        </is>
      </c>
      <c r="E348" s="10" t="n"/>
      <c r="F348" s="10" t="inlineStr">
        <is>
          <t>Magier</t>
        </is>
      </c>
      <c r="G348" s="10" t="inlineStr">
        <is>
          <t>Auswahl</t>
        </is>
      </c>
      <c r="L348" s="28" t="n">
        <v>12</v>
      </c>
      <c r="Q348" t="inlineStr">
        <is>
          <t>Zaubermaximum +12 für eine Schule. Kann für jede Schule einmal gekauft werden.</t>
        </is>
      </c>
    </row>
    <row r="349" hidden="1" ht="15.75" customHeight="1" s="48">
      <c r="A349" s="29" t="inlineStr">
        <is>
          <t>talente_magus_stufe_2_hellsicht_grossmagus</t>
        </is>
      </c>
      <c r="B349" s="10" t="inlineStr">
        <is>
          <t>Talente</t>
        </is>
      </c>
      <c r="C349" s="13" t="inlineStr">
        <is>
          <t>Magus Stufe 2: Hellsicht-Großmagus</t>
        </is>
      </c>
      <c r="E349" s="10" t="n"/>
      <c r="F349" s="10" t="inlineStr">
        <is>
          <t>Magier</t>
        </is>
      </c>
      <c r="G349" s="10" t="inlineStr">
        <is>
          <t>Auswahl</t>
        </is>
      </c>
      <c r="L349" s="28" t="n">
        <v>12</v>
      </c>
      <c r="Q349" t="inlineStr">
        <is>
          <t>Zaubermaximum +12 für eine Schule. Kann für jede Schule einmal gekauft werden.</t>
        </is>
      </c>
    </row>
    <row r="350" hidden="1" ht="15.75" customHeight="1" s="48">
      <c r="A350" s="29" t="inlineStr">
        <is>
          <t>talente_magus_stufe_2_illusions_grossmagus</t>
        </is>
      </c>
      <c r="B350" s="10" t="inlineStr">
        <is>
          <t>Talente</t>
        </is>
      </c>
      <c r="C350" s="13" t="inlineStr">
        <is>
          <t>Magus Stufe 2: Illusions-Großmagus</t>
        </is>
      </c>
      <c r="E350" s="10" t="n"/>
      <c r="F350" s="10" t="inlineStr">
        <is>
          <t>Magier</t>
        </is>
      </c>
      <c r="G350" s="10" t="inlineStr">
        <is>
          <t>Auswahl</t>
        </is>
      </c>
      <c r="L350" s="28" t="n">
        <v>12</v>
      </c>
      <c r="Q350" t="inlineStr">
        <is>
          <t>Zaubermaximum +12 für eine Schule. Kann für jede Schule einmal gekauft werden.</t>
        </is>
      </c>
    </row>
    <row r="351" hidden="1" ht="15.75" customHeight="1" s="48">
      <c r="A351" s="29" t="inlineStr">
        <is>
          <t>talente_magus_stufe_2_luftbeschwoerungs_grossmagus</t>
        </is>
      </c>
      <c r="B351" s="10" t="inlineStr">
        <is>
          <t>Talente</t>
        </is>
      </c>
      <c r="C351" s="13" t="inlineStr">
        <is>
          <t>Magus Stufe 2: Luftbeschwörungs-Großmagus</t>
        </is>
      </c>
      <c r="E351" s="10" t="n"/>
      <c r="F351" s="10" t="inlineStr">
        <is>
          <t>Magier</t>
        </is>
      </c>
      <c r="G351" s="10" t="inlineStr">
        <is>
          <t>Auswahl</t>
        </is>
      </c>
      <c r="L351" s="28" t="n">
        <v>12</v>
      </c>
      <c r="Q351" t="inlineStr">
        <is>
          <t>Zaubermaximum +12 für eine Schule. Kann für jede Schule einmal gekauft werden.</t>
        </is>
      </c>
    </row>
    <row r="352" hidden="1" ht="15.75" customHeight="1" s="48">
      <c r="A352" s="29" t="inlineStr">
        <is>
          <t>talente_magus_stufe_2_magiebeschwoerungs_grossmagus</t>
        </is>
      </c>
      <c r="B352" s="10" t="inlineStr">
        <is>
          <t>Talente</t>
        </is>
      </c>
      <c r="C352" s="13" t="inlineStr">
        <is>
          <t>Magus Stufe 2: Magiebeschwörungs-Großmagus</t>
        </is>
      </c>
      <c r="E352" s="10" t="n"/>
      <c r="F352" s="10" t="inlineStr">
        <is>
          <t>Magier</t>
        </is>
      </c>
      <c r="G352" s="10" t="inlineStr">
        <is>
          <t>Auswahl</t>
        </is>
      </c>
      <c r="L352" s="28" t="n">
        <v>12</v>
      </c>
      <c r="Q352" t="inlineStr">
        <is>
          <t>Zaubermaximum +12 für eine Schule. Kann für jede Schule einmal gekauft werden.</t>
        </is>
      </c>
    </row>
    <row r="353" hidden="1" ht="15.75" customHeight="1" s="48">
      <c r="A353" s="29" t="inlineStr">
        <is>
          <t>talente_magus_stufe_2_veraenderungs_grossmagus</t>
        </is>
      </c>
      <c r="B353" s="10" t="inlineStr">
        <is>
          <t>Talente</t>
        </is>
      </c>
      <c r="C353" s="13" t="inlineStr">
        <is>
          <t>Magus Stufe 2: Veränderungs-Großmagus</t>
        </is>
      </c>
      <c r="E353" s="10" t="n"/>
      <c r="F353" s="10" t="inlineStr">
        <is>
          <t>Magier</t>
        </is>
      </c>
      <c r="G353" s="10" t="inlineStr">
        <is>
          <t>Auswahl</t>
        </is>
      </c>
      <c r="L353" s="28" t="n">
        <v>12</v>
      </c>
      <c r="Q353" t="inlineStr">
        <is>
          <t>Zaubermaximum +12 für eine Schule. Kann für jede Schule einmal gekauft werden.</t>
        </is>
      </c>
    </row>
    <row r="354" hidden="1" ht="15.75" customHeight="1" s="48">
      <c r="A354" s="29" t="inlineStr">
        <is>
          <t>talente_magus_stufe_2_verzauberungs_grossmagus</t>
        </is>
      </c>
      <c r="B354" s="10" t="inlineStr">
        <is>
          <t>Talente</t>
        </is>
      </c>
      <c r="C354" s="13" t="inlineStr">
        <is>
          <t>Magus Stufe 2: Verzauberungs-Großmagus</t>
        </is>
      </c>
      <c r="E354" s="10" t="n"/>
      <c r="F354" s="10" t="inlineStr">
        <is>
          <t>Magier</t>
        </is>
      </c>
      <c r="G354" s="10" t="inlineStr">
        <is>
          <t>Auswahl</t>
        </is>
      </c>
      <c r="L354" s="28" t="n">
        <v>12</v>
      </c>
      <c r="Q354" t="inlineStr">
        <is>
          <t>Zaubermaximum +12 für eine Schule. Kann für jede Schule einmal gekauft werden.</t>
        </is>
      </c>
    </row>
    <row r="355" hidden="1" ht="15.75" customHeight="1" s="48">
      <c r="A355" s="29" t="inlineStr">
        <is>
          <t>talente_magus_stufe_2_wasserbeschwoerungs_grossmagus</t>
        </is>
      </c>
      <c r="B355" s="10" t="inlineStr">
        <is>
          <t>Talente</t>
        </is>
      </c>
      <c r="C355" s="13" t="inlineStr">
        <is>
          <t>Magus Stufe 2: Wasserbeschwörungs-Großmagus</t>
        </is>
      </c>
      <c r="E355" s="10" t="n"/>
      <c r="F355" s="10" t="inlineStr">
        <is>
          <t>Magier</t>
        </is>
      </c>
      <c r="G355" s="10" t="inlineStr">
        <is>
          <t>Auswahl</t>
        </is>
      </c>
      <c r="L355" s="28" t="n">
        <v>12</v>
      </c>
      <c r="Q355" t="inlineStr">
        <is>
          <t>Zaubermaximum +12 für eine Schule. Kann für jede Schule einmal gekauft werden.</t>
        </is>
      </c>
    </row>
    <row r="356" hidden="1" ht="15.75" customHeight="1" s="48">
      <c r="A356" s="29" t="inlineStr">
        <is>
          <t>talente_magus_stufe_3_antimagies_erzmagus</t>
        </is>
      </c>
      <c r="B356" s="10" t="inlineStr">
        <is>
          <t>Talente</t>
        </is>
      </c>
      <c r="C356" s="13" t="inlineStr">
        <is>
          <t>Magus Stufe 3: Antimagies-Erzmagus</t>
        </is>
      </c>
      <c r="E356" s="10" t="n"/>
      <c r="F356" s="10" t="inlineStr">
        <is>
          <t>Magier</t>
        </is>
      </c>
      <c r="G356" s="10" t="inlineStr">
        <is>
          <t>Auswahl</t>
        </is>
      </c>
      <c r="L356" s="28" t="n">
        <v>16</v>
      </c>
      <c r="Q356" t="inlineStr">
        <is>
          <t>Zaubermaximum +18 für eine Schule. Kann für jede Schule einmal gekauft werden.</t>
        </is>
      </c>
    </row>
    <row r="357" hidden="1" ht="15.75" customHeight="1" s="48">
      <c r="A357" s="29" t="inlineStr">
        <is>
          <t>talente_magus_stufe_3_beherrschungs_erzmagus</t>
        </is>
      </c>
      <c r="B357" s="10" t="inlineStr">
        <is>
          <t>Talente</t>
        </is>
      </c>
      <c r="C357" s="13" t="inlineStr">
        <is>
          <t>Magus Stufe 3: Beherrschungs-Erzmagus</t>
        </is>
      </c>
      <c r="E357" s="10" t="n"/>
      <c r="F357" s="10" t="inlineStr">
        <is>
          <t>Magier</t>
        </is>
      </c>
      <c r="G357" s="10" t="inlineStr">
        <is>
          <t>Auswahl</t>
        </is>
      </c>
      <c r="L357" s="28" t="n">
        <v>16</v>
      </c>
      <c r="Q357" t="inlineStr">
        <is>
          <t>Zaubermaximum +18 für eine Schule. Kann für jede Schule einmal gekauft werden.</t>
        </is>
      </c>
    </row>
    <row r="358" hidden="1" ht="15.75" customHeight="1" s="48">
      <c r="A358" s="29" t="inlineStr">
        <is>
          <t>talente_magus_stufe_3_erdbeschwoerungs_erzmagus</t>
        </is>
      </c>
      <c r="B358" s="10" t="inlineStr">
        <is>
          <t>Talente</t>
        </is>
      </c>
      <c r="C358" s="13" t="inlineStr">
        <is>
          <t>Magus Stufe 3: Erdbeschwörungs-Erzmagus</t>
        </is>
      </c>
      <c r="E358" s="10" t="n"/>
      <c r="F358" s="10" t="inlineStr">
        <is>
          <t>Magier</t>
        </is>
      </c>
      <c r="G358" s="10" t="inlineStr">
        <is>
          <t>Auswahl</t>
        </is>
      </c>
      <c r="L358" s="28" t="n">
        <v>16</v>
      </c>
      <c r="Q358" t="inlineStr">
        <is>
          <t>Zaubermaximum +18 für eine Schule. Kann für jede Schule einmal gekauft werden.</t>
        </is>
      </c>
    </row>
    <row r="359" hidden="1" ht="15.75" customHeight="1" s="48">
      <c r="A359" s="29" t="inlineStr">
        <is>
          <t>talente_magus_stufe_3_feuerbeschwoerungs_erzmagus</t>
        </is>
      </c>
      <c r="B359" s="10" t="inlineStr">
        <is>
          <t>Talente</t>
        </is>
      </c>
      <c r="C359" s="13" t="inlineStr">
        <is>
          <t>Magus Stufe 3: Feuerbeschwörungs-Erzmagus</t>
        </is>
      </c>
      <c r="E359" s="10" t="n"/>
      <c r="F359" s="10" t="inlineStr">
        <is>
          <t>Magier</t>
        </is>
      </c>
      <c r="G359" s="10" t="inlineStr">
        <is>
          <t>Auswahl</t>
        </is>
      </c>
      <c r="L359" s="28" t="n">
        <v>16</v>
      </c>
      <c r="Q359" t="inlineStr">
        <is>
          <t>Zaubermaximum +18 für eine Schule. Kann für jede Schule einmal gekauft werden.</t>
        </is>
      </c>
    </row>
    <row r="360" hidden="1" ht="15.75" customHeight="1" s="48">
      <c r="A360" s="29" t="inlineStr">
        <is>
          <t>talente_magus_stufe_3_heilungs_erzmagus</t>
        </is>
      </c>
      <c r="B360" s="10" t="inlineStr">
        <is>
          <t>Talente</t>
        </is>
      </c>
      <c r="C360" s="13" t="inlineStr">
        <is>
          <t>Magus Stufe 3: Heilungs-Erzmagus</t>
        </is>
      </c>
      <c r="E360" s="10" t="n"/>
      <c r="F360" s="10" t="inlineStr">
        <is>
          <t>Magier</t>
        </is>
      </c>
      <c r="G360" s="10" t="inlineStr">
        <is>
          <t>Auswahl</t>
        </is>
      </c>
      <c r="L360" s="28" t="n">
        <v>16</v>
      </c>
      <c r="Q360" t="inlineStr">
        <is>
          <t>Zaubermaximum +18 für eine Schule. Kann für jede Schule einmal gekauft werden.</t>
        </is>
      </c>
    </row>
    <row r="361" hidden="1" ht="15.75" customHeight="1" s="48">
      <c r="A361" s="29" t="inlineStr">
        <is>
          <t>talente_magus_stufe_3_hellsicht_erzmagus</t>
        </is>
      </c>
      <c r="B361" s="10" t="inlineStr">
        <is>
          <t>Talente</t>
        </is>
      </c>
      <c r="C361" s="13" t="inlineStr">
        <is>
          <t>Magus Stufe 3: Hellsicht-Erzmagus</t>
        </is>
      </c>
      <c r="E361" s="10" t="n"/>
      <c r="F361" s="10" t="inlineStr">
        <is>
          <t>Magier</t>
        </is>
      </c>
      <c r="G361" s="10" t="inlineStr">
        <is>
          <t>Auswahl</t>
        </is>
      </c>
      <c r="L361" s="28" t="n">
        <v>16</v>
      </c>
      <c r="Q361" t="inlineStr">
        <is>
          <t>Zaubermaximum +18 für eine Schule. Kann für jede Schule einmal gekauft werden.</t>
        </is>
      </c>
    </row>
    <row r="362" hidden="1" ht="15.75" customHeight="1" s="48">
      <c r="A362" s="29" t="inlineStr">
        <is>
          <t>talente_magus_stufe_3_illusions_erzmagus</t>
        </is>
      </c>
      <c r="B362" s="10" t="inlineStr">
        <is>
          <t>Talente</t>
        </is>
      </c>
      <c r="C362" s="13" t="inlineStr">
        <is>
          <t>Magus Stufe 3: Illusions-Erzmagus</t>
        </is>
      </c>
      <c r="E362" s="10" t="n"/>
      <c r="F362" s="10" t="inlineStr">
        <is>
          <t>Magier</t>
        </is>
      </c>
      <c r="G362" s="10" t="inlineStr">
        <is>
          <t>Auswahl</t>
        </is>
      </c>
      <c r="L362" s="28" t="n">
        <v>16</v>
      </c>
      <c r="Q362" t="inlineStr">
        <is>
          <t>Zaubermaximum +18 für eine Schule. Kann für jede Schule einmal gekauft werden.</t>
        </is>
      </c>
    </row>
    <row r="363" hidden="1" ht="15.75" customHeight="1" s="48">
      <c r="A363" s="29" t="inlineStr">
        <is>
          <t>talente_magus_stufe_3_luftbeschwoerungs_erzmagus</t>
        </is>
      </c>
      <c r="B363" s="10" t="inlineStr">
        <is>
          <t>Talente</t>
        </is>
      </c>
      <c r="C363" s="13" t="inlineStr">
        <is>
          <t>Magus Stufe 3: Luftbeschwörungs-Erzmagus</t>
        </is>
      </c>
      <c r="E363" s="10" t="n"/>
      <c r="F363" s="10" t="inlineStr">
        <is>
          <t>Magier</t>
        </is>
      </c>
      <c r="G363" s="10" t="inlineStr">
        <is>
          <t>Auswahl</t>
        </is>
      </c>
      <c r="L363" s="28" t="n">
        <v>16</v>
      </c>
      <c r="Q363" t="inlineStr">
        <is>
          <t>Zaubermaximum +18 für eine Schule. Kann für jede Schule einmal gekauft werden.</t>
        </is>
      </c>
    </row>
    <row r="364" hidden="1" ht="15.75" customHeight="1" s="48">
      <c r="A364" s="29" t="inlineStr">
        <is>
          <t>talente_magus_stufe_3_magiebeschwoerungs_erzmagus</t>
        </is>
      </c>
      <c r="B364" s="10" t="inlineStr">
        <is>
          <t>Talente</t>
        </is>
      </c>
      <c r="C364" s="13" t="inlineStr">
        <is>
          <t>Magus Stufe 3: Magiebeschwörungs-Erzmagus</t>
        </is>
      </c>
      <c r="E364" s="10" t="n"/>
      <c r="F364" s="10" t="inlineStr">
        <is>
          <t>Magier</t>
        </is>
      </c>
      <c r="G364" s="10" t="inlineStr">
        <is>
          <t>Auswahl</t>
        </is>
      </c>
      <c r="L364" s="28" t="n">
        <v>16</v>
      </c>
      <c r="Q364" t="inlineStr">
        <is>
          <t>Zaubermaximum +18 für eine Schule. Kann für jede Schule einmal gekauft werden.</t>
        </is>
      </c>
    </row>
    <row r="365" hidden="1" ht="15.75" customHeight="1" s="48">
      <c r="A365" s="29" t="inlineStr">
        <is>
          <t>talente_magus_stufe_3_veraenderungs_erzmagus</t>
        </is>
      </c>
      <c r="B365" s="10" t="inlineStr">
        <is>
          <t>Talente</t>
        </is>
      </c>
      <c r="C365" s="13" t="inlineStr">
        <is>
          <t>Magus Stufe 3: Veränderungs-Erzmagus</t>
        </is>
      </c>
      <c r="E365" s="10" t="n"/>
      <c r="F365" s="10" t="inlineStr">
        <is>
          <t>Magier</t>
        </is>
      </c>
      <c r="G365" s="10" t="inlineStr">
        <is>
          <t>Auswahl</t>
        </is>
      </c>
      <c r="L365" s="28" t="n">
        <v>16</v>
      </c>
      <c r="Q365" t="inlineStr">
        <is>
          <t>Zaubermaximum +18 für eine Schule. Kann für jede Schule einmal gekauft werden.</t>
        </is>
      </c>
    </row>
    <row r="366" hidden="1" ht="15.75" customHeight="1" s="48">
      <c r="A366" s="29" t="inlineStr">
        <is>
          <t>talente_magus_stufe_3_verzauberungs_erzmagus</t>
        </is>
      </c>
      <c r="B366" s="10" t="inlineStr">
        <is>
          <t>Talente</t>
        </is>
      </c>
      <c r="C366" s="13" t="inlineStr">
        <is>
          <t>Magus Stufe 3: Verzauberungs-Erzmagus</t>
        </is>
      </c>
      <c r="E366" s="10" t="n"/>
      <c r="F366" s="10" t="inlineStr">
        <is>
          <t>Magier</t>
        </is>
      </c>
      <c r="G366" s="10" t="inlineStr">
        <is>
          <t>Auswahl</t>
        </is>
      </c>
      <c r="L366" s="28" t="n">
        <v>16</v>
      </c>
      <c r="Q366" t="inlineStr">
        <is>
          <t>Zaubermaximum +18 für eine Schule. Kann für jede Schule einmal gekauft werden.</t>
        </is>
      </c>
    </row>
    <row r="367" hidden="1" ht="15.75" customHeight="1" s="48">
      <c r="A367" s="29" t="inlineStr">
        <is>
          <t>talente_magus_stufe_3_wasserbeschwoerungs_erzmagus</t>
        </is>
      </c>
      <c r="B367" s="10" t="inlineStr">
        <is>
          <t>Talente</t>
        </is>
      </c>
      <c r="C367" s="13" t="inlineStr">
        <is>
          <t>Magus Stufe 3: Wasserbeschwörungs-Erzmagus</t>
        </is>
      </c>
      <c r="E367" s="10" t="n"/>
      <c r="F367" s="10" t="inlineStr">
        <is>
          <t>Magier</t>
        </is>
      </c>
      <c r="G367" s="10" t="inlineStr">
        <is>
          <t>Auswahl</t>
        </is>
      </c>
      <c r="L367" s="28" t="n">
        <v>16</v>
      </c>
      <c r="Q367" t="inlineStr">
        <is>
          <t>Zaubermaximum +18 für eine Schule. Kann für jede Schule einmal gekauft werden.</t>
        </is>
      </c>
    </row>
    <row r="368" hidden="1" ht="15.75" customHeight="1" s="48">
      <c r="A368" s="29" t="inlineStr">
        <is>
          <t>talente_point_blank_shot</t>
        </is>
      </c>
      <c r="B368" s="10" t="inlineStr">
        <is>
          <t>Talente</t>
        </is>
      </c>
      <c r="C368" s="25" t="inlineStr">
        <is>
          <t>Point-Blank Shot</t>
        </is>
      </c>
      <c r="E368" s="10" t="n"/>
      <c r="F368" s="10" t="inlineStr">
        <is>
          <t>Schütze</t>
        </is>
      </c>
      <c r="G368" s="10" t="inlineStr">
        <is>
          <t>Auswahl</t>
        </is>
      </c>
      <c r="L368" s="28" t="n">
        <v>10</v>
      </c>
      <c r="Q368" t="inlineStr">
        <is>
          <t>Wenn der Schütze im Nahkampf schießt, tut er dies mit einem Sofortschuss statt einem Hüftschuss, das Ziel ist hakenschlagend (insgesamt erschwert um 16).</t>
        </is>
      </c>
    </row>
    <row r="369" hidden="1" ht="15.75" customHeight="1" s="48">
      <c r="A369" s="14" t="inlineStr">
        <is>
          <t>ssk_schrift_felinisch</t>
        </is>
      </c>
      <c r="B369" s="11" t="inlineStr">
        <is>
          <t>Sprache &amp; Kultur</t>
        </is>
      </c>
      <c r="C369" s="21" t="inlineStr">
        <is>
          <t>Feline Hieroglyphen</t>
        </is>
      </c>
      <c r="G369" s="11" t="inlineStr">
        <is>
          <t>Wert</t>
        </is>
      </c>
      <c r="L369" s="28" t="inlineStr">
        <is>
          <t>SVERWEIS(wert;'Sprachstufe-Kosten';2;0)</t>
        </is>
      </c>
    </row>
    <row r="370" hidden="1" ht="15.75" customHeight="1" s="48">
      <c r="A370" s="14" t="inlineStr">
        <is>
          <t>ssk_sprache_drow</t>
        </is>
      </c>
      <c r="B370" s="11" t="inlineStr">
        <is>
          <t>Sprache &amp; Kultur</t>
        </is>
      </c>
      <c r="C370" s="25" t="inlineStr">
        <is>
          <t>Drow</t>
        </is>
      </c>
      <c r="G370" s="11" t="inlineStr">
        <is>
          <t>Wert</t>
        </is>
      </c>
      <c r="L370" s="28" t="inlineStr">
        <is>
          <t>SVERWEIS(wert;'Sprachstufe-Kosten';2;0)</t>
        </is>
      </c>
      <c r="S370" s="1" t="n"/>
    </row>
    <row r="371" hidden="1" ht="15.75" customHeight="1" s="48">
      <c r="A371" s="14" t="inlineStr">
        <is>
          <t>ssk_sprache_elfisch</t>
        </is>
      </c>
      <c r="B371" s="11" t="inlineStr">
        <is>
          <t>Sprache &amp; Kultur</t>
        </is>
      </c>
      <c r="C371" s="25" t="inlineStr">
        <is>
          <t>Elfisch</t>
        </is>
      </c>
      <c r="G371" s="11" t="inlineStr">
        <is>
          <t>Wert</t>
        </is>
      </c>
      <c r="L371" s="28" t="inlineStr">
        <is>
          <t>SVERWEIS(wert;'Sprachstufe-Kosten';2;0)</t>
        </is>
      </c>
    </row>
    <row r="372" hidden="1" ht="15.75" customHeight="1" s="48">
      <c r="A372" s="14" t="inlineStr">
        <is>
          <t>ssk_sprache_gnomisch</t>
        </is>
      </c>
      <c r="B372" s="11" t="inlineStr">
        <is>
          <t>Sprache &amp; Kultur</t>
        </is>
      </c>
      <c r="C372" s="18" t="inlineStr">
        <is>
          <t>Gnomisch</t>
        </is>
      </c>
      <c r="G372" s="11" t="inlineStr">
        <is>
          <t>Wert</t>
        </is>
      </c>
      <c r="L372" s="28" t="inlineStr">
        <is>
          <t>SVERWEIS(wert;'Sprachstufe-Kosten';2;0)</t>
        </is>
      </c>
    </row>
    <row r="373" hidden="1" ht="15.75" customHeight="1" s="48">
      <c r="A373" s="14" t="inlineStr">
        <is>
          <t>ssk_sprache_goblinisch</t>
        </is>
      </c>
      <c r="B373" s="11" t="inlineStr">
        <is>
          <t>Sprache &amp; Kultur</t>
        </is>
      </c>
      <c r="C373" s="25" t="inlineStr">
        <is>
          <t>Goblinisch</t>
        </is>
      </c>
      <c r="G373" s="11" t="inlineStr">
        <is>
          <t>Wert</t>
        </is>
      </c>
      <c r="L373" s="28" t="inlineStr">
        <is>
          <t>SVERWEIS(wert;'Sprachstufe-Kosten';2;0)</t>
        </is>
      </c>
    </row>
    <row r="374" hidden="1" ht="15.75" customHeight="1" s="48">
      <c r="A374" s="14" t="inlineStr">
        <is>
          <t>ssk_sprache_indianisch_10</t>
        </is>
      </c>
      <c r="B374" s="11" t="inlineStr">
        <is>
          <t>Sprache &amp; Kultur</t>
        </is>
      </c>
      <c r="C374" s="25" t="inlineStr">
        <is>
          <t>Indianisch 10</t>
        </is>
      </c>
      <c r="G374" s="11" t="inlineStr">
        <is>
          <t>Wert</t>
        </is>
      </c>
      <c r="L374" s="28" t="inlineStr">
        <is>
          <t>SVERWEIS(wert;'Sprachstufe-Kosten';2;0)</t>
        </is>
      </c>
    </row>
    <row r="375" hidden="1" ht="15.75" customHeight="1" s="48">
      <c r="A375" s="14" t="inlineStr">
        <is>
          <t>ssk_sprache_indianisch_11</t>
        </is>
      </c>
      <c r="B375" s="11" t="inlineStr">
        <is>
          <t>Sprache &amp; Kultur</t>
        </is>
      </c>
      <c r="C375" s="25" t="inlineStr">
        <is>
          <t>Indianisch 11</t>
        </is>
      </c>
      <c r="G375" s="11" t="inlineStr">
        <is>
          <t>Wert</t>
        </is>
      </c>
      <c r="L375" s="28" t="inlineStr">
        <is>
          <t>SVERWEIS(wert;'Sprachstufe-Kosten';2;0)</t>
        </is>
      </c>
    </row>
    <row r="376" hidden="1" ht="15.75" customHeight="1" s="48">
      <c r="A376" s="14" t="inlineStr">
        <is>
          <t>ssk_sprache_indianisch_12</t>
        </is>
      </c>
      <c r="B376" s="11" t="inlineStr">
        <is>
          <t>Sprache &amp; Kultur</t>
        </is>
      </c>
      <c r="C376" s="25" t="inlineStr">
        <is>
          <t>Indianisch 12</t>
        </is>
      </c>
      <c r="G376" s="11" t="inlineStr">
        <is>
          <t>Wert</t>
        </is>
      </c>
      <c r="L376" s="28" t="inlineStr">
        <is>
          <t>SVERWEIS(wert;'Sprachstufe-Kosten';2;0)</t>
        </is>
      </c>
    </row>
    <row r="377" hidden="1" ht="15.75" customHeight="1" s="48">
      <c r="A377" s="14" t="inlineStr">
        <is>
          <t>ssk_sprache_indianisch_5</t>
        </is>
      </c>
      <c r="B377" s="11" t="inlineStr">
        <is>
          <t>Sprache &amp; Kultur</t>
        </is>
      </c>
      <c r="C377" s="25" t="inlineStr">
        <is>
          <t>Indianisch 5</t>
        </is>
      </c>
      <c r="G377" s="11" t="inlineStr">
        <is>
          <t>Wert</t>
        </is>
      </c>
      <c r="L377" s="28" t="inlineStr">
        <is>
          <t>SVERWEIS(wert;'Sprachstufe-Kosten';2;0)</t>
        </is>
      </c>
    </row>
    <row r="378" hidden="1" ht="15.75" customHeight="1" s="48">
      <c r="A378" s="14" t="inlineStr">
        <is>
          <t>ssk_sprache_indianisch_6</t>
        </is>
      </c>
      <c r="B378" s="11" t="inlineStr">
        <is>
          <t>Sprache &amp; Kultur</t>
        </is>
      </c>
      <c r="C378" s="25" t="inlineStr">
        <is>
          <t>Indianisch 6</t>
        </is>
      </c>
      <c r="G378" s="11" t="inlineStr">
        <is>
          <t>Wert</t>
        </is>
      </c>
      <c r="L378" s="28" t="inlineStr">
        <is>
          <t>SVERWEIS(wert;'Sprachstufe-Kosten';2;0)</t>
        </is>
      </c>
    </row>
    <row r="379" hidden="1" ht="15.75" customHeight="1" s="48">
      <c r="A379" s="14" t="inlineStr">
        <is>
          <t>ssk_sprache_indianisch_7</t>
        </is>
      </c>
      <c r="B379" s="11" t="inlineStr">
        <is>
          <t>Sprache &amp; Kultur</t>
        </is>
      </c>
      <c r="C379" s="25" t="inlineStr">
        <is>
          <t>Indianisch 7</t>
        </is>
      </c>
      <c r="G379" s="11" t="inlineStr">
        <is>
          <t>Wert</t>
        </is>
      </c>
      <c r="L379" s="28" t="inlineStr">
        <is>
          <t>SVERWEIS(wert;'Sprachstufe-Kosten';2;0)</t>
        </is>
      </c>
    </row>
    <row r="380" hidden="1" ht="15.75" customHeight="1" s="48">
      <c r="A380" s="14" t="inlineStr">
        <is>
          <t>ssk_sprache_indianisch_8</t>
        </is>
      </c>
      <c r="B380" s="11" t="inlineStr">
        <is>
          <t>Sprache &amp; Kultur</t>
        </is>
      </c>
      <c r="C380" s="25" t="inlineStr">
        <is>
          <t>Indianisch 8</t>
        </is>
      </c>
      <c r="G380" s="11" t="inlineStr">
        <is>
          <t>Wert</t>
        </is>
      </c>
      <c r="L380" s="28" t="inlineStr">
        <is>
          <t>SVERWEIS(wert;'Sprachstufe-Kosten';2;0)</t>
        </is>
      </c>
    </row>
    <row r="381" hidden="1" ht="15.75" customHeight="1" s="48">
      <c r="A381" s="14" t="inlineStr">
        <is>
          <t>ssk_sprache_indianisch_9</t>
        </is>
      </c>
      <c r="B381" s="11" t="inlineStr">
        <is>
          <t>Sprache &amp; Kultur</t>
        </is>
      </c>
      <c r="C381" s="25" t="inlineStr">
        <is>
          <t>Indianisch 9</t>
        </is>
      </c>
      <c r="G381" s="11" t="inlineStr">
        <is>
          <t>Wert</t>
        </is>
      </c>
      <c r="L381" s="28" t="inlineStr">
        <is>
          <t>SVERWEIS(wert;'Sprachstufe-Kosten';2;0)</t>
        </is>
      </c>
    </row>
    <row r="382" hidden="1" ht="15.75" customHeight="1" s="48">
      <c r="A382" s="14" t="inlineStr">
        <is>
          <t>ssk_sprache_felinisch</t>
        </is>
      </c>
      <c r="B382" s="11" t="inlineStr">
        <is>
          <t>Sprache &amp; Kultur</t>
        </is>
      </c>
      <c r="C382" s="25" t="inlineStr">
        <is>
          <t>Felinisch</t>
        </is>
      </c>
      <c r="G382" s="11" t="inlineStr">
        <is>
          <t>Wert</t>
        </is>
      </c>
      <c r="L382" s="28" t="inlineStr">
        <is>
          <t>SVERWEIS(wert;'Sprachstufe-Kosten';2;0)</t>
        </is>
      </c>
    </row>
    <row r="383" hidden="1" ht="15.75" customHeight="1" s="48">
      <c r="A383" s="14" t="inlineStr">
        <is>
          <t>ssk_sprache_orkisch</t>
        </is>
      </c>
      <c r="B383" s="11" t="inlineStr">
        <is>
          <t>Sprache &amp; Kultur</t>
        </is>
      </c>
      <c r="C383" s="21" t="inlineStr">
        <is>
          <t>Orkisch</t>
        </is>
      </c>
      <c r="G383" s="11" t="inlineStr">
        <is>
          <t>Wert</t>
        </is>
      </c>
      <c r="L383" s="28" t="inlineStr">
        <is>
          <t>SVERWEIS(wert;'Sprachstufe-Kosten';2;0)</t>
        </is>
      </c>
    </row>
    <row r="384" hidden="1" ht="15.75" customHeight="1" s="48">
      <c r="A384" s="14" t="inlineStr">
        <is>
          <t>ssk_sprache_trollisch</t>
        </is>
      </c>
      <c r="B384" s="11" t="inlineStr">
        <is>
          <t>Sprache &amp; Kultur</t>
        </is>
      </c>
      <c r="C384" s="18" t="inlineStr">
        <is>
          <t>Trollisch</t>
        </is>
      </c>
      <c r="G384" s="11" t="inlineStr">
        <is>
          <t>Wert</t>
        </is>
      </c>
      <c r="L384" s="28" t="inlineStr">
        <is>
          <t>SVERWEIS(wert;'Sprachstufe-Kosten';2;0)</t>
        </is>
      </c>
    </row>
    <row r="385" hidden="1" ht="15.75" customHeight="1" s="48">
      <c r="A385" s="14" t="inlineStr">
        <is>
          <t>ssk_sprache_zwergisch</t>
        </is>
      </c>
      <c r="B385" s="11" t="inlineStr">
        <is>
          <t>Sprache &amp; Kultur</t>
        </is>
      </c>
      <c r="C385" s="12" t="inlineStr">
        <is>
          <t>Zwergisch</t>
        </is>
      </c>
      <c r="G385" s="11" t="inlineStr">
        <is>
          <t>Wert</t>
        </is>
      </c>
      <c r="L385" s="28" t="inlineStr">
        <is>
          <t>SVERWEIS(wert;'Sprachstufe-Kosten';2;0)</t>
        </is>
      </c>
    </row>
    <row r="386" hidden="1" ht="15.75" customHeight="1" s="48">
      <c r="A386" s="14" t="inlineStr">
        <is>
          <t>ssk_sprache_straitmor_indianisch</t>
        </is>
      </c>
      <c r="B386" s="11" t="inlineStr">
        <is>
          <t>Sprache &amp; Kultur</t>
        </is>
      </c>
      <c r="C386" s="25" t="inlineStr">
        <is>
          <t>Straitmor-Indianisch</t>
        </is>
      </c>
      <c r="G386" s="11" t="inlineStr">
        <is>
          <t>Wert</t>
        </is>
      </c>
      <c r="L386" s="28" t="inlineStr">
        <is>
          <t>SVERWEIS(wert;'Sprachstufe-Kosten';2;0)</t>
        </is>
      </c>
    </row>
    <row r="387" hidden="1" ht="15.75" customHeight="1" s="48">
      <c r="A387" s="14" t="inlineStr">
        <is>
          <t>ssk_sprache_doxmox_indianisch</t>
        </is>
      </c>
      <c r="B387" s="11" t="inlineStr">
        <is>
          <t>Sprache &amp; Kultur</t>
        </is>
      </c>
      <c r="C387" s="25" t="inlineStr">
        <is>
          <t>Doxmox-Indianisch</t>
        </is>
      </c>
      <c r="G387" s="11" t="inlineStr">
        <is>
          <t>Wert</t>
        </is>
      </c>
      <c r="L387" s="28" t="inlineStr">
        <is>
          <t>SVERWEIS(wert;'Sprachstufe-Kosten';2;0)</t>
        </is>
      </c>
    </row>
    <row r="388" hidden="1" ht="15.75" customHeight="1" s="48">
      <c r="A388" s="14" t="inlineStr">
        <is>
          <t>ssk_sprache_pakagee_indianisch</t>
        </is>
      </c>
      <c r="B388" s="11" t="inlineStr">
        <is>
          <t>Sprache &amp; Kultur</t>
        </is>
      </c>
      <c r="C388" s="25" t="inlineStr">
        <is>
          <t>Pakagee-Indianisch</t>
        </is>
      </c>
      <c r="G388" s="11" t="inlineStr">
        <is>
          <t>Wert</t>
        </is>
      </c>
      <c r="L388" s="28" t="inlineStr">
        <is>
          <t>SVERWEIS(wert;'Sprachstufe-Kosten';2;0)</t>
        </is>
      </c>
    </row>
    <row r="389" hidden="1" ht="15.75" customHeight="1" s="48">
      <c r="A389" s="14" t="inlineStr">
        <is>
          <t>ssk_sprache_sindyala_indianisch</t>
        </is>
      </c>
      <c r="B389" s="11" t="inlineStr">
        <is>
          <t>Sprache &amp; Kultur</t>
        </is>
      </c>
      <c r="C389" s="25" t="inlineStr">
        <is>
          <t>Sindyala-Indianisch</t>
        </is>
      </c>
      <c r="G389" s="11" t="inlineStr">
        <is>
          <t>Wert</t>
        </is>
      </c>
      <c r="L389" s="28" t="inlineStr">
        <is>
          <t>SVERWEIS(wert;'Sprachstufe-Kosten';2;0)</t>
        </is>
      </c>
    </row>
    <row r="390" hidden="1" ht="15.75" customHeight="1" s="48">
      <c r="A390" s="14" t="inlineStr">
        <is>
          <t>ssk_sprache_insel_dalkin</t>
        </is>
      </c>
      <c r="B390" s="11" t="inlineStr">
        <is>
          <t>Sprache &amp; Kultur</t>
        </is>
      </c>
      <c r="C390" s="25" t="inlineStr">
        <is>
          <t>Insel-Dalkin</t>
        </is>
      </c>
      <c r="G390" s="11" t="inlineStr">
        <is>
          <t>Wert</t>
        </is>
      </c>
      <c r="L390" s="28" t="inlineStr">
        <is>
          <t>SVERWEIS(wert;'Sprachstufe-Kosten';2;0)</t>
        </is>
      </c>
    </row>
    <row r="391" hidden="1" ht="15.75" customHeight="1" s="48">
      <c r="A391" s="14" t="inlineStr">
        <is>
          <t>ssk_sprache_insel_dalkinisch</t>
        </is>
      </c>
      <c r="B391" s="11" t="inlineStr">
        <is>
          <t>Sprache &amp; Kultur</t>
        </is>
      </c>
      <c r="C391" s="21" t="inlineStr">
        <is>
          <t>Insel-Dalkinisch</t>
        </is>
      </c>
      <c r="G391" s="11" t="inlineStr">
        <is>
          <t>Wert</t>
        </is>
      </c>
      <c r="L391" s="28" t="inlineStr">
        <is>
          <t>SVERWEIS(wert;'Sprachstufe-Kosten';2;0)</t>
        </is>
      </c>
    </row>
    <row r="392" hidden="1" ht="15.75" customHeight="1" s="48">
      <c r="A392" s="14" t="inlineStr">
        <is>
          <t>ssk_sprache_reichs_dalkin</t>
        </is>
      </c>
      <c r="B392" s="11" t="inlineStr">
        <is>
          <t>Sprache &amp; Kultur</t>
        </is>
      </c>
      <c r="C392" s="25" t="inlineStr">
        <is>
          <t>Reichs-Dalkin</t>
        </is>
      </c>
      <c r="G392" s="11" t="inlineStr">
        <is>
          <t>Wert</t>
        </is>
      </c>
      <c r="L392" s="28" t="inlineStr">
        <is>
          <t>SVERWEIS(wert;'Sprachstufe-Kosten';2;0)</t>
        </is>
      </c>
    </row>
    <row r="393" hidden="1" ht="15.75" customHeight="1" s="48">
      <c r="A393" s="14" t="inlineStr">
        <is>
          <t>ssk_schrift_dalkini</t>
        </is>
      </c>
      <c r="B393" s="11" t="inlineStr">
        <is>
          <t>Sprache &amp; Kultur</t>
        </is>
      </c>
      <c r="C393" s="21" t="inlineStr">
        <is>
          <t>Dalkinische Schrift</t>
        </is>
      </c>
      <c r="G393" s="11" t="inlineStr">
        <is>
          <t>Wert</t>
        </is>
      </c>
      <c r="L393" s="28" t="inlineStr">
        <is>
          <t>SVERWEIS(wert;'Sprachstufe-Kosten';2;0)</t>
        </is>
      </c>
    </row>
    <row r="394" hidden="1" ht="15.75" customHeight="1" s="48">
      <c r="A394" s="14" t="inlineStr">
        <is>
          <t>ssk_schrift_elfen</t>
        </is>
      </c>
      <c r="B394" s="11" t="inlineStr">
        <is>
          <t>Sprache &amp; Kultur</t>
        </is>
      </c>
      <c r="C394" s="25" t="inlineStr">
        <is>
          <t>Elfische Schrift</t>
        </is>
      </c>
      <c r="G394" s="11" t="inlineStr">
        <is>
          <t>Wert</t>
        </is>
      </c>
      <c r="L394" s="28" t="inlineStr">
        <is>
          <t>SVERWEIS(wert;'Sprachstufe-Kosten';2;0)</t>
        </is>
      </c>
    </row>
    <row r="395" hidden="1" ht="15.75" customHeight="1" s="48">
      <c r="A395" s="14" t="inlineStr">
        <is>
          <t>ssk_schrift_gnome</t>
        </is>
      </c>
      <c r="B395" s="11" t="inlineStr">
        <is>
          <t>Sprache &amp; Kultur</t>
        </is>
      </c>
      <c r="C395" s="18" t="inlineStr">
        <is>
          <t>Gnomische Schrift</t>
        </is>
      </c>
      <c r="G395" s="11" t="inlineStr">
        <is>
          <t>Wert</t>
        </is>
      </c>
      <c r="L395" s="28" t="inlineStr">
        <is>
          <t>SVERWEIS(wert;'Sprachstufe-Kosten';2;0)</t>
        </is>
      </c>
    </row>
    <row r="396" hidden="1" ht="15.75" customHeight="1" s="48">
      <c r="A396" s="14" t="inlineStr">
        <is>
          <t>ssk_schrift_zwerge</t>
        </is>
      </c>
      <c r="B396" s="11" t="inlineStr">
        <is>
          <t>Sprache &amp; Kultur</t>
        </is>
      </c>
      <c r="C396" s="25" t="inlineStr">
        <is>
          <t>Zwergische Schrift</t>
        </is>
      </c>
      <c r="G396" s="11" t="inlineStr">
        <is>
          <t>Wert</t>
        </is>
      </c>
      <c r="L396" s="28" t="inlineStr">
        <is>
          <t>SVERWEIS(wert;'Sprachstufe-Kosten';2;0)</t>
        </is>
      </c>
    </row>
    <row r="397" hidden="1" ht="15.75" customHeight="1" s="48">
      <c r="A397" s="29" t="inlineStr">
        <is>
          <t>vn_krankheit_i</t>
        </is>
      </c>
      <c r="B397" s="11" t="inlineStr">
        <is>
          <t>Vor- und Nachteile</t>
        </is>
      </c>
      <c r="C397" s="23" t="inlineStr">
        <is>
          <t>Krankheit I</t>
        </is>
      </c>
      <c r="G397" s="11" t="inlineStr">
        <is>
          <t>Auswahl</t>
        </is>
      </c>
      <c r="J397" t="inlineStr">
        <is>
          <t>Wird vom Meister vergeben, kein EP-Gewinn für den Spieler. Platzhalter - konkrete Krankheit muss noch inhaltlich entwickelt werden.</t>
        </is>
      </c>
      <c r="L397" s="28" t="n">
        <v>0</v>
      </c>
    </row>
    <row r="398" hidden="1" ht="15.75" customHeight="1" s="48">
      <c r="A398" s="29" t="inlineStr">
        <is>
          <t>vn_krankheit_ii</t>
        </is>
      </c>
      <c r="B398" s="11" t="inlineStr">
        <is>
          <t>Vor- und Nachteile</t>
        </is>
      </c>
      <c r="C398" s="23" t="inlineStr">
        <is>
          <t>Krankheit II</t>
        </is>
      </c>
      <c r="G398" s="11" t="inlineStr">
        <is>
          <t>Auswahl</t>
        </is>
      </c>
      <c r="J398" t="inlineStr">
        <is>
          <t>Wird vom Meister vergeben, kein EP-Gewinn für den Spieler. Platzhalter - konkrete Krankheit muss noch inhaltlich entwickelt werden.</t>
        </is>
      </c>
      <c r="L398" s="28" t="n">
        <v>0</v>
      </c>
    </row>
    <row r="399" hidden="1" ht="15.75" customHeight="1" s="48">
      <c r="A399" s="29" t="inlineStr">
        <is>
          <t>vn_krankheit_iii</t>
        </is>
      </c>
      <c r="B399" s="11" t="inlineStr">
        <is>
          <t>Vor- und Nachteile</t>
        </is>
      </c>
      <c r="C399" s="23" t="inlineStr">
        <is>
          <t>Krankheit III</t>
        </is>
      </c>
      <c r="G399" s="11" t="inlineStr">
        <is>
          <t>Auswahl</t>
        </is>
      </c>
      <c r="J399" t="inlineStr">
        <is>
          <t>Wird vom Meister vergeben, kein EP-Gewinn für den Spieler. Platzhalter - konkrete Krankheit muss noch inhaltlich entwickelt werden.</t>
        </is>
      </c>
      <c r="L399" s="28" t="n">
        <v>0</v>
      </c>
    </row>
    <row r="400" hidden="1" ht="15.75" customHeight="1" s="48">
      <c r="A400" s="29" t="inlineStr">
        <is>
          <t>vn_krankheit_iv</t>
        </is>
      </c>
      <c r="B400" s="11" t="inlineStr">
        <is>
          <t>Vor- und Nachteile</t>
        </is>
      </c>
      <c r="C400" s="23" t="inlineStr">
        <is>
          <t>Krankheit IV</t>
        </is>
      </c>
      <c r="G400" s="11" t="inlineStr">
        <is>
          <t>Auswahl</t>
        </is>
      </c>
      <c r="J400" t="inlineStr">
        <is>
          <t>Wird vom Meister vergeben, kein EP-Gewinn für den Spieler. Platzhalter - konkrete Krankheit muss noch inhaltlich entwickelt werden.</t>
        </is>
      </c>
      <c r="L400" s="28" t="n">
        <v>0</v>
      </c>
    </row>
    <row r="401" hidden="1" ht="15.75" customHeight="1" s="48">
      <c r="A401" s="29" t="inlineStr">
        <is>
          <t>vn_krankheit_v</t>
        </is>
      </c>
      <c r="B401" s="11" t="inlineStr">
        <is>
          <t>Vor- und Nachteile</t>
        </is>
      </c>
      <c r="C401" s="23" t="inlineStr">
        <is>
          <t>Krankheit V</t>
        </is>
      </c>
      <c r="G401" s="11" t="inlineStr">
        <is>
          <t>Auswahl</t>
        </is>
      </c>
      <c r="J401" t="inlineStr">
        <is>
          <t>Wird vom Meister vergeben, kein EP-Gewinn für den Spieler. Platzhalter - konkrete Krankheit muss noch inhaltlich entwickelt werden.</t>
        </is>
      </c>
      <c r="L401" s="28" t="n">
        <v>0</v>
      </c>
    </row>
    <row r="402" hidden="1" ht="15.75" customHeight="1" s="48">
      <c r="A402" s="29" t="inlineStr">
        <is>
          <t>vn_krankheit_vi</t>
        </is>
      </c>
      <c r="B402" s="11" t="inlineStr">
        <is>
          <t>Vor- und Nachteile</t>
        </is>
      </c>
      <c r="C402" s="23" t="inlineStr">
        <is>
          <t>Krankheit VI</t>
        </is>
      </c>
      <c r="G402" s="11" t="inlineStr">
        <is>
          <t>Auswahl</t>
        </is>
      </c>
      <c r="J402" t="inlineStr">
        <is>
          <t>Wird vom Meister vergeben, kein EP-Gewinn für den Spieler. Platzhalter - konkrete Krankheit muss noch inhaltlich entwickelt werden.</t>
        </is>
      </c>
      <c r="L402" s="28" t="n">
        <v>0</v>
      </c>
    </row>
    <row r="403" hidden="1" ht="15.75" customHeight="1" s="48">
      <c r="A403" s="29" t="inlineStr">
        <is>
          <t>vn_krankheit_vii</t>
        </is>
      </c>
      <c r="B403" s="11" t="inlineStr">
        <is>
          <t>Vor- und Nachteile</t>
        </is>
      </c>
      <c r="C403" s="23" t="inlineStr">
        <is>
          <t>Krankheit VII</t>
        </is>
      </c>
      <c r="G403" s="11" t="inlineStr">
        <is>
          <t>Auswahl</t>
        </is>
      </c>
      <c r="J403" t="inlineStr">
        <is>
          <t>Wird vom Meister vergeben, kein EP-Gewinn für den Spieler. Platzhalter - konkrete Krankheit muss noch inhaltlich entwickelt werden.</t>
        </is>
      </c>
      <c r="L403" s="28" t="n">
        <v>0</v>
      </c>
    </row>
    <row r="404" hidden="1" ht="15.75" customHeight="1" s="48">
      <c r="A404" s="29" t="inlineStr">
        <is>
          <t>vn_krankheit_asthma</t>
        </is>
      </c>
      <c r="B404" s="11" t="inlineStr">
        <is>
          <t>Vor- und Nachteile</t>
        </is>
      </c>
      <c r="C404" s="23" t="inlineStr">
        <is>
          <t>Krankheit: Asthma</t>
        </is>
      </c>
      <c r="G404" s="11" t="inlineStr">
        <is>
          <t>Auswahl</t>
        </is>
      </c>
      <c r="J404" t="inlineStr">
        <is>
          <t>Wird vom Meister vergeben, kein EP-Gewinn für den Spieler. Platzhalter - konkrete Krankheit muss noch inhaltlich entwickelt werden.</t>
        </is>
      </c>
      <c r="L404" s="28" t="n">
        <v>0</v>
      </c>
    </row>
    <row r="405" hidden="1" ht="15.75" customHeight="1" s="48">
      <c r="A405" s="29" t="inlineStr">
        <is>
          <t>bewegung_f_hochsprung</t>
        </is>
      </c>
      <c r="B405" s="11" t="inlineStr">
        <is>
          <t>Bewegung</t>
        </is>
      </c>
      <c r="C405" s="12" t="inlineStr">
        <is>
          <t>Hochsprung</t>
        </is>
      </c>
      <c r="E405" s="11" t="inlineStr">
        <is>
          <t>Meisterscreen S.3</t>
        </is>
      </c>
      <c r="G405" s="11" t="inlineStr">
        <is>
          <t>Formel</t>
        </is>
      </c>
      <c r="H405" s="11" t="inlineStr">
        <is>
          <t>(eig_k_staerke+eig_k_schnelligkeit+gr_springen)/40</t>
        </is>
      </c>
    </row>
    <row r="406" hidden="1" ht="15.75" customHeight="1" s="48">
      <c r="A406" s="29" t="inlineStr">
        <is>
          <t>bewegung_f_weitsprung_aus_dem_stand</t>
        </is>
      </c>
      <c r="B406" s="11" t="inlineStr">
        <is>
          <t>Bewegung</t>
        </is>
      </c>
      <c r="C406" s="12" t="inlineStr">
        <is>
          <t>Weitsprung aus dem Stand</t>
        </is>
      </c>
      <c r="E406" s="11" t="inlineStr">
        <is>
          <t>Meisterscreen S.3</t>
        </is>
      </c>
      <c r="G406" s="11" t="inlineStr">
        <is>
          <t>Formel</t>
        </is>
      </c>
      <c r="H406" s="11" t="inlineStr">
        <is>
          <t>(eig_k_staerke+eig_k_schnelligkeit+gr_springen)/13+1</t>
        </is>
      </c>
    </row>
    <row r="407" hidden="1" ht="15.75" customHeight="1" s="48">
      <c r="A407" s="29" t="inlineStr">
        <is>
          <t>bewegung_f_weitsprung_kurzer_anlauf</t>
        </is>
      </c>
      <c r="B407" s="11" t="inlineStr">
        <is>
          <t>Bewegung</t>
        </is>
      </c>
      <c r="C407" s="12" t="inlineStr">
        <is>
          <t>Weitsprung kurzer Anlauf</t>
        </is>
      </c>
      <c r="E407" s="11" t="inlineStr">
        <is>
          <t>Meisterscreen S.3</t>
        </is>
      </c>
      <c r="G407" s="11" t="inlineStr">
        <is>
          <t>Formel</t>
        </is>
      </c>
      <c r="H407" s="11" t="inlineStr">
        <is>
          <t>(eig_k_staerke+eig_k_schnelligkeit+gr_springen)/8+1</t>
        </is>
      </c>
    </row>
    <row r="408" hidden="1" ht="15.75" customHeight="1" s="48">
      <c r="A408" s="29" t="inlineStr">
        <is>
          <t>bewegung_f_weitsprung_optimaler_anlauf</t>
        </is>
      </c>
      <c r="B408" s="11" t="inlineStr">
        <is>
          <t>Bewegung</t>
        </is>
      </c>
      <c r="C408" s="6" t="inlineStr">
        <is>
          <t>Weitsprung optimaler Anlauf</t>
        </is>
      </c>
      <c r="E408" s="11" t="inlineStr">
        <is>
          <t>Meisterscreen S.3</t>
        </is>
      </c>
      <c r="G408" s="11" t="inlineStr">
        <is>
          <t>Formel</t>
        </is>
      </c>
      <c r="H408" s="11" t="inlineStr">
        <is>
          <t>(eig_k_staerke+eig_k_athletik+gr_springen)/6+1</t>
        </is>
      </c>
    </row>
    <row r="409" hidden="1" ht="15.75" customHeight="1" s="48">
      <c r="A409" s="29" t="inlineStr">
        <is>
          <t>bewegung_f_freiklettern</t>
        </is>
      </c>
      <c r="B409" s="11" t="inlineStr">
        <is>
          <t>Bewegung</t>
        </is>
      </c>
      <c r="C409" s="12" t="inlineStr">
        <is>
          <t>Freiklettern</t>
        </is>
      </c>
      <c r="E409" s="11" t="inlineStr">
        <is>
          <t>Meisterscreen S.3</t>
        </is>
      </c>
      <c r="G409" s="11" t="inlineStr">
        <is>
          <t>Formel</t>
        </is>
      </c>
      <c r="H409" s="11" t="inlineStr">
        <is>
          <t>(eig_k_staerke+eig_bonus_k_geschicklichkeit+eig_k_schnelligkeit+8*gr_klettern)/300</t>
        </is>
      </c>
    </row>
    <row r="410" hidden="1" ht="15.75" customHeight="1" s="48">
      <c r="A410" s="29" t="inlineStr">
        <is>
          <t>bewegung_f_geschirrklettern</t>
        </is>
      </c>
      <c r="B410" s="11" t="inlineStr">
        <is>
          <t>Bewegung</t>
        </is>
      </c>
      <c r="C410" s="12" t="inlineStr">
        <is>
          <t>Geschirrklettern</t>
        </is>
      </c>
      <c r="E410" s="11" t="inlineStr">
        <is>
          <t>Meisterscreen S.3</t>
        </is>
      </c>
      <c r="G410" s="11" t="inlineStr">
        <is>
          <t>Formel</t>
        </is>
      </c>
      <c r="H410" s="11" t="inlineStr">
        <is>
          <t>(eig_k_staerke+eig_bonus_k_geschicklichkeit+eig_g_intelligenz+63*gr_klettern)/9000</t>
        </is>
      </c>
    </row>
    <row r="411" hidden="1" ht="15.75" customHeight="1" s="48">
      <c r="A411" s="29" t="inlineStr">
        <is>
          <t>bewegung_f_dauerlauf</t>
        </is>
      </c>
      <c r="B411" s="11" t="inlineStr">
        <is>
          <t>Bewegung</t>
        </is>
      </c>
      <c r="C411" s="7" t="inlineStr">
        <is>
          <t>Dauerlauf</t>
        </is>
      </c>
      <c r="E411" s="10" t="inlineStr">
        <is>
          <t>S.2</t>
        </is>
      </c>
      <c r="F411" s="10" t="n"/>
      <c r="G411" s="10" t="inlineStr">
        <is>
          <t>Formel</t>
        </is>
      </c>
      <c r="H411" s="11" t="inlineStr">
        <is>
          <t>(eig_k_konstitution+eig_k_athletik+gr_laufen)/9+1</t>
        </is>
      </c>
    </row>
    <row r="412" hidden="1" ht="15.75" customHeight="1" s="48">
      <c r="A412" s="29" t="inlineStr">
        <is>
          <t>bewegung_fix_langsam_schwimmen</t>
        </is>
      </c>
      <c r="B412" s="11" t="inlineStr">
        <is>
          <t>Bewegung</t>
        </is>
      </c>
      <c r="C412" s="12" t="inlineStr">
        <is>
          <t>Langsam Schwimmen</t>
        </is>
      </c>
      <c r="E412" s="11" t="inlineStr">
        <is>
          <t>Meisterscreen S.3</t>
        </is>
      </c>
      <c r="G412" s="11" t="inlineStr">
        <is>
          <t>Fixwert</t>
        </is>
      </c>
      <c r="H412" s="11" t="inlineStr">
        <is>
          <t>0,3 m/s</t>
        </is>
      </c>
    </row>
    <row r="413" hidden="1" ht="15.75" customHeight="1" s="48">
      <c r="A413" s="29" t="inlineStr">
        <is>
          <t>bewegung_fix_marschieren</t>
        </is>
      </c>
      <c r="B413" s="11" t="inlineStr">
        <is>
          <t>Bewegung</t>
        </is>
      </c>
      <c r="C413" s="12" t="inlineStr">
        <is>
          <t>Marschieren</t>
        </is>
      </c>
      <c r="E413" s="11" t="inlineStr">
        <is>
          <t>Meisterscreen S.3</t>
        </is>
      </c>
      <c r="G413" s="11" t="inlineStr">
        <is>
          <t>Fixwert</t>
        </is>
      </c>
      <c r="H413" s="11" t="inlineStr">
        <is>
          <t>1,5 m/s</t>
        </is>
      </c>
    </row>
    <row r="414" hidden="1" ht="15.75" customHeight="1" s="48">
      <c r="A414" s="29" t="inlineStr">
        <is>
          <t>bewegung_fix_reiten_galopp</t>
        </is>
      </c>
      <c r="B414" s="11" t="inlineStr">
        <is>
          <t>Bewegung</t>
        </is>
      </c>
      <c r="C414" s="12" t="inlineStr">
        <is>
          <t>Reiten Galopp</t>
        </is>
      </c>
      <c r="E414" s="11" t="inlineStr">
        <is>
          <t>Meisterscreen S.3</t>
        </is>
      </c>
      <c r="G414" s="11" t="inlineStr">
        <is>
          <t>Fixwert</t>
        </is>
      </c>
      <c r="H414" s="11" t="inlineStr">
        <is>
          <t>je nach Pferd, ca. 10-15</t>
        </is>
      </c>
    </row>
    <row r="415" hidden="1" ht="15.75" customHeight="1" s="48">
      <c r="A415" s="29" t="inlineStr">
        <is>
          <t>bewegung_fix_reiten_reisetempo</t>
        </is>
      </c>
      <c r="B415" s="11" t="inlineStr">
        <is>
          <t>Bewegung</t>
        </is>
      </c>
      <c r="C415" s="12" t="inlineStr">
        <is>
          <t>Reiten Reisetempo</t>
        </is>
      </c>
      <c r="E415" s="11" t="inlineStr">
        <is>
          <t>Meisterscreen S.3</t>
        </is>
      </c>
      <c r="G415" s="11" t="inlineStr">
        <is>
          <t>Fixwert</t>
        </is>
      </c>
      <c r="H415" s="11" t="inlineStr">
        <is>
          <t>2 m/s</t>
        </is>
      </c>
    </row>
    <row r="416" hidden="1" ht="15.75" customHeight="1" s="48">
      <c r="A416" s="29" t="inlineStr">
        <is>
          <t>bewegung_fix_schnell_gehen</t>
        </is>
      </c>
      <c r="B416" s="11" t="inlineStr">
        <is>
          <t>Bewegung</t>
        </is>
      </c>
      <c r="C416" s="12" t="inlineStr">
        <is>
          <t>Schnell Gehen</t>
        </is>
      </c>
      <c r="E416" s="11" t="inlineStr">
        <is>
          <t>Meisterscreen S.3</t>
        </is>
      </c>
      <c r="G416" s="11" t="inlineStr">
        <is>
          <t>Fixwert</t>
        </is>
      </c>
      <c r="H416" s="11" t="inlineStr">
        <is>
          <t>2,5 m/s</t>
        </is>
      </c>
    </row>
    <row r="417" hidden="1" ht="15.75" customHeight="1" s="48">
      <c r="A417" s="29" t="inlineStr">
        <is>
          <t>bewegung_fix_ueber_wasser_bleiben</t>
        </is>
      </c>
      <c r="B417" s="11" t="inlineStr">
        <is>
          <t>Bewegung</t>
        </is>
      </c>
      <c r="C417" s="12" t="inlineStr">
        <is>
          <t>Über Wasser bleiben</t>
        </is>
      </c>
      <c r="E417" s="11" t="inlineStr">
        <is>
          <t>Meisterscreen S.3</t>
        </is>
      </c>
      <c r="G417" s="11" t="inlineStr">
        <is>
          <t>Fixwert</t>
        </is>
      </c>
      <c r="H417" s="11" t="inlineStr">
        <is>
          <t>0,01 m/s</t>
        </is>
      </c>
    </row>
    <row r="418" hidden="1" ht="15.75" customHeight="1" s="48">
      <c r="A418" s="29" t="inlineStr">
        <is>
          <t>macht</t>
        </is>
      </c>
      <c r="B418" s="11" t="inlineStr">
        <is>
          <t>Charakterwerte</t>
        </is>
      </c>
      <c r="C418" s="7" t="inlineStr">
        <is>
          <t>Macht</t>
        </is>
      </c>
      <c r="D418" s="11" t="inlineStr">
        <is>
          <t>(M)</t>
        </is>
      </c>
      <c r="E418" s="10" t="inlineStr">
        <is>
          <t>S.1</t>
        </is>
      </c>
      <c r="F418" s="10" t="n"/>
      <c r="G418" s="10" t="inlineStr">
        <is>
          <t>Formel</t>
        </is>
      </c>
      <c r="H418" s="11" t="inlineStr">
        <is>
          <t>att_aura+att_magie+att_weisheit+att_karma+kreis+eig_bonus_g_willenskraft</t>
        </is>
      </c>
    </row>
    <row r="419" hidden="1" ht="15.75" customHeight="1" s="48">
      <c r="A419" s="29" t="inlineStr">
        <is>
          <t>dublonen_bank</t>
        </is>
      </c>
      <c r="B419" s="11" t="inlineStr">
        <is>
          <t>Charakterwerte</t>
        </is>
      </c>
      <c r="C419" s="7" t="inlineStr">
        <is>
          <t>Dublonen bei der Bank</t>
        </is>
      </c>
      <c r="E419" s="10" t="inlineStr">
        <is>
          <t>S.1 1 Dublone = 1000 Fuffzisch.</t>
        </is>
      </c>
      <c r="F419" s="10" t="n"/>
      <c r="G419" s="10" t="inlineStr">
        <is>
          <t>Wert</t>
        </is>
      </c>
    </row>
    <row r="420" hidden="1" ht="15.75" customHeight="1" s="48">
      <c r="A420" s="29" t="inlineStr">
        <is>
          <t>dublonen_bar</t>
        </is>
      </c>
      <c r="B420" s="11" t="inlineStr">
        <is>
          <t>Charakterwerte</t>
        </is>
      </c>
      <c r="C420" s="7" t="inlineStr">
        <is>
          <t>Dublonen in bar</t>
        </is>
      </c>
      <c r="E420" s="10" t="inlineStr">
        <is>
          <t>S.1 1 Dublone = 1000 Fuffzisch.</t>
        </is>
      </c>
      <c r="F420" s="10" t="n"/>
      <c r="G420" s="10" t="inlineStr">
        <is>
          <t>Wert</t>
        </is>
      </c>
    </row>
    <row r="421" hidden="1" ht="15.75" customHeight="1" s="48">
      <c r="A421" s="29" t="inlineStr">
        <is>
          <t>ep_steigerungspunkte</t>
        </is>
      </c>
      <c r="B421" s="11" t="inlineStr">
        <is>
          <t>Charakterwerte</t>
        </is>
      </c>
      <c r="C421" s="7" t="inlineStr">
        <is>
          <t>Steigerungspunkte</t>
        </is>
      </c>
      <c r="E421" s="10" t="inlineStr">
        <is>
          <t>S.1</t>
        </is>
      </c>
      <c r="F421" s="10" t="n"/>
      <c r="G421" s="10" t="inlineStr">
        <is>
          <t>Formel</t>
        </is>
      </c>
      <c r="H421" s="11" t="inlineStr">
        <is>
          <t>ep_gesamt-ep_verbraucht</t>
        </is>
      </c>
    </row>
    <row r="422" hidden="1" ht="15.75" customHeight="1" s="48">
      <c r="A422" t="inlineStr">
        <is>
          <t>ep_meister_erhalten</t>
        </is>
      </c>
      <c r="B422" t="inlineStr">
        <is>
          <t>Charakterwerte</t>
        </is>
      </c>
      <c r="C422" t="inlineStr">
        <is>
          <t>Erhaltene Meister-EP</t>
        </is>
      </c>
      <c r="E422"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422" t="inlineStr">
        <is>
          <t>Wert</t>
        </is>
      </c>
    </row>
    <row r="423" hidden="1" ht="15.75" customHeight="1" s="48">
      <c r="A423" s="29" t="inlineStr">
        <is>
          <t>gesundheit</t>
        </is>
      </c>
      <c r="B423" s="11" t="inlineStr">
        <is>
          <t>Charakterwerte</t>
        </is>
      </c>
      <c r="C423" s="7" t="inlineStr">
        <is>
          <t>Gesundheit</t>
        </is>
      </c>
      <c r="D423" s="11" t="inlineStr">
        <is>
          <t>GES</t>
        </is>
      </c>
      <c r="E423" s="10" t="inlineStr">
        <is>
          <t>S.2</t>
        </is>
      </c>
      <c r="F423" s="10" t="n"/>
      <c r="G423" s="10" t="inlineStr">
        <is>
          <t>Formel</t>
        </is>
      </c>
      <c r="H423" s="11" t="inlineStr">
        <is>
          <t>(eig_g_willenskraft+eig_k_konstitution+kreis)/3+att_vitalitaet</t>
        </is>
      </c>
    </row>
    <row r="424" hidden="1" ht="15.75" customHeight="1" s="48">
      <c r="A424" s="29" t="inlineStr">
        <is>
          <t>le_arm_l</t>
        </is>
      </c>
      <c r="B424" s="11" t="inlineStr">
        <is>
          <t>Charakterwerte</t>
        </is>
      </c>
      <c r="C424" s="7" t="inlineStr">
        <is>
          <t>Lebensenergie linker Arm</t>
        </is>
      </c>
      <c r="E424" s="10" t="inlineStr">
        <is>
          <t>S.2</t>
        </is>
      </c>
      <c r="F424" s="10" t="n"/>
      <c r="G424" s="10" t="inlineStr">
        <is>
          <t>Formel</t>
        </is>
      </c>
      <c r="H424" s="11" t="inlineStr">
        <is>
          <t>(eig_k_konstitution/2+eig_k_staerke)/2+5</t>
        </is>
      </c>
    </row>
    <row r="425" hidden="1" ht="15.75" customHeight="1" s="48">
      <c r="A425" s="29" t="inlineStr">
        <is>
          <t>le_arm_r</t>
        </is>
      </c>
      <c r="B425" s="11" t="inlineStr">
        <is>
          <t>Charakterwerte</t>
        </is>
      </c>
      <c r="C425" s="7" t="inlineStr">
        <is>
          <t>Lebensenergie rechter Arm</t>
        </is>
      </c>
      <c r="E425" s="10" t="inlineStr">
        <is>
          <t>S.2</t>
        </is>
      </c>
      <c r="F425" s="10" t="n"/>
      <c r="G425" s="10" t="inlineStr">
        <is>
          <t>Formel</t>
        </is>
      </c>
      <c r="H425" s="11" t="inlineStr">
        <is>
          <t>(eig_k_konstitution/2+eig_k_staerke)/2+5</t>
        </is>
      </c>
    </row>
    <row r="426" hidden="1" ht="15.75" customHeight="1" s="48">
      <c r="A426" s="29" t="inlineStr">
        <is>
          <t>le_bein_l</t>
        </is>
      </c>
      <c r="B426" s="11" t="inlineStr">
        <is>
          <t>Charakterwerte</t>
        </is>
      </c>
      <c r="C426" s="7" t="inlineStr">
        <is>
          <t>Lebensenergie linkes Bein</t>
        </is>
      </c>
      <c r="E426" s="10" t="inlineStr">
        <is>
          <t>S.2</t>
        </is>
      </c>
      <c r="F426" s="10" t="n"/>
      <c r="G426" s="10" t="inlineStr">
        <is>
          <t>Formel</t>
        </is>
      </c>
      <c r="H426" s="11" t="inlineStr">
        <is>
          <t>eig_k_konstitution+8</t>
        </is>
      </c>
    </row>
    <row r="427" hidden="1" ht="15.75" customHeight="1" s="48">
      <c r="A427" s="29" t="inlineStr">
        <is>
          <t>le_bein_r</t>
        </is>
      </c>
      <c r="B427" s="11" t="inlineStr">
        <is>
          <t>Charakterwerte</t>
        </is>
      </c>
      <c r="C427" s="7" t="inlineStr">
        <is>
          <t>Lebensenergie rechtes Bein</t>
        </is>
      </c>
      <c r="E427" s="10" t="inlineStr">
        <is>
          <t>S.2</t>
        </is>
      </c>
      <c r="F427" s="10" t="n"/>
      <c r="G427" s="10" t="inlineStr">
        <is>
          <t>Formel</t>
        </is>
      </c>
      <c r="H427" s="11" t="inlineStr">
        <is>
          <t>eig_k_konstitution+8</t>
        </is>
      </c>
    </row>
    <row r="428" hidden="1" ht="15.75" customHeight="1" s="48">
      <c r="A428" s="29" t="inlineStr">
        <is>
          <t>le_brust</t>
        </is>
      </c>
      <c r="B428" s="11" t="inlineStr">
        <is>
          <t>Charakterwerte</t>
        </is>
      </c>
      <c r="C428" s="7" t="inlineStr">
        <is>
          <t>Lebensenergie Brust</t>
        </is>
      </c>
      <c r="D428" s="11" t="inlineStr">
        <is>
          <t>LE Brust</t>
        </is>
      </c>
      <c r="E428" s="10" t="inlineStr">
        <is>
          <t>S.2</t>
        </is>
      </c>
      <c r="F428" s="10" t="n"/>
      <c r="G428" s="10" t="inlineStr">
        <is>
          <t>Formel</t>
        </is>
      </c>
      <c r="H428" s="11" t="inlineStr">
        <is>
          <t>(eig_k_staerke*2/5+eig_k_konstitution+att_vitalitaet)/2+10</t>
        </is>
      </c>
    </row>
    <row r="429" hidden="1" ht="15.75" customHeight="1" s="48">
      <c r="A429" s="29" t="inlineStr">
        <is>
          <t>le_kopf</t>
        </is>
      </c>
      <c r="B429" s="11" t="inlineStr">
        <is>
          <t>Charakterwerte</t>
        </is>
      </c>
      <c r="C429" s="7" t="inlineStr">
        <is>
          <t>Lebensenergie Kopf</t>
        </is>
      </c>
      <c r="E429" s="10" t="inlineStr">
        <is>
          <t>S.2</t>
        </is>
      </c>
      <c r="F429" s="10" t="n"/>
      <c r="G429" s="10" t="inlineStr">
        <is>
          <t>Formel</t>
        </is>
      </c>
      <c r="H429" s="11" t="inlineStr">
        <is>
          <t>eig_k_konstitution/4+att_vitalitaet+4</t>
        </is>
      </c>
    </row>
    <row r="430" hidden="1" ht="15.75" customHeight="1" s="48">
      <c r="A430" s="29" t="inlineStr">
        <is>
          <t>le_unterleib</t>
        </is>
      </c>
      <c r="B430" s="11" t="inlineStr">
        <is>
          <t>Charakterwerte</t>
        </is>
      </c>
      <c r="C430" s="7" t="inlineStr">
        <is>
          <t>Lebensenergie Unterleib</t>
        </is>
      </c>
      <c r="E430" s="10" t="inlineStr">
        <is>
          <t>S.2</t>
        </is>
      </c>
      <c r="F430" s="10" t="n"/>
      <c r="G430" s="10" t="inlineStr">
        <is>
          <t>Formel</t>
        </is>
      </c>
      <c r="H430" s="11" t="inlineStr">
        <is>
          <t>(eig_k_konstitution+att_vitalitaet)/2+8</t>
        </is>
      </c>
    </row>
    <row r="431" hidden="1" ht="15.75" customHeight="1" s="48">
      <c r="A431" s="29" t="inlineStr">
        <is>
          <t>luft_anhalten</t>
        </is>
      </c>
      <c r="B431" s="11" t="inlineStr">
        <is>
          <t>Charakterwerte</t>
        </is>
      </c>
      <c r="C431" s="6" t="inlineStr">
        <is>
          <t>Luft anhalten</t>
        </is>
      </c>
      <c r="E431" s="11" t="inlineStr">
        <is>
          <t>Meisterscreen S.3</t>
        </is>
      </c>
      <c r="G431" s="11" t="inlineStr">
        <is>
          <t>Formel</t>
        </is>
      </c>
      <c r="H431" s="11" t="inlineStr">
        <is>
          <t>(eig_g_willenskraft+eig_k_konstitution+gr_luft_anhalten*12)*3</t>
        </is>
      </c>
    </row>
    <row r="432" hidden="1" ht="15.75" customHeight="1" s="48">
      <c r="A432" s="29" t="inlineStr">
        <is>
          <t>werfen_s</t>
        </is>
      </c>
      <c r="B432" s="11" t="inlineStr">
        <is>
          <t>Charakterwerte</t>
        </is>
      </c>
      <c r="C432" s="6" t="inlineStr">
        <is>
          <t>Werfen: Gegenstand 0,1-0,5kg</t>
        </is>
      </c>
      <c r="E432" s="11" t="inlineStr">
        <is>
          <t>Meisterscreen S.3</t>
        </is>
      </c>
      <c r="G432" s="11" t="inlineStr">
        <is>
          <t>Formel</t>
        </is>
      </c>
      <c r="H432" s="11" t="inlineStr">
        <is>
          <t>(eig_k_athletik+eig_k_staerke+gr_werfen)*2</t>
        </is>
      </c>
    </row>
    <row r="433" hidden="1" ht="15.75" customHeight="1" s="48">
      <c r="A433" s="29" t="inlineStr">
        <is>
          <t>werfen_m</t>
        </is>
      </c>
      <c r="B433" s="11" t="inlineStr">
        <is>
          <t>Charakterwerte</t>
        </is>
      </c>
      <c r="C433" s="6" t="inlineStr">
        <is>
          <t>Werfen: Gegenstand 0,5-1kg</t>
        </is>
      </c>
      <c r="E433" s="11" t="inlineStr">
        <is>
          <t>Meisterscreen S.3</t>
        </is>
      </c>
      <c r="G433" s="11" t="inlineStr">
        <is>
          <t>Formel</t>
        </is>
      </c>
      <c r="H433" s="11" t="inlineStr">
        <is>
          <t>(eig_k_athletik+eig_k_staerke+gr_werfen)*1,5</t>
        </is>
      </c>
    </row>
    <row r="434" hidden="1" ht="15.75" customHeight="1" s="48">
      <c r="A434" s="29" t="inlineStr">
        <is>
          <t>werfen_l</t>
        </is>
      </c>
      <c r="B434" s="11" t="inlineStr">
        <is>
          <t>Charakterwerte</t>
        </is>
      </c>
      <c r="C434" s="6" t="inlineStr">
        <is>
          <t>Werfen: Gegenstand 1-2kg</t>
        </is>
      </c>
      <c r="E434" s="11" t="inlineStr">
        <is>
          <t>Meisterscreen S.3</t>
        </is>
      </c>
      <c r="G434" s="11" t="inlineStr">
        <is>
          <t>Formel</t>
        </is>
      </c>
      <c r="H434" s="11" t="inlineStr">
        <is>
          <t>(eig_k_athletik+eig_k_staerke+gr_werfen)</t>
        </is>
      </c>
    </row>
    <row r="435" hidden="1" ht="15.75" customHeight="1" s="48">
      <c r="A435" s="29" t="inlineStr">
        <is>
          <t>werfen_speer</t>
        </is>
      </c>
      <c r="B435" s="11" t="inlineStr">
        <is>
          <t>Charakterwerte</t>
        </is>
      </c>
      <c r="C435" s="6" t="inlineStr">
        <is>
          <t>Werfen: Wurfspeer</t>
        </is>
      </c>
      <c r="E435" s="11" t="inlineStr">
        <is>
          <t>Meisterscreen S.3</t>
        </is>
      </c>
      <c r="G435" s="11" t="inlineStr">
        <is>
          <t>Formel</t>
        </is>
      </c>
      <c r="H435" s="11" t="inlineStr">
        <is>
          <t>(eig_k_athletik+eig_k_schnelligkeit+gr_werfen)*1,5</t>
        </is>
      </c>
    </row>
    <row r="436" hidden="1" ht="15.75" customHeight="1" s="48">
      <c r="A436" s="29" t="inlineStr">
        <is>
          <t>trefferschwelle</t>
        </is>
      </c>
      <c r="B436" s="11" t="inlineStr">
        <is>
          <t>Charakterwerte</t>
        </is>
      </c>
      <c r="C436" s="7" t="inlineStr">
        <is>
          <t>Trefferschwelle</t>
        </is>
      </c>
      <c r="E436" s="10" t="inlineStr">
        <is>
          <t>S.2</t>
        </is>
      </c>
      <c r="F436" s="10" t="n"/>
      <c r="G436" s="10" t="inlineStr">
        <is>
          <t>Formel</t>
        </is>
      </c>
      <c r="H436" t="inlineStr">
        <is>
          <t>att_vitalitaet+5</t>
        </is>
      </c>
    </row>
    <row r="437" hidden="1" ht="15.75" customHeight="1" s="48">
      <c r="A437" s="11" t="inlineStr">
        <is>
          <t>eig_bonus_g_intelligenz</t>
        </is>
      </c>
      <c r="B437" s="11" t="inlineStr">
        <is>
          <t>Eigenschaftsbonus</t>
        </is>
      </c>
      <c r="C437" s="12" t="inlineStr">
        <is>
          <t>Intelligenz-Bonus</t>
        </is>
      </c>
      <c r="D437" s="11" t="inlineStr">
        <is>
          <t>Int.Bon</t>
        </is>
      </c>
      <c r="G437" s="11" t="inlineStr">
        <is>
          <t>Formel</t>
        </is>
      </c>
      <c r="H437" s="11" t="inlineStr">
        <is>
          <t>AUFRUNDEN(eig_g_intelligenz/2;0)-5</t>
        </is>
      </c>
    </row>
    <row r="438" hidden="1" ht="15.75" customHeight="1" s="48">
      <c r="A438" s="11" t="inlineStr">
        <is>
          <t>eig_bonus_g_mut</t>
        </is>
      </c>
      <c r="B438" s="11" t="inlineStr">
        <is>
          <t>Eigenschaftsbonus</t>
        </is>
      </c>
      <c r="C438" s="12" t="inlineStr">
        <is>
          <t>Mut-Bonus</t>
        </is>
      </c>
      <c r="D438" s="11" t="inlineStr">
        <is>
          <t>Mut.Bon</t>
        </is>
      </c>
      <c r="G438" s="11" t="inlineStr">
        <is>
          <t>Formel</t>
        </is>
      </c>
      <c r="H438" s="11" t="inlineStr">
        <is>
          <t>AUFRUNDEN(eig_g_mut/2;0)-5</t>
        </is>
      </c>
    </row>
    <row r="439" hidden="1" ht="15.75" customHeight="1" s="48">
      <c r="A439" s="11" t="inlineStr">
        <is>
          <t>eig_bonus_g_sinneschaerfe</t>
        </is>
      </c>
      <c r="B439" s="11" t="inlineStr">
        <is>
          <t>Eigenschaftsbonus</t>
        </is>
      </c>
      <c r="C439" s="12" t="inlineStr">
        <is>
          <t>Sinnesschärfe-Bonus</t>
        </is>
      </c>
      <c r="D439" s="11" t="inlineStr">
        <is>
          <t>Sin.Bon</t>
        </is>
      </c>
      <c r="G439" s="11" t="inlineStr">
        <is>
          <t>Formel</t>
        </is>
      </c>
      <c r="H439" s="11" t="inlineStr">
        <is>
          <t>AUFRUNDEN(eig_g_sinneschaerfe/2;0)-5</t>
        </is>
      </c>
    </row>
    <row r="440" hidden="1" ht="15.75" customHeight="1" s="48">
      <c r="A440" s="11" t="inlineStr">
        <is>
          <t>eig_bonus_g_willenskraft</t>
        </is>
      </c>
      <c r="B440" s="11" t="inlineStr">
        <is>
          <t>Eigenschaftsbonus</t>
        </is>
      </c>
      <c r="C440" s="12" t="inlineStr">
        <is>
          <t>Willenskraft-Bonus</t>
        </is>
      </c>
      <c r="D440" s="11" t="inlineStr">
        <is>
          <t>Wil.Bon</t>
        </is>
      </c>
      <c r="G440" s="11" t="inlineStr">
        <is>
          <t>Formel</t>
        </is>
      </c>
      <c r="H440" s="11" t="inlineStr">
        <is>
          <t>AUFRUNDEN(eig_g_willenskraft/2;0)-5</t>
        </is>
      </c>
    </row>
    <row r="441" hidden="1" ht="15.75" customHeight="1" s="48">
      <c r="A441" s="11" t="inlineStr">
        <is>
          <t>eig_bonus_k_athletik</t>
        </is>
      </c>
      <c r="B441" s="11" t="inlineStr">
        <is>
          <t>Eigenschaftsbonus</t>
        </is>
      </c>
      <c r="C441" s="12" t="inlineStr">
        <is>
          <t>Athletik-Bonus</t>
        </is>
      </c>
      <c r="D441" s="11" t="inlineStr">
        <is>
          <t>Ath.Bon</t>
        </is>
      </c>
      <c r="G441" s="11" t="inlineStr">
        <is>
          <t>Formel</t>
        </is>
      </c>
      <c r="H441" s="11" t="inlineStr">
        <is>
          <t>AUFRUNDEN(eig_k_athletik/2;0)-5</t>
        </is>
      </c>
    </row>
    <row r="442" hidden="1" ht="15.75" customHeight="1" s="48">
      <c r="A442" s="11" t="inlineStr">
        <is>
          <t>eig_bonus_g_ausstrahlung</t>
        </is>
      </c>
      <c r="B442" s="11" t="inlineStr">
        <is>
          <t>Eigenschaftsbonus</t>
        </is>
      </c>
      <c r="C442" s="12" t="inlineStr">
        <is>
          <t>Ausstrahlungs-Bonus</t>
        </is>
      </c>
      <c r="D442" s="11" t="inlineStr">
        <is>
          <t>Aus.Bon</t>
        </is>
      </c>
      <c r="G442" s="11" t="inlineStr">
        <is>
          <t>Formel</t>
        </is>
      </c>
      <c r="H442" s="11" t="inlineStr">
        <is>
          <t>AUFRUNDEN(eig_g_ausstrahlung/2;0)-5</t>
        </is>
      </c>
    </row>
    <row r="443" hidden="1" ht="15.75" customHeight="1" s="48">
      <c r="A443" s="11" t="inlineStr">
        <is>
          <t>eig_bonus_k_geschicklichkeit</t>
        </is>
      </c>
      <c r="B443" s="11" t="inlineStr">
        <is>
          <t>Eigenschaftsbonus</t>
        </is>
      </c>
      <c r="C443" s="12" t="inlineStr">
        <is>
          <t>Geschicklichkeits-Bonus</t>
        </is>
      </c>
      <c r="D443" s="11" t="inlineStr">
        <is>
          <t>Ges.Bon</t>
        </is>
      </c>
      <c r="G443" s="11" t="inlineStr">
        <is>
          <t>Formel</t>
        </is>
      </c>
      <c r="H443" s="11" t="inlineStr">
        <is>
          <t>AUFRUNDEN(eig_k_geschicklichkeit/2;0)-5</t>
        </is>
      </c>
    </row>
    <row r="444" hidden="1" ht="15.75" customHeight="1" s="48">
      <c r="A444" s="11" t="inlineStr">
        <is>
          <t>eig_bonus_k_konstitution</t>
        </is>
      </c>
      <c r="B444" s="11" t="inlineStr">
        <is>
          <t>Eigenschaftsbonus</t>
        </is>
      </c>
      <c r="C444" s="12" t="inlineStr">
        <is>
          <t>Konstitutions-Bonus</t>
        </is>
      </c>
      <c r="D444" s="11" t="inlineStr">
        <is>
          <t>Kon.Bon</t>
        </is>
      </c>
      <c r="G444" s="11" t="inlineStr">
        <is>
          <t>Formel</t>
        </is>
      </c>
      <c r="H444" s="11" t="inlineStr">
        <is>
          <t>AUFRUNDEN(eig_k_konstitution/2;0)-5</t>
        </is>
      </c>
      <c r="J444" s="9" t="n"/>
    </row>
    <row r="445" hidden="1" ht="15.75" customHeight="1" s="48">
      <c r="A445" s="11" t="inlineStr">
        <is>
          <t>eig_bonus_k_schnelligkeit</t>
        </is>
      </c>
      <c r="B445" s="11" t="inlineStr">
        <is>
          <t>Eigenschaftsbonus</t>
        </is>
      </c>
      <c r="C445" s="12" t="inlineStr">
        <is>
          <t>Schnelligkeits-Bonus</t>
        </is>
      </c>
      <c r="D445" s="11" t="inlineStr">
        <is>
          <t>Sch.Bon</t>
        </is>
      </c>
      <c r="G445" s="11" t="inlineStr">
        <is>
          <t>Formel</t>
        </is>
      </c>
      <c r="H445" s="11" t="inlineStr">
        <is>
          <t>AUFRUNDEN(eig_k_schnelligkeit/2;0)-5</t>
        </is>
      </c>
    </row>
    <row r="446" hidden="1" ht="15.75" customHeight="1" s="48">
      <c r="A446" s="11" t="inlineStr">
        <is>
          <t>eig_bonus_k_staerke</t>
        </is>
      </c>
      <c r="B446" s="11" t="inlineStr">
        <is>
          <t>Eigenschaftsbonus</t>
        </is>
      </c>
      <c r="C446" s="12" t="inlineStr">
        <is>
          <t>Stärke-Bonus</t>
        </is>
      </c>
      <c r="D446" s="11" t="inlineStr">
        <is>
          <t>Stä.Bon</t>
        </is>
      </c>
      <c r="G446" s="11" t="inlineStr">
        <is>
          <t>Formel</t>
        </is>
      </c>
      <c r="H446" s="11" t="inlineStr">
        <is>
          <t>AUFRUNDEN(eig_k_staerke/2;0)-5</t>
        </is>
      </c>
    </row>
    <row r="447" hidden="1" ht="15.75" customHeight="1" s="48">
      <c r="A447" s="29" t="inlineStr">
        <is>
          <t>fk_basis_spez_schusswaffen_armbrueste</t>
        </is>
      </c>
      <c r="B447" s="11" t="inlineStr">
        <is>
          <t>Fernkampf</t>
        </is>
      </c>
      <c r="C447" s="7" t="inlineStr">
        <is>
          <t>Fernkampf-Spezialisierungs-Wert Armbrust</t>
        </is>
      </c>
      <c r="E447" s="10" t="n"/>
      <c r="F447" s="10" t="n"/>
      <c r="G447" s="10" t="inlineStr">
        <is>
          <t>Formel</t>
        </is>
      </c>
      <c r="H447" s="11" t="inlineStr">
        <is>
          <t>(eig_g_sinneschaerfe+eig_k_geschicklichkeit+fk_schusswaffen+fk_spez_schusswaffen_armbrueste)/4</t>
        </is>
      </c>
    </row>
    <row r="448" hidden="1" ht="15.75" customHeight="1" s="48">
      <c r="A448" s="11" t="inlineStr">
        <is>
          <t>fk_basis_spez_feuerwaffen_musketen</t>
        </is>
      </c>
      <c r="B448" s="11" t="inlineStr">
        <is>
          <t>Fernkampf</t>
        </is>
      </c>
      <c r="C448" s="7" t="inlineStr">
        <is>
          <t>Fernkampf-Spezialisierungs-Wert Musketen</t>
        </is>
      </c>
      <c r="D448" s="10" t="n"/>
      <c r="E448" s="10" t="n"/>
      <c r="F448" s="10" t="n"/>
      <c r="G448" s="10" t="inlineStr">
        <is>
          <t>Formel</t>
        </is>
      </c>
      <c r="H448" s="11" t="inlineStr">
        <is>
          <t>(eig_g_sinneschaerfe+eig_k_geschicklichkeit+fk_feuerwaffen+fk_spez_feuerwaffen_musketen)/4</t>
        </is>
      </c>
    </row>
    <row r="449" hidden="1" ht="15.75" customHeight="1" s="48">
      <c r="A449" s="11" t="inlineStr">
        <is>
          <t>fk_basis_spez_feuerwaffen_pistolen</t>
        </is>
      </c>
      <c r="B449" s="11" t="inlineStr">
        <is>
          <t>Fernkampf</t>
        </is>
      </c>
      <c r="C449" s="7" t="inlineStr">
        <is>
          <t>Fernkampf-Spezialisierungs-Wert Pistolen</t>
        </is>
      </c>
      <c r="D449" s="29" t="n"/>
      <c r="E449" s="10" t="n"/>
      <c r="F449" s="10" t="n"/>
      <c r="G449" s="10" t="inlineStr">
        <is>
          <t>Formel</t>
        </is>
      </c>
      <c r="H449" s="11" t="inlineStr">
        <is>
          <t>(eig_g_sinneschaerfe+eig_k_geschicklichkeit+fk_feuerwaffen+fk_spez_feuerwaffen_pistolen)/4</t>
        </is>
      </c>
    </row>
    <row r="450" hidden="1" ht="15.75" customHeight="1" s="48">
      <c r="A450" s="29" t="inlineStr">
        <is>
          <t>fk_basis_spez_boegen_boegen</t>
        </is>
      </c>
      <c r="B450" s="11" t="inlineStr">
        <is>
          <t>Fernkampf</t>
        </is>
      </c>
      <c r="C450" s="7" t="inlineStr">
        <is>
          <t>Fernkampf-Spezialisierungs-Wert Bögen</t>
        </is>
      </c>
      <c r="E450" s="10" t="n"/>
      <c r="F450" s="10" t="n"/>
      <c r="G450" s="10" t="inlineStr">
        <is>
          <t>Formel</t>
        </is>
      </c>
      <c r="H450" s="11" t="inlineStr">
        <is>
          <t>(eig_g_sinneschaerfe+eig_k_geschicklichkeit+fk_boegen+fk_spez_boegen_boegen)/4</t>
        </is>
      </c>
    </row>
    <row r="451" hidden="1" ht="15.75" customHeight="1" s="48">
      <c r="A451" s="11" t="inlineStr">
        <is>
          <t>fk_basis_boegen</t>
        </is>
      </c>
      <c r="B451" s="11" t="inlineStr">
        <is>
          <t>Fernkampf</t>
        </is>
      </c>
      <c r="C451" s="7" t="inlineStr">
        <is>
          <t>Fernkampf-Basis-Wert Bögen</t>
        </is>
      </c>
      <c r="E451" s="10" t="n"/>
      <c r="F451" s="10" t="n"/>
      <c r="G451" s="10" t="inlineStr">
        <is>
          <t>Formel</t>
        </is>
      </c>
      <c r="H451" s="11" t="inlineStr">
        <is>
          <t>(eig_g_sinneschaerfe+eig_k_geschicklichkeit+fk_boegen)/4</t>
        </is>
      </c>
    </row>
    <row r="452" hidden="1" ht="15.75" customHeight="1" s="48">
      <c r="A452" s="11" t="inlineStr">
        <is>
          <t>fk_basis_schusswaffen</t>
        </is>
      </c>
      <c r="B452" s="11" t="inlineStr">
        <is>
          <t>Fernkampf</t>
        </is>
      </c>
      <c r="C452" s="7" t="inlineStr">
        <is>
          <t>Fernkampf-Basis-Wert Schusswaffen</t>
        </is>
      </c>
      <c r="E452" s="10" t="n"/>
      <c r="F452" s="10" t="n"/>
      <c r="G452" s="10" t="inlineStr">
        <is>
          <t>Formel</t>
        </is>
      </c>
      <c r="H452" s="11" t="inlineStr">
        <is>
          <t>(eig_g_sinneschaerfe+eig_k_geschicklichkeit+fk_schusswaffen)/4</t>
        </is>
      </c>
    </row>
    <row r="453" hidden="1" ht="15.75" customHeight="1" s="48">
      <c r="A453" s="11" t="inlineStr">
        <is>
          <t>fk_blasrohre</t>
        </is>
      </c>
      <c r="B453" s="11" t="inlineStr">
        <is>
          <t>Fernkampf</t>
        </is>
      </c>
      <c r="C453" s="12" t="inlineStr">
        <is>
          <t>Blasrohre</t>
        </is>
      </c>
      <c r="G453" s="11" t="inlineStr">
        <is>
          <t>Wert</t>
        </is>
      </c>
      <c r="L453" t="inlineStr">
        <is>
          <t>wert*18</t>
        </is>
      </c>
    </row>
    <row r="454" hidden="1" ht="15.75" customHeight="1" s="48">
      <c r="A454" s="11" t="inlineStr">
        <is>
          <t>fk_boegen</t>
        </is>
      </c>
      <c r="B454" s="11" t="inlineStr">
        <is>
          <t>Fernkampf</t>
        </is>
      </c>
      <c r="C454" s="12" t="inlineStr">
        <is>
          <t>Bögen</t>
        </is>
      </c>
      <c r="G454" s="11" t="inlineStr">
        <is>
          <t>Wert</t>
        </is>
      </c>
      <c r="L454" t="inlineStr">
        <is>
          <t>wert*18</t>
        </is>
      </c>
    </row>
    <row r="455" hidden="1" ht="15.75" customHeight="1" s="48">
      <c r="A455" s="11" t="inlineStr">
        <is>
          <t>fk_schusswaffen</t>
        </is>
      </c>
      <c r="B455" s="11" t="inlineStr">
        <is>
          <t>Fernkampf</t>
        </is>
      </c>
      <c r="C455" s="6" t="inlineStr">
        <is>
          <t>Schusswaffen</t>
        </is>
      </c>
      <c r="G455" s="11" t="inlineStr">
        <is>
          <t>Wert</t>
        </is>
      </c>
      <c r="L455" t="inlineStr">
        <is>
          <t>wert*18</t>
        </is>
      </c>
    </row>
    <row r="456" hidden="1" ht="15.75" customHeight="1" s="48">
      <c r="A456" s="11" t="inlineStr">
        <is>
          <t>fk_spez_blasrohre_blasrohre</t>
        </is>
      </c>
      <c r="B456" s="11" t="inlineStr">
        <is>
          <t>Fernkampf</t>
        </is>
      </c>
      <c r="C456" s="12" t="inlineStr">
        <is>
          <t>-&gt; Blasrohre</t>
        </is>
      </c>
      <c r="F456" s="11" t="inlineStr">
        <is>
          <t>fk_blasrohre</t>
        </is>
      </c>
      <c r="G456" s="11" t="inlineStr">
        <is>
          <t>Wert</t>
        </is>
      </c>
    </row>
    <row r="457" hidden="1" ht="15.75" customHeight="1" s="48">
      <c r="A457" s="11" t="inlineStr">
        <is>
          <t>fk_spez_boegen_boegen</t>
        </is>
      </c>
      <c r="B457" s="11" t="inlineStr">
        <is>
          <t>Fernkampf</t>
        </is>
      </c>
      <c r="C457" s="13" t="inlineStr">
        <is>
          <t>-&gt; Bögen</t>
        </is>
      </c>
      <c r="F457" s="11" t="inlineStr">
        <is>
          <t>fk_boegen</t>
        </is>
      </c>
      <c r="G457" s="11" t="inlineStr">
        <is>
          <t>Wert</t>
        </is>
      </c>
    </row>
    <row r="458" hidden="1" ht="15.75" customHeight="1" s="48">
      <c r="A458" s="11" t="inlineStr">
        <is>
          <t>fk_spez_schusswaffen_armbrueste</t>
        </is>
      </c>
      <c r="B458" s="11" t="inlineStr">
        <is>
          <t>Fernkampf</t>
        </is>
      </c>
      <c r="C458" s="13" t="inlineStr">
        <is>
          <t>-&gt; Armbrüste</t>
        </is>
      </c>
      <c r="D458" s="10" t="n"/>
      <c r="F458" s="11" t="inlineStr">
        <is>
          <t>fk_schusswaffen</t>
        </is>
      </c>
      <c r="G458" s="11" t="inlineStr">
        <is>
          <t>Wert</t>
        </is>
      </c>
    </row>
    <row r="459" hidden="1" ht="15.75" customHeight="1" s="48">
      <c r="A459" s="11" t="inlineStr">
        <is>
          <t>fk_spez_feuerwaffen_musketen</t>
        </is>
      </c>
      <c r="B459" s="11" t="inlineStr">
        <is>
          <t>Fernkampf</t>
        </is>
      </c>
      <c r="C459" s="13" t="inlineStr">
        <is>
          <t>-&gt; Musketen</t>
        </is>
      </c>
      <c r="D459" s="10" t="n"/>
      <c r="F459" s="11" t="inlineStr">
        <is>
          <t>fk_feuerwaffen</t>
        </is>
      </c>
      <c r="G459" s="11" t="inlineStr">
        <is>
          <t>Wert</t>
        </is>
      </c>
    </row>
    <row r="460" hidden="1" ht="15.75" customHeight="1" s="48">
      <c r="A460" s="11" t="inlineStr">
        <is>
          <t>fk_spez_feuerwaffen_pistolen</t>
        </is>
      </c>
      <c r="B460" s="11" t="inlineStr">
        <is>
          <t>Fernkampf</t>
        </is>
      </c>
      <c r="C460" s="13" t="inlineStr">
        <is>
          <t>-&gt; Pistole</t>
        </is>
      </c>
      <c r="D460" s="10" t="n"/>
      <c r="F460" s="11" t="inlineStr">
        <is>
          <t>fk_feuerwaffen</t>
        </is>
      </c>
      <c r="G460" s="11" t="inlineStr">
        <is>
          <t>Wert</t>
        </is>
      </c>
    </row>
    <row r="461" hidden="1" ht="15.75" customHeight="1" s="48">
      <c r="A461" s="11" t="inlineStr">
        <is>
          <t>fk_wurfwaffen</t>
        </is>
      </c>
      <c r="B461" s="11" t="inlineStr">
        <is>
          <t>Fernkampf</t>
        </is>
      </c>
      <c r="C461" s="6" t="inlineStr">
        <is>
          <t>Wurfwaffen</t>
        </is>
      </c>
      <c r="G461" s="11" t="inlineStr">
        <is>
          <t>Wert</t>
        </is>
      </c>
      <c r="L461" t="inlineStr">
        <is>
          <t>wert*18</t>
        </is>
      </c>
    </row>
    <row r="462" hidden="1" ht="15.75" customHeight="1" s="48">
      <c r="A462" s="11" t="inlineStr">
        <is>
          <t>fk_basis_wurfwaffen</t>
        </is>
      </c>
      <c r="B462" s="11" t="inlineStr">
        <is>
          <t>Fernkampf</t>
        </is>
      </c>
      <c r="C462" s="7" t="inlineStr">
        <is>
          <t>Fernkampf-Basis-Wert Wurfwaffen</t>
        </is>
      </c>
      <c r="E462" s="10" t="n"/>
      <c r="F462" s="10" t="n"/>
      <c r="G462" s="10" t="inlineStr">
        <is>
          <t>Formel</t>
        </is>
      </c>
      <c r="H462" s="11" t="inlineStr">
        <is>
          <t>(eig_g_sinneschaerfe+eig_k_geschicklichkeit+fk_wurfwaffen)/4</t>
        </is>
      </c>
    </row>
    <row r="463" hidden="1" ht="15.75" customHeight="1" s="48">
      <c r="A463" s="29" t="inlineStr">
        <is>
          <t>ini</t>
        </is>
      </c>
      <c r="B463" s="11" t="inlineStr">
        <is>
          <t>Kampf</t>
        </is>
      </c>
      <c r="C463" s="7" t="inlineStr">
        <is>
          <t>Initiative</t>
        </is>
      </c>
      <c r="D463" s="11" t="inlineStr">
        <is>
          <t>Ini</t>
        </is>
      </c>
      <c r="E463" s="10" t="inlineStr">
        <is>
          <t>S.2</t>
        </is>
      </c>
      <c r="F463" s="10" t="n"/>
      <c r="G463" s="10" t="inlineStr">
        <is>
          <t>Formel</t>
        </is>
      </c>
      <c r="H463" s="11" t="inlineStr">
        <is>
          <t>(eig_g_mut+eig_k_schnelligkeit)/2+(eig_g_intelligenz+eig_k_geschicklichkeit+eig_k_athletik)/6</t>
        </is>
      </c>
    </row>
    <row r="464" hidden="1" ht="15.75" customHeight="1" s="48">
      <c r="A464" s="29" t="inlineStr">
        <is>
          <t>at_hiebwaffen</t>
        </is>
      </c>
      <c r="B464" s="11" t="inlineStr">
        <is>
          <t>Nahkampf</t>
        </is>
      </c>
      <c r="C464" s="7" t="inlineStr">
        <is>
          <t>Attacke-Basis-Wert Hiebwaffen</t>
        </is>
      </c>
      <c r="E464" s="10" t="inlineStr">
        <is>
          <t>S.2</t>
        </is>
      </c>
      <c r="F464" s="10" t="n"/>
      <c r="G464" s="10" t="inlineStr">
        <is>
          <t>Formel</t>
        </is>
      </c>
      <c r="H464" s="11" t="inlineStr">
        <is>
          <t>MIN(20;(eig_g_mut+eig_k_athletik+nk_hiebwaffen)/3)</t>
        </is>
      </c>
    </row>
    <row r="465" hidden="1" ht="15.75" customHeight="1" s="48">
      <c r="A465" s="29" t="inlineStr">
        <is>
          <t>at_klingenwaffen</t>
        </is>
      </c>
      <c r="B465" s="11" t="inlineStr">
        <is>
          <t>Nahkampf</t>
        </is>
      </c>
      <c r="C465" s="7" t="inlineStr">
        <is>
          <t>Attacke-Basis-Wert Klingenwaffen</t>
        </is>
      </c>
      <c r="E465" s="10" t="inlineStr">
        <is>
          <t>S.2</t>
        </is>
      </c>
      <c r="F465" s="10" t="n"/>
      <c r="G465" s="10" t="inlineStr">
        <is>
          <t>Formel</t>
        </is>
      </c>
      <c r="H465" s="11" t="inlineStr">
        <is>
          <t>MIN(20;(eig_g_mut+eig_k_athletik+nk_klingenwaffen)/3)</t>
        </is>
      </c>
    </row>
    <row r="466" hidden="1" ht="15.75" customHeight="1" s="48">
      <c r="A466" s="29" t="inlineStr">
        <is>
          <t>at_stangenwaffen</t>
        </is>
      </c>
      <c r="B466" s="11" t="inlineStr">
        <is>
          <t>Nahkampf</t>
        </is>
      </c>
      <c r="C466" s="7" t="inlineStr">
        <is>
          <t>Attacke-Basis-Wert Stangenwaffen</t>
        </is>
      </c>
      <c r="E466" s="10" t="inlineStr">
        <is>
          <t>S.2</t>
        </is>
      </c>
      <c r="F466" s="10" t="n"/>
      <c r="G466" s="10" t="inlineStr">
        <is>
          <t>Formel</t>
        </is>
      </c>
      <c r="H466" s="11" t="inlineStr">
        <is>
          <t>MIN(20;(eig_g_mut+eig_k_athletik+nk_stangenwaffen)/3)</t>
        </is>
      </c>
    </row>
    <row r="467" hidden="1" ht="15.75" customHeight="1" s="48">
      <c r="A467" s="29" t="inlineStr">
        <is>
          <t>at_stichwaffen</t>
        </is>
      </c>
      <c r="B467" s="11" t="inlineStr">
        <is>
          <t>Nahkampf</t>
        </is>
      </c>
      <c r="C467" s="7" t="inlineStr">
        <is>
          <t>Attacke-Basis-Wert Stichwaffen</t>
        </is>
      </c>
      <c r="E467" s="10" t="inlineStr">
        <is>
          <t>S.2</t>
        </is>
      </c>
      <c r="F467" s="10" t="n"/>
      <c r="G467" s="10" t="inlineStr">
        <is>
          <t>Formel</t>
        </is>
      </c>
      <c r="H467" s="11" t="inlineStr">
        <is>
          <t>MIN(20;(eig_g_mut+eig_k_schnelligkeit+nk_stichwaffen)/3)</t>
        </is>
      </c>
    </row>
    <row r="468" hidden="1" ht="15.75" customHeight="1" s="48">
      <c r="A468" s="29" t="inlineStr">
        <is>
          <t>at_unbewaffnet</t>
        </is>
      </c>
      <c r="B468" s="11" t="inlineStr">
        <is>
          <t>Nahkampf</t>
        </is>
      </c>
      <c r="C468" s="7" t="inlineStr">
        <is>
          <t>Attacke-Basis-Wert Unbewaffnet</t>
        </is>
      </c>
      <c r="E468" s="10" t="inlineStr">
        <is>
          <t>S.2</t>
        </is>
      </c>
      <c r="F468" s="10" t="n"/>
      <c r="G468" s="10" t="inlineStr">
        <is>
          <t>Formel</t>
        </is>
      </c>
      <c r="H468" s="11" t="inlineStr">
        <is>
          <t>MIN(20;(eig_g_mut+eig_k_schnelligkeit+nk_unbewaffnet)/3)</t>
        </is>
      </c>
    </row>
    <row r="469" hidden="1" ht="15.75" customHeight="1" s="48">
      <c r="A469" s="11" t="inlineStr">
        <is>
          <t>nk_hiebwaffen</t>
        </is>
      </c>
      <c r="B469" s="11" t="inlineStr">
        <is>
          <t>Nahkampf</t>
        </is>
      </c>
      <c r="C469" s="6" t="inlineStr">
        <is>
          <t>Hiebwaffen</t>
        </is>
      </c>
      <c r="G469" s="11" t="inlineStr">
        <is>
          <t>Wert</t>
        </is>
      </c>
      <c r="L469" t="inlineStr">
        <is>
          <t>wert*25</t>
        </is>
      </c>
    </row>
    <row r="470" hidden="1" ht="15.75" customHeight="1" s="48">
      <c r="A470" s="11" t="inlineStr">
        <is>
          <t>nk_klingenwaffen</t>
        </is>
      </c>
      <c r="B470" s="11" t="inlineStr">
        <is>
          <t>Nahkampf</t>
        </is>
      </c>
      <c r="C470" s="6" t="inlineStr">
        <is>
          <t>Klingenwaffen</t>
        </is>
      </c>
      <c r="G470" s="11" t="inlineStr">
        <is>
          <t>Wert</t>
        </is>
      </c>
      <c r="L470" t="inlineStr">
        <is>
          <t>wert*25</t>
        </is>
      </c>
    </row>
    <row r="471" hidden="1" ht="15.75" customHeight="1" s="48">
      <c r="A471" s="11" t="inlineStr">
        <is>
          <t>nk_stangenwaffen</t>
        </is>
      </c>
      <c r="B471" s="11" t="inlineStr">
        <is>
          <t>Nahkampf</t>
        </is>
      </c>
      <c r="C471" s="24" t="inlineStr">
        <is>
          <t>Stangenwaffen</t>
        </is>
      </c>
      <c r="D471" s="29" t="n"/>
      <c r="G471" s="11" t="inlineStr">
        <is>
          <t>Wert</t>
        </is>
      </c>
      <c r="L471" t="inlineStr">
        <is>
          <t>wert*25</t>
        </is>
      </c>
    </row>
    <row r="472" hidden="1" ht="15.75" customHeight="1" s="48">
      <c r="A472" s="11" t="inlineStr">
        <is>
          <t>nk_stichwaffen</t>
        </is>
      </c>
      <c r="B472" s="11" t="inlineStr">
        <is>
          <t>Nahkampf</t>
        </is>
      </c>
      <c r="C472" s="6" t="inlineStr">
        <is>
          <t>Stichwaffen</t>
        </is>
      </c>
      <c r="D472" s="29" t="n"/>
      <c r="G472" s="11" t="inlineStr">
        <is>
          <t>Wert</t>
        </is>
      </c>
      <c r="L472" t="inlineStr">
        <is>
          <t>wert*25</t>
        </is>
      </c>
    </row>
    <row r="473" hidden="1" ht="15.75" customHeight="1" s="48">
      <c r="A473" s="11" t="inlineStr">
        <is>
          <t>nk_unbewaffnet</t>
        </is>
      </c>
      <c r="B473" s="11" t="inlineStr">
        <is>
          <t>Nahkampf</t>
        </is>
      </c>
      <c r="C473" s="6" t="inlineStr">
        <is>
          <t>Unbewaffnet</t>
        </is>
      </c>
      <c r="D473" s="29" t="n"/>
      <c r="G473" s="11" t="inlineStr">
        <is>
          <t>Wert</t>
        </is>
      </c>
      <c r="L473" t="inlineStr">
        <is>
          <t>wert*25</t>
        </is>
      </c>
    </row>
    <row r="474" hidden="1" ht="15.75" customHeight="1" s="48">
      <c r="A474" s="11" t="inlineStr">
        <is>
          <t>nk_spez_hiebwaffen_aexte</t>
        </is>
      </c>
      <c r="B474" s="11" t="inlineStr">
        <is>
          <t>Nahkampf</t>
        </is>
      </c>
      <c r="C474" s="13" t="inlineStr">
        <is>
          <t>-&gt; Äxte</t>
        </is>
      </c>
      <c r="D474" s="10" t="n"/>
      <c r="F474" s="11" t="inlineStr">
        <is>
          <t>nk_hiebwaffen</t>
        </is>
      </c>
      <c r="G474" s="11" t="inlineStr">
        <is>
          <t>Wert</t>
        </is>
      </c>
    </row>
    <row r="475" hidden="1" ht="15.75" customHeight="1" s="48">
      <c r="A475" s="11" t="inlineStr">
        <is>
          <t>nk_spez_hiebwaffen_kettenwaffen</t>
        </is>
      </c>
      <c r="B475" s="11" t="inlineStr">
        <is>
          <t>Nahkampf</t>
        </is>
      </c>
      <c r="C475" s="13" t="inlineStr">
        <is>
          <t>-&gt; Kettenwaffen</t>
        </is>
      </c>
      <c r="D475" s="10" t="n"/>
      <c r="F475" s="11" t="inlineStr">
        <is>
          <t>nk_hiebwaffen</t>
        </is>
      </c>
      <c r="G475" s="11" t="inlineStr">
        <is>
          <t>Wert</t>
        </is>
      </c>
    </row>
    <row r="476" hidden="1" ht="15.75" customHeight="1" s="48">
      <c r="A476" s="11" t="inlineStr">
        <is>
          <t>nk_spez_hiebwaffen_stumpfe_hiebwaffen</t>
        </is>
      </c>
      <c r="B476" s="11" t="inlineStr">
        <is>
          <t>Nahkampf</t>
        </is>
      </c>
      <c r="C476" s="13" t="inlineStr">
        <is>
          <t>-&gt; Stumpfe Hiebwaffen</t>
        </is>
      </c>
      <c r="D476" s="10" t="n"/>
      <c r="F476" s="11" t="inlineStr">
        <is>
          <t>nk_hiebwaffen</t>
        </is>
      </c>
      <c r="G476" s="11" t="inlineStr">
        <is>
          <t>Wert</t>
        </is>
      </c>
    </row>
    <row r="477" hidden="1" ht="15.75" customHeight="1" s="48">
      <c r="A477" s="11" t="inlineStr">
        <is>
          <t>nk_spez_klingenwaffen_kurzschwerter</t>
        </is>
      </c>
      <c r="B477" s="11" t="inlineStr">
        <is>
          <t>Nahkampf</t>
        </is>
      </c>
      <c r="C477" s="13" t="inlineStr">
        <is>
          <t>-&gt; Kurzschwerter</t>
        </is>
      </c>
      <c r="D477" s="10" t="n"/>
      <c r="F477" s="11" t="inlineStr">
        <is>
          <t>nk_klingenwaffen</t>
        </is>
      </c>
      <c r="G477" s="11" t="inlineStr">
        <is>
          <t>Wert</t>
        </is>
      </c>
    </row>
    <row r="478" hidden="1" ht="15.75" customHeight="1" s="48">
      <c r="A478" s="11" t="inlineStr">
        <is>
          <t>nk_spez_klingenwaffen_schwerter</t>
        </is>
      </c>
      <c r="B478" s="11" t="inlineStr">
        <is>
          <t>Nahkampf</t>
        </is>
      </c>
      <c r="C478" s="13" t="inlineStr">
        <is>
          <t>-&gt; Schwerter</t>
        </is>
      </c>
      <c r="D478" s="10" t="n"/>
      <c r="F478" s="11" t="inlineStr">
        <is>
          <t>nk_klingenwaffen</t>
        </is>
      </c>
      <c r="G478" s="11" t="inlineStr">
        <is>
          <t>Wert</t>
        </is>
      </c>
    </row>
    <row r="479" hidden="1" ht="15.75" customHeight="1" s="48">
      <c r="A479" s="11" t="inlineStr">
        <is>
          <t>nk_spez_klingenwaffen_zweihaender</t>
        </is>
      </c>
      <c r="B479" s="11" t="inlineStr">
        <is>
          <t>Nahkampf</t>
        </is>
      </c>
      <c r="C479" s="13" t="inlineStr">
        <is>
          <t>-&gt; Zweihänder</t>
        </is>
      </c>
      <c r="D479" s="10" t="n"/>
      <c r="F479" s="11" t="inlineStr">
        <is>
          <t>nk_klingenwaffen</t>
        </is>
      </c>
      <c r="G479" s="11" t="inlineStr">
        <is>
          <t>Wert</t>
        </is>
      </c>
    </row>
    <row r="480" hidden="1" ht="15.75" customHeight="1" s="48">
      <c r="A480" s="11" t="inlineStr">
        <is>
          <t>nk_spez_stangenwaffen_hellebarden</t>
        </is>
      </c>
      <c r="B480" s="11" t="inlineStr">
        <is>
          <t>Nahkampf</t>
        </is>
      </c>
      <c r="C480" s="13" t="inlineStr">
        <is>
          <t>-&gt; Hellebarden</t>
        </is>
      </c>
      <c r="D480" s="10" t="n"/>
      <c r="F480" s="11" t="inlineStr">
        <is>
          <t>nk_stangenwaffen</t>
        </is>
      </c>
      <c r="G480" s="11" t="inlineStr">
        <is>
          <t>Wert</t>
        </is>
      </c>
    </row>
    <row r="481" hidden="1" ht="15.75" customHeight="1" s="48">
      <c r="A481" s="11" t="inlineStr">
        <is>
          <t>nk_spez_stangenwaffen_lanzen</t>
        </is>
      </c>
      <c r="B481" s="11" t="inlineStr">
        <is>
          <t>Nahkampf</t>
        </is>
      </c>
      <c r="C481" s="13" t="inlineStr">
        <is>
          <t>-&gt; Lanzen</t>
        </is>
      </c>
      <c r="D481" s="10" t="n"/>
      <c r="F481" s="11" t="inlineStr">
        <is>
          <t>nk_stangenwaffen</t>
        </is>
      </c>
      <c r="G481" s="11" t="inlineStr">
        <is>
          <t>Wert</t>
        </is>
      </c>
    </row>
    <row r="482" hidden="1" ht="15.75" customHeight="1" s="48">
      <c r="A482" s="11" t="inlineStr">
        <is>
          <t>nk_spez_stangenwaffen_speere</t>
        </is>
      </c>
      <c r="B482" s="11" t="inlineStr">
        <is>
          <t>Nahkampf</t>
        </is>
      </c>
      <c r="C482" s="13" t="inlineStr">
        <is>
          <t>-&gt; Speere</t>
        </is>
      </c>
      <c r="D482" s="10" t="n"/>
      <c r="F482" s="11" t="inlineStr">
        <is>
          <t>nk_stangenwaffen</t>
        </is>
      </c>
      <c r="G482" s="11" t="inlineStr">
        <is>
          <t>Wert</t>
        </is>
      </c>
    </row>
    <row r="483" hidden="1" ht="15.75" customHeight="1" s="48">
      <c r="A483" s="11" t="inlineStr">
        <is>
          <t>nk_spez_stangenwaffen_staebe</t>
        </is>
      </c>
      <c r="B483" s="11" t="inlineStr">
        <is>
          <t>Nahkampf</t>
        </is>
      </c>
      <c r="C483" s="13" t="inlineStr">
        <is>
          <t>-&gt; Stäbe</t>
        </is>
      </c>
      <c r="D483" s="10" t="n"/>
      <c r="F483" s="11" t="inlineStr">
        <is>
          <t>nk_stangenwaffen</t>
        </is>
      </c>
      <c r="G483" s="11" t="inlineStr">
        <is>
          <t>Wert</t>
        </is>
      </c>
    </row>
    <row r="484" hidden="1" ht="15.75" customHeight="1" s="48">
      <c r="A484" s="11" t="inlineStr">
        <is>
          <t>nk_spez_stichwaffen_dolche</t>
        </is>
      </c>
      <c r="B484" s="11" t="inlineStr">
        <is>
          <t>Nahkampf</t>
        </is>
      </c>
      <c r="C484" s="13" t="inlineStr">
        <is>
          <t>-&gt; Dolche</t>
        </is>
      </c>
      <c r="D484" s="10" t="n"/>
      <c r="F484" s="11" t="inlineStr">
        <is>
          <t>nk_stichwaffen</t>
        </is>
      </c>
      <c r="G484" s="11" t="inlineStr">
        <is>
          <t>Wert</t>
        </is>
      </c>
    </row>
    <row r="485" hidden="1" ht="15.75" customHeight="1" s="48">
      <c r="A485" s="11" t="inlineStr">
        <is>
          <t>nk_spez_stichwaffen_fechtwaffen</t>
        </is>
      </c>
      <c r="B485" s="11" t="inlineStr">
        <is>
          <t>Nahkampf</t>
        </is>
      </c>
      <c r="C485" s="13" t="inlineStr">
        <is>
          <t>-&gt; Fechtwaffen</t>
        </is>
      </c>
      <c r="D485" s="10" t="n"/>
      <c r="F485" s="11" t="inlineStr">
        <is>
          <t>nk_stichwaffen</t>
        </is>
      </c>
      <c r="G485" s="11" t="inlineStr">
        <is>
          <t>Wert</t>
        </is>
      </c>
    </row>
    <row r="486" hidden="1" ht="15.75" customHeight="1" s="48">
      <c r="A486" s="11" t="inlineStr">
        <is>
          <t>nk_spez_unbewaffnet_armklingen</t>
        </is>
      </c>
      <c r="B486" s="11" t="inlineStr">
        <is>
          <t>Nahkampf</t>
        </is>
      </c>
      <c r="C486" s="13" t="inlineStr">
        <is>
          <t>-&gt; Armklingen</t>
        </is>
      </c>
      <c r="D486" s="10" t="n"/>
      <c r="F486" s="11" t="inlineStr">
        <is>
          <t>nk_unbewaffnet</t>
        </is>
      </c>
      <c r="G486" s="11" t="inlineStr">
        <is>
          <t>Wert</t>
        </is>
      </c>
    </row>
    <row r="487" hidden="1" ht="15.75" customHeight="1" s="48">
      <c r="A487" s="11" t="inlineStr">
        <is>
          <t>nk_spez_unbewaffnet_messer</t>
        </is>
      </c>
      <c r="B487" s="11" t="inlineStr">
        <is>
          <t>Nahkampf</t>
        </is>
      </c>
      <c r="C487" s="13" t="inlineStr">
        <is>
          <t>-&gt; Messer</t>
        </is>
      </c>
      <c r="D487" s="10" t="n"/>
      <c r="F487" s="11" t="inlineStr">
        <is>
          <t>nk_unbewaffnet</t>
        </is>
      </c>
      <c r="G487" s="11" t="inlineStr">
        <is>
          <t>Wert</t>
        </is>
      </c>
    </row>
    <row r="488" hidden="1" ht="15.75" customHeight="1" s="48">
      <c r="A488" s="11" t="inlineStr">
        <is>
          <t>nk_spez_unbewaffnet_peitschen</t>
        </is>
      </c>
      <c r="B488" s="11" t="inlineStr">
        <is>
          <t>Nahkampf</t>
        </is>
      </c>
      <c r="C488" s="13" t="inlineStr">
        <is>
          <t>-&gt; Peitschen</t>
        </is>
      </c>
      <c r="D488" s="10" t="n"/>
      <c r="F488" s="11" t="inlineStr">
        <is>
          <t>nk_unbewaffnet</t>
        </is>
      </c>
      <c r="G488" s="11" t="inlineStr">
        <is>
          <t>Wert</t>
        </is>
      </c>
    </row>
    <row r="489" hidden="1" ht="15.75" customHeight="1" s="48">
      <c r="A489" s="11" t="inlineStr">
        <is>
          <t>nk_spez_unbewaffnet_unbewaffnet</t>
        </is>
      </c>
      <c r="B489" s="11" t="inlineStr">
        <is>
          <t>Nahkampf</t>
        </is>
      </c>
      <c r="C489" s="13" t="inlineStr">
        <is>
          <t>-&gt; Unbewaffnet</t>
        </is>
      </c>
      <c r="D489" s="10" t="n"/>
      <c r="F489" s="11" t="inlineStr">
        <is>
          <t>nk_unbewaffnet</t>
        </is>
      </c>
      <c r="G489" s="11" t="inlineStr">
        <is>
          <t>Wert</t>
        </is>
      </c>
    </row>
    <row r="490" hidden="1" ht="15.75" customHeight="1" s="48">
      <c r="A490" s="11" t="inlineStr">
        <is>
          <t>nk_spez_unbewaffnet_schild</t>
        </is>
      </c>
      <c r="B490" s="11" t="inlineStr">
        <is>
          <t>Nahkampf</t>
        </is>
      </c>
      <c r="C490" s="13" t="inlineStr">
        <is>
          <t>-&gt; Schild</t>
        </is>
      </c>
      <c r="D490" s="10" t="n"/>
      <c r="F490" s="11" t="inlineStr">
        <is>
          <t>nk_unbewaffnet</t>
        </is>
      </c>
      <c r="G490" s="11" t="inlineStr">
        <is>
          <t>Wert</t>
        </is>
      </c>
    </row>
    <row r="491" hidden="1" ht="15.75" customHeight="1" s="48">
      <c r="A491" s="29" t="inlineStr">
        <is>
          <t>pa_hiebwaffen</t>
        </is>
      </c>
      <c r="B491" s="11" t="inlineStr">
        <is>
          <t>Nahkampf</t>
        </is>
      </c>
      <c r="C491" s="7" t="inlineStr">
        <is>
          <t>Parade-Basis-Wert Hiebwaffen</t>
        </is>
      </c>
      <c r="E491" s="10" t="inlineStr">
        <is>
          <t>S.2</t>
        </is>
      </c>
      <c r="F491" s="10" t="n"/>
      <c r="G491" s="10" t="inlineStr">
        <is>
          <t>Formel</t>
        </is>
      </c>
      <c r="H491" s="11" t="inlineStr">
        <is>
          <t>MIN(20;(eig_k_athletik+eig_k_schnelligkeit+nk_hiebwaffen)/3)</t>
        </is>
      </c>
    </row>
    <row r="492" hidden="1" ht="15.75" customHeight="1" s="48">
      <c r="A492" s="29" t="inlineStr">
        <is>
          <t>pa_klingenwaffen</t>
        </is>
      </c>
      <c r="B492" s="11" t="inlineStr">
        <is>
          <t>Nahkampf</t>
        </is>
      </c>
      <c r="C492" s="7" t="inlineStr">
        <is>
          <t>Parade-Basis-Wert Klingenwaffen</t>
        </is>
      </c>
      <c r="E492" s="10" t="inlineStr">
        <is>
          <t>S.2</t>
        </is>
      </c>
      <c r="F492" s="10" t="n"/>
      <c r="G492" s="10" t="inlineStr">
        <is>
          <t>Formel</t>
        </is>
      </c>
      <c r="H492" s="11" t="inlineStr">
        <is>
          <t>MIN(20;(eig_k_athletik+eig_k_schnelligkeit+nk_klingenwaffen)/3)</t>
        </is>
      </c>
    </row>
    <row r="493" hidden="1" ht="15.75" customHeight="1" s="48">
      <c r="A493" s="29" t="inlineStr">
        <is>
          <t>pa_stangenwaffen</t>
        </is>
      </c>
      <c r="B493" s="11" t="inlineStr">
        <is>
          <t>Nahkampf</t>
        </is>
      </c>
      <c r="C493" s="7" t="inlineStr">
        <is>
          <t>Parade-Basis-Wert Stangenwaffen</t>
        </is>
      </c>
      <c r="E493" s="10" t="inlineStr">
        <is>
          <t>S.2</t>
        </is>
      </c>
      <c r="F493" s="10" t="n"/>
      <c r="G493" s="10" t="inlineStr">
        <is>
          <t>Formel</t>
        </is>
      </c>
      <c r="H493" s="11" t="inlineStr">
        <is>
          <t>MIN(20;(eig_k_athletik+eig_k_schnelligkeit+nk_stangenwaffen)/3)</t>
        </is>
      </c>
    </row>
    <row r="494" hidden="1" ht="15.75" customHeight="1" s="48">
      <c r="A494" s="29" t="inlineStr">
        <is>
          <t>pa_stichwaffen</t>
        </is>
      </c>
      <c r="B494" s="11" t="inlineStr">
        <is>
          <t>Nahkampf</t>
        </is>
      </c>
      <c r="C494" s="7" t="inlineStr">
        <is>
          <t>Parade-Basis-Wert Stichwaffen</t>
        </is>
      </c>
      <c r="E494" s="10" t="inlineStr">
        <is>
          <t>S.2</t>
        </is>
      </c>
      <c r="F494" s="10" t="n"/>
      <c r="G494" s="10" t="inlineStr">
        <is>
          <t>Formel</t>
        </is>
      </c>
      <c r="H494" s="11" t="inlineStr">
        <is>
          <t>MIN(20;(eig_k_athletik+eig_k_schnelligkeit+nk_stichwaffen)/3)</t>
        </is>
      </c>
    </row>
    <row r="495" hidden="1" ht="15.75" customHeight="1" s="48">
      <c r="A495" s="29" t="inlineStr">
        <is>
          <t>pa_unbewaffnet</t>
        </is>
      </c>
      <c r="B495" s="11" t="inlineStr">
        <is>
          <t>Nahkampf</t>
        </is>
      </c>
      <c r="C495" s="7" t="inlineStr">
        <is>
          <t>Parade-Basis-Wert Unbewaffnet</t>
        </is>
      </c>
      <c r="E495" s="10" t="inlineStr">
        <is>
          <t>S.2</t>
        </is>
      </c>
      <c r="F495" s="10" t="n"/>
      <c r="G495" s="10" t="inlineStr">
        <is>
          <t>Formel</t>
        </is>
      </c>
      <c r="H495" s="11" t="inlineStr">
        <is>
          <t>MIN(20;(eig_k_athletik+eig_k_schnelligkeit+nk_unbewaffnet)/3)</t>
        </is>
      </c>
    </row>
    <row r="496" hidden="1" ht="15.75" customHeight="1" s="48">
      <c r="A496" s="11" t="inlineStr">
        <is>
          <t>nk_pool_hiebwaffen</t>
        </is>
      </c>
      <c r="B496" s="11" t="inlineStr">
        <is>
          <t>Nahkampf</t>
        </is>
      </c>
      <c r="C496" s="12" t="inlineStr">
        <is>
          <t>Pool Hiebwaffen</t>
        </is>
      </c>
      <c r="G496" s="11" t="inlineStr">
        <is>
          <t>Pool</t>
        </is>
      </c>
      <c r="I496" t="inlineStr">
        <is>
          <t>MAX(0;(eig_g_mut+eig_k_athletik+nk_hiebwaffen)/3-20)+MAX(0;(eig_k_athletik+eig_k_schnelligkeit+nk_hiebwaffen)/3-20)</t>
        </is>
      </c>
    </row>
    <row r="497" hidden="1" ht="15.75" customHeight="1" s="48">
      <c r="A497" s="11" t="inlineStr">
        <is>
          <t>nk_pool_hiebwaffen_aexte</t>
        </is>
      </c>
      <c r="B497" s="11" t="inlineStr">
        <is>
          <t>Nahkampf</t>
        </is>
      </c>
      <c r="C497" s="12" t="inlineStr">
        <is>
          <t>Pool Äxte</t>
        </is>
      </c>
      <c r="G497" s="11" t="inlineStr">
        <is>
          <t>Pool</t>
        </is>
      </c>
      <c r="I497" t="inlineStr">
        <is>
          <t>nk_spez_hiebwaffen_aexte+MAX(0;(eig_g_mut+eig_k_athletik+nk_hiebwaffen)/3-20)+MAX(0;(eig_k_athletik+eig_k_schnelligkeit+nk_hiebwaffen)/3-20)</t>
        </is>
      </c>
    </row>
    <row r="498" hidden="1" ht="15.75" customHeight="1" s="48">
      <c r="A498" s="11" t="inlineStr">
        <is>
          <t>nk_pool_hiebwaffen_kettenwaffen</t>
        </is>
      </c>
      <c r="B498" s="11" t="inlineStr">
        <is>
          <t>Nahkampf</t>
        </is>
      </c>
      <c r="C498" s="12" t="inlineStr">
        <is>
          <t>Pool Kettenwaffen</t>
        </is>
      </c>
      <c r="G498" s="11" t="inlineStr">
        <is>
          <t>Pool</t>
        </is>
      </c>
      <c r="I498" t="inlineStr">
        <is>
          <t>nk_spez_hiebwaffen_kettenwaffen+MAX(0;(eig_g_mut+eig_k_athletik+nk_hiebwaffen)/3-20)+MAX(0;(eig_k_athletik+eig_k_schnelligkeit+nk_hiebwaffen)/3-20)</t>
        </is>
      </c>
    </row>
    <row r="499" hidden="1" ht="15.75" customHeight="1" s="48">
      <c r="A499" s="11" t="inlineStr">
        <is>
          <t>nk_pool_hiebwaffen_stumpfe_hiebwaffen</t>
        </is>
      </c>
      <c r="B499" s="11" t="inlineStr">
        <is>
          <t>Nahkampf</t>
        </is>
      </c>
      <c r="C499" s="12" t="inlineStr">
        <is>
          <t>Pool Stumpfe Hiebwaffen</t>
        </is>
      </c>
      <c r="G499" s="11" t="inlineStr">
        <is>
          <t>Pool</t>
        </is>
      </c>
      <c r="I499" t="inlineStr">
        <is>
          <t>nk_spez_hiebwaffen_stumpfe_hiebwaffen+MAX(0;(eig_g_mut+eig_k_athletik+nk_hiebwaffen)/3-20)+MAX(0;(eig_k_athletik+eig_k_schnelligkeit+nk_hiebwaffen)/3-20)</t>
        </is>
      </c>
    </row>
    <row r="500" hidden="1" ht="15.75" customHeight="1" s="48">
      <c r="A500" s="11" t="inlineStr">
        <is>
          <t>nk_pool_klingenwaffen</t>
        </is>
      </c>
      <c r="B500" s="11" t="inlineStr">
        <is>
          <t>Nahkampf</t>
        </is>
      </c>
      <c r="C500" s="12" t="inlineStr">
        <is>
          <t>Pool Klingenwaffen</t>
        </is>
      </c>
      <c r="G500" s="11" t="inlineStr">
        <is>
          <t>Pool</t>
        </is>
      </c>
      <c r="I500" t="inlineStr">
        <is>
          <t>MAX(0;(eig_g_mut+eig_k_athletik+nk_klingenwaffen)/3-20)+MAX(0;(eig_k_athletik+eig_k_schnelligkeit+nk_klingenwaffen)/3-20)</t>
        </is>
      </c>
    </row>
    <row r="501" hidden="1" ht="15.75" customHeight="1" s="48">
      <c r="A501" s="11" t="inlineStr">
        <is>
          <t>nk_pool_klingenwaffen_zweihaender</t>
        </is>
      </c>
      <c r="B501" s="11" t="inlineStr">
        <is>
          <t>Nahkampf</t>
        </is>
      </c>
      <c r="C501" s="12" t="inlineStr">
        <is>
          <t>Pool Zweihänder</t>
        </is>
      </c>
      <c r="G501" s="11" t="inlineStr">
        <is>
          <t>Pool</t>
        </is>
      </c>
      <c r="I501" t="inlineStr">
        <is>
          <t>nk_spez_klingenwaffen_zweihaender+MAX(0;(eig_g_mut+eig_k_athletik+nk_klingenwaffen)/3-20)+MAX(0;(eig_k_athletik+eig_k_schnelligkeit+nk_klingenwaffen)/3-20)</t>
        </is>
      </c>
    </row>
    <row r="502" hidden="1" ht="15.75" customHeight="1" s="48">
      <c r="A502" s="11" t="inlineStr">
        <is>
          <t>nk_pool_klingenwaffen_kurzschwerter</t>
        </is>
      </c>
      <c r="B502" s="11" t="inlineStr">
        <is>
          <t>Nahkampf</t>
        </is>
      </c>
      <c r="C502" s="12" t="inlineStr">
        <is>
          <t>Pool Kurzschwerter</t>
        </is>
      </c>
      <c r="G502" s="11" t="inlineStr">
        <is>
          <t>Pool</t>
        </is>
      </c>
      <c r="I502" t="inlineStr">
        <is>
          <t>nk_spez_klingenwaffen_kurzschwerter+MAX(0;(eig_g_mut+eig_k_athletik+nk_klingenwaffen)/3-20)+MAX(0;(eig_k_athletik+eig_k_schnelligkeit+nk_klingenwaffen)/3-20)</t>
        </is>
      </c>
    </row>
    <row r="503" hidden="1" ht="15.75" customHeight="1" s="48">
      <c r="A503" s="11" t="inlineStr">
        <is>
          <t>nk_pool_klingenwaffen_schwerter</t>
        </is>
      </c>
      <c r="B503" s="11" t="inlineStr">
        <is>
          <t>Nahkampf</t>
        </is>
      </c>
      <c r="C503" s="12" t="inlineStr">
        <is>
          <t>Pool Schwerter</t>
        </is>
      </c>
      <c r="G503" s="11" t="inlineStr">
        <is>
          <t>Pool</t>
        </is>
      </c>
      <c r="I503" t="inlineStr">
        <is>
          <t>nk_spez_klingenwaffen_schwerter+MAX(0;(eig_g_mut+eig_k_athletik+nk_klingenwaffen)/3-20)+MAX(0;(eig_k_athletik+eig_k_schnelligkeit+nk_klingenwaffen)/3-20)</t>
        </is>
      </c>
    </row>
    <row r="504" hidden="1" ht="15.75" customHeight="1" s="48">
      <c r="A504" s="11" t="inlineStr">
        <is>
          <t>nk_pool_stangenwaffen</t>
        </is>
      </c>
      <c r="B504" s="11" t="inlineStr">
        <is>
          <t>Nahkampf</t>
        </is>
      </c>
      <c r="C504" s="12" t="inlineStr">
        <is>
          <t>Pool Stangenwaffen</t>
        </is>
      </c>
      <c r="G504" s="11" t="inlineStr">
        <is>
          <t>Pool</t>
        </is>
      </c>
      <c r="I504" t="inlineStr">
        <is>
          <t>MAX(0;(eig_g_mut+eig_k_athletik+nk_stangenwaffen)/3-20)+MAX(0;(eig_k_athletik+eig_k_schnelligkeit+nk_stangenwaffen)/3-20)</t>
        </is>
      </c>
    </row>
    <row r="505" hidden="1" ht="15.75" customHeight="1" s="48">
      <c r="A505" s="11" t="inlineStr">
        <is>
          <t>nk_pool_stangenwaffen_hellebarden</t>
        </is>
      </c>
      <c r="B505" s="11" t="inlineStr">
        <is>
          <t>Nahkampf</t>
        </is>
      </c>
      <c r="C505" s="12" t="inlineStr">
        <is>
          <t>Pool Hellebarden</t>
        </is>
      </c>
      <c r="G505" s="11" t="inlineStr">
        <is>
          <t>Pool</t>
        </is>
      </c>
      <c r="I505" t="inlineStr">
        <is>
          <t>nk_spez_stangenwaffen_hellebarden+MAX(0;(eig_g_mut+eig_k_athletik+nk_stangenwaffen)/3-20)+MAX(0;(eig_k_athletik+eig_k_schnelligkeit+nk_stangenwaffen)/3-20)</t>
        </is>
      </c>
    </row>
    <row r="506" hidden="1" ht="15.75" customHeight="1" s="48">
      <c r="A506" s="11" t="inlineStr">
        <is>
          <t>nk_pool_stangenwaffen_lanzen</t>
        </is>
      </c>
      <c r="B506" s="11" t="inlineStr">
        <is>
          <t>Nahkampf</t>
        </is>
      </c>
      <c r="C506" s="12" t="inlineStr">
        <is>
          <t>Pool Lanzen</t>
        </is>
      </c>
      <c r="G506" s="11" t="inlineStr">
        <is>
          <t>Pool</t>
        </is>
      </c>
      <c r="I506" t="inlineStr">
        <is>
          <t>nk_spez_stangenwaffen_lanzen+MAX(0;(eig_g_mut+eig_k_athletik+nk_stangenwaffen)/3-20)+MAX(0;(eig_k_athletik+eig_k_schnelligkeit+nk_stangenwaffen)/3-20)</t>
        </is>
      </c>
    </row>
    <row r="507" hidden="1" ht="15.75" customHeight="1" s="48">
      <c r="A507" s="11" t="inlineStr">
        <is>
          <t>nk_pool_stangenwaffen_speere</t>
        </is>
      </c>
      <c r="B507" s="11" t="inlineStr">
        <is>
          <t>Nahkampf</t>
        </is>
      </c>
      <c r="C507" s="12" t="inlineStr">
        <is>
          <t>Pool Speere</t>
        </is>
      </c>
      <c r="G507" s="11" t="inlineStr">
        <is>
          <t>Pool</t>
        </is>
      </c>
      <c r="I507" t="inlineStr">
        <is>
          <t>nk_spez_stangenwaffen_speere+MAX(0;(eig_g_mut+eig_k_athletik+nk_stangenwaffen)/3-20)+MAX(0;(eig_k_athletik+eig_k_schnelligkeit+nk_stangenwaffen)/3-20)</t>
        </is>
      </c>
    </row>
    <row r="508" hidden="1" ht="15.75" customHeight="1" s="48">
      <c r="A508" s="11" t="inlineStr">
        <is>
          <t>nk_pool_stangenwaffen_staebe</t>
        </is>
      </c>
      <c r="B508" s="11" t="inlineStr">
        <is>
          <t>Nahkampf</t>
        </is>
      </c>
      <c r="C508" s="12" t="inlineStr">
        <is>
          <t>Pool Stäbe</t>
        </is>
      </c>
      <c r="G508" s="11" t="inlineStr">
        <is>
          <t>Pool</t>
        </is>
      </c>
      <c r="I508" t="inlineStr">
        <is>
          <t>nk_spez_stangenwaffen_staebe+MAX(0;(eig_g_mut+eig_k_athletik+nk_stangenwaffen)/3-20)+MAX(0;(eig_k_athletik+eig_k_schnelligkeit+nk_stangenwaffen)/3-20)</t>
        </is>
      </c>
    </row>
    <row r="509" hidden="1" ht="15.75" customHeight="1" s="48">
      <c r="A509" s="11" t="inlineStr">
        <is>
          <t>nk_pool_stichwaffen</t>
        </is>
      </c>
      <c r="B509" s="11" t="inlineStr">
        <is>
          <t>Nahkampf</t>
        </is>
      </c>
      <c r="C509" s="12" t="inlineStr">
        <is>
          <t>Pool Stichwaffen</t>
        </is>
      </c>
      <c r="G509" s="11" t="inlineStr">
        <is>
          <t>Pool</t>
        </is>
      </c>
      <c r="I509" t="inlineStr">
        <is>
          <t>MAX(0;(eig_g_mut+eig_k_schnelligkeit+nk_stichwaffen)/3-20)+MAX(0;(eig_k_athletik+eig_k_schnelligkeit+nk_stichwaffen)/3-20)</t>
        </is>
      </c>
    </row>
    <row r="510" hidden="1" ht="15.75" customHeight="1" s="48">
      <c r="A510" s="11" t="inlineStr">
        <is>
          <t>nk_pool_stichwaffen_dolche</t>
        </is>
      </c>
      <c r="B510" s="11" t="inlineStr">
        <is>
          <t>Nahkampf</t>
        </is>
      </c>
      <c r="C510" s="12" t="inlineStr">
        <is>
          <t>Pool Dolche</t>
        </is>
      </c>
      <c r="G510" s="11" t="inlineStr">
        <is>
          <t>Pool</t>
        </is>
      </c>
      <c r="I510" t="inlineStr">
        <is>
          <t>nk_spez_stichwaffen_dolche+MAX(0;(eig_g_mut+eig_k_schnelligkeit+nk_stichwaffen)/3-20)+MAX(0;(eig_k_athletik+eig_k_schnelligkeit+nk_stichwaffen)/3-20)</t>
        </is>
      </c>
    </row>
    <row r="511" hidden="1" ht="15.75" customHeight="1" s="48">
      <c r="A511" s="11" t="inlineStr">
        <is>
          <t>nk_pool_stichwaffen_fechtwaffen</t>
        </is>
      </c>
      <c r="B511" s="11" t="inlineStr">
        <is>
          <t>Nahkampf</t>
        </is>
      </c>
      <c r="C511" s="12" t="inlineStr">
        <is>
          <t>Pool Fechtwaffen</t>
        </is>
      </c>
      <c r="G511" s="11" t="inlineStr">
        <is>
          <t>Pool</t>
        </is>
      </c>
      <c r="I511" t="inlineStr">
        <is>
          <t>nk_spez_stichwaffen_fechtwaffen+MAX(0;(eig_g_mut+eig_k_schnelligkeit+nk_stichwaffen)/3-20)+MAX(0;(eig_k_athletik+eig_k_schnelligkeit+nk_stichwaffen)/3-20)</t>
        </is>
      </c>
    </row>
    <row r="512" hidden="1" ht="15.75" customHeight="1" s="48">
      <c r="A512" s="11" t="inlineStr">
        <is>
          <t>nk_pool_unbewaffnet_armklingen</t>
        </is>
      </c>
      <c r="B512" s="11" t="inlineStr">
        <is>
          <t>Nahkampf</t>
        </is>
      </c>
      <c r="C512" s="12" t="inlineStr">
        <is>
          <t>Pool Armklingen</t>
        </is>
      </c>
      <c r="G512" s="11" t="inlineStr">
        <is>
          <t>Pool</t>
        </is>
      </c>
      <c r="I512" t="inlineStr">
        <is>
          <t>nk_spez_unbewaffnet_armklingen+MAX(0;(eig_g_mut+eig_k_schnelligkeit+nk_unbewaffnet)/3-20)+MAX(0;(eig_k_athletik+eig_k_schnelligkeit+nk_unbewaffnet)/3-20)</t>
        </is>
      </c>
    </row>
    <row r="513" hidden="1" ht="15.75" customHeight="1" s="48">
      <c r="A513" s="11" t="inlineStr">
        <is>
          <t>nk_pool_unbewaffnet_messer</t>
        </is>
      </c>
      <c r="B513" s="11" t="inlineStr">
        <is>
          <t>Nahkampf</t>
        </is>
      </c>
      <c r="C513" s="12" t="inlineStr">
        <is>
          <t>Pool Messer</t>
        </is>
      </c>
      <c r="G513" s="11" t="inlineStr">
        <is>
          <t>Pool</t>
        </is>
      </c>
      <c r="I513" t="inlineStr">
        <is>
          <t>nk_spez_unbewaffnet_messer+MAX(0;(eig_g_mut+eig_k_schnelligkeit+nk_unbewaffnet)/3-20)+MAX(0;(eig_k_athletik+eig_k_schnelligkeit+nk_unbewaffnet)/3-20)</t>
        </is>
      </c>
    </row>
    <row r="514" hidden="1" ht="15.75" customHeight="1" s="48">
      <c r="A514" s="11" t="inlineStr">
        <is>
          <t>nk_pool_unbewaffnet_peitschen</t>
        </is>
      </c>
      <c r="B514" s="11" t="inlineStr">
        <is>
          <t>Nahkampf</t>
        </is>
      </c>
      <c r="C514" s="12" t="inlineStr">
        <is>
          <t>Pool Peitschen</t>
        </is>
      </c>
      <c r="G514" s="11" t="inlineStr">
        <is>
          <t>Pool</t>
        </is>
      </c>
      <c r="I514" t="inlineStr">
        <is>
          <t>nk_spez_unbewaffnet_peitschen+MAX(0;(eig_g_mut+eig_k_schnelligkeit+nk_unbewaffnet)/3-20)+MAX(0;(eig_k_athletik+eig_k_schnelligkeit+nk_unbewaffnet)/3-20)</t>
        </is>
      </c>
    </row>
    <row r="515" hidden="1" ht="15.75" customHeight="1" s="48">
      <c r="A515" s="11" t="inlineStr">
        <is>
          <t>nk_pool_unbewaffnet_unbewaffnet</t>
        </is>
      </c>
      <c r="B515" s="11" t="inlineStr">
        <is>
          <t>Nahkampf</t>
        </is>
      </c>
      <c r="C515" s="12" t="inlineStr">
        <is>
          <t>Pool Unbewaffnet</t>
        </is>
      </c>
      <c r="G515" s="11" t="inlineStr">
        <is>
          <t>Pool</t>
        </is>
      </c>
      <c r="H515" s="16" t="n"/>
      <c r="I515" s="16" t="inlineStr">
        <is>
          <t>nk_spez_unbewaffnet_unbewaffnet+MAX(0;(eig_g_mut+eig_k_schnelligkeit+nk_unbewaffnet)/3-20)</t>
        </is>
      </c>
    </row>
    <row r="516" hidden="1" ht="15.75" customHeight="1" s="48">
      <c r="A516" s="11" t="inlineStr">
        <is>
          <t>nk_pool_unbewaffnet_schild</t>
        </is>
      </c>
      <c r="B516" s="11" t="inlineStr">
        <is>
          <t>Nahkampf</t>
        </is>
      </c>
      <c r="C516" s="12" t="inlineStr">
        <is>
          <t>Pool Schild</t>
        </is>
      </c>
      <c r="G516" s="11" t="inlineStr">
        <is>
          <t>Pool</t>
        </is>
      </c>
      <c r="I516" t="inlineStr">
        <is>
          <t>nk_spez_unbewaffnet_schild+MAX(0;(eig_g_mut+eig_k_schnelligkeit+nk_unbewaffnet)/3-20)+MAX(0;(eig_k_athletik+eig_k_schnelligkeit+nk_unbewaffnet)/3-20)</t>
        </is>
      </c>
    </row>
    <row r="517" hidden="1" ht="15.75" customHeight="1" s="48">
      <c r="A517" t="inlineStr">
        <is>
          <t>nk_spez_unbewaffnet_boxen</t>
        </is>
      </c>
      <c r="B517" t="inlineStr">
        <is>
          <t>Nahkampf</t>
        </is>
      </c>
      <c r="C517" t="inlineStr">
        <is>
          <t>-&gt; Boxen</t>
        </is>
      </c>
      <c r="E517" t="inlineStr">
        <is>
          <t>Nur Volk: Dalkini, Zwerg, Ork. Details (Schaden, Specials) siehe Sheet 'NK-Waffen-Basis'. Quelle: Nahkampftabelle Unbewaffnet (2004). Voelkerbeschraenkung ungeprueft, siehe Sheet 'Entwickeln'.</t>
        </is>
      </c>
      <c r="F517" t="inlineStr">
        <is>
          <t>nk_unbewaffnet</t>
        </is>
      </c>
      <c r="G517" t="inlineStr">
        <is>
          <t>Wert</t>
        </is>
      </c>
    </row>
    <row r="518" hidden="1" ht="15.75" customHeight="1" s="48">
      <c r="A518" t="inlineStr">
        <is>
          <t>nk_spez_unbewaffnet_elfische_kunst_der_selbstverteidigung</t>
        </is>
      </c>
      <c r="B518" t="inlineStr">
        <is>
          <t>Nahkampf</t>
        </is>
      </c>
      <c r="C518" t="inlineStr">
        <is>
          <t>-&gt; Elfische Kunst der Selbstverteidigung</t>
        </is>
      </c>
      <c r="E518" t="inlineStr">
        <is>
          <t>Nur Volk: Elf. Details (Schaden, Specials) siehe Sheet 'NK-Waffen-Basis'. Quelle: Nahkampftabelle Unbewaffnet (2004). Voelkerbeschraenkung ungeprueft, siehe Sheet 'Entwickeln'.</t>
        </is>
      </c>
      <c r="F518" t="inlineStr">
        <is>
          <t>nk_unbewaffnet</t>
        </is>
      </c>
      <c r="G518" t="inlineStr">
        <is>
          <t>Wert</t>
        </is>
      </c>
    </row>
    <row r="519" hidden="1" ht="15.75" customHeight="1" s="48">
      <c r="A519" t="inlineStr">
        <is>
          <t>nk_spez_unbewaffnet_goblinische_kampfkunst</t>
        </is>
      </c>
      <c r="B519" t="inlineStr">
        <is>
          <t>Nahkampf</t>
        </is>
      </c>
      <c r="C519" t="inlineStr">
        <is>
          <t>-&gt; Goblinische Kampfkunst</t>
        </is>
      </c>
      <c r="E519" t="inlineStr">
        <is>
          <t>Nur Volk: Goblin. Details (Schaden, Specials) siehe Sheet 'NK-Waffen-Basis'. Quelle: Nahkampftabelle Unbewaffnet (2004). Voelkerbeschraenkung ungeprueft, siehe Sheet 'Entwickeln'.</t>
        </is>
      </c>
      <c r="F519" t="inlineStr">
        <is>
          <t>nk_unbewaffnet</t>
        </is>
      </c>
      <c r="G519" t="inlineStr">
        <is>
          <t>Wert</t>
        </is>
      </c>
    </row>
    <row r="520" hidden="1" ht="15.75" customHeight="1" s="48">
      <c r="A520" t="inlineStr">
        <is>
          <t>nk_spez_unbewaffnet_katzenmenschen_kampfkunst</t>
        </is>
      </c>
      <c r="B520" t="inlineStr">
        <is>
          <t>Nahkampf</t>
        </is>
      </c>
      <c r="C520" t="inlineStr">
        <is>
          <t>-&gt; Katzenmenschen Kampfkunst</t>
        </is>
      </c>
      <c r="E520" t="inlineStr">
        <is>
          <t>Nur Volk: Katzenmensch. Details (Schaden, Specials) siehe Sheet 'NK-Waffen-Basis'. Quelle: Nahkampftabelle Unbewaffnet (2004). Voelkerbeschraenkung ungeprueft, siehe Sheet 'Entwickeln'.</t>
        </is>
      </c>
      <c r="F520" t="inlineStr">
        <is>
          <t>nk_unbewaffnet</t>
        </is>
      </c>
      <c r="G520" t="inlineStr">
        <is>
          <t>Wert</t>
        </is>
      </c>
    </row>
    <row r="521" hidden="1" ht="15.75" customHeight="1" s="48">
      <c r="A521" t="inlineStr">
        <is>
          <t>nk_spez_unbewaffnet_orkisch_raufen</t>
        </is>
      </c>
      <c r="B521" t="inlineStr">
        <is>
          <t>Nahkampf</t>
        </is>
      </c>
      <c r="C521" t="inlineStr">
        <is>
          <t>-&gt; Orkisch' Raufen</t>
        </is>
      </c>
      <c r="E521" t="inlineStr">
        <is>
          <t>Nur Volk: Ork. Details (Schaden, Specials) siehe Sheet 'NK-Waffen-Basis'. Quelle: Nahkampftabelle Unbewaffnet (2004). Voelkerbeschraenkung ungeprueft, siehe Sheet 'Entwickeln'.</t>
        </is>
      </c>
      <c r="F521" t="inlineStr">
        <is>
          <t>nk_unbewaffnet</t>
        </is>
      </c>
      <c r="G521" t="inlineStr">
        <is>
          <t>Wert</t>
        </is>
      </c>
    </row>
    <row r="522" hidden="1" ht="15.75" customHeight="1" s="48">
      <c r="A522" t="inlineStr">
        <is>
          <t>nk_spez_unbewaffnet_ringen</t>
        </is>
      </c>
      <c r="B522" t="inlineStr">
        <is>
          <t>Nahkampf</t>
        </is>
      </c>
      <c r="C522" t="inlineStr">
        <is>
          <t>-&gt; Ringen</t>
        </is>
      </c>
      <c r="E522" t="inlineStr">
        <is>
          <t>Alle Voelker. Details (Schaden, Specials) siehe Sheet 'NK-Waffen-Basis'. Quelle: Nahkampftabelle Unbewaffnet (2004). Voelkerbeschraenkung ungeprueft, siehe Sheet 'Entwickeln'.</t>
        </is>
      </c>
      <c r="F522" t="inlineStr">
        <is>
          <t>nk_unbewaffnet</t>
        </is>
      </c>
      <c r="G522" t="inlineStr">
        <is>
          <t>Wert</t>
        </is>
      </c>
    </row>
    <row r="523" hidden="1" ht="15.75" customHeight="1" s="48">
      <c r="A523" t="inlineStr">
        <is>
          <t>nk_spez_unbewaffnet_schattenkampf</t>
        </is>
      </c>
      <c r="B523" t="inlineStr">
        <is>
          <t>Nahkampf</t>
        </is>
      </c>
      <c r="C523" t="inlineStr">
        <is>
          <t>-&gt; Schattenkampf</t>
        </is>
      </c>
      <c r="E523" t="inlineStr">
        <is>
          <t>Nur Volk: Drow. Details (Schaden, Specials) siehe Sheet 'NK-Waffen-Basis'. Quelle: Nahkampftabelle Unbewaffnet (2004). Voelkerbeschraenkung ungeprueft, siehe Sheet 'Entwickeln'.</t>
        </is>
      </c>
      <c r="F523" t="inlineStr">
        <is>
          <t>nk_unbewaffnet</t>
        </is>
      </c>
      <c r="G523" t="inlineStr">
        <is>
          <t>Wert</t>
        </is>
      </c>
    </row>
    <row r="524" hidden="1" ht="15.75" customHeight="1" s="48">
      <c r="A524" t="inlineStr">
        <is>
          <t>nk_pool_unbewaffnet_boxen</t>
        </is>
      </c>
      <c r="B524" t="inlineStr">
        <is>
          <t>Nahkampf</t>
        </is>
      </c>
      <c r="C524" t="inlineStr">
        <is>
          <t>Pool Boxen</t>
        </is>
      </c>
      <c r="G524" t="inlineStr">
        <is>
          <t>Pool</t>
        </is>
      </c>
      <c r="I524" t="inlineStr">
        <is>
          <t>nk_spez_unbewaffnet_boxen+MAX(0;(eig_g_mut+eig_k_schnelligkeit+nk_unbewaffnet)/3-20)+MAX(0;(eig_k_athletik+eig_k_schnelligkeit+nk_unbewaffnet)/3-20)</t>
        </is>
      </c>
    </row>
    <row r="525" hidden="1" ht="15.75" customHeight="1" s="48">
      <c r="A525" t="inlineStr">
        <is>
          <t>nk_pool_unbewaffnet_elfische_kunst_der_selbstverteidigung</t>
        </is>
      </c>
      <c r="B525" t="inlineStr">
        <is>
          <t>Nahkampf</t>
        </is>
      </c>
      <c r="C525" t="inlineStr">
        <is>
          <t>Pool Elfische Kunst der Selbstverteidigung</t>
        </is>
      </c>
      <c r="G525" t="inlineStr">
        <is>
          <t>Pool</t>
        </is>
      </c>
      <c r="I525" t="inlineStr">
        <is>
          <t>nk_spez_unbewaffnet_elfische_kunst_der_selbstverteidigung+MAX(0;(eig_g_mut+eig_k_schnelligkeit+nk_unbewaffnet)/3-20)+MAX(0;(eig_k_athletik+eig_k_schnelligkeit+nk_unbewaffnet)/3-20)</t>
        </is>
      </c>
    </row>
    <row r="526" hidden="1" ht="15.75" customHeight="1" s="48">
      <c r="A526" t="inlineStr">
        <is>
          <t>nk_pool_unbewaffnet_goblinische_kampfkunst</t>
        </is>
      </c>
      <c r="B526" t="inlineStr">
        <is>
          <t>Nahkampf</t>
        </is>
      </c>
      <c r="C526" t="inlineStr">
        <is>
          <t>Pool Goblinische Kampfkunst</t>
        </is>
      </c>
      <c r="G526" t="inlineStr">
        <is>
          <t>Pool</t>
        </is>
      </c>
      <c r="I526" t="inlineStr">
        <is>
          <t>nk_spez_unbewaffnet_goblinische_kampfkunst+MAX(0;(eig_g_mut+eig_k_schnelligkeit+nk_unbewaffnet)/3-20)+MAX(0;(eig_k_athletik+eig_k_schnelligkeit+nk_unbewaffnet)/3-20)</t>
        </is>
      </c>
    </row>
    <row r="527" hidden="1" ht="15.75" customHeight="1" s="48">
      <c r="A527" t="inlineStr">
        <is>
          <t>nk_pool_unbewaffnet_katzenmenschen_kampfkunst</t>
        </is>
      </c>
      <c r="B527" t="inlineStr">
        <is>
          <t>Nahkampf</t>
        </is>
      </c>
      <c r="C527" t="inlineStr">
        <is>
          <t>Pool Katzenmenschen Kampfkunst</t>
        </is>
      </c>
      <c r="G527" t="inlineStr">
        <is>
          <t>Pool</t>
        </is>
      </c>
      <c r="I527" t="inlineStr">
        <is>
          <t>nk_spez_unbewaffnet_katzenmenschen_kampfkunst+MAX(0;(eig_g_mut+eig_k_schnelligkeit+nk_unbewaffnet)/3-20)+MAX(0;(eig_k_athletik+eig_k_schnelligkeit+nk_unbewaffnet)/3-20)</t>
        </is>
      </c>
    </row>
    <row r="528" hidden="1" ht="15.75" customHeight="1" s="48">
      <c r="A528" t="inlineStr">
        <is>
          <t>nk_pool_unbewaffnet_orkisch_raufen</t>
        </is>
      </c>
      <c r="B528" t="inlineStr">
        <is>
          <t>Nahkampf</t>
        </is>
      </c>
      <c r="C528" t="inlineStr">
        <is>
          <t>Pool Orkisch' Raufen</t>
        </is>
      </c>
      <c r="G528" t="inlineStr">
        <is>
          <t>Pool</t>
        </is>
      </c>
      <c r="I528" t="inlineStr">
        <is>
          <t>nk_spez_unbewaffnet_orkisch_raufen+MAX(0;(eig_g_mut+eig_k_schnelligkeit+nk_unbewaffnet)/3-20)+MAX(0;(eig_k_athletik+eig_k_schnelligkeit+nk_unbewaffnet)/3-20)</t>
        </is>
      </c>
    </row>
    <row r="529" hidden="1" ht="15.75" customHeight="1" s="48">
      <c r="A529" t="inlineStr">
        <is>
          <t>nk_pool_unbewaffnet_ringen</t>
        </is>
      </c>
      <c r="B529" t="inlineStr">
        <is>
          <t>Nahkampf</t>
        </is>
      </c>
      <c r="C529" t="inlineStr">
        <is>
          <t>Pool Ringen</t>
        </is>
      </c>
      <c r="G529" t="inlineStr">
        <is>
          <t>Pool</t>
        </is>
      </c>
      <c r="I529" t="inlineStr">
        <is>
          <t>nk_spez_unbewaffnet_ringen+MAX(0;(eig_g_mut+eig_k_schnelligkeit+nk_unbewaffnet)/3-20)+MAX(0;(eig_k_athletik+eig_k_schnelligkeit+nk_unbewaffnet)/3-20)</t>
        </is>
      </c>
    </row>
    <row r="530" hidden="1" ht="15.75" customHeight="1" s="48">
      <c r="A530" t="inlineStr">
        <is>
          <t>nk_pool_unbewaffnet_schattenkampf</t>
        </is>
      </c>
      <c r="B530" t="inlineStr">
        <is>
          <t>Nahkampf</t>
        </is>
      </c>
      <c r="C530" t="inlineStr">
        <is>
          <t>Pool Schattenkampf</t>
        </is>
      </c>
      <c r="G530" t="inlineStr">
        <is>
          <t>Pool</t>
        </is>
      </c>
      <c r="I530" t="inlineStr">
        <is>
          <t>nk_spez_unbewaffnet_schattenkampf+MAX(0;(eig_g_mut+eig_k_schnelligkeit+nk_unbewaffnet)/3-20)+MAX(0;(eig_k_athletik+eig_k_schnelligkeit+nk_unbewaffnet)/3-20)</t>
        </is>
      </c>
    </row>
    <row r="531" hidden="1" ht="15.75" customHeight="1" s="48">
      <c r="A531" s="29" t="inlineStr">
        <is>
          <t>#spruchmagie_antimagie_1_artefakt_analysieren</t>
        </is>
      </c>
      <c r="B531" s="11" t="inlineStr">
        <is>
          <t>Spruchmagie</t>
        </is>
      </c>
      <c r="C531" s="12" t="inlineStr">
        <is>
          <t>Artefakt analysieren</t>
        </is>
      </c>
      <c r="F531" t="inlineStr">
        <is>
          <t>Antimagie</t>
        </is>
      </c>
      <c r="G531" s="11" t="inlineStr">
        <is>
          <t>Wert</t>
        </is>
      </c>
      <c r="K531" t="n">
        <v>1</v>
      </c>
      <c r="L531" s="28" t="inlineStr">
        <is>
          <t>WENN(wert=0;0;10+(wert-1)*grad)</t>
        </is>
      </c>
      <c r="P531" t="inlineStr">
        <is>
          <t>eig_bonus_g_willenskraft</t>
        </is>
      </c>
      <c r="Q53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532" hidden="1" ht="15.75" customHeight="1" s="48">
      <c r="A532" s="29" t="inlineStr">
        <is>
          <t>#spruchmagie_antimagie_1_magische_wand</t>
        </is>
      </c>
      <c r="B532" s="11" t="inlineStr">
        <is>
          <t>Spruchmagie</t>
        </is>
      </c>
      <c r="C532" s="12" t="inlineStr">
        <is>
          <t>Magische Wand</t>
        </is>
      </c>
      <c r="F532" t="inlineStr">
        <is>
          <t>Antimagie</t>
        </is>
      </c>
      <c r="G532" s="11" t="inlineStr">
        <is>
          <t>Wert</t>
        </is>
      </c>
      <c r="K532" t="n">
        <v>1</v>
      </c>
      <c r="L532" s="28" t="inlineStr">
        <is>
          <t>WENN(wert=0;0;10+(wert-1)*grad)</t>
        </is>
      </c>
      <c r="P532" t="inlineStr">
        <is>
          <t>eig_bonus_g_sinneschaerfe</t>
        </is>
      </c>
      <c r="Q532" t="inlineStr">
        <is>
          <t>Der Magus erschafft eine Wand aus Magie. Diese ist undurchdringlich und verfügt über einen RS und LE von {M}*4. Die Wand gilt als Magiekorpus. Länge max. W6 +{Magie}+{Aura} m, Breite max. {M}*2cm</t>
        </is>
      </c>
    </row>
    <row r="533" hidden="1" ht="15.75" customHeight="1" s="48">
      <c r="A533" s="29" t="inlineStr">
        <is>
          <t>#spruchmagie_antimagie_2_artefakt_stoeren</t>
        </is>
      </c>
      <c r="B533" s="11" t="inlineStr">
        <is>
          <t>Spruchmagie</t>
        </is>
      </c>
      <c r="C533" s="12" t="inlineStr">
        <is>
          <t>Artefakt stören</t>
        </is>
      </c>
      <c r="F533" t="inlineStr">
        <is>
          <t>Antimagie</t>
        </is>
      </c>
      <c r="G533" s="11" t="inlineStr">
        <is>
          <t>Wert</t>
        </is>
      </c>
      <c r="K533" t="n">
        <v>2</v>
      </c>
      <c r="L533" s="28" t="inlineStr">
        <is>
          <t>WENN(wert=0;0;10+(wert-1)*grad)</t>
        </is>
      </c>
      <c r="P533" t="inlineStr">
        <is>
          <t>eig_bonus_g_willenskraft</t>
        </is>
      </c>
      <c r="Q533"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534" hidden="1" ht="15.75" customHeight="1" s="48">
      <c r="A534" s="29" t="inlineStr">
        <is>
          <t>#spruchmagie_antimagie_2_bipolare_schere</t>
        </is>
      </c>
      <c r="B534" s="11" t="inlineStr">
        <is>
          <t>Spruchmagie</t>
        </is>
      </c>
      <c r="C534" s="12" t="inlineStr">
        <is>
          <t>Bipolare Schere</t>
        </is>
      </c>
      <c r="F534" t="inlineStr">
        <is>
          <t>Antimagie</t>
        </is>
      </c>
      <c r="G534" s="11" t="inlineStr">
        <is>
          <t>Wert</t>
        </is>
      </c>
      <c r="K534" t="n">
        <v>2</v>
      </c>
      <c r="L534" s="28" t="inlineStr">
        <is>
          <t>WENN(wert=0;0;10+(wert-1)*grad)</t>
        </is>
      </c>
      <c r="P534" t="inlineStr">
        <is>
          <t>eig_bonus_g_sinneschaerfe</t>
        </is>
      </c>
      <c r="Q534" t="inlineStr">
        <is>
          <t>Ein Bipolarer Zauber bis Grad (Wei+2) wird gebrochen. Wenn der Zauber während der Vorbereitungsdauer gebrochen wird, entstehen dem gegnerischen Magus nur halbe Manakosten.</t>
        </is>
      </c>
    </row>
    <row r="535" hidden="1" ht="15.75" customHeight="1" s="48">
      <c r="A535" s="29" t="inlineStr">
        <is>
          <t>#spruchmagie_antimagie_2_magische_kuppel</t>
        </is>
      </c>
      <c r="B535" s="11" t="inlineStr">
        <is>
          <t>Spruchmagie</t>
        </is>
      </c>
      <c r="C535" s="12" t="inlineStr">
        <is>
          <t>Magische Kuppel</t>
        </is>
      </c>
      <c r="F535" t="inlineStr">
        <is>
          <t>Antimagie</t>
        </is>
      </c>
      <c r="G535" s="11" t="inlineStr">
        <is>
          <t>Wert</t>
        </is>
      </c>
      <c r="H535" s="29" t="n"/>
      <c r="I535" s="29" t="n"/>
      <c r="K535" t="n">
        <v>2</v>
      </c>
      <c r="L535" s="28" t="inlineStr">
        <is>
          <t>WENN(wert=0;0;10+(wert-1)*grad)</t>
        </is>
      </c>
      <c r="P535" t="inlineStr">
        <is>
          <t>eig_bonus_g_willenskraft</t>
        </is>
      </c>
      <c r="Q535"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536" hidden="1" ht="15.75" customHeight="1" s="48">
      <c r="A536" s="29" t="inlineStr">
        <is>
          <t>#spruchmagie_antimagie_2_magische_reinigung</t>
        </is>
      </c>
      <c r="B536" s="11" t="inlineStr">
        <is>
          <t>Spruchmagie</t>
        </is>
      </c>
      <c r="C536" s="12" t="inlineStr">
        <is>
          <t>Magische Reinigung</t>
        </is>
      </c>
      <c r="F536" t="inlineStr">
        <is>
          <t>Antimagie</t>
        </is>
      </c>
      <c r="G536" s="11" t="inlineStr">
        <is>
          <t>Wert</t>
        </is>
      </c>
      <c r="H536" s="29" t="n"/>
      <c r="I536" s="29" t="n"/>
      <c r="K536" t="n">
        <v>2</v>
      </c>
      <c r="L536" s="28" t="inlineStr">
        <is>
          <t>WENN(wert=0;0;10+(wert-1)*grad)</t>
        </is>
      </c>
      <c r="P536" t="inlineStr">
        <is>
          <t>eig_bonus_g_willenskraft</t>
        </is>
      </c>
      <c r="Q536" t="inlineStr">
        <is>
          <t>Ein Anhaltender oder Bipolarer Zauber mit maximalem Zaubergrad von (Wei+3) nach Wahl des Magiers wird beendet.</t>
        </is>
      </c>
    </row>
    <row r="537" hidden="1" ht="15.75" customHeight="1" s="48">
      <c r="A537" s="29" t="inlineStr">
        <is>
          <t>#spruchmagie_antimagie_3_magische_barriere</t>
        </is>
      </c>
      <c r="B537" s="11" t="inlineStr">
        <is>
          <t>Spruchmagie</t>
        </is>
      </c>
      <c r="C537" s="12" t="inlineStr">
        <is>
          <t>Magische Barriere</t>
        </is>
      </c>
      <c r="F537" t="inlineStr">
        <is>
          <t>Antimagie</t>
        </is>
      </c>
      <c r="G537" s="11" t="inlineStr">
        <is>
          <t>Wert</t>
        </is>
      </c>
      <c r="K537" t="n">
        <v>3</v>
      </c>
      <c r="L537" s="28" t="inlineStr">
        <is>
          <t>WENN(wert=0;0;10+(wert-1)*grad)</t>
        </is>
      </c>
      <c r="P537" t="inlineStr">
        <is>
          <t>eig_bonus_g_willenskraft</t>
        </is>
      </c>
      <c r="Q537"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538" hidden="1" ht="15.75" customHeight="1" s="48">
      <c r="A538" s="29" t="inlineStr">
        <is>
          <t>#spruchmagie_antimagie_3_magischer_schild</t>
        </is>
      </c>
      <c r="B538" s="11" t="inlineStr">
        <is>
          <t>Spruchmagie</t>
        </is>
      </c>
      <c r="C538" s="12" t="inlineStr">
        <is>
          <t>Magischer Schild</t>
        </is>
      </c>
      <c r="F538" t="inlineStr">
        <is>
          <t>Antimagie</t>
        </is>
      </c>
      <c r="G538" s="11" t="inlineStr">
        <is>
          <t>Wert</t>
        </is>
      </c>
      <c r="H538" s="29" t="n"/>
      <c r="I538" s="29" t="n"/>
      <c r="K538" t="n">
        <v>3</v>
      </c>
      <c r="L538" s="28" t="inlineStr">
        <is>
          <t>WENN(wert=0;0;10+(wert-1)*grad)</t>
        </is>
      </c>
      <c r="P538" t="inlineStr">
        <is>
          <t>eig_bonus_g_sinneschaerfe</t>
        </is>
      </c>
      <c r="Q538" t="inlineStr">
        <is>
          <t>Die Aura des Zieles wird von einem unsichtbaren Schild geschützt. Es kann pro KR maximal {M} TP und insgesamt {M} * 2 TP abhalten.</t>
        </is>
      </c>
    </row>
    <row r="539" hidden="1" ht="15.75" customHeight="1" s="48">
      <c r="A539" s="29" t="inlineStr">
        <is>
          <t>#spruchmagie_antimagie_3_schule_erschweren_antimagie</t>
        </is>
      </c>
      <c r="B539" s="11" t="inlineStr">
        <is>
          <t>Spruchmagie</t>
        </is>
      </c>
      <c r="C539" s="12" t="inlineStr">
        <is>
          <t>Schule erschweren: Antimagie</t>
        </is>
      </c>
      <c r="F539" t="inlineStr">
        <is>
          <t>Antimagie</t>
        </is>
      </c>
      <c r="G539" s="11" t="inlineStr">
        <is>
          <t>Wert</t>
        </is>
      </c>
      <c r="K539" t="n">
        <v>3</v>
      </c>
      <c r="L539" s="28" t="inlineStr">
        <is>
          <t>WENN(wert=0;0;10+(wert-1)*grad)</t>
        </is>
      </c>
      <c r="P539" t="inlineStr">
        <is>
          <t>eig_bonus_g_willenskraft</t>
        </is>
      </c>
      <c r="Q53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0" hidden="1" ht="15.75" customHeight="1" s="48">
      <c r="A540" s="29" t="inlineStr">
        <is>
          <t>#spruchmagie_antimagie_3_schule_erschweren_beherrschung</t>
        </is>
      </c>
      <c r="B540" s="11" t="inlineStr">
        <is>
          <t>Spruchmagie</t>
        </is>
      </c>
      <c r="C540" s="12" t="inlineStr">
        <is>
          <t>Schule erschweren: Beherrschung</t>
        </is>
      </c>
      <c r="F540" t="inlineStr">
        <is>
          <t>Antimagie</t>
        </is>
      </c>
      <c r="G540" s="11" t="inlineStr">
        <is>
          <t>Wert</t>
        </is>
      </c>
      <c r="K540" t="n">
        <v>3</v>
      </c>
      <c r="L540" s="28" t="inlineStr">
        <is>
          <t>WENN(wert=0;0;10+(wert-1)*grad)</t>
        </is>
      </c>
      <c r="P540" t="inlineStr">
        <is>
          <t>eig_bonus_g_willenskraft</t>
        </is>
      </c>
      <c r="Q54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1" hidden="1" ht="15.75" customHeight="1" s="48">
      <c r="A541" s="29" t="inlineStr">
        <is>
          <t>#spruchmagie_antimagie_3_schule_erschweren_erdbeschwoerung</t>
        </is>
      </c>
      <c r="B541" s="11" t="inlineStr">
        <is>
          <t>Spruchmagie</t>
        </is>
      </c>
      <c r="C541" s="12" t="inlineStr">
        <is>
          <t>Schule erschweren: Erdbeschwörung</t>
        </is>
      </c>
      <c r="F541" t="inlineStr">
        <is>
          <t>Antimagie</t>
        </is>
      </c>
      <c r="G541" s="11" t="inlineStr">
        <is>
          <t>Wert</t>
        </is>
      </c>
      <c r="K541" t="n">
        <v>3</v>
      </c>
      <c r="L541" s="28" t="inlineStr">
        <is>
          <t>WENN(wert=0;0;10+(wert-1)*grad)</t>
        </is>
      </c>
      <c r="P541" t="inlineStr">
        <is>
          <t>eig_bonus_g_willenskraft</t>
        </is>
      </c>
      <c r="Q54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2" hidden="1" ht="15.75" customHeight="1" s="48">
      <c r="A542" s="29" t="inlineStr">
        <is>
          <t>#spruchmagie_antimagie_3_schule_erschweren_feuerbeschwoerung</t>
        </is>
      </c>
      <c r="B542" s="11" t="inlineStr">
        <is>
          <t>Spruchmagie</t>
        </is>
      </c>
      <c r="C542" s="12" t="inlineStr">
        <is>
          <t>Schule erschweren: Feuerbeschwörung</t>
        </is>
      </c>
      <c r="F542" t="inlineStr">
        <is>
          <t>Antimagie</t>
        </is>
      </c>
      <c r="G542" s="11" t="inlineStr">
        <is>
          <t>Wert</t>
        </is>
      </c>
      <c r="K542" t="n">
        <v>3</v>
      </c>
      <c r="L542" s="28" t="inlineStr">
        <is>
          <t>WENN(wert=0;0;10+(wert-1)*grad)</t>
        </is>
      </c>
      <c r="P542" t="inlineStr">
        <is>
          <t>eig_bonus_g_willenskraft</t>
        </is>
      </c>
      <c r="Q54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3" hidden="1" ht="15.75" customHeight="1" s="48">
      <c r="A543" s="29" t="inlineStr">
        <is>
          <t>#spruchmagie_antimagie_3_schule_erschweren_heilung</t>
        </is>
      </c>
      <c r="B543" s="11" t="inlineStr">
        <is>
          <t>Spruchmagie</t>
        </is>
      </c>
      <c r="C543" s="12" t="inlineStr">
        <is>
          <t>Schule erschweren: Heilung</t>
        </is>
      </c>
      <c r="F543" t="inlineStr">
        <is>
          <t>Antimagie</t>
        </is>
      </c>
      <c r="G543" s="11" t="inlineStr">
        <is>
          <t>Wert</t>
        </is>
      </c>
      <c r="K543" t="n">
        <v>3</v>
      </c>
      <c r="L543" s="28" t="inlineStr">
        <is>
          <t>WENN(wert=0;0;10+(wert-1)*grad)</t>
        </is>
      </c>
      <c r="P543" t="inlineStr">
        <is>
          <t>eig_bonus_g_willenskraft</t>
        </is>
      </c>
      <c r="Q54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4" hidden="1" ht="15.75" customHeight="1" s="48">
      <c r="A544" s="29" t="inlineStr">
        <is>
          <t>#spruchmagie_antimagie_3_schule_erschweren_hellsicht</t>
        </is>
      </c>
      <c r="B544" s="11" t="inlineStr">
        <is>
          <t>Spruchmagie</t>
        </is>
      </c>
      <c r="C544" s="12" t="inlineStr">
        <is>
          <t>Schule erschweren: Hellsicht</t>
        </is>
      </c>
      <c r="F544" t="inlineStr">
        <is>
          <t>Antimagie</t>
        </is>
      </c>
      <c r="G544" s="11" t="inlineStr">
        <is>
          <t>Wert</t>
        </is>
      </c>
      <c r="K544" t="n">
        <v>3</v>
      </c>
      <c r="L544" s="28" t="inlineStr">
        <is>
          <t>WENN(wert=0;0;10+(wert-1)*grad)</t>
        </is>
      </c>
      <c r="P544" t="inlineStr">
        <is>
          <t>eig_bonus_g_willenskraft</t>
        </is>
      </c>
      <c r="Q54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5" hidden="1" ht="15.75" customHeight="1" s="48">
      <c r="A545" s="29" t="inlineStr">
        <is>
          <t>#spruchmagie_antimagie_3_schule_erschweren_illusion</t>
        </is>
      </c>
      <c r="B545" s="11" t="inlineStr">
        <is>
          <t>Spruchmagie</t>
        </is>
      </c>
      <c r="C545" s="12" t="inlineStr">
        <is>
          <t>Schule erschweren: Illusion</t>
        </is>
      </c>
      <c r="F545" t="inlineStr">
        <is>
          <t>Antimagie</t>
        </is>
      </c>
      <c r="G545" s="11" t="inlineStr">
        <is>
          <t>Wert</t>
        </is>
      </c>
      <c r="H545" s="29" t="n"/>
      <c r="I545" s="29" t="n"/>
      <c r="K545" t="n">
        <v>3</v>
      </c>
      <c r="L545" s="28" t="inlineStr">
        <is>
          <t>WENN(wert=0;0;10+(wert-1)*grad)</t>
        </is>
      </c>
      <c r="P545" t="inlineStr">
        <is>
          <t>eig_bonus_g_willenskraft</t>
        </is>
      </c>
      <c r="Q545"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6" hidden="1" ht="15.75" customHeight="1" s="48">
      <c r="A546" s="29" t="inlineStr">
        <is>
          <t>#spruchmagie_antimagie_3_schule_erschweren_luftbeschwoerung</t>
        </is>
      </c>
      <c r="B546" s="11" t="inlineStr">
        <is>
          <t>Spruchmagie</t>
        </is>
      </c>
      <c r="C546" s="12" t="inlineStr">
        <is>
          <t>Schule erschweren: Luftbeschwörung</t>
        </is>
      </c>
      <c r="F546" t="inlineStr">
        <is>
          <t>Antimagie</t>
        </is>
      </c>
      <c r="G546" s="11" t="inlineStr">
        <is>
          <t>Wert</t>
        </is>
      </c>
      <c r="H546" s="29" t="n"/>
      <c r="I546" s="29" t="n"/>
      <c r="K546" t="n">
        <v>3</v>
      </c>
      <c r="L546" s="28" t="inlineStr">
        <is>
          <t>WENN(wert=0;0;10+(wert-1)*grad)</t>
        </is>
      </c>
      <c r="P546" t="inlineStr">
        <is>
          <t>eig_bonus_g_willenskraft</t>
        </is>
      </c>
      <c r="Q546"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7" hidden="1" ht="15.75" customHeight="1" s="48">
      <c r="A547" s="29" t="inlineStr">
        <is>
          <t>#spruchmagie_antimagie_3_schule_erschweren_magiebeschwoerung</t>
        </is>
      </c>
      <c r="B547" s="11" t="inlineStr">
        <is>
          <t>Spruchmagie</t>
        </is>
      </c>
      <c r="C547" s="12" t="inlineStr">
        <is>
          <t>Schule erschweren: Magiebeschwörung</t>
        </is>
      </c>
      <c r="F547" t="inlineStr">
        <is>
          <t>Antimagie</t>
        </is>
      </c>
      <c r="G547" s="11" t="inlineStr">
        <is>
          <t>Wert</t>
        </is>
      </c>
      <c r="K547" t="n">
        <v>3</v>
      </c>
      <c r="L547" s="28" t="inlineStr">
        <is>
          <t>WENN(wert=0;0;10+(wert-1)*grad)</t>
        </is>
      </c>
      <c r="P547" t="inlineStr">
        <is>
          <t>eig_bonus_g_willenskraft</t>
        </is>
      </c>
      <c r="Q547"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8" hidden="1" ht="15.75" customHeight="1" s="48">
      <c r="A548" s="29" t="inlineStr">
        <is>
          <t>#spruchmagie_antimagie_3_schule_erschweren_veraenderung</t>
        </is>
      </c>
      <c r="B548" s="11" t="inlineStr">
        <is>
          <t>Spruchmagie</t>
        </is>
      </c>
      <c r="C548" s="12" t="inlineStr">
        <is>
          <t>Schule erschweren: Veränderung</t>
        </is>
      </c>
      <c r="F548" t="inlineStr">
        <is>
          <t>Antimagie</t>
        </is>
      </c>
      <c r="G548" s="11" t="inlineStr">
        <is>
          <t>Wert</t>
        </is>
      </c>
      <c r="K548" t="n">
        <v>3</v>
      </c>
      <c r="L548" s="28" t="inlineStr">
        <is>
          <t>WENN(wert=0;0;10+(wert-1)*grad)</t>
        </is>
      </c>
      <c r="P548" t="inlineStr">
        <is>
          <t>eig_bonus_g_willenskraft</t>
        </is>
      </c>
      <c r="Q54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9" hidden="1" ht="15.75" customHeight="1" s="48">
      <c r="A549" s="29" t="inlineStr">
        <is>
          <t>#spruchmagie_antimagie_3_schule_erschweren_verzauberung</t>
        </is>
      </c>
      <c r="B549" s="11" t="inlineStr">
        <is>
          <t>Spruchmagie</t>
        </is>
      </c>
      <c r="C549" s="12" t="inlineStr">
        <is>
          <t>Schule erschweren: Verzauberung</t>
        </is>
      </c>
      <c r="F549" t="inlineStr">
        <is>
          <t>Antimagie</t>
        </is>
      </c>
      <c r="G549" s="11" t="inlineStr">
        <is>
          <t>Wert</t>
        </is>
      </c>
      <c r="H549" s="29" t="n"/>
      <c r="I549" s="29" t="n"/>
      <c r="K549" t="n">
        <v>3</v>
      </c>
      <c r="L549" s="28" t="inlineStr">
        <is>
          <t>WENN(wert=0;0;10+(wert-1)*grad)</t>
        </is>
      </c>
      <c r="P549" t="inlineStr">
        <is>
          <t>eig_bonus_g_willenskraft</t>
        </is>
      </c>
      <c r="Q54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50" hidden="1" ht="15.75" customHeight="1" s="48">
      <c r="A550" s="29" t="inlineStr">
        <is>
          <t>#spruchmagie_antimagie_3_schule_erschweren_wasserbeschwoerung</t>
        </is>
      </c>
      <c r="B550" s="11" t="inlineStr">
        <is>
          <t>Spruchmagie</t>
        </is>
      </c>
      <c r="C550" s="12" t="inlineStr">
        <is>
          <t>Schule erschweren: Wasserbeschwörung</t>
        </is>
      </c>
      <c r="F550" t="inlineStr">
        <is>
          <t>Antimagie</t>
        </is>
      </c>
      <c r="G550" s="11" t="inlineStr">
        <is>
          <t>Wert</t>
        </is>
      </c>
      <c r="H550" s="29" t="n"/>
      <c r="I550" s="29" t="n"/>
      <c r="K550" t="n">
        <v>3</v>
      </c>
      <c r="L550" s="28" t="inlineStr">
        <is>
          <t>WENN(wert=0;0;10+(wert-1)*grad)</t>
        </is>
      </c>
      <c r="P550" t="inlineStr">
        <is>
          <t>eig_bonus_g_willenskraft</t>
        </is>
      </c>
      <c r="Q550"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51" hidden="1" ht="15.75" customHeight="1" s="48">
      <c r="A551" s="29" t="inlineStr">
        <is>
          <t>#spruchmagie_antimagie_4_magische_bresche</t>
        </is>
      </c>
      <c r="B551" s="11" t="inlineStr">
        <is>
          <t>Spruchmagie</t>
        </is>
      </c>
      <c r="C551" s="12" t="inlineStr">
        <is>
          <t>Magische Bresche</t>
        </is>
      </c>
      <c r="F551" t="inlineStr">
        <is>
          <t>Antimagie</t>
        </is>
      </c>
      <c r="G551" s="11" t="inlineStr">
        <is>
          <t>Wert</t>
        </is>
      </c>
      <c r="H551" s="29" t="n"/>
      <c r="I551" s="29" t="n"/>
      <c r="K551" t="n">
        <v>4</v>
      </c>
      <c r="L551" s="28" t="inlineStr">
        <is>
          <t>WENN(wert=0;0;10+(wert-1)*grad)</t>
        </is>
      </c>
      <c r="P551" t="inlineStr">
        <is>
          <t>eig_bonus_g_willenskraft</t>
        </is>
      </c>
      <c r="Q551" s="3" t="inlineStr">
        <is>
          <t>Alle Anhaltenden und Bipolaren Zauber bis Grad (Wei+1) die auf der Aura liegen, werden gebrochen.</t>
        </is>
      </c>
    </row>
    <row r="552" hidden="1" ht="15.75" customHeight="1" s="48">
      <c r="A552" s="29" t="inlineStr">
        <is>
          <t>#spruchmagie_antimagie_4_mobile_barriere</t>
        </is>
      </c>
      <c r="B552" s="11" t="inlineStr">
        <is>
          <t>Spruchmagie</t>
        </is>
      </c>
      <c r="C552" s="12" t="inlineStr">
        <is>
          <t>Mobile Barriere</t>
        </is>
      </c>
      <c r="F552" t="inlineStr">
        <is>
          <t>Antimagie</t>
        </is>
      </c>
      <c r="G552" s="11" t="inlineStr">
        <is>
          <t>Wert</t>
        </is>
      </c>
      <c r="H552" s="29" t="n"/>
      <c r="I552" s="29" t="n"/>
      <c r="K552" t="n">
        <v>4</v>
      </c>
      <c r="L552" s="28" t="inlineStr">
        <is>
          <t>WENN(wert=0;0;10+(wert-1)*grad)</t>
        </is>
      </c>
      <c r="P552" t="inlineStr">
        <is>
          <t>eig_bonus_g_sinneschaerfe</t>
        </is>
      </c>
      <c r="Q552" s="3" t="inlineStr">
        <is>
          <t>Der Magier erschafft eine bewegliche Barriere mit LE|RS {M}*4. Diese Barriere entsteht entweder als Kugel um den Magus oder als „Verstärkung“ um ein materiell fest definiertes Objekt (z.B. ein Auto).</t>
        </is>
      </c>
    </row>
    <row r="553" hidden="1" ht="15.75" customHeight="1" s="48">
      <c r="A553" s="29" t="inlineStr">
        <is>
          <t>#spruchmagie_antimagie_5_aura_verhuellen</t>
        </is>
      </c>
      <c r="B553" s="11" t="inlineStr">
        <is>
          <t>Spruchmagie</t>
        </is>
      </c>
      <c r="C553" s="12" t="inlineStr">
        <is>
          <t>Aura verhüllen</t>
        </is>
      </c>
      <c r="F553" t="inlineStr">
        <is>
          <t>Antimagie</t>
        </is>
      </c>
      <c r="G553" s="11" t="inlineStr">
        <is>
          <t>Wert</t>
        </is>
      </c>
      <c r="K553" t="n">
        <v>5</v>
      </c>
      <c r="L553" s="28" t="inlineStr">
        <is>
          <t>WENN(wert=0;0;10+(wert-1)*grad)</t>
        </is>
      </c>
      <c r="P553" t="inlineStr">
        <is>
          <t>eig_bonus_g_willenskraft</t>
        </is>
      </c>
      <c r="Q553" s="3"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554" hidden="1" ht="15.75" customHeight="1" s="48">
      <c r="A554" s="29" t="inlineStr">
        <is>
          <t>#spruchmagie_antimagie_5_korpi_ignorieren</t>
        </is>
      </c>
      <c r="B554" s="11" t="inlineStr">
        <is>
          <t>Spruchmagie</t>
        </is>
      </c>
      <c r="C554" s="12" t="inlineStr">
        <is>
          <t>Korpi ignorieren</t>
        </is>
      </c>
      <c r="F554" t="inlineStr">
        <is>
          <t>Antimagie</t>
        </is>
      </c>
      <c r="G554" s="11" t="inlineStr">
        <is>
          <t>Wert</t>
        </is>
      </c>
      <c r="H554" s="29" t="n"/>
      <c r="I554" s="29" t="n"/>
      <c r="K554" t="n">
        <v>5</v>
      </c>
      <c r="L554" s="28" t="inlineStr">
        <is>
          <t>WENN(wert=0;0;10+(wert-1)*grad)</t>
        </is>
      </c>
      <c r="P554" t="inlineStr">
        <is>
          <t>eig_bonus_g_willenskraft</t>
        </is>
      </c>
      <c r="Q554"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555" hidden="1" ht="15.75" customHeight="1" s="48">
      <c r="A555" s="29" t="inlineStr">
        <is>
          <t>#spruchmagie_antimagie_5_schule_hemmen_antimagie</t>
        </is>
      </c>
      <c r="B555" s="11" t="inlineStr">
        <is>
          <t>Spruchmagie</t>
        </is>
      </c>
      <c r="C555" s="12" t="inlineStr">
        <is>
          <t>Schule hemmen: Antimagie</t>
        </is>
      </c>
      <c r="F555" t="inlineStr">
        <is>
          <t>Antimagie</t>
        </is>
      </c>
      <c r="G555" s="11" t="inlineStr">
        <is>
          <t>Wert</t>
        </is>
      </c>
      <c r="K555" t="n">
        <v>5</v>
      </c>
      <c r="L555" s="28" t="inlineStr">
        <is>
          <t>WENN(wert=0;0;10+(wert-1)*grad)</t>
        </is>
      </c>
      <c r="P555" t="inlineStr">
        <is>
          <t>eig_bonus_g_sinneschaerfe</t>
        </is>
      </c>
      <c r="Q555" t="inlineStr">
        <is>
          <t>Der Magus erschafft eine kreisförmige Zone mit {M} * m Radius, in der alle Wirkungen von [Schule]-Spruchzaubern oder natürlichen Effekten um 25% reduziert werden. Beherrscht der Magier die [Schule] selbst, wird die Wirkung um 50% reduziert.</t>
        </is>
      </c>
    </row>
    <row r="556" hidden="1" ht="15.75" customHeight="1" s="48">
      <c r="A556" s="29" t="inlineStr">
        <is>
          <t>#spruchmagie_antimagie_5_schule_hemmen_beherrschung</t>
        </is>
      </c>
      <c r="B556" s="11" t="inlineStr">
        <is>
          <t>Spruchmagie</t>
        </is>
      </c>
      <c r="C556" s="12" t="inlineStr">
        <is>
          <t>Schule hemmen: Beherrschung</t>
        </is>
      </c>
      <c r="F556" t="inlineStr">
        <is>
          <t>Antimagie</t>
        </is>
      </c>
      <c r="G556" s="11" t="inlineStr">
        <is>
          <t>Wert</t>
        </is>
      </c>
      <c r="H556" s="29" t="n"/>
      <c r="I556" s="29" t="n"/>
      <c r="K556" t="n">
        <v>5</v>
      </c>
      <c r="L556" s="28" t="inlineStr">
        <is>
          <t>WENN(wert=0;0;10+(wert-1)*grad)</t>
        </is>
      </c>
      <c r="P556" t="inlineStr">
        <is>
          <t>eig_bonus_g_sinneschaerfe</t>
        </is>
      </c>
      <c r="Q556" t="inlineStr">
        <is>
          <t>Der Magus erschafft eine kreisförmige Zone mit {M} * m Radius, in der alle Wirkungen von [Schule]-Spruchzaubern oder natürlichen Effekten um 25% reduziert werden. Beherrscht der Magier die [Schule] selbst, wird die Wirkung um 50% reduziert.</t>
        </is>
      </c>
    </row>
    <row r="557" hidden="1" ht="15.75" customHeight="1" s="48">
      <c r="A557" s="29" t="inlineStr">
        <is>
          <t>#spruchmagie_antimagie_5_schule_hemmen_erdbeschwoerung</t>
        </is>
      </c>
      <c r="B557" s="11" t="inlineStr">
        <is>
          <t>Spruchmagie</t>
        </is>
      </c>
      <c r="C557" s="12" t="inlineStr">
        <is>
          <t>Schule hemmen: Erdbeschwörung</t>
        </is>
      </c>
      <c r="F557" t="inlineStr">
        <is>
          <t>Antimagie</t>
        </is>
      </c>
      <c r="G557" s="11" t="inlineStr">
        <is>
          <t>Wert</t>
        </is>
      </c>
      <c r="K557" t="n">
        <v>5</v>
      </c>
      <c r="L557" s="28" t="inlineStr">
        <is>
          <t>WENN(wert=0;0;10+(wert-1)*grad)</t>
        </is>
      </c>
      <c r="P557" t="inlineStr">
        <is>
          <t>eig_bonus_g_sinneschaerfe</t>
        </is>
      </c>
      <c r="Q557" t="inlineStr">
        <is>
          <t>Der Magus erschafft eine kreisförmige Zone mit {M} * m Radius, in der alle Wirkungen von [Schule]-Spruchzaubern oder natürlichen Effekten um 25% reduziert werden. Beherrscht der Magier die [Schule] selbst, wird die Wirkung um 50% reduziert.</t>
        </is>
      </c>
    </row>
    <row r="558" hidden="1" ht="15.75" customHeight="1" s="48">
      <c r="A558" s="29" t="inlineStr">
        <is>
          <t>#spruchmagie_antimagie_5_schule_hemmen_feuerbeschwoerung</t>
        </is>
      </c>
      <c r="B558" s="11" t="inlineStr">
        <is>
          <t>Spruchmagie</t>
        </is>
      </c>
      <c r="C558" s="12" t="inlineStr">
        <is>
          <t>Schule hemmen: Feuerbeschwörung</t>
        </is>
      </c>
      <c r="F558" t="inlineStr">
        <is>
          <t>Antimagie</t>
        </is>
      </c>
      <c r="G558" s="11" t="inlineStr">
        <is>
          <t>Wert</t>
        </is>
      </c>
      <c r="K558" t="n">
        <v>5</v>
      </c>
      <c r="L558" s="28" t="inlineStr">
        <is>
          <t>WENN(wert=0;0;10+(wert-1)*grad)</t>
        </is>
      </c>
      <c r="P558" t="inlineStr">
        <is>
          <t>eig_bonus_g_sinneschaerfe</t>
        </is>
      </c>
      <c r="Q558" t="inlineStr">
        <is>
          <t>Der Magus erschafft eine kreisförmige Zone mit {M} * m Radius, in der alle Wirkungen von [Schule]-Spruchzaubern oder natürlichen Effekten um 25% reduziert werden. Beherrscht der Magier die [Schule] selbst, wird die Wirkung um 50% reduziert.</t>
        </is>
      </c>
    </row>
    <row r="559" hidden="1" ht="15.75" customHeight="1" s="48">
      <c r="A559" s="29" t="inlineStr">
        <is>
          <t>#spruchmagie_antimagie_5_schule_hemmen_heilung</t>
        </is>
      </c>
      <c r="B559" s="11" t="inlineStr">
        <is>
          <t>Spruchmagie</t>
        </is>
      </c>
      <c r="C559" s="12" t="inlineStr">
        <is>
          <t>Schule hemmen: Heilung</t>
        </is>
      </c>
      <c r="F559" t="inlineStr">
        <is>
          <t>Antimagie</t>
        </is>
      </c>
      <c r="G559" s="11" t="inlineStr">
        <is>
          <t>Wert</t>
        </is>
      </c>
      <c r="H559" s="29" t="n"/>
      <c r="I559" s="29" t="n"/>
      <c r="K559" t="n">
        <v>5</v>
      </c>
      <c r="L559" s="28" t="inlineStr">
        <is>
          <t>WENN(wert=0;0;10+(wert-1)*grad)</t>
        </is>
      </c>
      <c r="P559" t="inlineStr">
        <is>
          <t>eig_bonus_g_sinneschaerfe</t>
        </is>
      </c>
      <c r="Q559" t="inlineStr">
        <is>
          <t>Der Magus erschafft eine kreisförmige Zone mit {M} * m Radius, in der alle Wirkungen von [Schule]-Spruchzaubern oder natürlichen Effekten um 25% reduziert werden. Beherrscht der Magier die [Schule] selbst, wird die Wirkung um 50% reduziert.</t>
        </is>
      </c>
    </row>
    <row r="560" hidden="1" ht="15.75" customHeight="1" s="48">
      <c r="A560" s="29" t="inlineStr">
        <is>
          <t>#spruchmagie_antimagie_5_schule_hemmen_hellsicht</t>
        </is>
      </c>
      <c r="B560" s="11" t="inlineStr">
        <is>
          <t>Spruchmagie</t>
        </is>
      </c>
      <c r="C560" s="12" t="inlineStr">
        <is>
          <t>Schule hemmen: Hellsicht</t>
        </is>
      </c>
      <c r="F560" t="inlineStr">
        <is>
          <t>Antimagie</t>
        </is>
      </c>
      <c r="G560" s="11" t="inlineStr">
        <is>
          <t>Wert</t>
        </is>
      </c>
      <c r="K560" t="n">
        <v>5</v>
      </c>
      <c r="L560" s="28" t="inlineStr">
        <is>
          <t>WENN(wert=0;0;10+(wert-1)*grad)</t>
        </is>
      </c>
      <c r="P560" t="inlineStr">
        <is>
          <t>eig_bonus_g_sinneschaerfe</t>
        </is>
      </c>
      <c r="Q560" t="inlineStr">
        <is>
          <t>Der Magus erschafft eine kreisförmige Zone mit {M} * m Radius, in der alle Wirkungen von [Schule]-Spruchzaubern oder natürlichen Effekten um 25% reduziert werden. Beherrscht der Magier die [Schule] selbst, wird die Wirkung um 50% reduziert.</t>
        </is>
      </c>
    </row>
    <row r="561" hidden="1" ht="15.75" customHeight="1" s="48">
      <c r="A561" s="29" t="inlineStr">
        <is>
          <t>#spruchmagie_antimagie_5_schule_hemmen_illusion</t>
        </is>
      </c>
      <c r="B561" s="11" t="inlineStr">
        <is>
          <t>Spruchmagie</t>
        </is>
      </c>
      <c r="C561" s="12" t="inlineStr">
        <is>
          <t>Schule hemmen: Illusion</t>
        </is>
      </c>
      <c r="F561" t="inlineStr">
        <is>
          <t>Antimagie</t>
        </is>
      </c>
      <c r="G561" s="11" t="inlineStr">
        <is>
          <t>Wert</t>
        </is>
      </c>
      <c r="K561" t="n">
        <v>5</v>
      </c>
      <c r="L561" s="28" t="inlineStr">
        <is>
          <t>WENN(wert=0;0;10+(wert-1)*grad)</t>
        </is>
      </c>
      <c r="P561" t="inlineStr">
        <is>
          <t>eig_bonus_g_sinneschaerfe</t>
        </is>
      </c>
      <c r="Q561" t="inlineStr">
        <is>
          <t>Der Magus erschafft eine kreisförmige Zone mit {M} * m Radius, in der alle Wirkungen von [Schule]-Spruchzaubern oder natürlichen Effekten um 25% reduziert werden. Beherrscht der Magier die [Schule] selbst, wird die Wirkung um 50% reduziert.</t>
        </is>
      </c>
    </row>
    <row r="562" hidden="1" ht="15.75" customHeight="1" s="48">
      <c r="A562" s="29" t="inlineStr">
        <is>
          <t>#spruchmagie_antimagie_5_schule_hemmen_luftbeschwoerung</t>
        </is>
      </c>
      <c r="B562" s="11" t="inlineStr">
        <is>
          <t>Spruchmagie</t>
        </is>
      </c>
      <c r="C562" s="12" t="inlineStr">
        <is>
          <t>Schule hemmen: Luftbeschwörung</t>
        </is>
      </c>
      <c r="F562" t="inlineStr">
        <is>
          <t>Antimagie</t>
        </is>
      </c>
      <c r="G562" s="11" t="inlineStr">
        <is>
          <t>Wert</t>
        </is>
      </c>
      <c r="H562" s="29" t="n"/>
      <c r="I562" s="29" t="n"/>
      <c r="K562" t="n">
        <v>5</v>
      </c>
      <c r="L562" s="28" t="inlineStr">
        <is>
          <t>WENN(wert=0;0;10+(wert-1)*grad)</t>
        </is>
      </c>
      <c r="P562" t="inlineStr">
        <is>
          <t>eig_bonus_g_sinneschaerfe</t>
        </is>
      </c>
      <c r="Q562" t="inlineStr">
        <is>
          <t>Der Magus erschafft eine kreisförmige Zone mit {M} * m Radius, in der alle Wirkungen von [Schule]-Spruchzaubern oder natürlichen Effekten um 25% reduziert werden. Beherrscht der Magier die [Schule] selbst, wird die Wirkung um 50% reduziert.</t>
        </is>
      </c>
    </row>
    <row r="563" hidden="1" ht="15.75" customHeight="1" s="48">
      <c r="A563" s="29" t="inlineStr">
        <is>
          <t>#spruchmagie_antimagie_5_schule_hemmen_magiebeschwoerung</t>
        </is>
      </c>
      <c r="B563" s="11" t="inlineStr">
        <is>
          <t>Spruchmagie</t>
        </is>
      </c>
      <c r="C563" s="12" t="inlineStr">
        <is>
          <t>Schule hemmen: Magiebeschwörung</t>
        </is>
      </c>
      <c r="F563" t="inlineStr">
        <is>
          <t>Antimagie</t>
        </is>
      </c>
      <c r="G563" s="11" t="inlineStr">
        <is>
          <t>Wert</t>
        </is>
      </c>
      <c r="H563" s="29" t="n"/>
      <c r="I563" s="29" t="n"/>
      <c r="K563" t="n">
        <v>5</v>
      </c>
      <c r="L563" s="28" t="inlineStr">
        <is>
          <t>WENN(wert=0;0;10+(wert-1)*grad)</t>
        </is>
      </c>
      <c r="P563" t="inlineStr">
        <is>
          <t>eig_bonus_g_sinneschaerfe</t>
        </is>
      </c>
      <c r="Q563" t="inlineStr">
        <is>
          <t>Der Magus erschafft eine kreisförmige Zone mit {M} * m Radius, in der alle Wirkungen von [Schule]-Spruchzaubern oder natürlichen Effekten um 25% reduziert werden. Beherrscht der Magier die [Schule] selbst, wird die Wirkung um 50% reduziert.</t>
        </is>
      </c>
    </row>
    <row r="564" hidden="1" ht="15.75" customHeight="1" s="48">
      <c r="A564" s="29" t="inlineStr">
        <is>
          <t>#spruchmagie_antimagie_5_schule_hemmen_veraenderung</t>
        </is>
      </c>
      <c r="B564" s="11" t="inlineStr">
        <is>
          <t>Spruchmagie</t>
        </is>
      </c>
      <c r="C564" s="12" t="inlineStr">
        <is>
          <t>Schule hemmen: Veränderung</t>
        </is>
      </c>
      <c r="F564" t="inlineStr">
        <is>
          <t>Antimagie</t>
        </is>
      </c>
      <c r="G564" s="11" t="inlineStr">
        <is>
          <t>Wert</t>
        </is>
      </c>
      <c r="K564" t="n">
        <v>5</v>
      </c>
      <c r="L564" s="28" t="inlineStr">
        <is>
          <t>WENN(wert=0;0;10+(wert-1)*grad)</t>
        </is>
      </c>
      <c r="P564" t="inlineStr">
        <is>
          <t>eig_bonus_g_sinneschaerfe</t>
        </is>
      </c>
      <c r="Q564" t="inlineStr">
        <is>
          <t>Der Magus erschafft eine kreisförmige Zone mit {M} * m Radius, in der alle Wirkungen von [Schule]-Spruchzaubern oder natürlichen Effekten um 25% reduziert werden. Beherrscht der Magier die [Schule] selbst, wird die Wirkung um 50% reduziert.</t>
        </is>
      </c>
    </row>
    <row r="565" hidden="1" ht="15.75" customHeight="1" s="48">
      <c r="A565" s="29" t="inlineStr">
        <is>
          <t>#spruchmagie_antimagie_5_schule_hemmen_verzauberung</t>
        </is>
      </c>
      <c r="B565" s="11" t="inlineStr">
        <is>
          <t>Spruchmagie</t>
        </is>
      </c>
      <c r="C565" s="12" t="inlineStr">
        <is>
          <t>Schule hemmen: Verzauberung</t>
        </is>
      </c>
      <c r="F565" t="inlineStr">
        <is>
          <t>Antimagie</t>
        </is>
      </c>
      <c r="G565" s="11" t="inlineStr">
        <is>
          <t>Wert</t>
        </is>
      </c>
      <c r="K565" t="n">
        <v>5</v>
      </c>
      <c r="L565" s="28" t="inlineStr">
        <is>
          <t>WENN(wert=0;0;10+(wert-1)*grad)</t>
        </is>
      </c>
      <c r="P565" t="inlineStr">
        <is>
          <t>eig_bonus_g_sinneschaerfe</t>
        </is>
      </c>
      <c r="Q565" t="inlineStr">
        <is>
          <t>Der Magus erschafft eine kreisförmige Zone mit {M} * m Radius, in der alle Wirkungen von [Schule]-Spruchzaubern oder natürlichen Effekten um 25% reduziert werden. Beherrscht der Magier die [Schule] selbst, wird die Wirkung um 50% reduziert.</t>
        </is>
      </c>
    </row>
    <row r="566" hidden="1" ht="15.75" customHeight="1" s="48">
      <c r="A566" s="29" t="inlineStr">
        <is>
          <t>#spruchmagie_antimagie_5_schule_hemmen_wasserbeschwoerung</t>
        </is>
      </c>
      <c r="B566" s="11" t="inlineStr">
        <is>
          <t>Spruchmagie</t>
        </is>
      </c>
      <c r="C566" s="12" t="inlineStr">
        <is>
          <t>Schule hemmen: Wasserbeschwörung</t>
        </is>
      </c>
      <c r="F566" t="inlineStr">
        <is>
          <t>Antimagie</t>
        </is>
      </c>
      <c r="G566" s="11" t="inlineStr">
        <is>
          <t>Wert</t>
        </is>
      </c>
      <c r="K566" t="n">
        <v>5</v>
      </c>
      <c r="L566" s="28" t="inlineStr">
        <is>
          <t>WENN(wert=0;0;10+(wert-1)*grad)</t>
        </is>
      </c>
      <c r="P566" t="inlineStr">
        <is>
          <t>eig_bonus_g_sinneschaerfe</t>
        </is>
      </c>
      <c r="Q566" t="inlineStr">
        <is>
          <t>Der Magus erschafft eine kreisförmige Zone mit {M} * m Radius, in der alle Wirkungen von [Schule]-Spruchzaubern oder natürlichen Effekten um 25% reduziert werden. Beherrscht der Magier die [Schule] selbst, wird die Wirkung um 50% reduziert.</t>
        </is>
      </c>
    </row>
    <row r="567" hidden="1" ht="15.75" customHeight="1" s="48">
      <c r="A567" s="29" t="inlineStr">
        <is>
          <t>#spruchmagie_antimagie_5_schutz</t>
        </is>
      </c>
      <c r="B567" s="11" t="inlineStr">
        <is>
          <t>Spruchmagie</t>
        </is>
      </c>
      <c r="C567" s="12" t="inlineStr">
        <is>
          <t>Schutz</t>
        </is>
      </c>
      <c r="F567" t="inlineStr">
        <is>
          <t>Antimagie</t>
        </is>
      </c>
      <c r="G567" s="11" t="inlineStr">
        <is>
          <t>Wert</t>
        </is>
      </c>
      <c r="K567" t="n">
        <v>5</v>
      </c>
      <c r="L567" s="28" t="inlineStr">
        <is>
          <t>WENN(wert=0;0;10+(wert-1)*grad)</t>
        </is>
      </c>
      <c r="P567" t="inlineStr">
        <is>
          <t>eig_bonus_g_willenskraft</t>
        </is>
      </c>
      <c r="Q567"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568" hidden="1" ht="15.75" customHeight="1" s="48">
      <c r="A568" s="29" t="inlineStr">
        <is>
          <t>#spruchmagie_antimagie_6_antimagisches_feld</t>
        </is>
      </c>
      <c r="B568" s="11" t="inlineStr">
        <is>
          <t>Spruchmagie</t>
        </is>
      </c>
      <c r="C568" s="12" t="inlineStr">
        <is>
          <t>Antimagisches Feld</t>
        </is>
      </c>
      <c r="F568" t="inlineStr">
        <is>
          <t>Antimagie</t>
        </is>
      </c>
      <c r="G568" s="11" t="inlineStr">
        <is>
          <t>Wert</t>
        </is>
      </c>
      <c r="K568" t="n">
        <v>6</v>
      </c>
      <c r="L568" s="28" t="inlineStr">
        <is>
          <t>WENN(wert=0;0;10+(wert-1)*grad)</t>
        </is>
      </c>
      <c r="P568" t="inlineStr">
        <is>
          <t>eig_bonus_g_willenskraft</t>
        </is>
      </c>
      <c r="Q568"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569" hidden="1" ht="15.75" customHeight="1" s="48">
      <c r="A569" s="29" t="inlineStr">
        <is>
          <t>#spruchmagie_antimagie_6_schutz_vor_schule_antimagie</t>
        </is>
      </c>
      <c r="B569" s="11" t="inlineStr">
        <is>
          <t>Spruchmagie</t>
        </is>
      </c>
      <c r="C569" s="12" t="inlineStr">
        <is>
          <t>Schutz vor Schule: Antimagie</t>
        </is>
      </c>
      <c r="F569" t="inlineStr">
        <is>
          <t>Antimagie</t>
        </is>
      </c>
      <c r="G569" s="11" t="inlineStr">
        <is>
          <t>Wert</t>
        </is>
      </c>
      <c r="K569" t="n">
        <v>6</v>
      </c>
      <c r="L569" s="28" t="inlineStr">
        <is>
          <t>WENN(wert=0;0;10+(wert-1)*grad)</t>
        </is>
      </c>
      <c r="P569" t="inlineStr">
        <is>
          <t>eig_bonus_g_willenskraft</t>
        </is>
      </c>
      <c r="Q569" t="inlineStr">
        <is>
          <t>Der Magus schützt sich kraft seines Wissens um die Wirkungsweise der [Schule] vollständig gegen alle Wirkungen der  entsprechenden Magie. Um diesen Zauber steigern zu können, muss der Magus die entsprechende Spruchmagie-Schule beherrschen.</t>
        </is>
      </c>
    </row>
    <row r="570" hidden="1" ht="15.75" customHeight="1" s="48">
      <c r="A570" s="29" t="inlineStr">
        <is>
          <t>#spruchmagie_antimagie_6_schutz_vor_schule_beherrschung</t>
        </is>
      </c>
      <c r="B570" s="11" t="inlineStr">
        <is>
          <t>Spruchmagie</t>
        </is>
      </c>
      <c r="C570" s="12" t="inlineStr">
        <is>
          <t>Schutz vor Schule: Beherrschung</t>
        </is>
      </c>
      <c r="F570" t="inlineStr">
        <is>
          <t>Antimagie</t>
        </is>
      </c>
      <c r="G570" s="11" t="inlineStr">
        <is>
          <t>Wert</t>
        </is>
      </c>
      <c r="K570" t="n">
        <v>6</v>
      </c>
      <c r="L570" s="28" t="inlineStr">
        <is>
          <t>WENN(wert=0;0;10+(wert-1)*grad)</t>
        </is>
      </c>
      <c r="P570" t="inlineStr">
        <is>
          <t>eig_bonus_g_willenskraft</t>
        </is>
      </c>
      <c r="Q570" t="inlineStr">
        <is>
          <t>Der Magus schützt sich kraft seines Wissens um die Wirkungsweise der [Schule] vollständig gegen alle Wirkungen der  entsprechenden Magie. Um diesen Zauber steigern zu können, muss der Magus die entsprechende Spruchmagie-Schule beherrschen.</t>
        </is>
      </c>
    </row>
    <row r="571" hidden="1" ht="15.75" customHeight="1" s="48">
      <c r="A571" s="29" t="inlineStr">
        <is>
          <t>#spruchmagie_antimagie_6_schutz_vor_schule_erdbeschwoerung</t>
        </is>
      </c>
      <c r="B571" s="11" t="inlineStr">
        <is>
          <t>Spruchmagie</t>
        </is>
      </c>
      <c r="C571" s="12" t="inlineStr">
        <is>
          <t>Schutz vor Schule: Erdbeschwörung</t>
        </is>
      </c>
      <c r="F571" t="inlineStr">
        <is>
          <t>Antimagie</t>
        </is>
      </c>
      <c r="G571" s="11" t="inlineStr">
        <is>
          <t>Wert</t>
        </is>
      </c>
      <c r="K571" t="n">
        <v>6</v>
      </c>
      <c r="L571" s="28" t="inlineStr">
        <is>
          <t>WENN(wert=0;0;10+(wert-1)*grad)</t>
        </is>
      </c>
      <c r="P571" t="inlineStr">
        <is>
          <t>eig_bonus_g_willenskraft</t>
        </is>
      </c>
      <c r="Q571" t="inlineStr">
        <is>
          <t>Der Magus schützt sich kraft seines Wissens um die Wirkungsweise der [Schule] vollständig gegen alle Wirkungen der  entsprechenden Magie. Um diesen Zauber steigern zu können, muss der Magus die entsprechende Spruchmagie-Schule beherrschen.</t>
        </is>
      </c>
    </row>
    <row r="572" hidden="1" ht="15.75" customHeight="1" s="48">
      <c r="A572" s="29" t="inlineStr">
        <is>
          <t>#spruchmagie_antimagie_6_schutz_vor_schule_feuerbeschwoerung</t>
        </is>
      </c>
      <c r="B572" s="11" t="inlineStr">
        <is>
          <t>Spruchmagie</t>
        </is>
      </c>
      <c r="C572" s="12" t="inlineStr">
        <is>
          <t>Schutz vor Schule: Feuerbeschwörung</t>
        </is>
      </c>
      <c r="F572" t="inlineStr">
        <is>
          <t>Antimagie</t>
        </is>
      </c>
      <c r="G572" s="11" t="inlineStr">
        <is>
          <t>Wert</t>
        </is>
      </c>
      <c r="K572" t="n">
        <v>6</v>
      </c>
      <c r="L572" s="28" t="inlineStr">
        <is>
          <t>WENN(wert=0;0;10+(wert-1)*grad)</t>
        </is>
      </c>
      <c r="P572" t="inlineStr">
        <is>
          <t>eig_bonus_g_willenskraft</t>
        </is>
      </c>
      <c r="Q572" t="inlineStr">
        <is>
          <t>Der Magus schützt sich kraft seines Wissens um die Wirkungsweise der [Schule] vollständig gegen alle Wirkungen der  entsprechenden Magie. Um diesen Zauber steigern zu können, muss der Magus die entsprechende Spruchmagie-Schule beherrschen.</t>
        </is>
      </c>
    </row>
    <row r="573" hidden="1" ht="15.75" customHeight="1" s="48">
      <c r="A573" s="29" t="inlineStr">
        <is>
          <t>#spruchmagie_antimagie_6_schutz_vor_schule_heilung</t>
        </is>
      </c>
      <c r="B573" s="11" t="inlineStr">
        <is>
          <t>Spruchmagie</t>
        </is>
      </c>
      <c r="C573" s="12" t="inlineStr">
        <is>
          <t>Schutz vor Schule: Heilung</t>
        </is>
      </c>
      <c r="F573" t="inlineStr">
        <is>
          <t>Antimagie</t>
        </is>
      </c>
      <c r="G573" s="11" t="inlineStr">
        <is>
          <t>Wert</t>
        </is>
      </c>
      <c r="K573" t="n">
        <v>6</v>
      </c>
      <c r="L573" s="28" t="inlineStr">
        <is>
          <t>WENN(wert=0;0;10+(wert-1)*grad)</t>
        </is>
      </c>
      <c r="P573" t="inlineStr">
        <is>
          <t>eig_bonus_g_willenskraft</t>
        </is>
      </c>
      <c r="Q573" t="inlineStr">
        <is>
          <t>Der Magus schützt sich kraft seines Wissens um die Wirkungsweise der [Schule] vollständig gegen alle Wirkungen der  entsprechenden Magie. Um diesen Zauber steigern zu können, muss der Magus die entsprechende Spruchmagie-Schule beherrschen.</t>
        </is>
      </c>
    </row>
    <row r="574" hidden="1" ht="15.75" customHeight="1" s="48">
      <c r="A574" s="29" t="inlineStr">
        <is>
          <t>#spruchmagie_antimagie_6_schutz_vor_schule_hellsicht</t>
        </is>
      </c>
      <c r="B574" s="11" t="inlineStr">
        <is>
          <t>Spruchmagie</t>
        </is>
      </c>
      <c r="C574" s="12" t="inlineStr">
        <is>
          <t>Schutz vor Schule: Hellsicht</t>
        </is>
      </c>
      <c r="F574" t="inlineStr">
        <is>
          <t>Antimagie</t>
        </is>
      </c>
      <c r="G574" s="11" t="inlineStr">
        <is>
          <t>Wert</t>
        </is>
      </c>
      <c r="K574" t="n">
        <v>6</v>
      </c>
      <c r="L574" s="28" t="inlineStr">
        <is>
          <t>WENN(wert=0;0;10+(wert-1)*grad)</t>
        </is>
      </c>
      <c r="P574" t="inlineStr">
        <is>
          <t>eig_bonus_g_willenskraft</t>
        </is>
      </c>
      <c r="Q574" t="inlineStr">
        <is>
          <t>Der Magus schützt sich kraft seines Wissens um die Wirkungsweise der [Schule] vollständig gegen alle Wirkungen der  entsprechenden Magie. Um diesen Zauber steigern zu können, muss der Magus die entsprechende Spruchmagie-Schule beherrschen.</t>
        </is>
      </c>
    </row>
    <row r="575" hidden="1" ht="15.75" customHeight="1" s="48">
      <c r="A575" s="29" t="inlineStr">
        <is>
          <t>#spruchmagie_antimagie_6_schutz_vor_schule_illusion</t>
        </is>
      </c>
      <c r="B575" s="11" t="inlineStr">
        <is>
          <t>Spruchmagie</t>
        </is>
      </c>
      <c r="C575" s="12" t="inlineStr">
        <is>
          <t>Schutz vor Schule: Illusion</t>
        </is>
      </c>
      <c r="F575" t="inlineStr">
        <is>
          <t>Antimagie</t>
        </is>
      </c>
      <c r="G575" s="11" t="inlineStr">
        <is>
          <t>Wert</t>
        </is>
      </c>
      <c r="K575" t="n">
        <v>6</v>
      </c>
      <c r="L575" s="28" t="inlineStr">
        <is>
          <t>WENN(wert=0;0;10+(wert-1)*grad)</t>
        </is>
      </c>
      <c r="P575" t="inlineStr">
        <is>
          <t>eig_bonus_g_willenskraft</t>
        </is>
      </c>
      <c r="Q575" t="inlineStr">
        <is>
          <t>Der Magus schützt sich kraft seines Wissens um die Wirkungsweise der [Schule] vollständig gegen alle Wirkungen der  entsprechenden Magie. Um diesen Zauber steigern zu können, muss der Magus die entsprechende Spruchmagie-Schule beherrschen.</t>
        </is>
      </c>
    </row>
    <row r="576" hidden="1" ht="15.75" customHeight="1" s="48">
      <c r="A576" s="29" t="inlineStr">
        <is>
          <t>#spruchmagie_antimagie_6_schutz_vor_schule_luftbeschwoerung</t>
        </is>
      </c>
      <c r="B576" s="11" t="inlineStr">
        <is>
          <t>Spruchmagie</t>
        </is>
      </c>
      <c r="C576" s="12" t="inlineStr">
        <is>
          <t>Schutz vor Schule: Luftbeschwörung</t>
        </is>
      </c>
      <c r="F576" t="inlineStr">
        <is>
          <t>Antimagie</t>
        </is>
      </c>
      <c r="G576" s="11" t="inlineStr">
        <is>
          <t>Wert</t>
        </is>
      </c>
      <c r="K576" t="n">
        <v>6</v>
      </c>
      <c r="L576" s="28" t="inlineStr">
        <is>
          <t>WENN(wert=0;0;10+(wert-1)*grad)</t>
        </is>
      </c>
      <c r="P576" t="inlineStr">
        <is>
          <t>eig_bonus_g_willenskraft</t>
        </is>
      </c>
      <c r="Q576" t="inlineStr">
        <is>
          <t>Der Magus schützt sich kraft seines Wissens um die Wirkungsweise der [Schule] vollständig gegen alle Wirkungen der  entsprechenden Magie. Um diesen Zauber steigern zu können, muss der Magus die entsprechende Spruchmagie-Schule beherrschen.</t>
        </is>
      </c>
    </row>
    <row r="577" hidden="1" ht="15.75" customHeight="1" s="48">
      <c r="A577" s="29" t="inlineStr">
        <is>
          <t>#spruchmagie_antimagie_6_schutz_vor_schule_magiebeschwoerung</t>
        </is>
      </c>
      <c r="B577" s="11" t="inlineStr">
        <is>
          <t>Spruchmagie</t>
        </is>
      </c>
      <c r="C577" s="12" t="inlineStr">
        <is>
          <t>Schutz vor Schule: Magiebeschwörung</t>
        </is>
      </c>
      <c r="F577" t="inlineStr">
        <is>
          <t>Antimagie</t>
        </is>
      </c>
      <c r="G577" s="11" t="inlineStr">
        <is>
          <t>Wert</t>
        </is>
      </c>
      <c r="K577" t="n">
        <v>6</v>
      </c>
      <c r="L577" s="28" t="inlineStr">
        <is>
          <t>WENN(wert=0;0;10+(wert-1)*grad)</t>
        </is>
      </c>
      <c r="P577" t="inlineStr">
        <is>
          <t>eig_bonus_g_willenskraft</t>
        </is>
      </c>
      <c r="Q577" t="inlineStr">
        <is>
          <t>Der Magus schützt sich kraft seines Wissens um die Wirkungsweise der [Schule] vollständig gegen alle Wirkungen der  entsprechenden Magie. Um diesen Zauber steigern zu können, muss der Magus die entsprechende Spruchmagie-Schule beherrschen.</t>
        </is>
      </c>
    </row>
    <row r="578" hidden="1" ht="15.75" customHeight="1" s="48">
      <c r="A578" s="29" t="inlineStr">
        <is>
          <t>#spruchmagie_antimagie_6_schutz_vor_schule_verzauberung</t>
        </is>
      </c>
      <c r="B578" s="11" t="inlineStr">
        <is>
          <t>Spruchmagie</t>
        </is>
      </c>
      <c r="C578" s="12" t="inlineStr">
        <is>
          <t>Schutz vor Schule: Verzauberung</t>
        </is>
      </c>
      <c r="F578" t="inlineStr">
        <is>
          <t>Antimagie</t>
        </is>
      </c>
      <c r="G578" s="11" t="inlineStr">
        <is>
          <t>Wert</t>
        </is>
      </c>
      <c r="K578" t="n">
        <v>6</v>
      </c>
      <c r="L578" s="28" t="inlineStr">
        <is>
          <t>WENN(wert=0;0;10+(wert-1)*grad)</t>
        </is>
      </c>
      <c r="P578" t="inlineStr">
        <is>
          <t>eig_bonus_g_willenskraft</t>
        </is>
      </c>
      <c r="Q578" t="inlineStr">
        <is>
          <t>Der Magus schützt sich kraft seines Wissens um die Wirkungsweise der [Schule] vollständig gegen alle Wirkungen der  entsprechenden Magie. Um diesen Zauber steigern zu können, muss der Magus die entsprechende Spruchmagie-Schule beherrschen.</t>
        </is>
      </c>
    </row>
    <row r="579" hidden="1" ht="15.75" customHeight="1" s="48">
      <c r="A579" s="29" t="inlineStr">
        <is>
          <t>#spruchmagie_antimagie_6_schutz_vor_schule_wasserbeschwoerung</t>
        </is>
      </c>
      <c r="B579" s="11" t="inlineStr">
        <is>
          <t>Spruchmagie</t>
        </is>
      </c>
      <c r="C579" s="12" t="inlineStr">
        <is>
          <t>Schutz vor Schule: Wasserbeschwörung</t>
        </is>
      </c>
      <c r="F579" t="inlineStr">
        <is>
          <t>Antimagie</t>
        </is>
      </c>
      <c r="G579" s="11" t="inlineStr">
        <is>
          <t>Wert</t>
        </is>
      </c>
      <c r="K579" t="n">
        <v>6</v>
      </c>
      <c r="L579" s="28" t="inlineStr">
        <is>
          <t>WENN(wert=0;0;10+(wert-1)*grad)</t>
        </is>
      </c>
      <c r="P579" t="inlineStr">
        <is>
          <t>eig_bonus_g_willenskraft</t>
        </is>
      </c>
      <c r="Q579" t="inlineStr">
        <is>
          <t>Der Magus schützt sich kraft seines Wissens um die Wirkungsweise der [Schule] vollständig gegen alle Wirkungen der  entsprechenden Magie. Um diesen Zauber steigern zu können, muss der Magus die entsprechende Spruchmagie-Schule beherrschen.</t>
        </is>
      </c>
    </row>
    <row r="580" hidden="1" ht="15.75" customHeight="1" s="48">
      <c r="A580" s="29" t="inlineStr">
        <is>
          <t>#spruchmagie_antimagie_6_subjektives_manaloch</t>
        </is>
      </c>
      <c r="B580" s="11" t="inlineStr">
        <is>
          <t>Spruchmagie</t>
        </is>
      </c>
      <c r="C580" s="12" t="inlineStr">
        <is>
          <t>Subjektives Manaloch</t>
        </is>
      </c>
      <c r="F580" t="inlineStr">
        <is>
          <t>Antimagie</t>
        </is>
      </c>
      <c r="G580" s="11" t="inlineStr">
        <is>
          <t>Wert</t>
        </is>
      </c>
      <c r="K580" t="n">
        <v>6</v>
      </c>
      <c r="L580" s="28" t="inlineStr">
        <is>
          <t>WENN(wert=0;0;10+(wert-1)*grad)</t>
        </is>
      </c>
      <c r="P580" t="inlineStr">
        <is>
          <t>eig_bonus_g_intelligenz</t>
        </is>
      </c>
      <c r="Q580"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581" hidden="1" ht="15.75" customHeight="1" s="48">
      <c r="A581" s="29" t="inlineStr">
        <is>
          <t>#spruchmagie_antimagie_7_aura_entkernen</t>
        </is>
      </c>
      <c r="B581" s="11" t="inlineStr">
        <is>
          <t>Spruchmagie</t>
        </is>
      </c>
      <c r="C581" s="12" t="inlineStr">
        <is>
          <t>Aura entkernen</t>
        </is>
      </c>
      <c r="F581" t="inlineStr">
        <is>
          <t>Antimagie</t>
        </is>
      </c>
      <c r="G581" s="11" t="inlineStr">
        <is>
          <t>Wert</t>
        </is>
      </c>
      <c r="K581" t="n">
        <v>7</v>
      </c>
      <c r="L581" s="28" t="inlineStr">
        <is>
          <t>WENN(wert=0;0;10+(wert-1)*grad)</t>
        </is>
      </c>
      <c r="P581" t="inlineStr">
        <is>
          <t>eig_bonus_g_intelligenz</t>
        </is>
      </c>
      <c r="Q581" t="inlineStr">
        <is>
          <t>Die Aura des Opfers wird für den Bruchteil einer Sekunde zerstört. Dadurch fallen alle Zauber vom Ziel, alle aktiven Artefakte verlieren ihre Wirkung und das Ziel büßt all sein Mana ein. Zaubervorbereitungen werden unterbrochen.</t>
        </is>
      </c>
    </row>
    <row r="582" hidden="1" ht="15.75" customHeight="1" s="48">
      <c r="A582" s="29" t="inlineStr">
        <is>
          <t>#spruchmagie_antimagie_7_manaloch</t>
        </is>
      </c>
      <c r="B582" s="11" t="inlineStr">
        <is>
          <t>Spruchmagie</t>
        </is>
      </c>
      <c r="C582" s="12" t="inlineStr">
        <is>
          <t>Manaloch</t>
        </is>
      </c>
      <c r="F582" t="inlineStr">
        <is>
          <t>Antimagie</t>
        </is>
      </c>
      <c r="G582" s="11" t="inlineStr">
        <is>
          <t>Wert</t>
        </is>
      </c>
      <c r="K582" t="n">
        <v>7</v>
      </c>
      <c r="L582" s="28" t="inlineStr">
        <is>
          <t>WENN(wert=0;0;10+(wert-1)*grad)</t>
        </is>
      </c>
      <c r="P582" t="inlineStr">
        <is>
          <t>eig_bonus_g_willenskraft</t>
        </is>
      </c>
      <c r="Q582"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583" hidden="1" ht="15.75" customHeight="1" s="48">
      <c r="A583" s="29" t="inlineStr">
        <is>
          <t>#spruchmagie_antimagie_7_spiegeltrick</t>
        </is>
      </c>
      <c r="B583" s="11" t="inlineStr">
        <is>
          <t>Spruchmagie</t>
        </is>
      </c>
      <c r="C583" s="12" t="inlineStr">
        <is>
          <t>Spiegeltrick</t>
        </is>
      </c>
      <c r="F583" t="inlineStr">
        <is>
          <t>Antimagie</t>
        </is>
      </c>
      <c r="G583" s="11" t="inlineStr">
        <is>
          <t>Wert</t>
        </is>
      </c>
      <c r="K583" t="n">
        <v>7</v>
      </c>
      <c r="L583" s="28" t="inlineStr">
        <is>
          <t>WENN(wert=0;0;10+(wert-1)*grad)</t>
        </is>
      </c>
      <c r="P583" t="inlineStr">
        <is>
          <t>eig_bonus_g_willenskraft</t>
        </is>
      </c>
      <c r="Q583" t="inlineStr">
        <is>
          <t>Ein beliebiger Zauber, der auf den Magus gezielt wird, wird mit voller Stärke auf den Gegner zurückgeworfen. Der Magus erleidet nur die halbierte Wirkung.</t>
        </is>
      </c>
    </row>
    <row r="584" hidden="1" ht="15.75" customHeight="1" s="48">
      <c r="A584" s="29" t="inlineStr">
        <is>
          <t>#spruchmagie_beherrschung_1_ermutigen</t>
        </is>
      </c>
      <c r="B584" s="11" t="inlineStr">
        <is>
          <t>Spruchmagie</t>
        </is>
      </c>
      <c r="C584" s="12" t="inlineStr">
        <is>
          <t>Ermutigen</t>
        </is>
      </c>
      <c r="F584" t="inlineStr">
        <is>
          <t>Beherrschung</t>
        </is>
      </c>
      <c r="G584" s="11" t="inlineStr">
        <is>
          <t>Wert</t>
        </is>
      </c>
      <c r="K584" t="n">
        <v>1</v>
      </c>
      <c r="L584" s="28" t="inlineStr">
        <is>
          <t>WENN(wert=0;0;10+(wert-1)*grad)</t>
        </is>
      </c>
      <c r="P584" t="inlineStr">
        <is>
          <t>eig_bonus_g_ausstrahlung</t>
        </is>
      </c>
      <c r="Q584"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585" hidden="1" ht="15.75" customHeight="1" s="48">
      <c r="A585" s="29" t="inlineStr">
        <is>
          <t>#spruchmagie_beherrschung_1_freundschaft</t>
        </is>
      </c>
      <c r="B585" s="11" t="inlineStr">
        <is>
          <t>Spruchmagie</t>
        </is>
      </c>
      <c r="C585" s="12" t="inlineStr">
        <is>
          <t>Freundschaft</t>
        </is>
      </c>
      <c r="F585" t="inlineStr">
        <is>
          <t>Beherrschung</t>
        </is>
      </c>
      <c r="G585" s="11" t="inlineStr">
        <is>
          <t>Wert</t>
        </is>
      </c>
      <c r="K585" t="n">
        <v>1</v>
      </c>
      <c r="L585" s="28" t="inlineStr">
        <is>
          <t>WENN(wert=0;0;10+(wert-1)*grad)</t>
        </is>
      </c>
      <c r="P585" t="inlineStr">
        <is>
          <t>eig_bonus_g_ausstrahlung</t>
        </is>
      </c>
      <c r="Q585" t="inlineStr">
        <is>
          <t>Das Ansehen des Magus steigt bei dem Opfer um eine Stufe. Bester Freund---Freund---neutral---Böse/Gefahr---Feind Nach {M}:2 Stunden erinnert sich das Opfer wieder warum es das Opfer doch nicht so gerne mochte.</t>
        </is>
      </c>
    </row>
    <row r="586" hidden="1" ht="15.75" customHeight="1" s="48">
      <c r="A586" s="29" t="inlineStr">
        <is>
          <t>#spruchmagie_beherrschung_1_respekt_einfloessen</t>
        </is>
      </c>
      <c r="B586" s="11" t="inlineStr">
        <is>
          <t>Spruchmagie</t>
        </is>
      </c>
      <c r="C586" s="12" t="inlineStr">
        <is>
          <t>Respekt einflößen</t>
        </is>
      </c>
      <c r="F586" t="inlineStr">
        <is>
          <t>Beherrschung</t>
        </is>
      </c>
      <c r="G586" s="11" t="inlineStr">
        <is>
          <t>Wert</t>
        </is>
      </c>
      <c r="K586" t="n">
        <v>1</v>
      </c>
      <c r="L586" s="28" t="inlineStr">
        <is>
          <t>WENN(wert=0;0;10+(wert-1)*grad)</t>
        </is>
      </c>
      <c r="P586" t="inlineStr">
        <is>
          <t>eig_bonus_g_ausstrahlung</t>
        </is>
      </c>
      <c r="Q586"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587" hidden="1" ht="15.75" customHeight="1" s="48">
      <c r="A587" s="29" t="inlineStr">
        <is>
          <t>#spruchmagie_beherrschung_1_tiere_befehligen</t>
        </is>
      </c>
      <c r="B587" s="11" t="inlineStr">
        <is>
          <t>Spruchmagie</t>
        </is>
      </c>
      <c r="C587" s="12" t="inlineStr">
        <is>
          <t>Tiere Befehligen</t>
        </is>
      </c>
      <c r="F587" t="inlineStr">
        <is>
          <t>Beherrschung</t>
        </is>
      </c>
      <c r="G587" s="11" t="inlineStr">
        <is>
          <t>Wert</t>
        </is>
      </c>
      <c r="K587" t="n">
        <v>1</v>
      </c>
      <c r="L587" s="28" t="inlineStr">
        <is>
          <t>WENN(wert=0;0;10+(wert-1)*grad)</t>
        </is>
      </c>
      <c r="P587" t="inlineStr">
        <is>
          <t>eig_bonus_g_ausstrahlung</t>
        </is>
      </c>
      <c r="Q587"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588" hidden="1" ht="15.75" customHeight="1" s="48">
      <c r="A588" s="29" t="inlineStr">
        <is>
          <t>#spruchmagie_beherrschung_2_besaenftigen</t>
        </is>
      </c>
      <c r="B588" s="11" t="inlineStr">
        <is>
          <t>Spruchmagie</t>
        </is>
      </c>
      <c r="C588" s="12" t="inlineStr">
        <is>
          <t>Besänftigen</t>
        </is>
      </c>
      <c r="F588" t="inlineStr">
        <is>
          <t>Beherrschung</t>
        </is>
      </c>
      <c r="G588" s="11" t="inlineStr">
        <is>
          <t>Wert</t>
        </is>
      </c>
      <c r="K588" t="n">
        <v>2</v>
      </c>
      <c r="L588" s="28" t="inlineStr">
        <is>
          <t>WENN(wert=0;0;10+(wert-1)*grad)</t>
        </is>
      </c>
      <c r="P588" t="inlineStr">
        <is>
          <t>eig_bonus_g_ausstrahlung</t>
        </is>
      </c>
      <c r="Q588"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589" hidden="1" ht="15.75" customHeight="1" s="48">
      <c r="A589" s="29" t="inlineStr">
        <is>
          <t>#spruchmagie_beherrschung_2_entmutigen</t>
        </is>
      </c>
      <c r="B589" s="11" t="inlineStr">
        <is>
          <t>Spruchmagie</t>
        </is>
      </c>
      <c r="C589" s="12" t="inlineStr">
        <is>
          <t>Entmutigen</t>
        </is>
      </c>
      <c r="F589" t="inlineStr">
        <is>
          <t>Beherrschung</t>
        </is>
      </c>
      <c r="G589" s="11" t="inlineStr">
        <is>
          <t>Wert</t>
        </is>
      </c>
      <c r="K589" t="n">
        <v>2</v>
      </c>
      <c r="L589" s="28" t="inlineStr">
        <is>
          <t>WENN(wert=0;0;10+(wert-1)*grad)</t>
        </is>
      </c>
      <c r="P589" t="inlineStr">
        <is>
          <t>eig_bonus_g_ausstrahlung</t>
        </is>
      </c>
      <c r="Q589"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590" hidden="1" ht="15.75" customHeight="1" s="48">
      <c r="A590" s="29" t="inlineStr">
        <is>
          <t>#spruchmagie_beherrschung_2_lachanfall</t>
        </is>
      </c>
      <c r="B590" s="11" t="inlineStr">
        <is>
          <t>Spruchmagie</t>
        </is>
      </c>
      <c r="C590" s="12" t="inlineStr">
        <is>
          <t>Lachanfall</t>
        </is>
      </c>
      <c r="F590" t="inlineStr">
        <is>
          <t>Beherrschung</t>
        </is>
      </c>
      <c r="G590" s="11" t="inlineStr">
        <is>
          <t>Wert</t>
        </is>
      </c>
      <c r="K590" t="n">
        <v>2</v>
      </c>
      <c r="L590" s="28" t="inlineStr">
        <is>
          <t>WENN(wert=0;0;10+(wert-1)*grad)</t>
        </is>
      </c>
      <c r="P590" t="inlineStr">
        <is>
          <t>eig_bonus_g_ausstrahlung</t>
        </is>
      </c>
      <c r="Q590"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591" hidden="1" ht="15.75" customHeight="1" s="48">
      <c r="A591" s="29" t="inlineStr">
        <is>
          <t>#spruchmagie_beherrschung_2_stumm</t>
        </is>
      </c>
      <c r="B591" s="11" t="inlineStr">
        <is>
          <t>Spruchmagie</t>
        </is>
      </c>
      <c r="C591" s="12" t="inlineStr">
        <is>
          <t>Stumm</t>
        </is>
      </c>
      <c r="F591" t="inlineStr">
        <is>
          <t>Beherrschung</t>
        </is>
      </c>
      <c r="G591" s="11" t="inlineStr">
        <is>
          <t>Wert</t>
        </is>
      </c>
      <c r="K591" t="n">
        <v>2</v>
      </c>
      <c r="L591" s="28" t="inlineStr">
        <is>
          <t>WENN(wert=0;0;10+(wert-1)*grad)</t>
        </is>
      </c>
      <c r="P591" t="inlineStr">
        <is>
          <t>eig_bonus_g_ausstrahlung</t>
        </is>
      </c>
      <c r="Q591" t="inlineStr">
        <is>
          <t>Das Opfer bringt keinen Ton raus. Man hört zwar wie die Luft die Lungen durch den Mund verlässt aber das ist auch schon alles. Das sprechen von Zaubern geht nur noch auf ST2, also ohne Formel.</t>
        </is>
      </c>
    </row>
    <row r="592" hidden="1" ht="15.75" customHeight="1" s="48">
      <c r="A592" s="29" t="inlineStr">
        <is>
          <t>#spruchmagie_beherrschung_2_traurigkeit</t>
        </is>
      </c>
      <c r="B592" s="11" t="inlineStr">
        <is>
          <t>Spruchmagie</t>
        </is>
      </c>
      <c r="C592" s="12" t="inlineStr">
        <is>
          <t>Traurigkeit</t>
        </is>
      </c>
      <c r="F592" t="inlineStr">
        <is>
          <t>Beherrschung</t>
        </is>
      </c>
      <c r="G592" s="11" t="inlineStr">
        <is>
          <t>Wert</t>
        </is>
      </c>
      <c r="K592" t="n">
        <v>2</v>
      </c>
      <c r="L592" s="28" t="inlineStr">
        <is>
          <t>WENN(wert=0;0;10+(wert-1)*grad)</t>
        </is>
      </c>
      <c r="P592" t="inlineStr">
        <is>
          <t>eig_bonus_g_ausstrahlung</t>
        </is>
      </c>
      <c r="Q592"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593" hidden="1" ht="15.75" customHeight="1" s="48">
      <c r="A593" s="29" t="inlineStr">
        <is>
          <t>#spruchmagie_beherrschung_3_elementare_befehligen</t>
        </is>
      </c>
      <c r="B593" s="11" t="inlineStr">
        <is>
          <t>Spruchmagie</t>
        </is>
      </c>
      <c r="C593" s="12" t="inlineStr">
        <is>
          <t>Elementare Befehligen</t>
        </is>
      </c>
      <c r="F593" t="inlineStr">
        <is>
          <t>Beherrschung</t>
        </is>
      </c>
      <c r="G593" s="11" t="inlineStr">
        <is>
          <t>Wert</t>
        </is>
      </c>
      <c r="K593" t="n">
        <v>3</v>
      </c>
      <c r="L593" s="28" t="inlineStr">
        <is>
          <t>WENN(wert=0;0;10+(wert-1)*grad)</t>
        </is>
      </c>
      <c r="P593" t="inlineStr">
        <is>
          <t>eig_bonus_g_ausstrahlung</t>
        </is>
      </c>
      <c r="Q593"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594" hidden="1" ht="15.75" customHeight="1" s="48">
      <c r="A594" s="29" t="inlineStr">
        <is>
          <t>#spruchmagie_beherrschung_3_herrschaft_ueber_tiere</t>
        </is>
      </c>
      <c r="B594" s="11" t="inlineStr">
        <is>
          <t>Spruchmagie</t>
        </is>
      </c>
      <c r="C594" s="12" t="inlineStr">
        <is>
          <t>Herrschaft über Tiere</t>
        </is>
      </c>
      <c r="F594" t="inlineStr">
        <is>
          <t>Beherrschung</t>
        </is>
      </c>
      <c r="G594" s="11" t="inlineStr">
        <is>
          <t>Wert</t>
        </is>
      </c>
      <c r="K594" t="n">
        <v>3</v>
      </c>
      <c r="L594" s="28" t="inlineStr">
        <is>
          <t>WENN(wert=0;0;10+(wert-1)*grad)</t>
        </is>
      </c>
      <c r="P594" t="inlineStr">
        <is>
          <t>eig_bonus_g_ausstrahlung</t>
        </is>
      </c>
      <c r="Q594"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595" hidden="1" ht="15.75" customHeight="1" s="48">
      <c r="A595" s="29" t="inlineStr">
        <is>
          <t>#spruchmagie_beherrschung_3_konfus</t>
        </is>
      </c>
      <c r="B595" s="11" t="inlineStr">
        <is>
          <t>Spruchmagie</t>
        </is>
      </c>
      <c r="C595" s="12" t="inlineStr">
        <is>
          <t>Konfus</t>
        </is>
      </c>
      <c r="F595" t="inlineStr">
        <is>
          <t>Beherrschung</t>
        </is>
      </c>
      <c r="G595" s="11" t="inlineStr">
        <is>
          <t>Wert</t>
        </is>
      </c>
      <c r="K595" t="n">
        <v>3</v>
      </c>
      <c r="L595" s="28" t="inlineStr">
        <is>
          <t>WENN(wert=0;0;10+(wert-1)*grad)</t>
        </is>
      </c>
      <c r="P595" t="inlineStr">
        <is>
          <t>eig_bonus_g_mut</t>
        </is>
      </c>
      <c r="Q595"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596" hidden="1" ht="15.75" customHeight="1" s="48">
      <c r="A596" s="29" t="inlineStr">
        <is>
          <t>#spruchmagie_beherrschung_3_tick_verursachen</t>
        </is>
      </c>
      <c r="B596" s="11" t="inlineStr">
        <is>
          <t>Spruchmagie</t>
        </is>
      </c>
      <c r="C596" s="12" t="inlineStr">
        <is>
          <t>Tick Verursachen</t>
        </is>
      </c>
      <c r="F596" t="inlineStr">
        <is>
          <t>Beherrschung</t>
        </is>
      </c>
      <c r="G596" s="11" t="inlineStr">
        <is>
          <t>Wert</t>
        </is>
      </c>
      <c r="K596" t="n">
        <v>3</v>
      </c>
      <c r="L596" s="28" t="inlineStr">
        <is>
          <t>WENN(wert=0;0;10+(wert-1)*grad)</t>
        </is>
      </c>
      <c r="P596" t="inlineStr">
        <is>
          <t>eig_bonus_g_ausstrahlung</t>
        </is>
      </c>
      <c r="Q596"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597" hidden="1" ht="15.75" customHeight="1" s="48">
      <c r="A597" s="29" t="inlineStr">
        <is>
          <t>#spruchmagie_beherrschung_3_zorn</t>
        </is>
      </c>
      <c r="B597" s="11" t="inlineStr">
        <is>
          <t>Spruchmagie</t>
        </is>
      </c>
      <c r="C597" s="12" t="inlineStr">
        <is>
          <t>Zorn</t>
        </is>
      </c>
      <c r="F597" t="inlineStr">
        <is>
          <t>Beherrschung</t>
        </is>
      </c>
      <c r="G597" s="11" t="inlineStr">
        <is>
          <t>Wert</t>
        </is>
      </c>
      <c r="K597" t="n">
        <v>3</v>
      </c>
      <c r="L597" s="28" t="inlineStr">
        <is>
          <t>WENN(wert=0;0;10+(wert-1)*grad)</t>
        </is>
      </c>
      <c r="P597" t="inlineStr">
        <is>
          <t>eig_bonus_g_mut</t>
        </is>
      </c>
      <c r="Q597"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598" hidden="1" ht="15.75" customHeight="1" s="48">
      <c r="A598" s="29" t="inlineStr">
        <is>
          <t>#spruchmagie_beherrschung_4_aufmerksamkeit</t>
        </is>
      </c>
      <c r="B598" s="11" t="inlineStr">
        <is>
          <t>Spruchmagie</t>
        </is>
      </c>
      <c r="C598" s="12" t="inlineStr">
        <is>
          <t>Aufmerksamkeit</t>
        </is>
      </c>
      <c r="F598" t="inlineStr">
        <is>
          <t>Beherrschung</t>
        </is>
      </c>
      <c r="G598" s="11" t="inlineStr">
        <is>
          <t>Wert</t>
        </is>
      </c>
      <c r="K598" t="n">
        <v>4</v>
      </c>
      <c r="L598" s="28" t="inlineStr">
        <is>
          <t>WENN(wert=0;0;10+(wert-1)*grad)</t>
        </is>
      </c>
      <c r="P598" t="inlineStr">
        <is>
          <t>eig_bonus_g_ausstrahlung</t>
        </is>
      </c>
      <c r="Q598"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599" hidden="1" ht="15.75" customHeight="1" s="48">
      <c r="A599" s="29" t="inlineStr">
        <is>
          <t>#spruchmagie_beherrschung_4_berserker</t>
        </is>
      </c>
      <c r="B599" s="11" t="inlineStr">
        <is>
          <t>Spruchmagie</t>
        </is>
      </c>
      <c r="C599" s="12" t="inlineStr">
        <is>
          <t>Berserker</t>
        </is>
      </c>
      <c r="F599" t="inlineStr">
        <is>
          <t>Beherrschung</t>
        </is>
      </c>
      <c r="G599" s="11" t="inlineStr">
        <is>
          <t>Wert</t>
        </is>
      </c>
      <c r="K599" t="n">
        <v>4</v>
      </c>
      <c r="L599" s="28" t="inlineStr">
        <is>
          <t>WENN(wert=0;0;10+(wert-1)*grad)</t>
        </is>
      </c>
      <c r="P599" t="inlineStr">
        <is>
          <t>eig_bonus_g_mut</t>
        </is>
      </c>
      <c r="Q599"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600" hidden="1" ht="15.75" customHeight="1" s="48">
      <c r="A600" s="29" t="inlineStr">
        <is>
          <t>#spruchmagie_beherrschung_4_freie_daemonen_befehligen</t>
        </is>
      </c>
      <c r="B600" s="11" t="inlineStr">
        <is>
          <t>Spruchmagie</t>
        </is>
      </c>
      <c r="C600" s="12" t="inlineStr">
        <is>
          <t>Freie Dämonen Befehligen</t>
        </is>
      </c>
      <c r="F600" t="inlineStr">
        <is>
          <t>Beherrschung</t>
        </is>
      </c>
      <c r="G600" s="11" t="inlineStr">
        <is>
          <t>Wert</t>
        </is>
      </c>
      <c r="K600" t="n">
        <v>4</v>
      </c>
      <c r="L600" s="28" t="inlineStr">
        <is>
          <t>WENN(wert=0;0;10+(wert-1)*grad)</t>
        </is>
      </c>
      <c r="P600" t="inlineStr">
        <is>
          <t>eig_bonus_g_ausstrahlung</t>
        </is>
      </c>
      <c r="Q60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601" hidden="1" ht="15.75" customHeight="1" s="48">
      <c r="A601" s="29" t="inlineStr">
        <is>
          <t>#spruchmagie_beherrschung_4_furcht</t>
        </is>
      </c>
      <c r="B601" s="11" t="inlineStr">
        <is>
          <t>Spruchmagie</t>
        </is>
      </c>
      <c r="C601" s="12" t="inlineStr">
        <is>
          <t>Furcht</t>
        </is>
      </c>
      <c r="F601" t="inlineStr">
        <is>
          <t>Beherrschung</t>
        </is>
      </c>
      <c r="G601" s="11" t="inlineStr">
        <is>
          <t>Wert</t>
        </is>
      </c>
      <c r="K601" t="n">
        <v>4</v>
      </c>
      <c r="L601" s="28" t="inlineStr">
        <is>
          <t>WENN(wert=0;0;10+(wert-1)*grad)</t>
        </is>
      </c>
      <c r="P601" t="inlineStr">
        <is>
          <t>eig_bonus_g_ausstrahlung</t>
        </is>
      </c>
      <c r="Q601" t="inlineStr">
        <is>
          <t>Das Opfer gerät in Panik und läuft so schnell es kann vom Magus weg. Dabei rennt es so lange bis Es vor Erschöpfung Bewusstlos wird, dann fällt der Zauber von selbst. Außerdem wirft Es alles von sich was ihm am laufen hindert.</t>
        </is>
      </c>
    </row>
    <row r="602" hidden="1" ht="15.75" customHeight="1" s="48">
      <c r="A602" s="29" t="inlineStr">
        <is>
          <t>#spruchmagie_beherrschung_4_verwirrung</t>
        </is>
      </c>
      <c r="B602" s="11" t="inlineStr">
        <is>
          <t>Spruchmagie</t>
        </is>
      </c>
      <c r="C602" s="12" t="inlineStr">
        <is>
          <t>Verwirrung</t>
        </is>
      </c>
      <c r="F602" t="inlineStr">
        <is>
          <t>Beherrschung</t>
        </is>
      </c>
      <c r="G602" s="11" t="inlineStr">
        <is>
          <t>Wert</t>
        </is>
      </c>
      <c r="K602" t="n">
        <v>4</v>
      </c>
      <c r="L602" s="28" t="inlineStr">
        <is>
          <t>WENN(wert=0;0;10+(wert-1)*grad)</t>
        </is>
      </c>
      <c r="P602" t="inlineStr">
        <is>
          <t>eig_bonus_g_intelligenz</t>
        </is>
      </c>
      <c r="Q60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603" hidden="1" ht="15.75" customHeight="1" s="48">
      <c r="A603" s="29" t="inlineStr">
        <is>
          <t>#spruchmagie_beherrschung_5_herrschaft_ueber_elementare</t>
        </is>
      </c>
      <c r="B603" s="11" t="inlineStr">
        <is>
          <t>Spruchmagie</t>
        </is>
      </c>
      <c r="C603" s="12" t="inlineStr">
        <is>
          <t>Herrschaft über Elementare</t>
        </is>
      </c>
      <c r="F603" t="inlineStr">
        <is>
          <t>Beherrschung</t>
        </is>
      </c>
      <c r="G603" s="11" t="inlineStr">
        <is>
          <t>Wert</t>
        </is>
      </c>
      <c r="K603" t="n">
        <v>5</v>
      </c>
      <c r="L603" s="28" t="inlineStr">
        <is>
          <t>WENN(wert=0;0;10+(wert-1)*grad)</t>
        </is>
      </c>
      <c r="P603" t="inlineStr">
        <is>
          <t>eig_bonus_g_ausstrahlung</t>
        </is>
      </c>
      <c r="Q60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604" hidden="1" ht="15.75" customHeight="1" s="48">
      <c r="A604" s="29" t="inlineStr">
        <is>
          <t>#spruchmagie_beherrschung_5_massenfurcht</t>
        </is>
      </c>
      <c r="B604" s="11" t="inlineStr">
        <is>
          <t>Spruchmagie</t>
        </is>
      </c>
      <c r="C604" s="12" t="inlineStr">
        <is>
          <t>Massenfurcht</t>
        </is>
      </c>
      <c r="F604" t="inlineStr">
        <is>
          <t>Beherrschung</t>
        </is>
      </c>
      <c r="G604" s="11" t="inlineStr">
        <is>
          <t>Wert</t>
        </is>
      </c>
      <c r="K604" t="n">
        <v>5</v>
      </c>
      <c r="L604" s="28" t="inlineStr">
        <is>
          <t>WENN(wert=0;0;10+(wert-1)*grad)</t>
        </is>
      </c>
      <c r="P604" t="inlineStr">
        <is>
          <t>eig_bonus_g_ausstrahlung</t>
        </is>
      </c>
      <c r="Q604" t="inlineStr">
        <is>
          <t>Die Opfer geraten in Panik und laufen so schnell sie können vom Magus weg. Dabei rennen Sie so lange bis Sie vor Erschöpfung Bewusstlos werden, dann fällt der Zauber von selbst. Außerdem werfen Sie alles von sich was Sie am laufen hindert.</t>
        </is>
      </c>
    </row>
    <row r="605" hidden="1" ht="15.75" customHeight="1" s="48">
      <c r="A605" s="29" t="inlineStr">
        <is>
          <t>#spruchmagie_beherrschung_5_paralyse</t>
        </is>
      </c>
      <c r="B605" s="11" t="inlineStr">
        <is>
          <t>Spruchmagie</t>
        </is>
      </c>
      <c r="C605" s="12" t="inlineStr">
        <is>
          <t>Paralyse</t>
        </is>
      </c>
      <c r="F605" t="inlineStr">
        <is>
          <t>Beherrschung</t>
        </is>
      </c>
      <c r="G605" s="11" t="inlineStr">
        <is>
          <t>Wert</t>
        </is>
      </c>
      <c r="K605" t="n">
        <v>5</v>
      </c>
      <c r="L605" s="28" t="inlineStr">
        <is>
          <t>WENN(wert=0;0;10+(wert-1)*grad)</t>
        </is>
      </c>
      <c r="P605" t="inlineStr">
        <is>
          <t>eig_bonus_g_willenskraft</t>
        </is>
      </c>
      <c r="Q605"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606" hidden="1" ht="15.75" customHeight="1" s="48">
      <c r="A606" s="29" t="inlineStr">
        <is>
          <t>#spruchmagie_beherrschung_6_herrschaft_ueber_freie_daemonen</t>
        </is>
      </c>
      <c r="B606" s="11" t="inlineStr">
        <is>
          <t>Spruchmagie</t>
        </is>
      </c>
      <c r="C606" s="12" t="inlineStr">
        <is>
          <t>Herrschaft über freie Dämonen</t>
        </is>
      </c>
      <c r="F606" t="inlineStr">
        <is>
          <t>Beherrschung</t>
        </is>
      </c>
      <c r="G606" s="11" t="inlineStr">
        <is>
          <t>Wert</t>
        </is>
      </c>
      <c r="K606" t="n">
        <v>6</v>
      </c>
      <c r="L606" s="28" t="inlineStr">
        <is>
          <t>WENN(wert=0;0;10+(wert-1)*grad)</t>
        </is>
      </c>
      <c r="P606" t="inlineStr">
        <is>
          <t>eig_bonus_g_ausstrahlung</t>
        </is>
      </c>
      <c r="Q606"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607" hidden="1" ht="15.75" customHeight="1" s="48">
      <c r="A607" s="29" t="inlineStr">
        <is>
          <t>#spruchmagie_beherrschung_6_maechtige_tierherrschaft</t>
        </is>
      </c>
      <c r="B607" s="11" t="inlineStr">
        <is>
          <t>Spruchmagie</t>
        </is>
      </c>
      <c r="C607" s="12" t="inlineStr">
        <is>
          <t>Mächtige Tierherrschaft</t>
        </is>
      </c>
      <c r="F607" t="inlineStr">
        <is>
          <t>Beherrschung</t>
        </is>
      </c>
      <c r="G607" s="11" t="inlineStr">
        <is>
          <t>Wert</t>
        </is>
      </c>
      <c r="K607" t="n">
        <v>6</v>
      </c>
      <c r="L607" s="28" t="inlineStr">
        <is>
          <t>WENN(wert=0;0;10+(wert-1)*grad)</t>
        </is>
      </c>
      <c r="P607" t="inlineStr">
        <is>
          <t>eig_bonus_g_mut</t>
        </is>
      </c>
      <c r="Q60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608" hidden="1" ht="15.75" customHeight="1" s="48">
      <c r="A608" s="29" t="inlineStr">
        <is>
          <t>#spruchmagie_beherrschung_6_totale_kontrolle</t>
        </is>
      </c>
      <c r="B608" s="11" t="inlineStr">
        <is>
          <t>Spruchmagie</t>
        </is>
      </c>
      <c r="C608" s="12" t="inlineStr">
        <is>
          <t>Totale Kontrolle</t>
        </is>
      </c>
      <c r="F608" t="inlineStr">
        <is>
          <t>Beherrschung</t>
        </is>
      </c>
      <c r="G608" s="11" t="inlineStr">
        <is>
          <t>Wert</t>
        </is>
      </c>
      <c r="K608" t="n">
        <v>6</v>
      </c>
      <c r="L608" s="28" t="inlineStr">
        <is>
          <t>WENN(wert=0;0;10+(wert-1)*grad)</t>
        </is>
      </c>
      <c r="P608" t="inlineStr">
        <is>
          <t>eig_bonus_g_willenskraft</t>
        </is>
      </c>
      <c r="Q608"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609" hidden="1" ht="15.75" customHeight="1" s="48">
      <c r="A609" s="29" t="inlineStr">
        <is>
          <t>#spruchmagie_beherrschung_6_totale_tier_kontrolle</t>
        </is>
      </c>
      <c r="B609" s="11" t="inlineStr">
        <is>
          <t>Spruchmagie</t>
        </is>
      </c>
      <c r="C609" s="12" t="inlineStr">
        <is>
          <t>Totale Tier Kontrolle</t>
        </is>
      </c>
      <c r="F609" t="inlineStr">
        <is>
          <t>Beherrschung</t>
        </is>
      </c>
      <c r="G609" s="11" t="inlineStr">
        <is>
          <t>Wert</t>
        </is>
      </c>
      <c r="K609" t="n">
        <v>6</v>
      </c>
      <c r="L609" s="28" t="inlineStr">
        <is>
          <t>WENN(wert=0;0;10+(wert-1)*grad)</t>
        </is>
      </c>
      <c r="P609" t="inlineStr">
        <is>
          <t>eig_bonus_g_willenskraft</t>
        </is>
      </c>
      <c r="Q60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610" hidden="1" ht="15.75" customHeight="1" s="48">
      <c r="A610" s="29" t="inlineStr">
        <is>
          <t>#spruchmagie_beherrschung_7_maechtige_elementar_herrschaft</t>
        </is>
      </c>
      <c r="B610" s="11" t="inlineStr">
        <is>
          <t>Spruchmagie</t>
        </is>
      </c>
      <c r="C610" s="12" t="inlineStr">
        <is>
          <t>Mächtige Elementar Herrschaft</t>
        </is>
      </c>
      <c r="F610" t="inlineStr">
        <is>
          <t>Beherrschung</t>
        </is>
      </c>
      <c r="G610" s="11" t="inlineStr">
        <is>
          <t>Wert</t>
        </is>
      </c>
      <c r="K610" t="n">
        <v>7</v>
      </c>
      <c r="L610" s="28" t="inlineStr">
        <is>
          <t>WENN(wert=0;0;10+(wert-1)*grad)</t>
        </is>
      </c>
      <c r="P610" t="inlineStr">
        <is>
          <t>eig_bonus_g_ausstrahlung</t>
        </is>
      </c>
      <c r="Q610"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611" hidden="1" ht="15.75" customHeight="1" s="48">
      <c r="A611" s="29" t="inlineStr">
        <is>
          <t>#spruchmagie_beherrschung_7_massen_raserei</t>
        </is>
      </c>
      <c r="B611" s="11" t="inlineStr">
        <is>
          <t>Spruchmagie</t>
        </is>
      </c>
      <c r="C611" s="12" t="inlineStr">
        <is>
          <t>Massen Raserei</t>
        </is>
      </c>
      <c r="F611" t="inlineStr">
        <is>
          <t>Beherrschung</t>
        </is>
      </c>
      <c r="G611" s="11" t="inlineStr">
        <is>
          <t>Wert</t>
        </is>
      </c>
      <c r="K611" t="n">
        <v>7</v>
      </c>
      <c r="L611" s="28" t="inlineStr">
        <is>
          <t>WENN(wert=0;0;10+(wert-1)*grad)</t>
        </is>
      </c>
      <c r="P611" t="inlineStr">
        <is>
          <t>eig_bonus_g_ausstrahlung</t>
        </is>
      </c>
      <c r="Q611"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612" hidden="1" ht="15.75" customHeight="1" s="48">
      <c r="A612" s="29" t="inlineStr">
        <is>
          <t>#spruchmagie_beherrschung_7_menschen_befehligen</t>
        </is>
      </c>
      <c r="B612" s="11" t="inlineStr">
        <is>
          <t>Spruchmagie</t>
        </is>
      </c>
      <c r="C612" s="12" t="inlineStr">
        <is>
          <t>Menschen befehligen</t>
        </is>
      </c>
      <c r="F612" t="inlineStr">
        <is>
          <t>Beherrschung</t>
        </is>
      </c>
      <c r="G612" s="11" t="inlineStr">
        <is>
          <t>Wert</t>
        </is>
      </c>
      <c r="K612" t="n">
        <v>7</v>
      </c>
      <c r="L612" s="28" t="inlineStr">
        <is>
          <t>WENN(wert=0;0;10+(wert-1)*grad)</t>
        </is>
      </c>
      <c r="P612" t="inlineStr">
        <is>
          <t>eig_bonus_g_ausstrahlung</t>
        </is>
      </c>
      <c r="Q612"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613" hidden="1" ht="15.75" customHeight="1" s="48">
      <c r="A613" s="29" t="inlineStr">
        <is>
          <t>#spruchmagie_erdbeschwoerung_1_steinfaust</t>
        </is>
      </c>
      <c r="B613" s="11" t="inlineStr">
        <is>
          <t>Spruchmagie</t>
        </is>
      </c>
      <c r="C613" s="12" t="inlineStr">
        <is>
          <t>Steinfaust</t>
        </is>
      </c>
      <c r="F613" t="inlineStr">
        <is>
          <t>Erdbeschwörung</t>
        </is>
      </c>
      <c r="G613" s="11" t="inlineStr">
        <is>
          <t>Wert</t>
        </is>
      </c>
      <c r="K613" t="n">
        <v>1</v>
      </c>
      <c r="L613" s="28" t="inlineStr">
        <is>
          <t>WENN(wert=0;0;10+(wert-1)*grad)</t>
        </is>
      </c>
      <c r="P613" t="inlineStr">
        <is>
          <t>eig_bonus_k_staerke</t>
        </is>
      </c>
      <c r="Q613" t="inlineStr">
        <is>
          <t>Die Fäuste des Magiers verursachen zusätzlichen Elementarschaden. Schaden: W8 + {Magie}, RB 3.</t>
        </is>
      </c>
    </row>
    <row r="614" hidden="1" ht="15.75" customHeight="1" s="48">
      <c r="A614" s="29" t="inlineStr">
        <is>
          <t>#spruchmagie_erdbeschwoerung_1_steinfaust_nr</t>
        </is>
      </c>
      <c r="B614" s="11" t="inlineStr">
        <is>
          <t>Spruchmagie</t>
        </is>
      </c>
      <c r="C614" s="12" t="inlineStr">
        <is>
          <t>Steinfaust NR</t>
        </is>
      </c>
      <c r="F614" t="inlineStr">
        <is>
          <t>Erdbeschwörung</t>
        </is>
      </c>
      <c r="G614" s="11" t="inlineStr">
        <is>
          <t>Wert</t>
        </is>
      </c>
      <c r="K614" t="n">
        <v>1</v>
      </c>
      <c r="L614" s="28" t="inlineStr">
        <is>
          <t>WENN(wert=0;0;10+(wert-1)*grad)</t>
        </is>
      </c>
      <c r="P614" t="inlineStr">
        <is>
          <t>eig_bonus_k_staerke</t>
        </is>
      </c>
      <c r="Q614" t="inlineStr">
        <is>
          <t xml:space="preserve">Die Fäuste des Magiers verursachen zusätzlichen Erde-Elementarschaden. Schaden: W10 + {Magie}; RB 4 </t>
        </is>
      </c>
    </row>
    <row r="615" hidden="1" ht="15.75" customHeight="1" s="48">
      <c r="A615" s="29" t="inlineStr">
        <is>
          <t>#spruchmagie_erdbeschwoerung_1_steinkugel</t>
        </is>
      </c>
      <c r="B615" s="11" t="inlineStr">
        <is>
          <t>Spruchmagie</t>
        </is>
      </c>
      <c r="C615" s="12" t="inlineStr">
        <is>
          <t>Steinkugel</t>
        </is>
      </c>
      <c r="F615" t="inlineStr">
        <is>
          <t>Erdbeschwörung</t>
        </is>
      </c>
      <c r="G615" s="11" t="inlineStr">
        <is>
          <t>Wert</t>
        </is>
      </c>
      <c r="K615" t="n">
        <v>1</v>
      </c>
      <c r="L615" s="28" t="inlineStr">
        <is>
          <t>WENN(wert=0;0;10+(wert-1)*grad)</t>
        </is>
      </c>
      <c r="P615" t="inlineStr">
        <is>
          <t>eig_bonus_k_staerke</t>
        </is>
      </c>
      <c r="Q615" t="inlineStr">
        <is>
          <t>Der Magus erschafft einen Ball aus Erde. Schaden: 2W4 + {Magie}, RB 6.</t>
        </is>
      </c>
    </row>
    <row r="616" hidden="1" ht="15.75" customHeight="1" s="48">
      <c r="A616" s="29" t="inlineStr">
        <is>
          <t>#spruchmagie_erdbeschwoerung_1_steinkugel_nr</t>
        </is>
      </c>
      <c r="B616" s="11" t="inlineStr">
        <is>
          <t>Spruchmagie</t>
        </is>
      </c>
      <c r="C616" s="12" t="inlineStr">
        <is>
          <t>Steinkugel NR</t>
        </is>
      </c>
      <c r="F616" t="inlineStr">
        <is>
          <t>Erdbeschwörung</t>
        </is>
      </c>
      <c r="G616" s="11" t="inlineStr">
        <is>
          <t>Wert</t>
        </is>
      </c>
      <c r="K616" t="n">
        <v>1</v>
      </c>
      <c r="L616" s="28" t="inlineStr">
        <is>
          <t>WENN(wert=0;0;10+(wert-1)*grad)</t>
        </is>
      </c>
      <c r="P616" t="inlineStr">
        <is>
          <t>eig_bonus_k_staerke</t>
        </is>
      </c>
      <c r="Q616"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617" hidden="1" ht="15.75" customHeight="1" s="48">
      <c r="A617" s="29" t="inlineStr">
        <is>
          <t>#spruchmagie_erdbeschwoerung_2_steinschuss</t>
        </is>
      </c>
      <c r="B617" s="11" t="inlineStr">
        <is>
          <t>Spruchmagie</t>
        </is>
      </c>
      <c r="C617" s="12" t="inlineStr">
        <is>
          <t>Steinschuss</t>
        </is>
      </c>
      <c r="F617" t="inlineStr">
        <is>
          <t>Erdbeschwörung</t>
        </is>
      </c>
      <c r="G617" s="11" t="inlineStr">
        <is>
          <t>Wert</t>
        </is>
      </c>
      <c r="K617" t="n">
        <v>2</v>
      </c>
      <c r="L617" s="28" t="inlineStr">
        <is>
          <t>WENN(wert=0;0;10+(wert-1)*grad)</t>
        </is>
      </c>
      <c r="P617" t="inlineStr">
        <is>
          <t>eig_bonus_k_staerke</t>
        </is>
      </c>
      <c r="Q617" t="inlineStr">
        <is>
          <t>Der Magus erschafft einen Bolzen aus Erde. Treffer auf FK-TZ. Schaden: 2W6 + {Magie}; RB: 6 + {Magie}*2</t>
        </is>
      </c>
    </row>
    <row r="618" hidden="1" ht="15.75" customHeight="1" s="48">
      <c r="A618" s="29" t="inlineStr">
        <is>
          <t>#spruchmagie_erdbeschwoerung_2_steinschuss_nr</t>
        </is>
      </c>
      <c r="B618" s="11" t="inlineStr">
        <is>
          <t>Spruchmagie</t>
        </is>
      </c>
      <c r="C618" s="12" t="inlineStr">
        <is>
          <t>Steinschuss NR</t>
        </is>
      </c>
      <c r="F618" t="inlineStr">
        <is>
          <t>Erdbeschwörung</t>
        </is>
      </c>
      <c r="G618" s="11" t="inlineStr">
        <is>
          <t>Wert</t>
        </is>
      </c>
      <c r="K618" t="n">
        <v>2</v>
      </c>
      <c r="L618" s="28" t="inlineStr">
        <is>
          <t>WENN(wert=0;0;10+(wert-1)*grad)</t>
        </is>
      </c>
      <c r="P618" t="inlineStr">
        <is>
          <t>eig_bonus_k_staerke</t>
        </is>
      </c>
      <c r="Q618" t="inlineStr">
        <is>
          <t>Der Magus erschafft einen Bolzen aus Stein. Bis {M}m Glücks-Probe, bis {M}*2m AW:2, danach AW, um dem Schaden zu entgehen. Fluggeschwindigkeit ist {M}m/s. Treffer auf FK (W30). Schaden: 2W8 + {Magie}; RB: {Magie}*2 + 4</t>
        </is>
      </c>
    </row>
    <row r="619" hidden="1" ht="15.75" customHeight="1" s="48">
      <c r="A619" s="29" t="inlineStr">
        <is>
          <t>#spruchmagie_erdbeschwoerung_3_grosse_steinfaust</t>
        </is>
      </c>
      <c r="B619" s="11" t="inlineStr">
        <is>
          <t>Spruchmagie</t>
        </is>
      </c>
      <c r="C619" s="12" t="inlineStr">
        <is>
          <t>Große Steinfaust</t>
        </is>
      </c>
      <c r="F619" t="inlineStr">
        <is>
          <t>Erdbeschwörung</t>
        </is>
      </c>
      <c r="G619" s="11" t="inlineStr">
        <is>
          <t>Wert</t>
        </is>
      </c>
      <c r="K619" t="n">
        <v>3</v>
      </c>
      <c r="L619" s="28" t="inlineStr">
        <is>
          <t>WENN(wert=0;0;10+(wert-1)*grad)</t>
        </is>
      </c>
      <c r="P619" t="inlineStr">
        <is>
          <t>eig_bonus_k_staerke</t>
        </is>
      </c>
      <c r="Q619" t="inlineStr">
        <is>
          <t>Die Fäuste des Magiers verursachen zusätzlichen Elementarschaden von   2W12+{Magie}, RB 9.</t>
        </is>
      </c>
    </row>
    <row r="620" hidden="1" ht="15.75" customHeight="1" s="48">
      <c r="A620" s="29" t="inlineStr">
        <is>
          <t>#spruchmagie_erdbeschwoerung_3_grosse_steinfaust_nr</t>
        </is>
      </c>
      <c r="B620" s="11" t="inlineStr">
        <is>
          <t>Spruchmagie</t>
        </is>
      </c>
      <c r="C620" s="12" t="inlineStr">
        <is>
          <t>Große Steinfaust NR</t>
        </is>
      </c>
      <c r="F620" t="inlineStr">
        <is>
          <t>Erdbeschwörung</t>
        </is>
      </c>
      <c r="G620" s="11" t="inlineStr">
        <is>
          <t>Wert</t>
        </is>
      </c>
      <c r="K620" t="n">
        <v>3</v>
      </c>
      <c r="L620" s="28" t="inlineStr">
        <is>
          <t>WENN(wert=0;0;10+(wert-1)*grad)</t>
        </is>
      </c>
      <c r="P620" t="inlineStr">
        <is>
          <t>eig_bonus_k_staerke</t>
        </is>
      </c>
      <c r="Q620" t="inlineStr">
        <is>
          <t xml:space="preserve">Die Fäuste des Magiers verursachen zusätzlichen Elementarschaden von 2W15+{Magie}, RB 9 </t>
        </is>
      </c>
    </row>
    <row r="621" hidden="1" ht="15.75" customHeight="1" s="48">
      <c r="A621" s="29" t="inlineStr">
        <is>
          <t>#spruchmagie_erdbeschwoerung_4_grosse_steinkugel</t>
        </is>
      </c>
      <c r="B621" s="11" t="inlineStr">
        <is>
          <t>Spruchmagie</t>
        </is>
      </c>
      <c r="C621" s="12" t="inlineStr">
        <is>
          <t>Große Steinkugel</t>
        </is>
      </c>
      <c r="F621" t="inlineStr">
        <is>
          <t>Erdbeschwörung</t>
        </is>
      </c>
      <c r="G621" s="11" t="inlineStr">
        <is>
          <t>Wert</t>
        </is>
      </c>
      <c r="K621" t="n">
        <v>4</v>
      </c>
      <c r="L621" s="28" t="inlineStr">
        <is>
          <t>WENN(wert=0;0;10+(wert-1)*grad)</t>
        </is>
      </c>
      <c r="P621" t="inlineStr">
        <is>
          <t>eig_bonus_k_staerke</t>
        </is>
      </c>
      <c r="Q621" t="inlineStr">
        <is>
          <t>Der Magus erschafft einen Ball aus Erde. Schaden: W12 + {Magie}, RB 5, auf jede Trefferzone.</t>
        </is>
      </c>
    </row>
    <row r="622" hidden="1" ht="15.75" customHeight="1" s="48">
      <c r="A622" s="29" t="inlineStr">
        <is>
          <t>#spruchmagie_erdbeschwoerung_4_grosse_steinkugel_nr</t>
        </is>
      </c>
      <c r="B622" s="11" t="inlineStr">
        <is>
          <t>Spruchmagie</t>
        </is>
      </c>
      <c r="C622" s="12" t="inlineStr">
        <is>
          <t>Große Steinkugel NR</t>
        </is>
      </c>
      <c r="F622" t="inlineStr">
        <is>
          <t>Erdbeschwörung</t>
        </is>
      </c>
      <c r="G622" s="11" t="inlineStr">
        <is>
          <t>Wert</t>
        </is>
      </c>
      <c r="K622" t="n">
        <v>4</v>
      </c>
      <c r="L622" s="28" t="inlineStr">
        <is>
          <t>WENN(wert=0;0;10+(wert-1)*grad)</t>
        </is>
      </c>
      <c r="P622" t="inlineStr">
        <is>
          <t>eig_bonus_k_staerke</t>
        </is>
      </c>
      <c r="Q622" t="inlineStr">
        <is>
          <t xml:space="preserve">Der Magus erschafft einen Ball aus einem Element. Bis {M}:2 m Glücks-Probe, ab {M}:2 m Ausweichen-Probe, um dem Schaden zu entgehen. Fluggeschwindigkeit ist {M}:2 m/s. Schaden: W15 + {Magie}*2, RB 21 auf jede Trefferzone. </t>
        </is>
      </c>
    </row>
    <row r="623" hidden="1" ht="15.75" customHeight="1" s="48">
      <c r="A623" s="29" t="inlineStr">
        <is>
          <t>#spruchmagie_feuerbeschwoerung_1_feuerball</t>
        </is>
      </c>
      <c r="B623" s="11" t="inlineStr">
        <is>
          <t>Spruchmagie</t>
        </is>
      </c>
      <c r="C623" s="12" t="inlineStr">
        <is>
          <t>Feuerball</t>
        </is>
      </c>
      <c r="F623" t="inlineStr">
        <is>
          <t>Feuerbeschwörung</t>
        </is>
      </c>
      <c r="G623" s="11" t="inlineStr">
        <is>
          <t>Wert</t>
        </is>
      </c>
      <c r="K623" t="n">
        <v>1</v>
      </c>
      <c r="L623" s="28" t="inlineStr">
        <is>
          <t>WENN(wert=0;0;10+(wert-1)*grad)</t>
        </is>
      </c>
      <c r="P623" t="inlineStr">
        <is>
          <t>eig_bonus_g_mut</t>
        </is>
      </c>
      <c r="Q623" t="inlineStr">
        <is>
          <t>Der Magus erschafft einen Ball aus Feuer. Schaden: 2W6 + {Magie}.</t>
        </is>
      </c>
    </row>
    <row r="624" hidden="1" ht="15.75" customHeight="1" s="48">
      <c r="A624" s="29" t="inlineStr">
        <is>
          <t>#spruchmagie_feuerbeschwoerung_1_feuerball_nr</t>
        </is>
      </c>
      <c r="B624" s="11" t="inlineStr">
        <is>
          <t>Spruchmagie</t>
        </is>
      </c>
      <c r="C624" s="12" t="inlineStr">
        <is>
          <t>Feuerball NR</t>
        </is>
      </c>
      <c r="F624" t="inlineStr">
        <is>
          <t>Feuerbeschwörung</t>
        </is>
      </c>
      <c r="G624" s="11" t="inlineStr">
        <is>
          <t>Wert</t>
        </is>
      </c>
      <c r="K624" t="n">
        <v>1</v>
      </c>
      <c r="L624" s="28" t="inlineStr">
        <is>
          <t>WENN(wert=0;0;10+(wert-1)*grad)</t>
        </is>
      </c>
      <c r="P624" t="inlineStr">
        <is>
          <t>eig_bonus_g_mut</t>
        </is>
      </c>
      <c r="Q624"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625" hidden="1" ht="15.75" customHeight="1" s="48">
      <c r="A625" s="29" t="inlineStr">
        <is>
          <t>#spruchmagie_feuerbeschwoerung_1_flammenfaust</t>
        </is>
      </c>
      <c r="B625" s="11" t="inlineStr">
        <is>
          <t>Spruchmagie</t>
        </is>
      </c>
      <c r="C625" s="12" t="inlineStr">
        <is>
          <t>Flammenfaust</t>
        </is>
      </c>
      <c r="F625" t="inlineStr">
        <is>
          <t>Feuerbeschwörung</t>
        </is>
      </c>
      <c r="G625" s="11" t="inlineStr">
        <is>
          <t>Wert</t>
        </is>
      </c>
      <c r="K625" t="n">
        <v>1</v>
      </c>
      <c r="L625" s="28" t="inlineStr">
        <is>
          <t>WENN(wert=0;0;10+(wert-1)*grad)</t>
        </is>
      </c>
      <c r="P625" t="inlineStr">
        <is>
          <t>eig_bonus_g_mut</t>
        </is>
      </c>
      <c r="Q625" t="inlineStr">
        <is>
          <t>Die Fäuste des Magiers verursachen zusätzlichen Elementarschaden.   Schaden:   W10 + {Magie}</t>
        </is>
      </c>
    </row>
    <row r="626" hidden="1" ht="15.75" customHeight="1" s="48">
      <c r="A626" s="29" t="inlineStr">
        <is>
          <t>#spruchmagie_feuerbeschwoerung_1_flammenfaust_nr</t>
        </is>
      </c>
      <c r="B626" s="11" t="inlineStr">
        <is>
          <t>Spruchmagie</t>
        </is>
      </c>
      <c r="C626" s="12" t="inlineStr">
        <is>
          <t>Flammenfaust NR</t>
        </is>
      </c>
      <c r="F626" t="inlineStr">
        <is>
          <t>Feuerbeschwörung</t>
        </is>
      </c>
      <c r="G626" s="11" t="inlineStr">
        <is>
          <t>Wert</t>
        </is>
      </c>
      <c r="K626" t="n">
        <v>1</v>
      </c>
      <c r="L626" s="28" t="inlineStr">
        <is>
          <t>WENN(wert=0;0;10+(wert-1)*grad)</t>
        </is>
      </c>
      <c r="P626" t="inlineStr">
        <is>
          <t>eig_bonus_g_mut</t>
        </is>
      </c>
      <c r="Q626" t="inlineStr">
        <is>
          <t xml:space="preserve">Die Fäuste des Magiers verursachen zusätzlichen Feuer-Elementarschaden.   Schaden:  W15 + {Magie}   </t>
        </is>
      </c>
    </row>
    <row r="627" hidden="1" ht="15.75" customHeight="1" s="48">
      <c r="A627" s="29" t="inlineStr">
        <is>
          <t>#spruchmagie_feuerbeschwoerung_2_feuerpfeil</t>
        </is>
      </c>
      <c r="B627" s="11" t="inlineStr">
        <is>
          <t>Spruchmagie</t>
        </is>
      </c>
      <c r="C627" s="12" t="inlineStr">
        <is>
          <t>Feuerpfeil</t>
        </is>
      </c>
      <c r="F627" t="inlineStr">
        <is>
          <t>Feuerbeschwörung</t>
        </is>
      </c>
      <c r="G627" s="11" t="inlineStr">
        <is>
          <t>Wert</t>
        </is>
      </c>
      <c r="K627" t="n">
        <v>2</v>
      </c>
      <c r="L627" s="28" t="inlineStr">
        <is>
          <t>WENN(wert=0;0;10+(wert-1)*grad)</t>
        </is>
      </c>
      <c r="P627" t="inlineStr">
        <is>
          <t>eig_bonus_g_mut</t>
        </is>
      </c>
      <c r="Q627" t="inlineStr">
        <is>
          <t>Der Magus erschafft einen Bolzen aus Feuer. Treffer auf FK-TZ. Schaden: 2W8 + {Magie}; RB: {Magie}*2</t>
        </is>
      </c>
    </row>
    <row r="628" hidden="1" ht="15.75" customHeight="1" s="48">
      <c r="A628" s="29" t="inlineStr">
        <is>
          <t>#spruchmagie_feuerbeschwoerung_2_feuerpfeil_nr</t>
        </is>
      </c>
      <c r="B628" s="11" t="inlineStr">
        <is>
          <t>Spruchmagie</t>
        </is>
      </c>
      <c r="C628" s="12" t="inlineStr">
        <is>
          <t>Feuerpfeil NR</t>
        </is>
      </c>
      <c r="F628" t="inlineStr">
        <is>
          <t>Feuerbeschwörung</t>
        </is>
      </c>
      <c r="G628" s="11" t="inlineStr">
        <is>
          <t>Wert</t>
        </is>
      </c>
      <c r="K628" t="n">
        <v>2</v>
      </c>
      <c r="L628" s="28" t="inlineStr">
        <is>
          <t>WENN(wert=0;0;10+(wert-1)*grad)</t>
        </is>
      </c>
      <c r="P628" t="inlineStr">
        <is>
          <t>eig_bonus_g_mut</t>
        </is>
      </c>
      <c r="Q628" t="inlineStr">
        <is>
          <t>Der Magus erschafft einen Bolzen aus Feuer. Bis {M}m Glücks-Probe, bis {M}*2m AW:2, danach AW, um dem Schaden zu entgehen. Fluggeschwindigkeit ist {M}m/s. Treffer auf FK (W30). Schaden: 2W10 + {Magie}; RB: {Magie}*2</t>
        </is>
      </c>
    </row>
    <row r="629" hidden="1" ht="15.75" customHeight="1" s="48">
      <c r="A629" s="29" t="inlineStr">
        <is>
          <t>#spruchmagie_feuerbeschwoerung_3_grosse_flammenfaust</t>
        </is>
      </c>
      <c r="B629" s="11" t="inlineStr">
        <is>
          <t>Spruchmagie</t>
        </is>
      </c>
      <c r="C629" s="12" t="inlineStr">
        <is>
          <t>Große Flammenfaust</t>
        </is>
      </c>
      <c r="F629" t="inlineStr">
        <is>
          <t>Feuerbeschwörung</t>
        </is>
      </c>
      <c r="G629" s="11" t="inlineStr">
        <is>
          <t>Wert</t>
        </is>
      </c>
      <c r="K629" t="n">
        <v>3</v>
      </c>
      <c r="L629" s="28" t="inlineStr">
        <is>
          <t>WENN(wert=0;0;10+(wert-1)*grad)</t>
        </is>
      </c>
      <c r="P629" t="inlineStr">
        <is>
          <t>eig_bonus_g_mut</t>
        </is>
      </c>
      <c r="Q629" t="inlineStr">
        <is>
          <t>Die Fäuste des Magiers verursachen zusätzlichen Elementarschaden von   2W15+{Magie}</t>
        </is>
      </c>
    </row>
    <row r="630" hidden="1" ht="15.75" customHeight="1" s="48">
      <c r="A630" s="29" t="inlineStr">
        <is>
          <t>#spruchmagie_feuerbeschwoerung_3_grosse_flammenfaust_nr</t>
        </is>
      </c>
      <c r="B630" s="11" t="inlineStr">
        <is>
          <t>Spruchmagie</t>
        </is>
      </c>
      <c r="C630" s="12" t="inlineStr">
        <is>
          <t>Große Flammenfaust NR</t>
        </is>
      </c>
      <c r="F630" t="inlineStr">
        <is>
          <t>Feuerbeschwörung</t>
        </is>
      </c>
      <c r="G630" s="11" t="inlineStr">
        <is>
          <t>Wert</t>
        </is>
      </c>
      <c r="H630" s="29" t="n"/>
      <c r="I630" s="29" t="n"/>
      <c r="K630" t="n">
        <v>3</v>
      </c>
      <c r="L630" s="28" t="inlineStr">
        <is>
          <t>WENN(wert=0;0;10+(wert-1)*grad)</t>
        </is>
      </c>
      <c r="P630" t="inlineStr">
        <is>
          <t>eig_bonus_g_mut</t>
        </is>
      </c>
      <c r="Q630" t="inlineStr">
        <is>
          <t xml:space="preserve">Die Fäuste des Magiers verursachen zusätzlichen Feuer-Elementarschaden von   2W20+{Magie}  </t>
        </is>
      </c>
    </row>
    <row r="631" hidden="1" ht="15.75" customHeight="1" s="48">
      <c r="A631" s="29" t="inlineStr">
        <is>
          <t>#spruchmagie_feuerbeschwoerung_4_grosser_feuerball</t>
        </is>
      </c>
      <c r="B631" s="11" t="inlineStr">
        <is>
          <t>Spruchmagie</t>
        </is>
      </c>
      <c r="C631" s="12" t="inlineStr">
        <is>
          <t>Großer Feuerball</t>
        </is>
      </c>
      <c r="F631" t="inlineStr">
        <is>
          <t>Feuerbeschwörung</t>
        </is>
      </c>
      <c r="G631" s="11" t="inlineStr">
        <is>
          <t>Wert</t>
        </is>
      </c>
      <c r="K631" t="n">
        <v>4</v>
      </c>
      <c r="L631" s="28" t="inlineStr">
        <is>
          <t>WENN(wert=0;0;10+(wert-1)*grad)</t>
        </is>
      </c>
      <c r="P631" t="inlineStr">
        <is>
          <t>eig_bonus_g_mut</t>
        </is>
      </c>
      <c r="Q631" t="inlineStr">
        <is>
          <t>Der Magus erschafft einen Ball aus Feuer. Schaden: W15 + {Magie} auf jede Trefferzone.</t>
        </is>
      </c>
    </row>
    <row r="632" hidden="1" ht="15.75" customHeight="1" s="48">
      <c r="A632" s="29" t="inlineStr">
        <is>
          <t>#spruchmagie_feuerbeschwoerung_4_grosser_feuerball_nr</t>
        </is>
      </c>
      <c r="B632" s="11" t="inlineStr">
        <is>
          <t>Spruchmagie</t>
        </is>
      </c>
      <c r="C632" s="12" t="inlineStr">
        <is>
          <t>Großer Feuerball NR</t>
        </is>
      </c>
      <c r="F632" t="inlineStr">
        <is>
          <t>Feuerbeschwörung</t>
        </is>
      </c>
      <c r="G632" s="11" t="inlineStr">
        <is>
          <t>Wert</t>
        </is>
      </c>
      <c r="K632" t="n">
        <v>4</v>
      </c>
      <c r="L632" s="28" t="inlineStr">
        <is>
          <t>WENN(wert=0;0;10+(wert-1)*grad)</t>
        </is>
      </c>
      <c r="P632" t="inlineStr">
        <is>
          <t>eig_bonus_g_mut</t>
        </is>
      </c>
      <c r="Q632" t="inlineStr">
        <is>
          <t xml:space="preserve">Der Magus erschafft einen Ball aus Feuer.  Bis {M}:2 m Glücks-Probe, ab {M}:2 m Ausweichen-Probe, um dem Schaden zu entgehen. Fluggeschwindigkeit ist {M}:2 m/s.  Schaden: W20 + {Magie}*2 auf jede Trefferzone.  </t>
        </is>
      </c>
    </row>
    <row r="633" hidden="1" ht="15.75" customHeight="1" s="48">
      <c r="A633" s="29" t="inlineStr">
        <is>
          <t>#spruchmagie_heilung_1_ruhiger_schlaf</t>
        </is>
      </c>
      <c r="B633" s="11" t="inlineStr">
        <is>
          <t>Spruchmagie</t>
        </is>
      </c>
      <c r="C633" s="12" t="inlineStr">
        <is>
          <t>Ruhiger Schlaf</t>
        </is>
      </c>
      <c r="F633" t="inlineStr">
        <is>
          <t>Heilung</t>
        </is>
      </c>
      <c r="G633" s="11" t="inlineStr">
        <is>
          <t>Wert</t>
        </is>
      </c>
      <c r="K633" t="n">
        <v>1</v>
      </c>
      <c r="L633" s="28" t="inlineStr">
        <is>
          <t>WENN(wert=0;0;10+(wert-1)*grad)</t>
        </is>
      </c>
      <c r="P633" t="inlineStr">
        <is>
          <t>eig_bonus_k_konstitution</t>
        </is>
      </c>
      <c r="Q633"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634" hidden="1" ht="15.75" customHeight="1" s="48">
      <c r="A634" s="29" t="inlineStr">
        <is>
          <t>#spruchmagie_heilung_1_schmerz_unterdruecken</t>
        </is>
      </c>
      <c r="B634" s="11" t="inlineStr">
        <is>
          <t>Spruchmagie</t>
        </is>
      </c>
      <c r="C634" s="12" t="inlineStr">
        <is>
          <t>Schmerz unterdrücken</t>
        </is>
      </c>
      <c r="F634" t="inlineStr">
        <is>
          <t>Heilung</t>
        </is>
      </c>
      <c r="G634" s="11" t="inlineStr">
        <is>
          <t>Wert</t>
        </is>
      </c>
      <c r="K634" t="n">
        <v>1</v>
      </c>
      <c r="L634" s="28" t="inlineStr">
        <is>
          <t>WENN(wert=0;0;10+(wert-1)*grad)</t>
        </is>
      </c>
      <c r="P634" t="inlineStr">
        <is>
          <t>eig_bonus_g_sinneschaerfe</t>
        </is>
      </c>
      <c r="Q634" t="inlineStr">
        <is>
          <t>Der Magus senkt Behinderungen, die durch beliebige Schadenswirkungen entstanden sind, um maximal {Magie} * 2 Punkte.</t>
        </is>
      </c>
    </row>
    <row r="635" hidden="1" ht="15.75" customHeight="1" s="48">
      <c r="A635" s="29" t="inlineStr">
        <is>
          <t>#spruchmagie_heilung_1_wunden_schliessen</t>
        </is>
      </c>
      <c r="B635" s="11" t="inlineStr">
        <is>
          <t>Spruchmagie</t>
        </is>
      </c>
      <c r="C635" s="12" t="inlineStr">
        <is>
          <t>Wunden schließen</t>
        </is>
      </c>
      <c r="F635" t="inlineStr">
        <is>
          <t>Heilung</t>
        </is>
      </c>
      <c r="G635" s="11" t="inlineStr">
        <is>
          <t>Wert</t>
        </is>
      </c>
      <c r="K635" t="n">
        <v>1</v>
      </c>
      <c r="L635" s="28" t="inlineStr">
        <is>
          <t>WENN(wert=0;0;10+(wert-1)*grad)</t>
        </is>
      </c>
      <c r="P635" t="inlineStr">
        <is>
          <t>eig_bonus_k_konstitution</t>
        </is>
      </c>
      <c r="Q635" t="inlineStr">
        <is>
          <t>Der Magus schließt eine Wunde (1 Blutung stoppen) und heilt auf der selben Trefferzone W6 (maximal {Magie}) LE.</t>
        </is>
      </c>
    </row>
    <row r="636" hidden="1" ht="15.75" customHeight="1" s="48">
      <c r="A636" s="29" t="inlineStr">
        <is>
          <t>#spruchmagie_heilung_1_zwang_unterdruecken</t>
        </is>
      </c>
      <c r="B636" s="11" t="inlineStr">
        <is>
          <t>Spruchmagie</t>
        </is>
      </c>
      <c r="C636" s="12" t="inlineStr">
        <is>
          <t>Zwang unterdrücken</t>
        </is>
      </c>
      <c r="F636" t="inlineStr">
        <is>
          <t>Heilung</t>
        </is>
      </c>
      <c r="G636" s="11" t="inlineStr">
        <is>
          <t>Wert</t>
        </is>
      </c>
      <c r="K636" t="n">
        <v>1</v>
      </c>
      <c r="L636" s="28" t="inlineStr">
        <is>
          <t>WENN(wert=0;0;10+(wert-1)*grad)</t>
        </is>
      </c>
      <c r="P636" t="inlineStr">
        <is>
          <t>eig_bonus_g_willenskraft</t>
        </is>
      </c>
      <c r="Q636" t="inlineStr">
        <is>
          <t>Der Magus hilft dem Opfer, einem psychischen Zwang für die Wirkungsdauer zu entgehen. Dies schließt alle psychischen Drogenabhängigkeiten und Süchte ein, magische Zwänge sind hiervon nicht betroffen.</t>
        </is>
      </c>
    </row>
    <row r="637" hidden="1" ht="15.75" customHeight="1" s="48">
      <c r="A637" s="29" t="inlineStr">
        <is>
          <t>#spruchmagie_heilung_2_ausdauer_wiederherstellen</t>
        </is>
      </c>
      <c r="B637" s="11" t="inlineStr">
        <is>
          <t>Spruchmagie</t>
        </is>
      </c>
      <c r="C637" s="12" t="inlineStr">
        <is>
          <t>Ausdauer wiederherstellen</t>
        </is>
      </c>
      <c r="F637" t="inlineStr">
        <is>
          <t>Heilung</t>
        </is>
      </c>
      <c r="G637" s="11" t="inlineStr">
        <is>
          <t>Wert</t>
        </is>
      </c>
      <c r="K637" t="n">
        <v>2</v>
      </c>
      <c r="L637" s="28" t="inlineStr">
        <is>
          <t>WENN(wert=0;0;10+(wert-1)*grad)</t>
        </is>
      </c>
      <c r="P637" t="inlineStr">
        <is>
          <t>eig_bonus_k_athletik</t>
        </is>
      </c>
      <c r="Q637" t="inlineStr">
        <is>
          <t>Das Ziel regeneriert auf der Stelle {M} Ausdauer.</t>
        </is>
      </c>
    </row>
    <row r="638" hidden="1" ht="15.75" customHeight="1" s="48">
      <c r="A638" s="29" t="inlineStr">
        <is>
          <t>#spruchmagie_heilung_2_entzug_lindern</t>
        </is>
      </c>
      <c r="B638" s="11" t="inlineStr">
        <is>
          <t>Spruchmagie</t>
        </is>
      </c>
      <c r="C638" s="12" t="inlineStr">
        <is>
          <t>Entzug lindern</t>
        </is>
      </c>
      <c r="F638" t="inlineStr">
        <is>
          <t>Heilung</t>
        </is>
      </c>
      <c r="G638" s="11" t="inlineStr">
        <is>
          <t>Wert</t>
        </is>
      </c>
      <c r="K638" t="n">
        <v>2</v>
      </c>
      <c r="L638" s="28" t="inlineStr">
        <is>
          <t>WENN(wert=0;0;10+(wert-1)*grad)</t>
        </is>
      </c>
      <c r="P638" t="inlineStr">
        <is>
          <t>eig_bonus_k_konstitution</t>
        </is>
      </c>
      <c r="Q638" t="inlineStr">
        <is>
          <t xml:space="preserve">Alle Entzugserscheinungen, die durch physische Abhängigkeiten entstehen, werden hierdurch um die Hälfte reduziert. </t>
        </is>
      </c>
    </row>
    <row r="639" hidden="1" ht="15.75" customHeight="1" s="48">
      <c r="A639" s="29" t="inlineStr">
        <is>
          <t>#spruchmagie_heilung_2_kleine_heilung</t>
        </is>
      </c>
      <c r="B639" s="11" t="inlineStr">
        <is>
          <t>Spruchmagie</t>
        </is>
      </c>
      <c r="C639" s="12" t="inlineStr">
        <is>
          <t>Kleine Heilung</t>
        </is>
      </c>
      <c r="F639" t="inlineStr">
        <is>
          <t>Heilung</t>
        </is>
      </c>
      <c r="G639" s="11" t="inlineStr">
        <is>
          <t>Wert</t>
        </is>
      </c>
      <c r="H639" s="29" t="n"/>
      <c r="I639" s="29" t="n"/>
      <c r="K639" t="n">
        <v>2</v>
      </c>
      <c r="L639" s="28" t="inlineStr">
        <is>
          <t>WENN(wert=0;0;10+(wert-1)*grad)</t>
        </is>
      </c>
      <c r="P639" t="inlineStr">
        <is>
          <t>eig_bonus_k_konstitution</t>
        </is>
      </c>
      <c r="Q639" t="inlineStr">
        <is>
          <t xml:space="preserve">Der Magus schließt eine Wunde (1 Blutung stoppen) und heilt 2W6 + {Magie} Lebensenergie auf einer Trefferzone. Überschüssige LE verfallen. </t>
        </is>
      </c>
    </row>
    <row r="640" hidden="1" ht="15.75" customHeight="1" s="48">
      <c r="A640" s="29" t="inlineStr">
        <is>
          <t>#spruchmagie_heilung_2_schlaf_der_heilung</t>
        </is>
      </c>
      <c r="B640" s="11" t="inlineStr">
        <is>
          <t>Spruchmagie</t>
        </is>
      </c>
      <c r="C640" s="12" t="inlineStr">
        <is>
          <t>Schlaf der Heilung</t>
        </is>
      </c>
      <c r="F640" t="inlineStr">
        <is>
          <t>Heilung</t>
        </is>
      </c>
      <c r="G640" s="11" t="inlineStr">
        <is>
          <t>Wert</t>
        </is>
      </c>
      <c r="K640" t="n">
        <v>2</v>
      </c>
      <c r="L640" s="28" t="inlineStr">
        <is>
          <t>WENN(wert=0;0;10+(wert-1)*grad)</t>
        </is>
      </c>
      <c r="P640" t="inlineStr">
        <is>
          <t>eig_bonus_k_konstitution</t>
        </is>
      </c>
      <c r="Q640"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641" hidden="1" ht="15.75" customHeight="1" s="48">
      <c r="A641" s="29" t="inlineStr">
        <is>
          <t>#spruchmagie_heilung_3_gift_lindern</t>
        </is>
      </c>
      <c r="B641" s="11" t="inlineStr">
        <is>
          <t>Spruchmagie</t>
        </is>
      </c>
      <c r="C641" s="12" t="inlineStr">
        <is>
          <t>Gift lindern</t>
        </is>
      </c>
      <c r="F641" t="inlineStr">
        <is>
          <t>Heilung</t>
        </is>
      </c>
      <c r="G641" s="11" t="inlineStr">
        <is>
          <t>Wert</t>
        </is>
      </c>
      <c r="K641" t="n">
        <v>3</v>
      </c>
      <c r="L641" s="28" t="inlineStr">
        <is>
          <t>WENN(wert=0;0;10+(wert-1)*grad)</t>
        </is>
      </c>
      <c r="P641" t="inlineStr">
        <is>
          <t>eig_bonus_k_konstitution</t>
        </is>
      </c>
      <c r="Q641" t="inlineStr">
        <is>
          <t>Die Wirkung aller Gifte im Organismus des Ziels wird halbiert, während sich die Wirkzeit des Giftes verdoppelt. Nach Ablauf der Wirkungsdauer normalisieen sich Wirkzeit und Wirkung von Giften.</t>
        </is>
      </c>
    </row>
    <row r="642" hidden="1" ht="15.75" customHeight="1" s="48">
      <c r="A642" s="29" t="inlineStr">
        <is>
          <t>#spruchmagie_heilung_3_koma_der_heilung</t>
        </is>
      </c>
      <c r="B642" s="11" t="inlineStr">
        <is>
          <t>Spruchmagie</t>
        </is>
      </c>
      <c r="C642" s="12" t="inlineStr">
        <is>
          <t>Koma der Heilung</t>
        </is>
      </c>
      <c r="F642" t="inlineStr">
        <is>
          <t>Heilung</t>
        </is>
      </c>
      <c r="G642" s="11" t="inlineStr">
        <is>
          <t>Wert</t>
        </is>
      </c>
      <c r="K642" t="n">
        <v>3</v>
      </c>
      <c r="L642" s="28" t="inlineStr">
        <is>
          <t>WENN(wert=0;0;10+(wert-1)*grad)</t>
        </is>
      </c>
      <c r="P642" t="inlineStr">
        <is>
          <t>eig_bonus_g_willenskraft</t>
        </is>
      </c>
      <c r="Q642"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643" hidden="1" ht="15.75" customHeight="1" s="48">
      <c r="A643" s="29" t="inlineStr">
        <is>
          <t>#spruchmagie_heilung_3_krankheit_heilen</t>
        </is>
      </c>
      <c r="B643" s="11" t="inlineStr">
        <is>
          <t>Spruchmagie</t>
        </is>
      </c>
      <c r="C643" s="12" t="inlineStr">
        <is>
          <t>Krankheit heilen</t>
        </is>
      </c>
      <c r="F643" t="inlineStr">
        <is>
          <t>Heilung</t>
        </is>
      </c>
      <c r="G643" s="11" t="inlineStr">
        <is>
          <t>Wert</t>
        </is>
      </c>
      <c r="K643" t="n">
        <v>3</v>
      </c>
      <c r="L643" s="28" t="inlineStr">
        <is>
          <t>WENN(wert=0;0;10+(wert-1)*grad)</t>
        </is>
      </c>
      <c r="P643" t="inlineStr">
        <is>
          <t>eig_bonus_k_konstitution</t>
        </is>
      </c>
      <c r="Q643" t="inlineStr">
        <is>
          <t>Eine unmagische Krankheit wird geheilt. Dies bedeutet, dass der Auslöser der Krankheit unwirksam geworden ist und Begleiterscheinungen wie z. B. Fieber erst abklingen müssen, damit eine vollständige Heilung aller Symptome eintritt.</t>
        </is>
      </c>
    </row>
    <row r="644" hidden="1" ht="15.75" customHeight="1" s="48">
      <c r="A644" s="29" t="inlineStr">
        <is>
          <t>#spruchmagie_heilung_3_mittlere_heilung</t>
        </is>
      </c>
      <c r="B644" s="11" t="inlineStr">
        <is>
          <t>Spruchmagie</t>
        </is>
      </c>
      <c r="C644" s="12" t="inlineStr">
        <is>
          <t>Mittlere Heilung</t>
        </is>
      </c>
      <c r="F644" t="inlineStr">
        <is>
          <t>Heilung</t>
        </is>
      </c>
      <c r="G644" s="11" t="inlineStr">
        <is>
          <t>Wert</t>
        </is>
      </c>
      <c r="K644" t="n">
        <v>3</v>
      </c>
      <c r="L644" s="28" t="inlineStr">
        <is>
          <t>WENN(wert=0;0;10+(wert-1)*grad)</t>
        </is>
      </c>
      <c r="P644" t="inlineStr">
        <is>
          <t>eig_bonus_k_konstitution</t>
        </is>
      </c>
      <c r="Q644" t="inlineStr">
        <is>
          <t xml:space="preserve">Der Magus schließt eine Wunde (1 Blutung stoppen) und heilt 2W10 + {Magie} Lebensenergie auf einer Trefferzone. Überschüssige LE verfallen. </t>
        </is>
      </c>
    </row>
    <row r="645" hidden="1" ht="15.75" customHeight="1" s="48">
      <c r="A645" s="29" t="inlineStr">
        <is>
          <t>#spruchmagie_heilung_4_defibrillator</t>
        </is>
      </c>
      <c r="B645" s="11" t="inlineStr">
        <is>
          <t>Spruchmagie</t>
        </is>
      </c>
      <c r="C645" s="12" t="inlineStr">
        <is>
          <t>Defibrillator</t>
        </is>
      </c>
      <c r="F645" t="inlineStr">
        <is>
          <t>Heilung</t>
        </is>
      </c>
      <c r="G645" s="11" t="inlineStr">
        <is>
          <t>Wert</t>
        </is>
      </c>
      <c r="K645" t="n">
        <v>4</v>
      </c>
      <c r="L645" s="28" t="inlineStr">
        <is>
          <t>WENN(wert=0;0;10+(wert-1)*grad)</t>
        </is>
      </c>
      <c r="P645" t="inlineStr">
        <is>
          <t>eig_bonus_k_konstitution</t>
        </is>
      </c>
      <c r="Q645"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646" hidden="1" ht="15.75" customHeight="1" s="48">
      <c r="A646" s="29" t="inlineStr">
        <is>
          <t>#spruchmagie_heilung_4_entseuchung</t>
        </is>
      </c>
      <c r="B646" s="11" t="inlineStr">
        <is>
          <t>Spruchmagie</t>
        </is>
      </c>
      <c r="C646" s="12" t="inlineStr">
        <is>
          <t>Entseuchung</t>
        </is>
      </c>
      <c r="F646" t="inlineStr">
        <is>
          <t>Heilung</t>
        </is>
      </c>
      <c r="G646" s="11" t="inlineStr">
        <is>
          <t>Wert</t>
        </is>
      </c>
      <c r="K646" t="n">
        <v>4</v>
      </c>
      <c r="L646" s="28" t="inlineStr">
        <is>
          <t>WENN(wert=0;0;10+(wert-1)*grad)</t>
        </is>
      </c>
      <c r="P646" t="inlineStr">
        <is>
          <t>eig_bonus_k_konstitution</t>
        </is>
      </c>
      <c r="Q646" t="inlineStr">
        <is>
          <t>Das Ziel wird von den Einflüssen unmagischer Giftstoffe befreit. Gifte beenden ihre Wirkung mit Ablauf der Effektdauer.</t>
        </is>
      </c>
    </row>
    <row r="647" hidden="1" ht="15.75" customHeight="1" s="48">
      <c r="A647" s="29" t="inlineStr">
        <is>
          <t>#spruchmagie_heilung_4_gesundheit_wiederherstellen</t>
        </is>
      </c>
      <c r="B647" s="11" t="inlineStr">
        <is>
          <t>Spruchmagie</t>
        </is>
      </c>
      <c r="C647" s="12" t="inlineStr">
        <is>
          <t>Gesundheit wiederherstellen</t>
        </is>
      </c>
      <c r="F647" t="inlineStr">
        <is>
          <t>Heilung</t>
        </is>
      </c>
      <c r="G647" s="11" t="inlineStr">
        <is>
          <t>Wert</t>
        </is>
      </c>
      <c r="K647" t="n">
        <v>4</v>
      </c>
      <c r="L647" s="28" t="inlineStr">
        <is>
          <t>WENN(wert=0;0;10+(wert-1)*grad)</t>
        </is>
      </c>
      <c r="P647" t="inlineStr">
        <is>
          <t>eig_bonus_k_konstitution</t>
        </is>
      </c>
      <c r="Q647" t="inlineStr">
        <is>
          <t>Das Ziel regeneriert W8 Gesundheit. Überschüssige Punkte verfallen, alle Wunden schließen sich.</t>
        </is>
      </c>
    </row>
    <row r="648" hidden="1" ht="15.75" customHeight="1" s="48">
      <c r="A648" s="29" t="inlineStr">
        <is>
          <t>#spruchmagie_heilung_4_grosse_heilung</t>
        </is>
      </c>
      <c r="B648" s="11" t="inlineStr">
        <is>
          <t>Spruchmagie</t>
        </is>
      </c>
      <c r="C648" s="12" t="inlineStr">
        <is>
          <t>Große Heilung</t>
        </is>
      </c>
      <c r="F648" t="inlineStr">
        <is>
          <t>Heilung</t>
        </is>
      </c>
      <c r="G648" s="11" t="inlineStr">
        <is>
          <t>Wert</t>
        </is>
      </c>
      <c r="K648" t="n">
        <v>4</v>
      </c>
      <c r="L648" s="28" t="inlineStr">
        <is>
          <t>WENN(wert=0;0;10+(wert-1)*grad)</t>
        </is>
      </c>
      <c r="P648" t="inlineStr">
        <is>
          <t>eig_bonus_k_konstitution</t>
        </is>
      </c>
      <c r="Q648" t="inlineStr">
        <is>
          <t xml:space="preserve">Der Magus kann alle Wunden schließen und Blutungen stoppen. Das Ziel regeneriert 2W15 + {Magie} Lebensenergie auf allen Trefferzonen verteilt. Überschüssige LE verfallen. </t>
        </is>
      </c>
    </row>
    <row r="649" hidden="1" ht="15.75" customHeight="1" s="48">
      <c r="A649" s="29" t="inlineStr">
        <is>
          <t>#spruchmagie_heilung_4_kleine_fernheilung</t>
        </is>
      </c>
      <c r="B649" s="11" t="inlineStr">
        <is>
          <t>Spruchmagie</t>
        </is>
      </c>
      <c r="C649" s="12" t="inlineStr">
        <is>
          <t>Kleine Fernheilung</t>
        </is>
      </c>
      <c r="F649" t="inlineStr">
        <is>
          <t>Heilung</t>
        </is>
      </c>
      <c r="G649" s="11" t="inlineStr">
        <is>
          <t>Wert</t>
        </is>
      </c>
      <c r="K649" t="n">
        <v>4</v>
      </c>
      <c r="L649" s="28" t="inlineStr">
        <is>
          <t>WENN(wert=0;0;10+(wert-1)*grad)</t>
        </is>
      </c>
      <c r="P649" t="inlineStr">
        <is>
          <t>eig_bonus_k_konstitution</t>
        </is>
      </c>
      <c r="Q649" t="inlineStr">
        <is>
          <t xml:space="preserve">Das Ziel regeneriert 2W6 + {Magie} Lebensenergie auf alle Trefferzonen verteilt. Überschüssige LE verfallen. </t>
        </is>
      </c>
    </row>
    <row r="650" hidden="1" ht="15.75" customHeight="1" s="48">
      <c r="A650" s="29" t="inlineStr">
        <is>
          <t>#spruchmagie_heilung_5_gliedmassen_nachwachsen_lassen</t>
        </is>
      </c>
      <c r="B650" s="11" t="inlineStr">
        <is>
          <t>Spruchmagie</t>
        </is>
      </c>
      <c r="C650" s="12" t="inlineStr">
        <is>
          <t>Gliedmaßen nachwachsen lassen</t>
        </is>
      </c>
      <c r="F650" t="inlineStr">
        <is>
          <t>Heilung</t>
        </is>
      </c>
      <c r="G650" s="11" t="inlineStr">
        <is>
          <t>Wert</t>
        </is>
      </c>
      <c r="K650" t="n">
        <v>5</v>
      </c>
      <c r="L650" s="28" t="inlineStr">
        <is>
          <t>WENN(wert=0;0;10+(wert-1)*grad)</t>
        </is>
      </c>
      <c r="P650" t="inlineStr">
        <is>
          <t>eig_bonus_k_konstitution</t>
        </is>
      </c>
      <c r="Q650"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651" hidden="1" ht="15.75" customHeight="1" s="48">
      <c r="A651" s="29" t="inlineStr">
        <is>
          <t>#spruchmagie_heilung_5_grosser_gesundheit_wiederherstellen</t>
        </is>
      </c>
      <c r="B651" s="11" t="inlineStr">
        <is>
          <t>Spruchmagie</t>
        </is>
      </c>
      <c r="C651" s="12" t="inlineStr">
        <is>
          <t>Großer Gesundheit wiederherstellen</t>
        </is>
      </c>
      <c r="F651" t="inlineStr">
        <is>
          <t>Heilung</t>
        </is>
      </c>
      <c r="G651" s="11" t="inlineStr">
        <is>
          <t>Wert</t>
        </is>
      </c>
      <c r="K651" t="n">
        <v>5</v>
      </c>
      <c r="L651" s="28" t="inlineStr">
        <is>
          <t>WENN(wert=0;0;10+(wert-1)*grad)</t>
        </is>
      </c>
      <c r="P651" t="inlineStr">
        <is>
          <t>eig_bonus_k_konstitution</t>
        </is>
      </c>
      <c r="Q651" t="inlineStr">
        <is>
          <t>Der Magus kann alle Wunden schließen und Blutungen stoppen. Das Ziel regeneriert W12 Gesundheit. Überschüssige Punkte verfallen.</t>
        </is>
      </c>
    </row>
    <row r="652" hidden="1" ht="15.75" customHeight="1" s="48">
      <c r="A652" s="29" t="inlineStr">
        <is>
          <t>#spruchmagie_heilung_5_maechtige_heilung</t>
        </is>
      </c>
      <c r="B652" s="11" t="inlineStr">
        <is>
          <t>Spruchmagie</t>
        </is>
      </c>
      <c r="C652" s="12" t="inlineStr">
        <is>
          <t>Mächtige Heilung</t>
        </is>
      </c>
      <c r="F652" t="inlineStr">
        <is>
          <t>Heilung</t>
        </is>
      </c>
      <c r="G652" s="11" t="inlineStr">
        <is>
          <t>Wert</t>
        </is>
      </c>
      <c r="K652" t="n">
        <v>5</v>
      </c>
      <c r="L652" s="28" t="inlineStr">
        <is>
          <t>WENN(wert=0;0;10+(wert-1)*grad)</t>
        </is>
      </c>
      <c r="P652" t="inlineStr">
        <is>
          <t>eig_bonus_k_konstitution</t>
        </is>
      </c>
      <c r="Q652" t="inlineStr">
        <is>
          <t xml:space="preserve">Der Magus kann alle Wunden schließen und Blutungen stoppen. Das Ziel regeneriert 2W30 + {Magie} Lebensenergie auf allen Trefferzonen verteilt. Überschüssige LE verfallen. </t>
        </is>
      </c>
    </row>
    <row r="653" hidden="1" ht="15.75" customHeight="1" s="48">
      <c r="A653" s="29" t="inlineStr">
        <is>
          <t>#spruchmagie_heilung_5_mittlere_fernheilung</t>
        </is>
      </c>
      <c r="B653" s="11" t="inlineStr">
        <is>
          <t>Spruchmagie</t>
        </is>
      </c>
      <c r="C653" s="12" t="inlineStr">
        <is>
          <t>Mittlere Fernheilung</t>
        </is>
      </c>
      <c r="F653" t="inlineStr">
        <is>
          <t>Heilung</t>
        </is>
      </c>
      <c r="G653" s="11" t="inlineStr">
        <is>
          <t>Wert</t>
        </is>
      </c>
      <c r="K653" t="n">
        <v>5</v>
      </c>
      <c r="L653" s="28" t="inlineStr">
        <is>
          <t>WENN(wert=0;0;10+(wert-1)*grad)</t>
        </is>
      </c>
      <c r="P653" t="inlineStr">
        <is>
          <t>eig_bonus_k_konstitution</t>
        </is>
      </c>
      <c r="Q653" t="inlineStr">
        <is>
          <t xml:space="preserve">Das Ziel regeneriert 2W10 + {Magie} Lebensenergie auf alle Trefferzonen verteilt. Überschüssige LE verfallen. </t>
        </is>
      </c>
    </row>
    <row r="654" hidden="1" ht="15.75" customHeight="1" s="48">
      <c r="A654" s="29" t="inlineStr">
        <is>
          <t>#spruchmagie_heilung_5_selbstbeherrschung_erhoehen</t>
        </is>
      </c>
      <c r="B654" s="11" t="inlineStr">
        <is>
          <t>Spruchmagie</t>
        </is>
      </c>
      <c r="C654" s="12" t="inlineStr">
        <is>
          <t>Selbstbeherrschung erhöhen</t>
        </is>
      </c>
      <c r="F654" t="inlineStr">
        <is>
          <t>Heilung</t>
        </is>
      </c>
      <c r="G654" s="11" t="inlineStr">
        <is>
          <t>Wert</t>
        </is>
      </c>
      <c r="K654" t="n">
        <v>5</v>
      </c>
      <c r="L654" s="28" t="inlineStr">
        <is>
          <t>WENN(wert=0;0;10+(wert-1)*grad)</t>
        </is>
      </c>
      <c r="P654" t="inlineStr">
        <is>
          <t>eig_bonus_k_konstitution</t>
        </is>
      </c>
      <c r="Q654" t="inlineStr">
        <is>
          <t>Die Selbstbeherrschung des Ziels wird um {M} Punkte erhöht.</t>
        </is>
      </c>
    </row>
    <row r="655" hidden="1" ht="15.75" customHeight="1" s="48">
      <c r="A655" s="29" t="inlineStr">
        <is>
          <t>#spruchmagie_heilung_6_gesundheit_erhoehen</t>
        </is>
      </c>
      <c r="B655" s="11" t="inlineStr">
        <is>
          <t>Spruchmagie</t>
        </is>
      </c>
      <c r="C655" s="12" t="inlineStr">
        <is>
          <t>Gesundheit erhöhen</t>
        </is>
      </c>
      <c r="F655" t="inlineStr">
        <is>
          <t>Heilung</t>
        </is>
      </c>
      <c r="G655" s="11" t="inlineStr">
        <is>
          <t>Wert</t>
        </is>
      </c>
      <c r="K655" t="n">
        <v>6</v>
      </c>
      <c r="L655" s="28" t="inlineStr">
        <is>
          <t>WENN(wert=0;0;10+(wert-1)*grad)</t>
        </is>
      </c>
      <c r="P655" t="inlineStr">
        <is>
          <t>eig_bonus_k_konstitution</t>
        </is>
      </c>
      <c r="Q655"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656" hidden="1" ht="15.75" customHeight="1" s="48">
      <c r="A656" s="29" t="inlineStr">
        <is>
          <t>#spruchmagie_heilung_6_grosse_fernheilung</t>
        </is>
      </c>
      <c r="B656" s="11" t="inlineStr">
        <is>
          <t>Spruchmagie</t>
        </is>
      </c>
      <c r="C656" s="12" t="inlineStr">
        <is>
          <t>Große Fernheilung</t>
        </is>
      </c>
      <c r="F656" t="inlineStr">
        <is>
          <t>Heilung</t>
        </is>
      </c>
      <c r="G656" s="11" t="inlineStr">
        <is>
          <t>Wert</t>
        </is>
      </c>
      <c r="K656" t="n">
        <v>6</v>
      </c>
      <c r="L656" s="28" t="inlineStr">
        <is>
          <t>WENN(wert=0;0;10+(wert-1)*grad)</t>
        </is>
      </c>
      <c r="P656" t="inlineStr">
        <is>
          <t>eig_bonus_k_konstitution</t>
        </is>
      </c>
      <c r="Q656" t="inlineStr">
        <is>
          <t xml:space="preserve">Das Ziel regeneriert 2W15 + {Magie} Lebensenergie auf alle Trefferzonen verteilt. Überschüssige LE verfallen. </t>
        </is>
      </c>
    </row>
    <row r="657" hidden="1" ht="15.75" customHeight="1" s="48">
      <c r="A657" s="29" t="inlineStr">
        <is>
          <t>#spruchmagie_heilung_6_maechtige_entseuchung</t>
        </is>
      </c>
      <c r="B657" s="11" t="inlineStr">
        <is>
          <t>Spruchmagie</t>
        </is>
      </c>
      <c r="C657" s="12" t="inlineStr">
        <is>
          <t>Mächtige Entseuchung</t>
        </is>
      </c>
      <c r="F657" t="inlineStr">
        <is>
          <t>Heilung</t>
        </is>
      </c>
      <c r="G657" s="11" t="inlineStr">
        <is>
          <t>Wert</t>
        </is>
      </c>
      <c r="K657" t="n">
        <v>6</v>
      </c>
      <c r="L657" s="28" t="inlineStr">
        <is>
          <t>WENN(wert=0;0;10+(wert-1)*grad)</t>
        </is>
      </c>
      <c r="P657" t="inlineStr">
        <is>
          <t>eig_bonus_k_konstitution</t>
        </is>
      </c>
      <c r="Q657" t="inlineStr">
        <is>
          <t>Das Ziel wird von den Einflüssen unmagischer und magischer Giftstoffe befreit. Gifte beenden ihre Wirkung mit Ablauf der Effektdauer.</t>
        </is>
      </c>
    </row>
    <row r="658" hidden="1" ht="15.75" customHeight="1" s="48">
      <c r="A658" s="29" t="inlineStr">
        <is>
          <t>#spruchmagie_heilung_6_magische_krankheit_heilen</t>
        </is>
      </c>
      <c r="B658" s="11" t="inlineStr">
        <is>
          <t>Spruchmagie</t>
        </is>
      </c>
      <c r="C658" s="12" t="inlineStr">
        <is>
          <t>Magische Krankheit heilen</t>
        </is>
      </c>
      <c r="F658" t="inlineStr">
        <is>
          <t>Heilung</t>
        </is>
      </c>
      <c r="G658" s="11" t="inlineStr">
        <is>
          <t>Wert</t>
        </is>
      </c>
      <c r="K658" t="n">
        <v>6</v>
      </c>
      <c r="L658" s="28" t="inlineStr">
        <is>
          <t>WENN(wert=0;0;10+(wert-1)*grad)</t>
        </is>
      </c>
      <c r="P658" t="inlineStr">
        <is>
          <t>eig_bonus_k_konstitution</t>
        </is>
      </c>
      <c r="Q658" t="inlineStr">
        <is>
          <t>Eine magische Krankheit wird geheilt. Dies bedeutet, dass der Auslöser der Krankheit unwirksam geworden ist und Begleiterscheinungen wie z. B. Fieber erst abklingen muss, damit eine vollständige Heilung eintritt.</t>
        </is>
      </c>
    </row>
    <row r="659" hidden="1" ht="15.75" customHeight="1" s="48">
      <c r="A659" s="29" t="inlineStr">
        <is>
          <t>#spruchmagie_heilung_6_regeneration_im_kampf</t>
        </is>
      </c>
      <c r="B659" s="11" t="inlineStr">
        <is>
          <t>Spruchmagie</t>
        </is>
      </c>
      <c r="C659" s="12" t="inlineStr">
        <is>
          <t>Regeneration im Kampf</t>
        </is>
      </c>
      <c r="F659" t="inlineStr">
        <is>
          <t>Heilung</t>
        </is>
      </c>
      <c r="G659" s="11" t="inlineStr">
        <is>
          <t>Wert</t>
        </is>
      </c>
      <c r="K659" t="n">
        <v>6</v>
      </c>
      <c r="L659" s="28" t="inlineStr">
        <is>
          <t>WENN(wert=0;0;10+(wert-1)*grad)</t>
        </is>
      </c>
      <c r="P659" t="inlineStr">
        <is>
          <t>eig_bonus_k_konstitution</t>
        </is>
      </c>
      <c r="Q659" t="inlineStr">
        <is>
          <t>Der Magus regeneriert pro KR {Magie} LE auf alle Trefferzonen verteilt oder verschließt eine Wunde pro KR.</t>
        </is>
      </c>
    </row>
    <row r="660" hidden="1" ht="15.75" customHeight="1" s="48">
      <c r="A660" s="29" t="inlineStr">
        <is>
          <t>#spruchmagie_heilung_6_tod_verzoegern</t>
        </is>
      </c>
      <c r="B660" s="11" t="inlineStr">
        <is>
          <t>Spruchmagie</t>
        </is>
      </c>
      <c r="C660" s="12" t="inlineStr">
        <is>
          <t>Tod verzögern</t>
        </is>
      </c>
      <c r="F660" t="inlineStr">
        <is>
          <t>Heilung</t>
        </is>
      </c>
      <c r="G660" s="11" t="inlineStr">
        <is>
          <t>Wert</t>
        </is>
      </c>
      <c r="K660" t="n">
        <v>6</v>
      </c>
      <c r="L660" s="28" t="inlineStr">
        <is>
          <t>WENN(wert=0;0;10+(wert-1)*grad)</t>
        </is>
      </c>
      <c r="P660" t="inlineStr">
        <is>
          <t>eig_bonus_k_konstitution</t>
        </is>
      </c>
      <c r="Q660" t="inlineStr">
        <is>
          <t>Der Zeitpunkt, zu dem der Tod eines Ziels Eintreten würde, wird um {Magie}*3 min herausgezögert. Der Magus darf die Verbindung zum Ziel nicht lösen, sonst fällt der Zauber und die natürliche Todesfrist setzt wieder ein.</t>
        </is>
      </c>
    </row>
    <row r="661" hidden="1" ht="15.75" customHeight="1" s="48">
      <c r="A661" s="29" t="inlineStr">
        <is>
          <t>#spruchmagie_heilung_7_maechtige_fernheilung</t>
        </is>
      </c>
      <c r="B661" s="11" t="inlineStr">
        <is>
          <t>Spruchmagie</t>
        </is>
      </c>
      <c r="C661" s="12" t="inlineStr">
        <is>
          <t>Mächtige Fernheilung</t>
        </is>
      </c>
      <c r="F661" t="inlineStr">
        <is>
          <t>Heilung</t>
        </is>
      </c>
      <c r="G661" s="11" t="inlineStr">
        <is>
          <t>Wert</t>
        </is>
      </c>
      <c r="H661" s="29" t="n"/>
      <c r="I661" s="29" t="n"/>
      <c r="K661" t="n">
        <v>7</v>
      </c>
      <c r="L661" s="28" t="inlineStr">
        <is>
          <t>WENN(wert=0;0;10+(wert-1)*grad)</t>
        </is>
      </c>
      <c r="P661" t="inlineStr">
        <is>
          <t>eig_bonus_k_konstitution</t>
        </is>
      </c>
      <c r="Q661" t="inlineStr">
        <is>
          <t xml:space="preserve">Das Ziel regeneriert 2W30 + {Magie} Lebensenergie auf alle Trefferzonen verteilt. Überschüssige LE verfallen. </t>
        </is>
      </c>
    </row>
    <row r="662" hidden="1" ht="15.75" customHeight="1" s="48">
      <c r="A662" s="29" t="inlineStr">
        <is>
          <t>#spruchmagie_heilung_7_totale_regeneration</t>
        </is>
      </c>
      <c r="B662" s="11" t="inlineStr">
        <is>
          <t>Spruchmagie</t>
        </is>
      </c>
      <c r="C662" s="12" t="inlineStr">
        <is>
          <t>Totale Regeneration</t>
        </is>
      </c>
      <c r="F662" t="inlineStr">
        <is>
          <t>Heilung</t>
        </is>
      </c>
      <c r="G662" s="11" t="inlineStr">
        <is>
          <t>Wert</t>
        </is>
      </c>
      <c r="K662" t="n">
        <v>7</v>
      </c>
      <c r="L662" s="28" t="inlineStr">
        <is>
          <t>WENN(wert=0;0;10+(wert-1)*grad)</t>
        </is>
      </c>
      <c r="P662" t="inlineStr">
        <is>
          <t>eig_bonus_k_konstitution</t>
        </is>
      </c>
      <c r="Q662" t="inlineStr">
        <is>
          <t>Das Ziel regeneriert alle verlorenen LE auf allen noch vorhandenen Trefferzonen und die volle Gesundheit, alle Wunden schließen sich.</t>
        </is>
      </c>
    </row>
    <row r="663" hidden="1" ht="15.75" customHeight="1" s="48">
      <c r="A663" s="29" t="inlineStr">
        <is>
          <t>#spruchmagie_heilung_7_trefferschwelle_erhoehen</t>
        </is>
      </c>
      <c r="B663" s="11" t="inlineStr">
        <is>
          <t>Spruchmagie</t>
        </is>
      </c>
      <c r="C663" s="12" t="inlineStr">
        <is>
          <t>Trefferschwelle erhöhen</t>
        </is>
      </c>
      <c r="F663" t="inlineStr">
        <is>
          <t>Heilung</t>
        </is>
      </c>
      <c r="G663" s="11" t="inlineStr">
        <is>
          <t>Wert</t>
        </is>
      </c>
      <c r="K663" t="n">
        <v>7</v>
      </c>
      <c r="L663" s="28" t="inlineStr">
        <is>
          <t>WENN(wert=0;0;10+(wert-1)*grad)</t>
        </is>
      </c>
      <c r="P663" t="inlineStr">
        <is>
          <t>eig_bonus_k_konstitution</t>
        </is>
      </c>
      <c r="Q663" t="inlineStr">
        <is>
          <t>Die Trefferschwelle des Ziels wird um {Magie} erhöht.</t>
        </is>
      </c>
    </row>
    <row r="664" hidden="1" ht="15.75" customHeight="1" s="48">
      <c r="A664" s="29" t="inlineStr">
        <is>
          <t>#spruchmagie_heilung_7_wiederbelebung</t>
        </is>
      </c>
      <c r="B664" s="11" t="inlineStr">
        <is>
          <t>Spruchmagie</t>
        </is>
      </c>
      <c r="C664" s="12" t="inlineStr">
        <is>
          <t>Wiederbelebung</t>
        </is>
      </c>
      <c r="F664" t="inlineStr">
        <is>
          <t>Heilung</t>
        </is>
      </c>
      <c r="G664" s="11" t="inlineStr">
        <is>
          <t>Wert</t>
        </is>
      </c>
      <c r="K664" t="n">
        <v>7</v>
      </c>
      <c r="L664" s="28" t="inlineStr">
        <is>
          <t>WENN(wert=0;0;10+(wert-1)*grad)</t>
        </is>
      </c>
      <c r="P664" t="inlineStr">
        <is>
          <t>eig_bonus_k_konstitution</t>
        </is>
      </c>
      <c r="Q664"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665" hidden="1" ht="15.75" customHeight="1" s="48">
      <c r="A665" s="29" t="inlineStr">
        <is>
          <t>#spruchmagie_hellsicht_1_artefakt_erkennen</t>
        </is>
      </c>
      <c r="B665" s="11" t="inlineStr">
        <is>
          <t>Spruchmagie</t>
        </is>
      </c>
      <c r="C665" s="12" t="inlineStr">
        <is>
          <t>Artefakt erkennen</t>
        </is>
      </c>
      <c r="F665" t="inlineStr">
        <is>
          <t>Hellsicht</t>
        </is>
      </c>
      <c r="G665" s="11" t="inlineStr">
        <is>
          <t>Wert</t>
        </is>
      </c>
      <c r="H665" s="29" t="n"/>
      <c r="I665" s="29" t="n"/>
      <c r="K665" t="n">
        <v>1</v>
      </c>
      <c r="L665" s="28" t="inlineStr">
        <is>
          <t>WENN(wert=0;0;10+(wert-1)*grad)</t>
        </is>
      </c>
      <c r="P665" t="inlineStr">
        <is>
          <t>eig_bonus_g_sinneschaerfe</t>
        </is>
      </c>
      <c r="Q665"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666" hidden="1" ht="15.75" customHeight="1" s="48">
      <c r="A666" s="29" t="inlineStr">
        <is>
          <t>#spruchmagie_hellsicht_1_daemmerungssicht</t>
        </is>
      </c>
      <c r="B666" s="11" t="inlineStr">
        <is>
          <t>Spruchmagie</t>
        </is>
      </c>
      <c r="C666" s="12" t="inlineStr">
        <is>
          <t>Dämmerungssicht</t>
        </is>
      </c>
      <c r="F666" t="inlineStr">
        <is>
          <t>Hellsicht</t>
        </is>
      </c>
      <c r="G666" s="11" t="inlineStr">
        <is>
          <t>Wert</t>
        </is>
      </c>
      <c r="K666" t="n">
        <v>1</v>
      </c>
      <c r="L666" s="28" t="inlineStr">
        <is>
          <t>WENN(wert=0;0;10+(wert-1)*grad)</t>
        </is>
      </c>
      <c r="P666" t="inlineStr">
        <is>
          <t>eig_bonus_g_sinneschaerfe</t>
        </is>
      </c>
      <c r="Q666" t="inlineStr">
        <is>
          <t xml:space="preserve">Der Anwender kann in der Dunkelheit so gut sehen wie am hellichten Tag. Damit dieser Effekt eintreten kann, muss Restlicht vorhanden sein. In vollkommener Dunkelheit ist dieser Zauber keine Hilfe. </t>
        </is>
      </c>
    </row>
    <row r="667" hidden="1" ht="15.75" customHeight="1" s="48">
      <c r="A667" s="29" t="inlineStr">
        <is>
          <t>#spruchmagie_hellsicht_2_durchblick</t>
        </is>
      </c>
      <c r="B667" s="11" t="inlineStr">
        <is>
          <t>Spruchmagie</t>
        </is>
      </c>
      <c r="C667" s="12" t="inlineStr">
        <is>
          <t>Durchblick</t>
        </is>
      </c>
      <c r="F667" t="inlineStr">
        <is>
          <t>Hellsicht</t>
        </is>
      </c>
      <c r="G667" s="11" t="inlineStr">
        <is>
          <t>Wert</t>
        </is>
      </c>
      <c r="K667" t="n">
        <v>2</v>
      </c>
      <c r="L667" s="28" t="inlineStr">
        <is>
          <t>WENN(wert=0;0;10+(wert-1)*grad)</t>
        </is>
      </c>
      <c r="P667" t="inlineStr">
        <is>
          <t>eig_bonus_g_sinneschaerfe</t>
        </is>
      </c>
      <c r="Q667" t="inlineStr">
        <is>
          <t>Der Magus kann durch eine unbewegliche,      {M} * 2 cm durchmessende Röhre durch beliebige Materie schauen. Diese darf eine maximale Dicke von {M} * 6 cm haben. Entdeckte Ziele können normal anvisiert werden.</t>
        </is>
      </c>
    </row>
    <row r="668" hidden="1" ht="15.75" customHeight="1" s="48">
      <c r="A668" s="29" t="inlineStr">
        <is>
          <t>#spruchmagie_hellsicht_2_infrarotsicht</t>
        </is>
      </c>
      <c r="B668" s="11" t="inlineStr">
        <is>
          <t>Spruchmagie</t>
        </is>
      </c>
      <c r="C668" s="12" t="inlineStr">
        <is>
          <t>Infrarotsicht</t>
        </is>
      </c>
      <c r="F668" t="inlineStr">
        <is>
          <t>Hellsicht</t>
        </is>
      </c>
      <c r="G668" s="11" t="inlineStr">
        <is>
          <t>Wert</t>
        </is>
      </c>
      <c r="K668" t="n">
        <v>2</v>
      </c>
      <c r="L668" s="28" t="inlineStr">
        <is>
          <t>WENN(wert=0;0;10+(wert-1)*grad)</t>
        </is>
      </c>
      <c r="P668" t="inlineStr">
        <is>
          <t>eig_bonus_g_sinneschaerfe</t>
        </is>
      </c>
      <c r="Q668" t="inlineStr">
        <is>
          <t>Das Ziel verliert seine derzeitige Wahrnehmung und gewinnt stattdessen Infrarotsicht.</t>
        </is>
      </c>
    </row>
    <row r="669" hidden="1" ht="15.75" customHeight="1" s="48">
      <c r="A669" s="29" t="inlineStr">
        <is>
          <t>#spruchmagie_hellsicht_3_astralsicht</t>
        </is>
      </c>
      <c r="B669" s="11" t="inlineStr">
        <is>
          <t>Spruchmagie</t>
        </is>
      </c>
      <c r="C669" s="12" t="inlineStr">
        <is>
          <t>Astralsicht</t>
        </is>
      </c>
      <c r="F669" t="inlineStr">
        <is>
          <t>Hellsicht</t>
        </is>
      </c>
      <c r="G669" s="11" t="inlineStr">
        <is>
          <t>Wert</t>
        </is>
      </c>
      <c r="K669" t="n">
        <v>3</v>
      </c>
      <c r="L669" s="28" t="inlineStr">
        <is>
          <t>WENN(wert=0;0;10+(wert-1)*grad)</t>
        </is>
      </c>
      <c r="P669" t="inlineStr">
        <is>
          <t>eig_bonus_g_sinneschaerfe</t>
        </is>
      </c>
      <c r="Q669"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670" hidden="1" ht="15.75" customHeight="1" s="48">
      <c r="A670" s="29" t="inlineStr">
        <is>
          <t>#spruchmagie_hellsicht_3_blick_aufs_wesen</t>
        </is>
      </c>
      <c r="B670" s="11" t="inlineStr">
        <is>
          <t>Spruchmagie</t>
        </is>
      </c>
      <c r="C670" s="12" t="inlineStr">
        <is>
          <t>Blick aufs Wesen</t>
        </is>
      </c>
      <c r="F670" t="inlineStr">
        <is>
          <t>Hellsicht</t>
        </is>
      </c>
      <c r="G670" s="11" t="inlineStr">
        <is>
          <t>Wert</t>
        </is>
      </c>
      <c r="K670" t="n">
        <v>3</v>
      </c>
      <c r="L670" s="28" t="inlineStr">
        <is>
          <t>WENN(wert=0;0;10+(wert-1)*grad)</t>
        </is>
      </c>
      <c r="P670" t="inlineStr">
        <is>
          <t>eig_bonus_g_sinneschaerfe</t>
        </is>
      </c>
      <c r="Q670"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671" hidden="1" ht="15.75" customHeight="1" s="48">
      <c r="A671" s="29" t="inlineStr">
        <is>
          <t>#spruchmagie_hellsicht_4_aura_analysieren</t>
        </is>
      </c>
      <c r="B671" s="11" t="inlineStr">
        <is>
          <t>Spruchmagie</t>
        </is>
      </c>
      <c r="C671" s="12" t="inlineStr">
        <is>
          <t>Aura analysieren</t>
        </is>
      </c>
      <c r="F671" t="inlineStr">
        <is>
          <t>Hellsicht</t>
        </is>
      </c>
      <c r="G671" s="11" t="inlineStr">
        <is>
          <t>Wert</t>
        </is>
      </c>
      <c r="K671" t="n">
        <v>4</v>
      </c>
      <c r="L671" s="28" t="inlineStr">
        <is>
          <t>WENN(wert=0;0;10+(wert-1)*grad)</t>
        </is>
      </c>
      <c r="P671" t="inlineStr">
        <is>
          <t>eig_bonus_g_sinneschaerfe</t>
        </is>
      </c>
      <c r="Q671"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672" hidden="1" ht="15.75" customHeight="1" s="48">
      <c r="A672" s="29" t="inlineStr">
        <is>
          <t>#spruchmagie_hellsicht_4_blick_durch_fremde_augen</t>
        </is>
      </c>
      <c r="B672" s="11" t="inlineStr">
        <is>
          <t>Spruchmagie</t>
        </is>
      </c>
      <c r="C672" s="12" t="inlineStr">
        <is>
          <t>Blick durch fremde Augen</t>
        </is>
      </c>
      <c r="F672" t="inlineStr">
        <is>
          <t>Hellsicht</t>
        </is>
      </c>
      <c r="G672" s="11" t="inlineStr">
        <is>
          <t>Wert</t>
        </is>
      </c>
      <c r="H672" s="29" t="n"/>
      <c r="I672" s="29" t="n"/>
      <c r="K672" t="n">
        <v>4</v>
      </c>
      <c r="L672" s="28" t="inlineStr">
        <is>
          <t>WENN(wert=0;0;10+(wert-1)*grad)</t>
        </is>
      </c>
      <c r="P672" t="inlineStr">
        <is>
          <t>eig_bonus_g_sinneschaerfe</t>
        </is>
      </c>
      <c r="Q672"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673" hidden="1" ht="15.75" customHeight="1" s="48">
      <c r="A673" s="29" t="inlineStr">
        <is>
          <t>#spruchmagie_hellsicht_5_blick_in_die_gedanken</t>
        </is>
      </c>
      <c r="B673" s="11" t="inlineStr">
        <is>
          <t>Spruchmagie</t>
        </is>
      </c>
      <c r="C673" s="12" t="inlineStr">
        <is>
          <t>Blick in die Gedanken</t>
        </is>
      </c>
      <c r="F673" t="inlineStr">
        <is>
          <t>Hellsicht</t>
        </is>
      </c>
      <c r="G673" s="11" t="inlineStr">
        <is>
          <t>Wert</t>
        </is>
      </c>
      <c r="H673" s="29" t="n"/>
      <c r="I673" s="29" t="n"/>
      <c r="K673" t="n">
        <v>5</v>
      </c>
      <c r="L673" s="28" t="inlineStr">
        <is>
          <t>WENN(wert=0;0;10+(wert-1)*grad)</t>
        </is>
      </c>
      <c r="P673" t="inlineStr">
        <is>
          <t>eig_bonus_g_sinneschaerfe</t>
        </is>
      </c>
      <c r="Q673"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674" hidden="1" ht="15.75" customHeight="1" s="48">
      <c r="A674" s="29" t="inlineStr">
        <is>
          <t>#spruchmagie_hellsicht_6_kampfmaschine</t>
        </is>
      </c>
      <c r="B674" s="11" t="inlineStr">
        <is>
          <t>Spruchmagie</t>
        </is>
      </c>
      <c r="C674" s="12" t="inlineStr">
        <is>
          <t>Kampfmaschine</t>
        </is>
      </c>
      <c r="F674" t="inlineStr">
        <is>
          <t>Hellsicht</t>
        </is>
      </c>
      <c r="G674" s="11" t="inlineStr">
        <is>
          <t>Wert</t>
        </is>
      </c>
      <c r="K674" t="n">
        <v>6</v>
      </c>
      <c r="L674" s="28" t="inlineStr">
        <is>
          <t>WENN(wert=0;0;10+(wert-1)*grad)</t>
        </is>
      </c>
      <c r="P674" t="inlineStr">
        <is>
          <t>eig_bonus_g_sinneschaerfe</t>
        </is>
      </c>
      <c r="Q674"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675" hidden="1" ht="15.75" customHeight="1" s="48">
      <c r="A675" s="29" t="inlineStr">
        <is>
          <t>#spruchmagie_hellsicht_7_blick_in_die_zukunft</t>
        </is>
      </c>
      <c r="B675" s="11" t="inlineStr">
        <is>
          <t>Spruchmagie</t>
        </is>
      </c>
      <c r="C675" s="12" t="inlineStr">
        <is>
          <t>Blick in die Zukunft</t>
        </is>
      </c>
      <c r="F675" t="inlineStr">
        <is>
          <t>Hellsicht</t>
        </is>
      </c>
      <c r="G675" s="11" t="inlineStr">
        <is>
          <t>Wert</t>
        </is>
      </c>
      <c r="K675" t="n">
        <v>7</v>
      </c>
      <c r="L675" s="28" t="inlineStr">
        <is>
          <t>WENN(wert=0;0;10+(wert-1)*grad)</t>
        </is>
      </c>
      <c r="P675" t="inlineStr">
        <is>
          <t>eig_bonus_g_sinneschaerfe</t>
        </is>
      </c>
      <c r="Q675" t="inlineStr">
        <is>
          <t>Der Magus vermag eine KR in die Zukunft zu blicken. Hierdurch ist er automatisch als Erster an der Initiative und hat alle kampfrelevanten Proben um {Magie} erleichtert. Nach Ende der Wirkungsdauer muss der Magus die Initiative neu bestimmen.</t>
        </is>
      </c>
    </row>
    <row r="676" hidden="1" ht="15.75" customHeight="1" s="48">
      <c r="A676" s="29" t="inlineStr">
        <is>
          <t>#spruchmagie_illusion_1_funkentanz</t>
        </is>
      </c>
      <c r="B676" s="11" t="inlineStr">
        <is>
          <t>Spruchmagie</t>
        </is>
      </c>
      <c r="C676" s="12" t="inlineStr">
        <is>
          <t>Funkentanz</t>
        </is>
      </c>
      <c r="F676" t="inlineStr">
        <is>
          <t>Illusion</t>
        </is>
      </c>
      <c r="G676" s="11" t="inlineStr">
        <is>
          <t>Wert</t>
        </is>
      </c>
      <c r="H676" s="29" t="n"/>
      <c r="I676" s="29" t="n"/>
      <c r="K676" t="n">
        <v>1</v>
      </c>
      <c r="L676" s="28" t="inlineStr">
        <is>
          <t>WENN(wert=0;0;10+(wert-1)*grad)</t>
        </is>
      </c>
      <c r="P676" t="inlineStr">
        <is>
          <t>eig_bonus_g_sinneschaerfe</t>
        </is>
      </c>
      <c r="Q676" t="inlineStr">
        <is>
          <t xml:space="preserve">Der Magus erzeugt viele kleine Lichtfunken, die rund um seinen Körper fliegen. Hierdurch wird es für jeden Gegner um {Magie} schwerer, ihn mit einer Nahkampf- oder Fernkampf-Attacke zu treffen. </t>
        </is>
      </c>
    </row>
    <row r="677" hidden="1" ht="15.75" customHeight="1" s="48">
      <c r="A677" s="29" t="inlineStr">
        <is>
          <t>#spruchmagie_illusion_1_licht</t>
        </is>
      </c>
      <c r="B677" s="11" t="inlineStr">
        <is>
          <t>Spruchmagie</t>
        </is>
      </c>
      <c r="C677" s="12" t="inlineStr">
        <is>
          <t>Licht</t>
        </is>
      </c>
      <c r="F677" t="inlineStr">
        <is>
          <t>Illusion</t>
        </is>
      </c>
      <c r="G677" s="11" t="inlineStr">
        <is>
          <t>Wert</t>
        </is>
      </c>
      <c r="H677" s="29" t="n"/>
      <c r="I677" s="29" t="n"/>
      <c r="K677" t="n">
        <v>1</v>
      </c>
      <c r="L677" s="28" t="inlineStr">
        <is>
          <t>WENN(wert=0;0;10+(wert-1)*grad)</t>
        </is>
      </c>
      <c r="P677" t="inlineStr">
        <is>
          <t>eig_bonus_g_ausstrahlung</t>
        </is>
      </c>
      <c r="Q677"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678" hidden="1" ht="15.75" customHeight="1" s="48">
      <c r="A678" s="29" t="inlineStr">
        <is>
          <t>#spruchmagie_illusion_1_magische_schriftzeichen</t>
        </is>
      </c>
      <c r="B678" s="11" t="inlineStr">
        <is>
          <t>Spruchmagie</t>
        </is>
      </c>
      <c r="C678" s="12" t="inlineStr">
        <is>
          <t>Magische Schriftzeichen</t>
        </is>
      </c>
      <c r="F678" t="inlineStr">
        <is>
          <t>Illusion</t>
        </is>
      </c>
      <c r="G678" s="11" t="inlineStr">
        <is>
          <t>Wert</t>
        </is>
      </c>
      <c r="K678" t="n">
        <v>1</v>
      </c>
      <c r="L678" s="28" t="inlineStr">
        <is>
          <t>WENN(wert=0;0;10+(wert-1)*grad)</t>
        </is>
      </c>
      <c r="P678" t="inlineStr">
        <is>
          <t>eig_bonus_g_intelligenz</t>
        </is>
      </c>
      <c r="Q678"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679" hidden="1" ht="15.75" customHeight="1" s="48">
      <c r="A679" s="29" t="inlineStr">
        <is>
          <t>#spruchmagie_illusion_1_magische_verkleidung</t>
        </is>
      </c>
      <c r="B679" s="11" t="inlineStr">
        <is>
          <t>Spruchmagie</t>
        </is>
      </c>
      <c r="C679" s="12" t="inlineStr">
        <is>
          <t>Magische Verkleidung</t>
        </is>
      </c>
      <c r="F679" t="inlineStr">
        <is>
          <t>Illusion</t>
        </is>
      </c>
      <c r="G679" s="11" t="inlineStr">
        <is>
          <t>Wert</t>
        </is>
      </c>
      <c r="K679" t="n">
        <v>1</v>
      </c>
      <c r="L679" s="28" t="inlineStr">
        <is>
          <t>WENN(wert=0;0;10+(wert-1)*grad)</t>
        </is>
      </c>
      <c r="P679" t="inlineStr">
        <is>
          <t>eig_bonus_g_ausstrahlung</t>
        </is>
      </c>
      <c r="Q679" t="inlineStr">
        <is>
          <t xml:space="preserve">Der Magus kann die Illusion erzeugen, dass seine Kleidung, seine Nägel und sein Haar in den gewünschten Zustand versetzt sind. </t>
        </is>
      </c>
    </row>
    <row r="680" hidden="1" ht="15.75" customHeight="1" s="48">
      <c r="A680" s="29" t="inlineStr">
        <is>
          <t>#spruchmagie_illusion_2_blitzlicht</t>
        </is>
      </c>
      <c r="B680" s="11" t="inlineStr">
        <is>
          <t>Spruchmagie</t>
        </is>
      </c>
      <c r="C680" s="12" t="inlineStr">
        <is>
          <t>Blitzlicht</t>
        </is>
      </c>
      <c r="F680" t="inlineStr">
        <is>
          <t>Illusion</t>
        </is>
      </c>
      <c r="G680" s="11" t="inlineStr">
        <is>
          <t>Wert</t>
        </is>
      </c>
      <c r="K680" t="n">
        <v>2</v>
      </c>
      <c r="L680" s="28" t="inlineStr">
        <is>
          <t>WENN(wert=0;0;10+(wert-1)*grad)</t>
        </is>
      </c>
      <c r="P680" t="inlineStr">
        <is>
          <t>eig_bonus_g_ausstrahlung</t>
        </is>
      </c>
      <c r="Q680" t="inlineStr">
        <is>
          <t>Ein Körperteil des Magus  blitzt grell auf. Jedes ungewarnte Opfer hat eine Glücks-Probe, jedes gewarnte Opfer hat eine Schnelligkeits-Probe, ansonsten ist es für W6 sec blind.(AT|PA-Klasse je -1; BE 10, außer Magie mit Ziel selbst)</t>
        </is>
      </c>
    </row>
    <row r="681" hidden="1" ht="15.75" customHeight="1" s="48">
      <c r="A681" s="29" t="inlineStr">
        <is>
          <t>#spruchmagie_illusion_2_geraeuschillusion</t>
        </is>
      </c>
      <c r="B681" s="11" t="inlineStr">
        <is>
          <t>Spruchmagie</t>
        </is>
      </c>
      <c r="C681" s="12" t="inlineStr">
        <is>
          <t>Geräuschillusion</t>
        </is>
      </c>
      <c r="F681" t="inlineStr">
        <is>
          <t>Illusion</t>
        </is>
      </c>
      <c r="G681" s="11" t="inlineStr">
        <is>
          <t>Wert</t>
        </is>
      </c>
      <c r="K681" t="n">
        <v>2</v>
      </c>
      <c r="L681" s="28" t="inlineStr">
        <is>
          <t>WENN(wert=0;0;10+(wert-1)*grad)</t>
        </is>
      </c>
      <c r="P681" t="inlineStr">
        <is>
          <t>eig_bonus_g_sinneschaerfe</t>
        </is>
      </c>
      <c r="Q681" t="inlineStr">
        <is>
          <t>Der Magus kann seine Stimme oder einfache Laute an einen anderen Ort projizieren. Hierfür muss er seine Stimmbänder nicht einsetzen.</t>
        </is>
      </c>
    </row>
    <row r="682" hidden="1" ht="15.75" customHeight="1" s="48">
      <c r="A682" s="29" t="inlineStr">
        <is>
          <t>#spruchmagie_illusion_2_nebelwand</t>
        </is>
      </c>
      <c r="B682" s="11" t="inlineStr">
        <is>
          <t>Spruchmagie</t>
        </is>
      </c>
      <c r="C682" s="12" t="inlineStr">
        <is>
          <t>Nebelwand</t>
        </is>
      </c>
      <c r="F682" t="inlineStr">
        <is>
          <t>Illusion</t>
        </is>
      </c>
      <c r="G682" s="11" t="inlineStr">
        <is>
          <t>Wert</t>
        </is>
      </c>
      <c r="K682" t="n">
        <v>2</v>
      </c>
      <c r="L682" s="28" t="inlineStr">
        <is>
          <t>WENN(wert=0;0;10+(wert-1)*grad)</t>
        </is>
      </c>
      <c r="P682" t="inlineStr">
        <is>
          <t>eig_bonus_k_schnelligkeit</t>
        </is>
      </c>
      <c r="Q682"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683" hidden="1" ht="15.75" customHeight="1" s="48">
      <c r="A683" s="29" t="inlineStr">
        <is>
          <t>#spruchmagie_illusion_2_stimme_veraendern</t>
        </is>
      </c>
      <c r="B683" s="11" t="inlineStr">
        <is>
          <t>Spruchmagie</t>
        </is>
      </c>
      <c r="C683" s="12" t="inlineStr">
        <is>
          <t>Stimme verändern</t>
        </is>
      </c>
      <c r="F683" t="inlineStr">
        <is>
          <t>Illusion</t>
        </is>
      </c>
      <c r="G683" s="11" t="inlineStr">
        <is>
          <t>Wert</t>
        </is>
      </c>
      <c r="K683" t="n">
        <v>2</v>
      </c>
      <c r="L683" s="28" t="inlineStr">
        <is>
          <t>WENN(wert=0;0;10+(wert-1)*grad)</t>
        </is>
      </c>
      <c r="P683" t="inlineStr">
        <is>
          <t>eig_bonus_g_sinneschaerfe</t>
        </is>
      </c>
      <c r="Q683"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684" hidden="1" ht="15.75" customHeight="1" s="48">
      <c r="A684" s="29" t="inlineStr">
        <is>
          <t>#spruchmagie_illusion_2_zweites_gesicht</t>
        </is>
      </c>
      <c r="B684" s="11" t="inlineStr">
        <is>
          <t>Spruchmagie</t>
        </is>
      </c>
      <c r="C684" s="12" t="inlineStr">
        <is>
          <t>Zweites Gesicht</t>
        </is>
      </c>
      <c r="F684" t="inlineStr">
        <is>
          <t>Illusion</t>
        </is>
      </c>
      <c r="G684" s="11" t="inlineStr">
        <is>
          <t>Wert</t>
        </is>
      </c>
      <c r="K684" t="n">
        <v>2</v>
      </c>
      <c r="L684" s="28" t="inlineStr">
        <is>
          <t>WENN(wert=0;0;10+(wert-1)*grad)</t>
        </is>
      </c>
      <c r="P684" t="inlineStr">
        <is>
          <t>eig_bonus_g_ausstrahlung</t>
        </is>
      </c>
      <c r="Q684"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685" hidden="1" ht="15.75" customHeight="1" s="48">
      <c r="A685" s="29" t="inlineStr">
        <is>
          <t>#spruchmagie_illusion_3_dunkelheit</t>
        </is>
      </c>
      <c r="B685" s="11" t="inlineStr">
        <is>
          <t>Spruchmagie</t>
        </is>
      </c>
      <c r="C685" s="12" t="inlineStr">
        <is>
          <t>Dunkelheit</t>
        </is>
      </c>
      <c r="F685" t="inlineStr">
        <is>
          <t>Illusion</t>
        </is>
      </c>
      <c r="G685" s="11" t="inlineStr">
        <is>
          <t>Wert</t>
        </is>
      </c>
      <c r="K685" t="n">
        <v>3</v>
      </c>
      <c r="L685" s="28" t="inlineStr">
        <is>
          <t>WENN(wert=0;0;10+(wert-1)*grad)</t>
        </is>
      </c>
      <c r="P685" t="inlineStr">
        <is>
          <t>eig_bonus_g_sinneschaerfe</t>
        </is>
      </c>
      <c r="Q685"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686" hidden="1" ht="15.75" customHeight="1" s="48">
      <c r="A686" s="29" t="inlineStr">
        <is>
          <t>#spruchmagie_illusion_3_durchsichtiger_gegenstand</t>
        </is>
      </c>
      <c r="B686" s="11" t="inlineStr">
        <is>
          <t>Spruchmagie</t>
        </is>
      </c>
      <c r="C686" s="12" t="inlineStr">
        <is>
          <t>Durchsichtiger Gegenstand</t>
        </is>
      </c>
      <c r="F686" t="inlineStr">
        <is>
          <t>Illusion</t>
        </is>
      </c>
      <c r="G686" s="11" t="inlineStr">
        <is>
          <t>Wert</t>
        </is>
      </c>
      <c r="K686" t="n">
        <v>3</v>
      </c>
      <c r="L686" s="28" t="inlineStr">
        <is>
          <t>WENN(wert=0;0;10+(wert-1)*grad)</t>
        </is>
      </c>
      <c r="P686" t="inlineStr">
        <is>
          <t>eig_bonus_g_sinneschaerfe</t>
        </is>
      </c>
      <c r="Q686"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687" hidden="1" ht="15.75" customHeight="1" s="48">
      <c r="A687" s="29" t="inlineStr">
        <is>
          <t>#spruchmagie_illusion_3_trugbild_der_haesslichkeit</t>
        </is>
      </c>
      <c r="B687" s="11" t="inlineStr">
        <is>
          <t>Spruchmagie</t>
        </is>
      </c>
      <c r="C687" s="12" t="inlineStr">
        <is>
          <t>Trugbild der Hässlichkeit</t>
        </is>
      </c>
      <c r="F687" t="inlineStr">
        <is>
          <t>Illusion</t>
        </is>
      </c>
      <c r="G687" s="11" t="inlineStr">
        <is>
          <t>Wert</t>
        </is>
      </c>
      <c r="K687" t="n">
        <v>3</v>
      </c>
      <c r="L687" s="28" t="inlineStr">
        <is>
          <t>WENN(wert=0;0;10+(wert-1)*grad)</t>
        </is>
      </c>
      <c r="P687" t="inlineStr">
        <is>
          <t>eig_bonus_g_ausstrahlung</t>
        </is>
      </c>
      <c r="Q687" t="inlineStr">
        <is>
          <t>Die Ausstrahlung des Opfers reduziert sich um {Magie} * 2 Punkte. Das Opfer wirkt abstoßend und fremd. Anweisungen des Opfers müssen eventuell mit Ausstrahlungs+TaW-Proben belegt werden.Die Ausstrahlung kann nicht unter 1 sinken.</t>
        </is>
      </c>
    </row>
    <row r="688" hidden="1" ht="15.75" customHeight="1" s="48">
      <c r="A688" s="29" t="inlineStr">
        <is>
          <t>#spruchmagie_illusion_3_unbewegte_illusion</t>
        </is>
      </c>
      <c r="B688" s="11" t="inlineStr">
        <is>
          <t>Spruchmagie</t>
        </is>
      </c>
      <c r="C688" s="12" t="inlineStr">
        <is>
          <t>Unbewegte Illusion</t>
        </is>
      </c>
      <c r="F688" t="inlineStr">
        <is>
          <t>Illusion</t>
        </is>
      </c>
      <c r="G688" s="11" t="inlineStr">
        <is>
          <t>Wert</t>
        </is>
      </c>
      <c r="K688" t="n">
        <v>3</v>
      </c>
      <c r="L688" s="28" t="inlineStr">
        <is>
          <t>WENN(wert=0;0;10+(wert-1)*grad)</t>
        </is>
      </c>
      <c r="P688" t="inlineStr">
        <is>
          <t>eig_bonus_g_ausstrahlung</t>
        </is>
      </c>
      <c r="Q688"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689" hidden="1" ht="15.75" customHeight="1" s="48">
      <c r="A689" s="29" t="inlineStr">
        <is>
          <t>#spruchmagie_illusion_4_grosser_funkentanz</t>
        </is>
      </c>
      <c r="B689" s="11" t="inlineStr">
        <is>
          <t>Spruchmagie</t>
        </is>
      </c>
      <c r="C689" s="12" t="inlineStr">
        <is>
          <t>Großer Funkentanz</t>
        </is>
      </c>
      <c r="F689" t="inlineStr">
        <is>
          <t>Illusion</t>
        </is>
      </c>
      <c r="G689" s="11" t="inlineStr">
        <is>
          <t>Wert</t>
        </is>
      </c>
      <c r="K689" t="n">
        <v>4</v>
      </c>
      <c r="L689" s="28" t="inlineStr">
        <is>
          <t>WENN(wert=0;0;10+(wert-1)*grad)</t>
        </is>
      </c>
      <c r="P689" t="inlineStr">
        <is>
          <t>eig_bonus_g_sinneschaerfe</t>
        </is>
      </c>
      <c r="Q689"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690" hidden="1" ht="15.75" customHeight="1" s="48">
      <c r="A690" s="29" t="inlineStr">
        <is>
          <t>#spruchmagie_illusion_4_nebel</t>
        </is>
      </c>
      <c r="B690" s="11" t="inlineStr">
        <is>
          <t>Spruchmagie</t>
        </is>
      </c>
      <c r="C690" s="12" t="inlineStr">
        <is>
          <t>Nebel</t>
        </is>
      </c>
      <c r="F690" t="inlineStr">
        <is>
          <t>Illusion</t>
        </is>
      </c>
      <c r="G690" s="11" t="inlineStr">
        <is>
          <t>Wert</t>
        </is>
      </c>
      <c r="K690" t="n">
        <v>4</v>
      </c>
      <c r="L690" s="28" t="inlineStr">
        <is>
          <t>WENN(wert=0;0;10+(wert-1)*grad)</t>
        </is>
      </c>
      <c r="P690" t="inlineStr">
        <is>
          <t>eig_bonus_g_sinneschaerfe</t>
        </is>
      </c>
      <c r="Q690"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691" hidden="1" ht="15.75" customHeight="1" s="48">
      <c r="A691" s="29" t="inlineStr">
        <is>
          <t>#spruchmagie_illusion_4_unsichtbarer_gegenstand</t>
        </is>
      </c>
      <c r="B691" s="11" t="inlineStr">
        <is>
          <t>Spruchmagie</t>
        </is>
      </c>
      <c r="C691" s="12" t="inlineStr">
        <is>
          <t>Unsichtbarer Gegenstand</t>
        </is>
      </c>
      <c r="F691" t="inlineStr">
        <is>
          <t>Illusion</t>
        </is>
      </c>
      <c r="G691" s="11" t="inlineStr">
        <is>
          <t>Wert</t>
        </is>
      </c>
      <c r="K691" t="n">
        <v>4</v>
      </c>
      <c r="L691" s="28" t="inlineStr">
        <is>
          <t>WENN(wert=0;0;10+(wert-1)*grad)</t>
        </is>
      </c>
      <c r="P691" t="inlineStr">
        <is>
          <t>eig_bonus_g_sinneschaerfe</t>
        </is>
      </c>
      <c r="Q691" t="inlineStr">
        <is>
          <t>Ein Gegenstand von maximal {M} l Volumen wird unsichtbar, kann allerdings mit Astralsicht wahrgenommen werden. Wird der Gegenstand bewegt, fällt der Zauber.</t>
        </is>
      </c>
    </row>
    <row r="692" hidden="1" ht="15.75" customHeight="1" s="48">
      <c r="A692" s="29" t="inlineStr">
        <is>
          <t>#spruchmagie_illusion_5_bewegte_illusion</t>
        </is>
      </c>
      <c r="B692" s="11" t="inlineStr">
        <is>
          <t>Spruchmagie</t>
        </is>
      </c>
      <c r="C692" s="12" t="inlineStr">
        <is>
          <t>Bewegte Illusion</t>
        </is>
      </c>
      <c r="F692" t="inlineStr">
        <is>
          <t>Illusion</t>
        </is>
      </c>
      <c r="G692" s="11" t="inlineStr">
        <is>
          <t>Wert</t>
        </is>
      </c>
      <c r="K692" t="n">
        <v>5</v>
      </c>
      <c r="L692" s="28" t="inlineStr">
        <is>
          <t>WENN(wert=0;0;10+(wert-1)*grad)</t>
        </is>
      </c>
      <c r="P692" t="inlineStr">
        <is>
          <t>eig_bonus_g_sinneschaerfe</t>
        </is>
      </c>
      <c r="Q692"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693" hidden="1" ht="15.75" customHeight="1" s="48">
      <c r="A693" s="29" t="inlineStr">
        <is>
          <t>#spruchmagie_illusion_5_chamaeleon</t>
        </is>
      </c>
      <c r="B693" s="11" t="inlineStr">
        <is>
          <t>Spruchmagie</t>
        </is>
      </c>
      <c r="C693" s="12" t="inlineStr">
        <is>
          <t>Chamäleon</t>
        </is>
      </c>
      <c r="F693" t="inlineStr">
        <is>
          <t>Illusion</t>
        </is>
      </c>
      <c r="G693" s="11" t="inlineStr">
        <is>
          <t>Wert</t>
        </is>
      </c>
      <c r="K693" t="n">
        <v>5</v>
      </c>
      <c r="L693" s="28" t="inlineStr">
        <is>
          <t>WENN(wert=0;0;10+(wert-1)*grad)</t>
        </is>
      </c>
      <c r="P693" t="inlineStr">
        <is>
          <t>eig_bonus_g_sinneschaerfe</t>
        </is>
      </c>
      <c r="Q693"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694" hidden="1" ht="15.75" customHeight="1" s="48">
      <c r="A694" s="29" t="inlineStr">
        <is>
          <t>#spruchmagie_illusion_5_vollsensorische_illusion</t>
        </is>
      </c>
      <c r="B694" s="11" t="inlineStr">
        <is>
          <t>Spruchmagie</t>
        </is>
      </c>
      <c r="C694" s="12" t="inlineStr">
        <is>
          <t>Vollsensorische Illusion</t>
        </is>
      </c>
      <c r="F694" t="inlineStr">
        <is>
          <t>Illusion</t>
        </is>
      </c>
      <c r="G694" s="11" t="inlineStr">
        <is>
          <t>Wert</t>
        </is>
      </c>
      <c r="K694" t="n">
        <v>5</v>
      </c>
      <c r="L694" s="28" t="inlineStr">
        <is>
          <t>WENN(wert=0;0;10+(wert-1)*grad)</t>
        </is>
      </c>
      <c r="P694" t="inlineStr">
        <is>
          <t>eig_bonus_g_sinneschaerfe</t>
        </is>
      </c>
      <c r="Q694"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695" hidden="1" ht="15.75" customHeight="1" s="48">
      <c r="A695" s="29" t="inlineStr">
        <is>
          <t>#spruchmagie_illusion_6_magischer_nebel</t>
        </is>
      </c>
      <c r="B695" s="11" t="inlineStr">
        <is>
          <t>Spruchmagie</t>
        </is>
      </c>
      <c r="C695" s="12" t="inlineStr">
        <is>
          <t>Magischer Nebel</t>
        </is>
      </c>
      <c r="F695" t="inlineStr">
        <is>
          <t>Illusion</t>
        </is>
      </c>
      <c r="G695" s="11" t="inlineStr">
        <is>
          <t>Wert</t>
        </is>
      </c>
      <c r="K695" t="n">
        <v>6</v>
      </c>
      <c r="L695" s="28" t="inlineStr">
        <is>
          <t>WENN(wert=0;0;10+(wert-1)*grad)</t>
        </is>
      </c>
      <c r="P695" t="inlineStr">
        <is>
          <t>eig_bonus_g_sinneschaerfe</t>
        </is>
      </c>
      <c r="Q695"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696" hidden="1" ht="15.75" customHeight="1" s="48">
      <c r="A696" s="29" t="inlineStr">
        <is>
          <t>#spruchmagie_illusion_6_unauffindbarkeit</t>
        </is>
      </c>
      <c r="B696" s="11" t="inlineStr">
        <is>
          <t>Spruchmagie</t>
        </is>
      </c>
      <c r="C696" s="12" t="inlineStr">
        <is>
          <t>Unauffindbarkeit</t>
        </is>
      </c>
      <c r="F696" t="inlineStr">
        <is>
          <t>Illusion</t>
        </is>
      </c>
      <c r="G696" s="11" t="inlineStr">
        <is>
          <t>Wert</t>
        </is>
      </c>
      <c r="K696" t="n">
        <v>6</v>
      </c>
      <c r="L696" s="28" t="inlineStr">
        <is>
          <t>WENN(wert=0;0;10+(wert-1)*grad)</t>
        </is>
      </c>
      <c r="P696" t="inlineStr">
        <is>
          <t>eig_bonus_g_sinneschaerfe</t>
        </is>
      </c>
      <c r="Q696"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697" hidden="1" ht="15.75" customHeight="1" s="48">
      <c r="A697" s="29" t="inlineStr">
        <is>
          <t>#spruchmagie_illusion_6_unsichtbarkeit</t>
        </is>
      </c>
      <c r="B697" s="11" t="inlineStr">
        <is>
          <t>Spruchmagie</t>
        </is>
      </c>
      <c r="C697" s="12" t="inlineStr">
        <is>
          <t>Unsichtbarkeit</t>
        </is>
      </c>
      <c r="F697" t="inlineStr">
        <is>
          <t>Illusion</t>
        </is>
      </c>
      <c r="G697" s="11" t="inlineStr">
        <is>
          <t>Wert</t>
        </is>
      </c>
      <c r="K697" t="n">
        <v>6</v>
      </c>
      <c r="L697" s="28" t="inlineStr">
        <is>
          <t>WENN(wert=0;0;10+(wert-1)*grad)</t>
        </is>
      </c>
      <c r="P697" t="inlineStr">
        <is>
          <t>eig_bonus_g_sinneschaerfe</t>
        </is>
      </c>
      <c r="Q697"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698" hidden="1" ht="15.75" customHeight="1" s="48">
      <c r="A698" s="29" t="inlineStr">
        <is>
          <t>#spruchmagie_illusion_7_bewegte_vollsensorische_illusion</t>
        </is>
      </c>
      <c r="B698" s="11" t="inlineStr">
        <is>
          <t>Spruchmagie</t>
        </is>
      </c>
      <c r="C698" s="12" t="inlineStr">
        <is>
          <t>Bewegte vollsensorische Illusion</t>
        </is>
      </c>
      <c r="F698" t="inlineStr">
        <is>
          <t>Illusion</t>
        </is>
      </c>
      <c r="G698" s="11" t="inlineStr">
        <is>
          <t>Wert</t>
        </is>
      </c>
      <c r="K698" t="n">
        <v>7</v>
      </c>
      <c r="L698" s="28" t="inlineStr">
        <is>
          <t>WENN(wert=0;0;10+(wert-1)*grad)</t>
        </is>
      </c>
      <c r="P698" t="inlineStr">
        <is>
          <t>eig_bonus_g_sinneschaerfe</t>
        </is>
      </c>
      <c r="Q698"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699" hidden="1" ht="15.75" customHeight="1" s="48">
      <c r="A699" s="29" t="inlineStr">
        <is>
          <t>#spruchmagie_luftbeschwoerung_1_sturmball</t>
        </is>
      </c>
      <c r="B699" s="11" t="inlineStr">
        <is>
          <t>Spruchmagie</t>
        </is>
      </c>
      <c r="C699" s="12" t="inlineStr">
        <is>
          <t>Sturmball</t>
        </is>
      </c>
      <c r="F699" t="inlineStr">
        <is>
          <t>Luftbeschwörung</t>
        </is>
      </c>
      <c r="G699" s="11" t="inlineStr">
        <is>
          <t>Wert</t>
        </is>
      </c>
      <c r="K699" t="n">
        <v>1</v>
      </c>
      <c r="L699" s="28" t="inlineStr">
        <is>
          <t>WENN(wert=0;0;10+(wert-1)*grad)</t>
        </is>
      </c>
      <c r="P699" t="inlineStr">
        <is>
          <t>eig_bonus_k_schnelligkeit</t>
        </is>
      </c>
      <c r="Q699" t="inlineStr">
        <is>
          <t>Der Magus erschafft einen Ball aus Luft. Das Opfer muss eine KB-Probeablegen, um nicht in der selben KR um so viele Meter zurückgeschleudert zu werden, wie der höchste Schadenswürfel anzeigt. Schaden: 2W4 + {Magie}, Erschwerung der KB-Probe: -TP -6.</t>
        </is>
      </c>
    </row>
    <row r="700" hidden="1" ht="15.75" customHeight="1" s="48">
      <c r="A700" s="29" t="inlineStr">
        <is>
          <t>#spruchmagie_luftbeschwoerung_1_sturmball_nr</t>
        </is>
      </c>
      <c r="B700" s="11" t="inlineStr">
        <is>
          <t>Spruchmagie</t>
        </is>
      </c>
      <c r="C700" s="12" t="inlineStr">
        <is>
          <t>Sturmball NR</t>
        </is>
      </c>
      <c r="F700" t="inlineStr">
        <is>
          <t>Luftbeschwörung</t>
        </is>
      </c>
      <c r="G700" s="11" t="inlineStr">
        <is>
          <t>Wert</t>
        </is>
      </c>
      <c r="K700" t="n">
        <v>1</v>
      </c>
      <c r="L700" s="28" t="inlineStr">
        <is>
          <t>WENN(wert=0;0;10+(wert-1)*grad)</t>
        </is>
      </c>
      <c r="P700" t="inlineStr">
        <is>
          <t>eig_bonus_k_schnelligkeit</t>
        </is>
      </c>
      <c r="Q700"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701" hidden="1" ht="15.75" customHeight="1" s="48">
      <c r="A701" s="29" t="inlineStr">
        <is>
          <t>#spruchmagie_luftbeschwoerung_1_sturmfaust</t>
        </is>
      </c>
      <c r="B701" s="11" t="inlineStr">
        <is>
          <t>Spruchmagie</t>
        </is>
      </c>
      <c r="C701" s="12" t="inlineStr">
        <is>
          <t>Sturmfaust</t>
        </is>
      </c>
      <c r="F701" t="inlineStr">
        <is>
          <t>Luftbeschwörung</t>
        </is>
      </c>
      <c r="G701" s="11" t="inlineStr">
        <is>
          <t>Wert</t>
        </is>
      </c>
      <c r="K701" t="n">
        <v>1</v>
      </c>
      <c r="L701" s="28" t="inlineStr">
        <is>
          <t>WENN(wert=0;0;10+(wert-1)*grad)</t>
        </is>
      </c>
      <c r="P701" t="inlineStr">
        <is>
          <t>eig_bonus_k_schnelligkeit</t>
        </is>
      </c>
      <c r="Q701"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702" hidden="1" ht="15.75" customHeight="1" s="48">
      <c r="A702" s="29" t="inlineStr">
        <is>
          <t>#spruchmagie_luftbeschwoerung_1_sturmfaust_nr</t>
        </is>
      </c>
      <c r="B702" s="11" t="inlineStr">
        <is>
          <t>Spruchmagie</t>
        </is>
      </c>
      <c r="C702" s="12" t="inlineStr">
        <is>
          <t>Sturmfaust NR</t>
        </is>
      </c>
      <c r="F702" t="inlineStr">
        <is>
          <t>Luftbeschwörung</t>
        </is>
      </c>
      <c r="G702" s="11" t="inlineStr">
        <is>
          <t>Wert</t>
        </is>
      </c>
      <c r="K702" t="n">
        <v>1</v>
      </c>
      <c r="L702" s="28" t="inlineStr">
        <is>
          <t>WENN(wert=0;0;10+(wert-1)*grad)</t>
        </is>
      </c>
      <c r="P702" t="inlineStr">
        <is>
          <t>eig_bonus_k_schnelligkeit</t>
        </is>
      </c>
      <c r="Q702" t="inlineStr">
        <is>
          <t xml:space="preserve">Die Fäuste des Magiers verursachen zusätzlichen Luft-Elementarschaden.   Schaden:   W8 + {Magie}  Ziel wird TP*m weggeschleudert; Ath-Probe erschwert um TP, sonst W8 Sturzschaden auf FK-TZ (W30). </t>
        </is>
      </c>
    </row>
    <row r="703" hidden="1" ht="15.75" customHeight="1" s="48">
      <c r="A703" s="29" t="inlineStr">
        <is>
          <t>#spruchmagie_luftbeschwoerung_2_sturmpfeil</t>
        </is>
      </c>
      <c r="B703" s="11" t="inlineStr">
        <is>
          <t>Spruchmagie</t>
        </is>
      </c>
      <c r="C703" s="12" t="inlineStr">
        <is>
          <t>Sturmpfeil</t>
        </is>
      </c>
      <c r="F703" t="inlineStr">
        <is>
          <t>Luftbeschwörung</t>
        </is>
      </c>
      <c r="G703" s="11" t="inlineStr">
        <is>
          <t>Wert</t>
        </is>
      </c>
      <c r="K703" t="n">
        <v>2</v>
      </c>
      <c r="L703" s="28" t="inlineStr">
        <is>
          <t>WENN(wert=0;0;10+(wert-1)*grad)</t>
        </is>
      </c>
      <c r="P703" t="inlineStr">
        <is>
          <t>eig_bonus_k_schnelligkeit</t>
        </is>
      </c>
      <c r="Q703"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704" hidden="1" ht="15.75" customHeight="1" s="48">
      <c r="A704" s="29" t="inlineStr">
        <is>
          <t>#spruchmagie_luftbeschwoerung_2_sturmpfeil_nr</t>
        </is>
      </c>
      <c r="B704" s="11" t="inlineStr">
        <is>
          <t>Spruchmagie</t>
        </is>
      </c>
      <c r="C704" s="12" t="inlineStr">
        <is>
          <t>Sturmpfeil NR</t>
        </is>
      </c>
      <c r="F704" t="inlineStr">
        <is>
          <t>Luftbeschwörung</t>
        </is>
      </c>
      <c r="G704" s="11" t="inlineStr">
        <is>
          <t>Wert</t>
        </is>
      </c>
      <c r="K704" t="n">
        <v>2</v>
      </c>
      <c r="L704" s="28" t="inlineStr">
        <is>
          <t>WENN(wert=0;0;10+(wert-1)*grad)</t>
        </is>
      </c>
      <c r="P704" t="inlineStr">
        <is>
          <t>eig_bonus_k_schnelligkeit</t>
        </is>
      </c>
      <c r="Q704"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705" hidden="1" ht="15.75" customHeight="1" s="48">
      <c r="A705" s="29" t="inlineStr">
        <is>
          <t>#spruchmagie_luftbeschwoerung_3_grosse_sturmfaust</t>
        </is>
      </c>
      <c r="B705" s="11" t="inlineStr">
        <is>
          <t>Spruchmagie</t>
        </is>
      </c>
      <c r="C705" s="12" t="inlineStr">
        <is>
          <t>Große Sturmfaust</t>
        </is>
      </c>
      <c r="F705" t="inlineStr">
        <is>
          <t>Luftbeschwörung</t>
        </is>
      </c>
      <c r="G705" s="11" t="inlineStr">
        <is>
          <t>Wert</t>
        </is>
      </c>
      <c r="H705" s="29" t="n"/>
      <c r="I705" s="29" t="n"/>
      <c r="K705" t="n">
        <v>3</v>
      </c>
      <c r="L705" s="28" t="inlineStr">
        <is>
          <t>WENN(wert=0;0;10+(wert-1)*grad)</t>
        </is>
      </c>
      <c r="P705" t="inlineStr">
        <is>
          <t>eig_bonus_k_schnelligkeit</t>
        </is>
      </c>
      <c r="Q70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706" hidden="1" ht="15.75" customHeight="1" s="48">
      <c r="A706" s="29" t="inlineStr">
        <is>
          <t>#spruchmagie_luftbeschwoerung_3_grosse_sturmfaust_nr</t>
        </is>
      </c>
      <c r="B706" s="11" t="inlineStr">
        <is>
          <t>Spruchmagie</t>
        </is>
      </c>
      <c r="C706" s="12" t="inlineStr">
        <is>
          <t>Große Sturmfaust NR</t>
        </is>
      </c>
      <c r="F706" t="inlineStr">
        <is>
          <t>Luftbeschwörung</t>
        </is>
      </c>
      <c r="G706" s="11" t="inlineStr">
        <is>
          <t>Wert</t>
        </is>
      </c>
      <c r="K706" t="n">
        <v>3</v>
      </c>
      <c r="L706" s="28" t="inlineStr">
        <is>
          <t>WENN(wert=0;0;10+(wert-1)*grad)</t>
        </is>
      </c>
      <c r="P706" t="inlineStr">
        <is>
          <t>eig_bonus_k_schnelligkeit</t>
        </is>
      </c>
      <c r="Q706" t="inlineStr">
        <is>
          <t>Die Fäuste des Magiers verursachen zusätzlichen Luft-Elementarschaden von   2W12+{Magie}  Ziel wird TP*m weggeschleudert; Ath-Probe erschwert um TP, sonst W8 Sturzschaden auf FK-TZ (W30).</t>
        </is>
      </c>
    </row>
    <row r="707" hidden="1" ht="15.75" customHeight="1" s="48">
      <c r="A707" s="29" t="inlineStr">
        <is>
          <t>#spruchmagie_luftbeschwoerung_4_grosser_sturmball</t>
        </is>
      </c>
      <c r="B707" s="11" t="inlineStr">
        <is>
          <t>Spruchmagie</t>
        </is>
      </c>
      <c r="C707" s="12" t="inlineStr">
        <is>
          <t>Großer Sturmball</t>
        </is>
      </c>
      <c r="F707" t="inlineStr">
        <is>
          <t>Luftbeschwörung</t>
        </is>
      </c>
      <c r="G707" s="11" t="inlineStr">
        <is>
          <t>Wert</t>
        </is>
      </c>
      <c r="K707" t="n">
        <v>4</v>
      </c>
      <c r="L707" s="28" t="inlineStr">
        <is>
          <t>WENN(wert=0;0;10+(wert-1)*grad)</t>
        </is>
      </c>
      <c r="P707" t="inlineStr">
        <is>
          <t>eig_bonus_k_schnelligkeit</t>
        </is>
      </c>
      <c r="Q707" t="inlineStr">
        <is>
          <t>Der Magus erschafft einen Ball aus Luft. Das Opfer muss eine KB-Probeablegen, um nicht in der selben KR um so viele Meter zurückgeschleudert zu werden, wie der Schadenswürfel anzeigt. Schaden: W12 + {Magie} auf jede TZ, Erschwerung der KB-Probe: -TP -35.</t>
        </is>
      </c>
    </row>
    <row r="708" hidden="1" ht="15.75" customHeight="1" s="48">
      <c r="A708" s="29" t="inlineStr">
        <is>
          <t>#spruchmagie_luftbeschwoerung_4_grosser_sturmball_nr</t>
        </is>
      </c>
      <c r="B708" s="11" t="inlineStr">
        <is>
          <t>Spruchmagie</t>
        </is>
      </c>
      <c r="C708" s="12" t="inlineStr">
        <is>
          <t>Großer Sturmball NR</t>
        </is>
      </c>
      <c r="F708" t="inlineStr">
        <is>
          <t>Luftbeschwörung</t>
        </is>
      </c>
      <c r="G708" s="11" t="inlineStr">
        <is>
          <t>Wert</t>
        </is>
      </c>
      <c r="K708" t="n">
        <v>4</v>
      </c>
      <c r="L708" s="28" t="inlineStr">
        <is>
          <t>WENN(wert=0;0;10+(wert-1)*grad)</t>
        </is>
      </c>
      <c r="P708" t="inlineStr">
        <is>
          <t>eig_bonus_k_schnelligkeit</t>
        </is>
      </c>
      <c r="Q708"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709" hidden="1" ht="15.75" customHeight="1" s="48">
      <c r="A709" s="29" t="inlineStr">
        <is>
          <t>#spruchmagie_magiebeschwoerung_1_magische_faust</t>
        </is>
      </c>
      <c r="B709" s="11" t="inlineStr">
        <is>
          <t>Spruchmagie</t>
        </is>
      </c>
      <c r="C709" s="12" t="inlineStr">
        <is>
          <t>Magische Faust</t>
        </is>
      </c>
      <c r="F709" t="inlineStr">
        <is>
          <t>Magiebeschwörung</t>
        </is>
      </c>
      <c r="G709" s="11" t="inlineStr">
        <is>
          <t>Wert</t>
        </is>
      </c>
      <c r="K709" t="n">
        <v>1</v>
      </c>
      <c r="L709" s="28" t="inlineStr">
        <is>
          <t>WENN(wert=0;0;10+(wert-1)*grad)</t>
        </is>
      </c>
      <c r="P709" t="inlineStr">
        <is>
          <t>eig_bonus_g_ausstrahlung</t>
        </is>
      </c>
      <c r="Q709" t="inlineStr">
        <is>
          <t>Die Fäuste des Magiers verursachen zusätzlichen Elementarschaden. Schaden: W8 + {Magie}, zusätzliche Erschwerung der SB-Probe -3, wenn min. 1 SP erzielt wird.</t>
        </is>
      </c>
    </row>
    <row r="710" hidden="1" ht="15.75" customHeight="1" s="48">
      <c r="A710" s="29" t="inlineStr">
        <is>
          <t>#spruchmagie_magiebeschwoerung_1_magische_faust_nr</t>
        </is>
      </c>
      <c r="B710" s="11" t="inlineStr">
        <is>
          <t>Spruchmagie</t>
        </is>
      </c>
      <c r="C710" s="12" t="inlineStr">
        <is>
          <t>Magische Faust NR</t>
        </is>
      </c>
      <c r="F710" t="inlineStr">
        <is>
          <t>Magiebeschwörung</t>
        </is>
      </c>
      <c r="G710" s="11" t="inlineStr">
        <is>
          <t>Wert</t>
        </is>
      </c>
      <c r="K710" t="n">
        <v>1</v>
      </c>
      <c r="L710" s="28" t="inlineStr">
        <is>
          <t>WENN(wert=0;0;10+(wert-1)*grad)</t>
        </is>
      </c>
      <c r="P710" t="inlineStr">
        <is>
          <t>eig_bonus_g_ausstrahlung</t>
        </is>
      </c>
      <c r="Q710" t="inlineStr">
        <is>
          <t>Die Fäuste des Magiers verursachen zusätzlichen {Magie}-Elementarschaden.   Schaden:   W10 + {Magie},  SB-Proben um 5 erschwert.</t>
        </is>
      </c>
    </row>
    <row r="711" hidden="1" ht="15.75" customHeight="1" s="48">
      <c r="A711" s="29" t="inlineStr">
        <is>
          <t>#spruchmagie_magiebeschwoerung_1_magischer_ball</t>
        </is>
      </c>
      <c r="B711" s="11" t="inlineStr">
        <is>
          <t>Spruchmagie</t>
        </is>
      </c>
      <c r="C711" s="12" t="inlineStr">
        <is>
          <t>Magischer Ball</t>
        </is>
      </c>
      <c r="F711" t="inlineStr">
        <is>
          <t>Magiebeschwörung</t>
        </is>
      </c>
      <c r="G711" s="11" t="inlineStr">
        <is>
          <t>Wert</t>
        </is>
      </c>
      <c r="K711" t="n">
        <v>1</v>
      </c>
      <c r="L711" s="28" t="inlineStr">
        <is>
          <t>WENN(wert=0;0;10+(wert-1)*grad)</t>
        </is>
      </c>
      <c r="P711" t="inlineStr">
        <is>
          <t>eig_bonus_g_ausstrahlung</t>
        </is>
      </c>
      <c r="Q711" t="inlineStr">
        <is>
          <t>Der Magus erschafft einen Ball aus Magie. Schaden: 2W4 + {Magie}, zusätzliche Erschwerung der SB-Probe -6, wenn min. 1 SP erzielt wird.</t>
        </is>
      </c>
    </row>
    <row r="712" hidden="1" ht="15.75" customHeight="1" s="48">
      <c r="A712" s="29" t="inlineStr">
        <is>
          <t>#spruchmagie_magiebeschwoerung_1_magischer_ball_nr</t>
        </is>
      </c>
      <c r="B712" s="11" t="inlineStr">
        <is>
          <t>Spruchmagie</t>
        </is>
      </c>
      <c r="C712" s="12" t="inlineStr">
        <is>
          <t>Magischer Ball NR</t>
        </is>
      </c>
      <c r="F712" t="inlineStr">
        <is>
          <t>Magiebeschwörung</t>
        </is>
      </c>
      <c r="G712" s="11" t="inlineStr">
        <is>
          <t>Wert</t>
        </is>
      </c>
      <c r="K712" t="n">
        <v>1</v>
      </c>
      <c r="L712" s="28" t="inlineStr">
        <is>
          <t>WENN(wert=0;0;10+(wert-1)*grad)</t>
        </is>
      </c>
      <c r="P712" t="inlineStr">
        <is>
          <t>eig_bonus_g_ausstrahlung</t>
        </is>
      </c>
      <c r="Q712"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713" hidden="1" ht="15.75" customHeight="1" s="48">
      <c r="A713" s="29" t="inlineStr">
        <is>
          <t>#spruchmagie_magiebeschwoerung_2_magisches_geschoss</t>
        </is>
      </c>
      <c r="B713" s="11" t="inlineStr">
        <is>
          <t>Spruchmagie</t>
        </is>
      </c>
      <c r="C713" s="12" t="inlineStr">
        <is>
          <t>Magisches Geschoss</t>
        </is>
      </c>
      <c r="F713" t="inlineStr">
        <is>
          <t>Magiebeschwörung</t>
        </is>
      </c>
      <c r="G713" s="11" t="inlineStr">
        <is>
          <t>Wert</t>
        </is>
      </c>
      <c r="K713" t="n">
        <v>2</v>
      </c>
      <c r="L713" s="28" t="inlineStr">
        <is>
          <t>WENN(wert=0;0;10+(wert-1)*grad)</t>
        </is>
      </c>
      <c r="P713" t="inlineStr">
        <is>
          <t>eig_bonus_g_ausstrahlung</t>
        </is>
      </c>
      <c r="Q713" t="inlineStr">
        <is>
          <t>Der Magus erschafft einen Bolzen aus Magie. Treffer auf FK-TZ. Schaden: 2W6 + {Magie}, RB {Magie}*2, zusätzliche Erschwerung der SB-Probe -6, wenn min. 1 SP erzielt wird.</t>
        </is>
      </c>
    </row>
    <row r="714" hidden="1" ht="15.75" customHeight="1" s="48">
      <c r="A714" s="29" t="inlineStr">
        <is>
          <t>#spruchmagie_magiebeschwoerung_2_magisches_geschoss_nr</t>
        </is>
      </c>
      <c r="B714" s="11" t="inlineStr">
        <is>
          <t>Spruchmagie</t>
        </is>
      </c>
      <c r="C714" s="12" t="inlineStr">
        <is>
          <t>Magisches Geschoss NR</t>
        </is>
      </c>
      <c r="F714" t="inlineStr">
        <is>
          <t>Magiebeschwörung</t>
        </is>
      </c>
      <c r="G714" s="11" t="inlineStr">
        <is>
          <t>Wert</t>
        </is>
      </c>
      <c r="H714" s="29" t="n"/>
      <c r="I714" s="29" t="n"/>
      <c r="K714" t="n">
        <v>2</v>
      </c>
      <c r="L714" s="28" t="inlineStr">
        <is>
          <t>WENN(wert=0;0;10+(wert-1)*grad)</t>
        </is>
      </c>
      <c r="P714" t="inlineStr">
        <is>
          <t>eig_bonus_g_ausstrahlung</t>
        </is>
      </c>
      <c r="Q714" t="inlineStr">
        <is>
          <t>Der Magus erschafft einen Bolzen aus Magie. Bis {M}m Glücks-Probe, bis {M}*2m AW:2, danach AW, um dem Schaden zu entgehen. Fluggeschwindigkeit ist {M}m/s. Treffer auf FK (W30). Schaden: 2W8 + {Magie}; RB: {Magie}*2 SB-Proben um 4 erschwert.</t>
        </is>
      </c>
    </row>
    <row r="715" hidden="1" ht="15.75" customHeight="1" s="48">
      <c r="A715" s="29" t="inlineStr">
        <is>
          <t>#spruchmagie_magiebeschwoerung_3_grosse_magische_faust</t>
        </is>
      </c>
      <c r="B715" s="11" t="inlineStr">
        <is>
          <t>Spruchmagie</t>
        </is>
      </c>
      <c r="C715" s="12" t="inlineStr">
        <is>
          <t>Große Magische Faust</t>
        </is>
      </c>
      <c r="F715" t="inlineStr">
        <is>
          <t>Magiebeschwörung</t>
        </is>
      </c>
      <c r="G715" s="11" t="inlineStr">
        <is>
          <t>Wert</t>
        </is>
      </c>
      <c r="K715" t="n">
        <v>3</v>
      </c>
      <c r="L715" s="28" t="inlineStr">
        <is>
          <t>WENN(wert=0;0;10+(wert-1)*grad)</t>
        </is>
      </c>
      <c r="P715" t="inlineStr">
        <is>
          <t>eig_bonus_g_ausstrahlung</t>
        </is>
      </c>
      <c r="Q715" t="inlineStr">
        <is>
          <t>Die Fäuste des Magiers verursachen zusätzlichen Elementarschaden von   2W12+{Magie}, zusätzliche Erschwerung der SB-Probe -9, wenn min. 1 SP erzielt wird.</t>
        </is>
      </c>
    </row>
    <row r="716" hidden="1" ht="15.75" customHeight="1" s="48">
      <c r="A716" s="29" t="inlineStr">
        <is>
          <t>#spruchmagie_magiebeschwoerung_3_grosse_magische_faust_nr</t>
        </is>
      </c>
      <c r="B716" s="11" t="inlineStr">
        <is>
          <t>Spruchmagie</t>
        </is>
      </c>
      <c r="C716" s="12" t="inlineStr">
        <is>
          <t>Große Magische Faust NR</t>
        </is>
      </c>
      <c r="F716" t="inlineStr">
        <is>
          <t>Magiebeschwörung</t>
        </is>
      </c>
      <c r="G716" s="11" t="inlineStr">
        <is>
          <t>Wert</t>
        </is>
      </c>
      <c r="K716" t="n">
        <v>3</v>
      </c>
      <c r="L716" s="28" t="inlineStr">
        <is>
          <t>WENN(wert=0;0;10+(wert-1)*grad)</t>
        </is>
      </c>
      <c r="P716" t="inlineStr">
        <is>
          <t>eig_bonus_g_ausstrahlung</t>
        </is>
      </c>
      <c r="Q716" t="inlineStr">
        <is>
          <t xml:space="preserve">Die Fäuste des Magiers verursachen zusätzlichen Elementarschaden von   2W15+{Magie}, SB-Proben um 12 erschwert.  </t>
        </is>
      </c>
    </row>
    <row r="717" hidden="1" ht="15.75" customHeight="1" s="48">
      <c r="A717" s="29" t="inlineStr">
        <is>
          <t>#spruchmagie_magiebeschwoerung_4_grosser_magischer_ball</t>
        </is>
      </c>
      <c r="B717" s="11" t="inlineStr">
        <is>
          <t>Spruchmagie</t>
        </is>
      </c>
      <c r="C717" s="12" t="inlineStr">
        <is>
          <t>Großer Magischer Ball</t>
        </is>
      </c>
      <c r="F717" t="inlineStr">
        <is>
          <t>Magiebeschwörung</t>
        </is>
      </c>
      <c r="G717" s="11" t="inlineStr">
        <is>
          <t>Wert</t>
        </is>
      </c>
      <c r="K717" t="n">
        <v>4</v>
      </c>
      <c r="L717" s="28" t="inlineStr">
        <is>
          <t>WENN(wert=0;0;10+(wert-1)*grad)</t>
        </is>
      </c>
      <c r="P717" t="inlineStr">
        <is>
          <t>eig_bonus_g_ausstrahlung</t>
        </is>
      </c>
      <c r="Q717" t="inlineStr">
        <is>
          <t>Der Magus erschafft einen Ball aus Magie. Schaden: W12 + {Magie} auf jede TZ, zusätzliche Erschwerung der SB-Probe -35, wenn min. 1 SP erzielt wird.</t>
        </is>
      </c>
    </row>
    <row r="718" hidden="1" ht="15.75" customHeight="1" s="48">
      <c r="A718" s="29" t="inlineStr">
        <is>
          <t>#spruchmagie_magiebeschwoerung_4_grosser_magischer_ball_nr</t>
        </is>
      </c>
      <c r="B718" s="11" t="inlineStr">
        <is>
          <t>Spruchmagie</t>
        </is>
      </c>
      <c r="C718" s="12" t="inlineStr">
        <is>
          <t>Großer Magischer Ball NR</t>
        </is>
      </c>
      <c r="F718" t="inlineStr">
        <is>
          <t>Magiebeschwörung</t>
        </is>
      </c>
      <c r="G718" s="11" t="inlineStr">
        <is>
          <t>Wert</t>
        </is>
      </c>
      <c r="K718" t="n">
        <v>4</v>
      </c>
      <c r="L718" s="28" t="inlineStr">
        <is>
          <t>WENN(wert=0;0;10+(wert-1)*grad)</t>
        </is>
      </c>
      <c r="P718" t="inlineStr">
        <is>
          <t>eig_bonus_g_ausstrahlung</t>
        </is>
      </c>
      <c r="Q718" t="inlineStr">
        <is>
          <t xml:space="preserve">Der Magus erschafft einen Ball aus Magie.  Bis {M}:2 m Glücks-Probe, ab {M}:2 m Ausweichen-Probe, um dem Schaden zu entgehen. Fluggeschwindigkeit ist {M}:2 m/s.  Schaden: W15 + {Magie}*2 auf jede Trefferzone,  SB-Proben um 42 erschwert.  </t>
        </is>
      </c>
    </row>
    <row r="719" hidden="1" ht="15.75" customHeight="1" s="48">
      <c r="A719" s="29" t="inlineStr">
        <is>
          <t>#spruchmagie_veraenderung_1_in_nahrung_verwandeln</t>
        </is>
      </c>
      <c r="B719" s="11" t="inlineStr">
        <is>
          <t>Spruchmagie</t>
        </is>
      </c>
      <c r="C719" s="7" t="inlineStr">
        <is>
          <t>In Nahrung verwandeln</t>
        </is>
      </c>
      <c r="E719" s="10" t="n"/>
      <c r="F719" s="10" t="inlineStr">
        <is>
          <t>Veränderung</t>
        </is>
      </c>
      <c r="G719" s="11" t="inlineStr">
        <is>
          <t>Wert</t>
        </is>
      </c>
      <c r="K719" t="n">
        <v>1</v>
      </c>
      <c r="L719" s="28" t="inlineStr">
        <is>
          <t>WENN(wert=0;0;10+(wert-1)*grad)</t>
        </is>
      </c>
      <c r="P719" t="inlineStr">
        <is>
          <t>eig_bonus_g_intelligenz</t>
        </is>
      </c>
      <c r="Q719" t="inlineStr">
        <is>
          <t>Der Magier verwandelt max. {Magie} kg beliebige un´magische Materie in Nahrung. Diese Nahrung ist nahezu geschmacklos, deckt aber alle Bedürfnisse des Organismus ab. Es ist möglich, sich ausschließlich von magischer Nahrung zu ernähren.</t>
        </is>
      </c>
    </row>
    <row r="720" hidden="1" ht="15.75" customHeight="1" s="48">
      <c r="A720" s="29" t="inlineStr">
        <is>
          <t>#spruchmagie_veraenderung_1_magisches_makeover</t>
        </is>
      </c>
      <c r="B720" s="11" t="inlineStr">
        <is>
          <t>Spruchmagie</t>
        </is>
      </c>
      <c r="C720" s="7" t="inlineStr">
        <is>
          <t>Magisches Makeover</t>
        </is>
      </c>
      <c r="E720" s="10" t="n"/>
      <c r="F720" s="10" t="inlineStr">
        <is>
          <t>Veränderung</t>
        </is>
      </c>
      <c r="G720" s="11" t="inlineStr">
        <is>
          <t>Wert</t>
        </is>
      </c>
      <c r="K720" t="n">
        <v>1</v>
      </c>
      <c r="L720" s="28" t="inlineStr">
        <is>
          <t>WENN(wert=0;0;10+(wert-1)*grad)</t>
        </is>
      </c>
      <c r="P720" t="inlineStr">
        <is>
          <t>eig_bonus_g_ausstrahlung</t>
        </is>
      </c>
      <c r="Q720"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721" hidden="1" ht="15.75" customHeight="1" s="48">
      <c r="A721" s="29" t="inlineStr">
        <is>
          <t>#spruchmagie_veraenderung_1_wasserwandeln</t>
        </is>
      </c>
      <c r="B721" s="11" t="inlineStr">
        <is>
          <t>Spruchmagie</t>
        </is>
      </c>
      <c r="C721" s="7" t="inlineStr">
        <is>
          <t>Wasserwandeln</t>
        </is>
      </c>
      <c r="E721" s="10" t="n"/>
      <c r="F721" s="10" t="inlineStr">
        <is>
          <t>Veränderung</t>
        </is>
      </c>
      <c r="G721" s="11" t="inlineStr">
        <is>
          <t>Wert</t>
        </is>
      </c>
      <c r="K721" t="n">
        <v>1</v>
      </c>
      <c r="L721" s="28" t="inlineStr">
        <is>
          <t>WENN(wert=0;0;10+(wert-1)*grad)</t>
        </is>
      </c>
      <c r="P721" t="inlineStr">
        <is>
          <t>eig_bonus_k_athletik</t>
        </is>
      </c>
      <c r="Q721"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722" hidden="1" ht="15.75" customHeight="1" s="48">
      <c r="A722" s="29" t="inlineStr">
        <is>
          <t>#spruchmagie_veraenderung_2_blankwaffe_erschaffen</t>
        </is>
      </c>
      <c r="B722" s="11" t="inlineStr">
        <is>
          <t>Spruchmagie</t>
        </is>
      </c>
      <c r="C722" s="7" t="inlineStr">
        <is>
          <t>Blankwaffe erschaffen</t>
        </is>
      </c>
      <c r="E722" s="10" t="n"/>
      <c r="F722" s="10" t="inlineStr">
        <is>
          <t>Veränderung</t>
        </is>
      </c>
      <c r="G722" s="11" t="inlineStr">
        <is>
          <t>Wert</t>
        </is>
      </c>
      <c r="K722" t="n">
        <v>2</v>
      </c>
      <c r="L722" s="28" t="inlineStr">
        <is>
          <t>WENN(wert=0;0;10+(wert-1)*grad)</t>
        </is>
      </c>
      <c r="P722" t="inlineStr">
        <is>
          <t>eig_bonus_k_staerke</t>
        </is>
      </c>
      <c r="Q722"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723" hidden="1" ht="15.75" customHeight="1" s="48">
      <c r="A723" s="29" t="inlineStr">
        <is>
          <t>#spruchmagie_veraenderung_2_material_erweichen</t>
        </is>
      </c>
      <c r="B723" s="11" t="inlineStr">
        <is>
          <t>Spruchmagie</t>
        </is>
      </c>
      <c r="C723" s="18" t="inlineStr">
        <is>
          <t>Material erweichen</t>
        </is>
      </c>
      <c r="F723" t="inlineStr">
        <is>
          <t>Veränderung</t>
        </is>
      </c>
      <c r="G723" s="11" t="inlineStr">
        <is>
          <t>Wert</t>
        </is>
      </c>
      <c r="K723" t="n">
        <v>2</v>
      </c>
      <c r="L723" s="28" t="inlineStr">
        <is>
          <t>WENN(wert=0;0;10+(wert-1)*grad)</t>
        </is>
      </c>
      <c r="P723" t="inlineStr">
        <is>
          <t>eig_bonus_k_geschicklichkeit</t>
        </is>
      </c>
      <c r="Q723" t="inlineStr">
        <is>
          <t>Ein beliebiger Gegenstand von max. {M} l wird formbar wie Wachs. Nach Ablauf der Wirkungsdauer behält der Gegenstand seine Form.</t>
        </is>
      </c>
    </row>
    <row r="724" hidden="1" ht="15.75" customHeight="1" s="48">
      <c r="A724" s="29" t="inlineStr">
        <is>
          <t>#spruchmagie_veraenderung_2_material_schwaechen</t>
        </is>
      </c>
      <c r="B724" s="11" t="inlineStr">
        <is>
          <t>Spruchmagie</t>
        </is>
      </c>
      <c r="C724" s="18" t="inlineStr">
        <is>
          <t>Material schwächen</t>
        </is>
      </c>
      <c r="E724" s="14" t="n"/>
      <c r="F724" s="14" t="inlineStr">
        <is>
          <t>Veränderung</t>
        </is>
      </c>
      <c r="G724" s="11" t="inlineStr">
        <is>
          <t>Wert</t>
        </is>
      </c>
      <c r="K724" t="n">
        <v>2</v>
      </c>
      <c r="L724" s="28" t="inlineStr">
        <is>
          <t>WENN(wert=0;0;10+(wert-1)*grad)</t>
        </is>
      </c>
      <c r="P724" t="inlineStr">
        <is>
          <t>eig_bonus_k_staerke</t>
        </is>
      </c>
      <c r="Q724"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725" hidden="1" ht="15.75" customHeight="1" s="48">
      <c r="A725" s="29" t="inlineStr">
        <is>
          <t>#spruchmagie_veraenderung_2_mechanik_schmieren</t>
        </is>
      </c>
      <c r="B725" s="11" t="inlineStr">
        <is>
          <t>Spruchmagie</t>
        </is>
      </c>
      <c r="C725" s="18" t="inlineStr">
        <is>
          <t>Mechanik schmieren</t>
        </is>
      </c>
      <c r="E725" s="14" t="n"/>
      <c r="F725" s="14" t="inlineStr">
        <is>
          <t>Veränderung</t>
        </is>
      </c>
      <c r="G725" s="11" t="inlineStr">
        <is>
          <t>Wert</t>
        </is>
      </c>
      <c r="K725" t="n">
        <v>2</v>
      </c>
      <c r="L725" s="28" t="inlineStr">
        <is>
          <t>WENN(wert=0;0;10+(wert-1)*grad)</t>
        </is>
      </c>
      <c r="P725" t="inlineStr">
        <is>
          <t>eig_bonus_k_geschicklichkeit</t>
        </is>
      </c>
      <c r="Q725"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726" hidden="1" ht="15.75" customHeight="1" s="48">
      <c r="A726" s="29" t="inlineStr">
        <is>
          <t>#spruchmagie_veraenderung_3_gegenstand_fixieren</t>
        </is>
      </c>
      <c r="B726" s="11" t="inlineStr">
        <is>
          <t>Spruchmagie</t>
        </is>
      </c>
      <c r="C726" s="18" t="inlineStr">
        <is>
          <t>Gegenstand fixieren</t>
        </is>
      </c>
      <c r="E726" s="14" t="n"/>
      <c r="F726" s="14" t="inlineStr">
        <is>
          <t>Veränderung</t>
        </is>
      </c>
      <c r="G726" s="11" t="inlineStr">
        <is>
          <t>Wert</t>
        </is>
      </c>
      <c r="K726" t="n">
        <v>3</v>
      </c>
      <c r="L726" s="28" t="inlineStr">
        <is>
          <t>WENN(wert=0;0;10+(wert-1)*grad)</t>
        </is>
      </c>
      <c r="P726" t="inlineStr">
        <is>
          <t>eig_bonus_k_staerke</t>
        </is>
      </c>
      <c r="Q726"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727" hidden="1" ht="15.75" customHeight="1" s="48">
      <c r="A727" s="29" t="inlineStr">
        <is>
          <t>#spruchmagie_veraenderung_3_in_pflanze_verwandeln</t>
        </is>
      </c>
      <c r="B727" s="11" t="inlineStr">
        <is>
          <t>Spruchmagie</t>
        </is>
      </c>
      <c r="C727" s="18" t="inlineStr">
        <is>
          <t>In Pflanze verwandeln</t>
        </is>
      </c>
      <c r="E727" s="14" t="n"/>
      <c r="F727" s="14" t="inlineStr">
        <is>
          <t>Veränderung</t>
        </is>
      </c>
      <c r="G727" s="11" t="inlineStr">
        <is>
          <t>Wert</t>
        </is>
      </c>
      <c r="K727" t="n">
        <v>3</v>
      </c>
      <c r="L727" s="28" t="inlineStr">
        <is>
          <t>WENN(wert=0;0;10+(wert-1)*grad)</t>
        </is>
      </c>
      <c r="P727" t="inlineStr">
        <is>
          <t>eig_bonus_k_konstitution</t>
        </is>
      </c>
      <c r="Q727"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728" hidden="1" ht="15.75" customHeight="1" s="48">
      <c r="A728" s="29" t="inlineStr">
        <is>
          <t>#spruchmagie_veraenderung_3_material_verhaerten</t>
        </is>
      </c>
      <c r="B728" s="11" t="inlineStr">
        <is>
          <t>Spruchmagie</t>
        </is>
      </c>
      <c r="C728" s="18" t="inlineStr">
        <is>
          <t>Material verhärten</t>
        </is>
      </c>
      <c r="E728" s="14" t="n"/>
      <c r="F728" s="14" t="inlineStr">
        <is>
          <t>Veränderung</t>
        </is>
      </c>
      <c r="G728" s="11" t="inlineStr">
        <is>
          <t>Wert</t>
        </is>
      </c>
      <c r="K728" t="n">
        <v>3</v>
      </c>
      <c r="L728" s="28" t="inlineStr">
        <is>
          <t>WENN(wert=0;0;10+(wert-1)*grad)</t>
        </is>
      </c>
      <c r="P728" t="inlineStr">
        <is>
          <t>eig_bonus_k_konstitution</t>
        </is>
      </c>
      <c r="Q728" t="inlineStr">
        <is>
          <t>Eine beliebiges Material von maximal {M} l wird für {M} sec verhärtet. Flüssigkeiten verhalten sich wie Feststoffe. Es ist möglich, einen Würfel Wasser aus dem Meer zu nehmen.</t>
        </is>
      </c>
    </row>
    <row r="729" hidden="1" ht="15.75" customHeight="1" s="48">
      <c r="A729" s="29" t="inlineStr">
        <is>
          <t>#spruchmagie_veraenderung_3_material_verstaerken</t>
        </is>
      </c>
      <c r="B729" s="11" t="inlineStr">
        <is>
          <t>Spruchmagie</t>
        </is>
      </c>
      <c r="C729" s="18" t="inlineStr">
        <is>
          <t>Material verstärken</t>
        </is>
      </c>
      <c r="E729" s="14" t="n"/>
      <c r="F729" s="14" t="inlineStr">
        <is>
          <t>Veränderung</t>
        </is>
      </c>
      <c r="G729" s="11" t="inlineStr">
        <is>
          <t>Wert</t>
        </is>
      </c>
      <c r="K729" t="n">
        <v>3</v>
      </c>
      <c r="L729" s="28" t="inlineStr">
        <is>
          <t>WENN(wert=0;0;10+(wert-1)*grad)</t>
        </is>
      </c>
      <c r="P729" t="inlineStr">
        <is>
          <t>eig_bonus_k_konstitution</t>
        </is>
      </c>
      <c r="Q729" t="inlineStr">
        <is>
          <t>Ein beliebiger Gegenstand von maximal {M} l wird für {M} min stark in seiner Struktur gestärkt. Der nötige Kraftaufwand ssteigt um {M} * 2.Klingenschutz und Klingenbrecher erhöhen sich um {M} : 3.</t>
        </is>
      </c>
    </row>
    <row r="730" hidden="1" ht="15.75" customHeight="1" s="48">
      <c r="A730" s="29" t="inlineStr">
        <is>
          <t>#spruchmagie_veraenderung_3_temperatur_veraendern</t>
        </is>
      </c>
      <c r="B730" s="11" t="inlineStr">
        <is>
          <t>Spruchmagie</t>
        </is>
      </c>
      <c r="C730" s="18" t="inlineStr">
        <is>
          <t>Temperatur verändern</t>
        </is>
      </c>
      <c r="E730" s="14" t="n"/>
      <c r="F730" s="14" t="inlineStr">
        <is>
          <t>Veränderung</t>
        </is>
      </c>
      <c r="G730" s="11" t="inlineStr">
        <is>
          <t>Wert</t>
        </is>
      </c>
      <c r="K730" t="n">
        <v>3</v>
      </c>
      <c r="L730" s="28" t="inlineStr">
        <is>
          <t>WENN(wert=0;0;10+(wert-1)*grad)</t>
        </is>
      </c>
      <c r="P730" t="inlineStr">
        <is>
          <t>eig_bonus_g_willenskraft</t>
        </is>
      </c>
      <c r="Q730"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731" hidden="1" ht="15.75" customHeight="1" s="48">
      <c r="A731" s="29" t="inlineStr">
        <is>
          <t>#spruchmagie_veraenderung_4_gift_neutralisieren</t>
        </is>
      </c>
      <c r="B731" s="11" t="inlineStr">
        <is>
          <t>Spruchmagie</t>
        </is>
      </c>
      <c r="C731" s="18" t="inlineStr">
        <is>
          <t>Gift neutralisieren</t>
        </is>
      </c>
      <c r="E731" s="14" t="n"/>
      <c r="F731" s="14" t="inlineStr">
        <is>
          <t>Veränderung</t>
        </is>
      </c>
      <c r="G731" s="11" t="inlineStr">
        <is>
          <t>Wert</t>
        </is>
      </c>
      <c r="K731" t="n">
        <v>4</v>
      </c>
      <c r="L731" s="28" t="inlineStr">
        <is>
          <t>WENN(wert=0;0;10+(wert-1)*grad)</t>
        </is>
      </c>
      <c r="P731" t="inlineStr">
        <is>
          <t>eig_bonus_g_intelligenz</t>
        </is>
      </c>
      <c r="Q731" t="inlineStr">
        <is>
          <t>Jedwede Form von Verseuchung oder Gift wird aus beliebiger Materie (kein Lebewesen) von maximal {Magie} m³ entfernt und das Material wandelt sich in einen gänzlich ungiftigen Stoff um, bleibt dabei allerdings in seiner Beschaffenheit gleich.</t>
        </is>
      </c>
    </row>
    <row r="732" hidden="1" ht="15.75" customHeight="1" s="48">
      <c r="A732" s="29" t="inlineStr">
        <is>
          <t>#spruchmagie_veraenderung_4_material_stabilisieren_konservieren</t>
        </is>
      </c>
      <c r="B732" s="11" t="inlineStr">
        <is>
          <t>Spruchmagie</t>
        </is>
      </c>
      <c r="C732" s="18" t="inlineStr">
        <is>
          <t>Material Stabilisieren, Konservieren</t>
        </is>
      </c>
      <c r="E732" s="14" t="n"/>
      <c r="F732" s="14" t="inlineStr">
        <is>
          <t>Veränderung</t>
        </is>
      </c>
      <c r="G732" s="11" t="inlineStr">
        <is>
          <t>Wert</t>
        </is>
      </c>
      <c r="K732" t="n">
        <v>4</v>
      </c>
      <c r="L732" s="28" t="inlineStr">
        <is>
          <t>WENN(wert=0;0;10+(wert-1)*grad)</t>
        </is>
      </c>
      <c r="P732" t="inlineStr">
        <is>
          <t>eig_bonus_k_konstitution</t>
        </is>
      </c>
      <c r="Q732"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733" hidden="1" ht="15.75" customHeight="1" s="48">
      <c r="A733" s="29" t="inlineStr">
        <is>
          <t>#spruchmagie_veraenderung_4_mechanik_blockieren</t>
        </is>
      </c>
      <c r="B733" s="11" t="inlineStr">
        <is>
          <t>Spruchmagie</t>
        </is>
      </c>
      <c r="C733" s="18" t="inlineStr">
        <is>
          <t>Mechanik blockieren</t>
        </is>
      </c>
      <c r="E733" s="14" t="n"/>
      <c r="F733" s="14" t="inlineStr">
        <is>
          <t>Veränderung</t>
        </is>
      </c>
      <c r="G733" s="11" t="inlineStr">
        <is>
          <t>Wert</t>
        </is>
      </c>
      <c r="K733" t="n">
        <v>4</v>
      </c>
      <c r="L733" s="28" t="inlineStr">
        <is>
          <t>WENN(wert=0;0;10+(wert-1)*grad)</t>
        </is>
      </c>
      <c r="P733" t="inlineStr">
        <is>
          <t>eig_bonus_k_staerke</t>
        </is>
      </c>
      <c r="Q733" t="inlineStr">
        <is>
          <t>Ein beliebiger Mechanismus von maximal m³ Größe wird blockiert. Der Mechanismus wird nicht zerstört. Der Mechanismus kann eine um {M} * 5 erschwerte Stärke-Probe würfeln, um den Zauber zu überwinden.</t>
        </is>
      </c>
    </row>
    <row r="734" hidden="1" ht="15.75" customHeight="1" s="48">
      <c r="A734" s="29" t="inlineStr">
        <is>
          <t>#spruchmagie_veraenderung_4_ruestung_verstaerken</t>
        </is>
      </c>
      <c r="B734" s="11" t="inlineStr">
        <is>
          <t>Spruchmagie</t>
        </is>
      </c>
      <c r="C734" s="18" t="inlineStr">
        <is>
          <t>Rüstung verstärken</t>
        </is>
      </c>
      <c r="E734" s="14" t="n"/>
      <c r="F734" s="14" t="inlineStr">
        <is>
          <t>Veränderung</t>
        </is>
      </c>
      <c r="G734" s="11" t="inlineStr">
        <is>
          <t>Wert</t>
        </is>
      </c>
      <c r="K734" t="n">
        <v>4</v>
      </c>
      <c r="L734" s="28" t="inlineStr">
        <is>
          <t>WENN(wert=0;0;10+(wert-1)*grad)</t>
        </is>
      </c>
      <c r="P734" t="inlineStr">
        <is>
          <t>eig_bonus_k_konstitution</t>
        </is>
      </c>
      <c r="Q734" t="inlineStr">
        <is>
          <t>Der Rüstungsschutz von Rüstungsteilen in der Aura des Ziels wird um den Faktor [{Magie} + {Aura}] : 3 verstärkt.Magische Rüstung wird hiervon nicht beeinflusst.</t>
        </is>
      </c>
    </row>
    <row r="735" hidden="1" ht="15.75" customHeight="1" s="48">
      <c r="A735" s="29" t="inlineStr">
        <is>
          <t>#spruchmagie_veraenderung_4_verwandlung_in_[element]</t>
        </is>
      </c>
      <c r="B735" s="11" t="inlineStr">
        <is>
          <t>Spruchmagie</t>
        </is>
      </c>
      <c r="C735" s="18" t="inlineStr">
        <is>
          <t>Verwandlung in [Element]</t>
        </is>
      </c>
      <c r="E735" s="14" t="n"/>
      <c r="F735" s="14" t="inlineStr">
        <is>
          <t>Veränderung</t>
        </is>
      </c>
      <c r="G735" s="11" t="inlineStr">
        <is>
          <t>Wert</t>
        </is>
      </c>
      <c r="K735" t="n">
        <v>4</v>
      </c>
      <c r="L735" s="28" t="inlineStr">
        <is>
          <t>WENN(wert=0;0;10+(wert-1)*grad)</t>
        </is>
      </c>
      <c r="P735" t="inlineStr">
        <is>
          <t>eig_bonus_g_willenskraft</t>
        </is>
      </c>
      <c r="Q735" t="inlineStr">
        <is>
          <t>Ein Gegenstand (Aurabann) von maximal {Magie} * dm³ verwandelt sich in [Element], verursacht dabei allerdings keinen festgelegten Schaden.</t>
        </is>
      </c>
    </row>
    <row r="736" hidden="1" ht="15.75" customHeight="1" s="48">
      <c r="A736" s="29" t="inlineStr">
        <is>
          <t>#spruchmagie_veraenderung_5_magnetismus</t>
        </is>
      </c>
      <c r="B736" s="11" t="inlineStr">
        <is>
          <t>Spruchmagie</t>
        </is>
      </c>
      <c r="C736" s="18" t="inlineStr">
        <is>
          <t>Magnetismus</t>
        </is>
      </c>
      <c r="E736" s="14" t="n"/>
      <c r="F736" s="14" t="inlineStr">
        <is>
          <t>Veränderung</t>
        </is>
      </c>
      <c r="G736" s="11" t="inlineStr">
        <is>
          <t>Wert</t>
        </is>
      </c>
      <c r="K736" t="n">
        <v>5</v>
      </c>
      <c r="L736" s="28" t="inlineStr">
        <is>
          <t>WENN(wert=0;0;10+(wert-1)*grad)</t>
        </is>
      </c>
      <c r="P736" t="inlineStr">
        <is>
          <t>eig_bonus_k_staerke</t>
        </is>
      </c>
      <c r="Q736"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737" hidden="1" ht="15.75" customHeight="1" s="48">
      <c r="A737" s="29" t="inlineStr">
        <is>
          <t>#spruchmagie_veraenderung_5_ruestung_schwaechen</t>
        </is>
      </c>
      <c r="B737" s="11" t="inlineStr">
        <is>
          <t>Spruchmagie</t>
        </is>
      </c>
      <c r="C737" s="18" t="inlineStr">
        <is>
          <t>Rüstung schwächen</t>
        </is>
      </c>
      <c r="E737" s="14" t="n"/>
      <c r="F737" s="14" t="inlineStr">
        <is>
          <t>Veränderung</t>
        </is>
      </c>
      <c r="G737" s="11" t="inlineStr">
        <is>
          <t>Wert</t>
        </is>
      </c>
      <c r="K737" t="n">
        <v>5</v>
      </c>
      <c r="L737" s="28" t="inlineStr">
        <is>
          <t>WENN(wert=0;0;10+(wert-1)*grad)</t>
        </is>
      </c>
      <c r="P737" t="inlineStr">
        <is>
          <t>eig_bonus_k_konstitution</t>
        </is>
      </c>
      <c r="Q737" t="inlineStr">
        <is>
          <t>Der Rüstungsschutz aller Rüstungsteile des Ziels wird um {Magie} * 2 gesenkt.Dies hat keine Auswirkung auf magische Rüstung.</t>
        </is>
      </c>
    </row>
    <row r="738" hidden="1" ht="15.75" customHeight="1" s="48">
      <c r="A738" s="29" t="inlineStr">
        <is>
          <t>#spruchmagie_veraenderung_5_schwerkraft_erhoehen</t>
        </is>
      </c>
      <c r="B738" s="11" t="inlineStr">
        <is>
          <t>Spruchmagie</t>
        </is>
      </c>
      <c r="C738" s="18" t="inlineStr">
        <is>
          <t>Schwerkraft erhöhen</t>
        </is>
      </c>
      <c r="E738" s="14" t="n"/>
      <c r="F738" s="14" t="inlineStr">
        <is>
          <t>Veränderung</t>
        </is>
      </c>
      <c r="G738" s="11" t="inlineStr">
        <is>
          <t>Wert</t>
        </is>
      </c>
      <c r="K738" t="n">
        <v>5</v>
      </c>
      <c r="L738" s="28" t="inlineStr">
        <is>
          <t>WENN(wert=0;0;10+(wert-1)*grad)</t>
        </is>
      </c>
      <c r="P738" t="inlineStr">
        <is>
          <t>eig_bonus_k_staerke</t>
        </is>
      </c>
      <c r="Q738"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739" hidden="1" ht="15.75" customHeight="1" s="48">
      <c r="A739" s="29" t="inlineStr">
        <is>
          <t>#spruchmagie_veraenderung_6_unbelebte_materie_zerstoeren</t>
        </is>
      </c>
      <c r="B739" s="11" t="inlineStr">
        <is>
          <t>Spruchmagie</t>
        </is>
      </c>
      <c r="C739" s="18" t="inlineStr">
        <is>
          <t>Unbelebte Materie zerstören</t>
        </is>
      </c>
      <c r="E739" s="14" t="n"/>
      <c r="F739" s="14" t="inlineStr">
        <is>
          <t>Veränderung</t>
        </is>
      </c>
      <c r="G739" s="11" t="inlineStr">
        <is>
          <t>Wert</t>
        </is>
      </c>
      <c r="K739" t="n">
        <v>6</v>
      </c>
      <c r="L739" s="28" t="inlineStr">
        <is>
          <t>WENN(wert=0;0;10+(wert-1)*grad)</t>
        </is>
      </c>
      <c r="P739" t="inlineStr">
        <is>
          <t>eig_bonus_k_staerke</t>
        </is>
      </c>
      <c r="Q739" t="inlineStr">
        <is>
          <t>Der Magus zerstört alle nichtlebendige unmagische Materie (auch Ausrüstung, kein Aurabann!) permanent, auf die er mit einem {M} : 2 m langen und {M} cm durchmessenden Strahl zielt (W30, 1 TZ-Reroll). Lebende Materie hält den Strahl auf.</t>
        </is>
      </c>
    </row>
    <row r="740" hidden="1" ht="15.75" customHeight="1" s="48">
      <c r="A740" s="29" t="inlineStr">
        <is>
          <t>#spruchmagie_veraenderung_6_weg_aus_licht</t>
        </is>
      </c>
      <c r="B740" s="11" t="inlineStr">
        <is>
          <t>Spruchmagie</t>
        </is>
      </c>
      <c r="C740" s="18" t="inlineStr">
        <is>
          <t>Weg aus Licht</t>
        </is>
      </c>
      <c r="E740" s="14" t="n"/>
      <c r="F740" s="14" t="inlineStr">
        <is>
          <t>Veränderung</t>
        </is>
      </c>
      <c r="G740" s="11" t="inlineStr">
        <is>
          <t>Wert</t>
        </is>
      </c>
      <c r="K740" t="n">
        <v>6</v>
      </c>
      <c r="L740" s="28" t="inlineStr">
        <is>
          <t>WENN(wert=0;0;10+(wert-1)*grad)</t>
        </is>
      </c>
      <c r="P740" t="inlineStr">
        <is>
          <t>eig_bonus_k_staerke</t>
        </is>
      </c>
      <c r="Q740"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741" hidden="1" ht="15.75" customHeight="1" s="48">
      <c r="A741" s="29" t="inlineStr">
        <is>
          <t>#spruchmagie_veraenderung_6_wettermeisterschaft</t>
        </is>
      </c>
      <c r="B741" s="11" t="inlineStr">
        <is>
          <t>Spruchmagie</t>
        </is>
      </c>
      <c r="C741" s="18" t="inlineStr">
        <is>
          <t>Wettermeisterschaft</t>
        </is>
      </c>
      <c r="E741" s="14" t="n"/>
      <c r="F741" s="14" t="inlineStr">
        <is>
          <t>Veränderung</t>
        </is>
      </c>
      <c r="G741" s="11" t="inlineStr">
        <is>
          <t>Wert</t>
        </is>
      </c>
      <c r="K741" t="n">
        <v>6</v>
      </c>
      <c r="L741" s="28" t="inlineStr">
        <is>
          <t>WENN(wert=0;0;10+(wert-1)*grad)</t>
        </is>
      </c>
      <c r="P741" t="inlineStr">
        <is>
          <t>eig_bonus_g_willenskraft</t>
        </is>
      </c>
      <c r="Q741"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742" hidden="1" ht="15.75" customHeight="1" s="48">
      <c r="A742" s="29" t="inlineStr">
        <is>
          <t>#spruchmagie_veraenderung_7_fleisch_zu_stein</t>
        </is>
      </c>
      <c r="B742" s="11" t="inlineStr">
        <is>
          <t>Spruchmagie</t>
        </is>
      </c>
      <c r="C742" s="18" t="inlineStr">
        <is>
          <t>Fleisch zu Stein</t>
        </is>
      </c>
      <c r="E742" s="14" t="n"/>
      <c r="F742" s="14" t="inlineStr">
        <is>
          <t>Veränderung</t>
        </is>
      </c>
      <c r="G742" s="11" t="inlineStr">
        <is>
          <t>Wert</t>
        </is>
      </c>
      <c r="K742" t="n">
        <v>7</v>
      </c>
      <c r="L742" s="28" t="inlineStr">
        <is>
          <t>WENN(wert=0;0;10+(wert-1)*grad)</t>
        </is>
      </c>
      <c r="P742" t="inlineStr">
        <is>
          <t>eig_bonus_k_konstitution</t>
        </is>
      </c>
      <c r="Q742"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743" hidden="1" ht="15.75" customHeight="1" s="48">
      <c r="A743" s="29" t="inlineStr">
        <is>
          <t>#spruchmagie_veraenderung_7_materie_zerstoeren</t>
        </is>
      </c>
      <c r="B743" s="11" t="inlineStr">
        <is>
          <t>Spruchmagie</t>
        </is>
      </c>
      <c r="C743" s="18" t="inlineStr">
        <is>
          <t>Materie zerstören</t>
        </is>
      </c>
      <c r="E743" s="14" t="n"/>
      <c r="F743" s="14" t="inlineStr">
        <is>
          <t>Veränderung</t>
        </is>
      </c>
      <c r="G743" s="11" t="inlineStr">
        <is>
          <t>Wert</t>
        </is>
      </c>
      <c r="K743" t="n">
        <v>7</v>
      </c>
      <c r="L743" s="28" t="inlineStr">
        <is>
          <t>WENN(wert=0;0;10+(wert-1)*grad)</t>
        </is>
      </c>
      <c r="P743" t="inlineStr">
        <is>
          <t>eig_bonus_k_staerke</t>
        </is>
      </c>
      <c r="Q743" t="inlineStr">
        <is>
          <t>Der Magus zerstört alle unmagische Materie (auch Ausrüstung und Implantate) permanent, auf die er mit einem {M} : 2 m langen und {M} cm durchmessenden Strahl zielt (W30, 1 TZ-Reroll). Lebende Materie hält den Strahl auf.</t>
        </is>
      </c>
    </row>
    <row r="744" hidden="1" ht="15.75" customHeight="1" s="48">
      <c r="A744" s="29" t="inlineStr">
        <is>
          <t>#spruchmagie_veraenderung_7_stillstand</t>
        </is>
      </c>
      <c r="B744" s="11" t="inlineStr">
        <is>
          <t>Spruchmagie</t>
        </is>
      </c>
      <c r="C744" s="18" t="inlineStr">
        <is>
          <t>Stillstand</t>
        </is>
      </c>
      <c r="E744" s="14" t="n"/>
      <c r="F744" s="14" t="inlineStr">
        <is>
          <t>Veränderung</t>
        </is>
      </c>
      <c r="G744" s="11" t="inlineStr">
        <is>
          <t>Wert</t>
        </is>
      </c>
      <c r="K744" t="n">
        <v>7</v>
      </c>
      <c r="L744" s="28" t="inlineStr">
        <is>
          <t>WENN(wert=0;0;10+(wert-1)*grad)</t>
        </is>
      </c>
      <c r="P744" t="inlineStr">
        <is>
          <t>eig_bonus_g_willenskraft</t>
        </is>
      </c>
      <c r="Q744"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745" hidden="1" ht="15.75" customHeight="1" s="48">
      <c r="A745" s="29" t="inlineStr">
        <is>
          <t>#spruchmagie_verzauberung_1_ausstrahlung_erhoehen</t>
        </is>
      </c>
      <c r="B745" s="11" t="inlineStr">
        <is>
          <t>Spruchmagie</t>
        </is>
      </c>
      <c r="C745" s="18" t="inlineStr">
        <is>
          <t>Ausstrahlung erhöhen</t>
        </is>
      </c>
      <c r="E745" s="14" t="n"/>
      <c r="F745" s="14" t="inlineStr">
        <is>
          <t>Verzauberung</t>
        </is>
      </c>
      <c r="G745" s="11" t="inlineStr">
        <is>
          <t>Wert</t>
        </is>
      </c>
      <c r="K745" t="n">
        <v>1</v>
      </c>
      <c r="L745" s="28" t="inlineStr">
        <is>
          <t>WENN(wert=0;0;10+(wert-1)*grad)</t>
        </is>
      </c>
      <c r="P745" t="inlineStr">
        <is>
          <t>eig_bonus_g_ausstrahlung</t>
        </is>
      </c>
      <c r="Q745" t="inlineStr">
        <is>
          <t>Die Ausstrahlung des Magus erhöht sich um {Magie} * 2. Ausstrahlung kann nur einmal magisch erhöht werden.</t>
        </is>
      </c>
    </row>
    <row r="746" hidden="1" ht="15.75" customHeight="1" s="48">
      <c r="A746" s="29" t="inlineStr">
        <is>
          <t>#spruchmagie_verzauberung_1_grundfertigkeit_erhoehen</t>
        </is>
      </c>
      <c r="B746" s="11" t="inlineStr">
        <is>
          <t>Spruchmagie</t>
        </is>
      </c>
      <c r="C746" s="18" t="inlineStr">
        <is>
          <t>Grundfertigkeit erhöhen</t>
        </is>
      </c>
      <c r="E746" s="14" t="n"/>
      <c r="F746" s="14" t="inlineStr">
        <is>
          <t>Verzauberung</t>
        </is>
      </c>
      <c r="G746" s="11" t="inlineStr">
        <is>
          <t>Wert</t>
        </is>
      </c>
      <c r="K746" t="n">
        <v>1</v>
      </c>
      <c r="L746" s="28" t="inlineStr">
        <is>
          <t>WENN(wert=0;0;10+(wert-1)*grad)</t>
        </is>
      </c>
      <c r="P746" t="inlineStr">
        <is>
          <t>eig_bonus_g_willenskraft</t>
        </is>
      </c>
      <c r="Q746"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747" hidden="1" ht="15.75" customHeight="1" s="48">
      <c r="A747" s="29" t="inlineStr">
        <is>
          <t>#spruchmagie_verzauberung_1_kleine_telekinese</t>
        </is>
      </c>
      <c r="B747" s="11" t="inlineStr">
        <is>
          <t>Spruchmagie</t>
        </is>
      </c>
      <c r="C747" s="18" t="inlineStr">
        <is>
          <t>Kleine Telekinese</t>
        </is>
      </c>
      <c r="E747" s="14" t="n"/>
      <c r="F747" s="14" t="inlineStr">
        <is>
          <t>Verzauberung</t>
        </is>
      </c>
      <c r="G747" s="11" t="inlineStr">
        <is>
          <t>Wert</t>
        </is>
      </c>
      <c r="K747" t="n">
        <v>1</v>
      </c>
      <c r="L747" s="28" t="inlineStr">
        <is>
          <t>WENN(wert=0;0;10+(wert-1)*grad)</t>
        </is>
      </c>
      <c r="P747" t="inlineStr">
        <is>
          <t>eig_bonus_k_staerke</t>
        </is>
      </c>
      <c r="Q747"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748" hidden="1" ht="15.75" customHeight="1" s="48">
      <c r="A748" s="29" t="inlineStr">
        <is>
          <t>#spruchmagie_verzauberung_1_manaspende</t>
        </is>
      </c>
      <c r="B748" s="11" t="inlineStr">
        <is>
          <t>Spruchmagie</t>
        </is>
      </c>
      <c r="C748" s="18" t="inlineStr">
        <is>
          <t>Manaspende</t>
        </is>
      </c>
      <c r="E748" s="14" t="n"/>
      <c r="F748" s="14" t="inlineStr">
        <is>
          <t>Verzauberung</t>
        </is>
      </c>
      <c r="G748" s="11" t="inlineStr">
        <is>
          <t>Wert</t>
        </is>
      </c>
      <c r="K748" t="n">
        <v>1</v>
      </c>
      <c r="L748" s="28" t="inlineStr">
        <is>
          <t>WENN(wert=0;0;10+(wert-1)*grad)</t>
        </is>
      </c>
      <c r="P748" t="inlineStr">
        <is>
          <t>eig_bonus_g_intelligenz</t>
        </is>
      </c>
      <c r="Q748" t="inlineStr">
        <is>
          <t xml:space="preserve">Der Magus überträgt dem Ziel max. {M} x 2 Mana. Damit das Ziel mehr als sein maximales Mana verwenden kann, kann die Verbindung zum Magus max. {M} min aufrechterhalten werden, sonst verfällt das überschüssige Mana. </t>
        </is>
      </c>
    </row>
    <row r="749" hidden="1" ht="15.75" customHeight="1" s="48">
      <c r="A749" s="29" t="inlineStr">
        <is>
          <t>#spruchmagie_verzauberung_1_whk_erhoehen</t>
        </is>
      </c>
      <c r="B749" s="11" t="inlineStr">
        <is>
          <t>Spruchmagie</t>
        </is>
      </c>
      <c r="C749" s="18" t="inlineStr">
        <is>
          <t>WHK erhöhen</t>
        </is>
      </c>
      <c r="E749" s="14" t="n"/>
      <c r="F749" s="14" t="inlineStr">
        <is>
          <t>Verzauberung</t>
        </is>
      </c>
      <c r="G749" s="11" t="inlineStr">
        <is>
          <t>Wert</t>
        </is>
      </c>
      <c r="K749" t="n">
        <v>1</v>
      </c>
      <c r="L749" s="28" t="inlineStr">
        <is>
          <t>WENN(wert=0;0;10+(wert-1)*grad)</t>
        </is>
      </c>
      <c r="P749" t="inlineStr">
        <is>
          <t>eig_bonus_g_intelligenz</t>
        </is>
      </c>
      <c r="Q749"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750" hidden="1" ht="15.75" customHeight="1" s="48">
      <c r="A750" s="29" t="inlineStr">
        <is>
          <t>#spruchmagie_verzauberung_2_explosionsfalle</t>
        </is>
      </c>
      <c r="B750" s="11" t="inlineStr">
        <is>
          <t>Spruchmagie</t>
        </is>
      </c>
      <c r="C750" s="18" t="inlineStr">
        <is>
          <t>Explosionsfalle</t>
        </is>
      </c>
      <c r="E750" s="14" t="n"/>
      <c r="F750" s="14" t="inlineStr">
        <is>
          <t>Verzauberung</t>
        </is>
      </c>
      <c r="G750" s="11" t="inlineStr">
        <is>
          <t>Wert</t>
        </is>
      </c>
      <c r="K750" t="n">
        <v>2</v>
      </c>
      <c r="L750" s="28" t="inlineStr">
        <is>
          <t>WENN(wert=0;0;10+(wert-1)*grad)</t>
        </is>
      </c>
      <c r="P750" t="inlineStr">
        <is>
          <t>eig_bonus_g_mut</t>
        </is>
      </c>
      <c r="Q750"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751" hidden="1" ht="15.75" customHeight="1" s="48">
      <c r="A751" s="29" t="inlineStr">
        <is>
          <t>#spruchmagie_verzauberung_2_kiemen</t>
        </is>
      </c>
      <c r="B751" s="11" t="inlineStr">
        <is>
          <t>Spruchmagie</t>
        </is>
      </c>
      <c r="C751" s="18" t="inlineStr">
        <is>
          <t>Kiemen</t>
        </is>
      </c>
      <c r="E751" s="14" t="n"/>
      <c r="F751" s="14" t="inlineStr">
        <is>
          <t>Verzauberung</t>
        </is>
      </c>
      <c r="G751" s="11" t="inlineStr">
        <is>
          <t>Wert</t>
        </is>
      </c>
      <c r="K751" t="n">
        <v>2</v>
      </c>
      <c r="L751" s="28" t="inlineStr">
        <is>
          <t>WENN(wert=0;0;10+(wert-1)*grad)</t>
        </is>
      </c>
      <c r="P751" t="inlineStr">
        <is>
          <t>eig_bonus_k_athletik</t>
        </is>
      </c>
      <c r="Q751"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752" hidden="1" ht="15.75" customHeight="1" s="48">
      <c r="A752" s="29" t="inlineStr">
        <is>
          <t>#spruchmagie_verzauberung_2_koerperliche_eigenschaft_erhoehen</t>
        </is>
      </c>
      <c r="B752" s="11" t="inlineStr">
        <is>
          <t>Spruchmagie</t>
        </is>
      </c>
      <c r="C752" s="18" t="inlineStr">
        <is>
          <t>Körperliche Eigenschaft erhöhen</t>
        </is>
      </c>
      <c r="E752" s="14" t="n"/>
      <c r="F752" s="14" t="inlineStr">
        <is>
          <t>Verzauberung</t>
        </is>
      </c>
      <c r="G752" s="11" t="inlineStr">
        <is>
          <t>Wert</t>
        </is>
      </c>
      <c r="K752" t="n">
        <v>2</v>
      </c>
      <c r="L752" s="28" t="inlineStr">
        <is>
          <t>WENN(wert=0;0;10+(wert-1)*grad)</t>
        </is>
      </c>
      <c r="P752" t="inlineStr">
        <is>
          <t>eig_bonus_g_intelligenz</t>
        </is>
      </c>
      <c r="Q752" t="inlineStr">
        <is>
          <t>Das Ziel erhält einen Bonus von {Magie} * 2 auf eine körperliche Eigenschaft (Athletik, Geschicklichkeit Konstitution, Schnelligkeit, Stärke). Jede Eigenschaft kann nur einmal magisch verstärkt werden.</t>
        </is>
      </c>
    </row>
    <row r="753" hidden="1" ht="15.75" customHeight="1" s="48">
      <c r="A753" s="29" t="inlineStr">
        <is>
          <t>#spruchmagie_verzauberung_2_leben_einhauchen</t>
        </is>
      </c>
      <c r="B753" s="11" t="inlineStr">
        <is>
          <t>Spruchmagie</t>
        </is>
      </c>
      <c r="C753" s="18" t="inlineStr">
        <is>
          <t>Leben Einhauchen</t>
        </is>
      </c>
      <c r="E753" s="14" t="n"/>
      <c r="F753" s="14" t="inlineStr">
        <is>
          <t>Verzauberung</t>
        </is>
      </c>
      <c r="G753" s="11" t="inlineStr">
        <is>
          <t>Wert</t>
        </is>
      </c>
      <c r="K753" t="n">
        <v>2</v>
      </c>
      <c r="L753" s="28" t="inlineStr">
        <is>
          <t>WENN(wert=0;0;10+(wert-1)*grad)</t>
        </is>
      </c>
      <c r="P753" t="inlineStr">
        <is>
          <t>eig_bonus_g_willenskraft</t>
        </is>
      </c>
      <c r="Q753"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754" hidden="1" ht="15.75" customHeight="1" s="48">
      <c r="A754" s="29" t="inlineStr">
        <is>
          <t>#spruchmagie_verzauberung_3_beschleuniger</t>
        </is>
      </c>
      <c r="B754" s="11" t="inlineStr">
        <is>
          <t>Spruchmagie</t>
        </is>
      </c>
      <c r="C754" s="18" t="inlineStr">
        <is>
          <t>Beschleuniger</t>
        </is>
      </c>
      <c r="E754" s="14" t="n"/>
      <c r="F754" s="14" t="inlineStr">
        <is>
          <t>Verzauberung</t>
        </is>
      </c>
      <c r="G754" s="11" t="inlineStr">
        <is>
          <t>Wert</t>
        </is>
      </c>
      <c r="K754" t="n">
        <v>3</v>
      </c>
      <c r="L754" s="28" t="inlineStr">
        <is>
          <t>WENN(wert=0;0;10+(wert-1)*grad)</t>
        </is>
      </c>
      <c r="P754" t="inlineStr">
        <is>
          <t>eig_bonus_k_schnelligkeit</t>
        </is>
      </c>
      <c r="Q754" t="inlineStr">
        <is>
          <t>Der Magus bewegt sich unnatürlich schnell. Joggen: + {Magie} m/s; Sprinten: + {Magie}*1,5 m/s; Hochsprung: + {Magie} : 2 m; Weitsprung: + {Magie} * 2 m; Initiative: + {Magie}. Alle Attacken gegen den Magus sind um {Magie} erschwert.</t>
        </is>
      </c>
    </row>
    <row r="755" hidden="1" ht="15.75" customHeight="1" s="48">
      <c r="A755" s="29" t="inlineStr">
        <is>
          <t>#spruchmagie_verzauberung_3_einmaliges_artefakt_erschaffen</t>
        </is>
      </c>
      <c r="B755" s="11" t="inlineStr">
        <is>
          <t>Spruchmagie</t>
        </is>
      </c>
      <c r="C755" s="18" t="inlineStr">
        <is>
          <t>Einmaliges Artefakt erschaffen</t>
        </is>
      </c>
      <c r="E755" s="14" t="n"/>
      <c r="F755" s="14" t="inlineStr">
        <is>
          <t>Verzauberung</t>
        </is>
      </c>
      <c r="G755" s="11" t="inlineStr">
        <is>
          <t>Wert</t>
        </is>
      </c>
      <c r="K755" t="n">
        <v>3</v>
      </c>
      <c r="L755" s="28" t="inlineStr">
        <is>
          <t>WENN(wert=0;0;10+(wert-1)*grad)</t>
        </is>
      </c>
      <c r="P755" t="inlineStr">
        <is>
          <t>eig_bonus_g_intelligenz</t>
        </is>
      </c>
      <c r="Q755"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756" hidden="1" ht="15.75" customHeight="1" s="48">
      <c r="A756" s="29" t="inlineStr">
        <is>
          <t>#spruchmagie_verzauberung_3_geistesbund</t>
        </is>
      </c>
      <c r="B756" s="11" t="inlineStr">
        <is>
          <t>Spruchmagie</t>
        </is>
      </c>
      <c r="C756" s="18" t="inlineStr">
        <is>
          <t>Geistesbund</t>
        </is>
      </c>
      <c r="E756" s="14" t="n"/>
      <c r="F756" s="14" t="inlineStr">
        <is>
          <t>Verzauberung</t>
        </is>
      </c>
      <c r="G756" s="11" t="inlineStr">
        <is>
          <t>Wert</t>
        </is>
      </c>
      <c r="K756" t="n">
        <v>3</v>
      </c>
      <c r="L756" s="28" t="inlineStr">
        <is>
          <t>WENN(wert=0;0;10+(wert-1)*grad)</t>
        </is>
      </c>
      <c r="P756" t="inlineStr">
        <is>
          <t>eig_bonus_g_ausstrahlung</t>
        </is>
      </c>
      <c r="Q756"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757" hidden="1" ht="15.75" customHeight="1" s="48">
      <c r="A757" s="29" t="inlineStr">
        <is>
          <t>#spruchmagie_verzauberung_3_geistige_eigenschaft_erhoehen</t>
        </is>
      </c>
      <c r="B757" s="11" t="inlineStr">
        <is>
          <t>Spruchmagie</t>
        </is>
      </c>
      <c r="C757" s="18" t="inlineStr">
        <is>
          <t>Geistige Eigenschaft erhöhen</t>
        </is>
      </c>
      <c r="E757" s="14" t="n"/>
      <c r="F757" s="14" t="inlineStr">
        <is>
          <t>Verzauberung</t>
        </is>
      </c>
      <c r="G757" s="11" t="inlineStr">
        <is>
          <t>Wert</t>
        </is>
      </c>
      <c r="K757" t="n">
        <v>3</v>
      </c>
      <c r="L757" s="28" t="inlineStr">
        <is>
          <t>WENN(wert=0;0;10+(wert-1)*grad)</t>
        </is>
      </c>
      <c r="P757" t="inlineStr">
        <is>
          <t>eig_bonus_g_intelligenz</t>
        </is>
      </c>
      <c r="Q757" t="inlineStr">
        <is>
          <t>Das Ziel erhält einen Bonus von {Magie} * 2 auf eine geistige Eigenschaft (Intelligenz, Mut, Sinnesschärfe, Willenskraft). Jede Eigenschaft kann nur einmal magisch verstärkt werden.</t>
        </is>
      </c>
    </row>
    <row r="758" hidden="1" ht="15.75" customHeight="1" s="48">
      <c r="A758" s="29" t="inlineStr">
        <is>
          <t>#spruchmagie_verzauberung_3_haesslichkeit</t>
        </is>
      </c>
      <c r="B758" s="11" t="inlineStr">
        <is>
          <t>Spruchmagie</t>
        </is>
      </c>
      <c r="C758" s="18" t="inlineStr">
        <is>
          <t>Hässlichkeit</t>
        </is>
      </c>
      <c r="E758" s="14" t="n"/>
      <c r="F758" s="14" t="inlineStr">
        <is>
          <t>Verzauberung</t>
        </is>
      </c>
      <c r="G758" s="11" t="inlineStr">
        <is>
          <t>Wert</t>
        </is>
      </c>
      <c r="K758" t="n">
        <v>3</v>
      </c>
      <c r="L758" s="28" t="inlineStr">
        <is>
          <t>WENN(wert=0;0;10+(wert-1)*grad)</t>
        </is>
      </c>
      <c r="P758" t="inlineStr">
        <is>
          <t>eig_bonus_g_ausstrahlung</t>
        </is>
      </c>
      <c r="Q758" t="inlineStr">
        <is>
          <t>Die Ausstrahlung des Opfers reduziert sich um {Magie} * 2 Punkte. Das Opfer wirkt abstoßend und fremd. Anweisungen des Opfers müssen eventuell mit Ausstrahlungs+TaW-Proben belegt werden.Die Ausstrahlung kann nicht unter 1 sinken.</t>
        </is>
      </c>
    </row>
    <row r="759" hidden="1" ht="15.75" customHeight="1" s="48">
      <c r="A759" s="29" t="inlineStr">
        <is>
          <t>#spruchmagie_verzauberung_3_koerperliche_eigenschaft_senken</t>
        </is>
      </c>
      <c r="B759" s="11" t="inlineStr">
        <is>
          <t>Spruchmagie</t>
        </is>
      </c>
      <c r="C759" s="18" t="inlineStr">
        <is>
          <t>Körperliche Eigenschaft senken</t>
        </is>
      </c>
      <c r="E759" s="14" t="n"/>
      <c r="F759" s="14" t="inlineStr">
        <is>
          <t>Verzauberung</t>
        </is>
      </c>
      <c r="G759" s="11" t="inlineStr">
        <is>
          <t>Wert</t>
        </is>
      </c>
      <c r="K759" t="n">
        <v>3</v>
      </c>
      <c r="L759" s="28" t="inlineStr">
        <is>
          <t>WENN(wert=0;0;10+(wert-1)*grad)</t>
        </is>
      </c>
      <c r="P759" t="inlineStr">
        <is>
          <t>eig_bonus_g_willenskraft</t>
        </is>
      </c>
      <c r="Q759"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760" hidden="1" ht="15.75" customHeight="1" s="48">
      <c r="A760" s="29" t="inlineStr">
        <is>
          <t>#spruchmagie_verzauberung_3_sinne_verbessern</t>
        </is>
      </c>
      <c r="B760" s="11" t="inlineStr">
        <is>
          <t>Spruchmagie</t>
        </is>
      </c>
      <c r="C760" s="18" t="inlineStr">
        <is>
          <t>Sinne verbessern</t>
        </is>
      </c>
      <c r="E760" s="14" t="n"/>
      <c r="F760" s="14" t="inlineStr">
        <is>
          <t>Verzauberung</t>
        </is>
      </c>
      <c r="G760" s="11" t="inlineStr">
        <is>
          <t>Wert</t>
        </is>
      </c>
      <c r="K760" t="n">
        <v>3</v>
      </c>
      <c r="L760" s="28" t="inlineStr">
        <is>
          <t>WENN(wert=0;0;10+(wert-1)*grad)</t>
        </is>
      </c>
      <c r="P760" t="inlineStr">
        <is>
          <t>eig_bonus_g_sinneschaerfe</t>
        </is>
      </c>
      <c r="Q760" t="inlineStr">
        <is>
          <t xml:space="preserve">Der Magus verbessert entweder seinen Geruchssinn, seinen Geschmackssinn, sein Gehör, sein Sehvermögen oder seinen Tastsinn. Sinnesschärfe-Proben sind um {M} erleichtert. </t>
        </is>
      </c>
    </row>
    <row r="761" hidden="1" ht="15.75" customHeight="1" s="48">
      <c r="A761" s="29" t="inlineStr">
        <is>
          <t>#spruchmagie_verzauberung_3_unbelebtes_teleportieren</t>
        </is>
      </c>
      <c r="B761" s="11" t="inlineStr">
        <is>
          <t>Spruchmagie</t>
        </is>
      </c>
      <c r="C761" s="18" t="inlineStr">
        <is>
          <t>Unbelebtes Teleportieren</t>
        </is>
      </c>
      <c r="E761" s="14" t="n"/>
      <c r="F761" s="14" t="inlineStr">
        <is>
          <t>Verzauberung</t>
        </is>
      </c>
      <c r="G761" s="11" t="inlineStr">
        <is>
          <t>Wert</t>
        </is>
      </c>
      <c r="K761" t="n">
        <v>3</v>
      </c>
      <c r="L761" s="28" t="inlineStr">
        <is>
          <t>WENN(wert=0;0;10+(wert-1)*grad)</t>
        </is>
      </c>
      <c r="P761" t="inlineStr">
        <is>
          <t>eig_bonus_g_sinneschaerfe</t>
        </is>
      </c>
      <c r="Q761"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762" hidden="1" ht="15.75" customHeight="1" s="48">
      <c r="A762" s="29" t="inlineStr">
        <is>
          <t>#spruchmagie_verzauberung_4_eigenschaften_erhoehen</t>
        </is>
      </c>
      <c r="B762" s="11" t="inlineStr">
        <is>
          <t>Spruchmagie</t>
        </is>
      </c>
      <c r="C762" s="18" t="inlineStr">
        <is>
          <t>Eigenschaften erhöhen</t>
        </is>
      </c>
      <c r="E762" s="14" t="n"/>
      <c r="F762" s="14" t="inlineStr">
        <is>
          <t>Verzauberung</t>
        </is>
      </c>
      <c r="G762" s="11" t="inlineStr">
        <is>
          <t>Wert</t>
        </is>
      </c>
      <c r="K762" t="n">
        <v>4</v>
      </c>
      <c r="L762" s="28" t="inlineStr">
        <is>
          <t>WENN(wert=0;0;10+(wert-1)*grad)</t>
        </is>
      </c>
      <c r="P762" t="inlineStr">
        <is>
          <t>eig_bonus_g_intelligenz</t>
        </is>
      </c>
      <c r="Q762" t="inlineStr">
        <is>
          <t>Eine beliebige Eigenschaft wird um {Magie} erhöht. Eigenschaften können nur einmal erhöht werden.</t>
        </is>
      </c>
    </row>
    <row r="763" hidden="1" ht="15.75" customHeight="1" s="48">
      <c r="A763" s="29" t="inlineStr">
        <is>
          <t>#spruchmagie_verzauberung_4_geistige_eigenschaft_senken</t>
        </is>
      </c>
      <c r="B763" s="11" t="inlineStr">
        <is>
          <t>Spruchmagie</t>
        </is>
      </c>
      <c r="C763" s="18" t="inlineStr">
        <is>
          <t>Geistige Eigenschaft senken</t>
        </is>
      </c>
      <c r="E763" s="14" t="n"/>
      <c r="F763" s="14" t="inlineStr">
        <is>
          <t>Verzauberung</t>
        </is>
      </c>
      <c r="G763" s="11" t="inlineStr">
        <is>
          <t>Wert</t>
        </is>
      </c>
      <c r="K763" t="n">
        <v>4</v>
      </c>
      <c r="L763" s="28" t="inlineStr">
        <is>
          <t>WENN(wert=0;0;10+(wert-1)*grad)</t>
        </is>
      </c>
      <c r="P763" t="inlineStr">
        <is>
          <t>eig_bonus_g_intelligenz</t>
        </is>
      </c>
      <c r="Q763" t="inlineStr">
        <is>
          <t>Das Ziel verliert {Magie} x 2 Punke einer geistigen Eigenschaft (Intelligenz, Mut, Sinnesschärfe, Willenskraft).. Für jede Eigenschaft gilt nur die stärkste Reduktion. Betroffene Eigenschaften fallen nicht unter 1. Das Ziel bemerkt die Verzauberung sofort.</t>
        </is>
      </c>
    </row>
    <row r="764" hidden="1" ht="15.75" customHeight="1" s="48">
      <c r="A764" s="29" t="inlineStr">
        <is>
          <t>#spruchmagie_verzauberung_4_golem_diener</t>
        </is>
      </c>
      <c r="B764" s="11" t="inlineStr">
        <is>
          <t>Spruchmagie</t>
        </is>
      </c>
      <c r="C764" s="18" t="inlineStr">
        <is>
          <t>Golem Diener</t>
        </is>
      </c>
      <c r="E764" s="14" t="n"/>
      <c r="F764" s="14" t="inlineStr">
        <is>
          <t>Verzauberung</t>
        </is>
      </c>
      <c r="G764" s="11" t="inlineStr">
        <is>
          <t>Wert</t>
        </is>
      </c>
      <c r="K764" t="n">
        <v>4</v>
      </c>
      <c r="L764" s="28" t="inlineStr">
        <is>
          <t>WENN(wert=0;0;10+(wert-1)*grad)</t>
        </is>
      </c>
      <c r="P764" t="inlineStr">
        <is>
          <t>eig_bonus_g_intelligenz</t>
        </is>
      </c>
      <c r="Q764"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765" hidden="1" ht="15.75" customHeight="1" s="48">
      <c r="A765" s="29" t="inlineStr">
        <is>
          <t>#spruchmagie_verzauberung_4_grosse_telekinese</t>
        </is>
      </c>
      <c r="B765" s="11" t="inlineStr">
        <is>
          <t>Spruchmagie</t>
        </is>
      </c>
      <c r="C765" s="18" t="inlineStr">
        <is>
          <t>Große Telekinese</t>
        </is>
      </c>
      <c r="E765" s="14" t="n"/>
      <c r="F765" s="14" t="inlineStr">
        <is>
          <t>Verzauberung</t>
        </is>
      </c>
      <c r="G765" s="11" t="inlineStr">
        <is>
          <t>Wert</t>
        </is>
      </c>
      <c r="K765" t="n">
        <v>4</v>
      </c>
      <c r="L765" s="28" t="inlineStr">
        <is>
          <t>WENN(wert=0;0;10+(wert-1)*grad)</t>
        </is>
      </c>
      <c r="P765" t="inlineStr">
        <is>
          <t>eig_bonus_k_staerke</t>
        </is>
      </c>
      <c r="Q765"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766" hidden="1" ht="15.75" customHeight="1" s="48">
      <c r="A766" s="29" t="inlineStr">
        <is>
          <t>#spruchmagie_verzauberung_4_in_[tier]_verwandeln</t>
        </is>
      </c>
      <c r="B766" s="11" t="inlineStr">
        <is>
          <t>Spruchmagie</t>
        </is>
      </c>
      <c r="C766" s="18" t="inlineStr">
        <is>
          <t>In [Tier] verwandeln</t>
        </is>
      </c>
      <c r="E766" s="14" t="n"/>
      <c r="F766" s="14" t="inlineStr">
        <is>
          <t>Verzauberung</t>
        </is>
      </c>
      <c r="G766" s="11" t="inlineStr">
        <is>
          <t>Wert</t>
        </is>
      </c>
      <c r="K766" t="n">
        <v>4</v>
      </c>
      <c r="L766" s="28" t="inlineStr">
        <is>
          <t>WENN(wert=0;0;10+(wert-1)*grad)</t>
        </is>
      </c>
      <c r="P766" t="inlineStr">
        <is>
          <t>eig_bonus_k_konstitution</t>
        </is>
      </c>
      <c r="Q766"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767" hidden="1" ht="15.75" customHeight="1" s="48">
      <c r="A767" s="29" t="inlineStr">
        <is>
          <t>#spruchmagie_verzauberung_4_verlangsamen</t>
        </is>
      </c>
      <c r="B767" s="11" t="inlineStr">
        <is>
          <t>Spruchmagie</t>
        </is>
      </c>
      <c r="C767" s="18" t="inlineStr">
        <is>
          <t>Verlangsamen</t>
        </is>
      </c>
      <c r="E767" s="14" t="n"/>
      <c r="F767" s="14" t="inlineStr">
        <is>
          <t>Verzauberung</t>
        </is>
      </c>
      <c r="G767" s="11" t="inlineStr">
        <is>
          <t>Wert</t>
        </is>
      </c>
      <c r="K767" t="n">
        <v>4</v>
      </c>
      <c r="L767" s="28" t="inlineStr">
        <is>
          <t>WENN(wert=0;0;10+(wert-1)*grad)</t>
        </is>
      </c>
      <c r="P767" t="inlineStr">
        <is>
          <t>eig_bonus_g_willenskraft</t>
        </is>
      </c>
      <c r="Q767" t="inlineStr">
        <is>
          <t xml:space="preserve">Ein Lebewesen wird durch diesen Zauber so weit verlangsamt, dass es keinen Sturzschaden erfahren kann. </t>
        </is>
      </c>
    </row>
    <row r="768" hidden="1" ht="15.75" customHeight="1" s="48">
      <c r="A768" s="29" t="inlineStr">
        <is>
          <t>#spruchmagie_verzauberung_4_wachstum_beeinflussen</t>
        </is>
      </c>
      <c r="B768" s="11" t="inlineStr">
        <is>
          <t>Spruchmagie</t>
        </is>
      </c>
      <c r="C768" s="18" t="inlineStr">
        <is>
          <t>Wachstum beeinflussen</t>
        </is>
      </c>
      <c r="E768" s="14" t="n"/>
      <c r="F768" s="14" t="inlineStr">
        <is>
          <t>Verzauberung</t>
        </is>
      </c>
      <c r="G768" s="11" t="inlineStr">
        <is>
          <t>Wert</t>
        </is>
      </c>
      <c r="K768" t="n">
        <v>4</v>
      </c>
      <c r="L768" s="28" t="inlineStr">
        <is>
          <t>WENN(wert=0;0;10+(wert-1)*grad)</t>
        </is>
      </c>
      <c r="P768" t="inlineStr">
        <is>
          <t>eig_bonus_g_willenskraft</t>
        </is>
      </c>
      <c r="Q768"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769" hidden="1" ht="15.75" customHeight="1" s="48">
      <c r="A769" s="29" t="inlineStr">
        <is>
          <t>#spruchmagie_verzauberung_5_gecko</t>
        </is>
      </c>
      <c r="B769" s="11" t="inlineStr">
        <is>
          <t>Spruchmagie</t>
        </is>
      </c>
      <c r="C769" s="18" t="inlineStr">
        <is>
          <t>Gecko</t>
        </is>
      </c>
      <c r="E769" s="14" t="n"/>
      <c r="F769" s="14" t="inlineStr">
        <is>
          <t>Verzauberung</t>
        </is>
      </c>
      <c r="G769" s="11" t="inlineStr">
        <is>
          <t>Wert</t>
        </is>
      </c>
      <c r="K769" t="n">
        <v>5</v>
      </c>
      <c r="L769" s="28" t="inlineStr">
        <is>
          <t>WENN(wert=0;0;10+(wert-1)*grad)</t>
        </is>
      </c>
      <c r="P769" t="inlineStr">
        <is>
          <t>eig_bonus_k_geschicklichkeit</t>
        </is>
      </c>
      <c r="Q769" t="inlineStr">
        <is>
          <t>Das Ziel kann mit Händen und Füßen an jeder beliebigen festen Oberfläche haften und dabei seine Maximallast tragen. Klettern-Proben sind um {M} erleichtert.</t>
        </is>
      </c>
    </row>
    <row r="770" hidden="1" ht="15.75" customHeight="1" s="48">
      <c r="A770" s="29" t="inlineStr">
        <is>
          <t>#spruchmagie_verzauberung_5_golem_kaempfer</t>
        </is>
      </c>
      <c r="B770" s="11" t="inlineStr">
        <is>
          <t>Spruchmagie</t>
        </is>
      </c>
      <c r="C770" s="18" t="inlineStr">
        <is>
          <t>Golem Kämpfer</t>
        </is>
      </c>
      <c r="E770" s="14" t="n"/>
      <c r="F770" s="14" t="inlineStr">
        <is>
          <t>Verzauberung</t>
        </is>
      </c>
      <c r="G770" s="11" t="inlineStr">
        <is>
          <t>Wert</t>
        </is>
      </c>
      <c r="K770" t="n">
        <v>5</v>
      </c>
      <c r="L770" s="28" t="inlineStr">
        <is>
          <t>WENN(wert=0;0;10+(wert-1)*grad)</t>
        </is>
      </c>
      <c r="P770" t="inlineStr">
        <is>
          <t>eig_bonus_g_intelligenz</t>
        </is>
      </c>
      <c r="Q770"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771" hidden="1" ht="15.75" customHeight="1" s="48">
      <c r="A771" s="29" t="inlineStr">
        <is>
          <t>#spruchmagie_verzauberung_5_mechanismus_antreiben</t>
        </is>
      </c>
      <c r="B771" s="11" t="inlineStr">
        <is>
          <t>Spruchmagie</t>
        </is>
      </c>
      <c r="C771" s="18" t="inlineStr">
        <is>
          <t>Mechanismus antreiben</t>
        </is>
      </c>
      <c r="E771" s="14" t="n"/>
      <c r="F771" s="14" t="inlineStr">
        <is>
          <t>Verzauberung</t>
        </is>
      </c>
      <c r="G771" s="11" t="inlineStr">
        <is>
          <t>Wert</t>
        </is>
      </c>
      <c r="K771" t="n">
        <v>5</v>
      </c>
      <c r="L771" s="28" t="inlineStr">
        <is>
          <t>WENN(wert=0;0;10+(wert-1)*grad)</t>
        </is>
      </c>
      <c r="P771" t="inlineStr">
        <is>
          <t>eig_bonus_k_staerke</t>
        </is>
      </c>
      <c r="Q771"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772" hidden="1" ht="15.75" customHeight="1" s="48">
      <c r="A772" s="29" t="inlineStr">
        <is>
          <t>#spruchmagie_verzauberung_5_nebelleib</t>
        </is>
      </c>
      <c r="B772" s="11" t="inlineStr">
        <is>
          <t>Spruchmagie</t>
        </is>
      </c>
      <c r="C772" s="18" t="inlineStr">
        <is>
          <t>Nebelleib</t>
        </is>
      </c>
      <c r="E772" s="14" t="n"/>
      <c r="F772" s="14" t="inlineStr">
        <is>
          <t>Verzauberung</t>
        </is>
      </c>
      <c r="G772" s="11" t="inlineStr">
        <is>
          <t>Wert</t>
        </is>
      </c>
      <c r="K772" t="n">
        <v>5</v>
      </c>
      <c r="L772" s="28" t="inlineStr">
        <is>
          <t>WENN(wert=0;0;10+(wert-1)*grad)</t>
        </is>
      </c>
      <c r="P772" t="inlineStr">
        <is>
          <t>eig_bonus_g_sinneschaerfe</t>
        </is>
      </c>
      <c r="Q772"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773" hidden="1" ht="15.75" customHeight="1" s="48">
      <c r="A773" s="29" t="inlineStr">
        <is>
          <t>#spruchmagie_verzauberung_5_permanentes_artefakt_erschaffen</t>
        </is>
      </c>
      <c r="B773" s="11" t="inlineStr">
        <is>
          <t>Spruchmagie</t>
        </is>
      </c>
      <c r="C773" s="18" t="inlineStr">
        <is>
          <t>Permanentes Artefakt erschaffen</t>
        </is>
      </c>
      <c r="E773" s="14" t="n"/>
      <c r="F773" s="14" t="inlineStr">
        <is>
          <t>Verzauberung</t>
        </is>
      </c>
      <c r="G773" s="11" t="inlineStr">
        <is>
          <t>Wert</t>
        </is>
      </c>
      <c r="K773" t="n">
        <v>5</v>
      </c>
      <c r="L773" s="28" t="inlineStr">
        <is>
          <t>WENN(wert=0;0;10+(wert-1)*grad)</t>
        </is>
      </c>
      <c r="P773" t="inlineStr">
        <is>
          <t>eig_bonus_g_intelligenz</t>
        </is>
      </c>
      <c r="Q773"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774" hidden="1" ht="15.75" customHeight="1" s="48">
      <c r="A774" s="29" t="inlineStr">
        <is>
          <t>#spruchmagie_verzauberung_5_schwaeche</t>
        </is>
      </c>
      <c r="B774" s="11" t="inlineStr">
        <is>
          <t>Spruchmagie</t>
        </is>
      </c>
      <c r="C774" s="18" t="inlineStr">
        <is>
          <t>Schwäche</t>
        </is>
      </c>
      <c r="E774" s="14" t="n"/>
      <c r="F774" s="14" t="inlineStr">
        <is>
          <t>Verzauberung</t>
        </is>
      </c>
      <c r="G774" s="11" t="inlineStr">
        <is>
          <t>Wert</t>
        </is>
      </c>
      <c r="K774" t="n">
        <v>5</v>
      </c>
      <c r="L774" s="28" t="inlineStr">
        <is>
          <t>WENN(wert=0;0;10+(wert-1)*grad)</t>
        </is>
      </c>
      <c r="P774" t="inlineStr">
        <is>
          <t>eig_bonus_g_intelligenz</t>
        </is>
      </c>
      <c r="Q774" t="inlineStr">
        <is>
          <t>Alle körperlichen Eigenschaften (Athletik, Geschicklichkeit Konstitution, Schnelligkeit, Stärke) des Ziels werden um {Magie} * 2 gesenkt. Eigenschaften können nicht unter 1 fallen.Das Opfer bemerkt die Verzauberung sofort.</t>
        </is>
      </c>
    </row>
    <row r="775" hidden="1" ht="15.75" customHeight="1" s="48">
      <c r="A775" s="29" t="inlineStr">
        <is>
          <t>#spruchmagie_verzauberung_5_verwandlung</t>
        </is>
      </c>
      <c r="B775" s="11" t="inlineStr">
        <is>
          <t>Spruchmagie</t>
        </is>
      </c>
      <c r="C775" s="18" t="inlineStr">
        <is>
          <t>Verwandlung</t>
        </is>
      </c>
      <c r="E775" s="14" t="n"/>
      <c r="F775" s="14" t="inlineStr">
        <is>
          <t>Verzauberung</t>
        </is>
      </c>
      <c r="G775" s="11" t="inlineStr">
        <is>
          <t>Wert</t>
        </is>
      </c>
      <c r="K775" t="n">
        <v>5</v>
      </c>
      <c r="L775" s="28" t="inlineStr">
        <is>
          <t>WENN(wert=0;0;10+(wert-1)*grad)</t>
        </is>
      </c>
      <c r="P775" t="inlineStr">
        <is>
          <t>eig_bonus_g_ausstrahlung</t>
        </is>
      </c>
      <c r="Q775"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776" hidden="1" ht="15.75" customHeight="1" s="48">
      <c r="A776" s="29" t="inlineStr">
        <is>
          <t>#spruchmagie_verzauberung_5_warp</t>
        </is>
      </c>
      <c r="B776" s="11" t="inlineStr">
        <is>
          <t>Spruchmagie</t>
        </is>
      </c>
      <c r="C776" s="18" t="inlineStr">
        <is>
          <t>Warp</t>
        </is>
      </c>
      <c r="E776" s="14" t="n"/>
      <c r="F776" s="14" t="inlineStr">
        <is>
          <t>Verzauberung</t>
        </is>
      </c>
      <c r="G776" s="11" t="inlineStr">
        <is>
          <t>Wert</t>
        </is>
      </c>
      <c r="K776" t="n">
        <v>5</v>
      </c>
      <c r="L776" s="28" t="inlineStr">
        <is>
          <t>WENN(wert=0;0;10+(wert-1)*grad)</t>
        </is>
      </c>
      <c r="P776" t="inlineStr">
        <is>
          <t>eig_bonus_g_sinneschaerfe</t>
        </is>
      </c>
      <c r="Q776"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777" hidden="1" ht="15.75" customHeight="1" s="48">
      <c r="A777" s="29" t="inlineStr">
        <is>
          <t>#spruchmagie_verzauberung_6_dummheit</t>
        </is>
      </c>
      <c r="B777" s="11" t="inlineStr">
        <is>
          <t>Spruchmagie</t>
        </is>
      </c>
      <c r="C777" s="18" t="inlineStr">
        <is>
          <t>Dummheit</t>
        </is>
      </c>
      <c r="E777" s="14" t="n"/>
      <c r="F777" s="14" t="inlineStr">
        <is>
          <t>Verzauberung</t>
        </is>
      </c>
      <c r="G777" s="11" t="inlineStr">
        <is>
          <t>Wert</t>
        </is>
      </c>
      <c r="K777" t="n">
        <v>6</v>
      </c>
      <c r="L777" s="28" t="inlineStr">
        <is>
          <t>WENN(wert=0;0;10+(wert-1)*grad)</t>
        </is>
      </c>
      <c r="P777" t="inlineStr">
        <is>
          <t>eig_bonus_g_intelligenz</t>
        </is>
      </c>
      <c r="Q777" t="inlineStr">
        <is>
          <t>Alle geistigen Eigenschaften (Intelligenz, Mut, Sinnesschärfe, Willenskraft) des Opfers werden um {Magie} * 2 gesenkt. Eigenschaften können nicht unter 1 fallen.Das Opfer bemerkt die Verzauberung sofort.</t>
        </is>
      </c>
    </row>
    <row r="778" hidden="1" ht="15.75" customHeight="1" s="48">
      <c r="A778" s="29" t="inlineStr">
        <is>
          <t>#spruchmagie_verzauberung_6_eisenhaut</t>
        </is>
      </c>
      <c r="B778" s="11" t="inlineStr">
        <is>
          <t>Spruchmagie</t>
        </is>
      </c>
      <c r="C778" s="18" t="inlineStr">
        <is>
          <t>Eisenhaut</t>
        </is>
      </c>
      <c r="E778" s="14" t="n"/>
      <c r="F778" s="14" t="inlineStr">
        <is>
          <t>Verzauberung</t>
        </is>
      </c>
      <c r="G778" s="11" t="inlineStr">
        <is>
          <t>Wert</t>
        </is>
      </c>
      <c r="K778" t="n">
        <v>6</v>
      </c>
      <c r="L778" s="28" t="inlineStr">
        <is>
          <t>WENN(wert=0;0;10+(wert-1)*grad)</t>
        </is>
      </c>
      <c r="P778" t="inlineStr">
        <is>
          <t>eig_bonus_k_konstitution</t>
        </is>
      </c>
      <c r="Q778" t="inlineStr">
        <is>
          <t>Die Haut des Magiers wird widerstandsfähiger.Er erhält zusätzlichen Rüstungsschutz von [{Magie} + {Aura}]:2 auf allen TZ.</t>
        </is>
      </c>
    </row>
    <row r="779" hidden="1" ht="15.75" customHeight="1" s="48">
      <c r="A779" s="29" t="inlineStr">
        <is>
          <t>#spruchmagie_verzauberung_6_last_des_alters</t>
        </is>
      </c>
      <c r="B779" s="11" t="inlineStr">
        <is>
          <t>Spruchmagie</t>
        </is>
      </c>
      <c r="C779" s="18" t="inlineStr">
        <is>
          <t>Last des Alters</t>
        </is>
      </c>
      <c r="E779" s="14" t="n"/>
      <c r="F779" s="14" t="inlineStr">
        <is>
          <t>Verzauberung</t>
        </is>
      </c>
      <c r="G779" s="11" t="inlineStr">
        <is>
          <t>Wert</t>
        </is>
      </c>
      <c r="K779" t="n">
        <v>6</v>
      </c>
      <c r="L779" s="28" t="inlineStr">
        <is>
          <t>WENN(wert=0;0;10+(wert-1)*grad)</t>
        </is>
      </c>
      <c r="P779" t="inlineStr">
        <is>
          <t>eig_bonus_g_ausstrahlung</t>
        </is>
      </c>
      <c r="Q779"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780" hidden="1" ht="15.75" customHeight="1" s="48">
      <c r="A780" s="29" t="inlineStr">
        <is>
          <t>#spruchmagie_verzauberung_7_grosser_golem</t>
        </is>
      </c>
      <c r="B780" s="11" t="inlineStr">
        <is>
          <t>Spruchmagie</t>
        </is>
      </c>
      <c r="C780" s="18" t="inlineStr">
        <is>
          <t>Großer Golem</t>
        </is>
      </c>
      <c r="E780" s="14" t="n"/>
      <c r="F780" s="14" t="inlineStr">
        <is>
          <t>Verzauberung</t>
        </is>
      </c>
      <c r="G780" s="11" t="inlineStr">
        <is>
          <t>Wert</t>
        </is>
      </c>
      <c r="K780" t="n">
        <v>7</v>
      </c>
      <c r="L780" s="28" t="inlineStr">
        <is>
          <t>WENN(wert=0;0;10+(wert-1)*grad)</t>
        </is>
      </c>
      <c r="P780" t="inlineStr">
        <is>
          <t>eig_bonus_g_willenskraft</t>
        </is>
      </c>
      <c r="Q780"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781" hidden="1" ht="15.75" customHeight="1" s="48">
      <c r="A781" s="29" t="inlineStr">
        <is>
          <t>#spruchmagie_verzauberung_7_krueppel</t>
        </is>
      </c>
      <c r="B781" s="11" t="inlineStr">
        <is>
          <t>Spruchmagie</t>
        </is>
      </c>
      <c r="C781" s="18" t="inlineStr">
        <is>
          <t>Krüppel</t>
        </is>
      </c>
      <c r="E781" s="14" t="n"/>
      <c r="F781" s="14" t="inlineStr">
        <is>
          <t>Verzauberung</t>
        </is>
      </c>
      <c r="G781" s="11" t="inlineStr">
        <is>
          <t>Wert</t>
        </is>
      </c>
      <c r="K781" t="n">
        <v>7</v>
      </c>
      <c r="L781" s="28" t="inlineStr">
        <is>
          <t>WENN(wert=0;0;10+(wert-1)*grad)</t>
        </is>
      </c>
      <c r="P781" t="inlineStr">
        <is>
          <t>eig_bonus_g_intelligenz</t>
        </is>
      </c>
      <c r="Q781" t="inlineStr">
        <is>
          <t>Alle Eigenschaften des Opfers werden um {Magie} * 2 Punkte gesenkt.Eigenschaften können nicht unter 1 fallen.Das Opfer bemerkt die Verzauberung sofort.</t>
        </is>
      </c>
    </row>
    <row r="782" hidden="1" ht="15.75" customHeight="1" s="48">
      <c r="A782" s="29" t="inlineStr">
        <is>
          <t>#spruchmagie_verzauberung_7_leib_aus_[element]</t>
        </is>
      </c>
      <c r="B782" s="11" t="inlineStr">
        <is>
          <t>Spruchmagie</t>
        </is>
      </c>
      <c r="C782" s="18" t="inlineStr">
        <is>
          <t>Leib aus [Element]</t>
        </is>
      </c>
      <c r="E782" s="14" t="n"/>
      <c r="F782" s="14" t="inlineStr">
        <is>
          <t>Verzauberung</t>
        </is>
      </c>
      <c r="G782" s="11" t="inlineStr">
        <is>
          <t>Wert</t>
        </is>
      </c>
      <c r="K782" t="n">
        <v>7</v>
      </c>
      <c r="L782" s="28" t="inlineStr">
        <is>
          <t>WENN(wert=0;0;10+(wert-1)*grad)</t>
        </is>
      </c>
      <c r="P782" t="inlineStr">
        <is>
          <t>eig_bonus_g_willenskraft</t>
        </is>
      </c>
      <c r="Q782"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783" hidden="1" ht="15.75" customHeight="1" s="48">
      <c r="A783" s="29" t="inlineStr">
        <is>
          <t>#spruchmagie_verzauberung_7_tod_nn</t>
        </is>
      </c>
      <c r="B783" s="11" t="inlineStr">
        <is>
          <t>Spruchmagie</t>
        </is>
      </c>
      <c r="C783" s="18" t="inlineStr">
        <is>
          <t>Tod (NN)</t>
        </is>
      </c>
      <c r="E783" s="14" t="n"/>
      <c r="F783" s="14" t="inlineStr">
        <is>
          <t>Verzauberung</t>
        </is>
      </c>
      <c r="G783" s="11" t="inlineStr">
        <is>
          <t>Wert</t>
        </is>
      </c>
      <c r="K783" t="n">
        <v>7</v>
      </c>
      <c r="L783" s="28" t="inlineStr">
        <is>
          <t>WENN(wert=0;0;10+(wert-1)*grad)</t>
        </is>
      </c>
      <c r="P783" t="inlineStr">
        <is>
          <t>eig_bonus_k_staerke</t>
        </is>
      </c>
      <c r="Q783"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784" hidden="1" ht="15.75" customHeight="1" s="48">
      <c r="A784" s="29" t="inlineStr">
        <is>
          <t>#spruchmagie_verzauberung_7_tod_nr</t>
        </is>
      </c>
      <c r="B784" s="11" t="inlineStr">
        <is>
          <t>Spruchmagie</t>
        </is>
      </c>
      <c r="C784" s="18" t="inlineStr">
        <is>
          <t>Tod NR</t>
        </is>
      </c>
      <c r="E784" s="14" t="n"/>
      <c r="F784" s="14" t="inlineStr">
        <is>
          <t>Verzauberung</t>
        </is>
      </c>
      <c r="G784" s="11" t="inlineStr">
        <is>
          <t>Wert</t>
        </is>
      </c>
      <c r="K784" t="n">
        <v>7</v>
      </c>
      <c r="L784" s="28" t="inlineStr">
        <is>
          <t>WENN(wert=0;0;10+(wert-1)*grad)</t>
        </is>
      </c>
      <c r="P784" t="inlineStr">
        <is>
          <t>eig_bonus_k_staerke</t>
        </is>
      </c>
      <c r="Q784"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785" hidden="1" ht="15.75" customHeight="1" s="48">
      <c r="A785" s="29" t="inlineStr">
        <is>
          <t>#spruchmagie_verzauberung_7_verjuengung</t>
        </is>
      </c>
      <c r="B785" s="11" t="inlineStr">
        <is>
          <t>Spruchmagie</t>
        </is>
      </c>
      <c r="C785" s="18" t="inlineStr">
        <is>
          <t>Verjüngung</t>
        </is>
      </c>
      <c r="E785" s="14" t="n"/>
      <c r="F785" s="14" t="inlineStr">
        <is>
          <t>Verzauberung</t>
        </is>
      </c>
      <c r="G785" s="11" t="inlineStr">
        <is>
          <t>Wert</t>
        </is>
      </c>
      <c r="K785" t="n">
        <v>7</v>
      </c>
      <c r="L785" s="28" t="inlineStr">
        <is>
          <t>WENN(wert=0;0;10+(wert-1)*grad)</t>
        </is>
      </c>
      <c r="P785" t="inlineStr">
        <is>
          <t>eig_bonus_g_ausstrahlung</t>
        </is>
      </c>
      <c r="Q785"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786" hidden="1" ht="15.75" customHeight="1" s="48">
      <c r="A786" s="29" t="inlineStr">
        <is>
          <t>#spruchmagie_wasserbeschwoerung_1_eisball</t>
        </is>
      </c>
      <c r="B786" s="11" t="inlineStr">
        <is>
          <t>Spruchmagie</t>
        </is>
      </c>
      <c r="C786" s="18" t="inlineStr">
        <is>
          <t>Eisball</t>
        </is>
      </c>
      <c r="E786" s="14" t="n"/>
      <c r="F786" s="14" t="inlineStr">
        <is>
          <t>Wasserbeschwörung</t>
        </is>
      </c>
      <c r="G786" s="11" t="inlineStr">
        <is>
          <t>Wert</t>
        </is>
      </c>
      <c r="K786" t="n">
        <v>1</v>
      </c>
      <c r="L786" s="28" t="inlineStr">
        <is>
          <t>WENN(wert=0;0;10+(wert-1)*grad)</t>
        </is>
      </c>
      <c r="P786" t="inlineStr">
        <is>
          <t>eig_bonus_k_athletik</t>
        </is>
      </c>
      <c r="Q786" t="inlineStr">
        <is>
          <t>Der Magus erschafft einen Ball aus Wasser. Schaden: 2W4 + {Magie}. Pro 5 TP erleidet das Opfer zusätzliche BE 1, nur die höchste so erzielte BE zählt.</t>
        </is>
      </c>
    </row>
    <row r="787" hidden="1" ht="15.75" customHeight="1" s="48">
      <c r="A787" s="29" t="inlineStr">
        <is>
          <t>#spruchmagie_wasserbeschwoerung_1_eisball_nr</t>
        </is>
      </c>
      <c r="B787" s="11" t="inlineStr">
        <is>
          <t>Spruchmagie</t>
        </is>
      </c>
      <c r="C787" s="18" t="inlineStr">
        <is>
          <t>Eisball NR</t>
        </is>
      </c>
      <c r="E787" s="14" t="n"/>
      <c r="F787" s="14" t="inlineStr">
        <is>
          <t>Wasserbeschwörung</t>
        </is>
      </c>
      <c r="G787" s="11" t="inlineStr">
        <is>
          <t>Wert</t>
        </is>
      </c>
      <c r="K787" t="n">
        <v>1</v>
      </c>
      <c r="L787" s="28" t="inlineStr">
        <is>
          <t>WENN(wert=0;0;10+(wert-1)*grad)</t>
        </is>
      </c>
      <c r="P787" t="inlineStr">
        <is>
          <t>eig_bonus_k_athletik</t>
        </is>
      </c>
      <c r="Q787"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788" hidden="1" ht="15.75" customHeight="1" s="48">
      <c r="A788" s="29" t="inlineStr">
        <is>
          <t>#spruchmagie_wasserbeschwoerung_1_frostfaust</t>
        </is>
      </c>
      <c r="B788" s="11" t="inlineStr">
        <is>
          <t>Spruchmagie</t>
        </is>
      </c>
      <c r="C788" s="18" t="inlineStr">
        <is>
          <t>Frostfaust</t>
        </is>
      </c>
      <c r="E788" s="14" t="n"/>
      <c r="F788" s="14" t="inlineStr">
        <is>
          <t>Wasserbeschwörung</t>
        </is>
      </c>
      <c r="G788" s="11" t="inlineStr">
        <is>
          <t>Wert</t>
        </is>
      </c>
      <c r="K788" t="n">
        <v>1</v>
      </c>
      <c r="L788" s="28" t="inlineStr">
        <is>
          <t>WENN(wert=0;0;10+(wert-1)*grad)</t>
        </is>
      </c>
      <c r="P788" t="inlineStr">
        <is>
          <t>eig_bonus_k_athletik</t>
        </is>
      </c>
      <c r="Q788" t="inlineStr">
        <is>
          <t>Die Fäuste des Magiers verursachen zusätzlichen Elementarschaden. Schaden: W8 + {Magie}. Pro 5 TP erleidet das Opfer zusätzliche BE 1, nur die höchste so erzielte BE zählt.</t>
        </is>
      </c>
    </row>
    <row r="789" hidden="1" ht="15.75" customHeight="1" s="48">
      <c r="A789" s="29" t="inlineStr">
        <is>
          <t>#spruchmagie_wasserbeschwoerung_1_frostfaust_nr</t>
        </is>
      </c>
      <c r="B789" s="11" t="inlineStr">
        <is>
          <t>Spruchmagie</t>
        </is>
      </c>
      <c r="C789" s="18" t="inlineStr">
        <is>
          <t>Frostfaust NR</t>
        </is>
      </c>
      <c r="E789" s="14" t="n"/>
      <c r="F789" s="14" t="inlineStr">
        <is>
          <t>Wasserbeschwörung</t>
        </is>
      </c>
      <c r="G789" s="11" t="inlineStr">
        <is>
          <t>Wert</t>
        </is>
      </c>
      <c r="K789" t="n">
        <v>1</v>
      </c>
      <c r="L789" s="28" t="inlineStr">
        <is>
          <t>WENN(wert=0;0;10+(wert-1)*grad)</t>
        </is>
      </c>
      <c r="P789" t="inlineStr">
        <is>
          <t>eig_bonus_k_athletik</t>
        </is>
      </c>
      <c r="Q789" t="inlineStr">
        <is>
          <t>Die Fäuste des Magiers verursachen zusätzlichen Elementarschaden.   Schaden:   W10 + {Magie}  Pro 5 TP erleidet das Opfer BE 1 für {M} sec.</t>
        </is>
      </c>
    </row>
    <row r="790" hidden="1" ht="15.75" customHeight="1" s="48">
      <c r="A790" s="29" t="inlineStr">
        <is>
          <t>#spruchmagie_wasserbeschwoerung_2_frostbolzen</t>
        </is>
      </c>
      <c r="B790" s="11" t="inlineStr">
        <is>
          <t>Spruchmagie</t>
        </is>
      </c>
      <c r="C790" s="18" t="inlineStr">
        <is>
          <t>Frostbolzen</t>
        </is>
      </c>
      <c r="E790" s="14" t="n"/>
      <c r="F790" s="14" t="inlineStr">
        <is>
          <t>Wasserbeschwörung</t>
        </is>
      </c>
      <c r="G790" s="11" t="inlineStr">
        <is>
          <t>Wert</t>
        </is>
      </c>
      <c r="K790" t="n">
        <v>2</v>
      </c>
      <c r="L790" s="28" t="inlineStr">
        <is>
          <t>WENN(wert=0;0;10+(wert-1)*grad)</t>
        </is>
      </c>
      <c r="P790" t="inlineStr">
        <is>
          <t>eig_bonus_k_athletik</t>
        </is>
      </c>
      <c r="Q790" t="inlineStr">
        <is>
          <t>Der Magus erschafft einen Bolzen aus Wasser. Treffer auf FK-TZ. Schaden: 2W6 + {Magie}, RB: {Magie}*2. Pro 5 TP erleidet das Opfer zusätzliche BE 1, nur die höchste so erzielte BE zählt.</t>
        </is>
      </c>
    </row>
    <row r="791" hidden="1" ht="15.75" customHeight="1" s="48">
      <c r="A791" s="29" t="inlineStr">
        <is>
          <t>#spruchmagie_wasserbeschwoerung_2_frostbolzen_nr</t>
        </is>
      </c>
      <c r="B791" s="11" t="inlineStr">
        <is>
          <t>Spruchmagie</t>
        </is>
      </c>
      <c r="C791" s="18" t="inlineStr">
        <is>
          <t>Frostbolzen NR</t>
        </is>
      </c>
      <c r="E791" s="14" t="n"/>
      <c r="F791" s="14" t="inlineStr">
        <is>
          <t>Wasserbeschwörung</t>
        </is>
      </c>
      <c r="G791" s="11" t="inlineStr">
        <is>
          <t>Wert</t>
        </is>
      </c>
      <c r="K791" t="n">
        <v>2</v>
      </c>
      <c r="L791" s="28" t="inlineStr">
        <is>
          <t>WENN(wert=0;0;10+(wert-1)*grad)</t>
        </is>
      </c>
      <c r="P791" t="inlineStr">
        <is>
          <t>eig_bonus_k_athletik</t>
        </is>
      </c>
      <c r="Q791" t="inlineStr">
        <is>
          <t>Der Magus erschafft einen Bolzen aus Eis. Bis {M}m Glücks-Probe, bis {M}*2m AW:2, danach AW, um dem Schaden zu entgehen. Fluggeschwindigkeit ist {M}m/s. Treffer auf FK (W30). Schaden: 2W8 + {Magie}; RB: {Magie}*2 Pro 5 TP erleidet das Opfer BE 1 für {M} sec.</t>
        </is>
      </c>
    </row>
    <row r="792" hidden="1" ht="15.75" customHeight="1" s="48">
      <c r="A792" s="29" t="inlineStr">
        <is>
          <t>#spruchmagie_wasserbeschwoerung_3_grosse_frostfaust</t>
        </is>
      </c>
      <c r="B792" s="11" t="inlineStr">
        <is>
          <t>Spruchmagie</t>
        </is>
      </c>
      <c r="C792" s="18" t="inlineStr">
        <is>
          <t>Große Frostfaust</t>
        </is>
      </c>
      <c r="E792" s="14" t="n"/>
      <c r="F792" s="14" t="inlineStr">
        <is>
          <t>Wasserbeschwörung</t>
        </is>
      </c>
      <c r="G792" s="11" t="inlineStr">
        <is>
          <t>Wert</t>
        </is>
      </c>
      <c r="K792" t="n">
        <v>3</v>
      </c>
      <c r="L792" s="28" t="inlineStr">
        <is>
          <t>WENN(wert=0;0;10+(wert-1)*grad)</t>
        </is>
      </c>
      <c r="P792" t="inlineStr">
        <is>
          <t>eig_bonus_k_athletik</t>
        </is>
      </c>
      <c r="Q792" t="inlineStr">
        <is>
          <t>Die Fäuste des Magiers verursachen zusätzlichen Elementarschaden von 2W12+{Magie}. Pro 5 TP erleidet das Opfer zusätzliche BE 1, nur die höchste so erzielte BE zählt.</t>
        </is>
      </c>
    </row>
    <row r="793" hidden="1" ht="15.75" customHeight="1" s="48">
      <c r="A793" s="29" t="inlineStr">
        <is>
          <t>#spruchmagie_wasserbeschwoerung_3_grosse_frostfaust_nr</t>
        </is>
      </c>
      <c r="B793" s="11" t="inlineStr">
        <is>
          <t>Spruchmagie</t>
        </is>
      </c>
      <c r="C793" s="18" t="inlineStr">
        <is>
          <t>Große Frostfaust NR</t>
        </is>
      </c>
      <c r="E793" s="14" t="n"/>
      <c r="F793" s="14" t="inlineStr">
        <is>
          <t>Wasserbeschwörung</t>
        </is>
      </c>
      <c r="G793" s="11" t="inlineStr">
        <is>
          <t>Wert</t>
        </is>
      </c>
      <c r="K793" t="n">
        <v>3</v>
      </c>
      <c r="L793" s="28" t="inlineStr">
        <is>
          <t>WENN(wert=0;0;10+(wert-1)*grad)</t>
        </is>
      </c>
      <c r="P793" t="inlineStr">
        <is>
          <t>eig_bonus_k_athletik</t>
        </is>
      </c>
      <c r="Q793" t="inlineStr">
        <is>
          <t>Die Fäuste des Magiers verursachen zusätzlichen Elementarschaden von   2W15+{Magie}  Pro 5 TP erleidet das Opfer BE 1 für {M} sec.</t>
        </is>
      </c>
    </row>
    <row r="794" hidden="1" ht="15.75" customHeight="1" s="48">
      <c r="A794" s="29" t="inlineStr">
        <is>
          <t>#spruchmagie_wasserbeschwoerung_4_grosser_eisball</t>
        </is>
      </c>
      <c r="B794" s="11" t="inlineStr">
        <is>
          <t>Spruchmagie</t>
        </is>
      </c>
      <c r="C794" s="18" t="inlineStr">
        <is>
          <t>Großer Eisball</t>
        </is>
      </c>
      <c r="E794" s="14" t="n"/>
      <c r="F794" s="14" t="inlineStr">
        <is>
          <t>Wasserbeschwörung</t>
        </is>
      </c>
      <c r="G794" s="11" t="inlineStr">
        <is>
          <t>Wert</t>
        </is>
      </c>
      <c r="K794" t="n">
        <v>4</v>
      </c>
      <c r="L794" s="28" t="inlineStr">
        <is>
          <t>WENN(wert=0;0;10+(wert-1)*grad)</t>
        </is>
      </c>
      <c r="P794" t="inlineStr">
        <is>
          <t>eig_bonus_k_athletik</t>
        </is>
      </c>
      <c r="Q794" t="inlineStr">
        <is>
          <t>Der Magus erschafft einen Ball aus Wasser. Schaden: W12 + {Magie} auf jede Trefferzone. Pro 5 TP erleidet das Opfer zusätzliche BE 1, nur die höchste so erzielte BE zählt.</t>
        </is>
      </c>
    </row>
    <row r="795" hidden="1" ht="15.75" customHeight="1" s="48">
      <c r="A795" s="29" t="inlineStr">
        <is>
          <t>#spruchmagie_wasserbeschwoerung_4_grosser_eisball_nr</t>
        </is>
      </c>
      <c r="B795" s="11" t="inlineStr">
        <is>
          <t>Spruchmagie</t>
        </is>
      </c>
      <c r="C795" s="18" t="inlineStr">
        <is>
          <t>Großer Eisball NR</t>
        </is>
      </c>
      <c r="E795" s="14" t="n"/>
      <c r="F795" s="14" t="inlineStr">
        <is>
          <t>Wasserbeschwörung</t>
        </is>
      </c>
      <c r="G795" s="11" t="inlineStr">
        <is>
          <t>Wert</t>
        </is>
      </c>
      <c r="K795" t="n">
        <v>4</v>
      </c>
      <c r="L795" s="28" t="inlineStr">
        <is>
          <t>WENN(wert=0;0;10+(wert-1)*grad)</t>
        </is>
      </c>
      <c r="P795" t="inlineStr">
        <is>
          <t>eig_bonus_k_athletik</t>
        </is>
      </c>
      <c r="Q795" t="inlineStr">
        <is>
          <t>Der Magus erschafft einen Ball aus Eis.  Bis {M}:2 m Glücks-Probe, ab {M}:2 m Ausweichen-Probe, um dem Schaden zu entgehen. Fluggeschwindigkeit ist {M}:2 m/s.  Schaden: W15 + {Magie}*2 auf jede Trefferzone  Pro 5 TP erleidet das Opfer BE 1 für {M} sec.</t>
        </is>
      </c>
    </row>
    <row r="796" hidden="1" ht="15.75" customHeight="1" s="48">
      <c r="A796" s="29" t="inlineStr">
        <is>
          <t>#spruchmagie_z_beherrschung_entwicklung_1_aufmerksamkeit2</t>
        </is>
      </c>
      <c r="B796" s="11" t="inlineStr">
        <is>
          <t>Spruchmagie</t>
        </is>
      </c>
      <c r="C796" s="18" t="inlineStr">
        <is>
          <t>Aufmerksamkeit2</t>
        </is>
      </c>
      <c r="E796" s="14" t="n"/>
      <c r="F796" s="14" t="inlineStr">
        <is>
          <t>z_beherrschung_entwicklung</t>
        </is>
      </c>
      <c r="G796" s="11" t="inlineStr">
        <is>
          <t>Wert</t>
        </is>
      </c>
      <c r="K796" t="n">
        <v>1</v>
      </c>
      <c r="L796" s="28" t="inlineStr">
        <is>
          <t>WENN(wert=0;0;10+(wert-1)*grad)</t>
        </is>
      </c>
      <c r="P796" t="inlineStr">
        <is>
          <t>eig_bonus_g_willenskraft</t>
        </is>
      </c>
      <c r="Q796"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797" hidden="1" ht="15.75" customHeight="1" s="48">
      <c r="A797" s="29" t="inlineStr">
        <is>
          <t>#spruchmagie_z_beherrschung_entwicklung_1_beruhigung</t>
        </is>
      </c>
      <c r="B797" s="11" t="inlineStr">
        <is>
          <t>Spruchmagie</t>
        </is>
      </c>
      <c r="C797" s="18" t="inlineStr">
        <is>
          <t>Beruhigung</t>
        </is>
      </c>
      <c r="E797" s="14" t="n"/>
      <c r="F797" s="14" t="inlineStr">
        <is>
          <t>z_beherrschung_entwicklung</t>
        </is>
      </c>
      <c r="G797" s="11" t="inlineStr">
        <is>
          <t>Wert</t>
        </is>
      </c>
      <c r="K797" t="n">
        <v>1</v>
      </c>
      <c r="L797" s="28" t="inlineStr">
        <is>
          <t>WENN(wert=0;0;10+(wert-1)*grad)</t>
        </is>
      </c>
      <c r="P797" t="inlineStr">
        <is>
          <t>eig_bonus_g_willenskraft</t>
        </is>
      </c>
      <c r="Q797"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798" hidden="1" ht="15.75" customHeight="1" s="48">
      <c r="A798" s="29" t="inlineStr">
        <is>
          <t>#spruchmagie_z_beherrschung_entwicklung_1_entscheidungshilfe</t>
        </is>
      </c>
      <c r="B798" s="11" t="inlineStr">
        <is>
          <t>Spruchmagie</t>
        </is>
      </c>
      <c r="C798" s="18" t="inlineStr">
        <is>
          <t>Entscheidungshilfe</t>
        </is>
      </c>
      <c r="E798" s="14" t="n"/>
      <c r="F798" s="14" t="inlineStr">
        <is>
          <t>z_beherrschung_entwicklung</t>
        </is>
      </c>
      <c r="G798" s="11" t="inlineStr">
        <is>
          <t>Wert</t>
        </is>
      </c>
      <c r="K798" t="n">
        <v>1</v>
      </c>
      <c r="L798" s="28" t="inlineStr">
        <is>
          <t>WENN(wert=0;0;10+(wert-1)*grad)</t>
        </is>
      </c>
      <c r="P798" t="inlineStr">
        <is>
          <t>eig_bonus_g_willenskraft</t>
        </is>
      </c>
      <c r="Q798" t="inlineStr">
        <is>
          <t>Das Opfer wird vom Magus bei einer „Ja oder Nein“-Entscheidung beeinflusst, bei der das Opfer sich über die Antwort unsicher ist. Dieser Zauber hat keinen Einfluss auf schon gefasste Entscheidungen.   Widerstandswurf:  Willenskraft.</t>
        </is>
      </c>
    </row>
    <row r="799" hidden="1" ht="15.75" customHeight="1" s="48">
      <c r="A799" s="29" t="inlineStr">
        <is>
          <t>#spruchmagie_z_beherrschung_entwicklung_1_tierkontrolle</t>
        </is>
      </c>
      <c r="B799" s="11" t="inlineStr">
        <is>
          <t>Spruchmagie</t>
        </is>
      </c>
      <c r="C799" s="18" t="inlineStr">
        <is>
          <t>Tierkontrolle</t>
        </is>
      </c>
      <c r="E799" s="14" t="n"/>
      <c r="F799" s="14" t="inlineStr">
        <is>
          <t>z_beherrschung_entwicklung</t>
        </is>
      </c>
      <c r="G799" s="11" t="inlineStr">
        <is>
          <t>Wert</t>
        </is>
      </c>
      <c r="K799" t="n">
        <v>1</v>
      </c>
      <c r="L799" s="28" t="inlineStr">
        <is>
          <t>WENN(wert=0;0;10+(wert-1)*grad)</t>
        </is>
      </c>
      <c r="P799" t="inlineStr">
        <is>
          <t>eig_bonus_g_willenskraft</t>
        </is>
      </c>
      <c r="Q799"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800" hidden="1" ht="15.75" customHeight="1" s="48">
      <c r="A800" s="29" t="inlineStr">
        <is>
          <t>#spruchmagie_z_beherrschung_entwicklung_1_verwirrung2</t>
        </is>
      </c>
      <c r="B800" s="11" t="inlineStr">
        <is>
          <t>Spruchmagie</t>
        </is>
      </c>
      <c r="C800" s="18" t="inlineStr">
        <is>
          <t>Verwirrung2</t>
        </is>
      </c>
      <c r="E800" s="14" t="n"/>
      <c r="F800" s="14" t="inlineStr">
        <is>
          <t>z_beherrschung_entwicklung</t>
        </is>
      </c>
      <c r="G800" s="11" t="inlineStr">
        <is>
          <t>Wert</t>
        </is>
      </c>
      <c r="K800" t="n">
        <v>1</v>
      </c>
      <c r="L800" s="28" t="inlineStr">
        <is>
          <t>WENN(wert=0;0;10+(wert-1)*grad)</t>
        </is>
      </c>
      <c r="P800" t="inlineStr">
        <is>
          <t>eig_bonus_g_willenskraft</t>
        </is>
      </c>
      <c r="Q800"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801" hidden="1" ht="15.75" customHeight="1" s="48">
      <c r="A801" s="29" t="inlineStr">
        <is>
          <t>#spruchmagie_z_beherrschung_entwicklung_2_angst</t>
        </is>
      </c>
      <c r="B801" s="11" t="inlineStr">
        <is>
          <t>Spruchmagie</t>
        </is>
      </c>
      <c r="C801" s="18" t="inlineStr">
        <is>
          <t>Angst</t>
        </is>
      </c>
      <c r="E801" s="14" t="n"/>
      <c r="F801" s="14" t="inlineStr">
        <is>
          <t>z_beherrschung_entwicklung</t>
        </is>
      </c>
      <c r="G801" s="11" t="inlineStr">
        <is>
          <t>Wert</t>
        </is>
      </c>
      <c r="K801" t="n">
        <v>2</v>
      </c>
      <c r="L801" s="28" t="inlineStr">
        <is>
          <t>WENN(wert=0;0;10+(wert-1)*grad)</t>
        </is>
      </c>
      <c r="P801" t="inlineStr">
        <is>
          <t>eig_bonus_g_willenskraft</t>
        </is>
      </c>
      <c r="Q801"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802" hidden="1" ht="15.75" customHeight="1" s="48">
      <c r="A802" s="29" t="inlineStr">
        <is>
          <t>#spruchmagie_z_beherrschung_entwicklung_2_flucht</t>
        </is>
      </c>
      <c r="B802" s="11" t="inlineStr">
        <is>
          <t>Spruchmagie</t>
        </is>
      </c>
      <c r="C802" s="18" t="inlineStr">
        <is>
          <t>Flucht</t>
        </is>
      </c>
      <c r="E802" s="14" t="n"/>
      <c r="F802" s="14" t="inlineStr">
        <is>
          <t>z_beherrschung_entwicklung</t>
        </is>
      </c>
      <c r="G802" s="11" t="inlineStr">
        <is>
          <t>Wert</t>
        </is>
      </c>
      <c r="K802" t="n">
        <v>2</v>
      </c>
      <c r="L802" s="28" t="inlineStr">
        <is>
          <t>WENN(wert=0;0;10+(wert-1)*grad)</t>
        </is>
      </c>
      <c r="P802" t="inlineStr">
        <is>
          <t>eig_bonus_g_willenskraft</t>
        </is>
      </c>
      <c r="Q802" t="inlineStr">
        <is>
          <t xml:space="preserve">Das Opfer flieht vor dem Magus. Alle beim Laufen belastenden Gegenstände wirft es weg. Dabei entfernt es sich so weit vom Magus, bis es sich sicher fühlt. Widerstandswurf:  Willenskraft ; alle {Magie} * sec eine weitere. </t>
        </is>
      </c>
    </row>
    <row r="803" hidden="1" ht="15.75" customHeight="1" s="48">
      <c r="A803" s="29" t="inlineStr">
        <is>
          <t>#spruchmagie_z_beherrschung_entwicklung_2_harmlos</t>
        </is>
      </c>
      <c r="B803" s="11" t="inlineStr">
        <is>
          <t>Spruchmagie</t>
        </is>
      </c>
      <c r="C803" s="18" t="inlineStr">
        <is>
          <t>Harmlos</t>
        </is>
      </c>
      <c r="E803" s="14" t="n"/>
      <c r="F803" s="14" t="inlineStr">
        <is>
          <t>z_beherrschung_entwicklung</t>
        </is>
      </c>
      <c r="G803" s="11" t="inlineStr">
        <is>
          <t>Wert</t>
        </is>
      </c>
      <c r="K803" t="n">
        <v>2</v>
      </c>
      <c r="L803" s="28" t="inlineStr">
        <is>
          <t>WENN(wert=0;0;10+(wert-1)*grad)</t>
        </is>
      </c>
      <c r="P803" t="inlineStr">
        <is>
          <t>eig_bonus_g_willenskraft</t>
        </is>
      </c>
      <c r="Q803" t="inlineStr">
        <is>
          <t xml:space="preserve">Der Magus erscheint dem Opfer als eine vollkommen unbedrohliche, gewöhnliche Person. Es ist sehr unwahrscheinlich, dass er den Magus angreift. Widerstandswurf:  Sinnesschärfe ; alle {Magie} * sec eine weitere. </t>
        </is>
      </c>
    </row>
    <row r="804" hidden="1" ht="15.75" customHeight="1" s="48">
      <c r="A804" s="29" t="inlineStr">
        <is>
          <t>#spruchmagie_z_beherrschung_entwicklung_2_konfus2</t>
        </is>
      </c>
      <c r="B804" s="11" t="inlineStr">
        <is>
          <t>Spruchmagie</t>
        </is>
      </c>
      <c r="C804" s="18" t="inlineStr">
        <is>
          <t>Konfus2</t>
        </is>
      </c>
      <c r="E804" s="14" t="n"/>
      <c r="F804" s="14" t="inlineStr">
        <is>
          <t>z_beherrschung_entwicklung</t>
        </is>
      </c>
      <c r="G804" s="11" t="inlineStr">
        <is>
          <t>Wert</t>
        </is>
      </c>
      <c r="K804" t="n">
        <v>2</v>
      </c>
      <c r="L804" s="28" t="inlineStr">
        <is>
          <t>WENN(wert=0;0;10+(wert-1)*grad)</t>
        </is>
      </c>
      <c r="P804" t="inlineStr">
        <is>
          <t>eig_bonus_g_willenskraft</t>
        </is>
      </c>
      <c r="Q804" t="inlineStr">
        <is>
          <t>Das Opfer vergisst vollkommen, wer seine Freunde oder Feinde sind und greift ein zufälliges Ziel an, wenn es sich bereits im Kampf befindet. Widerstandswurf:  Willenskraft ; alle {Magie} * sec eine weitere.</t>
        </is>
      </c>
    </row>
    <row r="805" hidden="1" ht="15.75" customHeight="1" s="48">
      <c r="A805" s="29" t="inlineStr">
        <is>
          <t>#spruchmagie_z_beherrschung_entwicklung_2_tierfreundschaft</t>
        </is>
      </c>
      <c r="B805" s="11" t="inlineStr">
        <is>
          <t>Spruchmagie</t>
        </is>
      </c>
      <c r="C805" s="18" t="inlineStr">
        <is>
          <t>Tierfreundschaft</t>
        </is>
      </c>
      <c r="E805" s="14" t="n"/>
      <c r="F805" s="14" t="inlineStr">
        <is>
          <t>z_beherrschung_entwicklung</t>
        </is>
      </c>
      <c r="G805" s="11" t="inlineStr">
        <is>
          <t>Wert</t>
        </is>
      </c>
      <c r="K805" t="n">
        <v>2</v>
      </c>
      <c r="L805" s="28" t="inlineStr">
        <is>
          <t>WENN(wert=0;0;10+(wert-1)*grad)</t>
        </is>
      </c>
      <c r="P805" t="inlineStr">
        <is>
          <t>eig_bonus_g_willenskraft</t>
        </is>
      </c>
      <c r="Q805"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806" hidden="1" ht="15.75" customHeight="1" s="48">
      <c r="A806" s="29" t="inlineStr">
        <is>
          <t>#spruchmagie_z_beherrschung_entwicklung_2_wut</t>
        </is>
      </c>
      <c r="B806" s="11" t="inlineStr">
        <is>
          <t>Spruchmagie</t>
        </is>
      </c>
      <c r="C806" s="18" t="inlineStr">
        <is>
          <t>Wut</t>
        </is>
      </c>
      <c r="E806" s="14" t="n"/>
      <c r="F806" s="14" t="inlineStr">
        <is>
          <t>z_beherrschung_entwicklung</t>
        </is>
      </c>
      <c r="G806" s="11" t="inlineStr">
        <is>
          <t>Wert</t>
        </is>
      </c>
      <c r="K806" t="n">
        <v>2</v>
      </c>
      <c r="L806" s="28" t="inlineStr">
        <is>
          <t>WENN(wert=0;0;10+(wert-1)*grad)</t>
        </is>
      </c>
      <c r="P806" t="inlineStr">
        <is>
          <t>eig_bonus_g_willenskraft</t>
        </is>
      </c>
      <c r="Q806"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807" hidden="1" ht="15.75" customHeight="1" s="48">
      <c r="A807" s="29" t="inlineStr">
        <is>
          <t>#spruchmagie_z_beherrschung_entwicklung_3_feindschaft</t>
        </is>
      </c>
      <c r="B807" s="11" t="inlineStr">
        <is>
          <t>Spruchmagie</t>
        </is>
      </c>
      <c r="C807" s="18" t="inlineStr">
        <is>
          <t>Feindschaft</t>
        </is>
      </c>
      <c r="E807" s="14" t="n"/>
      <c r="F807" s="14" t="inlineStr">
        <is>
          <t>z_beherrschung_entwicklung</t>
        </is>
      </c>
      <c r="G807" s="11" t="inlineStr">
        <is>
          <t>Wert</t>
        </is>
      </c>
      <c r="K807" t="n">
        <v>3</v>
      </c>
      <c r="L807" s="28" t="inlineStr">
        <is>
          <t>WENN(wert=0;0;10+(wert-1)*grad)</t>
        </is>
      </c>
      <c r="P807" t="inlineStr">
        <is>
          <t>eig_bonus_g_willenskraft</t>
        </is>
      </c>
      <c r="Q807" t="inlineStr">
        <is>
          <t>Das Opfer wird von brennendem Hass gegenüber einem vom Magier bestimmten Ziel erfüllt. Je nach Veranlagung des Opfers wird es bei Provokationen gewalttätig. Widerstandswurf:  Intelligenz ; alle {Magie} * sec eine weitere.</t>
        </is>
      </c>
    </row>
    <row r="808" hidden="1" ht="15.75" customHeight="1" s="48">
      <c r="A808" s="29" t="inlineStr">
        <is>
          <t>#spruchmagie_z_beherrschung_entwicklung_3_fremde_zungen</t>
        </is>
      </c>
      <c r="B808" s="11" t="inlineStr">
        <is>
          <t>Spruchmagie</t>
        </is>
      </c>
      <c r="C808" s="18" t="inlineStr">
        <is>
          <t>Fremde Zungen</t>
        </is>
      </c>
      <c r="E808" s="14" t="n"/>
      <c r="F808" s="14" t="inlineStr">
        <is>
          <t>z_beherrschung_entwicklung</t>
        </is>
      </c>
      <c r="G808" s="11" t="inlineStr">
        <is>
          <t>Wert</t>
        </is>
      </c>
      <c r="K808" t="n">
        <v>3</v>
      </c>
      <c r="L808" s="28" t="inlineStr">
        <is>
          <t>WENN(wert=0;0;10+(wert-1)*grad)</t>
        </is>
      </c>
      <c r="P808" t="inlineStr">
        <is>
          <t>eig_bonus_g_willenskraft</t>
        </is>
      </c>
      <c r="Q808" t="inlineStr">
        <is>
          <t xml:space="preserve">Das Opfer versteht ihm bekannte Mitteilungsformen nicht mehr. Dies schließt Sprache, Schriften, Zeichen und Zeichensprache ein. Widerstandswurf:  Intelligenz ; alle {Magie} * sec eine weitere. </t>
        </is>
      </c>
    </row>
    <row r="809" hidden="1" ht="15.75" customHeight="1" s="48">
      <c r="A809" s="29" t="inlineStr">
        <is>
          <t>#spruchmagie_z_beherrschung_entwicklung_3_insektenruf</t>
        </is>
      </c>
      <c r="B809" s="11" t="inlineStr">
        <is>
          <t>Spruchmagie</t>
        </is>
      </c>
      <c r="C809" s="18" t="inlineStr">
        <is>
          <t>Insektenruf</t>
        </is>
      </c>
      <c r="E809" s="14" t="n"/>
      <c r="F809" s="14" t="inlineStr">
        <is>
          <t>z_beherrschung_entwicklung</t>
        </is>
      </c>
      <c r="G809" s="11" t="inlineStr">
        <is>
          <t>Wert</t>
        </is>
      </c>
      <c r="K809" t="n">
        <v>3</v>
      </c>
      <c r="L809" s="28" t="inlineStr">
        <is>
          <t>WENN(wert=0;0;10+(wert-1)*grad)</t>
        </is>
      </c>
      <c r="P809" t="inlineStr">
        <is>
          <t>eig_bonus_g_willenskraft</t>
        </is>
      </c>
      <c r="Q809"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810" hidden="1" ht="15.75" customHeight="1" s="48">
      <c r="A810" s="29" t="inlineStr">
        <is>
          <t>#spruchmagie_z_beherrschung_entwicklung_3_konzentration_stoeren</t>
        </is>
      </c>
      <c r="B810" s="11" t="inlineStr">
        <is>
          <t>Spruchmagie</t>
        </is>
      </c>
      <c r="C810" s="18" t="inlineStr">
        <is>
          <t>Konzentration stören</t>
        </is>
      </c>
      <c r="E810" s="14" t="n"/>
      <c r="F810" s="14" t="inlineStr">
        <is>
          <t>z_beherrschung_entwicklung</t>
        </is>
      </c>
      <c r="G810" s="11" t="inlineStr">
        <is>
          <t>Wert</t>
        </is>
      </c>
      <c r="K810" t="n">
        <v>3</v>
      </c>
      <c r="L810" s="28" t="inlineStr">
        <is>
          <t>WENN(wert=0;0;10+(wert-1)*grad)</t>
        </is>
      </c>
      <c r="P810" t="inlineStr">
        <is>
          <t>eig_bonus_g_willenskraft</t>
        </is>
      </c>
      <c r="Q810" t="inlineStr">
        <is>
          <t xml:space="preserve">Das Opfer wird bei allen Zaubervorbereitungen (KI, PSI, Spruchmagie) um {M} : 2 Punkte erschwert. Widerstandswurf:  Willenskraft ; alle {Magie} * sec eine weitere. </t>
        </is>
      </c>
    </row>
    <row r="811" hidden="1" ht="15.75" customHeight="1" s="48">
      <c r="A811" s="29" t="inlineStr">
        <is>
          <t>#spruchmagie_z_beherrschung_entwicklung_3_schmerz</t>
        </is>
      </c>
      <c r="B811" s="11" t="inlineStr">
        <is>
          <t>Spruchmagie</t>
        </is>
      </c>
      <c r="C811" s="18" t="inlineStr">
        <is>
          <t>Schmerz</t>
        </is>
      </c>
      <c r="E811" s="14" t="n"/>
      <c r="F811" s="14" t="inlineStr">
        <is>
          <t>z_beherrschung_entwicklung</t>
        </is>
      </c>
      <c r="G811" s="11" t="inlineStr">
        <is>
          <t>Wert</t>
        </is>
      </c>
      <c r="K811" t="n">
        <v>3</v>
      </c>
      <c r="L811" s="28" t="inlineStr">
        <is>
          <t>WENN(wert=0;0;10+(wert-1)*grad)</t>
        </is>
      </c>
      <c r="P811" t="inlineStr">
        <is>
          <t>eig_bonus_g_willenskraft</t>
        </is>
      </c>
      <c r="Q811" t="inlineStr">
        <is>
          <t xml:space="preserve">Das Opfer erleidet unbeschreibliche Schmerzen und muss jede Sekunde eine Selbstbeherrschungs-Probe erschwert um die {M} des Magiers ablegen. Widerstandswurf:  Konstitution ; alle {Magie} * sec eine weitere. </t>
        </is>
      </c>
    </row>
    <row r="812" hidden="1" ht="15.75" customHeight="1" s="48">
      <c r="A812" s="29" t="inlineStr">
        <is>
          <t>#spruchmagie_z_beherrschung_entwicklung_3_schmerzfrei</t>
        </is>
      </c>
      <c r="B812" s="11" t="inlineStr">
        <is>
          <t>Spruchmagie</t>
        </is>
      </c>
      <c r="C812" s="12" t="inlineStr">
        <is>
          <t>Schmerzfrei</t>
        </is>
      </c>
      <c r="F812" t="inlineStr">
        <is>
          <t>z_beherrschung_entwicklung</t>
        </is>
      </c>
      <c r="G812" s="11" t="inlineStr">
        <is>
          <t>Wert</t>
        </is>
      </c>
      <c r="K812" t="n">
        <v>3</v>
      </c>
      <c r="L812" s="28" t="inlineStr">
        <is>
          <t>WENN(wert=0;0;10+(wert-1)*grad)</t>
        </is>
      </c>
      <c r="P812" t="inlineStr">
        <is>
          <t>eig_bonus_g_willenskraft</t>
        </is>
      </c>
      <c r="Q812" t="inlineStr">
        <is>
          <t xml:space="preserve">Alle Selbstbeherrschungsproben des Opfers werden um {M} erleichtert und alle durch Schmerz oder Wunden entstandenen Behinderungen um die Hälfte reduziert. Widerstandswurf:  Konstitution ; alle {Magie} * min eine weitere. </t>
        </is>
      </c>
    </row>
    <row r="813" hidden="1" ht="15.75" customHeight="1" s="48">
      <c r="A813" s="29" t="inlineStr">
        <is>
          <t>#spruchmagie_z_beherrschung_entwicklung_3_tierbefehl</t>
        </is>
      </c>
      <c r="B813" s="11" t="inlineStr">
        <is>
          <t>Spruchmagie</t>
        </is>
      </c>
      <c r="C813" s="18" t="inlineStr">
        <is>
          <t>Tierbefehl</t>
        </is>
      </c>
      <c r="E813" s="14" t="n"/>
      <c r="F813" s="14" t="inlineStr">
        <is>
          <t>z_beherrschung_entwicklung</t>
        </is>
      </c>
      <c r="G813" s="11" t="inlineStr">
        <is>
          <t>Wert</t>
        </is>
      </c>
      <c r="K813" t="n">
        <v>3</v>
      </c>
      <c r="L813" s="28" t="inlineStr">
        <is>
          <t>WENN(wert=0;0;10+(wert-1)*grad)</t>
        </is>
      </c>
      <c r="P813" t="inlineStr">
        <is>
          <t>eig_bonus_g_willenskraft</t>
        </is>
      </c>
      <c r="Q813"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814" hidden="1" ht="15.75" customHeight="1" s="48">
      <c r="A814" s="29" t="inlineStr">
        <is>
          <t>#spruchmagie_z_beherrschung_entwicklung_3_zwang</t>
        </is>
      </c>
      <c r="B814" s="11" t="inlineStr">
        <is>
          <t>Spruchmagie</t>
        </is>
      </c>
      <c r="C814" s="18" t="inlineStr">
        <is>
          <t>Zwang</t>
        </is>
      </c>
      <c r="E814" s="14" t="n"/>
      <c r="F814" s="14" t="inlineStr">
        <is>
          <t>z_beherrschung_entwicklung</t>
        </is>
      </c>
      <c r="G814" s="11" t="inlineStr">
        <is>
          <t>Wert</t>
        </is>
      </c>
      <c r="K814" t="n">
        <v>3</v>
      </c>
      <c r="L814" s="28" t="inlineStr">
        <is>
          <t>WENN(wert=0;0;10+(wert-1)*grad)</t>
        </is>
      </c>
      <c r="P814" t="inlineStr">
        <is>
          <t>eig_bonus_g_willenskraft</t>
        </is>
      </c>
      <c r="Q814"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815" hidden="1" ht="15.75" customHeight="1" s="48">
      <c r="A815" s="29" t="inlineStr">
        <is>
          <t>#spruchmagie_z_beherrschung_entwicklung_4_freundschaft2</t>
        </is>
      </c>
      <c r="B815" s="11" t="inlineStr">
        <is>
          <t>Spruchmagie</t>
        </is>
      </c>
      <c r="C815" s="18" t="inlineStr">
        <is>
          <t>Freundschaft2</t>
        </is>
      </c>
      <c r="E815" s="14" t="n"/>
      <c r="F815" s="14" t="inlineStr">
        <is>
          <t>z_beherrschung_entwicklung</t>
        </is>
      </c>
      <c r="G815" s="11" t="inlineStr">
        <is>
          <t>Wert</t>
        </is>
      </c>
      <c r="K815" t="n">
        <v>4</v>
      </c>
      <c r="L815" s="28" t="inlineStr">
        <is>
          <t>WENN(wert=0;0;10+(wert-1)*grad)</t>
        </is>
      </c>
      <c r="P815" t="inlineStr">
        <is>
          <t>eig_bonus_g_willenskraft</t>
        </is>
      </c>
      <c r="Q815"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16" hidden="1" ht="15.75" customHeight="1" s="48">
      <c r="A816" s="29" t="inlineStr">
        <is>
          <t>#spruchmagie_z_beherrschung_entwicklung_4_gier</t>
        </is>
      </c>
      <c r="B816" s="11" t="inlineStr">
        <is>
          <t>Spruchmagie</t>
        </is>
      </c>
      <c r="C816" s="18" t="inlineStr">
        <is>
          <t>Gier</t>
        </is>
      </c>
      <c r="E816" s="14" t="n"/>
      <c r="F816" s="14" t="inlineStr">
        <is>
          <t>z_beherrschung_entwicklung</t>
        </is>
      </c>
      <c r="G816" s="11" t="inlineStr">
        <is>
          <t>Wert</t>
        </is>
      </c>
      <c r="K816" t="n">
        <v>4</v>
      </c>
      <c r="L816" s="28" t="inlineStr">
        <is>
          <t>WENN(wert=0;0;10+(wert-1)*grad)</t>
        </is>
      </c>
      <c r="P816" t="inlineStr">
        <is>
          <t>eig_bonus_g_willenskraft</t>
        </is>
      </c>
      <c r="Q816"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817" hidden="1" ht="15.75" customHeight="1" s="48">
      <c r="A817" s="29" t="inlineStr">
        <is>
          <t>#spruchmagie_z_beherrschung_entwicklung_4_grosse_harmlosigkeit</t>
        </is>
      </c>
      <c r="B817" s="11" t="inlineStr">
        <is>
          <t>Spruchmagie</t>
        </is>
      </c>
      <c r="C817" s="18" t="inlineStr">
        <is>
          <t>Große Harmlosigkeit</t>
        </is>
      </c>
      <c r="E817" s="14" t="n"/>
      <c r="F817" s="14" t="inlineStr">
        <is>
          <t>z_beherrschung_entwicklung</t>
        </is>
      </c>
      <c r="G817" s="11" t="inlineStr">
        <is>
          <t>Wert</t>
        </is>
      </c>
      <c r="K817" t="n">
        <v>4</v>
      </c>
      <c r="L817" s="28" t="inlineStr">
        <is>
          <t>WENN(wert=0;0;10+(wert-1)*grad)</t>
        </is>
      </c>
      <c r="P817" t="inlineStr">
        <is>
          <t>eig_bonus_g_willenskraft</t>
        </is>
      </c>
      <c r="Q817"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818" hidden="1" ht="15.75" customHeight="1" s="48">
      <c r="A818" s="29" t="inlineStr">
        <is>
          <t>#spruchmagie_z_beherrschung_entwicklung_4_grosse_tierfreundschaft</t>
        </is>
      </c>
      <c r="B818" s="11" t="inlineStr">
        <is>
          <t>Spruchmagie</t>
        </is>
      </c>
      <c r="C818" s="18" t="inlineStr">
        <is>
          <t>Große Tierfreundschaft</t>
        </is>
      </c>
      <c r="E818" s="14" t="n"/>
      <c r="F818" s="14" t="inlineStr">
        <is>
          <t>z_beherrschung_entwicklung</t>
        </is>
      </c>
      <c r="G818" s="11" t="inlineStr">
        <is>
          <t>Wert</t>
        </is>
      </c>
      <c r="K818" t="n">
        <v>4</v>
      </c>
      <c r="L818" s="28" t="inlineStr">
        <is>
          <t>WENN(wert=0;0;10+(wert-1)*grad)</t>
        </is>
      </c>
      <c r="P818" t="inlineStr">
        <is>
          <t>eig_bonus_g_willenskraft</t>
        </is>
      </c>
      <c r="Q818"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819" hidden="1" ht="15.75" customHeight="1" s="48">
      <c r="A819" s="29" t="inlineStr">
        <is>
          <t>#spruchmagie_z_beherrschung_entwicklung_4_massenflucht</t>
        </is>
      </c>
      <c r="B819" s="11" t="inlineStr">
        <is>
          <t>Spruchmagie</t>
        </is>
      </c>
      <c r="C819" s="18" t="inlineStr">
        <is>
          <t>Massenflucht</t>
        </is>
      </c>
      <c r="E819" s="14" t="n"/>
      <c r="F819" s="14" t="inlineStr">
        <is>
          <t>z_beherrschung_entwicklung</t>
        </is>
      </c>
      <c r="G819" s="11" t="inlineStr">
        <is>
          <t>Wert</t>
        </is>
      </c>
      <c r="K819" t="n">
        <v>4</v>
      </c>
      <c r="L819" s="28" t="inlineStr">
        <is>
          <t>WENN(wert=0;0;10+(wert-1)*grad)</t>
        </is>
      </c>
      <c r="P819" t="inlineStr">
        <is>
          <t>eig_bonus_g_willenskraft</t>
        </is>
      </c>
      <c r="Q819"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820" hidden="1" ht="15.75" customHeight="1" s="48">
      <c r="A820" s="29" t="inlineStr">
        <is>
          <t>#spruchmagie_z_beherrschung_entwicklung_4_mimose</t>
        </is>
      </c>
      <c r="B820" s="11" t="inlineStr">
        <is>
          <t>Spruchmagie</t>
        </is>
      </c>
      <c r="C820" s="18" t="inlineStr">
        <is>
          <t>Mimose</t>
        </is>
      </c>
      <c r="E820" s="14" t="n"/>
      <c r="F820" s="14" t="inlineStr">
        <is>
          <t>z_beherrschung_entwicklung</t>
        </is>
      </c>
      <c r="G820" s="11" t="inlineStr">
        <is>
          <t>Wert</t>
        </is>
      </c>
      <c r="K820" t="n">
        <v>4</v>
      </c>
      <c r="L820" s="28" t="inlineStr">
        <is>
          <t>WENN(wert=0;0;10+(wert-1)*grad)</t>
        </is>
      </c>
      <c r="P820" t="inlineStr">
        <is>
          <t>eig_bonus_g_willenskraft</t>
        </is>
      </c>
      <c r="Q820" t="inlineStr">
        <is>
          <t xml:space="preserve">Das Opfer muss bei erlittenem Schaden immer eine Selbstbeherrschungsprobe werfen, die um {Magie}*2 erschwert ist. Alle effektiven Behinderungen wirken doppelt. Widerstandswurf:  Konstitution ; alle {Magie} * min eine weitere. </t>
        </is>
      </c>
    </row>
    <row r="821" hidden="1" ht="15.75" customHeight="1" s="48">
      <c r="A821" s="29" t="inlineStr">
        <is>
          <t>#spruchmagie_z_beherrschung_entwicklung_4_stumm2</t>
        </is>
      </c>
      <c r="B821" s="11" t="inlineStr">
        <is>
          <t>Spruchmagie</t>
        </is>
      </c>
      <c r="C821" s="18" t="inlineStr">
        <is>
          <t>Stumm2</t>
        </is>
      </c>
      <c r="E821" s="14" t="n"/>
      <c r="F821" s="14" t="inlineStr">
        <is>
          <t>z_beherrschung_entwicklung</t>
        </is>
      </c>
      <c r="G821" s="11" t="inlineStr">
        <is>
          <t>Wert</t>
        </is>
      </c>
      <c r="K821" t="n">
        <v>4</v>
      </c>
      <c r="L821" s="28" t="inlineStr">
        <is>
          <t>WENN(wert=0;0;10+(wert-1)*grad)</t>
        </is>
      </c>
      <c r="P821" t="inlineStr">
        <is>
          <t>eig_bonus_g_willenskraft</t>
        </is>
      </c>
      <c r="Q821" t="inlineStr">
        <is>
          <t>Das Opfer ist zu keiner gewollten Lautäußerung imstande. Widerstandswurf:  Willenskraft ; alle {Magie} * sec eine weitere.</t>
        </is>
      </c>
    </row>
    <row r="822" hidden="1" ht="15.75" customHeight="1" s="48">
      <c r="A822" s="29" t="inlineStr">
        <is>
          <t>#spruchmagie_z_beherrschung_entwicklung_4_tiere_rufen</t>
        </is>
      </c>
      <c r="B822" s="11" t="inlineStr">
        <is>
          <t>Spruchmagie</t>
        </is>
      </c>
      <c r="C822" s="18" t="inlineStr">
        <is>
          <t>Tiere rufen</t>
        </is>
      </c>
      <c r="E822" s="14" t="n"/>
      <c r="F822" s="14" t="inlineStr">
        <is>
          <t>z_beherrschung_entwicklung</t>
        </is>
      </c>
      <c r="G822" s="11" t="inlineStr">
        <is>
          <t>Wert</t>
        </is>
      </c>
      <c r="K822" t="n">
        <v>4</v>
      </c>
      <c r="L822" s="28" t="inlineStr">
        <is>
          <t>WENN(wert=0;0;10+(wert-1)*grad)</t>
        </is>
      </c>
      <c r="P822" t="inlineStr">
        <is>
          <t>eig_bonus_g_willenskraft</t>
        </is>
      </c>
      <c r="Q82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823" hidden="1" ht="15.75" customHeight="1" s="48">
      <c r="A823" s="29" t="inlineStr">
        <is>
          <t>#spruchmagie_z_beherrschung_entwicklung_4_zonenzwang</t>
        </is>
      </c>
      <c r="B823" s="11" t="inlineStr">
        <is>
          <t>Spruchmagie</t>
        </is>
      </c>
      <c r="C823" s="18" t="inlineStr">
        <is>
          <t>Zonenzwang</t>
        </is>
      </c>
      <c r="E823" s="14" t="n"/>
      <c r="F823" s="14" t="inlineStr">
        <is>
          <t>z_beherrschung_entwicklung</t>
        </is>
      </c>
      <c r="G823" s="11" t="inlineStr">
        <is>
          <t>Wert</t>
        </is>
      </c>
      <c r="K823" t="n">
        <v>4</v>
      </c>
      <c r="L823" s="28" t="inlineStr">
        <is>
          <t>WENN(wert=0;0;10+(wert-1)*grad)</t>
        </is>
      </c>
      <c r="P823" t="inlineStr">
        <is>
          <t>eig_bonus_g_willenskraft</t>
        </is>
      </c>
      <c r="Q82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824" hidden="1" ht="15.75" customHeight="1" s="48">
      <c r="A824" s="29" t="inlineStr">
        <is>
          <t>#spruchmagie_z_beherrschung_entwicklung_5_babel</t>
        </is>
      </c>
      <c r="B824" s="11" t="inlineStr">
        <is>
          <t>Spruchmagie</t>
        </is>
      </c>
      <c r="C824" s="18" t="inlineStr">
        <is>
          <t>Babel</t>
        </is>
      </c>
      <c r="E824" s="14" t="n"/>
      <c r="F824" s="14" t="inlineStr">
        <is>
          <t>z_beherrschung_entwicklung</t>
        </is>
      </c>
      <c r="G824" s="11" t="inlineStr">
        <is>
          <t>Wert</t>
        </is>
      </c>
      <c r="K824" t="n">
        <v>5</v>
      </c>
      <c r="L824" s="28" t="inlineStr">
        <is>
          <t>WENN(wert=0;0;10+(wert-1)*grad)</t>
        </is>
      </c>
      <c r="P824" t="inlineStr">
        <is>
          <t>eig_bonus_g_willenskraft</t>
        </is>
      </c>
      <c r="Q824" t="inlineStr">
        <is>
          <t xml:space="preserve">Alle Ziele im Wirkungsbereich verstehen ihnen bekannte Mitteilungsformen nicht mehr. Dies schließt Sprache, Schriften, Zeichen und Zeichensprache ein. Widerstandswurf: Intelligenz ; alle {Magie} * sec eine weitere. </t>
        </is>
      </c>
    </row>
    <row r="825" hidden="1" ht="15.75" customHeight="1" s="48">
      <c r="A825" s="29" t="inlineStr">
        <is>
          <t>#spruchmagie_z_beherrschung_entwicklung_5_freien_elementar_beherrschen</t>
        </is>
      </c>
      <c r="B825" s="11" t="inlineStr">
        <is>
          <t>Spruchmagie</t>
        </is>
      </c>
      <c r="C825" s="18" t="inlineStr">
        <is>
          <t>Freien Elementar beherrschen</t>
        </is>
      </c>
      <c r="E825" s="14" t="n"/>
      <c r="F825" s="14" t="inlineStr">
        <is>
          <t>z_beherrschung_entwicklung</t>
        </is>
      </c>
      <c r="G825" s="11" t="inlineStr">
        <is>
          <t>Wert</t>
        </is>
      </c>
      <c r="K825" t="n">
        <v>5</v>
      </c>
      <c r="L825" s="28" t="inlineStr">
        <is>
          <t>WENN(wert=0;0;10+(wert-1)*grad)</t>
        </is>
      </c>
      <c r="P825" t="inlineStr">
        <is>
          <t>eig_bonus_g_willenskraft</t>
        </is>
      </c>
      <c r="Q825" t="inlineStr">
        <is>
          <t>Das Opfer muss eine Beherrschungsprobe auf [XXX] ablegen und alle [{Magie}] sec eine weitere. Gelingt die Probe, fällt der Zauber. Misslingt die Probe,</t>
        </is>
      </c>
    </row>
    <row r="826" hidden="1" ht="15.75" customHeight="1" s="48">
      <c r="A826" s="29" t="inlineStr">
        <is>
          <t>#spruchmagie_z_beherrschung_entwicklung_5_menschen_rufen</t>
        </is>
      </c>
      <c r="B826" s="11" t="inlineStr">
        <is>
          <t>Spruchmagie</t>
        </is>
      </c>
      <c r="C826" s="18" t="inlineStr">
        <is>
          <t>Menschen rufen</t>
        </is>
      </c>
      <c r="E826" s="14" t="n"/>
      <c r="F826" s="14" t="inlineStr">
        <is>
          <t>z_beherrschung_entwicklung</t>
        </is>
      </c>
      <c r="G826" s="11" t="inlineStr">
        <is>
          <t>Wert</t>
        </is>
      </c>
      <c r="K826" t="n">
        <v>5</v>
      </c>
      <c r="L826" s="28" t="inlineStr">
        <is>
          <t>WENN(wert=0;0;10+(wert-1)*grad)</t>
        </is>
      </c>
      <c r="P826" t="inlineStr">
        <is>
          <t>eig_bonus_g_willenskraft</t>
        </is>
      </c>
      <c r="Q826" t="inlineStr">
        <is>
          <t xml:space="preserve">Alle Ziele im Wirkungsbereich versuchen so schnell wie möglich, zu dem vom Magus bestimmten Ort zu gelangen. Dort angekommen, betrachten sie das Ziel mit großem Interesse. Widerstandsprobe: Willenskraft ; alle {Magie} * min eine weitere. </t>
        </is>
      </c>
    </row>
    <row r="827" hidden="1" ht="15.75" customHeight="1" s="48">
      <c r="A827" s="29" t="inlineStr">
        <is>
          <t>#spruchmagie_z_beherrschung_entwicklung_5_schwere_glieder</t>
        </is>
      </c>
      <c r="B827" s="11" t="inlineStr">
        <is>
          <t>Spruchmagie</t>
        </is>
      </c>
      <c r="C827" s="18" t="inlineStr">
        <is>
          <t>Schwere Glieder</t>
        </is>
      </c>
      <c r="E827" s="14" t="n"/>
      <c r="F827" s="14" t="inlineStr">
        <is>
          <t>z_beherrschung_entwicklung</t>
        </is>
      </c>
      <c r="G827" s="11" t="inlineStr">
        <is>
          <t>Wert</t>
        </is>
      </c>
      <c r="K827" t="n">
        <v>5</v>
      </c>
      <c r="L827" s="28" t="inlineStr">
        <is>
          <t>WENN(wert=0;0;10+(wert-1)*grad)</t>
        </is>
      </c>
      <c r="P827" t="inlineStr">
        <is>
          <t>eig_bonus_g_willenskraft</t>
        </is>
      </c>
      <c r="Q827" t="inlineStr">
        <is>
          <t xml:space="preserve">Das Opfer wird von unnatürlicher Gliederschwere befallen und erleidet eine Behinderung von {Magie}. Zusätzlich wird ein Drittel der Rüstungsbehinderung zusätzlich verursacht. Widerstandswurf:  Athletik ; alle {Magie} * sec eine weitere. </t>
        </is>
      </c>
    </row>
    <row r="828" hidden="1" ht="15.75" customHeight="1" s="48">
      <c r="A828" s="29" t="inlineStr">
        <is>
          <t>#spruchmagie_z_beherrschung_entwicklung_5_sinneseinschraenkung</t>
        </is>
      </c>
      <c r="B828" s="11" t="inlineStr">
        <is>
          <t>Spruchmagie</t>
        </is>
      </c>
      <c r="C828" s="18" t="inlineStr">
        <is>
          <t>Sinneseinschränkung</t>
        </is>
      </c>
      <c r="E828" s="14" t="n"/>
      <c r="F828" s="14" t="inlineStr">
        <is>
          <t>z_beherrschung_entwicklung</t>
        </is>
      </c>
      <c r="G828" s="11" t="inlineStr">
        <is>
          <t>Wert</t>
        </is>
      </c>
      <c r="K828" t="n">
        <v>5</v>
      </c>
      <c r="L828" s="28" t="inlineStr">
        <is>
          <t>WENN(wert=0;0;10+(wert-1)*grad)</t>
        </is>
      </c>
      <c r="P828" t="inlineStr">
        <is>
          <t>eig_bonus_g_willenskraft</t>
        </is>
      </c>
      <c r="Q828" t="inlineStr">
        <is>
          <t>Das ist Opfer entweder vollständig Blind oder vollständig Taub, je nach Maßgabe des Magiers. Widerstandswurf:  Sinesschärfe ; alle {Magie} * sec eine weitere.</t>
        </is>
      </c>
    </row>
    <row r="829" hidden="1" ht="15.75" customHeight="1" s="48">
      <c r="A829" s="29" t="inlineStr">
        <is>
          <t>#spruchmagie_z_beherrschung_entwicklung_5_tierherrschaft</t>
        </is>
      </c>
      <c r="B829" s="11" t="inlineStr">
        <is>
          <t>Spruchmagie</t>
        </is>
      </c>
      <c r="C829" s="18" t="inlineStr">
        <is>
          <t>Tierherrschaft</t>
        </is>
      </c>
      <c r="E829" s="14" t="n"/>
      <c r="F829" s="14" t="inlineStr">
        <is>
          <t>z_beherrschung_entwicklung</t>
        </is>
      </c>
      <c r="G829" s="11" t="inlineStr">
        <is>
          <t>Wert</t>
        </is>
      </c>
      <c r="K829" t="n">
        <v>5</v>
      </c>
      <c r="L829" s="28" t="inlineStr">
        <is>
          <t>WENN(wert=0;0;10+(wert-1)*grad)</t>
        </is>
      </c>
      <c r="P829" t="inlineStr">
        <is>
          <t>eig_bonus_g_willenskraft</t>
        </is>
      </c>
      <c r="Q829" t="inlineStr">
        <is>
          <t xml:space="preserve">Der Magus kann dem Tier einen sofort ausführbaren Befehl erteilen. Ob das Tier den Befehl tatsächlich ausführen kann, hängt von seinen natürlichen Fähigkeiten ab. Widerstandswurf: Willenskraft ; alle {Magie} * min eine weitere. </t>
        </is>
      </c>
    </row>
    <row r="830" hidden="1" ht="15.75" customHeight="1" s="48">
      <c r="A830" s="29" t="inlineStr">
        <is>
          <t>#spruchmagie_z_beherrschung_entwicklung_6_atemnot</t>
        </is>
      </c>
      <c r="B830" s="11" t="inlineStr">
        <is>
          <t>Spruchmagie</t>
        </is>
      </c>
      <c r="C830" s="12" t="inlineStr">
        <is>
          <t>Atemnot</t>
        </is>
      </c>
      <c r="F830" t="inlineStr">
        <is>
          <t>z_beherrschung_entwicklung</t>
        </is>
      </c>
      <c r="G830" s="11" t="inlineStr">
        <is>
          <t>Wert</t>
        </is>
      </c>
      <c r="K830" t="n">
        <v>6</v>
      </c>
      <c r="L830" s="28" t="inlineStr">
        <is>
          <t>WENN(wert=0;0;10+(wert-1)*grad)</t>
        </is>
      </c>
      <c r="P830" t="inlineStr">
        <is>
          <t>eig_bonus_g_willenskraft</t>
        </is>
      </c>
      <c r="Q830"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831" hidden="1" ht="15.75" customHeight="1" s="48">
      <c r="A831" s="29" t="inlineStr">
        <is>
          <t>#spruchmagie_z_beherrschung_entwicklung_6_herrschaft_ueber_menschen</t>
        </is>
      </c>
      <c r="B831" s="11" t="inlineStr">
        <is>
          <t>Spruchmagie</t>
        </is>
      </c>
      <c r="C831" s="18" t="inlineStr">
        <is>
          <t>Herrschaft über Menschen</t>
        </is>
      </c>
      <c r="E831" s="14" t="n"/>
      <c r="F831" s="14" t="inlineStr">
        <is>
          <t>z_beherrschung_entwicklung</t>
        </is>
      </c>
      <c r="G831" s="11" t="inlineStr">
        <is>
          <t>Wert</t>
        </is>
      </c>
      <c r="K831" t="n">
        <v>6</v>
      </c>
      <c r="L831" s="28" t="inlineStr">
        <is>
          <t>WENN(wert=0;0;10+(wert-1)*grad)</t>
        </is>
      </c>
      <c r="P831" t="inlineStr">
        <is>
          <t>eig_bonus_g_willenskraft</t>
        </is>
      </c>
      <c r="Q831" t="inlineStr">
        <is>
          <t>Der Magus kann dem Opfer einen sofort ausführbaren Befehl erteilen. Widerstandswurf:  Willenskraft ; alle {Magie} * sec eine weitere.</t>
        </is>
      </c>
    </row>
    <row r="832" hidden="1" ht="15.75" customHeight="1" s="48">
      <c r="A832" s="29" t="inlineStr">
        <is>
          <t>#spruchmagie_z_beherrschung_entwicklung_6_massen_befehligen</t>
        </is>
      </c>
      <c r="B832" s="11" t="inlineStr">
        <is>
          <t>Spruchmagie</t>
        </is>
      </c>
      <c r="C832" s="18" t="inlineStr">
        <is>
          <t>Massen befehligen</t>
        </is>
      </c>
      <c r="E832" s="14" t="n"/>
      <c r="F832" s="14" t="inlineStr">
        <is>
          <t>z_beherrschung_entwicklung</t>
        </is>
      </c>
      <c r="G832" s="11" t="inlineStr">
        <is>
          <t>Wert</t>
        </is>
      </c>
      <c r="K832" t="n">
        <v>6</v>
      </c>
      <c r="L832" s="28" t="inlineStr">
        <is>
          <t>WENN(wert=0;0;10+(wert-1)*grad)</t>
        </is>
      </c>
      <c r="P832" t="inlineStr">
        <is>
          <t>eig_bonus_g_willenskraft</t>
        </is>
      </c>
      <c r="Q832"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833" hidden="1" ht="15.75" customHeight="1" s="48">
      <c r="A833" s="29" t="inlineStr">
        <is>
          <t>#spruchmagie_z_beherrschung_entwicklung_6_paralyse2</t>
        </is>
      </c>
      <c r="B833" s="11" t="inlineStr">
        <is>
          <t>Spruchmagie</t>
        </is>
      </c>
      <c r="C833" s="18" t="inlineStr">
        <is>
          <t>Paralyse2</t>
        </is>
      </c>
      <c r="E833" s="14" t="n"/>
      <c r="F833" s="14" t="inlineStr">
        <is>
          <t>z_beherrschung_entwicklung</t>
        </is>
      </c>
      <c r="G833" s="11" t="inlineStr">
        <is>
          <t>Wert</t>
        </is>
      </c>
      <c r="K833" t="n">
        <v>6</v>
      </c>
      <c r="L833" s="28" t="inlineStr">
        <is>
          <t>WENN(wert=0;0;10+(wert-1)*grad)</t>
        </is>
      </c>
      <c r="P833" t="inlineStr">
        <is>
          <t>eig_bonus_g_willenskraft</t>
        </is>
      </c>
      <c r="Q83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834" hidden="1" ht="15.75" customHeight="1" s="48">
      <c r="A834" s="29" t="inlineStr">
        <is>
          <t>#spruchmagie_z_beherrschung_entwicklung_6_schlaf</t>
        </is>
      </c>
      <c r="B834" s="11" t="inlineStr">
        <is>
          <t>Spruchmagie</t>
        </is>
      </c>
      <c r="C834" s="18" t="inlineStr">
        <is>
          <t>Schlaf</t>
        </is>
      </c>
      <c r="E834" s="14" t="n"/>
      <c r="F834" s="14" t="inlineStr">
        <is>
          <t>z_beherrschung_entwicklung</t>
        </is>
      </c>
      <c r="G834" s="11" t="inlineStr">
        <is>
          <t>Wert</t>
        </is>
      </c>
      <c r="K834" t="n">
        <v>6</v>
      </c>
      <c r="L834" s="28" t="inlineStr">
        <is>
          <t>WENN(wert=0;0;10+(wert-1)*grad)</t>
        </is>
      </c>
      <c r="P834" t="inlineStr">
        <is>
          <t>eig_bonus_g_willenskraft</t>
        </is>
      </c>
      <c r="Q83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835" hidden="1" ht="15.75" customHeight="1" s="48">
      <c r="A835" s="29" t="inlineStr">
        <is>
          <t>#spruchmagie_z_beherrschung_entwicklung_6_stille_masse</t>
        </is>
      </c>
      <c r="B835" s="11" t="inlineStr">
        <is>
          <t>Spruchmagie</t>
        </is>
      </c>
      <c r="C835" s="18" t="inlineStr">
        <is>
          <t>Stille Masse</t>
        </is>
      </c>
      <c r="E835" s="14" t="n"/>
      <c r="F835" s="14" t="inlineStr">
        <is>
          <t>z_beherrschung_entwicklung</t>
        </is>
      </c>
      <c r="G835" s="11" t="inlineStr">
        <is>
          <t>Wert</t>
        </is>
      </c>
      <c r="K835" t="n">
        <v>6</v>
      </c>
      <c r="L835" s="28" t="inlineStr">
        <is>
          <t>WENN(wert=0;0;10+(wert-1)*grad)</t>
        </is>
      </c>
      <c r="P835" t="inlineStr">
        <is>
          <t>eig_bonus_g_willenskraft</t>
        </is>
      </c>
      <c r="Q835" t="inlineStr">
        <is>
          <t>Das Opfer ist zu keiner gewollten Lautäußerung imstande. Widerstandswurf:  Willenskraft ; alle {Magie} * sec eine weitere.</t>
        </is>
      </c>
    </row>
    <row r="836" hidden="1" ht="15.75" customHeight="1" s="48">
      <c r="A836" s="29" t="inlineStr">
        <is>
          <t>#spruchmagie_z_beherrschung_entwicklung_7_backstreet_boy</t>
        </is>
      </c>
      <c r="B836" s="11" t="inlineStr">
        <is>
          <t>Spruchmagie</t>
        </is>
      </c>
      <c r="C836" s="18" t="inlineStr">
        <is>
          <t>Backstreet Boy</t>
        </is>
      </c>
      <c r="E836" s="14" t="n"/>
      <c r="F836" s="14" t="inlineStr">
        <is>
          <t>z_beherrschung_entwicklung</t>
        </is>
      </c>
      <c r="G836" s="11" t="inlineStr">
        <is>
          <t>Wert</t>
        </is>
      </c>
      <c r="K836" t="n">
        <v>7</v>
      </c>
      <c r="L836" s="28" t="inlineStr">
        <is>
          <t>WENN(wert=0;0;10+(wert-1)*grad)</t>
        </is>
      </c>
      <c r="P836" t="inlineStr">
        <is>
          <t>eig_bonus_g_willenskraft</t>
        </is>
      </c>
      <c r="Q83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37" hidden="1" ht="15.75" customHeight="1" s="48">
      <c r="A837" s="29" t="inlineStr">
        <is>
          <t>#spruchmagie_z_beherrschung_entwicklung_7_neues_leben</t>
        </is>
      </c>
      <c r="B837" s="11" t="inlineStr">
        <is>
          <t>Spruchmagie</t>
        </is>
      </c>
      <c r="C837" s="18" t="inlineStr">
        <is>
          <t>Neues Leben</t>
        </is>
      </c>
      <c r="E837" s="14" t="n"/>
      <c r="F837" s="14" t="inlineStr">
        <is>
          <t>z_beherrschung_entwicklung</t>
        </is>
      </c>
      <c r="G837" s="11" t="inlineStr">
        <is>
          <t>Wert</t>
        </is>
      </c>
      <c r="K837" t="n">
        <v>7</v>
      </c>
      <c r="L837" s="28" t="inlineStr">
        <is>
          <t>WENN(wert=0;0;10+(wert-1)*grad)</t>
        </is>
      </c>
      <c r="P837" t="inlineStr">
        <is>
          <t>eig_bonus_g_willenskraft</t>
        </is>
      </c>
      <c r="Q837"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838" hidden="1" ht="15.75" customHeight="1" s="48">
      <c r="A838" s="29" t="inlineStr">
        <is>
          <t>#spruchmagie_z_beherrschung_entwicklung_7_totale_kontrolle2</t>
        </is>
      </c>
      <c r="B838" s="11" t="inlineStr">
        <is>
          <t>Spruchmagie</t>
        </is>
      </c>
      <c r="C838" s="18" t="inlineStr">
        <is>
          <t>Totale Kontrolle2</t>
        </is>
      </c>
      <c r="E838" s="14" t="n"/>
      <c r="F838" s="14" t="inlineStr">
        <is>
          <t>z_beherrschung_entwicklung</t>
        </is>
      </c>
      <c r="G838" s="11" t="inlineStr">
        <is>
          <t>Wert</t>
        </is>
      </c>
      <c r="K838" t="n">
        <v>7</v>
      </c>
      <c r="L838" s="28" t="inlineStr">
        <is>
          <t>WENN(wert=0;0;10+(wert-1)*grad)</t>
        </is>
      </c>
      <c r="P838" t="inlineStr">
        <is>
          <t>eig_bonus_g_willenskraft</t>
        </is>
      </c>
      <c r="Q838"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839" hidden="1" ht="15.75" customHeight="1" s="48">
      <c r="A839" s="29" t="inlineStr">
        <is>
          <t>talente_alchemieresistenz_stufe_1</t>
        </is>
      </c>
      <c r="B839" s="10" t="inlineStr">
        <is>
          <t>Talente</t>
        </is>
      </c>
      <c r="C839" s="12" t="inlineStr">
        <is>
          <t>Alchemieresistenz Stufe 1</t>
        </is>
      </c>
      <c r="E839" s="10" t="n"/>
      <c r="F839" s="10" t="inlineStr">
        <is>
          <t>Abenteurer</t>
        </is>
      </c>
      <c r="G839" s="10" t="inlineStr">
        <is>
          <t>Auswahl</t>
        </is>
      </c>
      <c r="L839" s="28" t="n">
        <v>2</v>
      </c>
      <c r="Q839" t="inlineStr">
        <is>
          <t>Erhöht das Maximum der Sonderfertigkeit "Alchemiresistenz" um 6 Punkte.</t>
        </is>
      </c>
    </row>
    <row r="840" ht="15.75" customHeight="1" s="48">
      <c r="A840" s="29" t="inlineStr">
        <is>
          <t>talente_zaeher_bursche_stufe_1</t>
        </is>
      </c>
      <c r="B840" s="10" t="inlineStr">
        <is>
          <t>Talente</t>
        </is>
      </c>
      <c r="C840" s="12" t="inlineStr">
        <is>
          <t>Zäher Bursche Stufe 1</t>
        </is>
      </c>
      <c r="E840" s="10" t="n"/>
      <c r="F840" s="10" t="inlineStr">
        <is>
          <t>Krieger</t>
        </is>
      </c>
      <c r="G840" s="10" t="inlineStr">
        <is>
          <t>Auswahl</t>
        </is>
      </c>
      <c r="L840" s="28" t="n">
        <v>16</v>
      </c>
      <c r="Q840" t="inlineStr">
        <is>
          <t>Die die Selbstbeherrschung des Charakters erhöht sich um 1 und die Gesundheit um 2.</t>
        </is>
      </c>
    </row>
    <row r="841" ht="15.75" customHeight="1" s="48">
      <c r="A841" s="29" t="inlineStr">
        <is>
          <t>talente_zaeher_bursche_stufe_2</t>
        </is>
      </c>
      <c r="B841" s="10" t="inlineStr">
        <is>
          <t>Talente</t>
        </is>
      </c>
      <c r="C841" s="12" t="inlineStr">
        <is>
          <t>Zäher Bursche Stufe 2</t>
        </is>
      </c>
      <c r="E841" s="10" t="n"/>
      <c r="F841" s="10" t="inlineStr">
        <is>
          <t>Krieger</t>
        </is>
      </c>
      <c r="G841" s="10" t="inlineStr">
        <is>
          <t>Auswahl</t>
        </is>
      </c>
      <c r="L841" s="28" t="n">
        <v>32</v>
      </c>
      <c r="Q841" t="inlineStr">
        <is>
          <t>Die Trefferschwelle des Charakters erhöht sich um 1, die Selbstbeherrschung um 3 und die Gesundheit um 4.</t>
        </is>
      </c>
    </row>
    <row r="842" ht="15.75" customHeight="1" s="48">
      <c r="A842" s="29" t="inlineStr">
        <is>
          <t>talente_zaeher_bursche_stufe_3</t>
        </is>
      </c>
      <c r="B842" s="10" t="inlineStr">
        <is>
          <t>Talente</t>
        </is>
      </c>
      <c r="C842" s="12" t="inlineStr">
        <is>
          <t>Zäher Bursche Stufe 3</t>
        </is>
      </c>
      <c r="E842" s="10" t="n"/>
      <c r="F842" s="10" t="inlineStr">
        <is>
          <t>Krieger</t>
        </is>
      </c>
      <c r="G842" s="10" t="inlineStr">
        <is>
          <t>Auswahl</t>
        </is>
      </c>
      <c r="L842" s="28" t="n">
        <v>48</v>
      </c>
      <c r="Q842" t="inlineStr">
        <is>
          <t>Die Trefferschwelle des Charakters erhöht sich um 2, die Selbstbeherrschung um 6 und die Gesundheit um 7.</t>
        </is>
      </c>
    </row>
    <row r="843" hidden="1" ht="15.75" customHeight="1" s="48">
      <c r="A843" s="29" t="inlineStr">
        <is>
          <t>talente_alchemieresistenz_stufe_2</t>
        </is>
      </c>
      <c r="B843" s="10" t="inlineStr">
        <is>
          <t>Talente</t>
        </is>
      </c>
      <c r="C843" s="12" t="inlineStr">
        <is>
          <t>Alchemieresistenz Stufe 2</t>
        </is>
      </c>
      <c r="E843" s="10" t="n"/>
      <c r="F843" s="10" t="inlineStr">
        <is>
          <t>Abenteurer</t>
        </is>
      </c>
      <c r="G843" s="10" t="inlineStr">
        <is>
          <t>Auswahl</t>
        </is>
      </c>
      <c r="L843" s="28" t="n">
        <v>2</v>
      </c>
      <c r="Q843" t="inlineStr">
        <is>
          <t>Erhöht das Maximum der Sonderfertigkeit "Alchemiresistenz" um 12 Punkte.</t>
        </is>
      </c>
    </row>
    <row r="844" hidden="1" ht="15.75" customHeight="1" s="48">
      <c r="A844" s="29" t="inlineStr">
        <is>
          <t>talente_ausdauer_stufe_1</t>
        </is>
      </c>
      <c r="B844" s="10" t="inlineStr">
        <is>
          <t>Talente</t>
        </is>
      </c>
      <c r="C844" s="13" t="inlineStr">
        <is>
          <t>Ausdauer Stufe 1</t>
        </is>
      </c>
      <c r="E844" s="10" t="n"/>
      <c r="F844" s="10" t="inlineStr">
        <is>
          <t>Abenteurer</t>
        </is>
      </c>
      <c r="G844" s="10" t="inlineStr">
        <is>
          <t>Auswahl</t>
        </is>
      </c>
      <c r="L844" s="28" t="n">
        <v>1</v>
      </c>
      <c r="Q844" t="inlineStr">
        <is>
          <t>Erhöht das Maximum der Sonderfertigkeit "Ausdauer" um 6 Punkte.</t>
        </is>
      </c>
    </row>
    <row r="845" hidden="1" ht="15.75" customHeight="1" s="48">
      <c r="A845" s="29" t="inlineStr">
        <is>
          <t>talente_ausdauer_stufe_2</t>
        </is>
      </c>
      <c r="B845" s="10" t="inlineStr">
        <is>
          <t>Talente</t>
        </is>
      </c>
      <c r="C845" s="13" t="inlineStr">
        <is>
          <t>Ausdauer Stufe 2</t>
        </is>
      </c>
      <c r="E845" s="10" t="n"/>
      <c r="F845" s="10" t="inlineStr">
        <is>
          <t>Abenteurer</t>
        </is>
      </c>
      <c r="G845" s="10" t="inlineStr">
        <is>
          <t>Auswahl</t>
        </is>
      </c>
      <c r="L845" s="28" t="n">
        <v>1</v>
      </c>
      <c r="Q845" t="inlineStr">
        <is>
          <t>Erhöht das Maximum der Sonderfertigkeit "Ausdauer" um 12 Punkte.</t>
        </is>
      </c>
    </row>
    <row r="846" hidden="1" ht="15.75" customHeight="1" s="48">
      <c r="A846" s="29" t="inlineStr">
        <is>
          <t>talente_ausdauer_stufe_3</t>
        </is>
      </c>
      <c r="B846" s="10" t="inlineStr">
        <is>
          <t>Talente</t>
        </is>
      </c>
      <c r="C846" s="13" t="inlineStr">
        <is>
          <t>Ausdauer Stufe 3</t>
        </is>
      </c>
      <c r="E846" s="10" t="n"/>
      <c r="F846" s="10" t="inlineStr">
        <is>
          <t>Abenteurer</t>
        </is>
      </c>
      <c r="G846" s="10" t="inlineStr">
        <is>
          <t>Auswahl</t>
        </is>
      </c>
      <c r="L846" s="28" t="n">
        <v>1</v>
      </c>
      <c r="Q846" t="inlineStr">
        <is>
          <t>Erhöht das Maximum der Sonderfertigkeit "Ausdauer" um 18 Punkte.</t>
        </is>
      </c>
    </row>
    <row r="847" hidden="1" ht="15.75" customHeight="1" s="48">
      <c r="A847" s="29" t="inlineStr">
        <is>
          <t>talente_ausweichen_stufe_1</t>
        </is>
      </c>
      <c r="B847" s="10" t="inlineStr">
        <is>
          <t>Talente</t>
        </is>
      </c>
      <c r="C847" s="13" t="inlineStr">
        <is>
          <t>Ausweichen Stufe 1</t>
        </is>
      </c>
      <c r="E847" s="10" t="n"/>
      <c r="F847" s="10" t="inlineStr">
        <is>
          <t>Abenteurer</t>
        </is>
      </c>
      <c r="G847" s="10" t="inlineStr">
        <is>
          <t>Auswahl</t>
        </is>
      </c>
      <c r="L847" s="28" t="n">
        <v>2</v>
      </c>
      <c r="Q847" t="inlineStr">
        <is>
          <t>Erhöht das Maximum der Sonderfertigkeit "Ausweichen" um 6 Punkte.</t>
        </is>
      </c>
    </row>
    <row r="848" hidden="1" ht="15.75" customHeight="1" s="48">
      <c r="A848" s="29" t="inlineStr">
        <is>
          <t>talente_ausweichen_stufe_2</t>
        </is>
      </c>
      <c r="B848" s="10" t="inlineStr">
        <is>
          <t>Talente</t>
        </is>
      </c>
      <c r="C848" s="13" t="inlineStr">
        <is>
          <t>Ausweichen Stufe 2</t>
        </is>
      </c>
      <c r="E848" s="10" t="n"/>
      <c r="F848" s="10" t="inlineStr">
        <is>
          <t>Abenteurer</t>
        </is>
      </c>
      <c r="G848" s="10" t="inlineStr">
        <is>
          <t>Auswahl</t>
        </is>
      </c>
      <c r="L848" s="28" t="n">
        <v>10</v>
      </c>
      <c r="Q848" t="inlineStr">
        <is>
          <t>Erhöht das Maximum der Sonderfertigkeit "Ausweichen" um 12 Punkte.</t>
        </is>
      </c>
    </row>
    <row r="849" hidden="1" ht="15.75" customHeight="1" s="48">
      <c r="A849" s="29" t="inlineStr">
        <is>
          <t>talente_berittenes_armbrustschiessen_stufe_1</t>
        </is>
      </c>
      <c r="B849" s="10" t="inlineStr">
        <is>
          <t>Talente</t>
        </is>
      </c>
      <c r="C849" s="19" t="inlineStr">
        <is>
          <t>Berittenes Armbrustschießen Stufe 1</t>
        </is>
      </c>
      <c r="D849" s="10" t="n"/>
      <c r="E849" s="10" t="n"/>
      <c r="F849" s="10" t="inlineStr">
        <is>
          <t>Schütze</t>
        </is>
      </c>
      <c r="G849" s="10" t="inlineStr">
        <is>
          <t>Auswahl</t>
        </is>
      </c>
      <c r="L849" s="28" t="n">
        <v>4</v>
      </c>
      <c r="Q849" t="inlineStr">
        <is>
          <t>Veringert den FK-Modifikator für "vom laufenden Pferd" beim Armbrustschießen um 3.</t>
        </is>
      </c>
    </row>
    <row r="850" hidden="1" ht="15.75" customHeight="1" s="48">
      <c r="A850" s="29" t="inlineStr">
        <is>
          <t>talente_berittenes_armbrustschiessen_stufe_2</t>
        </is>
      </c>
      <c r="B850" s="10" t="inlineStr">
        <is>
          <t>Talente</t>
        </is>
      </c>
      <c r="C850" s="13" t="inlineStr">
        <is>
          <t>Berittenes Armbrustschießen Stufe 2</t>
        </is>
      </c>
      <c r="E850" s="10" t="n"/>
      <c r="F850" s="10" t="inlineStr">
        <is>
          <t>Schütze</t>
        </is>
      </c>
      <c r="G850" s="10" t="inlineStr">
        <is>
          <t>Auswahl</t>
        </is>
      </c>
      <c r="L850" s="28" t="n">
        <v>6</v>
      </c>
      <c r="Q850" t="inlineStr">
        <is>
          <t>Veringert den FK-Modifikator für "vom laufenden Pferd" beim Armbrustschießen um 7.</t>
        </is>
      </c>
    </row>
    <row r="851" hidden="1" ht="15.75" customHeight="1" s="48">
      <c r="A851" s="29" t="inlineStr">
        <is>
          <t>talente_berittenes_bogenschiessen_stufe_1</t>
        </is>
      </c>
      <c r="B851" s="10" t="inlineStr">
        <is>
          <t>Talente</t>
        </is>
      </c>
      <c r="C851" s="13" t="inlineStr">
        <is>
          <t>Berittenes Bogenschießen Stufe 1</t>
        </is>
      </c>
      <c r="E851" s="10" t="n"/>
      <c r="F851" s="10" t="inlineStr">
        <is>
          <t>Schütze</t>
        </is>
      </c>
      <c r="G851" s="10" t="inlineStr">
        <is>
          <t>Auswahl</t>
        </is>
      </c>
      <c r="L851" s="28" t="n">
        <v>4</v>
      </c>
      <c r="Q851" t="inlineStr">
        <is>
          <t>Veringert den FK-Modifikator für "vom laufenden Pferd" beim Bogenschießen um 3.</t>
        </is>
      </c>
    </row>
    <row r="852" hidden="1" ht="15.75" customHeight="1" s="48">
      <c r="A852" s="29" t="inlineStr">
        <is>
          <t>talente_berittenes_bogenschiessen_stufe_2</t>
        </is>
      </c>
      <c r="B852" s="10" t="inlineStr">
        <is>
          <t>Talente</t>
        </is>
      </c>
      <c r="C852" s="13" t="inlineStr">
        <is>
          <t>Berittenes Bogenschießen Stufe 2</t>
        </is>
      </c>
      <c r="E852" s="10" t="n"/>
      <c r="F852" s="10" t="inlineStr">
        <is>
          <t>Schütze</t>
        </is>
      </c>
      <c r="G852" s="10" t="inlineStr">
        <is>
          <t>Auswahl</t>
        </is>
      </c>
      <c r="L852" s="28" t="n">
        <v>6</v>
      </c>
      <c r="Q852" t="inlineStr">
        <is>
          <t>Veringert den FK-Modifikator für "vom laufenden Pferd" beim Bogenschießen um 7.</t>
        </is>
      </c>
    </row>
    <row r="853" hidden="1" ht="15.75" customHeight="1" s="48">
      <c r="A853" s="29" t="inlineStr">
        <is>
          <t>talente_berittenes_musketenschiessen_stufe_1</t>
        </is>
      </c>
      <c r="B853" s="10" t="inlineStr">
        <is>
          <t>Talente</t>
        </is>
      </c>
      <c r="C853" s="13" t="inlineStr">
        <is>
          <t>Berittenes Musketenschießen Stufe 1</t>
        </is>
      </c>
      <c r="E853" s="10" t="n"/>
      <c r="F853" s="10" t="inlineStr">
        <is>
          <t>Schütze</t>
        </is>
      </c>
      <c r="G853" s="10" t="inlineStr">
        <is>
          <t>Auswahl</t>
        </is>
      </c>
      <c r="L853" s="28" t="n">
        <v>4</v>
      </c>
      <c r="Q853" t="inlineStr">
        <is>
          <t>Veringert den FK-Modifikator für "vom laufenden Pferd" beim Musketenschießen um 3.</t>
        </is>
      </c>
    </row>
    <row r="854" hidden="1" ht="15.75" customHeight="1" s="48">
      <c r="A854" s="29" t="inlineStr">
        <is>
          <t>talente_berittenes_musketenschiessen_stufe_2</t>
        </is>
      </c>
      <c r="B854" s="10" t="inlineStr">
        <is>
          <t>Talente</t>
        </is>
      </c>
      <c r="C854" s="7" t="inlineStr">
        <is>
          <t>Berittenes Musketenschießen Stufe 2</t>
        </is>
      </c>
      <c r="E854" s="10" t="n"/>
      <c r="F854" s="10" t="inlineStr">
        <is>
          <t>Schütze</t>
        </is>
      </c>
      <c r="G854" s="10" t="inlineStr">
        <is>
          <t>Auswahl</t>
        </is>
      </c>
      <c r="L854" s="28" t="n">
        <v>6</v>
      </c>
      <c r="Q854" t="inlineStr">
        <is>
          <t>Veringert den FK-Modifikator für "vom laufenden Pferd" beim Musketenschießen um 7.</t>
        </is>
      </c>
    </row>
    <row r="855" hidden="1" ht="15.75" customHeight="1" s="48">
      <c r="A855" s="29" t="inlineStr">
        <is>
          <t>talente_berittenes_pistolenschiessen_stufe_1</t>
        </is>
      </c>
      <c r="B855" s="10" t="inlineStr">
        <is>
          <t>Talente</t>
        </is>
      </c>
      <c r="C855" s="18" t="inlineStr">
        <is>
          <t>Berittenes Pistolenschießen Stufe 1</t>
        </is>
      </c>
      <c r="E855" s="10" t="n"/>
      <c r="F855" s="10" t="inlineStr">
        <is>
          <t>Schütze</t>
        </is>
      </c>
      <c r="G855" s="10" t="inlineStr">
        <is>
          <t>Auswahl</t>
        </is>
      </c>
      <c r="L855" s="28" t="n">
        <v>4</v>
      </c>
      <c r="Q855" t="inlineStr">
        <is>
          <t>Verringert den FK-Modifikator für "vom laufenden Pferd" beim Pistolenschießen auf 3.</t>
        </is>
      </c>
    </row>
    <row r="856" hidden="1" ht="15.75" customHeight="1" s="48">
      <c r="A856" s="29" t="inlineStr">
        <is>
          <t>talente_berittenes_pistolenschiessen_stufe_2</t>
        </is>
      </c>
      <c r="B856" s="10" t="inlineStr">
        <is>
          <t>Talente</t>
        </is>
      </c>
      <c r="C856" s="18" t="inlineStr">
        <is>
          <t>Berittenes Pistolenschießen Stufe 2</t>
        </is>
      </c>
      <c r="E856" s="10" t="n"/>
      <c r="F856" s="10" t="inlineStr">
        <is>
          <t>Schütze</t>
        </is>
      </c>
      <c r="G856" s="10" t="inlineStr">
        <is>
          <t>Auswahl</t>
        </is>
      </c>
      <c r="L856" s="28" t="n">
        <v>6</v>
      </c>
      <c r="Q856" t="inlineStr">
        <is>
          <t>Verringert den FK-Modifikator für "vom laufenden Pferd" beim Pistolenschießen auf 7.</t>
        </is>
      </c>
    </row>
    <row r="857" hidden="1" ht="15.75" customHeight="1" s="48">
      <c r="A857" s="29" t="inlineStr">
        <is>
          <t>talente_berittenes_werfen_stufe_1</t>
        </is>
      </c>
      <c r="B857" s="10" t="inlineStr">
        <is>
          <t>Talente</t>
        </is>
      </c>
      <c r="C857" s="18" t="inlineStr">
        <is>
          <t>Berittenes Werfen Stufe 1</t>
        </is>
      </c>
      <c r="E857" s="10" t="n"/>
      <c r="F857" s="10" t="inlineStr">
        <is>
          <t>Schütze</t>
        </is>
      </c>
      <c r="G857" s="10" t="inlineStr">
        <is>
          <t>Auswahl</t>
        </is>
      </c>
      <c r="L857" s="28" t="n">
        <v>2</v>
      </c>
      <c r="Q857" t="inlineStr">
        <is>
          <t>Verringert den FK-Modifikator für "vom laufenden Pferd" beim Werfen von Wurfwaffen um 3.</t>
        </is>
      </c>
    </row>
    <row r="858" hidden="1" ht="15.75" customHeight="1" s="48">
      <c r="A858" s="29" t="inlineStr">
        <is>
          <t>talente_berittenes_werfen_stufe_2</t>
        </is>
      </c>
      <c r="B858" s="10" t="inlineStr">
        <is>
          <t>Talente</t>
        </is>
      </c>
      <c r="C858" s="18" t="inlineStr">
        <is>
          <t>Berittenes Werfen Stufe 2</t>
        </is>
      </c>
      <c r="E858" s="10" t="n"/>
      <c r="F858" s="10" t="inlineStr">
        <is>
          <t>Schütze</t>
        </is>
      </c>
      <c r="G858" s="10" t="inlineStr">
        <is>
          <t>Auswahl</t>
        </is>
      </c>
      <c r="L858" s="28" t="n">
        <v>4</v>
      </c>
      <c r="Q858" t="inlineStr">
        <is>
          <t>Verringert den FK-Modifikator für "vom laufenden Pferd" beim Werfen von Wurfwaffen um 7.</t>
        </is>
      </c>
    </row>
    <row r="859" hidden="1" ht="15.75" customHeight="1" s="48">
      <c r="A859" s="29" t="inlineStr">
        <is>
          <t>talente_blutmagie_stufe_1</t>
        </is>
      </c>
      <c r="B859" s="10" t="inlineStr">
        <is>
          <t>Talente</t>
        </is>
      </c>
      <c r="C859" s="12" t="inlineStr">
        <is>
          <t>Blutmagie Stufe 1</t>
        </is>
      </c>
      <c r="E859" s="10" t="n"/>
      <c r="F859" s="10" t="inlineStr">
        <is>
          <t>Magier</t>
        </is>
      </c>
      <c r="G859" s="10" t="inlineStr">
        <is>
          <t>Auswahl</t>
        </is>
      </c>
      <c r="L859" s="28" t="n">
        <v>26</v>
      </c>
      <c r="Q859"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60" hidden="1" ht="15.75" customHeight="1" s="48">
      <c r="A860" s="29" t="inlineStr">
        <is>
          <t>talente_blutmagie_stufe_2</t>
        </is>
      </c>
      <c r="B860" s="10" t="inlineStr">
        <is>
          <t>Talente</t>
        </is>
      </c>
      <c r="C860" s="8" t="inlineStr">
        <is>
          <t>Blutmagie Stufe 2</t>
        </is>
      </c>
      <c r="E860" s="10" t="n"/>
      <c r="F860" s="10" t="inlineStr">
        <is>
          <t>Magier</t>
        </is>
      </c>
      <c r="G860" s="10" t="inlineStr">
        <is>
          <t>Auswahl</t>
        </is>
      </c>
      <c r="L860" s="28" t="n">
        <v>26</v>
      </c>
      <c r="Q860"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61" hidden="1" ht="15.75" customHeight="1" s="48">
      <c r="A861" s="29" t="inlineStr">
        <is>
          <t>talente_blutmagie_stufe_3</t>
        </is>
      </c>
      <c r="B861" s="10" t="inlineStr">
        <is>
          <t>Talente</t>
        </is>
      </c>
      <c r="C861" s="12" t="inlineStr">
        <is>
          <t>Blutmagie Stufe 3</t>
        </is>
      </c>
      <c r="E861" s="10" t="n"/>
      <c r="F861" s="10" t="inlineStr">
        <is>
          <t>Magier</t>
        </is>
      </c>
      <c r="G861" s="10" t="inlineStr">
        <is>
          <t>Auswahl</t>
        </is>
      </c>
      <c r="L861" s="28" t="n">
        <v>26</v>
      </c>
      <c r="Q861"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62" hidden="1" ht="15.75" customHeight="1" s="48">
      <c r="A862" s="29" t="inlineStr">
        <is>
          <t>talente_charismatischer_fuehrer</t>
        </is>
      </c>
      <c r="B862" s="10" t="inlineStr">
        <is>
          <t>Talente</t>
        </is>
      </c>
      <c r="C862" s="13" t="inlineStr">
        <is>
          <t>Charismatischer Führer</t>
        </is>
      </c>
      <c r="E862" s="10" t="n"/>
      <c r="F862" s="10" t="inlineStr">
        <is>
          <t>Abenteurer</t>
        </is>
      </c>
      <c r="G862" s="10" t="inlineStr">
        <is>
          <t>Auswahl</t>
        </is>
      </c>
      <c r="L862" s="28" t="n">
        <v>4</v>
      </c>
      <c r="Q862" t="inlineStr">
        <is>
          <t>Erhöht die Maxima Grundfertigkeiten Überreden &amp; Überzeugen zusätzlich um +6 Punkte.</t>
        </is>
      </c>
    </row>
    <row r="863" hidden="1" ht="15.75" customHeight="1" s="48">
      <c r="A863" s="29" t="inlineStr">
        <is>
          <t>talente_eigenschaften_erhoehen_athletik</t>
        </is>
      </c>
      <c r="B863" s="10" t="inlineStr">
        <is>
          <t>Talente</t>
        </is>
      </c>
      <c r="C863" s="13" t="inlineStr">
        <is>
          <t>Eigenschaften erhöhen: Athletik</t>
        </is>
      </c>
      <c r="E863" s="10" t="n"/>
      <c r="F863" s="10" t="inlineStr">
        <is>
          <t>Abenteurer</t>
        </is>
      </c>
      <c r="G863" s="10" t="inlineStr">
        <is>
          <t>Auswahl</t>
        </is>
      </c>
      <c r="L863" s="28" t="n">
        <v>6</v>
      </c>
      <c r="Q863" t="inlineStr">
        <is>
          <t>Erhöht das Maximum der Eigenschaft um 5 Punkte.</t>
        </is>
      </c>
    </row>
    <row r="864" hidden="1" ht="15.75" customHeight="1" s="48">
      <c r="A864" s="29" t="inlineStr">
        <is>
          <t>talente_eigenschaften_erhoehen_ausstrahlung</t>
        </is>
      </c>
      <c r="B864" s="10" t="inlineStr">
        <is>
          <t>Talente</t>
        </is>
      </c>
      <c r="C864" s="13" t="inlineStr">
        <is>
          <t>Eigenschaften erhöhen: Ausstrahlung</t>
        </is>
      </c>
      <c r="E864" s="10" t="n"/>
      <c r="F864" s="10" t="inlineStr">
        <is>
          <t>Abenteurer</t>
        </is>
      </c>
      <c r="G864" s="10" t="inlineStr">
        <is>
          <t>Auswahl</t>
        </is>
      </c>
      <c r="L864" s="28" t="n">
        <v>6</v>
      </c>
      <c r="Q864" t="inlineStr">
        <is>
          <t>Erhöht das Maximum der Eigenschaft um 5 Punkte.</t>
        </is>
      </c>
    </row>
    <row r="865" hidden="1" ht="15.75" customHeight="1" s="48">
      <c r="A865" s="29" t="inlineStr">
        <is>
          <t>talente_eigenschaften_erhoehen_geschicklichkeit</t>
        </is>
      </c>
      <c r="B865" s="10" t="inlineStr">
        <is>
          <t>Talente</t>
        </is>
      </c>
      <c r="C865" s="13" t="inlineStr">
        <is>
          <t>Eigenschaften erhöhen: Geschicklichkeit</t>
        </is>
      </c>
      <c r="E865" s="10" t="n"/>
      <c r="F865" s="10" t="inlineStr">
        <is>
          <t>Abenteurer</t>
        </is>
      </c>
      <c r="G865" s="10" t="inlineStr">
        <is>
          <t>Auswahl</t>
        </is>
      </c>
      <c r="L865" s="28" t="n">
        <v>6</v>
      </c>
      <c r="Q865" t="inlineStr">
        <is>
          <t>Erhöht das Maximum der Eigenschaft um 5 Punkte.</t>
        </is>
      </c>
    </row>
    <row r="866" hidden="1" ht="15.75" customHeight="1" s="48">
      <c r="A866" s="29" t="inlineStr">
        <is>
          <t>talente_eigenschaften_erhoehen_intelligenz</t>
        </is>
      </c>
      <c r="B866" s="10" t="inlineStr">
        <is>
          <t>Talente</t>
        </is>
      </c>
      <c r="C866" s="13" t="inlineStr">
        <is>
          <t>Eigenschaften erhöhen: Intelligenz</t>
        </is>
      </c>
      <c r="E866" s="10" t="n"/>
      <c r="F866" s="10" t="inlineStr">
        <is>
          <t>Abenteurer</t>
        </is>
      </c>
      <c r="G866" s="10" t="inlineStr">
        <is>
          <t>Auswahl</t>
        </is>
      </c>
      <c r="L866" s="28" t="n">
        <v>6</v>
      </c>
      <c r="Q866" t="inlineStr">
        <is>
          <t>Erhöht das Maximum der Eigenschaft um 5 Punkte.</t>
        </is>
      </c>
    </row>
    <row r="867" hidden="1" ht="15.75" customHeight="1" s="48">
      <c r="A867" s="29" t="inlineStr">
        <is>
          <t>talente_eigenschaften_erhoehen_konstitution</t>
        </is>
      </c>
      <c r="B867" s="10" t="inlineStr">
        <is>
          <t>Talente</t>
        </is>
      </c>
      <c r="C867" s="13" t="inlineStr">
        <is>
          <t>Eigenschaften erhöhen: Konstitution</t>
        </is>
      </c>
      <c r="E867" s="10" t="n"/>
      <c r="F867" s="10" t="inlineStr">
        <is>
          <t>Abenteurer</t>
        </is>
      </c>
      <c r="G867" s="10" t="inlineStr">
        <is>
          <t>Auswahl</t>
        </is>
      </c>
      <c r="L867" s="28" t="n">
        <v>6</v>
      </c>
      <c r="Q867" t="inlineStr">
        <is>
          <t>Erhöht das Maximum der Eigenschaft um 5 Punkte.</t>
        </is>
      </c>
    </row>
    <row r="868" hidden="1" ht="15.75" customHeight="1" s="48">
      <c r="A868" s="29" t="inlineStr">
        <is>
          <t>talente_eigenschaften_erhoehen_mut</t>
        </is>
      </c>
      <c r="B868" s="10" t="inlineStr">
        <is>
          <t>Talente</t>
        </is>
      </c>
      <c r="C868" s="13" t="inlineStr">
        <is>
          <t>Eigenschaften erhöhen: Mut</t>
        </is>
      </c>
      <c r="E868" s="10" t="n"/>
      <c r="F868" s="10" t="inlineStr">
        <is>
          <t>Abenteurer</t>
        </is>
      </c>
      <c r="G868" s="10" t="inlineStr">
        <is>
          <t>Auswahl</t>
        </is>
      </c>
      <c r="L868" s="28" t="n">
        <v>6</v>
      </c>
      <c r="Q868" t="inlineStr">
        <is>
          <t>Erhöht das Maximum der Eigenschaft um 5 Punkte.</t>
        </is>
      </c>
    </row>
    <row r="869" hidden="1" ht="15.75" customHeight="1" s="48">
      <c r="A869" s="29" t="inlineStr">
        <is>
          <t>talente_eigenschaften_erhoehen_schnelligkeit</t>
        </is>
      </c>
      <c r="B869" s="10" t="inlineStr">
        <is>
          <t>Talente</t>
        </is>
      </c>
      <c r="C869" s="13" t="inlineStr">
        <is>
          <t>Eigenschaften erhöhen: Schnelligkeit</t>
        </is>
      </c>
      <c r="E869" s="10" t="n"/>
      <c r="F869" s="10" t="inlineStr">
        <is>
          <t>Abenteurer</t>
        </is>
      </c>
      <c r="G869" s="10" t="inlineStr">
        <is>
          <t>Auswahl</t>
        </is>
      </c>
      <c r="L869" s="28" t="n">
        <v>6</v>
      </c>
      <c r="Q869" t="inlineStr">
        <is>
          <t>Erhöht das Maximum der Eigenschaft um 5 Punkte.</t>
        </is>
      </c>
    </row>
    <row r="870" hidden="1" ht="15.75" customHeight="1" s="48">
      <c r="A870" s="29" t="inlineStr">
        <is>
          <t>talente_eigenschaften_erhoehen_sinnesschaerfe</t>
        </is>
      </c>
      <c r="B870" s="10" t="inlineStr">
        <is>
          <t>Talente</t>
        </is>
      </c>
      <c r="C870" s="13" t="inlineStr">
        <is>
          <t>Eigenschaften erhöhen: Sinnesschärfe</t>
        </is>
      </c>
      <c r="E870" s="10" t="n"/>
      <c r="F870" s="10" t="inlineStr">
        <is>
          <t>Abenteurer</t>
        </is>
      </c>
      <c r="G870" s="10" t="inlineStr">
        <is>
          <t>Auswahl</t>
        </is>
      </c>
      <c r="L870" s="28" t="n">
        <v>6</v>
      </c>
      <c r="Q870" t="inlineStr">
        <is>
          <t>Erhöht das Maximum der Eigenschaft um 5 Punkte.</t>
        </is>
      </c>
    </row>
    <row r="871" hidden="1" ht="15.75" customHeight="1" s="48">
      <c r="A871" s="29" t="inlineStr">
        <is>
          <t>talente_eigenschaften_erhoehen_staerke</t>
        </is>
      </c>
      <c r="B871" s="10" t="inlineStr">
        <is>
          <t>Talente</t>
        </is>
      </c>
      <c r="C871" s="13" t="inlineStr">
        <is>
          <t>Eigenschaften erhöhen: Stärke</t>
        </is>
      </c>
      <c r="E871" s="10" t="n"/>
      <c r="F871" s="10" t="inlineStr">
        <is>
          <t>Abenteurer</t>
        </is>
      </c>
      <c r="G871" s="10" t="inlineStr">
        <is>
          <t>Auswahl</t>
        </is>
      </c>
      <c r="L871" s="28" t="n">
        <v>6</v>
      </c>
      <c r="Q871" t="inlineStr">
        <is>
          <t>Erhöht das Maximum der Eigenschaft um 5 Punkte.</t>
        </is>
      </c>
    </row>
    <row r="872" hidden="1" ht="15.75" customHeight="1" s="48">
      <c r="A872" s="29" t="inlineStr">
        <is>
          <t>talente_eigenschaften_erhoehen_willenskraft</t>
        </is>
      </c>
      <c r="B872" s="10" t="inlineStr">
        <is>
          <t>Talente</t>
        </is>
      </c>
      <c r="C872" s="13" t="inlineStr">
        <is>
          <t>Eigenschaften erhöhen: Willenskraft</t>
        </is>
      </c>
      <c r="E872" s="10" t="n"/>
      <c r="F872" s="10" t="inlineStr">
        <is>
          <t>Abenteurer</t>
        </is>
      </c>
      <c r="G872" s="10" t="inlineStr">
        <is>
          <t>Auswahl</t>
        </is>
      </c>
      <c r="L872" s="28" t="n">
        <v>6</v>
      </c>
      <c r="Q872" t="inlineStr">
        <is>
          <t>Erhöht das Maximum der Eigenschaft um 5 Punkte.</t>
        </is>
      </c>
    </row>
    <row r="873" ht="15.75" customHeight="1" s="48">
      <c r="A873" s="29" t="inlineStr">
        <is>
          <t>talente_entwaffnen</t>
        </is>
      </c>
      <c r="B873" s="10" t="inlineStr">
        <is>
          <t>Talente</t>
        </is>
      </c>
      <c r="C873" s="13" t="inlineStr">
        <is>
          <t>Entwaffnen</t>
        </is>
      </c>
      <c r="E873" s="10" t="n"/>
      <c r="F873" s="10" t="inlineStr">
        <is>
          <t>Krieger</t>
        </is>
      </c>
      <c r="G873" s="10" t="inlineStr">
        <is>
          <t>Auswahl</t>
        </is>
      </c>
      <c r="L873" s="28" t="n">
        <v>40</v>
      </c>
      <c r="Q873" t="inlineStr">
        <is>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is>
      </c>
    </row>
    <row r="874" hidden="1" ht="15.75" customHeight="1" s="48">
      <c r="A874" s="29" t="inlineStr">
        <is>
          <t>talente_fernkampfgeschick_stufe_1</t>
        </is>
      </c>
      <c r="B874" s="10" t="inlineStr">
        <is>
          <t>Talente</t>
        </is>
      </c>
      <c r="C874" s="18" t="inlineStr">
        <is>
          <t>Fernkampfgeschick Stufe 1</t>
        </is>
      </c>
      <c r="E874" s="10" t="n"/>
      <c r="F874" s="10" t="inlineStr">
        <is>
          <t>Schütze</t>
        </is>
      </c>
      <c r="G874" s="10" t="inlineStr">
        <is>
          <t>Auswahl</t>
        </is>
      </c>
      <c r="L874" s="28" t="n">
        <v>8</v>
      </c>
      <c r="Q874" t="inlineStr">
        <is>
          <t>Die FK-Gute beträgt automatisch 1+Probe:4.</t>
        </is>
      </c>
    </row>
    <row r="875" hidden="1" ht="15.75" customHeight="1" s="48">
      <c r="A875" s="29" t="inlineStr">
        <is>
          <t>talente_fernkampfgeschick_stufe_2</t>
        </is>
      </c>
      <c r="B875" s="10" t="inlineStr">
        <is>
          <t>Talente</t>
        </is>
      </c>
      <c r="C875" s="18" t="inlineStr">
        <is>
          <t>Fernkampfgeschick Stufe 2</t>
        </is>
      </c>
      <c r="E875" s="10" t="n"/>
      <c r="F875" s="10" t="inlineStr">
        <is>
          <t>Schütze</t>
        </is>
      </c>
      <c r="G875" s="10" t="inlineStr">
        <is>
          <t>Auswahl</t>
        </is>
      </c>
      <c r="H875" s="10" t="n"/>
      <c r="I875" s="10" t="n"/>
      <c r="L875" s="28" t="n">
        <v>12</v>
      </c>
      <c r="Q875" t="inlineStr">
        <is>
          <t>Die FK-Gute beträgt automatisch 1+Probe:3.</t>
        </is>
      </c>
    </row>
    <row r="876" hidden="1" ht="15.75" customHeight="1" s="48">
      <c r="A876" s="29" t="inlineStr">
        <is>
          <t>talente_fernkampfgeschick_stufe_3</t>
        </is>
      </c>
      <c r="B876" s="10" t="inlineStr">
        <is>
          <t>Talente</t>
        </is>
      </c>
      <c r="C876" s="18" t="inlineStr">
        <is>
          <t>Fernkampfgeschick Stufe 3</t>
        </is>
      </c>
      <c r="E876" s="10" t="n"/>
      <c r="F876" s="10" t="inlineStr">
        <is>
          <t>Schütze</t>
        </is>
      </c>
      <c r="G876" s="10" t="inlineStr">
        <is>
          <t>Auswahl</t>
        </is>
      </c>
      <c r="H876" s="10" t="n"/>
      <c r="I876" s="10" t="n"/>
      <c r="L876" s="28" t="n">
        <v>10</v>
      </c>
      <c r="Q876" t="inlineStr">
        <is>
          <t>Die FK-Gute beträgt automatisch 1+Probe:3. Die FK-Meisterliche beträgt automatisch 21+Probe:20.</t>
        </is>
      </c>
    </row>
    <row r="877" ht="15.75" customHeight="1" s="48">
      <c r="A877" s="29" t="inlineStr">
        <is>
          <t>talente_finte</t>
        </is>
      </c>
      <c r="B877" s="10" t="inlineStr">
        <is>
          <t>Talente</t>
        </is>
      </c>
      <c r="C877" s="13" t="inlineStr">
        <is>
          <t>Finte</t>
        </is>
      </c>
      <c r="E877" s="10" t="n"/>
      <c r="F877" s="10" t="inlineStr">
        <is>
          <t>Krieger</t>
        </is>
      </c>
      <c r="G877" s="10" t="inlineStr">
        <is>
          <t>Auswahl</t>
        </is>
      </c>
      <c r="H877" s="10" t="n"/>
      <c r="I877" s="10" t="n"/>
      <c r="L877" s="28" t="n">
        <v>30</v>
      </c>
      <c r="Q877" t="inlineStr">
        <is>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is>
      </c>
    </row>
    <row r="878" hidden="1" ht="15.75" customHeight="1" s="48">
      <c r="A878" s="29" t="inlineStr">
        <is>
          <t>talente_fliegend_schiessen</t>
        </is>
      </c>
      <c r="B878" s="10" t="inlineStr">
        <is>
          <t>Talente</t>
        </is>
      </c>
      <c r="C878" s="18" t="inlineStr">
        <is>
          <t>Fliegend Schießen</t>
        </is>
      </c>
      <c r="E878" s="10" t="n"/>
      <c r="F878" s="10" t="inlineStr">
        <is>
          <t>Schütze</t>
        </is>
      </c>
      <c r="G878" s="10" t="inlineStr">
        <is>
          <t>Auswahl</t>
        </is>
      </c>
      <c r="H878" s="10" t="n"/>
      <c r="I878" s="10" t="n"/>
      <c r="L878" s="28" t="n">
        <v>20</v>
      </c>
      <c r="Q878" t="inlineStr">
        <is>
          <t>Verändert den FK-Modifikator für "Schütze fliegend" mit allen Waffen auf 0/+1.</t>
        </is>
      </c>
    </row>
    <row r="879" hidden="1" ht="15.75" customHeight="1" s="48">
      <c r="A879" s="29" t="inlineStr">
        <is>
          <t>talente_fliehen_stufe_1</t>
        </is>
      </c>
      <c r="B879" s="10" t="inlineStr">
        <is>
          <t>Talente</t>
        </is>
      </c>
      <c r="C879" s="13" t="inlineStr">
        <is>
          <t>Fliehen Stufe 1</t>
        </is>
      </c>
      <c r="E879" s="10" t="n"/>
      <c r="F879" s="10" t="inlineStr">
        <is>
          <t>Abenteurer</t>
        </is>
      </c>
      <c r="G879" s="10" t="inlineStr">
        <is>
          <t>Auswahl</t>
        </is>
      </c>
      <c r="H879" s="10" t="n"/>
      <c r="I879" s="10" t="n"/>
      <c r="L879" s="28" t="n">
        <v>1</v>
      </c>
      <c r="Q879" t="inlineStr">
        <is>
          <t>Erhöht das Maximum der Sonderfertigkeit "Fliehen" um 4 Punkte.</t>
        </is>
      </c>
    </row>
    <row r="880" hidden="1" ht="15.75" customHeight="1" s="48">
      <c r="A880" s="29" t="inlineStr">
        <is>
          <t>talente_fliehen_stufe_2</t>
        </is>
      </c>
      <c r="B880" s="10" t="inlineStr">
        <is>
          <t>Talente</t>
        </is>
      </c>
      <c r="C880" s="13" t="inlineStr">
        <is>
          <t>Fliehen Stufe 2</t>
        </is>
      </c>
      <c r="E880" s="10" t="n"/>
      <c r="F880" s="10" t="inlineStr">
        <is>
          <t>Abenteurer</t>
        </is>
      </c>
      <c r="G880" s="10" t="inlineStr">
        <is>
          <t>Auswahl</t>
        </is>
      </c>
      <c r="H880" s="10" t="n"/>
      <c r="I880" s="10" t="n"/>
      <c r="L880" s="28" t="n">
        <v>1</v>
      </c>
      <c r="Q880" t="inlineStr">
        <is>
          <t>Erhöht das Maximum der Sonderfertigkeit "Fliehen" um 8 Punkte.</t>
        </is>
      </c>
    </row>
    <row r="881" hidden="1" ht="15.75" customHeight="1" s="48">
      <c r="A881" s="29" t="inlineStr">
        <is>
          <t>talente_fliehen_stufe_3</t>
        </is>
      </c>
      <c r="B881" s="10" t="inlineStr">
        <is>
          <t>Talente</t>
        </is>
      </c>
      <c r="C881" s="7" t="inlineStr">
        <is>
          <t>Fliehen Stufe 3</t>
        </is>
      </c>
      <c r="E881" s="10" t="n"/>
      <c r="F881" s="10" t="inlineStr">
        <is>
          <t>Abenteurer</t>
        </is>
      </c>
      <c r="G881" s="10" t="inlineStr">
        <is>
          <t>Auswahl</t>
        </is>
      </c>
      <c r="H881" s="10" t="n"/>
      <c r="I881" s="10" t="n"/>
      <c r="L881" s="28" t="n">
        <v>1</v>
      </c>
      <c r="Q881" t="inlineStr">
        <is>
          <t>Erhöht das Maximum der Sonderfertigkeit "Fliehen" um 12 Punkte.</t>
        </is>
      </c>
    </row>
    <row r="882" hidden="1" ht="15.75" customHeight="1" s="48">
      <c r="A882" s="29" t="inlineStr">
        <is>
          <t>talente_gezielter_schuss</t>
        </is>
      </c>
      <c r="B882" s="10" t="inlineStr">
        <is>
          <t>Talente</t>
        </is>
      </c>
      <c r="C882" s="18" t="inlineStr">
        <is>
          <t>Gezielter Schuss</t>
        </is>
      </c>
      <c r="E882" s="10" t="n"/>
      <c r="F882" s="10" t="inlineStr">
        <is>
          <t>Schütze</t>
        </is>
      </c>
      <c r="G882" s="10" t="inlineStr">
        <is>
          <t>Auswahl</t>
        </is>
      </c>
      <c r="H882" s="10" t="n"/>
      <c r="I882" s="10" t="n"/>
      <c r="L882" s="28" t="n">
        <v>50</v>
      </c>
      <c r="Q882" t="inlineStr">
        <is>
          <t>Ermöglicht es dem Schützen, sich die FK-Probe um 3 zu erschweren, und dafür 2 TZ-Rerolls auf kritische TZ zu erhalten.</t>
        </is>
      </c>
    </row>
    <row r="883" hidden="1" ht="15.75" customHeight="1" s="48">
      <c r="A883" s="29" t="inlineStr">
        <is>
          <t>talente_grundfertigkeiten_stufe_1</t>
        </is>
      </c>
      <c r="B883" s="10" t="inlineStr">
        <is>
          <t>Talente</t>
        </is>
      </c>
      <c r="C883" s="12" t="inlineStr">
        <is>
          <t>Grundfertigkeiten Stufe 1</t>
        </is>
      </c>
      <c r="E883" s="10" t="n"/>
      <c r="F883" s="10" t="inlineStr">
        <is>
          <t>Abenteurer</t>
        </is>
      </c>
      <c r="G883" s="10" t="inlineStr">
        <is>
          <t>Auswahl</t>
        </is>
      </c>
      <c r="H883" s="10" t="n"/>
      <c r="I883" s="10" t="n"/>
      <c r="L883" s="28" t="n">
        <v>4</v>
      </c>
      <c r="Q883" t="inlineStr">
        <is>
          <t>Grundfertigkeitenmaximum +2</t>
        </is>
      </c>
    </row>
    <row r="884" hidden="1" ht="15.75" customHeight="1" s="48">
      <c r="A884" s="29" t="inlineStr">
        <is>
          <t>talente_grundfertigkeiten_stufe_2</t>
        </is>
      </c>
      <c r="B884" s="10" t="inlineStr">
        <is>
          <t>Talente</t>
        </is>
      </c>
      <c r="C884" s="12" t="inlineStr">
        <is>
          <t>Grundfertigkeiten Stufe 2</t>
        </is>
      </c>
      <c r="E884" s="10" t="n"/>
      <c r="F884" s="10" t="inlineStr">
        <is>
          <t>Abenteurer</t>
        </is>
      </c>
      <c r="G884" s="10" t="inlineStr">
        <is>
          <t>Auswahl</t>
        </is>
      </c>
      <c r="H884" s="10" t="n"/>
      <c r="I884" s="10" t="n"/>
      <c r="L884" s="28" t="n">
        <v>6</v>
      </c>
      <c r="Q884" t="inlineStr">
        <is>
          <t>Grundfertigkeitenmaximum +4</t>
        </is>
      </c>
    </row>
    <row r="885" hidden="1" ht="15.75" customHeight="1" s="48">
      <c r="A885" s="29" t="inlineStr">
        <is>
          <t>talente_grundfertigkeiten_stufe_3</t>
        </is>
      </c>
      <c r="B885" s="10" t="inlineStr">
        <is>
          <t>Talente</t>
        </is>
      </c>
      <c r="C885" s="12" t="inlineStr">
        <is>
          <t>Grundfertigkeiten Stufe 3</t>
        </is>
      </c>
      <c r="E885" s="10" t="n"/>
      <c r="F885" s="10" t="inlineStr">
        <is>
          <t>Abenteurer</t>
        </is>
      </c>
      <c r="G885" s="10" t="inlineStr">
        <is>
          <t>Auswahl</t>
        </is>
      </c>
      <c r="H885" s="10" t="n"/>
      <c r="I885" s="10" t="n"/>
      <c r="L885" s="28" t="n">
        <v>8</v>
      </c>
      <c r="Q885" t="inlineStr">
        <is>
          <t>Grundfertigkeitenmaximum +6</t>
        </is>
      </c>
    </row>
    <row r="886" hidden="1" ht="15.75" customHeight="1" s="48">
      <c r="A886" s="29" t="inlineStr">
        <is>
          <t>talente_grundfertigkeiten_stufe_4</t>
        </is>
      </c>
      <c r="B886" s="10" t="inlineStr">
        <is>
          <t>Talente</t>
        </is>
      </c>
      <c r="C886" s="12" t="inlineStr">
        <is>
          <t>Grundfertigkeiten Stufe 4</t>
        </is>
      </c>
      <c r="E886" s="10" t="n"/>
      <c r="F886" s="10" t="inlineStr">
        <is>
          <t>Abenteurer</t>
        </is>
      </c>
      <c r="G886" s="10" t="inlineStr">
        <is>
          <t>Auswahl</t>
        </is>
      </c>
      <c r="H886" s="10" t="n"/>
      <c r="I886" s="10" t="n"/>
      <c r="L886" s="28" t="n">
        <v>10</v>
      </c>
      <c r="Q886" t="inlineStr">
        <is>
          <t>Grundfertigkeitenmaximum +8</t>
        </is>
      </c>
    </row>
    <row r="887" ht="15.75" customHeight="1" s="48">
      <c r="A887" s="29" t="inlineStr">
        <is>
          <t>talente_kampf_mit_zwei_waffen_stufe_1</t>
        </is>
      </c>
      <c r="B887" s="10" t="inlineStr">
        <is>
          <t>Talente</t>
        </is>
      </c>
      <c r="C887" s="13" t="inlineStr">
        <is>
          <t>Kampf mit zwei Waffen Stufe 1</t>
        </is>
      </c>
      <c r="E887" s="10" t="n"/>
      <c r="F887" s="10" t="inlineStr">
        <is>
          <t>Krieger</t>
        </is>
      </c>
      <c r="G887" s="10" t="inlineStr">
        <is>
          <t>Auswahl</t>
        </is>
      </c>
      <c r="H887" s="10" t="n"/>
      <c r="I887" s="10" t="n"/>
      <c r="L887" s="28" t="n">
        <v>28</v>
      </c>
      <c r="Q887" t="inlineStr">
        <is>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is>
      </c>
    </row>
    <row r="888" ht="15.75" customHeight="1" s="48">
      <c r="A888" s="29" t="inlineStr">
        <is>
          <t>talente_kampf_mit_zwei_waffen_stufe_2</t>
        </is>
      </c>
      <c r="B888" s="10" t="inlineStr">
        <is>
          <t>Talente</t>
        </is>
      </c>
      <c r="C888" s="13" t="inlineStr">
        <is>
          <t>Kampf mit zwei Waffen Stufe 2</t>
        </is>
      </c>
      <c r="E888" s="10" t="n"/>
      <c r="F888" s="10" t="inlineStr">
        <is>
          <t>Krieger</t>
        </is>
      </c>
      <c r="G888" s="10" t="inlineStr">
        <is>
          <t>Auswahl</t>
        </is>
      </c>
      <c r="H888" s="10" t="n"/>
      <c r="I888" s="10" t="n"/>
      <c r="L888" s="28" t="n">
        <v>8</v>
      </c>
      <c r="Q888" t="inlineStr">
        <is>
          <t>Erlaubt dem Charakter, zwei Waffen mit max. WK 4,5 (unmodifizierter Listenwert) im Kampf zu führen. Waffen der Spezialisierung Schild und Stangenwaffen sind ausgeschlossen. Die gemeinsame AT- und PA-WK kann niemals unter die höhere aktuelle Einzel-WK sinken.</t>
        </is>
      </c>
    </row>
    <row r="889" ht="15.75" customHeight="1" s="48">
      <c r="A889" s="29" t="inlineStr">
        <is>
          <t>talente_kampf_mit_zwei_waffen_stufe_3</t>
        </is>
      </c>
      <c r="B889" s="10" t="inlineStr">
        <is>
          <t>Talente</t>
        </is>
      </c>
      <c r="C889" s="13" t="inlineStr">
        <is>
          <t>Kampf mit zwei Waffen Stufe 3</t>
        </is>
      </c>
      <c r="E889" s="10" t="n"/>
      <c r="F889" s="10" t="inlineStr">
        <is>
          <t>Krieger</t>
        </is>
      </c>
      <c r="G889" s="10" t="inlineStr">
        <is>
          <t>Auswahl</t>
        </is>
      </c>
      <c r="H889" s="10" t="n"/>
      <c r="I889" s="10" t="n"/>
      <c r="L889" s="28" t="n">
        <v>12</v>
      </c>
      <c r="Q889" t="inlineStr">
        <is>
          <t>Erlaubt dem Charakter, zwei Waffen mit max. WK 5,5 (unmodifizierter Listenwert) im Kampf zu führen. Waffen der Spezialisierung Schild und Stangenwaffen sind ausgeschlossen. Die gemeinsame AT- und PA-WK kann niemals unter die höhere aktuelle Einzel-WK sinken.</t>
        </is>
      </c>
    </row>
    <row r="890" ht="15.75" customHeight="1" s="48">
      <c r="A890" s="29" t="inlineStr">
        <is>
          <t>talente_kampf_mit_zwei_waffen_stufe_4</t>
        </is>
      </c>
      <c r="B890" s="10" t="inlineStr">
        <is>
          <t>Talente</t>
        </is>
      </c>
      <c r="C890" s="8" t="inlineStr">
        <is>
          <t>Kampf mit zwei Waffen Stufe 4</t>
        </is>
      </c>
      <c r="E890" s="10" t="n"/>
      <c r="F890" s="10" t="inlineStr">
        <is>
          <t>Krieger</t>
        </is>
      </c>
      <c r="G890" s="10" t="inlineStr">
        <is>
          <t>Auswahl</t>
        </is>
      </c>
      <c r="H890" s="10" t="n"/>
      <c r="I890" s="10" t="n"/>
      <c r="L890" s="28" t="n">
        <v>16</v>
      </c>
      <c r="Q890" t="inlineStr">
        <is>
          <t>Erlaubt dem Charakter, zwei Waffen mit max. WK 6,5 (unmodifizierter Listenwert) im Kampf zu führen. Waffen der Spezialisierung Schild und Stangenwaffen sind ausgeschlossen. Die gemeinsame AT- und PA-WK kann niemals unter die höhere aktuelle Einzel-WK sinken.</t>
        </is>
      </c>
    </row>
    <row r="891" ht="15.75" customHeight="1" s="48">
      <c r="A891" s="29" t="inlineStr">
        <is>
          <t>talente_kampffertigkeit_erhoehen_boegen</t>
        </is>
      </c>
      <c r="B891" s="10" t="inlineStr">
        <is>
          <t>Talente</t>
        </is>
      </c>
      <c r="C891" s="13" t="inlineStr">
        <is>
          <t>Kampffertigkeit erhöhen: Bögen</t>
        </is>
      </c>
      <c r="E891" s="10" t="n"/>
      <c r="F891" s="10" t="inlineStr">
        <is>
          <t>Schütze</t>
        </is>
      </c>
      <c r="G891" s="10" t="inlineStr">
        <is>
          <t>Auswahl</t>
        </is>
      </c>
      <c r="H891" s="10" t="n"/>
      <c r="I891" s="10" t="n"/>
      <c r="L891" s="28" t="n">
        <v>2</v>
      </c>
      <c r="Q891" t="inlineStr">
        <is>
          <t>Erhöht das Maximum der Kampffertigkeit um 6 Punkte.</t>
        </is>
      </c>
    </row>
    <row r="892" ht="15.75" customHeight="1" s="48">
      <c r="A892" s="29" t="inlineStr">
        <is>
          <t>talente_kampffertigkeit_erhoehen_hiebwaffen</t>
        </is>
      </c>
      <c r="B892" s="10" t="inlineStr">
        <is>
          <t>Talente</t>
        </is>
      </c>
      <c r="C892" s="12" t="inlineStr">
        <is>
          <t>Kampffertigkeit erhöhen: Hiebwaffen</t>
        </is>
      </c>
      <c r="E892" s="10" t="n"/>
      <c r="F892" s="10" t="inlineStr">
        <is>
          <t>Krieger</t>
        </is>
      </c>
      <c r="G892" s="10" t="inlineStr">
        <is>
          <t>Auswahl</t>
        </is>
      </c>
      <c r="H892" s="10" t="n"/>
      <c r="I892" s="10" t="n"/>
      <c r="L892" s="28" t="n">
        <v>2</v>
      </c>
      <c r="Q892" t="inlineStr">
        <is>
          <t>Erhöht das Maximum der Kampffertigkeit um 6 Punkte.</t>
        </is>
      </c>
    </row>
    <row r="893" ht="15.75" customHeight="1" s="48">
      <c r="A893" s="29" t="inlineStr">
        <is>
          <t>talente_kampffertigkeit_erhoehen_klingenwaffen</t>
        </is>
      </c>
      <c r="B893" s="10" t="inlineStr">
        <is>
          <t>Talente</t>
        </is>
      </c>
      <c r="C893" s="20" t="inlineStr">
        <is>
          <t>Kampffertigkeit erhöhen: Klingenwaffen</t>
        </is>
      </c>
      <c r="E893" s="10" t="n"/>
      <c r="F893" s="10" t="inlineStr">
        <is>
          <t>Krieger</t>
        </is>
      </c>
      <c r="G893" s="10" t="inlineStr">
        <is>
          <t>Auswahl</t>
        </is>
      </c>
      <c r="H893" s="10" t="n"/>
      <c r="I893" s="10" t="n"/>
      <c r="L893" s="28" t="n">
        <v>2</v>
      </c>
      <c r="Q893" t="inlineStr">
        <is>
          <t>Erhöht das Maximum der Kampffertigkeit um 6 Punkte.</t>
        </is>
      </c>
    </row>
    <row r="894" ht="15.75" customHeight="1" s="48">
      <c r="A894" s="29" t="inlineStr">
        <is>
          <t>talente_kampffertigkeit_erhoehen_schusswaffen</t>
        </is>
      </c>
      <c r="B894" s="10" t="inlineStr">
        <is>
          <t>Talente</t>
        </is>
      </c>
      <c r="C894" s="20" t="inlineStr">
        <is>
          <t>Kampffertigkeit erhöhen: Schusswaffen</t>
        </is>
      </c>
      <c r="E894" s="10" t="n"/>
      <c r="F894" s="10" t="inlineStr">
        <is>
          <t>Schütze</t>
        </is>
      </c>
      <c r="G894" s="10" t="inlineStr">
        <is>
          <t>Auswahl</t>
        </is>
      </c>
      <c r="H894" s="10" t="n"/>
      <c r="I894" s="10" t="n"/>
      <c r="L894" s="28" t="n">
        <v>2</v>
      </c>
      <c r="Q894" t="inlineStr">
        <is>
          <t>Erhöht das Maximum der Kampffertigkeit um 6 Punkte.</t>
        </is>
      </c>
    </row>
    <row r="895" ht="15.75" customHeight="1" s="48">
      <c r="A895" s="29" t="inlineStr">
        <is>
          <t>talente_kampffertigkeit_erhoehen_stangenwaffen</t>
        </is>
      </c>
      <c r="B895" s="10" t="inlineStr">
        <is>
          <t>Talente</t>
        </is>
      </c>
      <c r="C895" s="20" t="inlineStr">
        <is>
          <t>Kampffertigkeit erhöhen: Stangenwaffen</t>
        </is>
      </c>
      <c r="E895" s="10" t="n"/>
      <c r="F895" s="10" t="inlineStr">
        <is>
          <t>Krieger</t>
        </is>
      </c>
      <c r="G895" s="10" t="inlineStr">
        <is>
          <t>Auswahl</t>
        </is>
      </c>
      <c r="L895" s="28" t="n">
        <v>2</v>
      </c>
      <c r="Q895" t="inlineStr">
        <is>
          <t>Erhöht das Maximum der Kampffertigkeit um 6 Punkte.</t>
        </is>
      </c>
    </row>
    <row r="896" ht="15.75" customHeight="1" s="48">
      <c r="A896" s="29" t="inlineStr">
        <is>
          <t>talente_kampffertigkeit_erhoehen_stichwaffen</t>
        </is>
      </c>
      <c r="B896" s="10" t="inlineStr">
        <is>
          <t>Talente</t>
        </is>
      </c>
      <c r="C896" s="20" t="inlineStr">
        <is>
          <t>Kampffertigkeit erhöhen: Stichwaffen</t>
        </is>
      </c>
      <c r="E896" s="10" t="n"/>
      <c r="F896" s="10" t="inlineStr">
        <is>
          <t>Krieger</t>
        </is>
      </c>
      <c r="G896" s="10" t="inlineStr">
        <is>
          <t>Auswahl</t>
        </is>
      </c>
      <c r="L896" s="28" t="n">
        <v>2</v>
      </c>
      <c r="Q896" t="inlineStr">
        <is>
          <t>Erhöht das Maximum der Kampffertigkeit um 6 Punkte.</t>
        </is>
      </c>
    </row>
    <row r="897" ht="15.75" customHeight="1" s="48">
      <c r="A897" s="29" t="inlineStr">
        <is>
          <t>talente_kampffertigkeit_erhoehen_unbewaffnet</t>
        </is>
      </c>
      <c r="B897" s="10" t="inlineStr">
        <is>
          <t>Talente</t>
        </is>
      </c>
      <c r="C897" s="13" t="inlineStr">
        <is>
          <t>Kampffertigkeit erhöhen: Unbewaffnet</t>
        </is>
      </c>
      <c r="E897" s="10" t="n"/>
      <c r="F897" s="10" t="inlineStr">
        <is>
          <t>Krieger</t>
        </is>
      </c>
      <c r="G897" s="10" t="inlineStr">
        <is>
          <t>Auswahl</t>
        </is>
      </c>
      <c r="L897" s="28" t="n">
        <v>2</v>
      </c>
      <c r="Q897" t="inlineStr">
        <is>
          <t>Erhöht das Maximum der Kampffertigkeit um 6 Punkte.</t>
        </is>
      </c>
    </row>
    <row r="898" hidden="1" ht="15.75" customHeight="1" s="48">
      <c r="A898" s="29" t="inlineStr">
        <is>
          <t>talente_ki_gute_stufe_1</t>
        </is>
      </c>
      <c r="B898" s="10" t="inlineStr">
        <is>
          <t>Talente</t>
        </is>
      </c>
      <c r="C898" s="12" t="inlineStr">
        <is>
          <t>KI gute Stufe 1</t>
        </is>
      </c>
      <c r="E898" s="10" t="n"/>
      <c r="F898" s="10" t="inlineStr">
        <is>
          <t>KI-Adept</t>
        </is>
      </c>
      <c r="G898" s="10" t="inlineStr">
        <is>
          <t>Auswahl</t>
        </is>
      </c>
      <c r="L898" s="28" t="n">
        <v>30</v>
      </c>
      <c r="Q898" t="inlineStr">
        <is>
          <t>Gute KI-Probe = Magie. Die höchstmögliche Gute ist Normale :2.</t>
        </is>
      </c>
    </row>
    <row r="899" hidden="1" ht="15.75" customHeight="1" s="48">
      <c r="A899" s="29" t="inlineStr">
        <is>
          <t>talente_ki_gute_stufe_2</t>
        </is>
      </c>
      <c r="B899" s="10" t="inlineStr">
        <is>
          <t>Talente</t>
        </is>
      </c>
      <c r="C899" s="12" t="inlineStr">
        <is>
          <t>KI gute Stufe 2</t>
        </is>
      </c>
      <c r="E899" s="10" t="n"/>
      <c r="F899" s="10" t="inlineStr">
        <is>
          <t>KI-Adept</t>
        </is>
      </c>
      <c r="G899" s="10" t="inlineStr">
        <is>
          <t>Auswahl</t>
        </is>
      </c>
      <c r="L899" s="28" t="n">
        <v>40</v>
      </c>
      <c r="Q899" t="inlineStr">
        <is>
          <t>Gute KI-Probe = Magie + Aura. Die höchstmögliche Gute ist Normale :2.</t>
        </is>
      </c>
    </row>
    <row r="900" hidden="1" ht="15.75" customHeight="1" s="48">
      <c r="A900" s="29" t="inlineStr">
        <is>
          <t>talente_ki_mentale_kapazitaet_stufe_1</t>
        </is>
      </c>
      <c r="B900" s="10" t="inlineStr">
        <is>
          <t>Talente</t>
        </is>
      </c>
      <c r="C900" s="13" t="inlineStr">
        <is>
          <t>KI Mentale Kapazität Stufe 1</t>
        </is>
      </c>
      <c r="E900" s="10" t="n"/>
      <c r="F900" s="10" t="inlineStr">
        <is>
          <t>KI-Adept</t>
        </is>
      </c>
      <c r="G900" s="10" t="inlineStr">
        <is>
          <t>Auswahl</t>
        </is>
      </c>
      <c r="L900" s="28" t="n">
        <v>2</v>
      </c>
      <c r="Q900" t="inlineStr">
        <is>
          <t>Mentale Kapazität Fertigkeitsmaximum +4</t>
        </is>
      </c>
    </row>
    <row r="901" hidden="1" ht="15.75" customHeight="1" s="48">
      <c r="A901" s="29" t="inlineStr">
        <is>
          <t>talente_ki_mentale_kapazitaet_stufe_2</t>
        </is>
      </c>
      <c r="B901" s="10" t="inlineStr">
        <is>
          <t>Talente</t>
        </is>
      </c>
      <c r="C901" s="13" t="inlineStr">
        <is>
          <t>KI Mentale Kapazität Stufe 2</t>
        </is>
      </c>
      <c r="E901" s="10" t="n"/>
      <c r="F901" s="10" t="inlineStr">
        <is>
          <t>KI-Adept</t>
        </is>
      </c>
      <c r="G901" s="10" t="inlineStr">
        <is>
          <t>Auswahl</t>
        </is>
      </c>
      <c r="L901" s="28" t="n">
        <v>2</v>
      </c>
      <c r="Q901" t="inlineStr">
        <is>
          <t>Mentale Kapazität Fertigkeitsmaximum +8</t>
        </is>
      </c>
    </row>
    <row r="902" hidden="1" ht="15.75" customHeight="1" s="48">
      <c r="A902" s="29" t="inlineStr">
        <is>
          <t>talente_ki_mentale_kapazitaet_stufe_3</t>
        </is>
      </c>
      <c r="B902" s="10" t="inlineStr">
        <is>
          <t>Talente</t>
        </is>
      </c>
      <c r="C902" s="13" t="inlineStr">
        <is>
          <t>KI Mentale Kapazität Stufe 3</t>
        </is>
      </c>
      <c r="E902" s="10" t="n"/>
      <c r="F902" s="10" t="inlineStr">
        <is>
          <t>KI-Adept</t>
        </is>
      </c>
      <c r="G902" s="10" t="inlineStr">
        <is>
          <t>Auswahl</t>
        </is>
      </c>
      <c r="L902" s="28" t="n">
        <v>4</v>
      </c>
      <c r="Q902" t="inlineStr">
        <is>
          <t>Mentale Kapazität Fertigkeitsmaximum +12</t>
        </is>
      </c>
    </row>
    <row r="903" ht="15.75" customHeight="1" s="48">
      <c r="A903" s="29" t="inlineStr">
        <is>
          <t>talente_konter</t>
        </is>
      </c>
      <c r="B903" s="10" t="inlineStr">
        <is>
          <t>Talente</t>
        </is>
      </c>
      <c r="C903" s="13" t="inlineStr">
        <is>
          <t>Konter</t>
        </is>
      </c>
      <c r="E903" s="10" t="n"/>
      <c r="F903" s="10" t="inlineStr">
        <is>
          <t>Krieger</t>
        </is>
      </c>
      <c r="G903" s="10" t="inlineStr">
        <is>
          <t>Auswahl</t>
        </is>
      </c>
      <c r="L903" s="28" t="n">
        <v>60</v>
      </c>
      <c r="Q903" t="inlineStr">
        <is>
          <t>Ermöglicht dem Krieger nach einer um 15 erschwerten Parade, die um eine Klasse höher war als die Attacke, eine Konterattacke mit AT-Klasse -1.</t>
        </is>
      </c>
    </row>
    <row r="904" hidden="1" ht="15.75" customHeight="1" s="48">
      <c r="A904" s="29" t="inlineStr">
        <is>
          <t>talente_konzentration_stufe_1</t>
        </is>
      </c>
      <c r="B904" s="10" t="inlineStr">
        <is>
          <t>Talente</t>
        </is>
      </c>
      <c r="C904" s="8" t="inlineStr">
        <is>
          <t>Konzentration Stufe 1</t>
        </is>
      </c>
      <c r="E904" s="10" t="n"/>
      <c r="F904" s="10" t="inlineStr">
        <is>
          <t>Magier</t>
        </is>
      </c>
      <c r="G904" s="10" t="inlineStr">
        <is>
          <t>Auswahl</t>
        </is>
      </c>
      <c r="L904" s="28" t="n">
        <v>2</v>
      </c>
      <c r="Q904" t="inlineStr">
        <is>
          <t>Konzentration Fertigkeitsmaximum +4</t>
        </is>
      </c>
    </row>
    <row r="905" hidden="1" ht="15.75" customHeight="1" s="48">
      <c r="A905" s="29" t="inlineStr">
        <is>
          <t>talente_konzentration_stufe_2</t>
        </is>
      </c>
      <c r="B905" s="10" t="inlineStr">
        <is>
          <t>Talente</t>
        </is>
      </c>
      <c r="C905" s="12" t="inlineStr">
        <is>
          <t>Konzentration Stufe 2</t>
        </is>
      </c>
      <c r="E905" s="10" t="n"/>
      <c r="F905" s="10" t="inlineStr">
        <is>
          <t>Magier</t>
        </is>
      </c>
      <c r="G905" s="10" t="inlineStr">
        <is>
          <t>Auswahl</t>
        </is>
      </c>
      <c r="L905" s="28" t="n">
        <v>3</v>
      </c>
      <c r="Q905" t="inlineStr">
        <is>
          <t>Konzentration Fertigkeitsmaximum +8</t>
        </is>
      </c>
    </row>
    <row r="906" hidden="1" ht="15.75" customHeight="1" s="48">
      <c r="A906" s="29" t="inlineStr">
        <is>
          <t>talente_konzentration_stufe_3</t>
        </is>
      </c>
      <c r="B906" s="10" t="inlineStr">
        <is>
          <t>Talente</t>
        </is>
      </c>
      <c r="C906" s="12" t="inlineStr">
        <is>
          <t>Konzentration Stufe 3</t>
        </is>
      </c>
      <c r="E906" s="10" t="n"/>
      <c r="F906" s="10" t="inlineStr">
        <is>
          <t>Magier</t>
        </is>
      </c>
      <c r="G906" s="10" t="inlineStr">
        <is>
          <t>Auswahl</t>
        </is>
      </c>
      <c r="L906" s="28" t="n">
        <v>5</v>
      </c>
      <c r="Q906" t="inlineStr">
        <is>
          <t>Konzentration Fertigkeitsmaximum +12</t>
        </is>
      </c>
    </row>
    <row r="907" hidden="1" ht="15.75" customHeight="1" s="48">
      <c r="A907" s="29" t="inlineStr">
        <is>
          <t>talente_ladeschuetze_armbrust</t>
        </is>
      </c>
      <c r="B907" s="10" t="inlineStr">
        <is>
          <t>Talente</t>
        </is>
      </c>
      <c r="C907" s="18" t="inlineStr">
        <is>
          <t>Ladeschütze Armbrust</t>
        </is>
      </c>
      <c r="E907" s="10" t="n"/>
      <c r="F907" s="10" t="inlineStr">
        <is>
          <t>Schütze</t>
        </is>
      </c>
      <c r="G907" s="10" t="inlineStr">
        <is>
          <t>Auswahl</t>
        </is>
      </c>
      <c r="L907" s="28" t="n">
        <v>2</v>
      </c>
      <c r="Q907" t="inlineStr">
        <is>
          <t>Erhöht das Maximum der Sonderfertigkeit "Ladeschütze Armbrust" um 6 Punkte.</t>
        </is>
      </c>
    </row>
    <row r="908" hidden="1" ht="15.75" customHeight="1" s="48">
      <c r="A908" s="29" t="inlineStr">
        <is>
          <t>talente_ladeschuetze_blasrohr</t>
        </is>
      </c>
      <c r="B908" s="10" t="inlineStr">
        <is>
          <t>Talente</t>
        </is>
      </c>
      <c r="C908" s="18" t="inlineStr">
        <is>
          <t>Ladeschütze Blasrohr</t>
        </is>
      </c>
      <c r="E908" s="10" t="n"/>
      <c r="F908" s="10" t="inlineStr">
        <is>
          <t>Schütze</t>
        </is>
      </c>
      <c r="G908" s="10" t="inlineStr">
        <is>
          <t>Auswahl</t>
        </is>
      </c>
      <c r="L908" s="28" t="n">
        <v>2</v>
      </c>
      <c r="Q908" t="inlineStr">
        <is>
          <t>Erhöht das Maximum der Sonderfertigkeit "Ladeschütze Blasrohr" um 6 Punkte.</t>
        </is>
      </c>
    </row>
    <row r="909" hidden="1" ht="15.75" customHeight="1" s="48">
      <c r="A909" s="29" t="inlineStr">
        <is>
          <t>talente_ladeschuetze_bogen</t>
        </is>
      </c>
      <c r="B909" s="10" t="inlineStr">
        <is>
          <t>Talente</t>
        </is>
      </c>
      <c r="C909" s="18" t="inlineStr">
        <is>
          <t>Ladeschütze Bogen</t>
        </is>
      </c>
      <c r="E909" s="10" t="n"/>
      <c r="F909" s="10" t="inlineStr">
        <is>
          <t>Schütze</t>
        </is>
      </c>
      <c r="G909" s="10" t="inlineStr">
        <is>
          <t>Auswahl</t>
        </is>
      </c>
      <c r="L909" s="28" t="n">
        <v>2</v>
      </c>
      <c r="Q909" t="inlineStr">
        <is>
          <t>Erhöht das Maximum der Sonderfertigkeit "Ladeschütze Bogen" um 6 Punkte.</t>
        </is>
      </c>
    </row>
    <row r="910" hidden="1" ht="15.75" customHeight="1" s="48">
      <c r="A910" s="29" t="inlineStr">
        <is>
          <t>talente_ladeschuetze_kanone</t>
        </is>
      </c>
      <c r="B910" s="10" t="inlineStr">
        <is>
          <t>Talente</t>
        </is>
      </c>
      <c r="C910" s="18" t="inlineStr">
        <is>
          <t>Ladeschütze Kanone</t>
        </is>
      </c>
      <c r="E910" s="10" t="n"/>
      <c r="F910" s="10" t="inlineStr">
        <is>
          <t>Schütze</t>
        </is>
      </c>
      <c r="G910" s="10" t="inlineStr">
        <is>
          <t>Auswahl</t>
        </is>
      </c>
      <c r="L910" s="28" t="n">
        <v>2</v>
      </c>
      <c r="Q910" t="inlineStr">
        <is>
          <t>Erhöht das Maximum der Sonderfertigkeit "Ladeschütze Kanone" um 6 Punkte.</t>
        </is>
      </c>
    </row>
    <row r="911" hidden="1" ht="15.75" customHeight="1" s="48">
      <c r="A911" s="29" t="inlineStr">
        <is>
          <t>talente_ladeschuetze_patrone</t>
        </is>
      </c>
      <c r="B911" s="10" t="inlineStr">
        <is>
          <t>Talente</t>
        </is>
      </c>
      <c r="C911" s="18" t="inlineStr">
        <is>
          <t>Ladeschütze Patrone</t>
        </is>
      </c>
      <c r="E911" s="10" t="n"/>
      <c r="F911" s="10" t="inlineStr">
        <is>
          <t>Schütze</t>
        </is>
      </c>
      <c r="G911" s="10" t="inlineStr">
        <is>
          <t>Auswahl</t>
        </is>
      </c>
      <c r="L911" s="28" t="n">
        <v>2</v>
      </c>
      <c r="Q911" t="inlineStr">
        <is>
          <t>Erhöht das Maximum der Sonderfertigkeit "Ladeschütze Patrone" um 6 Punkte.</t>
        </is>
      </c>
    </row>
    <row r="912" hidden="1" ht="15.75" customHeight="1" s="48">
      <c r="A912" s="29" t="inlineStr">
        <is>
          <t>talente_ladeschuetze_rune</t>
        </is>
      </c>
      <c r="B912" s="10" t="inlineStr">
        <is>
          <t>Talente</t>
        </is>
      </c>
      <c r="C912" s="18" t="inlineStr">
        <is>
          <t>Ladeschütze Rune</t>
        </is>
      </c>
      <c r="E912" s="10" t="n"/>
      <c r="F912" s="10" t="inlineStr">
        <is>
          <t>Schütze</t>
        </is>
      </c>
      <c r="G912" s="10" t="inlineStr">
        <is>
          <t>Auswahl</t>
        </is>
      </c>
      <c r="L912" s="28" t="n">
        <v>2</v>
      </c>
      <c r="Q912" t="inlineStr">
        <is>
          <t>Erhöht das Maximum der Sonderfertigkeit "Ladeschütze Rune" um 6 Punkte.</t>
        </is>
      </c>
    </row>
    <row r="913" hidden="1" ht="15.75" customHeight="1" s="48">
      <c r="A913" s="29" t="inlineStr">
        <is>
          <t>#talente_ladeschuetze_schleuder</t>
        </is>
      </c>
      <c r="B913" s="10" t="inlineStr">
        <is>
          <t>Talente</t>
        </is>
      </c>
      <c r="C913" s="18" t="inlineStr">
        <is>
          <t>Ladeschütze Schleuder</t>
        </is>
      </c>
      <c r="E913" s="10" t="n"/>
      <c r="F913" s="10" t="inlineStr">
        <is>
          <t>Schütze</t>
        </is>
      </c>
      <c r="G913" s="10" t="inlineStr">
        <is>
          <t>Auswahl</t>
        </is>
      </c>
      <c r="L913" s="28" t="n">
        <v>2</v>
      </c>
      <c r="Q913" t="inlineStr">
        <is>
          <t>Erhöht das Maximum der Sonderfertigkeit "Ladeschütze Schleuder" um 6 Punkte.</t>
        </is>
      </c>
    </row>
    <row r="914" hidden="1" ht="15.75" customHeight="1" s="48">
      <c r="A914" s="29" t="inlineStr">
        <is>
          <t>talente_ladeschuetze_wurfmesser</t>
        </is>
      </c>
      <c r="B914" s="10" t="inlineStr">
        <is>
          <t>Talente</t>
        </is>
      </c>
      <c r="C914" s="18" t="inlineStr">
        <is>
          <t>Ladeschütze Wurfmesser</t>
        </is>
      </c>
      <c r="E914" s="10" t="n"/>
      <c r="F914" s="10" t="inlineStr">
        <is>
          <t>Schütze</t>
        </is>
      </c>
      <c r="G914" s="10" t="inlineStr">
        <is>
          <t>Auswahl</t>
        </is>
      </c>
      <c r="L914" s="28" t="n">
        <v>2</v>
      </c>
      <c r="Q914" t="inlineStr">
        <is>
          <t>Erhöht das Maximum der Sonderfertigkeit "Ladeschütze Wurfmesser" um 6 Punkte.</t>
        </is>
      </c>
    </row>
    <row r="915" hidden="1" ht="15.75" customHeight="1" s="48">
      <c r="A915" s="29" t="inlineStr">
        <is>
          <t>talente_linkshaendig_pistolenschiessen</t>
        </is>
      </c>
      <c r="B915" s="10" t="inlineStr">
        <is>
          <t>Talente</t>
        </is>
      </c>
      <c r="C915" s="18" t="inlineStr">
        <is>
          <t>Linkshändig Pistolenschießen</t>
        </is>
      </c>
      <c r="E915" s="10" t="n"/>
      <c r="F915" s="10" t="inlineStr">
        <is>
          <t>Schütze</t>
        </is>
      </c>
      <c r="G915" s="10" t="inlineStr">
        <is>
          <t>Auswahl</t>
        </is>
      </c>
      <c r="L915" s="28" t="n">
        <v>20</v>
      </c>
      <c r="Q915" t="inlineStr">
        <is>
          <t>Ermöglicht es dem Schützen wenn er nur mit der linken Hand mit einer Pistole schießt, statt auf seinen halben auf seinen vollen Probenwert zu würfeln.</t>
        </is>
      </c>
    </row>
    <row r="916" hidden="1" ht="15.75" customHeight="1" s="48">
      <c r="A916" s="29" t="inlineStr">
        <is>
          <t>talente_mana_meditation_stufe_1</t>
        </is>
      </c>
      <c r="B916" s="10" t="inlineStr">
        <is>
          <t>Talente</t>
        </is>
      </c>
      <c r="C916" s="13" t="inlineStr">
        <is>
          <t>Mana Meditation Stufe 1</t>
        </is>
      </c>
      <c r="E916" s="10" t="n"/>
      <c r="F916" s="10" t="inlineStr">
        <is>
          <t>Magier</t>
        </is>
      </c>
      <c r="G916" s="10" t="inlineStr">
        <is>
          <t>Auswahl</t>
        </is>
      </c>
      <c r="L916" s="28" t="n">
        <v>2</v>
      </c>
      <c r="Q916" t="inlineStr">
        <is>
          <t>Mana Meditation Fertigkeitsmaximum +6</t>
        </is>
      </c>
    </row>
    <row r="917" hidden="1" ht="15.75" customHeight="1" s="48">
      <c r="A917" s="29" t="inlineStr">
        <is>
          <t>talente_mana_meditation_stufe_2</t>
        </is>
      </c>
      <c r="B917" s="10" t="inlineStr">
        <is>
          <t>Talente</t>
        </is>
      </c>
      <c r="C917" s="13" t="inlineStr">
        <is>
          <t>Mana Meditation Stufe 2</t>
        </is>
      </c>
      <c r="E917" s="10" t="n"/>
      <c r="F917" s="10" t="inlineStr">
        <is>
          <t>Magier</t>
        </is>
      </c>
      <c r="G917" s="10" t="inlineStr">
        <is>
          <t>Auswahl</t>
        </is>
      </c>
      <c r="L917" s="28" t="n">
        <v>2</v>
      </c>
      <c r="Q917" t="inlineStr">
        <is>
          <t>Mana Meditation Fertigkeitsmaximum +12</t>
        </is>
      </c>
    </row>
    <row r="918" hidden="1" ht="15.75" customHeight="1" s="48">
      <c r="A918" s="29" t="inlineStr">
        <is>
          <t>talente_mana_meditation_stufe_3</t>
        </is>
      </c>
      <c r="B918" s="10" t="inlineStr">
        <is>
          <t>Talente</t>
        </is>
      </c>
      <c r="C918" s="13" t="inlineStr">
        <is>
          <t>Mana Meditation Stufe 3</t>
        </is>
      </c>
      <c r="E918" s="10" t="n"/>
      <c r="F918" s="10" t="inlineStr">
        <is>
          <t>Magier</t>
        </is>
      </c>
      <c r="G918" s="10" t="inlineStr">
        <is>
          <t>Auswahl</t>
        </is>
      </c>
      <c r="L918" s="28" t="n">
        <v>2</v>
      </c>
      <c r="Q918" t="inlineStr">
        <is>
          <t>Mana Meditation Fertigkeitsmaximum +18</t>
        </is>
      </c>
    </row>
    <row r="919" hidden="1" ht="15.75" customHeight="1" s="48">
      <c r="A919" s="29" t="inlineStr">
        <is>
          <t>talente_mana_regeneration_stufe_1</t>
        </is>
      </c>
      <c r="B919" s="10" t="inlineStr">
        <is>
          <t>Talente</t>
        </is>
      </c>
      <c r="C919" s="13" t="inlineStr">
        <is>
          <t>Mana Regeneration Stufe 1</t>
        </is>
      </c>
      <c r="E919" s="10" t="n"/>
      <c r="F919" s="10" t="inlineStr">
        <is>
          <t>Magier</t>
        </is>
      </c>
      <c r="G919" s="10" t="inlineStr">
        <is>
          <t>Auswahl</t>
        </is>
      </c>
      <c r="L919" s="28" t="n">
        <v>10</v>
      </c>
      <c r="Q919" t="inlineStr">
        <is>
          <t>Erhöht die natürliche Mana Regeneration um 50% (faktor 1,5)</t>
        </is>
      </c>
    </row>
    <row r="920" hidden="1" ht="15.75" customHeight="1" s="48">
      <c r="A920" s="29" t="inlineStr">
        <is>
          <t>talente_mana_regeneration_stufe_2</t>
        </is>
      </c>
      <c r="B920" s="10" t="inlineStr">
        <is>
          <t>Talente</t>
        </is>
      </c>
      <c r="C920" s="13" t="inlineStr">
        <is>
          <t>Mana Regeneration Stufe 2</t>
        </is>
      </c>
      <c r="E920" s="10" t="n"/>
      <c r="F920" s="10" t="inlineStr">
        <is>
          <t>Magier</t>
        </is>
      </c>
      <c r="G920" s="10" t="inlineStr">
        <is>
          <t>Auswahl</t>
        </is>
      </c>
      <c r="L920" s="28" t="n">
        <v>13</v>
      </c>
      <c r="Q920" t="inlineStr">
        <is>
          <t>Erhöht die natürliche Mana Regeneration um 100% (faktor 2,0)</t>
        </is>
      </c>
    </row>
    <row r="921" hidden="1" ht="15.75" customHeight="1" s="48">
      <c r="A921" s="29" t="inlineStr">
        <is>
          <t>talente_mana_talent_stufe_1</t>
        </is>
      </c>
      <c r="B921" s="10" t="inlineStr">
        <is>
          <t>Talente</t>
        </is>
      </c>
      <c r="C921" s="13" t="inlineStr">
        <is>
          <t>Mana Talent Stufe 1</t>
        </is>
      </c>
      <c r="E921" s="10" t="n"/>
      <c r="F921" s="10" t="inlineStr">
        <is>
          <t>Magier</t>
        </is>
      </c>
      <c r="G921" s="10" t="inlineStr">
        <is>
          <t>Auswahl</t>
        </is>
      </c>
      <c r="L921" s="28" t="n">
        <v>1</v>
      </c>
      <c r="Q921" t="inlineStr">
        <is>
          <t>Mana Talentwert Fertigkeitsmaximum +6</t>
        </is>
      </c>
    </row>
    <row r="922" hidden="1" ht="15.75" customHeight="1" s="48">
      <c r="A922" s="29" t="inlineStr">
        <is>
          <t>talente_mana_talent_stufe_2</t>
        </is>
      </c>
      <c r="B922" s="10" t="inlineStr">
        <is>
          <t>Talente</t>
        </is>
      </c>
      <c r="C922" s="12" t="inlineStr">
        <is>
          <t>Mana Talent Stufe 2</t>
        </is>
      </c>
      <c r="E922" s="10" t="n"/>
      <c r="F922" s="10" t="inlineStr">
        <is>
          <t>Magier</t>
        </is>
      </c>
      <c r="G922" s="10" t="inlineStr">
        <is>
          <t>Auswahl</t>
        </is>
      </c>
      <c r="L922" s="28" t="n">
        <v>1</v>
      </c>
      <c r="Q922" t="inlineStr">
        <is>
          <t>Mana Talentwert Fertigkeitsmaximum +12</t>
        </is>
      </c>
    </row>
    <row r="923" hidden="1" ht="15.75" customHeight="1" s="48">
      <c r="A923" s="29" t="inlineStr">
        <is>
          <t>talente_mana_talent_stufe_3</t>
        </is>
      </c>
      <c r="B923" s="10" t="inlineStr">
        <is>
          <t>Talente</t>
        </is>
      </c>
      <c r="C923" s="12" t="inlineStr">
        <is>
          <t>Mana Talent Stufe 3</t>
        </is>
      </c>
      <c r="E923" s="10" t="n"/>
      <c r="F923" s="10" t="inlineStr">
        <is>
          <t>Magier</t>
        </is>
      </c>
      <c r="G923" s="10" t="inlineStr">
        <is>
          <t>Auswahl</t>
        </is>
      </c>
      <c r="L923" s="28" t="n">
        <v>1</v>
      </c>
      <c r="Q923" t="inlineStr">
        <is>
          <t>Mana Talentwert Fertigkeitsmaximum +18</t>
        </is>
      </c>
    </row>
    <row r="924" hidden="1" ht="15.75" customHeight="1" s="48">
      <c r="A924" s="29" t="inlineStr">
        <is>
          <t>talente_mana_talent_stufe_4</t>
        </is>
      </c>
      <c r="B924" s="10" t="inlineStr">
        <is>
          <t>Talente</t>
        </is>
      </c>
      <c r="C924" s="12" t="inlineStr">
        <is>
          <t>Mana Talent Stufe 4</t>
        </is>
      </c>
      <c r="E924" s="10" t="n"/>
      <c r="F924" s="10" t="inlineStr">
        <is>
          <t>Magier</t>
        </is>
      </c>
      <c r="G924" s="10" t="inlineStr">
        <is>
          <t>Auswahl</t>
        </is>
      </c>
      <c r="L924" s="28" t="n">
        <v>2</v>
      </c>
      <c r="Q924" t="inlineStr">
        <is>
          <t>Mana Talentwert Fertigkeitsmaximum +24</t>
        </is>
      </c>
    </row>
    <row r="925" hidden="1" ht="15.75" customHeight="1" s="48">
      <c r="A925" s="29" t="inlineStr">
        <is>
          <t>talente_me_sparen</t>
        </is>
      </c>
      <c r="B925" s="10" t="inlineStr">
        <is>
          <t>Talente</t>
        </is>
      </c>
      <c r="C925" s="13" t="inlineStr">
        <is>
          <t>ME sparen</t>
        </is>
      </c>
      <c r="E925" s="10" t="n"/>
      <c r="F925" s="10" t="inlineStr">
        <is>
          <t>KI-Adept</t>
        </is>
      </c>
      <c r="G925" s="10" t="inlineStr">
        <is>
          <t>Auswahl</t>
        </is>
      </c>
      <c r="L925" s="28" t="n">
        <v>20</v>
      </c>
      <c r="Q925" t="inlineStr">
        <is>
          <t>Immer halbe ME.</t>
        </is>
      </c>
    </row>
    <row r="926" hidden="1" ht="15.75" customHeight="1" s="48">
      <c r="A926" s="29" t="inlineStr">
        <is>
          <t>talente_mehrfachschuss_stufe_1_doppelschuss</t>
        </is>
      </c>
      <c r="B926" s="10" t="inlineStr">
        <is>
          <t>Talente</t>
        </is>
      </c>
      <c r="C926" s="18" t="inlineStr">
        <is>
          <t>Mehrfachschuss Stufe 1 "Doppelschuss"</t>
        </is>
      </c>
      <c r="E926" s="10" t="n"/>
      <c r="F926" s="10" t="inlineStr">
        <is>
          <t>Schütze</t>
        </is>
      </c>
      <c r="G926" s="10" t="inlineStr">
        <is>
          <t>Auswahl</t>
        </is>
      </c>
      <c r="L926" s="28" t="n">
        <v>40</v>
      </c>
      <c r="Q926" t="inlineStr">
        <is>
          <t>Ermöglicht nicht-spezialisierbare FK-Fertigkeiten [Bogenart]-Doppelschuss (18 St.p. pro Punkt)  –  FK-Formel für Doppelschuss wird zu (Ges+Sin+Fert+Spez+Doppelschuss):4. Bei Anwendung eines Doppelschusses wird der Probenwert halbiert.</t>
        </is>
      </c>
    </row>
    <row r="927" hidden="1" ht="15.75" customHeight="1" s="48">
      <c r="A927" s="29" t="inlineStr">
        <is>
          <t>talente_mehrfachschuss_stufe_2_tripelschuss</t>
        </is>
      </c>
      <c r="B927" s="10" t="inlineStr">
        <is>
          <t>Talente</t>
        </is>
      </c>
      <c r="C927" s="18" t="inlineStr">
        <is>
          <t>Mehrfachschuss Stufe 2 "Tripelschuss"</t>
        </is>
      </c>
      <c r="E927" s="10" t="n"/>
      <c r="F927" s="10" t="inlineStr">
        <is>
          <t>Schütze</t>
        </is>
      </c>
      <c r="G927" s="10" t="inlineStr">
        <is>
          <t>Auswahl</t>
        </is>
      </c>
      <c r="L927" s="28" t="n">
        <v>20</v>
      </c>
      <c r="Q927" t="inlineStr">
        <is>
          <t xml:space="preserve">Tripelschuss ermöglicht nicht-spezialisierbare FK-Fertigkeiten [Bogenart]-Tripelschuss (18 St.p. pro Punkt)  –  FK-Formel für Tripelschuss wird zu (Ges+Sin+Fert+Spez+Doppelschuss+Tripelschuss):4. Bei Anwendung eines Tripelschusses wird der Probenwert gedrittelt. </t>
        </is>
      </c>
    </row>
    <row r="928" hidden="1" ht="15.75" customHeight="1" s="48">
      <c r="A928" s="29" t="inlineStr">
        <is>
          <t>talente_meuchler</t>
        </is>
      </c>
      <c r="B928" s="10" t="inlineStr">
        <is>
          <t>Talente</t>
        </is>
      </c>
      <c r="C928" s="12" t="inlineStr">
        <is>
          <t>Meuchler</t>
        </is>
      </c>
      <c r="E928" s="10" t="n"/>
      <c r="F928" s="10" t="inlineStr">
        <is>
          <t>Abenteurer</t>
        </is>
      </c>
      <c r="G928" s="10" t="inlineStr">
        <is>
          <t>Auswahl</t>
        </is>
      </c>
      <c r="L928" s="28" t="n">
        <v>36</v>
      </c>
      <c r="Q928" t="inlineStr">
        <is>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is>
      </c>
    </row>
    <row r="929" ht="15.75" customHeight="1" s="48">
      <c r="A929" s="29" t="inlineStr">
        <is>
          <t>talente_mit_schild_umwerfen</t>
        </is>
      </c>
      <c r="B929" s="10" t="inlineStr">
        <is>
          <t>Talente</t>
        </is>
      </c>
      <c r="C929" s="13" t="inlineStr">
        <is>
          <t>Mit Schild umwerfen</t>
        </is>
      </c>
      <c r="E929" s="10" t="n"/>
      <c r="F929" s="10" t="inlineStr">
        <is>
          <t>Krieger</t>
        </is>
      </c>
      <c r="G929" s="10" t="inlineStr">
        <is>
          <t>Auswahl</t>
        </is>
      </c>
      <c r="L929" s="28" t="n">
        <v>34</v>
      </c>
      <c r="Q929" t="inlineStr">
        <is>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is>
      </c>
    </row>
    <row r="930" hidden="1" ht="15.75" customHeight="1" s="48">
      <c r="B930" s="10" t="n"/>
      <c r="C930" s="18" t="n"/>
      <c r="E930" s="10" t="n"/>
      <c r="F930" s="10" t="n"/>
      <c r="G930" s="10" t="n"/>
      <c r="L930" s="28" t="n"/>
    </row>
    <row r="931" ht="15.75" customHeight="1" s="48">
      <c r="A931" s="29" t="inlineStr">
        <is>
          <t>talente_offensiver_kampfstil_stufe_1</t>
        </is>
      </c>
      <c r="B931" s="10" t="inlineStr">
        <is>
          <t>Talente</t>
        </is>
      </c>
      <c r="C931" s="13" t="inlineStr">
        <is>
          <t>Offensiver Kampfstil Stufe 1</t>
        </is>
      </c>
      <c r="E931" s="10" t="n"/>
      <c r="F931" s="10" t="inlineStr">
        <is>
          <t>Krieger</t>
        </is>
      </c>
      <c r="G931" s="10" t="inlineStr">
        <is>
          <t>Auswahl</t>
        </is>
      </c>
      <c r="L931" s="28" t="n">
        <v>2</v>
      </c>
      <c r="Q931" t="inlineStr">
        <is>
          <t>alle nAT+1 und nPA-1</t>
        </is>
      </c>
    </row>
    <row r="932" ht="15.75" customHeight="1" s="48">
      <c r="A932" s="29" t="inlineStr">
        <is>
          <t>talente_offensiver_kampfstil_stufe_2</t>
        </is>
      </c>
      <c r="B932" s="10" t="inlineStr">
        <is>
          <t>Talente</t>
        </is>
      </c>
      <c r="C932" s="13" t="inlineStr">
        <is>
          <t>Offensiver Kampfstil Stufe 2</t>
        </is>
      </c>
      <c r="E932" s="10" t="n"/>
      <c r="F932" s="10" t="inlineStr">
        <is>
          <t>Krieger</t>
        </is>
      </c>
      <c r="G932" s="10" t="inlineStr">
        <is>
          <t>Auswahl</t>
        </is>
      </c>
      <c r="L932" s="28" t="n">
        <v>2</v>
      </c>
      <c r="Q932" t="inlineStr">
        <is>
          <t>alle nAT+2 und nPA-2</t>
        </is>
      </c>
    </row>
    <row r="933" ht="15.75" customHeight="1" s="48">
      <c r="A933" s="29" t="inlineStr">
        <is>
          <t>talente_offensiver_kampfstil_stufe_3</t>
        </is>
      </c>
      <c r="B933" s="10" t="inlineStr">
        <is>
          <t>Talente</t>
        </is>
      </c>
      <c r="C933" s="13" t="inlineStr">
        <is>
          <t>Offensiver Kampfstil Stufe 3</t>
        </is>
      </c>
      <c r="E933" s="10" t="n"/>
      <c r="F933" s="10" t="inlineStr">
        <is>
          <t>Krieger</t>
        </is>
      </c>
      <c r="G933" s="10" t="inlineStr">
        <is>
          <t>Auswahl</t>
        </is>
      </c>
      <c r="L933" s="28" t="n">
        <v>2</v>
      </c>
      <c r="Q933" t="inlineStr">
        <is>
          <t>alle nAT+3 und nPA-3</t>
        </is>
      </c>
    </row>
    <row r="934" hidden="1" ht="15.75" customHeight="1" s="48">
      <c r="A934" s="29" t="inlineStr">
        <is>
          <t>talente_psi_gute_stufe_1</t>
        </is>
      </c>
      <c r="B934" s="10" t="inlineStr">
        <is>
          <t>Talente</t>
        </is>
      </c>
      <c r="C934" s="13" t="inlineStr">
        <is>
          <t>PSI gute Stufe 1</t>
        </is>
      </c>
      <c r="E934" s="10" t="n"/>
      <c r="F934" s="10" t="inlineStr">
        <is>
          <t>PSI-Magier</t>
        </is>
      </c>
      <c r="G934" s="10" t="inlineStr">
        <is>
          <t>Auswahl</t>
        </is>
      </c>
      <c r="L934" s="28" t="n">
        <v>14</v>
      </c>
      <c r="Q934" t="inlineStr">
        <is>
          <t>Gute PSI-Probe = Magie. Die höchstmögliche Gute ist Normale:2.</t>
        </is>
      </c>
    </row>
    <row r="935" hidden="1" ht="15.75" customHeight="1" s="48">
      <c r="A935" s="29" t="inlineStr">
        <is>
          <t>talente_psi_gute_stufe_2</t>
        </is>
      </c>
      <c r="B935" s="10" t="inlineStr">
        <is>
          <t>Talente</t>
        </is>
      </c>
      <c r="C935" s="13" t="inlineStr">
        <is>
          <t>PSI gute Stufe 2</t>
        </is>
      </c>
      <c r="E935" s="10" t="n"/>
      <c r="F935" s="10" t="inlineStr">
        <is>
          <t>PSI-Magier</t>
        </is>
      </c>
      <c r="G935" s="10" t="inlineStr">
        <is>
          <t>Auswahl</t>
        </is>
      </c>
      <c r="L935" s="28" t="n">
        <v>22</v>
      </c>
      <c r="Q935" t="inlineStr">
        <is>
          <t>Gute PSI-Probe = Magie + Eigenschaftsbonus. Die höchstmögliche Gute ist Normale:2.</t>
        </is>
      </c>
    </row>
    <row r="936" hidden="1" ht="15.75" customHeight="1" s="48">
      <c r="A936" s="29" t="inlineStr">
        <is>
          <t>talente_psi_psinetik_stufe_1</t>
        </is>
      </c>
      <c r="B936" s="10" t="inlineStr">
        <is>
          <t>Talente</t>
        </is>
      </c>
      <c r="C936" s="13" t="inlineStr">
        <is>
          <t>PSI Psinetik Stufe 1</t>
        </is>
      </c>
      <c r="E936" s="10" t="n"/>
      <c r="F936" s="10" t="inlineStr">
        <is>
          <t>PSI-Magier</t>
        </is>
      </c>
      <c r="G936" s="10" t="inlineStr">
        <is>
          <t>Auswahl</t>
        </is>
      </c>
      <c r="L936" s="28" t="n">
        <v>1</v>
      </c>
      <c r="Q936" t="inlineStr">
        <is>
          <t>PSI Fertigkeitsmaximmum +6</t>
        </is>
      </c>
    </row>
    <row r="937" hidden="1" ht="15.75" customHeight="1" s="48">
      <c r="A937" s="29" t="inlineStr">
        <is>
          <t>talente_psi_psinetik_stufe_2</t>
        </is>
      </c>
      <c r="B937" s="10" t="inlineStr">
        <is>
          <t>Talente</t>
        </is>
      </c>
      <c r="C937" s="13" t="inlineStr">
        <is>
          <t>PSI Psinetik Stufe 2</t>
        </is>
      </c>
      <c r="E937" s="10" t="n"/>
      <c r="F937" s="10" t="inlineStr">
        <is>
          <t>PSI-Magier</t>
        </is>
      </c>
      <c r="G937" s="10" t="inlineStr">
        <is>
          <t>Auswahl</t>
        </is>
      </c>
      <c r="L937" s="28" t="n">
        <v>6</v>
      </c>
      <c r="Q937" t="inlineStr">
        <is>
          <t>PSI Fertigkeitsmaximmum +12</t>
        </is>
      </c>
    </row>
    <row r="938" hidden="1" ht="15.75" customHeight="1" s="48">
      <c r="A938" s="29" t="inlineStr">
        <is>
          <t>talente_psi_psinetik_stufe_3</t>
        </is>
      </c>
      <c r="B938" s="10" t="inlineStr">
        <is>
          <t>Talente</t>
        </is>
      </c>
      <c r="C938" s="19" t="inlineStr">
        <is>
          <t>PSI Psinetik Stufe 3</t>
        </is>
      </c>
      <c r="D938" s="10" t="n"/>
      <c r="E938" s="10" t="n"/>
      <c r="F938" s="10" t="inlineStr">
        <is>
          <t>PSI-Magier</t>
        </is>
      </c>
      <c r="G938" s="10" t="inlineStr">
        <is>
          <t>Auswahl</t>
        </is>
      </c>
      <c r="L938" s="28" t="n">
        <v>12</v>
      </c>
      <c r="Q938" t="inlineStr">
        <is>
          <t>PSI Fertigkeitsmaximmum +18</t>
        </is>
      </c>
    </row>
    <row r="939" ht="15.75" customHeight="1" s="48">
      <c r="A939" s="29" t="inlineStr">
        <is>
          <t>talente_ruestungsmanoever_stufe_1</t>
        </is>
      </c>
      <c r="B939" s="10" t="inlineStr">
        <is>
          <t>Talente</t>
        </is>
      </c>
      <c r="C939" s="13" t="inlineStr">
        <is>
          <t>Rüstungsmanöver Stufe 1</t>
        </is>
      </c>
      <c r="E939" s="10" t="n"/>
      <c r="F939" s="10" t="inlineStr">
        <is>
          <t>Krieger</t>
        </is>
      </c>
      <c r="G939" s="10" t="inlineStr">
        <is>
          <t>Auswahl</t>
        </is>
      </c>
      <c r="L939" s="28" t="n">
        <v>2</v>
      </c>
      <c r="Q939" t="inlineStr">
        <is>
          <t>Rüstungsmanöver Fertigkeitsmaximum +4</t>
        </is>
      </c>
    </row>
    <row r="940" ht="15.75" customHeight="1" s="48">
      <c r="A940" s="29" t="inlineStr">
        <is>
          <t>talente_ruestungsmanoever_stufe_2</t>
        </is>
      </c>
      <c r="B940" s="10" t="inlineStr">
        <is>
          <t>Talente</t>
        </is>
      </c>
      <c r="C940" s="13" t="inlineStr">
        <is>
          <t>Rüstungsmanöver Stufe 2</t>
        </is>
      </c>
      <c r="E940" s="10" t="n"/>
      <c r="F940" s="10" t="inlineStr">
        <is>
          <t>Krieger</t>
        </is>
      </c>
      <c r="G940" s="10" t="inlineStr">
        <is>
          <t>Auswahl</t>
        </is>
      </c>
      <c r="L940" s="28" t="n">
        <v>14</v>
      </c>
      <c r="Q940" t="inlineStr">
        <is>
          <t>Rüstungsmanöver Fertigkeitsmaximum +8</t>
        </is>
      </c>
    </row>
    <row r="941" ht="15.75" customHeight="1" s="48">
      <c r="A941" s="29" t="inlineStr">
        <is>
          <t>talente_ruestungsmanoever_stufe_3</t>
        </is>
      </c>
      <c r="B941" s="10" t="inlineStr">
        <is>
          <t>Talente</t>
        </is>
      </c>
      <c r="C941" s="13" t="inlineStr">
        <is>
          <t>Rüstungsmanöver Stufe 3</t>
        </is>
      </c>
      <c r="E941" s="10" t="n"/>
      <c r="F941" s="10" t="inlineStr">
        <is>
          <t>Krieger</t>
        </is>
      </c>
      <c r="G941" s="10" t="inlineStr">
        <is>
          <t>Auswahl</t>
        </is>
      </c>
      <c r="L941" s="28" t="n">
        <v>16</v>
      </c>
      <c r="Q941" t="inlineStr">
        <is>
          <t>Rüstungsmanöver Fertigkeitsmaximum +12</t>
        </is>
      </c>
    </row>
    <row r="942" hidden="1" ht="15.75" customHeight="1" s="48">
      <c r="A942" s="29" t="inlineStr">
        <is>
          <t>talente_schnell_schiessen</t>
        </is>
      </c>
      <c r="B942" s="10" t="inlineStr">
        <is>
          <t>Talente</t>
        </is>
      </c>
      <c r="C942" s="25" t="inlineStr">
        <is>
          <t>Schnell Schießen</t>
        </is>
      </c>
      <c r="E942" s="10" t="n"/>
      <c r="F942" s="10" t="inlineStr">
        <is>
          <t>Schütze</t>
        </is>
      </c>
      <c r="G942" s="10" t="inlineStr">
        <is>
          <t>Auswahl</t>
        </is>
      </c>
      <c r="L942" s="28" t="n">
        <v>20</v>
      </c>
      <c r="Q942" t="inlineStr">
        <is>
          <t>Verändert die Zielen-Modifikatoren für "Hüftschuss" auf -8 und für "Sofortschuss" auf -4.</t>
        </is>
      </c>
    </row>
    <row r="943" hidden="1" ht="15.75" customHeight="1" s="48">
      <c r="A943" s="29" t="inlineStr">
        <is>
          <t>talente_schnell_zaubern_stufe_1</t>
        </is>
      </c>
      <c r="B943" s="10" t="inlineStr">
        <is>
          <t>Talente</t>
        </is>
      </c>
      <c r="C943" s="13" t="inlineStr">
        <is>
          <t>Schnell Zaubern Stufe 1</t>
        </is>
      </c>
      <c r="E943" s="10" t="n"/>
      <c r="F943" s="10" t="inlineStr">
        <is>
          <t>Magier</t>
        </is>
      </c>
      <c r="G943" s="10" t="inlineStr">
        <is>
          <t>Auswahl</t>
        </is>
      </c>
      <c r="L943" s="28" t="n">
        <v>85</v>
      </c>
      <c r="Q943" t="inlineStr">
        <is>
          <t>Die Zauberzeitverkürzungen der Zauberstufen 1/2/3 werden zu :2/:3/:4.</t>
        </is>
      </c>
    </row>
    <row r="944" hidden="1" ht="15.75" customHeight="1" s="48">
      <c r="A944" s="29" t="inlineStr">
        <is>
          <t>talente_schnell_zaubern_stufe_2</t>
        </is>
      </c>
      <c r="B944" s="10" t="inlineStr">
        <is>
          <t>Talente</t>
        </is>
      </c>
      <c r="C944" s="13" t="inlineStr">
        <is>
          <t>Schnell Zaubern Stufe 2</t>
        </is>
      </c>
      <c r="E944" s="10" t="n"/>
      <c r="F944" s="10" t="inlineStr">
        <is>
          <t>Magier</t>
        </is>
      </c>
      <c r="G944" s="10" t="inlineStr">
        <is>
          <t>Auswahl</t>
        </is>
      </c>
      <c r="L944" s="28" t="n">
        <v>43</v>
      </c>
      <c r="Q944" t="inlineStr">
        <is>
          <t>Die Zauberzeitverkürzungen der Zauberstufen 1/2/3 werden zu :3/:4/:5. Nicht kumulativ mit anderen Stufen dieses Vorteils.</t>
        </is>
      </c>
    </row>
    <row r="945" hidden="1" ht="15.75" customHeight="1" s="48">
      <c r="A945" s="29" t="inlineStr">
        <is>
          <t>talente_schnell_zaubern_stufe_3</t>
        </is>
      </c>
      <c r="B945" s="10" t="inlineStr">
        <is>
          <t>Talente</t>
        </is>
      </c>
      <c r="C945" s="13" t="inlineStr">
        <is>
          <t>Schnell Zaubern Stufe 3</t>
        </is>
      </c>
      <c r="E945" s="10" t="n"/>
      <c r="F945" s="10" t="inlineStr">
        <is>
          <t>Magier</t>
        </is>
      </c>
      <c r="G945" s="10" t="inlineStr">
        <is>
          <t>Auswahl</t>
        </is>
      </c>
      <c r="L945" s="28" t="n">
        <v>21</v>
      </c>
      <c r="Q945" t="inlineStr">
        <is>
          <t>Die Zauberzeitverkürzungen der Zauberstufen 1/2/3 werden zu :4/:5/:6. Nicht kumulativ mit anderen Stufen dieses Vorteils.</t>
        </is>
      </c>
    </row>
    <row r="946" hidden="1" ht="15.75" customHeight="1" s="48">
      <c r="A946" s="29" t="inlineStr">
        <is>
          <t>talente_schnell_ziehen_armbrust</t>
        </is>
      </c>
      <c r="B946" s="10" t="inlineStr">
        <is>
          <t>Talente</t>
        </is>
      </c>
      <c r="C946" s="25" t="inlineStr">
        <is>
          <t>Schnell Ziehen Armbrust</t>
        </is>
      </c>
      <c r="E946" s="10" t="n"/>
      <c r="F946" s="10" t="inlineStr">
        <is>
          <t>Schütze</t>
        </is>
      </c>
      <c r="G946" s="10" t="inlineStr">
        <is>
          <t>Auswahl</t>
        </is>
      </c>
      <c r="L946" s="28" t="n">
        <v>6</v>
      </c>
      <c r="Q946" t="inlineStr">
        <is>
          <t>In derselben Sekunde in der man die Waffe zieht, kann damit noch agiert werden, zum Beispiel mit Hüftschuss oder dem Laden. Dies setzt eine geeignete Halterung voraus.</t>
        </is>
      </c>
    </row>
    <row r="947" hidden="1" ht="15.75" customHeight="1" s="48">
      <c r="A947" s="29" t="inlineStr">
        <is>
          <t>talente_schnell_ziehen_bogen</t>
        </is>
      </c>
      <c r="B947" s="10" t="inlineStr">
        <is>
          <t>Talente</t>
        </is>
      </c>
      <c r="C947" s="25" t="inlineStr">
        <is>
          <t>Schnell Ziehen Bogen</t>
        </is>
      </c>
      <c r="E947" s="10" t="n"/>
      <c r="F947" s="10" t="inlineStr">
        <is>
          <t>Schütze</t>
        </is>
      </c>
      <c r="G947" s="10" t="inlineStr">
        <is>
          <t>Auswahl</t>
        </is>
      </c>
      <c r="L947" s="28" t="n">
        <v>4</v>
      </c>
      <c r="Q947" t="inlineStr">
        <is>
          <t>In derselben Sekunde in der man die Waffe zieht, kann damit noch agiert werden, zum Beispiel mit Laden des Bogens. Dies setzt eine geeignete Halterung voraus.</t>
        </is>
      </c>
    </row>
    <row r="948" hidden="1" ht="15.75" customHeight="1" s="48">
      <c r="A948" s="29" t="inlineStr">
        <is>
          <t>talente_schnell_ziehen_muskete</t>
        </is>
      </c>
      <c r="B948" s="10" t="inlineStr">
        <is>
          <t>Talente</t>
        </is>
      </c>
      <c r="C948" s="25" t="inlineStr">
        <is>
          <t>Schnell Ziehen Muskete</t>
        </is>
      </c>
      <c r="E948" s="10" t="n"/>
      <c r="F948" s="10" t="inlineStr">
        <is>
          <t>Schütze</t>
        </is>
      </c>
      <c r="G948" s="10" t="inlineStr">
        <is>
          <t>Auswahl</t>
        </is>
      </c>
      <c r="L948" s="28" t="n">
        <v>6</v>
      </c>
      <c r="Q948" t="inlineStr">
        <is>
          <t>In derselben Sekunde in der man die Waffe zieht, kann damit noch agiert werden, zum Beispiel mit Hüftschuss oder dem Laden. Dies setzt eine geeignete Halterung voraus.</t>
        </is>
      </c>
    </row>
    <row r="949" hidden="1" ht="15.75" customHeight="1" s="48">
      <c r="A949" s="29" t="inlineStr">
        <is>
          <t>talente_schnell_ziehen_pistole</t>
        </is>
      </c>
      <c r="B949" s="10" t="inlineStr">
        <is>
          <t>Talente</t>
        </is>
      </c>
      <c r="C949" s="25" t="inlineStr">
        <is>
          <t>Schnell Ziehen Pistole</t>
        </is>
      </c>
      <c r="E949" s="10" t="n"/>
      <c r="F949" s="10" t="inlineStr">
        <is>
          <t>Schütze</t>
        </is>
      </c>
      <c r="G949" s="10" t="inlineStr">
        <is>
          <t>Auswahl</t>
        </is>
      </c>
      <c r="L949" s="28" t="n">
        <v>10</v>
      </c>
      <c r="Q949" t="inlineStr">
        <is>
          <t>In derselben Sekunde in der man die Waffe zieht, kann damit noch agiert werden, zum Beispiel mit Hüftschuss oder dem Laden. Dies setzt eine geeignete Halterung voraus.</t>
        </is>
      </c>
    </row>
    <row r="950" hidden="1" ht="15.75" customHeight="1" s="48">
      <c r="A950" s="29" t="inlineStr">
        <is>
          <t>talente_schnell_ziehen_wurfwaffe</t>
        </is>
      </c>
      <c r="B950" s="10" t="inlineStr">
        <is>
          <t>Talente</t>
        </is>
      </c>
      <c r="C950" s="25" t="inlineStr">
        <is>
          <t>Schnell Ziehen Wurfwaffe</t>
        </is>
      </c>
      <c r="E950" s="10" t="n"/>
      <c r="F950" s="10" t="inlineStr">
        <is>
          <t>Schütze</t>
        </is>
      </c>
      <c r="G950" s="10" t="inlineStr">
        <is>
          <t>Auswahl</t>
        </is>
      </c>
      <c r="L950" s="28" t="n">
        <v>6</v>
      </c>
      <c r="Q950" t="inlineStr">
        <is>
          <t>In derselben Sekunde in der man die Waffe zieht, kann damit noch agiert werden, zum Beispiel mit Hüftschuss. Dies setzt eine geeignete Halterung voraus.</t>
        </is>
      </c>
    </row>
    <row r="951" ht="15.75" customHeight="1" s="48">
      <c r="A951" s="29" t="inlineStr">
        <is>
          <t>talente_schnellziehen_hiebwaffen</t>
        </is>
      </c>
      <c r="B951" s="10" t="inlineStr">
        <is>
          <t>Talente</t>
        </is>
      </c>
      <c r="C951" s="13" t="inlineStr">
        <is>
          <t>Schnellziehen Hiebwaffen</t>
        </is>
      </c>
      <c r="E951" s="10" t="n"/>
      <c r="F951" s="10" t="inlineStr">
        <is>
          <t>Krieger</t>
        </is>
      </c>
      <c r="G951" s="10" t="inlineStr">
        <is>
          <t>Auswahl</t>
        </is>
      </c>
      <c r="L951" s="28" t="n">
        <v>12</v>
      </c>
      <c r="Q951" t="inlineStr">
        <is>
          <t>In derselben Sekunde in der man die Waffe zieht, kann damit ohne jegliche Erschwerung agiert werden. Dies setzt eine geeignete Halterung voraus.</t>
        </is>
      </c>
    </row>
    <row r="952" ht="15.75" customHeight="1" s="48">
      <c r="A952" s="29" t="inlineStr">
        <is>
          <t>talente_schnellziehen_klingenwaffen</t>
        </is>
      </c>
      <c r="B952" s="10" t="inlineStr">
        <is>
          <t>Talente</t>
        </is>
      </c>
      <c r="C952" s="13" t="inlineStr">
        <is>
          <t>Schnellziehen Klingenwaffen</t>
        </is>
      </c>
      <c r="E952" s="10" t="n"/>
      <c r="F952" s="10" t="inlineStr">
        <is>
          <t>Krieger</t>
        </is>
      </c>
      <c r="G952" s="10" t="inlineStr">
        <is>
          <t>Auswahl</t>
        </is>
      </c>
      <c r="L952" s="28" t="n">
        <v>12</v>
      </c>
      <c r="Q952" t="inlineStr">
        <is>
          <t>In derselben Sekunde in der man die Waffe zieht, kann damit ohne jegliche Erschwerung agiert werden. Dies setzt eine geeignete Halterung voraus.</t>
        </is>
      </c>
    </row>
    <row r="953" ht="15.75" customHeight="1" s="48">
      <c r="A953" s="29" t="inlineStr">
        <is>
          <t>talente_schnellziehen_stangenwaffen</t>
        </is>
      </c>
      <c r="B953" s="10" t="inlineStr">
        <is>
          <t>Talente</t>
        </is>
      </c>
      <c r="C953" s="13" t="inlineStr">
        <is>
          <t>Schnellziehen Stangenwaffen</t>
        </is>
      </c>
      <c r="E953" s="10" t="n"/>
      <c r="F953" s="10" t="inlineStr">
        <is>
          <t>Krieger</t>
        </is>
      </c>
      <c r="G953" s="10" t="inlineStr">
        <is>
          <t>Auswahl</t>
        </is>
      </c>
      <c r="L953" s="28" t="n">
        <v>12</v>
      </c>
      <c r="Q953" t="inlineStr">
        <is>
          <t>In derselben Sekunde in der man die Waffe zieht, kann damit ohne jegliche Erschwerung agiert werden. Dies setzt eine geeignete Halterung voraus.</t>
        </is>
      </c>
    </row>
    <row r="954" ht="15.75" customHeight="1" s="48">
      <c r="A954" s="29" t="inlineStr">
        <is>
          <t>talente_schnellziehen_stichwaffen</t>
        </is>
      </c>
      <c r="B954" s="10" t="inlineStr">
        <is>
          <t>Talente</t>
        </is>
      </c>
      <c r="C954" s="13" t="inlineStr">
        <is>
          <t>Schnellziehen Stichwaffen</t>
        </is>
      </c>
      <c r="E954" s="10" t="n"/>
      <c r="F954" s="10" t="inlineStr">
        <is>
          <t>Krieger</t>
        </is>
      </c>
      <c r="G954" s="10" t="inlineStr">
        <is>
          <t>Auswahl</t>
        </is>
      </c>
      <c r="L954" s="28" t="n">
        <v>12</v>
      </c>
      <c r="Q954" t="inlineStr">
        <is>
          <t>In derselben Sekunde in der man die Waffe zieht, kann damit ohne jegliche Erschwerung agiert werden. Dies setzt eine geeignete Halterung voraus.</t>
        </is>
      </c>
    </row>
    <row r="955" ht="15.75" customHeight="1" s="48">
      <c r="A955" s="29" t="inlineStr">
        <is>
          <t>talente_selbstbeherrschung_stufe_1</t>
        </is>
      </c>
      <c r="B955" s="10" t="inlineStr">
        <is>
          <t>Talente</t>
        </is>
      </c>
      <c r="C955" s="20" t="inlineStr">
        <is>
          <t>Selbstbeherrschung Stufe 1</t>
        </is>
      </c>
      <c r="E955" s="10" t="n"/>
      <c r="F955" s="10" t="inlineStr">
        <is>
          <t>Krieger</t>
        </is>
      </c>
      <c r="G955" s="10" t="inlineStr">
        <is>
          <t>Auswahl</t>
        </is>
      </c>
      <c r="L955" s="28" t="n">
        <v>2</v>
      </c>
      <c r="Q955" t="inlineStr">
        <is>
          <t>Selbstbeherrschung Fertigkeitsmaximum +7</t>
        </is>
      </c>
    </row>
    <row r="956" ht="15.75" customHeight="1" s="48">
      <c r="A956" s="29" t="inlineStr">
        <is>
          <t>talente_selbstbeherrschung_stufe_2</t>
        </is>
      </c>
      <c r="B956" s="10" t="inlineStr">
        <is>
          <t>Talente</t>
        </is>
      </c>
      <c r="C956" s="20" t="inlineStr">
        <is>
          <t>Selbstbeherrschung Stufe 2</t>
        </is>
      </c>
      <c r="E956" s="10" t="n"/>
      <c r="F956" s="10" t="inlineStr">
        <is>
          <t>Krieger</t>
        </is>
      </c>
      <c r="G956" s="10" t="inlineStr">
        <is>
          <t>Auswahl</t>
        </is>
      </c>
      <c r="L956" s="28" t="n">
        <v>3</v>
      </c>
      <c r="Q956" t="inlineStr">
        <is>
          <t>Selbstbeherrschung Fertigkeitsmaximum +14</t>
        </is>
      </c>
    </row>
    <row r="957" ht="15.75" customHeight="1" s="48">
      <c r="A957" s="29" t="inlineStr">
        <is>
          <t>talente_selbstbeherrschung_stufe_3</t>
        </is>
      </c>
      <c r="B957" s="10" t="inlineStr">
        <is>
          <t>Talente</t>
        </is>
      </c>
      <c r="C957" s="20" t="inlineStr">
        <is>
          <t>Selbstbeherrschung Stufe 3</t>
        </is>
      </c>
      <c r="E957" s="10" t="n"/>
      <c r="F957" s="10" t="inlineStr">
        <is>
          <t>Krieger</t>
        </is>
      </c>
      <c r="G957" s="10" t="inlineStr">
        <is>
          <t>Auswahl</t>
        </is>
      </c>
      <c r="L957" s="28" t="n">
        <v>4</v>
      </c>
      <c r="Q957" t="inlineStr">
        <is>
          <t>Selbstbeherrschung Fertigkeitsmaximum +20</t>
        </is>
      </c>
    </row>
    <row r="958" hidden="1" ht="15.75" customHeight="1" s="48">
      <c r="A958" s="29" t="inlineStr">
        <is>
          <t>talente_sorgfaeltiges_zielen_stufe_1</t>
        </is>
      </c>
      <c r="B958" s="10" t="inlineStr">
        <is>
          <t>Talente</t>
        </is>
      </c>
      <c r="C958" s="25" t="inlineStr">
        <is>
          <t>Sorgfältiges Zielen Stufe 1</t>
        </is>
      </c>
      <c r="E958" s="10" t="n"/>
      <c r="F958" s="10" t="inlineStr">
        <is>
          <t>Schütze</t>
        </is>
      </c>
      <c r="G958" s="10" t="inlineStr">
        <is>
          <t>Auswahl</t>
        </is>
      </c>
      <c r="L958" s="28" t="n">
        <v>20</v>
      </c>
      <c r="Q958" t="inlineStr">
        <is>
          <t>Verändert die Zielen-Modifikatoren für "1sec lang gezielt"  auf 0, für jede weitere Sekunde +1 (bis +7 für 8 Sekunden).</t>
        </is>
      </c>
    </row>
    <row r="959" hidden="1" ht="15.75" customHeight="1" s="48">
      <c r="A959" s="29" t="inlineStr">
        <is>
          <t>talente_sorgfaeltiges_zielen_stufe_2</t>
        </is>
      </c>
      <c r="B959" s="10" t="inlineStr">
        <is>
          <t>Talente</t>
        </is>
      </c>
      <c r="C959" s="25" t="inlineStr">
        <is>
          <t>Sorgfältiges Zielen Stufe 2</t>
        </is>
      </c>
      <c r="E959" s="10" t="n"/>
      <c r="F959" s="10" t="inlineStr">
        <is>
          <t>Schütze</t>
        </is>
      </c>
      <c r="G959" s="10" t="inlineStr">
        <is>
          <t>Auswahl</t>
        </is>
      </c>
      <c r="L959" s="28" t="n">
        <v>10</v>
      </c>
      <c r="Q959" t="inlineStr">
        <is>
          <t>Verändert die Zielen-Modifikatoren für "1sec lang gezielt"  auf +1, für jede weitere Sekunde +1 (bis +8 für 8 Sekunden).</t>
        </is>
      </c>
    </row>
    <row r="960" hidden="1" ht="15.75" customHeight="1" s="48">
      <c r="A960" s="29" t="inlineStr">
        <is>
          <t>talente_spruchgute_stufe_1</t>
        </is>
      </c>
      <c r="B960" s="10" t="inlineStr">
        <is>
          <t>Talente</t>
        </is>
      </c>
      <c r="C960" s="13" t="inlineStr">
        <is>
          <t>Spruchgute Stufe 1</t>
        </is>
      </c>
      <c r="E960" s="10" t="n"/>
      <c r="F960" s="10" t="inlineStr">
        <is>
          <t>Magier</t>
        </is>
      </c>
      <c r="G960" s="10" t="inlineStr">
        <is>
          <t>Auswahl</t>
        </is>
      </c>
      <c r="L960" s="28" t="n">
        <v>16</v>
      </c>
      <c r="Q960" t="inlineStr">
        <is>
          <t>In allen Zauberschulen Gute Spruchzauberprobe = Weisheit. Die höchstmögliche Gute ist Normale:2.</t>
        </is>
      </c>
    </row>
    <row r="961" hidden="1" ht="15.75" customHeight="1" s="48">
      <c r="A961" s="29" t="inlineStr">
        <is>
          <t>talente_spruchgute_stufe_2</t>
        </is>
      </c>
      <c r="B961" s="10" t="inlineStr">
        <is>
          <t>Talente</t>
        </is>
      </c>
      <c r="C961" s="12" t="inlineStr">
        <is>
          <t>Spruchgute Stufe 2</t>
        </is>
      </c>
      <c r="E961" s="10" t="n"/>
      <c r="F961" s="10" t="inlineStr">
        <is>
          <t>Magier</t>
        </is>
      </c>
      <c r="G961" s="10" t="inlineStr">
        <is>
          <t>Auswahl</t>
        </is>
      </c>
      <c r="L961" s="28" t="n">
        <v>24</v>
      </c>
      <c r="Q961" t="inlineStr">
        <is>
          <t>In allen Zauberschulen Gute Spruchzauberprobe = Weisheit + Eigenschaftsbonus. Die höchstmögliche Gute ist Normale:2.</t>
        </is>
      </c>
    </row>
    <row r="962" hidden="1" ht="15.75" customHeight="1" s="48">
      <c r="A962" s="29" t="inlineStr">
        <is>
          <t>talente_spruchmagie_stufe_2_zaubern</t>
        </is>
      </c>
      <c r="B962" s="10" t="inlineStr">
        <is>
          <t>Talente</t>
        </is>
      </c>
      <c r="C962" s="12" t="inlineStr">
        <is>
          <t>Spruchmagie Stufe 2 zaubern</t>
        </is>
      </c>
      <c r="E962" s="10" t="n"/>
      <c r="F962" s="10" t="inlineStr">
        <is>
          <t>Magier</t>
        </is>
      </c>
      <c r="G962" s="10" t="inlineStr">
        <is>
          <t>Auswahl</t>
        </is>
      </c>
      <c r="L962" s="28" t="n">
        <v>7</v>
      </c>
      <c r="Q962" t="inlineStr">
        <is>
          <t>In allen Zauberschulen ist es möglich, Sprüche auf Stufe 2 zu sprechen.</t>
        </is>
      </c>
    </row>
    <row r="963" hidden="1" ht="15.75" customHeight="1" s="48">
      <c r="A963" s="29" t="inlineStr">
        <is>
          <t>talente_spruchmagie_stufe_3_zaubern</t>
        </is>
      </c>
      <c r="B963" s="10" t="inlineStr">
        <is>
          <t>Talente</t>
        </is>
      </c>
      <c r="C963" s="13" t="inlineStr">
        <is>
          <t>Spruchmagie Stufe 3 zaubern</t>
        </is>
      </c>
      <c r="E963" s="10" t="n"/>
      <c r="F963" s="10" t="inlineStr">
        <is>
          <t>Magier</t>
        </is>
      </c>
      <c r="G963" s="10" t="inlineStr">
        <is>
          <t>Auswahl</t>
        </is>
      </c>
      <c r="L963" s="28" t="n">
        <v>7</v>
      </c>
      <c r="Q963" t="inlineStr">
        <is>
          <t>In allen Zauberschulen ist es möglich, Sprüche auf Stufe 3 zu sprechen.</t>
        </is>
      </c>
    </row>
    <row r="964" ht="15.75" customHeight="1" s="48">
      <c r="A964" s="29" t="inlineStr">
        <is>
          <t>talente_verteidiger_stufe_1</t>
        </is>
      </c>
      <c r="B964" s="10" t="inlineStr">
        <is>
          <t>Talente</t>
        </is>
      </c>
      <c r="C964" s="20" t="inlineStr">
        <is>
          <t>Verteidiger Stufe 1</t>
        </is>
      </c>
      <c r="E964" s="10" t="n"/>
      <c r="F964" s="10" t="inlineStr">
        <is>
          <t>Krieger</t>
        </is>
      </c>
      <c r="G964" s="10" t="inlineStr">
        <is>
          <t>Auswahl</t>
        </is>
      </c>
      <c r="L964" s="28" t="n">
        <v>2</v>
      </c>
      <c r="Q964" t="inlineStr">
        <is>
          <t>alle nAT-1 und nPA+1</t>
        </is>
      </c>
    </row>
    <row r="965" ht="15.75" customHeight="1" s="48">
      <c r="A965" s="29" t="inlineStr">
        <is>
          <t>talente_verteidiger_stufe_2</t>
        </is>
      </c>
      <c r="B965" s="10" t="inlineStr">
        <is>
          <t>Talente</t>
        </is>
      </c>
      <c r="C965" s="13" t="inlineStr">
        <is>
          <t>Verteidiger Stufe 2</t>
        </is>
      </c>
      <c r="E965" s="10" t="n"/>
      <c r="F965" s="10" t="inlineStr">
        <is>
          <t>Krieger</t>
        </is>
      </c>
      <c r="G965" s="10" t="inlineStr">
        <is>
          <t>Auswahl</t>
        </is>
      </c>
      <c r="L965" s="28" t="n">
        <v>2</v>
      </c>
      <c r="Q965" t="inlineStr">
        <is>
          <t>alle nAT-2 und nPA+2</t>
        </is>
      </c>
    </row>
    <row r="966" ht="15.75" customHeight="1" s="48">
      <c r="A966" s="29" t="inlineStr">
        <is>
          <t>talente_verteidiger_stufe_3</t>
        </is>
      </c>
      <c r="B966" s="10" t="inlineStr">
        <is>
          <t>Talente</t>
        </is>
      </c>
      <c r="C966" s="12" t="inlineStr">
        <is>
          <t>Verteidiger Stufe 3</t>
        </is>
      </c>
      <c r="E966" s="10" t="n"/>
      <c r="F966" s="10" t="inlineStr">
        <is>
          <t>Krieger</t>
        </is>
      </c>
      <c r="G966" s="10" t="inlineStr">
        <is>
          <t>Auswahl</t>
        </is>
      </c>
      <c r="L966" s="28" t="n">
        <v>2</v>
      </c>
      <c r="Q966" t="inlineStr">
        <is>
          <t>alle nAT-3 und nPA+3</t>
        </is>
      </c>
    </row>
    <row r="967" hidden="1" ht="15.75" customHeight="1" s="48">
      <c r="A967" s="29" t="inlineStr">
        <is>
          <t>talente_vorderlader_ladeschuetze_stufe1</t>
        </is>
      </c>
      <c r="B967" s="10" t="inlineStr">
        <is>
          <t>Talente</t>
        </is>
      </c>
      <c r="C967" s="25" t="inlineStr">
        <is>
          <t>Vorderlader Ladeschütze Stufe 1</t>
        </is>
      </c>
      <c r="E967" s="10" t="n"/>
      <c r="F967" s="10" t="inlineStr">
        <is>
          <t>Schütze</t>
        </is>
      </c>
      <c r="G967" s="10" t="inlineStr">
        <is>
          <t>Auswahl</t>
        </is>
      </c>
      <c r="L967" s="28" t="n">
        <v>4</v>
      </c>
      <c r="Q967" t="inlineStr">
        <is>
          <t>Fertigkeitsmaximum der Sonderfertigkeit "Ladeschütze Vorderlader" +7</t>
        </is>
      </c>
    </row>
    <row r="968" hidden="1" ht="15.75" customHeight="1" s="48">
      <c r="A968" s="29" t="inlineStr">
        <is>
          <t>talente_vorderlader_ladeschuetze_stufe2</t>
        </is>
      </c>
      <c r="B968" s="10" t="inlineStr">
        <is>
          <t>Talente</t>
        </is>
      </c>
      <c r="C968" s="21" t="inlineStr">
        <is>
          <t>Vorderlader Ladeschütze Stufe 2</t>
        </is>
      </c>
      <c r="E968" s="10" t="n"/>
      <c r="F968" s="10" t="inlineStr">
        <is>
          <t>Schütze</t>
        </is>
      </c>
      <c r="G968" s="10" t="inlineStr">
        <is>
          <t>Auswahl</t>
        </is>
      </c>
      <c r="L968" s="28" t="n">
        <v>6</v>
      </c>
      <c r="Q968" t="inlineStr">
        <is>
          <t>Fertigkeitsmaximum der Sonderfertigkeit "Ladeschütze Vorderlader" +15</t>
        </is>
      </c>
    </row>
    <row r="969" hidden="1" ht="15.75" customHeight="1" s="48">
      <c r="A969" s="29" t="inlineStr">
        <is>
          <t>talente_whk_stufe_1</t>
        </is>
      </c>
      <c r="B969" s="10" t="inlineStr">
        <is>
          <t>Talente</t>
        </is>
      </c>
      <c r="C969" s="12" t="inlineStr">
        <is>
          <t>Wissens,- Handwerks,- Kulturfähigkeiten Stufe 1</t>
        </is>
      </c>
      <c r="E969" s="10" t="n"/>
      <c r="F969" s="10" t="inlineStr">
        <is>
          <t>Abenteurer</t>
        </is>
      </c>
      <c r="G969" s="10" t="inlineStr">
        <is>
          <t>Auswahl</t>
        </is>
      </c>
      <c r="L969" s="28" t="n">
        <v>5</v>
      </c>
      <c r="Q969" t="inlineStr">
        <is>
          <t>Wissens,- Handwerks,- Kulturfertigkeitenmaximum +3</t>
        </is>
      </c>
    </row>
    <row r="970" hidden="1" ht="15.75" customHeight="1" s="48">
      <c r="A970" s="29" t="inlineStr">
        <is>
          <t>talente_whk_stufe_2</t>
        </is>
      </c>
      <c r="B970" s="10" t="inlineStr">
        <is>
          <t>Talente</t>
        </is>
      </c>
      <c r="C970" s="12" t="inlineStr">
        <is>
          <t>Wissens,- Handwerks,- Kulturfähigkeiten Stufe 2</t>
        </is>
      </c>
      <c r="E970" s="10" t="n"/>
      <c r="F970" s="10" t="inlineStr">
        <is>
          <t>Abenteurer</t>
        </is>
      </c>
      <c r="G970" s="10" t="inlineStr">
        <is>
          <t>Auswahl</t>
        </is>
      </c>
      <c r="L970" s="28" t="n">
        <v>5</v>
      </c>
      <c r="Q970" t="inlineStr">
        <is>
          <t>Wissens,- Handwerks,- Kulturfertigkeitenmaximum +6</t>
        </is>
      </c>
    </row>
    <row r="971" ht="15.75" customHeight="1" s="48">
      <c r="A971" s="29" t="inlineStr">
        <is>
          <t>talente_wuchtschlag</t>
        </is>
      </c>
      <c r="B971" s="10" t="inlineStr">
        <is>
          <t>Talente</t>
        </is>
      </c>
      <c r="C971" s="12" t="inlineStr">
        <is>
          <t>Wuchtschlag</t>
        </is>
      </c>
      <c r="E971" s="10" t="n"/>
      <c r="F971" s="10" t="inlineStr">
        <is>
          <t>Krieger</t>
        </is>
      </c>
      <c r="G971" s="10" t="inlineStr">
        <is>
          <t>Auswahl</t>
        </is>
      </c>
      <c r="L971" s="28" t="n">
        <v>20</v>
      </c>
      <c r="Q971" t="inlineStr">
        <is>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is>
      </c>
    </row>
    <row r="972" hidden="1" ht="15.75" customHeight="1" s="48">
      <c r="A972" t="inlineStr">
        <is>
          <t>vn_leicht_anfaelligkeit_gegen_alchemie</t>
        </is>
      </c>
      <c r="B972" t="inlineStr">
        <is>
          <t>Vor- und Nachteile</t>
        </is>
      </c>
      <c r="C972" t="inlineStr">
        <is>
          <t>Leichte Anfälligkeit gegen Alchemie</t>
        </is>
      </c>
      <c r="G972" t="inlineStr">
        <is>
          <t>Auswahl</t>
        </is>
      </c>
      <c r="L972" s="28" t="n">
        <v>-20</v>
      </c>
      <c r="M972" t="inlineStr">
        <is>
          <t>E</t>
        </is>
      </c>
      <c r="Q972" t="inlineStr">
        <is>
          <t>Proben auf Alchemieresistenz sind um 5 Punkte erschwert. Die Sonderfertigkeit „Alchemieresistenz“ kann nicht gesteigert werden.</t>
        </is>
      </c>
    </row>
    <row r="973" hidden="1" ht="15.75" customHeight="1" s="48">
      <c r="A973" t="inlineStr">
        <is>
          <t>vn_mittel_anfaelligkeit_gegen_alchemie</t>
        </is>
      </c>
      <c r="B973" t="inlineStr">
        <is>
          <t>Vor- und Nachteile</t>
        </is>
      </c>
      <c r="C973" t="inlineStr">
        <is>
          <t>Mittlere Anfälligkeit gegen Alchemie</t>
        </is>
      </c>
      <c r="G973" t="inlineStr">
        <is>
          <t>Auswahl</t>
        </is>
      </c>
      <c r="L973" s="28" t="n">
        <v>-40</v>
      </c>
      <c r="M973" t="inlineStr">
        <is>
          <t>E</t>
        </is>
      </c>
      <c r="Q973" t="inlineStr">
        <is>
          <t>Proben auf Alchemieresistenz sind um 10 Punkte erschwert. Die Sonderfertigkeit „Alchemieresistenz“ kann nicht gesteigert werden.</t>
        </is>
      </c>
    </row>
    <row r="974" hidden="1" ht="15.75" customHeight="1" s="48">
      <c r="A974" t="inlineStr">
        <is>
          <t>vn_schwer_anfaelligkeit_gegen_alchemie</t>
        </is>
      </c>
      <c r="B974" t="inlineStr">
        <is>
          <t>Vor- und Nachteile</t>
        </is>
      </c>
      <c r="C974" t="inlineStr">
        <is>
          <t>Schwere Anfälligkeit gegen Alchemie</t>
        </is>
      </c>
      <c r="G974" t="inlineStr">
        <is>
          <t>Auswahl</t>
        </is>
      </c>
      <c r="L974" s="28" t="n">
        <v>-60</v>
      </c>
      <c r="M974" t="inlineStr">
        <is>
          <t>E</t>
        </is>
      </c>
      <c r="Q974" t="inlineStr">
        <is>
          <t>Proben auf Alchemieresistenz sind um 15 Punkte erschwert. Die Sonderfertigkeit „Alchemieresistenz“ kann nicht gesteigert werden.</t>
        </is>
      </c>
    </row>
    <row r="975" hidden="1" ht="15.75" customHeight="1" s="48">
      <c r="A975" t="inlineStr">
        <is>
          <t>vn_sehr_schwer_anfaelligkeit_gegen_alchemie</t>
        </is>
      </c>
      <c r="B975" t="inlineStr">
        <is>
          <t>Vor- und Nachteile</t>
        </is>
      </c>
      <c r="C975" t="inlineStr">
        <is>
          <t>Sehr schwere Anfälligkeit gegen Alchemie</t>
        </is>
      </c>
      <c r="G975" t="inlineStr">
        <is>
          <t>Auswahl</t>
        </is>
      </c>
      <c r="L975" s="28" t="n">
        <v>-80</v>
      </c>
      <c r="M975" t="inlineStr">
        <is>
          <t>E</t>
        </is>
      </c>
      <c r="Q975" t="inlineStr">
        <is>
          <t>Proben auf Alchemieresistenz sind um 20 Punkte erschwert. Die Sonderfertigkeit „Alchemieresistenz“ kann nicht gesteigert werden.</t>
        </is>
      </c>
    </row>
    <row r="976" hidden="1" ht="15.75" customHeight="1" s="48">
      <c r="A976" t="inlineStr">
        <is>
          <t>vn_extrem_anfaelligkeit_gegen_alchemie</t>
        </is>
      </c>
      <c r="B976" t="inlineStr">
        <is>
          <t>Vor- und Nachteile</t>
        </is>
      </c>
      <c r="C976" t="inlineStr">
        <is>
          <t>Extreme Anfälligkeit gegen Alchemie</t>
        </is>
      </c>
      <c r="G976" t="inlineStr">
        <is>
          <t>Auswahl</t>
        </is>
      </c>
      <c r="L976" s="28" t="n">
        <v>-120</v>
      </c>
      <c r="M976" t="inlineStr">
        <is>
          <t>E</t>
        </is>
      </c>
      <c r="Q976" t="inlineStr">
        <is>
          <t>Proben auf Alchemieresistenz sind um 30 Punkte erschwert. Die Sonderfertigkeit „Alchemieresistenz“ kann nicht gesteigert werden.</t>
        </is>
      </c>
    </row>
    <row r="977" hidden="1" ht="15.75" customHeight="1" s="48">
      <c r="A977" s="29" t="inlineStr">
        <is>
          <t>vn_anfaelligkeit_gegen_beherrschung_1</t>
        </is>
      </c>
      <c r="B977" s="11" t="inlineStr">
        <is>
          <t>Vor- und Nachteile</t>
        </is>
      </c>
      <c r="C977" s="7" t="inlineStr">
        <is>
          <t>Anfälligkeit gegen Beherrschung 1</t>
        </is>
      </c>
      <c r="E977" t="inlineStr">
        <is>
          <t>Auswahlgruppe: Anfälligkeit gegen Beherrschung; maximal 1 Stufe</t>
        </is>
      </c>
      <c r="G977" s="11" t="inlineStr">
        <is>
          <t>Auswahl</t>
        </is>
      </c>
      <c r="J977" t="inlineStr">
        <is>
          <t>EXKLUSIV_ANFAELLIGKEIT=anfaelligkeit_beherrschung</t>
        </is>
      </c>
      <c r="L977" s="28" t="n">
        <v>-200</v>
      </c>
      <c r="M977" t="inlineStr">
        <is>
          <t>E</t>
        </is>
      </c>
      <c r="Q977" t="inlineStr">
        <is>
          <t>Der Charakter erleidet durch Beherrschung SP × 1,5. Aus der Gruppe „Anfälligkeit gegen Beherrschung“ kann nur eine Stufe gewählt werden.</t>
        </is>
      </c>
    </row>
    <row r="978" hidden="1" ht="15.75" customHeight="1" s="48">
      <c r="A978" s="29" t="inlineStr">
        <is>
          <t>vn_anfaelligkeit_gegen_beherrschung_2</t>
        </is>
      </c>
      <c r="B978" s="11" t="inlineStr">
        <is>
          <t>Vor- und Nachteile</t>
        </is>
      </c>
      <c r="C978" s="7" t="inlineStr">
        <is>
          <t>Anfälligkeit gegen Beherrschung 2</t>
        </is>
      </c>
      <c r="E978" t="inlineStr">
        <is>
          <t>Auswahlgruppe: Anfälligkeit gegen Beherrschung; maximal 1 Stufe</t>
        </is>
      </c>
      <c r="G978" s="11" t="inlineStr">
        <is>
          <t>Auswahl</t>
        </is>
      </c>
      <c r="J978" t="inlineStr">
        <is>
          <t>EXKLUSIV_ANFAELLIGKEIT=anfaelligkeit_beherrschung</t>
        </is>
      </c>
      <c r="L978" s="28" t="n">
        <v>-500</v>
      </c>
      <c r="M978" t="inlineStr">
        <is>
          <t>E</t>
        </is>
      </c>
      <c r="Q978" t="inlineStr">
        <is>
          <t>Der Charakter erleidet durch Beherrschung SP × 2. Aus der Gruppe „Anfälligkeit gegen Beherrschung“ kann nur eine Stufe gewählt werden.</t>
        </is>
      </c>
    </row>
    <row r="979" hidden="1" ht="15.75" customHeight="1" s="48">
      <c r="A979" s="29" t="inlineStr">
        <is>
          <t>vn_anfaelligkeit_gegen_erdbeschwoerung_1</t>
        </is>
      </c>
      <c r="B979" s="11" t="inlineStr">
        <is>
          <t>Vor- und Nachteile</t>
        </is>
      </c>
      <c r="C979" s="7" t="inlineStr">
        <is>
          <t>Anfälligkeit gegen Erdbeschwörung 1</t>
        </is>
      </c>
      <c r="E979" t="inlineStr">
        <is>
          <t>Auswahlgruppe: Anfälligkeit gegen Erdbeschwörung; maximal 1 Stufe</t>
        </is>
      </c>
      <c r="G979" s="11" t="inlineStr">
        <is>
          <t>Auswahl</t>
        </is>
      </c>
      <c r="J979" t="inlineStr">
        <is>
          <t>EXKLUSIV_ANFAELLIGKEIT=anfaelligkeit_erdbeschwoerung</t>
        </is>
      </c>
      <c r="L979" s="28" t="n">
        <v>-200</v>
      </c>
      <c r="M979" t="inlineStr">
        <is>
          <t>E</t>
        </is>
      </c>
      <c r="Q979" t="inlineStr">
        <is>
          <t>Der Charakter erleidet durch Erdbeschwörung SP × 1,5. Aus der Gruppe „Anfälligkeit gegen Erdbeschwörung“ kann nur eine Stufe gewählt werden.</t>
        </is>
      </c>
    </row>
    <row r="980" hidden="1" ht="15.75" customHeight="1" s="48">
      <c r="A980" s="29" t="inlineStr">
        <is>
          <t>vn_anfaelligkeit_gegen_erdbeschwoerung_2</t>
        </is>
      </c>
      <c r="B980" s="11" t="inlineStr">
        <is>
          <t>Vor- und Nachteile</t>
        </is>
      </c>
      <c r="C980" s="7" t="inlineStr">
        <is>
          <t>Anfälligkeit gegen Erdbeschwörung 2</t>
        </is>
      </c>
      <c r="E980" t="inlineStr">
        <is>
          <t>Auswahlgruppe: Anfälligkeit gegen Erdbeschwörung; maximal 1 Stufe</t>
        </is>
      </c>
      <c r="G980" s="11" t="inlineStr">
        <is>
          <t>Auswahl</t>
        </is>
      </c>
      <c r="J980" t="inlineStr">
        <is>
          <t>EXKLUSIV_ANFAELLIGKEIT=anfaelligkeit_erdbeschwoerung</t>
        </is>
      </c>
      <c r="L980" s="28" t="n">
        <v>-500</v>
      </c>
      <c r="M980" t="inlineStr">
        <is>
          <t>E</t>
        </is>
      </c>
      <c r="Q980" t="inlineStr">
        <is>
          <t>Der Charakter erleidet durch Erdbeschwörung SP × 2. Aus der Gruppe „Anfälligkeit gegen Erdbeschwörung“ kann nur eine Stufe gewählt werden.</t>
        </is>
      </c>
    </row>
    <row r="981" hidden="1" ht="15.75" customHeight="1" s="48">
      <c r="A981" s="29" t="inlineStr">
        <is>
          <t>vn_anfaelligkeit_gegen_feuerbeschwoerung_1</t>
        </is>
      </c>
      <c r="B981" s="11" t="inlineStr">
        <is>
          <t>Vor- und Nachteile</t>
        </is>
      </c>
      <c r="C981" s="7" t="inlineStr">
        <is>
          <t>Anfälligkeit gegen Feuerbeschwörung 1</t>
        </is>
      </c>
      <c r="E981" t="inlineStr">
        <is>
          <t>Auswahlgruppe: Anfälligkeit gegen Feuerbeschwörung; maximal 1 Stufe</t>
        </is>
      </c>
      <c r="G981" s="11" t="inlineStr">
        <is>
          <t>Auswahl</t>
        </is>
      </c>
      <c r="J981" t="inlineStr">
        <is>
          <t>EXKLUSIV_ANFAELLIGKEIT=anfaelligkeit_feuerbeschwoerung</t>
        </is>
      </c>
      <c r="L981" s="28" t="n">
        <v>-200</v>
      </c>
      <c r="M981" t="inlineStr">
        <is>
          <t>E</t>
        </is>
      </c>
      <c r="Q981" t="inlineStr">
        <is>
          <t>Der Charakter erleidet durch Feuerbeschwörung SP × 1,5. Aus der Gruppe „Anfälligkeit gegen Feuerbeschwörung“ kann nur eine Stufe gewählt werden.</t>
        </is>
      </c>
    </row>
    <row r="982" hidden="1" ht="15.75" customHeight="1" s="48">
      <c r="A982" s="29" t="inlineStr">
        <is>
          <t>vn_anfaelligkeit_gegen_feuerbeschwoerung_2</t>
        </is>
      </c>
      <c r="B982" s="11" t="inlineStr">
        <is>
          <t>Vor- und Nachteile</t>
        </is>
      </c>
      <c r="C982" s="7" t="inlineStr">
        <is>
          <t>Anfälligkeit gegen Feuerbeschwörung 2</t>
        </is>
      </c>
      <c r="E982" t="inlineStr">
        <is>
          <t>Auswahlgruppe: Anfälligkeit gegen Feuerbeschwörung; maximal 1 Stufe</t>
        </is>
      </c>
      <c r="G982" s="11" t="inlineStr">
        <is>
          <t>Auswahl</t>
        </is>
      </c>
      <c r="J982" t="inlineStr">
        <is>
          <t>EXKLUSIV_ANFAELLIGKEIT=anfaelligkeit_feuerbeschwoerung</t>
        </is>
      </c>
      <c r="L982" s="28" t="n">
        <v>-500</v>
      </c>
      <c r="M982" t="inlineStr">
        <is>
          <t>E</t>
        </is>
      </c>
      <c r="Q982" t="inlineStr">
        <is>
          <t>Der Charakter erleidet durch Feuerbeschwörung SP × 2. Aus der Gruppe „Anfälligkeit gegen Feuerbeschwörung“ kann nur eine Stufe gewählt werden.</t>
        </is>
      </c>
    </row>
    <row r="983" hidden="1" ht="15.75" customHeight="1" s="48">
      <c r="A983" s="29" t="inlineStr">
        <is>
          <t>vn_anfaelligkeit_gegen_luftbeschwoerung_1</t>
        </is>
      </c>
      <c r="B983" s="11" t="inlineStr">
        <is>
          <t>Vor- und Nachteile</t>
        </is>
      </c>
      <c r="C983" s="7" t="inlineStr">
        <is>
          <t>Anfälligkeit gegen Luftbeschwörung 1</t>
        </is>
      </c>
      <c r="E983" t="inlineStr">
        <is>
          <t>Auswahlgruppe: Anfälligkeit gegen Luftbeschwörung; maximal 1 Stufe</t>
        </is>
      </c>
      <c r="G983" s="11" t="inlineStr">
        <is>
          <t>Auswahl</t>
        </is>
      </c>
      <c r="J983" t="inlineStr">
        <is>
          <t>EXKLUSIV_ANFAELLIGKEIT=anfaelligkeit_luftbeschwoerung</t>
        </is>
      </c>
      <c r="L983" s="28" t="n">
        <v>-200</v>
      </c>
      <c r="M983" t="inlineStr">
        <is>
          <t>E</t>
        </is>
      </c>
      <c r="Q983" t="inlineStr">
        <is>
          <t>Der Charakter erleidet durch Luftbeschwörung SP × 1,5. Aus der Gruppe „Anfälligkeit gegen Luftbeschwörung“ kann nur eine Stufe gewählt werden.</t>
        </is>
      </c>
    </row>
    <row r="984" hidden="1" ht="15.75" customHeight="1" s="48">
      <c r="A984" s="29" t="inlineStr">
        <is>
          <t>vn_anfaelligkeit_gegen_luftbeschwoerung_2</t>
        </is>
      </c>
      <c r="B984" s="11" t="inlineStr">
        <is>
          <t>Vor- und Nachteile</t>
        </is>
      </c>
      <c r="C984" s="7" t="inlineStr">
        <is>
          <t>Anfälligkeit gegen Luftbeschwörung 2</t>
        </is>
      </c>
      <c r="E984" t="inlineStr">
        <is>
          <t>Auswahlgruppe: Anfälligkeit gegen Luftbeschwörung; maximal 1 Stufe</t>
        </is>
      </c>
      <c r="G984" s="11" t="inlineStr">
        <is>
          <t>Auswahl</t>
        </is>
      </c>
      <c r="J984" t="inlineStr">
        <is>
          <t>EXKLUSIV_ANFAELLIGKEIT=anfaelligkeit_luftbeschwoerung</t>
        </is>
      </c>
      <c r="L984" s="28" t="n">
        <v>-500</v>
      </c>
      <c r="M984" t="inlineStr">
        <is>
          <t>E</t>
        </is>
      </c>
      <c r="Q984" t="inlineStr">
        <is>
          <t>Der Charakter erleidet durch Luftbeschwörung SP × 2. Aus der Gruppe „Anfälligkeit gegen Luftbeschwörung“ kann nur eine Stufe gewählt werden.</t>
        </is>
      </c>
    </row>
    <row r="985" hidden="1" ht="15.75" customHeight="1" s="48">
      <c r="A985" s="29" t="inlineStr">
        <is>
          <t>vn_anfaelligkeit_gegen_magiebeschwoerung_1</t>
        </is>
      </c>
      <c r="B985" s="11" t="inlineStr">
        <is>
          <t>Vor- und Nachteile</t>
        </is>
      </c>
      <c r="C985" s="7" t="inlineStr">
        <is>
          <t>Anfälligkeit gegen Magiebeschwörung 1</t>
        </is>
      </c>
      <c r="E985" t="inlineStr">
        <is>
          <t>Auswahlgruppe: Anfälligkeit gegen Magiebeschwörung; maximal 1 Stufe</t>
        </is>
      </c>
      <c r="G985" s="11" t="inlineStr">
        <is>
          <t>Auswahl</t>
        </is>
      </c>
      <c r="J985" t="inlineStr">
        <is>
          <t>EXKLUSIV_ANFAELLIGKEIT=anfaelligkeit_magiebeschwoerung</t>
        </is>
      </c>
      <c r="L985" s="28" t="n">
        <v>-200</v>
      </c>
      <c r="M985" t="inlineStr">
        <is>
          <t>E</t>
        </is>
      </c>
      <c r="Q985" t="inlineStr">
        <is>
          <t>Der Charakter erleidet durch Magiebeschwörung SP × 1,5. Aus der Gruppe „Anfälligkeit gegen Magiebeschwörung“ kann nur eine Stufe gewählt werden.</t>
        </is>
      </c>
    </row>
    <row r="986" hidden="1" ht="15.75" customHeight="1" s="48">
      <c r="A986" s="29" t="inlineStr">
        <is>
          <t>vn_anfaelligkeit_gegen_magiebeschwoerung_2</t>
        </is>
      </c>
      <c r="B986" s="11" t="inlineStr">
        <is>
          <t>Vor- und Nachteile</t>
        </is>
      </c>
      <c r="C986" s="7" t="inlineStr">
        <is>
          <t>Anfälligkeit gegen Magiebeschwörung 2</t>
        </is>
      </c>
      <c r="E986" t="inlineStr">
        <is>
          <t>Auswahlgruppe: Anfälligkeit gegen Magiebeschwörung; maximal 1 Stufe</t>
        </is>
      </c>
      <c r="G986" s="11" t="inlineStr">
        <is>
          <t>Auswahl</t>
        </is>
      </c>
      <c r="J986" t="inlineStr">
        <is>
          <t>EXKLUSIV_ANFAELLIGKEIT=anfaelligkeit_magiebeschwoerung</t>
        </is>
      </c>
      <c r="L986" s="28" t="n">
        <v>-500</v>
      </c>
      <c r="M986" t="inlineStr">
        <is>
          <t>E</t>
        </is>
      </c>
      <c r="Q986" t="inlineStr">
        <is>
          <t>Der Charakter erleidet durch Magiebeschwörung SP × 2. Aus der Gruppe „Anfälligkeit gegen Magiebeschwörung“ kann nur eine Stufe gewählt werden.</t>
        </is>
      </c>
    </row>
    <row r="987" hidden="1" ht="15.75" customHeight="1" s="48">
      <c r="A987" s="29" t="inlineStr">
        <is>
          <t>vn_anfaelligkeit_gegen_profane_waffen</t>
        </is>
      </c>
      <c r="B987" s="11" t="inlineStr">
        <is>
          <t>Vor- und Nachteile</t>
        </is>
      </c>
      <c r="C987" s="7" t="inlineStr">
        <is>
          <t>Anfälligkeit gegen profane Waffen</t>
        </is>
      </c>
      <c r="E987" t="inlineStr">
        <is>
          <t>Auswahlgruppe: Anfälligkeit gegen profane Waffen; maximal 1</t>
        </is>
      </c>
      <c r="G987" s="11" t="inlineStr">
        <is>
          <t>Auswahl</t>
        </is>
      </c>
      <c r="L987" s="28" t="n">
        <v>-500</v>
      </c>
      <c r="M987" t="inlineStr">
        <is>
          <t>E</t>
        </is>
      </c>
      <c r="Q987" t="inlineStr">
        <is>
          <t>Der Charakter erleidet durch profane Waffen SP × 2. Aus der Gruppe „Anfälligkeit gegen profane Waffen“ kann nur ein Eintrag gewählt werden.</t>
        </is>
      </c>
    </row>
    <row r="988" hidden="1" ht="15.75" customHeight="1" s="48">
      <c r="A988" s="29" t="inlineStr">
        <is>
          <t>#vn_anfaelligkeit_gegen_verzauberung_1</t>
        </is>
      </c>
      <c r="B988" s="11" t="inlineStr">
        <is>
          <t>Vor- und Nachteile</t>
        </is>
      </c>
      <c r="C988" s="7" t="inlineStr">
        <is>
          <t>Anfälligkeit gegen Verzauberung 1</t>
        </is>
      </c>
      <c r="G988" s="11" t="inlineStr">
        <is>
          <t>Auswahl</t>
        </is>
      </c>
      <c r="L988" s="28" t="n">
        <v>-200</v>
      </c>
      <c r="M988" t="inlineStr">
        <is>
          <t>E</t>
        </is>
      </c>
    </row>
    <row r="989" hidden="1" ht="15.75" customHeight="1" s="48">
      <c r="A989" s="29" t="inlineStr">
        <is>
          <t>#vn_anfaelligkeit_gegen_verzauberung_2</t>
        </is>
      </c>
      <c r="B989" s="11" t="inlineStr">
        <is>
          <t>Vor- und Nachteile</t>
        </is>
      </c>
      <c r="C989" s="7" t="inlineStr">
        <is>
          <t>Anfälligkeit gegen Verzauberung 2</t>
        </is>
      </c>
      <c r="G989" s="11" t="inlineStr">
        <is>
          <t>Auswahl</t>
        </is>
      </c>
      <c r="L989" s="28" t="n">
        <v>-500</v>
      </c>
      <c r="M989" t="inlineStr">
        <is>
          <t>E</t>
        </is>
      </c>
    </row>
    <row r="990" hidden="1" ht="15.75" customHeight="1" s="48">
      <c r="A990" s="29" t="inlineStr">
        <is>
          <t>vn_anfaelligkeit_gegen_wasserbeschwoerung_1</t>
        </is>
      </c>
      <c r="B990" s="11" t="inlineStr">
        <is>
          <t>Vor- und Nachteile</t>
        </is>
      </c>
      <c r="C990" s="7" t="inlineStr">
        <is>
          <t>Anfälligkeit gegen Wasserbeschwörung 1</t>
        </is>
      </c>
      <c r="E990" t="inlineStr">
        <is>
          <t>Auswahlgruppe: Anfälligkeit gegen Wasserbeschwörung; maximal 1 Stufe</t>
        </is>
      </c>
      <c r="G990" s="11" t="inlineStr">
        <is>
          <t>Auswahl</t>
        </is>
      </c>
      <c r="J990" t="inlineStr">
        <is>
          <t>EXKLUSIV_ANFAELLIGKEIT=anfaelligkeit_wasserbeschwoerung</t>
        </is>
      </c>
      <c r="L990" s="28" t="n">
        <v>-200</v>
      </c>
      <c r="M990" t="inlineStr">
        <is>
          <t>E</t>
        </is>
      </c>
      <c r="Q990" t="inlineStr">
        <is>
          <t>Der Charakter erleidet durch Wasserbeschwörung SP × 1,5. Aus der Gruppe „Anfälligkeit gegen Wasserbeschwörung“ kann nur eine Stufe gewählt werden.</t>
        </is>
      </c>
    </row>
    <row r="991" hidden="1" ht="15.75" customHeight="1" s="48">
      <c r="A991" s="29" t="inlineStr">
        <is>
          <t>vn_anfaelligkeit_gegen_wasserbeschwoerung_2</t>
        </is>
      </c>
      <c r="B991" s="11" t="inlineStr">
        <is>
          <t>Vor- und Nachteile</t>
        </is>
      </c>
      <c r="C991" s="7" t="inlineStr">
        <is>
          <t>Anfälligkeit gegen Wasserbeschwörung 2</t>
        </is>
      </c>
      <c r="E991" t="inlineStr">
        <is>
          <t>Auswahlgruppe: Anfälligkeit gegen Wasserbeschwörung; maximal 1 Stufe</t>
        </is>
      </c>
      <c r="G991" s="11" t="inlineStr">
        <is>
          <t>Auswahl</t>
        </is>
      </c>
      <c r="J991" t="inlineStr">
        <is>
          <t>EXKLUSIV_ANFAELLIGKEIT=anfaelligkeit_wasserbeschwoerung</t>
        </is>
      </c>
      <c r="L991" s="28" t="n">
        <v>-500</v>
      </c>
      <c r="M991" t="inlineStr">
        <is>
          <t>E</t>
        </is>
      </c>
      <c r="Q991" t="inlineStr">
        <is>
          <t>Der Charakter erleidet durch Wasserbeschwörung SP × 2. Aus der Gruppe „Anfälligkeit gegen Wasserbeschwörung“ kann nur eine Stufe gewählt werden.</t>
        </is>
      </c>
    </row>
    <row r="992" hidden="1" ht="15.75" customHeight="1" s="48">
      <c r="A992" t="inlineStr">
        <is>
          <t>vn_angst_verlusten_humanoide_5</t>
        </is>
      </c>
      <c r="B992" t="inlineStr">
        <is>
          <t>Vor- und Nachteile</t>
        </is>
      </c>
      <c r="C992" t="inlineStr">
        <is>
          <t>Unbehagen: Verlusten (Humanoide)</t>
        </is>
      </c>
      <c r="E992" t="inlineStr">
        <is>
          <t>Auswahlgruppe angst_verlusten_humanoide; maximal 1 Stufe; Angstwert 5; direkte Konfrontation: einmal pro Situation; bloße Gegenwart: BE 0.</t>
        </is>
      </c>
      <c r="F992" t="inlineStr">
        <is>
          <t>Angst: Verlusten (Humanoide)</t>
        </is>
      </c>
      <c r="G992" t="inlineStr">
        <is>
          <t>Auswahl</t>
        </is>
      </c>
      <c r="J992" t="inlineStr">
        <is>
          <t>EXKLUSIV_ANGST=angst_verlusten_humanoide | ANGST_INTERVALL=SITUATION | ANGST_DIREKTE_KONFRONTATION=1 | ANGST_BE=0</t>
        </is>
      </c>
      <c r="K992" t="n">
        <v>5</v>
      </c>
      <c r="L992" s="28" t="n">
        <v>-20</v>
      </c>
      <c r="M992" t="inlineStr">
        <is>
          <t>S</t>
        </is>
      </c>
      <c r="Q992" t="inlineStr">
        <is>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is>
      </c>
    </row>
    <row r="993" hidden="1" ht="15.75" customHeight="1" s="48">
      <c r="A993" t="inlineStr">
        <is>
          <t>vn_angst_verlusten_humanoide_10</t>
        </is>
      </c>
      <c r="B993" t="inlineStr">
        <is>
          <t>Vor- und Nachteile</t>
        </is>
      </c>
      <c r="C993" t="inlineStr">
        <is>
          <t>Nervosität: Verlusten (Humanoide)</t>
        </is>
      </c>
      <c r="E993" t="inlineStr">
        <is>
          <t>Auswahlgruppe angst_verlusten_humanoide; maximal 1 Stufe; Angstwert 10; direkte Konfrontation: bei jeder erneuten direkten Konfrontation; bloße Gegenwart: BE -1.</t>
        </is>
      </c>
      <c r="F993" t="inlineStr">
        <is>
          <t>Angst: Verlusten (Humanoide)</t>
        </is>
      </c>
      <c r="G993" t="inlineStr">
        <is>
          <t>Auswahl</t>
        </is>
      </c>
      <c r="J993" t="inlineStr">
        <is>
          <t>EXKLUSIV_ANGST=angst_verlusten_humanoide | ANGST_INTERVALL=NEUE_KONFRONTATION | ANGST_DIREKTE_KONFRONTATION=1 | ANGST_BE=-1</t>
        </is>
      </c>
      <c r="K993" t="n">
        <v>10</v>
      </c>
      <c r="L993" s="28" t="n">
        <v>-40</v>
      </c>
      <c r="M993" t="inlineStr">
        <is>
          <t>S</t>
        </is>
      </c>
      <c r="Q993" t="inlineStr">
        <is>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is>
      </c>
    </row>
    <row r="994" hidden="1" ht="15.75" customHeight="1" s="48">
      <c r="A994" t="inlineStr">
        <is>
          <t>vn_angst_verlusten_humanoide_15</t>
        </is>
      </c>
      <c r="B994" t="inlineStr">
        <is>
          <t>Vor- und Nachteile</t>
        </is>
      </c>
      <c r="C994" t="inlineStr">
        <is>
          <t>Furcht: Verlusten (Humanoide)</t>
        </is>
      </c>
      <c r="E994" t="inlineStr">
        <is>
          <t>Auswahlgruppe angst_verlusten_humanoide; maximal 1 Stufe; Angstwert 15; direkte Konfrontation: sofort, danach alle 10 KR; bloße Gegenwart: BE -2.</t>
        </is>
      </c>
      <c r="F994" t="inlineStr">
        <is>
          <t>Angst: Verlusten (Humanoide)</t>
        </is>
      </c>
      <c r="G994" t="inlineStr">
        <is>
          <t>Auswahl</t>
        </is>
      </c>
      <c r="J994" t="inlineStr">
        <is>
          <t>EXKLUSIV_ANGST=angst_verlusten_humanoide | ANGST_INTERVALL=10_KR | ANGST_DIREKTE_KONFRONTATION=1 | ANGST_BE=-2</t>
        </is>
      </c>
      <c r="K994" t="n">
        <v>15</v>
      </c>
      <c r="L994" s="28" t="n">
        <v>-60</v>
      </c>
      <c r="M994" t="inlineStr">
        <is>
          <t>S</t>
        </is>
      </c>
      <c r="Q994" t="inlineStr">
        <is>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is>
      </c>
    </row>
    <row r="995" hidden="1" ht="15.75" customHeight="1" s="48">
      <c r="A995" t="inlineStr">
        <is>
          <t>vn_angst_verlusten_humanoide_20</t>
        </is>
      </c>
      <c r="B995" t="inlineStr">
        <is>
          <t>Vor- und Nachteile</t>
        </is>
      </c>
      <c r="C995" t="inlineStr">
        <is>
          <t>Angst: Verlusten (Humanoide)</t>
        </is>
      </c>
      <c r="E995" t="inlineStr">
        <is>
          <t>Auswahlgruppe angst_verlusten_humanoide; maximal 1 Stufe; Angstwert 20; direkte Konfrontation: sofort, danach alle 5 KR; bloße Gegenwart: BE -3.</t>
        </is>
      </c>
      <c r="F995" t="inlineStr">
        <is>
          <t>Angst: Verlusten (Humanoide)</t>
        </is>
      </c>
      <c r="G995" t="inlineStr">
        <is>
          <t>Auswahl</t>
        </is>
      </c>
      <c r="J995" t="inlineStr">
        <is>
          <t>EXKLUSIV_ANGST=angst_verlusten_humanoide | ANGST_INTERVALL=5_KR | ANGST_DIREKTE_KONFRONTATION=1 | ANGST_BE=-3</t>
        </is>
      </c>
      <c r="K995" t="n">
        <v>20</v>
      </c>
      <c r="L995" s="28" t="n">
        <v>-80</v>
      </c>
      <c r="M995" t="inlineStr">
        <is>
          <t>S</t>
        </is>
      </c>
      <c r="Q995" t="inlineStr">
        <is>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is>
      </c>
    </row>
    <row r="996" hidden="1" ht="15.75" customHeight="1" s="48">
      <c r="A996" t="inlineStr">
        <is>
          <t>vn_angst_verlusten_humanoide_30</t>
        </is>
      </c>
      <c r="B996" t="inlineStr">
        <is>
          <t>Vor- und Nachteile</t>
        </is>
      </c>
      <c r="C996" t="inlineStr">
        <is>
          <t>Phobie: Verlusten (Humanoide)</t>
        </is>
      </c>
      <c r="E996" t="inlineStr">
        <is>
          <t>Auswahlgruppe angst_verlusten_humanoide; maximal 1 Stufe; Angstwert 30; direkte Konfrontation: sofort, danach jede KR; bloße Gegenwart: BE -5.</t>
        </is>
      </c>
      <c r="F996" t="inlineStr">
        <is>
          <t>Angst: Verlusten (Humanoide)</t>
        </is>
      </c>
      <c r="G996" t="inlineStr">
        <is>
          <t>Auswahl</t>
        </is>
      </c>
      <c r="J996" t="inlineStr">
        <is>
          <t>EXKLUSIV_ANGST=angst_verlusten_humanoide | ANGST_INTERVALL=1_KR | ANGST_DIREKTE_KONFRONTATION=1 | ANGST_BE=-5</t>
        </is>
      </c>
      <c r="K996" t="n">
        <v>30</v>
      </c>
      <c r="L996" s="28" t="n">
        <v>-120</v>
      </c>
      <c r="M996" t="inlineStr">
        <is>
          <t>S</t>
        </is>
      </c>
      <c r="Q996" t="inlineStr">
        <is>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is>
      </c>
    </row>
    <row r="997" hidden="1" ht="15.75" customHeight="1" s="48">
      <c r="A997" t="inlineStr">
        <is>
          <t>vn_angst_arachnophobie_5</t>
        </is>
      </c>
      <c r="B997" t="inlineStr">
        <is>
          <t>Vor- und Nachteile</t>
        </is>
      </c>
      <c r="C997" t="inlineStr">
        <is>
          <t>Unbehagen: Arachnophobie</t>
        </is>
      </c>
      <c r="E997" t="inlineStr">
        <is>
          <t>Auswahlgruppe angst_arachnophobie; maximal 1 Stufe; Angstwert 5; direkte Konfrontation: einmal pro Situation; bloße Gegenwart: BE 0.</t>
        </is>
      </c>
      <c r="F997" t="inlineStr">
        <is>
          <t>Angst: Arachnophobie</t>
        </is>
      </c>
      <c r="G997" t="inlineStr">
        <is>
          <t>Auswahl</t>
        </is>
      </c>
      <c r="J997" t="inlineStr">
        <is>
          <t>EXKLUSIV_ANGST=angst_arachnophobie | ANGST_INTERVALL=SITUATION | ANGST_DIREKTE_KONFRONTATION=1 | ANGST_BE=0</t>
        </is>
      </c>
      <c r="K997" t="n">
        <v>5</v>
      </c>
      <c r="L997" s="28" t="n">
        <v>-30</v>
      </c>
      <c r="M997" t="inlineStr">
        <is>
          <t>S</t>
        </is>
      </c>
      <c r="Q997" t="inlineStr">
        <is>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is>
      </c>
    </row>
    <row r="998" hidden="1" ht="15.75" customHeight="1" s="48">
      <c r="A998" t="inlineStr">
        <is>
          <t>vn_angst_arachnophobie_10</t>
        </is>
      </c>
      <c r="B998" t="inlineStr">
        <is>
          <t>Vor- und Nachteile</t>
        </is>
      </c>
      <c r="C998" t="inlineStr">
        <is>
          <t>Nervosität: Arachnophobie</t>
        </is>
      </c>
      <c r="E998" t="inlineStr">
        <is>
          <t>Auswahlgruppe angst_arachnophobie; maximal 1 Stufe; Angstwert 10; direkte Konfrontation: bei jeder erneuten direkten Konfrontation; bloße Gegenwart: BE -1.</t>
        </is>
      </c>
      <c r="F998" t="inlineStr">
        <is>
          <t>Angst: Arachnophobie</t>
        </is>
      </c>
      <c r="G998" t="inlineStr">
        <is>
          <t>Auswahl</t>
        </is>
      </c>
      <c r="J998" t="inlineStr">
        <is>
          <t>EXKLUSIV_ANGST=angst_arachnophobie | ANGST_INTERVALL=NEUE_KONFRONTATION | ANGST_DIREKTE_KONFRONTATION=1 | ANGST_BE=-1</t>
        </is>
      </c>
      <c r="K998" t="n">
        <v>10</v>
      </c>
      <c r="L998" s="28" t="n">
        <v>-60</v>
      </c>
      <c r="M998" t="inlineStr">
        <is>
          <t>S</t>
        </is>
      </c>
      <c r="Q998" t="inlineStr">
        <is>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is>
      </c>
    </row>
    <row r="999" hidden="1" ht="15.75" customHeight="1" s="48">
      <c r="A999" t="inlineStr">
        <is>
          <t>vn_angst_arachnophobie_15</t>
        </is>
      </c>
      <c r="B999" t="inlineStr">
        <is>
          <t>Vor- und Nachteile</t>
        </is>
      </c>
      <c r="C999" t="inlineStr">
        <is>
          <t>Furcht: Arachnophobie</t>
        </is>
      </c>
      <c r="E999" t="inlineStr">
        <is>
          <t>Auswahlgruppe angst_arachnophobie; maximal 1 Stufe; Angstwert 15; direkte Konfrontation: sofort, danach alle 10 KR; bloße Gegenwart: BE -2.</t>
        </is>
      </c>
      <c r="F999" t="inlineStr">
        <is>
          <t>Angst: Arachnophobie</t>
        </is>
      </c>
      <c r="G999" t="inlineStr">
        <is>
          <t>Auswahl</t>
        </is>
      </c>
      <c r="J999" t="inlineStr">
        <is>
          <t>EXKLUSIV_ANGST=angst_arachnophobie | ANGST_INTERVALL=10_KR | ANGST_DIREKTE_KONFRONTATION=1 | ANGST_BE=-2</t>
        </is>
      </c>
      <c r="K999" t="n">
        <v>15</v>
      </c>
      <c r="L999" s="28" t="n">
        <v>-90</v>
      </c>
      <c r="M999" t="inlineStr">
        <is>
          <t>S</t>
        </is>
      </c>
      <c r="Q999" t="inlineStr">
        <is>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is>
      </c>
    </row>
    <row r="1000" hidden="1" ht="15.75" customHeight="1" s="48">
      <c r="A1000" t="inlineStr">
        <is>
          <t>vn_angst_arachnophobie_20</t>
        </is>
      </c>
      <c r="B1000" t="inlineStr">
        <is>
          <t>Vor- und Nachteile</t>
        </is>
      </c>
      <c r="C1000" t="inlineStr">
        <is>
          <t>Angst: Arachnophobie</t>
        </is>
      </c>
      <c r="E1000" t="inlineStr">
        <is>
          <t>Auswahlgruppe angst_arachnophobie; maximal 1 Stufe; Angstwert 20; direkte Konfrontation: sofort, danach alle 5 KR; bloße Gegenwart: BE -3.</t>
        </is>
      </c>
      <c r="F1000" t="inlineStr">
        <is>
          <t>Angst: Arachnophobie</t>
        </is>
      </c>
      <c r="G1000" t="inlineStr">
        <is>
          <t>Auswahl</t>
        </is>
      </c>
      <c r="J1000" t="inlineStr">
        <is>
          <t>EXKLUSIV_ANGST=angst_arachnophobie | ANGST_INTERVALL=5_KR | ANGST_DIREKTE_KONFRONTATION=1 | ANGST_BE=-3</t>
        </is>
      </c>
      <c r="K1000" t="n">
        <v>20</v>
      </c>
      <c r="L1000" s="28" t="n">
        <v>-120</v>
      </c>
      <c r="M1000" t="inlineStr">
        <is>
          <t>S</t>
        </is>
      </c>
      <c r="Q1000" t="inlineStr">
        <is>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is>
      </c>
    </row>
    <row r="1001" hidden="1" ht="15.75" customHeight="1" s="48">
      <c r="A1001" t="inlineStr">
        <is>
          <t>vn_angst_arachnophobie_30</t>
        </is>
      </c>
      <c r="B1001" t="inlineStr">
        <is>
          <t>Vor- und Nachteile</t>
        </is>
      </c>
      <c r="C1001" t="inlineStr">
        <is>
          <t>Phobie: Arachnophobie</t>
        </is>
      </c>
      <c r="E1001" t="inlineStr">
        <is>
          <t>Auswahlgruppe angst_arachnophobie; maximal 1 Stufe; Angstwert 30; direkte Konfrontation: sofort, danach jede KR; bloße Gegenwart: BE -5.</t>
        </is>
      </c>
      <c r="F1001" t="inlineStr">
        <is>
          <t>Angst: Arachnophobie</t>
        </is>
      </c>
      <c r="G1001" t="inlineStr">
        <is>
          <t>Auswahl</t>
        </is>
      </c>
      <c r="J1001" t="inlineStr">
        <is>
          <t>EXKLUSIV_ANGST=angst_arachnophobie | ANGST_INTERVALL=1_KR | ANGST_DIREKTE_KONFRONTATION=1 | ANGST_BE=-5</t>
        </is>
      </c>
      <c r="K1001" t="n">
        <v>30</v>
      </c>
      <c r="L1001" s="28" t="n">
        <v>-180</v>
      </c>
      <c r="M1001" t="inlineStr">
        <is>
          <t>S</t>
        </is>
      </c>
      <c r="Q1001" t="inlineStr">
        <is>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is>
      </c>
    </row>
    <row r="1002" hidden="1" ht="15.75" customHeight="1" s="48">
      <c r="A1002" t="inlineStr">
        <is>
          <t>vn_angst_bestimmtes_domestiziertes_tier_5</t>
        </is>
      </c>
      <c r="B1002" t="inlineStr">
        <is>
          <t>Vor- und Nachteile</t>
        </is>
      </c>
      <c r="C1002" t="inlineStr">
        <is>
          <t>Unbehagen: Bestimmtes domestiziertes Tier</t>
        </is>
      </c>
      <c r="E1002" t="inlineStr">
        <is>
          <t>Auswahlgruppe angst_bestimmtes_domestiziertes_tier; maximal 1 Stufe; Angstwert 5; direkte Konfrontation: einmal pro Situation; bloße Gegenwart: BE 0.</t>
        </is>
      </c>
      <c r="F1002" t="inlineStr">
        <is>
          <t>Angst: Bestimmtes domestiziertes Tier</t>
        </is>
      </c>
      <c r="G1002" t="inlineStr">
        <is>
          <t>Auswahl</t>
        </is>
      </c>
      <c r="J1002" t="inlineStr">
        <is>
          <t>EXKLUSIV_ANGST=angst_bestimmtes_domestiziertes_tier | ANGST_INTERVALL=SITUATION | ANGST_DIREKTE_KONFRONTATION=1 | ANGST_BE=0</t>
        </is>
      </c>
      <c r="K1002" t="n">
        <v>5</v>
      </c>
      <c r="L1002" s="28" t="n">
        <v>-15</v>
      </c>
      <c r="M1002" t="inlineStr">
        <is>
          <t>S</t>
        </is>
      </c>
      <c r="Q1002" t="inlineStr">
        <is>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is>
      </c>
    </row>
    <row r="1003" hidden="1" ht="15.75" customHeight="1" s="48">
      <c r="A1003" t="inlineStr">
        <is>
          <t>vn_angst_bestimmtes_domestiziertes_tier_10</t>
        </is>
      </c>
      <c r="B1003" t="inlineStr">
        <is>
          <t>Vor- und Nachteile</t>
        </is>
      </c>
      <c r="C1003" t="inlineStr">
        <is>
          <t>Nervosität: Bestimmtes domestiziertes Tier</t>
        </is>
      </c>
      <c r="E1003" t="inlineStr">
        <is>
          <t>Auswahlgruppe angst_bestimmtes_domestiziertes_tier; maximal 1 Stufe; Angstwert 10; direkte Konfrontation: bei jeder erneuten direkten Konfrontation; bloße Gegenwart: BE -1.</t>
        </is>
      </c>
      <c r="F1003" t="inlineStr">
        <is>
          <t>Angst: Bestimmtes domestiziertes Tier</t>
        </is>
      </c>
      <c r="G1003" t="inlineStr">
        <is>
          <t>Auswahl</t>
        </is>
      </c>
      <c r="J1003" t="inlineStr">
        <is>
          <t>EXKLUSIV_ANGST=angst_bestimmtes_domestiziertes_tier | ANGST_INTERVALL=NEUE_KONFRONTATION | ANGST_DIREKTE_KONFRONTATION=1 | ANGST_BE=-1</t>
        </is>
      </c>
      <c r="K1003" t="n">
        <v>10</v>
      </c>
      <c r="L1003" s="28" t="n">
        <v>-30</v>
      </c>
      <c r="M1003" t="inlineStr">
        <is>
          <t>S</t>
        </is>
      </c>
      <c r="Q1003" t="inlineStr">
        <is>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is>
      </c>
    </row>
    <row r="1004" hidden="1" ht="15.75" customHeight="1" s="48">
      <c r="A1004" t="inlineStr">
        <is>
          <t>vn_angst_bestimmtes_domestiziertes_tier_15</t>
        </is>
      </c>
      <c r="B1004" t="inlineStr">
        <is>
          <t>Vor- und Nachteile</t>
        </is>
      </c>
      <c r="C1004" t="inlineStr">
        <is>
          <t>Furcht: Bestimmtes domestiziertes Tier</t>
        </is>
      </c>
      <c r="E1004" t="inlineStr">
        <is>
          <t>Auswahlgruppe angst_bestimmtes_domestiziertes_tier; maximal 1 Stufe; Angstwert 15; direkte Konfrontation: sofort, danach alle 10 KR; bloße Gegenwart: BE -2.</t>
        </is>
      </c>
      <c r="F1004" t="inlineStr">
        <is>
          <t>Angst: Bestimmtes domestiziertes Tier</t>
        </is>
      </c>
      <c r="G1004" t="inlineStr">
        <is>
          <t>Auswahl</t>
        </is>
      </c>
      <c r="J1004" t="inlineStr">
        <is>
          <t>EXKLUSIV_ANGST=angst_bestimmtes_domestiziertes_tier | ANGST_INTERVALL=10_KR | ANGST_DIREKTE_KONFRONTATION=1 | ANGST_BE=-2</t>
        </is>
      </c>
      <c r="K1004" t="n">
        <v>15</v>
      </c>
      <c r="L1004" s="28" t="n">
        <v>-45</v>
      </c>
      <c r="M1004" t="inlineStr">
        <is>
          <t>S</t>
        </is>
      </c>
      <c r="Q1004" t="inlineStr">
        <is>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is>
      </c>
    </row>
    <row r="1005" hidden="1" ht="15.75" customHeight="1" s="48">
      <c r="A1005" t="inlineStr">
        <is>
          <t>vn_angst_bestimmtes_domestiziertes_tier_20</t>
        </is>
      </c>
      <c r="B1005" t="inlineStr">
        <is>
          <t>Vor- und Nachteile</t>
        </is>
      </c>
      <c r="C1005" t="inlineStr">
        <is>
          <t>Angst: Bestimmtes domestiziertes Tier</t>
        </is>
      </c>
      <c r="E1005" t="inlineStr">
        <is>
          <t>Auswahlgruppe angst_bestimmtes_domestiziertes_tier; maximal 1 Stufe; Angstwert 20; direkte Konfrontation: sofort, danach alle 5 KR; bloße Gegenwart: BE -3.</t>
        </is>
      </c>
      <c r="F1005" t="inlineStr">
        <is>
          <t>Angst: Bestimmtes domestiziertes Tier</t>
        </is>
      </c>
      <c r="G1005" t="inlineStr">
        <is>
          <t>Auswahl</t>
        </is>
      </c>
      <c r="J1005" t="inlineStr">
        <is>
          <t>EXKLUSIV_ANGST=angst_bestimmtes_domestiziertes_tier | ANGST_INTERVALL=5_KR | ANGST_DIREKTE_KONFRONTATION=1 | ANGST_BE=-3</t>
        </is>
      </c>
      <c r="K1005" t="n">
        <v>20</v>
      </c>
      <c r="L1005" s="28" t="n">
        <v>-60</v>
      </c>
      <c r="M1005" t="inlineStr">
        <is>
          <t>S</t>
        </is>
      </c>
      <c r="Q1005" t="inlineStr">
        <is>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is>
      </c>
    </row>
    <row r="1006" hidden="1" ht="15.75" customHeight="1" s="48">
      <c r="A1006" t="inlineStr">
        <is>
          <t>vn_angst_bestimmtes_domestiziertes_tier_30</t>
        </is>
      </c>
      <c r="B1006" t="inlineStr">
        <is>
          <t>Vor- und Nachteile</t>
        </is>
      </c>
      <c r="C1006" t="inlineStr">
        <is>
          <t>Phobie: Bestimmtes domestiziertes Tier</t>
        </is>
      </c>
      <c r="E1006" t="inlineStr">
        <is>
          <t>Auswahlgruppe angst_bestimmtes_domestiziertes_tier; maximal 1 Stufe; Angstwert 30; direkte Konfrontation: sofort, danach jede KR; bloße Gegenwart: BE -5.</t>
        </is>
      </c>
      <c r="F1006" t="inlineStr">
        <is>
          <t>Angst: Bestimmtes domestiziertes Tier</t>
        </is>
      </c>
      <c r="G1006" t="inlineStr">
        <is>
          <t>Auswahl</t>
        </is>
      </c>
      <c r="J1006" t="inlineStr">
        <is>
          <t>EXKLUSIV_ANGST=angst_bestimmtes_domestiziertes_tier | ANGST_INTERVALL=1_KR | ANGST_DIREKTE_KONFRONTATION=1 | ANGST_BE=-5</t>
        </is>
      </c>
      <c r="K1006" t="n">
        <v>30</v>
      </c>
      <c r="L1006" s="28" t="n">
        <v>-90</v>
      </c>
      <c r="M1006" t="inlineStr">
        <is>
          <t>S</t>
        </is>
      </c>
      <c r="Q1006" t="inlineStr">
        <is>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is>
      </c>
    </row>
    <row r="1007" hidden="1" ht="15.75" customHeight="1" s="48">
      <c r="A1007" t="inlineStr">
        <is>
          <t>vn_angst_hundeartige_5</t>
        </is>
      </c>
      <c r="B1007" t="inlineStr">
        <is>
          <t>Vor- und Nachteile</t>
        </is>
      </c>
      <c r="C1007" t="inlineStr">
        <is>
          <t>Unbehagen: Hundeartige</t>
        </is>
      </c>
      <c r="E1007" t="inlineStr">
        <is>
          <t>Auswahlgruppe angst_hundeartige; maximal 1 Stufe; Angstwert 5; direkte Konfrontation: einmal pro Situation; bloße Gegenwart: BE 0.</t>
        </is>
      </c>
      <c r="F1007" t="inlineStr">
        <is>
          <t>Angst: Hundeartige</t>
        </is>
      </c>
      <c r="G1007" t="inlineStr">
        <is>
          <t>Auswahl</t>
        </is>
      </c>
      <c r="J1007" t="inlineStr">
        <is>
          <t>EXKLUSIV_ANGST=angst_hundeartige | ANGST_INTERVALL=SITUATION | ANGST_DIREKTE_KONFRONTATION=1 | ANGST_BE=0</t>
        </is>
      </c>
      <c r="K1007" t="n">
        <v>5</v>
      </c>
      <c r="L1007" s="28" t="n">
        <v>-25</v>
      </c>
      <c r="M1007" t="inlineStr">
        <is>
          <t>S</t>
        </is>
      </c>
      <c r="Q1007" t="inlineStr">
        <is>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is>
      </c>
    </row>
    <row r="1008" hidden="1" ht="15.75" customHeight="1" s="48">
      <c r="A1008" t="inlineStr">
        <is>
          <t>vn_angst_hundeartige_10</t>
        </is>
      </c>
      <c r="B1008" t="inlineStr">
        <is>
          <t>Vor- und Nachteile</t>
        </is>
      </c>
      <c r="C1008" t="inlineStr">
        <is>
          <t>Nervosität: Hundeartige</t>
        </is>
      </c>
      <c r="E1008" t="inlineStr">
        <is>
          <t>Auswahlgruppe angst_hundeartige; maximal 1 Stufe; Angstwert 10; direkte Konfrontation: bei jeder erneuten direkten Konfrontation; bloße Gegenwart: BE -1.</t>
        </is>
      </c>
      <c r="F1008" t="inlineStr">
        <is>
          <t>Angst: Hundeartige</t>
        </is>
      </c>
      <c r="G1008" t="inlineStr">
        <is>
          <t>Auswahl</t>
        </is>
      </c>
      <c r="J1008" t="inlineStr">
        <is>
          <t>EXKLUSIV_ANGST=angst_hundeartige | ANGST_INTERVALL=NEUE_KONFRONTATION | ANGST_DIREKTE_KONFRONTATION=1 | ANGST_BE=-1</t>
        </is>
      </c>
      <c r="K1008" t="n">
        <v>10</v>
      </c>
      <c r="L1008" s="28" t="n">
        <v>-50</v>
      </c>
      <c r="M1008" t="inlineStr">
        <is>
          <t>S</t>
        </is>
      </c>
      <c r="Q1008" t="inlineStr">
        <is>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is>
      </c>
    </row>
    <row r="1009" hidden="1" ht="15.75" customHeight="1" s="48">
      <c r="A1009" t="inlineStr">
        <is>
          <t>vn_angst_hundeartige_15</t>
        </is>
      </c>
      <c r="B1009" t="inlineStr">
        <is>
          <t>Vor- und Nachteile</t>
        </is>
      </c>
      <c r="C1009" t="inlineStr">
        <is>
          <t>Furcht: Hundeartige</t>
        </is>
      </c>
      <c r="E1009" t="inlineStr">
        <is>
          <t>Auswahlgruppe angst_hundeartige; maximal 1 Stufe; Angstwert 15; direkte Konfrontation: sofort, danach alle 10 KR; bloße Gegenwart: BE -2.</t>
        </is>
      </c>
      <c r="F1009" t="inlineStr">
        <is>
          <t>Angst: Hundeartige</t>
        </is>
      </c>
      <c r="G1009" t="inlineStr">
        <is>
          <t>Auswahl</t>
        </is>
      </c>
      <c r="J1009" t="inlineStr">
        <is>
          <t>EXKLUSIV_ANGST=angst_hundeartige | ANGST_INTERVALL=10_KR | ANGST_DIREKTE_KONFRONTATION=1 | ANGST_BE=-2</t>
        </is>
      </c>
      <c r="K1009" t="n">
        <v>15</v>
      </c>
      <c r="L1009" s="28" t="n">
        <v>-75</v>
      </c>
      <c r="M1009" t="inlineStr">
        <is>
          <t>S</t>
        </is>
      </c>
      <c r="Q1009" t="inlineStr">
        <is>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is>
      </c>
    </row>
    <row r="1010" hidden="1" ht="15.75" customHeight="1" s="48">
      <c r="A1010" t="inlineStr">
        <is>
          <t>vn_angst_hundeartige_20</t>
        </is>
      </c>
      <c r="B1010" t="inlineStr">
        <is>
          <t>Vor- und Nachteile</t>
        </is>
      </c>
      <c r="C1010" t="inlineStr">
        <is>
          <t>Angst: Hundeartige</t>
        </is>
      </c>
      <c r="E1010" t="inlineStr">
        <is>
          <t>Auswahlgruppe angst_hundeartige; maximal 1 Stufe; Angstwert 20; direkte Konfrontation: sofort, danach alle 5 KR; bloße Gegenwart: BE -3.</t>
        </is>
      </c>
      <c r="F1010" t="inlineStr">
        <is>
          <t>Angst: Hundeartige</t>
        </is>
      </c>
      <c r="G1010" t="inlineStr">
        <is>
          <t>Auswahl</t>
        </is>
      </c>
      <c r="J1010" t="inlineStr">
        <is>
          <t>EXKLUSIV_ANGST=angst_hundeartige | ANGST_INTERVALL=5_KR | ANGST_DIREKTE_KONFRONTATION=1 | ANGST_BE=-3</t>
        </is>
      </c>
      <c r="K1010" t="n">
        <v>20</v>
      </c>
      <c r="L1010" s="28" t="n">
        <v>-100</v>
      </c>
      <c r="M1010" t="inlineStr">
        <is>
          <t>S</t>
        </is>
      </c>
      <c r="Q1010" t="inlineStr">
        <is>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is>
      </c>
    </row>
    <row r="1011" hidden="1" ht="15.75" customHeight="1" s="48">
      <c r="A1011" t="inlineStr">
        <is>
          <t>vn_angst_hundeartige_30</t>
        </is>
      </c>
      <c r="B1011" t="inlineStr">
        <is>
          <t>Vor- und Nachteile</t>
        </is>
      </c>
      <c r="C1011" t="inlineStr">
        <is>
          <t>Phobie: Hundeartige</t>
        </is>
      </c>
      <c r="E1011" t="inlineStr">
        <is>
          <t>Auswahlgruppe angst_hundeartige; maximal 1 Stufe; Angstwert 30; direkte Konfrontation: sofort, danach jede KR; bloße Gegenwart: BE -5.</t>
        </is>
      </c>
      <c r="F1011" t="inlineStr">
        <is>
          <t>Angst: Hundeartige</t>
        </is>
      </c>
      <c r="G1011" t="inlineStr">
        <is>
          <t>Auswahl</t>
        </is>
      </c>
      <c r="J1011" t="inlineStr">
        <is>
          <t>EXKLUSIV_ANGST=angst_hundeartige | ANGST_INTERVALL=1_KR | ANGST_DIREKTE_KONFRONTATION=1 | ANGST_BE=-5</t>
        </is>
      </c>
      <c r="K1011" t="n">
        <v>30</v>
      </c>
      <c r="L1011" s="28" t="n">
        <v>-150</v>
      </c>
      <c r="M1011" t="inlineStr">
        <is>
          <t>S</t>
        </is>
      </c>
      <c r="Q1011" t="inlineStr">
        <is>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is>
      </c>
    </row>
    <row r="1012" hidden="1" ht="15.75" customHeight="1" s="48">
      <c r="A1012" t="inlineStr">
        <is>
          <t>vn_angst_hunger_5</t>
        </is>
      </c>
      <c r="B1012" t="inlineStr">
        <is>
          <t>Vor- und Nachteile</t>
        </is>
      </c>
      <c r="C1012" t="inlineStr">
        <is>
          <t>Unbehagen: Hunger</t>
        </is>
      </c>
      <c r="E1012" t="inlineStr">
        <is>
          <t>Auswahlgruppe angst_hunger; maximal 1 Stufe; Angstwert 5; direkte Konfrontation: einmal pro Situation; bloße Gegenwart: BE 0.</t>
        </is>
      </c>
      <c r="F1012" t="inlineStr">
        <is>
          <t>Angst: Hunger</t>
        </is>
      </c>
      <c r="G1012" t="inlineStr">
        <is>
          <t>Auswahl</t>
        </is>
      </c>
      <c r="J1012" t="inlineStr">
        <is>
          <t>EXKLUSIV_ANGST=angst_hunger | ANGST_INTERVALL=SITUATION | ANGST_DIREKTE_KONFRONTATION=1 | ANGST_BE=0</t>
        </is>
      </c>
      <c r="K1012" t="n">
        <v>5</v>
      </c>
      <c r="L1012" s="28" t="n">
        <v>-20</v>
      </c>
      <c r="M1012" t="inlineStr">
        <is>
          <t>S</t>
        </is>
      </c>
      <c r="Q1012" t="inlineStr">
        <is>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is>
      </c>
    </row>
    <row r="1013" hidden="1" ht="15.75" customHeight="1" s="48">
      <c r="A1013" t="inlineStr">
        <is>
          <t>vn_angst_hunger_10</t>
        </is>
      </c>
      <c r="B1013" t="inlineStr">
        <is>
          <t>Vor- und Nachteile</t>
        </is>
      </c>
      <c r="C1013" t="inlineStr">
        <is>
          <t>Nervosität: Hunger</t>
        </is>
      </c>
      <c r="E1013" t="inlineStr">
        <is>
          <t>Auswahlgruppe angst_hunger; maximal 1 Stufe; Angstwert 10; direkte Konfrontation: bei jeder erneuten direkten Konfrontation; bloße Gegenwart: BE -1.</t>
        </is>
      </c>
      <c r="F1013" t="inlineStr">
        <is>
          <t>Angst: Hunger</t>
        </is>
      </c>
      <c r="G1013" t="inlineStr">
        <is>
          <t>Auswahl</t>
        </is>
      </c>
      <c r="J1013" t="inlineStr">
        <is>
          <t>EXKLUSIV_ANGST=angst_hunger | ANGST_INTERVALL=NEUE_KONFRONTATION | ANGST_DIREKTE_KONFRONTATION=1 | ANGST_BE=-1</t>
        </is>
      </c>
      <c r="K1013" t="n">
        <v>10</v>
      </c>
      <c r="L1013" s="28" t="n">
        <v>-40</v>
      </c>
      <c r="M1013" t="inlineStr">
        <is>
          <t>S</t>
        </is>
      </c>
      <c r="Q1013" t="inlineStr">
        <is>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is>
      </c>
    </row>
    <row r="1014" hidden="1" ht="15.75" customHeight="1" s="48">
      <c r="A1014" t="inlineStr">
        <is>
          <t>vn_angst_hunger_15</t>
        </is>
      </c>
      <c r="B1014" t="inlineStr">
        <is>
          <t>Vor- und Nachteile</t>
        </is>
      </c>
      <c r="C1014" t="inlineStr">
        <is>
          <t>Furcht: Hunger</t>
        </is>
      </c>
      <c r="E1014" t="inlineStr">
        <is>
          <t>Auswahlgruppe angst_hunger; maximal 1 Stufe; Angstwert 15; direkte Konfrontation: sofort, danach alle 10 KR; bloße Gegenwart: BE -2.</t>
        </is>
      </c>
      <c r="F1014" t="inlineStr">
        <is>
          <t>Angst: Hunger</t>
        </is>
      </c>
      <c r="G1014" t="inlineStr">
        <is>
          <t>Auswahl</t>
        </is>
      </c>
      <c r="J1014" t="inlineStr">
        <is>
          <t>EXKLUSIV_ANGST=angst_hunger | ANGST_INTERVALL=10_KR | ANGST_DIREKTE_KONFRONTATION=1 | ANGST_BE=-2</t>
        </is>
      </c>
      <c r="K1014" t="n">
        <v>15</v>
      </c>
      <c r="L1014" s="28" t="n">
        <v>-60</v>
      </c>
      <c r="M1014" t="inlineStr">
        <is>
          <t>S</t>
        </is>
      </c>
      <c r="Q1014" t="inlineStr">
        <is>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is>
      </c>
    </row>
    <row r="1015" hidden="1" ht="15.75" customHeight="1" s="48">
      <c r="A1015" t="inlineStr">
        <is>
          <t>vn_angst_hunger_20</t>
        </is>
      </c>
      <c r="B1015" t="inlineStr">
        <is>
          <t>Vor- und Nachteile</t>
        </is>
      </c>
      <c r="C1015" t="inlineStr">
        <is>
          <t>Angst: Hunger</t>
        </is>
      </c>
      <c r="E1015" t="inlineStr">
        <is>
          <t>Auswahlgruppe angst_hunger; maximal 1 Stufe; Angstwert 20; direkte Konfrontation: sofort, danach alle 5 KR; bloße Gegenwart: BE -3.</t>
        </is>
      </c>
      <c r="F1015" t="inlineStr">
        <is>
          <t>Angst: Hunger</t>
        </is>
      </c>
      <c r="G1015" t="inlineStr">
        <is>
          <t>Auswahl</t>
        </is>
      </c>
      <c r="J1015" t="inlineStr">
        <is>
          <t>EXKLUSIV_ANGST=angst_hunger | ANGST_INTERVALL=5_KR | ANGST_DIREKTE_KONFRONTATION=1 | ANGST_BE=-3</t>
        </is>
      </c>
      <c r="K1015" t="n">
        <v>20</v>
      </c>
      <c r="L1015" s="28" t="n">
        <v>-80</v>
      </c>
      <c r="M1015" t="inlineStr">
        <is>
          <t>S</t>
        </is>
      </c>
      <c r="Q1015" t="inlineStr">
        <is>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is>
      </c>
    </row>
    <row r="1016" hidden="1" ht="15.75" customHeight="1" s="48">
      <c r="A1016" t="inlineStr">
        <is>
          <t>vn_angst_hunger_30</t>
        </is>
      </c>
      <c r="B1016" t="inlineStr">
        <is>
          <t>Vor- und Nachteile</t>
        </is>
      </c>
      <c r="C1016" t="inlineStr">
        <is>
          <t>Phobie: Hunger</t>
        </is>
      </c>
      <c r="E1016" t="inlineStr">
        <is>
          <t>Auswahlgruppe angst_hunger; maximal 1 Stufe; Angstwert 30; direkte Konfrontation: sofort, danach jede KR; bloße Gegenwart: BE -5.</t>
        </is>
      </c>
      <c r="F1016" t="inlineStr">
        <is>
          <t>Angst: Hunger</t>
        </is>
      </c>
      <c r="G1016" t="inlineStr">
        <is>
          <t>Auswahl</t>
        </is>
      </c>
      <c r="J1016" t="inlineStr">
        <is>
          <t>EXKLUSIV_ANGST=angst_hunger | ANGST_INTERVALL=1_KR | ANGST_DIREKTE_KONFRONTATION=1 | ANGST_BE=-5</t>
        </is>
      </c>
      <c r="K1016" t="n">
        <v>30</v>
      </c>
      <c r="L1016" s="28" t="n">
        <v>-120</v>
      </c>
      <c r="M1016" t="inlineStr">
        <is>
          <t>S</t>
        </is>
      </c>
      <c r="Q1016" t="inlineStr">
        <is>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is>
      </c>
    </row>
    <row r="1017" hidden="1" ht="15.75" customHeight="1" s="48">
      <c r="A1017" t="inlineStr">
        <is>
          <t>vn_angst_laecherlichkeit_5</t>
        </is>
      </c>
      <c r="B1017" t="inlineStr">
        <is>
          <t>Vor- und Nachteile</t>
        </is>
      </c>
      <c r="C1017" t="inlineStr">
        <is>
          <t>Unbehagen: Lächerlichkeit</t>
        </is>
      </c>
      <c r="E1017" t="inlineStr">
        <is>
          <t>Auswahlgruppe angst_laecherlichkeit; maximal 1 Stufe; Angstwert 5; direkte Konfrontation: einmal pro Situation; bloße Gegenwart: BE 0.</t>
        </is>
      </c>
      <c r="F1017" t="inlineStr">
        <is>
          <t>Angst: Lächerlichkeit</t>
        </is>
      </c>
      <c r="G1017" t="inlineStr">
        <is>
          <t>Auswahl</t>
        </is>
      </c>
      <c r="J1017" t="inlineStr">
        <is>
          <t>EXKLUSIV_ANGST=angst_laecherlichkeit | ANGST_INTERVALL=SITUATION | ANGST_DIREKTE_KONFRONTATION=1 | ANGST_BE=0</t>
        </is>
      </c>
      <c r="K1017" t="n">
        <v>5</v>
      </c>
      <c r="L1017" s="28" t="n">
        <v>-15</v>
      </c>
      <c r="M1017" t="inlineStr">
        <is>
          <t>S</t>
        </is>
      </c>
      <c r="Q1017" t="inlineStr">
        <is>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is>
      </c>
    </row>
    <row r="1018" hidden="1" ht="15.75" customHeight="1" s="48">
      <c r="A1018" t="inlineStr">
        <is>
          <t>vn_angst_laecherlichkeit_10</t>
        </is>
      </c>
      <c r="B1018" t="inlineStr">
        <is>
          <t>Vor- und Nachteile</t>
        </is>
      </c>
      <c r="C1018" t="inlineStr">
        <is>
          <t>Nervosität: Lächerlichkeit</t>
        </is>
      </c>
      <c r="E1018" t="inlineStr">
        <is>
          <t>Auswahlgruppe angst_laecherlichkeit; maximal 1 Stufe; Angstwert 10; direkte Konfrontation: bei jeder erneuten direkten Konfrontation; bloße Gegenwart: BE -1.</t>
        </is>
      </c>
      <c r="F1018" t="inlineStr">
        <is>
          <t>Angst: Lächerlichkeit</t>
        </is>
      </c>
      <c r="G1018" t="inlineStr">
        <is>
          <t>Auswahl</t>
        </is>
      </c>
      <c r="J1018" t="inlineStr">
        <is>
          <t>EXKLUSIV_ANGST=angst_laecherlichkeit | ANGST_INTERVALL=NEUE_KONFRONTATION | ANGST_DIREKTE_KONFRONTATION=1 | ANGST_BE=-1</t>
        </is>
      </c>
      <c r="K1018" t="n">
        <v>10</v>
      </c>
      <c r="L1018" s="28" t="n">
        <v>-30</v>
      </c>
      <c r="M1018" t="inlineStr">
        <is>
          <t>S</t>
        </is>
      </c>
      <c r="Q1018" t="inlineStr">
        <is>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is>
      </c>
    </row>
    <row r="1019" hidden="1" ht="15.75" customHeight="1" s="48">
      <c r="A1019" t="inlineStr">
        <is>
          <t>vn_angst_laecherlichkeit_15</t>
        </is>
      </c>
      <c r="B1019" t="inlineStr">
        <is>
          <t>Vor- und Nachteile</t>
        </is>
      </c>
      <c r="C1019" t="inlineStr">
        <is>
          <t>Furcht: Lächerlichkeit</t>
        </is>
      </c>
      <c r="E1019" t="inlineStr">
        <is>
          <t>Auswahlgruppe angst_laecherlichkeit; maximal 1 Stufe; Angstwert 15; direkte Konfrontation: sofort, danach alle 10 KR; bloße Gegenwart: BE -2.</t>
        </is>
      </c>
      <c r="F1019" t="inlineStr">
        <is>
          <t>Angst: Lächerlichkeit</t>
        </is>
      </c>
      <c r="G1019" t="inlineStr">
        <is>
          <t>Auswahl</t>
        </is>
      </c>
      <c r="J1019" t="inlineStr">
        <is>
          <t>EXKLUSIV_ANGST=angst_laecherlichkeit | ANGST_INTERVALL=10_KR | ANGST_DIREKTE_KONFRONTATION=1 | ANGST_BE=-2</t>
        </is>
      </c>
      <c r="K1019" t="n">
        <v>15</v>
      </c>
      <c r="L1019" s="28" t="n">
        <v>-45</v>
      </c>
      <c r="M1019" t="inlineStr">
        <is>
          <t>S</t>
        </is>
      </c>
      <c r="Q1019" t="inlineStr">
        <is>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is>
      </c>
    </row>
    <row r="1020" hidden="1" ht="15.75" customHeight="1" s="48">
      <c r="A1020" t="inlineStr">
        <is>
          <t>vn_angst_laecherlichkeit_20</t>
        </is>
      </c>
      <c r="B1020" t="inlineStr">
        <is>
          <t>Vor- und Nachteile</t>
        </is>
      </c>
      <c r="C1020" t="inlineStr">
        <is>
          <t>Angst: Lächerlichkeit</t>
        </is>
      </c>
      <c r="E1020" t="inlineStr">
        <is>
          <t>Auswahlgruppe angst_laecherlichkeit; maximal 1 Stufe; Angstwert 20; direkte Konfrontation: sofort, danach alle 5 KR; bloße Gegenwart: BE -3.</t>
        </is>
      </c>
      <c r="F1020" t="inlineStr">
        <is>
          <t>Angst: Lächerlichkeit</t>
        </is>
      </c>
      <c r="G1020" t="inlineStr">
        <is>
          <t>Auswahl</t>
        </is>
      </c>
      <c r="J1020" t="inlineStr">
        <is>
          <t>EXKLUSIV_ANGST=angst_laecherlichkeit | ANGST_INTERVALL=5_KR | ANGST_DIREKTE_KONFRONTATION=1 | ANGST_BE=-3</t>
        </is>
      </c>
      <c r="K1020" t="n">
        <v>20</v>
      </c>
      <c r="L1020" s="28" t="n">
        <v>-60</v>
      </c>
      <c r="M1020" t="inlineStr">
        <is>
          <t>S</t>
        </is>
      </c>
      <c r="Q1020" t="inlineStr">
        <is>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is>
      </c>
    </row>
    <row r="1021" hidden="1" ht="15.75" customHeight="1" s="48">
      <c r="A1021" t="inlineStr">
        <is>
          <t>vn_angst_laecherlichkeit_30</t>
        </is>
      </c>
      <c r="B1021" t="inlineStr">
        <is>
          <t>Vor- und Nachteile</t>
        </is>
      </c>
      <c r="C1021" t="inlineStr">
        <is>
          <t>Phobie: Lächerlichkeit</t>
        </is>
      </c>
      <c r="E1021" t="inlineStr">
        <is>
          <t>Auswahlgruppe angst_laecherlichkeit; maximal 1 Stufe; Angstwert 30; direkte Konfrontation: sofort, danach jede KR; bloße Gegenwart: BE -5.</t>
        </is>
      </c>
      <c r="F1021" t="inlineStr">
        <is>
          <t>Angst: Lächerlichkeit</t>
        </is>
      </c>
      <c r="G1021" t="inlineStr">
        <is>
          <t>Auswahl</t>
        </is>
      </c>
      <c r="J1021" t="inlineStr">
        <is>
          <t>EXKLUSIV_ANGST=angst_laecherlichkeit | ANGST_INTERVALL=1_KR | ANGST_DIREKTE_KONFRONTATION=1 | ANGST_BE=-5</t>
        </is>
      </c>
      <c r="K1021" t="n">
        <v>30</v>
      </c>
      <c r="L1021" s="28" t="n">
        <v>-90</v>
      </c>
      <c r="M1021" t="inlineStr">
        <is>
          <t>S</t>
        </is>
      </c>
      <c r="Q1021" t="inlineStr">
        <is>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is>
      </c>
    </row>
    <row r="1022" hidden="1" ht="15.75" customHeight="1" s="48">
      <c r="A1022" t="inlineStr">
        <is>
          <t>vn_angst_magische_gegenstaende_5</t>
        </is>
      </c>
      <c r="B1022" t="inlineStr">
        <is>
          <t>Vor- und Nachteile</t>
        </is>
      </c>
      <c r="C1022" t="inlineStr">
        <is>
          <t>Unbehagen: Magische Gegenstände</t>
        </is>
      </c>
      <c r="E1022" t="inlineStr">
        <is>
          <t>Auswahlgruppe angst_magische_gegenstaende; maximal 1 Stufe; Angstwert 5; direkte Konfrontation: einmal pro Situation; bloße Gegenwart: BE 0.</t>
        </is>
      </c>
      <c r="F1022" t="inlineStr">
        <is>
          <t>Angst: Magische Gegenstände</t>
        </is>
      </c>
      <c r="G1022" t="inlineStr">
        <is>
          <t>Auswahl</t>
        </is>
      </c>
      <c r="J1022" t="inlineStr">
        <is>
          <t>EXKLUSIV_ANGST=angst_magische_gegenstaende | ANGST_INTERVALL=SITUATION | ANGST_DIREKTE_KONFRONTATION=1 | ANGST_BE=0</t>
        </is>
      </c>
      <c r="K1022" t="n">
        <v>5</v>
      </c>
      <c r="L1022" s="28" t="n">
        <v>-30</v>
      </c>
      <c r="M1022" t="inlineStr">
        <is>
          <t>S</t>
        </is>
      </c>
      <c r="Q1022" t="inlineStr">
        <is>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is>
      </c>
    </row>
    <row r="1023" hidden="1" ht="15.75" customHeight="1" s="48">
      <c r="A1023" t="inlineStr">
        <is>
          <t>vn_angst_magische_gegenstaende_10</t>
        </is>
      </c>
      <c r="B1023" t="inlineStr">
        <is>
          <t>Vor- und Nachteile</t>
        </is>
      </c>
      <c r="C1023" t="inlineStr">
        <is>
          <t>Nervosität: Magische Gegenstände</t>
        </is>
      </c>
      <c r="E1023" t="inlineStr">
        <is>
          <t>Auswahlgruppe angst_magische_gegenstaende; maximal 1 Stufe; Angstwert 10; direkte Konfrontation: bei jeder erneuten direkten Konfrontation; bloße Gegenwart: BE -1.</t>
        </is>
      </c>
      <c r="F1023" t="inlineStr">
        <is>
          <t>Angst: Magische Gegenstände</t>
        </is>
      </c>
      <c r="G1023" t="inlineStr">
        <is>
          <t>Auswahl</t>
        </is>
      </c>
      <c r="J1023" t="inlineStr">
        <is>
          <t>EXKLUSIV_ANGST=angst_magische_gegenstaende | ANGST_INTERVALL=NEUE_KONFRONTATION | ANGST_DIREKTE_KONFRONTATION=1 | ANGST_BE=-1</t>
        </is>
      </c>
      <c r="K1023" t="n">
        <v>10</v>
      </c>
      <c r="L1023" s="28" t="n">
        <v>-60</v>
      </c>
      <c r="M1023" t="inlineStr">
        <is>
          <t>S</t>
        </is>
      </c>
      <c r="Q1023" t="inlineStr">
        <is>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is>
      </c>
    </row>
    <row r="1024" hidden="1" ht="15.75" customHeight="1" s="48">
      <c r="A1024" t="inlineStr">
        <is>
          <t>vn_angst_magische_gegenstaende_15</t>
        </is>
      </c>
      <c r="B1024" t="inlineStr">
        <is>
          <t>Vor- und Nachteile</t>
        </is>
      </c>
      <c r="C1024" t="inlineStr">
        <is>
          <t>Furcht: Magische Gegenstände</t>
        </is>
      </c>
      <c r="E1024" t="inlineStr">
        <is>
          <t>Auswahlgruppe angst_magische_gegenstaende; maximal 1 Stufe; Angstwert 15; direkte Konfrontation: sofort, danach alle 10 KR; bloße Gegenwart: BE -2.</t>
        </is>
      </c>
      <c r="F1024" t="inlineStr">
        <is>
          <t>Angst: Magische Gegenstände</t>
        </is>
      </c>
      <c r="G1024" t="inlineStr">
        <is>
          <t>Auswahl</t>
        </is>
      </c>
      <c r="J1024" t="inlineStr">
        <is>
          <t>EXKLUSIV_ANGST=angst_magische_gegenstaende | ANGST_INTERVALL=10_KR | ANGST_DIREKTE_KONFRONTATION=1 | ANGST_BE=-2</t>
        </is>
      </c>
      <c r="K1024" t="n">
        <v>15</v>
      </c>
      <c r="L1024" s="28" t="n">
        <v>-90</v>
      </c>
      <c r="M1024" t="inlineStr">
        <is>
          <t>S</t>
        </is>
      </c>
      <c r="Q1024" t="inlineStr">
        <is>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is>
      </c>
    </row>
    <row r="1025" hidden="1" ht="15.75" customHeight="1" s="48">
      <c r="A1025" t="inlineStr">
        <is>
          <t>vn_angst_magische_gegenstaende_20</t>
        </is>
      </c>
      <c r="B1025" t="inlineStr">
        <is>
          <t>Vor- und Nachteile</t>
        </is>
      </c>
      <c r="C1025" t="inlineStr">
        <is>
          <t>Angst: Magische Gegenstände</t>
        </is>
      </c>
      <c r="E1025" t="inlineStr">
        <is>
          <t>Auswahlgruppe angst_magische_gegenstaende; maximal 1 Stufe; Angstwert 20; direkte Konfrontation: sofort, danach alle 5 KR; bloße Gegenwart: BE -3.</t>
        </is>
      </c>
      <c r="F1025" t="inlineStr">
        <is>
          <t>Angst: Magische Gegenstände</t>
        </is>
      </c>
      <c r="G1025" t="inlineStr">
        <is>
          <t>Auswahl</t>
        </is>
      </c>
      <c r="J1025" t="inlineStr">
        <is>
          <t>EXKLUSIV_ANGST=angst_magische_gegenstaende | ANGST_INTERVALL=5_KR | ANGST_DIREKTE_KONFRONTATION=1 | ANGST_BE=-3</t>
        </is>
      </c>
      <c r="K1025" t="n">
        <v>20</v>
      </c>
      <c r="L1025" s="28" t="n">
        <v>-120</v>
      </c>
      <c r="M1025" t="inlineStr">
        <is>
          <t>S</t>
        </is>
      </c>
      <c r="Q1025" t="inlineStr">
        <is>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is>
      </c>
    </row>
    <row r="1026" hidden="1" ht="15.75" customHeight="1" s="48">
      <c r="A1026" t="inlineStr">
        <is>
          <t>vn_angst_magische_gegenstaende_30</t>
        </is>
      </c>
      <c r="B1026" t="inlineStr">
        <is>
          <t>Vor- und Nachteile</t>
        </is>
      </c>
      <c r="C1026" t="inlineStr">
        <is>
          <t>Phobie: Magische Gegenstände</t>
        </is>
      </c>
      <c r="E1026" t="inlineStr">
        <is>
          <t>Auswahlgruppe angst_magische_gegenstaende; maximal 1 Stufe; Angstwert 30; direkte Konfrontation: sofort, danach jede KR; bloße Gegenwart: BE -5.</t>
        </is>
      </c>
      <c r="F1026" t="inlineStr">
        <is>
          <t>Angst: Magische Gegenstände</t>
        </is>
      </c>
      <c r="G1026" t="inlineStr">
        <is>
          <t>Auswahl</t>
        </is>
      </c>
      <c r="J1026" t="inlineStr">
        <is>
          <t>EXKLUSIV_ANGST=angst_magische_gegenstaende | ANGST_INTERVALL=1_KR | ANGST_DIREKTE_KONFRONTATION=1 | ANGST_BE=-5</t>
        </is>
      </c>
      <c r="K1026" t="n">
        <v>30</v>
      </c>
      <c r="L1026" s="28" t="n">
        <v>-180</v>
      </c>
      <c r="M1026" t="inlineStr">
        <is>
          <t>S</t>
        </is>
      </c>
      <c r="Q1026" t="inlineStr">
        <is>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is>
      </c>
    </row>
    <row r="1027" hidden="1" ht="15.75" customHeight="1" s="48">
      <c r="A1027" t="inlineStr">
        <is>
          <t>vn_angst_magische_wesen_5</t>
        </is>
      </c>
      <c r="B1027" t="inlineStr">
        <is>
          <t>Vor- und Nachteile</t>
        </is>
      </c>
      <c r="C1027" t="inlineStr">
        <is>
          <t>Unbehagen: Magische Wesen</t>
        </is>
      </c>
      <c r="E1027" t="inlineStr">
        <is>
          <t>Auswahlgruppe angst_magische_wesen; maximal 1 Stufe; Angstwert 5; direkte Konfrontation: einmal pro Situation; bloße Gegenwart: BE 0.</t>
        </is>
      </c>
      <c r="F1027" t="inlineStr">
        <is>
          <t>Angst: Magische Wesen</t>
        </is>
      </c>
      <c r="G1027" t="inlineStr">
        <is>
          <t>Auswahl</t>
        </is>
      </c>
      <c r="J1027" t="inlineStr">
        <is>
          <t>EXKLUSIV_ANGST=angst_magische_wesen | ANGST_INTERVALL=SITUATION | ANGST_DIREKTE_KONFRONTATION=1 | ANGST_BE=0</t>
        </is>
      </c>
      <c r="K1027" t="n">
        <v>5</v>
      </c>
      <c r="L1027" s="28" t="n">
        <v>-30</v>
      </c>
      <c r="M1027" t="inlineStr">
        <is>
          <t>S</t>
        </is>
      </c>
      <c r="Q1027" t="inlineStr">
        <is>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is>
      </c>
    </row>
    <row r="1028" hidden="1" ht="15.75" customHeight="1" s="48">
      <c r="A1028" t="inlineStr">
        <is>
          <t>vn_angst_magische_wesen_10</t>
        </is>
      </c>
      <c r="B1028" t="inlineStr">
        <is>
          <t>Vor- und Nachteile</t>
        </is>
      </c>
      <c r="C1028" t="inlineStr">
        <is>
          <t>Nervosität: Magische Wesen</t>
        </is>
      </c>
      <c r="E1028" t="inlineStr">
        <is>
          <t>Auswahlgruppe angst_magische_wesen; maximal 1 Stufe; Angstwert 10; direkte Konfrontation: bei jeder erneuten direkten Konfrontation; bloße Gegenwart: BE -1.</t>
        </is>
      </c>
      <c r="F1028" t="inlineStr">
        <is>
          <t>Angst: Magische Wesen</t>
        </is>
      </c>
      <c r="G1028" t="inlineStr">
        <is>
          <t>Auswahl</t>
        </is>
      </c>
      <c r="J1028" t="inlineStr">
        <is>
          <t>EXKLUSIV_ANGST=angst_magische_wesen | ANGST_INTERVALL=NEUE_KONFRONTATION | ANGST_DIREKTE_KONFRONTATION=1 | ANGST_BE=-1</t>
        </is>
      </c>
      <c r="K1028" t="n">
        <v>10</v>
      </c>
      <c r="L1028" s="28" t="n">
        <v>-60</v>
      </c>
      <c r="M1028" t="inlineStr">
        <is>
          <t>S</t>
        </is>
      </c>
      <c r="Q1028" t="inlineStr">
        <is>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is>
      </c>
    </row>
    <row r="1029" hidden="1" ht="15.75" customHeight="1" s="48">
      <c r="A1029" t="inlineStr">
        <is>
          <t>vn_angst_magische_wesen_15</t>
        </is>
      </c>
      <c r="B1029" t="inlineStr">
        <is>
          <t>Vor- und Nachteile</t>
        </is>
      </c>
      <c r="C1029" t="inlineStr">
        <is>
          <t>Furcht: Magische Wesen</t>
        </is>
      </c>
      <c r="E1029" t="inlineStr">
        <is>
          <t>Auswahlgruppe angst_magische_wesen; maximal 1 Stufe; Angstwert 15; direkte Konfrontation: sofort, danach alle 10 KR; bloße Gegenwart: BE -2.</t>
        </is>
      </c>
      <c r="F1029" t="inlineStr">
        <is>
          <t>Angst: Magische Wesen</t>
        </is>
      </c>
      <c r="G1029" t="inlineStr">
        <is>
          <t>Auswahl</t>
        </is>
      </c>
      <c r="J1029" t="inlineStr">
        <is>
          <t>EXKLUSIV_ANGST=angst_magische_wesen | ANGST_INTERVALL=10_KR | ANGST_DIREKTE_KONFRONTATION=1 | ANGST_BE=-2</t>
        </is>
      </c>
      <c r="K1029" t="n">
        <v>15</v>
      </c>
      <c r="L1029" s="28" t="n">
        <v>-90</v>
      </c>
      <c r="M1029" t="inlineStr">
        <is>
          <t>S</t>
        </is>
      </c>
      <c r="Q1029" t="inlineStr">
        <is>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is>
      </c>
    </row>
    <row r="1030" hidden="1" ht="15.75" customHeight="1" s="48">
      <c r="A1030" t="inlineStr">
        <is>
          <t>vn_angst_magische_wesen_20</t>
        </is>
      </c>
      <c r="B1030" t="inlineStr">
        <is>
          <t>Vor- und Nachteile</t>
        </is>
      </c>
      <c r="C1030" t="inlineStr">
        <is>
          <t>Angst: Magische Wesen</t>
        </is>
      </c>
      <c r="E1030" t="inlineStr">
        <is>
          <t>Auswahlgruppe angst_magische_wesen; maximal 1 Stufe; Angstwert 20; direkte Konfrontation: sofort, danach alle 5 KR; bloße Gegenwart: BE -3.</t>
        </is>
      </c>
      <c r="F1030" t="inlineStr">
        <is>
          <t>Angst: Magische Wesen</t>
        </is>
      </c>
      <c r="G1030" t="inlineStr">
        <is>
          <t>Auswahl</t>
        </is>
      </c>
      <c r="J1030" t="inlineStr">
        <is>
          <t>EXKLUSIV_ANGST=angst_magische_wesen | ANGST_INTERVALL=5_KR | ANGST_DIREKTE_KONFRONTATION=1 | ANGST_BE=-3</t>
        </is>
      </c>
      <c r="K1030" t="n">
        <v>20</v>
      </c>
      <c r="L1030" s="28" t="n">
        <v>-120</v>
      </c>
      <c r="M1030" t="inlineStr">
        <is>
          <t>S</t>
        </is>
      </c>
      <c r="Q1030" t="inlineStr">
        <is>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is>
      </c>
    </row>
    <row r="1031" hidden="1" ht="15.75" customHeight="1" s="48">
      <c r="A1031" t="inlineStr">
        <is>
          <t>vn_angst_magische_wesen_30</t>
        </is>
      </c>
      <c r="B1031" t="inlineStr">
        <is>
          <t>Vor- und Nachteile</t>
        </is>
      </c>
      <c r="C1031" t="inlineStr">
        <is>
          <t>Phobie: Magische Wesen</t>
        </is>
      </c>
      <c r="E1031" t="inlineStr">
        <is>
          <t>Auswahlgruppe angst_magische_wesen; maximal 1 Stufe; Angstwert 30; direkte Konfrontation: sofort, danach jede KR; bloße Gegenwart: BE -5.</t>
        </is>
      </c>
      <c r="F1031" t="inlineStr">
        <is>
          <t>Angst: Magische Wesen</t>
        </is>
      </c>
      <c r="G1031" t="inlineStr">
        <is>
          <t>Auswahl</t>
        </is>
      </c>
      <c r="J1031" t="inlineStr">
        <is>
          <t>EXKLUSIV_ANGST=angst_magische_wesen | ANGST_INTERVALL=1_KR | ANGST_DIREKTE_KONFRONTATION=1 | ANGST_BE=-5</t>
        </is>
      </c>
      <c r="K1031" t="n">
        <v>30</v>
      </c>
      <c r="L1031" s="28" t="n">
        <v>-180</v>
      </c>
      <c r="M1031" t="inlineStr">
        <is>
          <t>S</t>
        </is>
      </c>
      <c r="Q1031" t="inlineStr">
        <is>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is>
      </c>
    </row>
    <row r="1032" hidden="1" ht="15.75" customHeight="1" s="48">
      <c r="A1032" t="inlineStr">
        <is>
          <t>vn_angst_meer_5</t>
        </is>
      </c>
      <c r="B1032" t="inlineStr">
        <is>
          <t>Vor- und Nachteile</t>
        </is>
      </c>
      <c r="C1032" t="inlineStr">
        <is>
          <t>Unbehagen: Meer</t>
        </is>
      </c>
      <c r="E1032" t="inlineStr">
        <is>
          <t>Auswahlgruppe angst_meer; maximal 1 Stufe; Angstwert 5; direkte Konfrontation: einmal pro Situation; bloße Gegenwart: BE 0.</t>
        </is>
      </c>
      <c r="F1032" t="inlineStr">
        <is>
          <t>Angst: Meer</t>
        </is>
      </c>
      <c r="G1032" t="inlineStr">
        <is>
          <t>Auswahl</t>
        </is>
      </c>
      <c r="J1032" t="inlineStr">
        <is>
          <t>EXKLUSIV_ANGST=angst_meer | ANGST_INTERVALL=SITUATION | ANGST_DIREKTE_KONFRONTATION=1 | ANGST_BE=0</t>
        </is>
      </c>
      <c r="K1032" t="n">
        <v>5</v>
      </c>
      <c r="L1032" s="28" t="n">
        <v>-30</v>
      </c>
      <c r="M1032" t="inlineStr">
        <is>
          <t>S</t>
        </is>
      </c>
      <c r="Q1032" t="inlineStr">
        <is>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is>
      </c>
    </row>
    <row r="1033" hidden="1" ht="15.75" customHeight="1" s="48">
      <c r="A1033" t="inlineStr">
        <is>
          <t>vn_angst_meer_10</t>
        </is>
      </c>
      <c r="B1033" t="inlineStr">
        <is>
          <t>Vor- und Nachteile</t>
        </is>
      </c>
      <c r="C1033" t="inlineStr">
        <is>
          <t>Nervosität: Meer</t>
        </is>
      </c>
      <c r="E1033" t="inlineStr">
        <is>
          <t>Auswahlgruppe angst_meer; maximal 1 Stufe; Angstwert 10; direkte Konfrontation: bei jeder erneuten direkten Konfrontation; bloße Gegenwart: BE -1.</t>
        </is>
      </c>
      <c r="F1033" t="inlineStr">
        <is>
          <t>Angst: Meer</t>
        </is>
      </c>
      <c r="G1033" t="inlineStr">
        <is>
          <t>Auswahl</t>
        </is>
      </c>
      <c r="J1033" t="inlineStr">
        <is>
          <t>EXKLUSIV_ANGST=angst_meer | ANGST_INTERVALL=NEUE_KONFRONTATION | ANGST_DIREKTE_KONFRONTATION=1 | ANGST_BE=-1</t>
        </is>
      </c>
      <c r="K1033" t="n">
        <v>10</v>
      </c>
      <c r="L1033" s="28" t="n">
        <v>-60</v>
      </c>
      <c r="M1033" t="inlineStr">
        <is>
          <t>S</t>
        </is>
      </c>
      <c r="Q1033" t="inlineStr">
        <is>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is>
      </c>
    </row>
    <row r="1034" hidden="1" ht="15.75" customHeight="1" s="48">
      <c r="A1034" t="inlineStr">
        <is>
          <t>vn_angst_meer_15</t>
        </is>
      </c>
      <c r="B1034" t="inlineStr">
        <is>
          <t>Vor- und Nachteile</t>
        </is>
      </c>
      <c r="C1034" t="inlineStr">
        <is>
          <t>Furcht: Meer</t>
        </is>
      </c>
      <c r="E1034" t="inlineStr">
        <is>
          <t>Auswahlgruppe angst_meer; maximal 1 Stufe; Angstwert 15; direkte Konfrontation: sofort, danach alle 10 KR; bloße Gegenwart: BE -2.</t>
        </is>
      </c>
      <c r="F1034" t="inlineStr">
        <is>
          <t>Angst: Meer</t>
        </is>
      </c>
      <c r="G1034" t="inlineStr">
        <is>
          <t>Auswahl</t>
        </is>
      </c>
      <c r="J1034" t="inlineStr">
        <is>
          <t>EXKLUSIV_ANGST=angst_meer | ANGST_INTERVALL=10_KR | ANGST_DIREKTE_KONFRONTATION=1 | ANGST_BE=-2</t>
        </is>
      </c>
      <c r="K1034" t="n">
        <v>15</v>
      </c>
      <c r="L1034" s="28" t="n">
        <v>-90</v>
      </c>
      <c r="M1034" t="inlineStr">
        <is>
          <t>S</t>
        </is>
      </c>
      <c r="Q1034" t="inlineStr">
        <is>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is>
      </c>
    </row>
    <row r="1035" hidden="1" ht="15.75" customHeight="1" s="48">
      <c r="A1035" t="inlineStr">
        <is>
          <t>vn_angst_meer_20</t>
        </is>
      </c>
      <c r="B1035" t="inlineStr">
        <is>
          <t>Vor- und Nachteile</t>
        </is>
      </c>
      <c r="C1035" t="inlineStr">
        <is>
          <t>Angst: Meer</t>
        </is>
      </c>
      <c r="E1035" t="inlineStr">
        <is>
          <t>Auswahlgruppe angst_meer; maximal 1 Stufe; Angstwert 20; direkte Konfrontation: sofort, danach alle 5 KR; bloße Gegenwart: BE -3.</t>
        </is>
      </c>
      <c r="F1035" t="inlineStr">
        <is>
          <t>Angst: Meer</t>
        </is>
      </c>
      <c r="G1035" t="inlineStr">
        <is>
          <t>Auswahl</t>
        </is>
      </c>
      <c r="J1035" t="inlineStr">
        <is>
          <t>EXKLUSIV_ANGST=angst_meer | ANGST_INTERVALL=5_KR | ANGST_DIREKTE_KONFRONTATION=1 | ANGST_BE=-3</t>
        </is>
      </c>
      <c r="K1035" t="n">
        <v>20</v>
      </c>
      <c r="L1035" s="28" t="n">
        <v>-120</v>
      </c>
      <c r="M1035" t="inlineStr">
        <is>
          <t>S</t>
        </is>
      </c>
      <c r="Q1035" t="inlineStr">
        <is>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is>
      </c>
    </row>
    <row r="1036" hidden="1" ht="15.75" customHeight="1" s="48">
      <c r="A1036" t="inlineStr">
        <is>
          <t>vn_angst_meer_30</t>
        </is>
      </c>
      <c r="B1036" t="inlineStr">
        <is>
          <t>Vor- und Nachteile</t>
        </is>
      </c>
      <c r="C1036" t="inlineStr">
        <is>
          <t>Phobie: Meer</t>
        </is>
      </c>
      <c r="E1036" t="inlineStr">
        <is>
          <t>Auswahlgruppe angst_meer; maximal 1 Stufe; Angstwert 30; direkte Konfrontation: sofort, danach jede KR; bloße Gegenwart: BE -5.</t>
        </is>
      </c>
      <c r="F1036" t="inlineStr">
        <is>
          <t>Angst: Meer</t>
        </is>
      </c>
      <c r="G1036" t="inlineStr">
        <is>
          <t>Auswahl</t>
        </is>
      </c>
      <c r="J1036" t="inlineStr">
        <is>
          <t>EXKLUSIV_ANGST=angst_meer | ANGST_INTERVALL=1_KR | ANGST_DIREKTE_KONFRONTATION=1 | ANGST_BE=-5</t>
        </is>
      </c>
      <c r="K1036" t="n">
        <v>30</v>
      </c>
      <c r="L1036" s="28" t="n">
        <v>-180</v>
      </c>
      <c r="M1036" t="inlineStr">
        <is>
          <t>S</t>
        </is>
      </c>
      <c r="Q1036" t="inlineStr">
        <is>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is>
      </c>
    </row>
    <row r="1037" hidden="1" ht="15.75" customHeight="1" s="48">
      <c r="A1037" t="inlineStr">
        <is>
          <t>vn_angst_raubkatzen_5</t>
        </is>
      </c>
      <c r="B1037" t="inlineStr">
        <is>
          <t>Vor- und Nachteile</t>
        </is>
      </c>
      <c r="C1037" t="inlineStr">
        <is>
          <t>Unbehagen: Raubkatzen</t>
        </is>
      </c>
      <c r="E1037" t="inlineStr">
        <is>
          <t>Auswahlgruppe angst_raubkatzen; maximal 1 Stufe; Angstwert 5; direkte Konfrontation: einmal pro Situation; bloße Gegenwart: BE 0.</t>
        </is>
      </c>
      <c r="F1037" t="inlineStr">
        <is>
          <t>Angst: Raubkatzen</t>
        </is>
      </c>
      <c r="G1037" t="inlineStr">
        <is>
          <t>Auswahl</t>
        </is>
      </c>
      <c r="J1037" t="inlineStr">
        <is>
          <t>EXKLUSIV_ANGST=angst_raubkatzen | ANGST_INTERVALL=SITUATION | ANGST_DIREKTE_KONFRONTATION=1 | ANGST_BE=0</t>
        </is>
      </c>
      <c r="K1037" t="n">
        <v>5</v>
      </c>
      <c r="L1037" s="28" t="n">
        <v>-35</v>
      </c>
      <c r="M1037" t="inlineStr">
        <is>
          <t>S</t>
        </is>
      </c>
      <c r="Q1037" t="inlineStr">
        <is>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is>
      </c>
    </row>
    <row r="1038" hidden="1" ht="15.75" customHeight="1" s="48">
      <c r="A1038" t="inlineStr">
        <is>
          <t>vn_angst_raubkatzen_10</t>
        </is>
      </c>
      <c r="B1038" t="inlineStr">
        <is>
          <t>Vor- und Nachteile</t>
        </is>
      </c>
      <c r="C1038" t="inlineStr">
        <is>
          <t>Nervosität: Raubkatzen</t>
        </is>
      </c>
      <c r="E1038" t="inlineStr">
        <is>
          <t>Auswahlgruppe angst_raubkatzen; maximal 1 Stufe; Angstwert 10; direkte Konfrontation: bei jeder erneuten direkten Konfrontation; bloße Gegenwart: BE -1.</t>
        </is>
      </c>
      <c r="F1038" t="inlineStr">
        <is>
          <t>Angst: Raubkatzen</t>
        </is>
      </c>
      <c r="G1038" t="inlineStr">
        <is>
          <t>Auswahl</t>
        </is>
      </c>
      <c r="J1038" t="inlineStr">
        <is>
          <t>EXKLUSIV_ANGST=angst_raubkatzen | ANGST_INTERVALL=NEUE_KONFRONTATION | ANGST_DIREKTE_KONFRONTATION=1 | ANGST_BE=-1</t>
        </is>
      </c>
      <c r="K1038" t="n">
        <v>10</v>
      </c>
      <c r="L1038" s="28" t="n">
        <v>-70</v>
      </c>
      <c r="M1038" t="inlineStr">
        <is>
          <t>S</t>
        </is>
      </c>
      <c r="Q1038" t="inlineStr">
        <is>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is>
      </c>
    </row>
    <row r="1039" hidden="1" ht="15.75" customHeight="1" s="48">
      <c r="A1039" t="inlineStr">
        <is>
          <t>vn_angst_raubkatzen_15</t>
        </is>
      </c>
      <c r="B1039" t="inlineStr">
        <is>
          <t>Vor- und Nachteile</t>
        </is>
      </c>
      <c r="C1039" t="inlineStr">
        <is>
          <t>Furcht: Raubkatzen</t>
        </is>
      </c>
      <c r="E1039" t="inlineStr">
        <is>
          <t>Auswahlgruppe angst_raubkatzen; maximal 1 Stufe; Angstwert 15; direkte Konfrontation: sofort, danach alle 10 KR; bloße Gegenwart: BE -2.</t>
        </is>
      </c>
      <c r="F1039" t="inlineStr">
        <is>
          <t>Angst: Raubkatzen</t>
        </is>
      </c>
      <c r="G1039" t="inlineStr">
        <is>
          <t>Auswahl</t>
        </is>
      </c>
      <c r="J1039" t="inlineStr">
        <is>
          <t>EXKLUSIV_ANGST=angst_raubkatzen | ANGST_INTERVALL=10_KR | ANGST_DIREKTE_KONFRONTATION=1 | ANGST_BE=-2</t>
        </is>
      </c>
      <c r="K1039" t="n">
        <v>15</v>
      </c>
      <c r="L1039" s="28" t="n">
        <v>-105</v>
      </c>
      <c r="M1039" t="inlineStr">
        <is>
          <t>S</t>
        </is>
      </c>
      <c r="Q1039" t="inlineStr">
        <is>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is>
      </c>
    </row>
    <row r="1040" hidden="1" ht="15.75" customHeight="1" s="48">
      <c r="A1040" t="inlineStr">
        <is>
          <t>vn_angst_raubkatzen_20</t>
        </is>
      </c>
      <c r="B1040" t="inlineStr">
        <is>
          <t>Vor- und Nachteile</t>
        </is>
      </c>
      <c r="C1040" t="inlineStr">
        <is>
          <t>Angst: Raubkatzen</t>
        </is>
      </c>
      <c r="E1040" t="inlineStr">
        <is>
          <t>Auswahlgruppe angst_raubkatzen; maximal 1 Stufe; Angstwert 20; direkte Konfrontation: sofort, danach alle 5 KR; bloße Gegenwart: BE -3.</t>
        </is>
      </c>
      <c r="F1040" t="inlineStr">
        <is>
          <t>Angst: Raubkatzen</t>
        </is>
      </c>
      <c r="G1040" t="inlineStr">
        <is>
          <t>Auswahl</t>
        </is>
      </c>
      <c r="J1040" t="inlineStr">
        <is>
          <t>EXKLUSIV_ANGST=angst_raubkatzen | ANGST_INTERVALL=5_KR | ANGST_DIREKTE_KONFRONTATION=1 | ANGST_BE=-3</t>
        </is>
      </c>
      <c r="K1040" t="n">
        <v>20</v>
      </c>
      <c r="L1040" s="28" t="n">
        <v>-140</v>
      </c>
      <c r="M1040" t="inlineStr">
        <is>
          <t>S</t>
        </is>
      </c>
      <c r="Q1040" t="inlineStr">
        <is>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is>
      </c>
    </row>
    <row r="1041" hidden="1" ht="15.75" customHeight="1" s="48">
      <c r="A1041" t="inlineStr">
        <is>
          <t>vn_angst_raubkatzen_30</t>
        </is>
      </c>
      <c r="B1041" t="inlineStr">
        <is>
          <t>Vor- und Nachteile</t>
        </is>
      </c>
      <c r="C1041" t="inlineStr">
        <is>
          <t>Phobie: Raubkatzen</t>
        </is>
      </c>
      <c r="E1041" t="inlineStr">
        <is>
          <t>Auswahlgruppe angst_raubkatzen; maximal 1 Stufe; Angstwert 30; direkte Konfrontation: sofort, danach jede KR; bloße Gegenwart: BE -5.</t>
        </is>
      </c>
      <c r="F1041" t="inlineStr">
        <is>
          <t>Angst: Raubkatzen</t>
        </is>
      </c>
      <c r="G1041" t="inlineStr">
        <is>
          <t>Auswahl</t>
        </is>
      </c>
      <c r="J1041" t="inlineStr">
        <is>
          <t>EXKLUSIV_ANGST=angst_raubkatzen | ANGST_INTERVALL=1_KR | ANGST_DIREKTE_KONFRONTATION=1 | ANGST_BE=-5</t>
        </is>
      </c>
      <c r="K1041" t="n">
        <v>30</v>
      </c>
      <c r="L1041" s="28" t="n">
        <v>-210</v>
      </c>
      <c r="M1041" t="inlineStr">
        <is>
          <t>S</t>
        </is>
      </c>
      <c r="Q1041" t="inlineStr">
        <is>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is>
      </c>
    </row>
    <row r="1042" hidden="1" ht="15.75" customHeight="1" s="48">
      <c r="A1042" t="inlineStr">
        <is>
          <t>vn_angst_schmutz_5</t>
        </is>
      </c>
      <c r="B1042" t="inlineStr">
        <is>
          <t>Vor- und Nachteile</t>
        </is>
      </c>
      <c r="C1042" t="inlineStr">
        <is>
          <t>Unbehagen: Schmutz</t>
        </is>
      </c>
      <c r="E1042" t="inlineStr">
        <is>
          <t>Auswahlgruppe angst_schmutz; maximal 1 Stufe; Angstwert 5; direkte Konfrontation: einmal pro Situation; bloße Gegenwart: BE 0.</t>
        </is>
      </c>
      <c r="F1042" t="inlineStr">
        <is>
          <t>Angst: Schmutz</t>
        </is>
      </c>
      <c r="G1042" t="inlineStr">
        <is>
          <t>Auswahl</t>
        </is>
      </c>
      <c r="J1042" t="inlineStr">
        <is>
          <t>EXKLUSIV_ANGST=angst_schmutz | ANGST_INTERVALL=SITUATION | ANGST_DIREKTE_KONFRONTATION=1 | ANGST_BE=0</t>
        </is>
      </c>
      <c r="K1042" t="n">
        <v>5</v>
      </c>
      <c r="L1042" s="28" t="n">
        <v>-50</v>
      </c>
      <c r="M1042" t="inlineStr">
        <is>
          <t>S</t>
        </is>
      </c>
      <c r="Q1042" t="inlineStr">
        <is>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is>
      </c>
    </row>
    <row r="1043" hidden="1" ht="15.75" customHeight="1" s="48">
      <c r="A1043" t="inlineStr">
        <is>
          <t>vn_angst_schmutz_10</t>
        </is>
      </c>
      <c r="B1043" t="inlineStr">
        <is>
          <t>Vor- und Nachteile</t>
        </is>
      </c>
      <c r="C1043" t="inlineStr">
        <is>
          <t>Nervosität: Schmutz</t>
        </is>
      </c>
      <c r="E1043" t="inlineStr">
        <is>
          <t>Auswahlgruppe angst_schmutz; maximal 1 Stufe; Angstwert 10; direkte Konfrontation: bei jeder erneuten direkten Konfrontation; bloße Gegenwart: BE -1.</t>
        </is>
      </c>
      <c r="F1043" t="inlineStr">
        <is>
          <t>Angst: Schmutz</t>
        </is>
      </c>
      <c r="G1043" t="inlineStr">
        <is>
          <t>Auswahl</t>
        </is>
      </c>
      <c r="J1043" t="inlineStr">
        <is>
          <t>EXKLUSIV_ANGST=angst_schmutz | ANGST_INTERVALL=NEUE_KONFRONTATION | ANGST_DIREKTE_KONFRONTATION=1 | ANGST_BE=-1</t>
        </is>
      </c>
      <c r="K1043" t="n">
        <v>10</v>
      </c>
      <c r="L1043" s="28" t="n">
        <v>-100</v>
      </c>
      <c r="M1043" t="inlineStr">
        <is>
          <t>S</t>
        </is>
      </c>
      <c r="Q1043" t="inlineStr">
        <is>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is>
      </c>
    </row>
    <row r="1044" hidden="1" ht="15.75" customHeight="1" s="48">
      <c r="A1044" t="inlineStr">
        <is>
          <t>vn_angst_schmutz_15</t>
        </is>
      </c>
      <c r="B1044" t="inlineStr">
        <is>
          <t>Vor- und Nachteile</t>
        </is>
      </c>
      <c r="C1044" t="inlineStr">
        <is>
          <t>Furcht: Schmutz</t>
        </is>
      </c>
      <c r="E1044" t="inlineStr">
        <is>
          <t>Auswahlgruppe angst_schmutz; maximal 1 Stufe; Angstwert 15; direkte Konfrontation: sofort, danach alle 10 KR; bloße Gegenwart: BE -2.</t>
        </is>
      </c>
      <c r="F1044" t="inlineStr">
        <is>
          <t>Angst: Schmutz</t>
        </is>
      </c>
      <c r="G1044" t="inlineStr">
        <is>
          <t>Auswahl</t>
        </is>
      </c>
      <c r="J1044" t="inlineStr">
        <is>
          <t>EXKLUSIV_ANGST=angst_schmutz | ANGST_INTERVALL=10_KR | ANGST_DIREKTE_KONFRONTATION=1 | ANGST_BE=-2</t>
        </is>
      </c>
      <c r="K1044" t="n">
        <v>15</v>
      </c>
      <c r="L1044" s="28" t="n">
        <v>-150</v>
      </c>
      <c r="M1044" t="inlineStr">
        <is>
          <t>S</t>
        </is>
      </c>
      <c r="Q1044" t="inlineStr">
        <is>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is>
      </c>
    </row>
    <row r="1045" hidden="1" ht="15.75" customHeight="1" s="48">
      <c r="A1045" t="inlineStr">
        <is>
          <t>vn_angst_schmutz_20</t>
        </is>
      </c>
      <c r="B1045" t="inlineStr">
        <is>
          <t>Vor- und Nachteile</t>
        </is>
      </c>
      <c r="C1045" t="inlineStr">
        <is>
          <t>Angst: Schmutz</t>
        </is>
      </c>
      <c r="E1045" t="inlineStr">
        <is>
          <t>Auswahlgruppe angst_schmutz; maximal 1 Stufe; Angstwert 20; direkte Konfrontation: sofort, danach alle 5 KR; bloße Gegenwart: BE -3.</t>
        </is>
      </c>
      <c r="F1045" t="inlineStr">
        <is>
          <t>Angst: Schmutz</t>
        </is>
      </c>
      <c r="G1045" t="inlineStr">
        <is>
          <t>Auswahl</t>
        </is>
      </c>
      <c r="J1045" t="inlineStr">
        <is>
          <t>EXKLUSIV_ANGST=angst_schmutz | ANGST_INTERVALL=5_KR | ANGST_DIREKTE_KONFRONTATION=1 | ANGST_BE=-3</t>
        </is>
      </c>
      <c r="K1045" t="n">
        <v>20</v>
      </c>
      <c r="L1045" s="28" t="n">
        <v>-200</v>
      </c>
      <c r="M1045" t="inlineStr">
        <is>
          <t>S</t>
        </is>
      </c>
      <c r="Q1045" t="inlineStr">
        <is>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is>
      </c>
    </row>
    <row r="1046" hidden="1" ht="15.75" customHeight="1" s="48">
      <c r="A1046" t="inlineStr">
        <is>
          <t>vn_angst_schmutz_30</t>
        </is>
      </c>
      <c r="B1046" t="inlineStr">
        <is>
          <t>Vor- und Nachteile</t>
        </is>
      </c>
      <c r="C1046" t="inlineStr">
        <is>
          <t>Phobie: Schmutz</t>
        </is>
      </c>
      <c r="E1046" t="inlineStr">
        <is>
          <t>Auswahlgruppe angst_schmutz; maximal 1 Stufe; Angstwert 30; direkte Konfrontation: sofort, danach jede KR; bloße Gegenwart: BE -5.</t>
        </is>
      </c>
      <c r="F1046" t="inlineStr">
        <is>
          <t>Angst: Schmutz</t>
        </is>
      </c>
      <c r="G1046" t="inlineStr">
        <is>
          <t>Auswahl</t>
        </is>
      </c>
      <c r="J1046" t="inlineStr">
        <is>
          <t>EXKLUSIV_ANGST=angst_schmutz | ANGST_INTERVALL=1_KR | ANGST_DIREKTE_KONFRONTATION=1 | ANGST_BE=-5</t>
        </is>
      </c>
      <c r="K1046" t="n">
        <v>30</v>
      </c>
      <c r="L1046" s="28" t="n">
        <v>-300</v>
      </c>
      <c r="M1046" t="inlineStr">
        <is>
          <t>S</t>
        </is>
      </c>
      <c r="Q1046" t="inlineStr">
        <is>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is>
      </c>
    </row>
    <row r="1047" hidden="1" ht="15.75" customHeight="1" s="48">
      <c r="A1047" t="inlineStr">
        <is>
          <t>vn_angst_tiere_5</t>
        </is>
      </c>
      <c r="B1047" t="inlineStr">
        <is>
          <t>Vor- und Nachteile</t>
        </is>
      </c>
      <c r="C1047" t="inlineStr">
        <is>
          <t>Unbehagen: Tiere</t>
        </is>
      </c>
      <c r="E1047" t="inlineStr">
        <is>
          <t>Auswahlgruppe angst_tiere; maximal 1 Stufe; Angstwert 5; direkte Konfrontation: einmal pro Situation; bloße Gegenwart: BE 0.</t>
        </is>
      </c>
      <c r="F1047" t="inlineStr">
        <is>
          <t>Angst: Tiere</t>
        </is>
      </c>
      <c r="G1047" t="inlineStr">
        <is>
          <t>Auswahl</t>
        </is>
      </c>
      <c r="J1047" t="inlineStr">
        <is>
          <t>EXKLUSIV_ANGST=angst_tiere | ANGST_INTERVALL=SITUATION | ANGST_DIREKTE_KONFRONTATION=1 | ANGST_BE=0</t>
        </is>
      </c>
      <c r="K1047" t="n">
        <v>5</v>
      </c>
      <c r="L1047" s="28" t="n">
        <v>-50</v>
      </c>
      <c r="M1047" t="inlineStr">
        <is>
          <t>S</t>
        </is>
      </c>
      <c r="Q1047" t="inlineStr">
        <is>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is>
      </c>
    </row>
    <row r="1048" hidden="1" ht="15.75" customHeight="1" s="48">
      <c r="A1048" t="inlineStr">
        <is>
          <t>vn_angst_tiere_10</t>
        </is>
      </c>
      <c r="B1048" t="inlineStr">
        <is>
          <t>Vor- und Nachteile</t>
        </is>
      </c>
      <c r="C1048" t="inlineStr">
        <is>
          <t>Nervosität: Tiere</t>
        </is>
      </c>
      <c r="E1048" t="inlineStr">
        <is>
          <t>Auswahlgruppe angst_tiere; maximal 1 Stufe; Angstwert 10; direkte Konfrontation: bei jeder erneuten direkten Konfrontation; bloße Gegenwart: BE -1.</t>
        </is>
      </c>
      <c r="F1048" t="inlineStr">
        <is>
          <t>Angst: Tiere</t>
        </is>
      </c>
      <c r="G1048" t="inlineStr">
        <is>
          <t>Auswahl</t>
        </is>
      </c>
      <c r="J1048" t="inlineStr">
        <is>
          <t>EXKLUSIV_ANGST=angst_tiere | ANGST_INTERVALL=NEUE_KONFRONTATION | ANGST_DIREKTE_KONFRONTATION=1 | ANGST_BE=-1</t>
        </is>
      </c>
      <c r="K1048" t="n">
        <v>10</v>
      </c>
      <c r="L1048" s="28" t="n">
        <v>-100</v>
      </c>
      <c r="M1048" t="inlineStr">
        <is>
          <t>S</t>
        </is>
      </c>
      <c r="Q1048" t="inlineStr">
        <is>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is>
      </c>
    </row>
    <row r="1049" hidden="1" ht="15.75" customHeight="1" s="48">
      <c r="A1049" t="inlineStr">
        <is>
          <t>vn_angst_tiere_15</t>
        </is>
      </c>
      <c r="B1049" t="inlineStr">
        <is>
          <t>Vor- und Nachteile</t>
        </is>
      </c>
      <c r="C1049" t="inlineStr">
        <is>
          <t>Furcht: Tiere</t>
        </is>
      </c>
      <c r="E1049" t="inlineStr">
        <is>
          <t>Auswahlgruppe angst_tiere; maximal 1 Stufe; Angstwert 15; direkte Konfrontation: sofort, danach alle 10 KR; bloße Gegenwart: BE -2.</t>
        </is>
      </c>
      <c r="F1049" t="inlineStr">
        <is>
          <t>Angst: Tiere</t>
        </is>
      </c>
      <c r="G1049" t="inlineStr">
        <is>
          <t>Auswahl</t>
        </is>
      </c>
      <c r="J1049" t="inlineStr">
        <is>
          <t>EXKLUSIV_ANGST=angst_tiere | ANGST_INTERVALL=10_KR | ANGST_DIREKTE_KONFRONTATION=1 | ANGST_BE=-2</t>
        </is>
      </c>
      <c r="K1049" t="n">
        <v>15</v>
      </c>
      <c r="L1049" s="28" t="n">
        <v>-150</v>
      </c>
      <c r="M1049" t="inlineStr">
        <is>
          <t>S</t>
        </is>
      </c>
      <c r="Q1049" t="inlineStr">
        <is>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is>
      </c>
    </row>
    <row r="1050" hidden="1" ht="15.75" customHeight="1" s="48">
      <c r="A1050" t="inlineStr">
        <is>
          <t>vn_angst_tiere_20</t>
        </is>
      </c>
      <c r="B1050" t="inlineStr">
        <is>
          <t>Vor- und Nachteile</t>
        </is>
      </c>
      <c r="C1050" t="inlineStr">
        <is>
          <t>Angst: Tiere</t>
        </is>
      </c>
      <c r="E1050" t="inlineStr">
        <is>
          <t>Auswahlgruppe angst_tiere; maximal 1 Stufe; Angstwert 20; direkte Konfrontation: sofort, danach alle 5 KR; bloße Gegenwart: BE -3.</t>
        </is>
      </c>
      <c r="F1050" t="inlineStr">
        <is>
          <t>Angst: Tiere</t>
        </is>
      </c>
      <c r="G1050" t="inlineStr">
        <is>
          <t>Auswahl</t>
        </is>
      </c>
      <c r="J1050" t="inlineStr">
        <is>
          <t>EXKLUSIV_ANGST=angst_tiere | ANGST_INTERVALL=5_KR | ANGST_DIREKTE_KONFRONTATION=1 | ANGST_BE=-3</t>
        </is>
      </c>
      <c r="K1050" t="n">
        <v>20</v>
      </c>
      <c r="L1050" s="28" t="n">
        <v>-200</v>
      </c>
      <c r="M1050" t="inlineStr">
        <is>
          <t>S</t>
        </is>
      </c>
      <c r="Q1050" t="inlineStr">
        <is>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is>
      </c>
    </row>
    <row r="1051" hidden="1" ht="15.75" customHeight="1" s="48">
      <c r="A1051" t="inlineStr">
        <is>
          <t>vn_angst_tiere_30</t>
        </is>
      </c>
      <c r="B1051" t="inlineStr">
        <is>
          <t>Vor- und Nachteile</t>
        </is>
      </c>
      <c r="C1051" t="inlineStr">
        <is>
          <t>Phobie: Tiere</t>
        </is>
      </c>
      <c r="E1051" t="inlineStr">
        <is>
          <t>Auswahlgruppe angst_tiere; maximal 1 Stufe; Angstwert 30; direkte Konfrontation: sofort, danach jede KR; bloße Gegenwart: BE -5.</t>
        </is>
      </c>
      <c r="F1051" t="inlineStr">
        <is>
          <t>Angst: Tiere</t>
        </is>
      </c>
      <c r="G1051" t="inlineStr">
        <is>
          <t>Auswahl</t>
        </is>
      </c>
      <c r="J1051" t="inlineStr">
        <is>
          <t>EXKLUSIV_ANGST=angst_tiere | ANGST_INTERVALL=1_KR | ANGST_DIREKTE_KONFRONTATION=1 | ANGST_BE=-5</t>
        </is>
      </c>
      <c r="K1051" t="n">
        <v>30</v>
      </c>
      <c r="L1051" s="28" t="n">
        <v>-300</v>
      </c>
      <c r="M1051" t="inlineStr">
        <is>
          <t>S</t>
        </is>
      </c>
      <c r="Q1051" t="inlineStr">
        <is>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is>
      </c>
    </row>
    <row r="1052" hidden="1" ht="15.75" customHeight="1" s="48">
      <c r="A1052" t="inlineStr">
        <is>
          <t>vn_angst_untote_5</t>
        </is>
      </c>
      <c r="B1052" t="inlineStr">
        <is>
          <t>Vor- und Nachteile</t>
        </is>
      </c>
      <c r="C1052" t="inlineStr">
        <is>
          <t>Unbehagen: Untote</t>
        </is>
      </c>
      <c r="E1052" t="inlineStr">
        <is>
          <t>Auswahlgruppe angst_untote; maximal 1 Stufe; Angstwert 5; direkte Konfrontation: einmal pro Situation; bloße Gegenwart: BE 0.</t>
        </is>
      </c>
      <c r="F1052" t="inlineStr">
        <is>
          <t>Angst: Untote</t>
        </is>
      </c>
      <c r="G1052" t="inlineStr">
        <is>
          <t>Auswahl</t>
        </is>
      </c>
      <c r="J1052" t="inlineStr">
        <is>
          <t>EXKLUSIV_ANGST=angst_untote | ANGST_INTERVALL=SITUATION | ANGST_DIREKTE_KONFRONTATION=1 | ANGST_BE=0</t>
        </is>
      </c>
      <c r="K1052" t="n">
        <v>5</v>
      </c>
      <c r="L1052" s="28" t="n">
        <v>-30</v>
      </c>
      <c r="M1052" t="inlineStr">
        <is>
          <t>S</t>
        </is>
      </c>
      <c r="Q1052" t="inlineStr">
        <is>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is>
      </c>
    </row>
    <row r="1053" hidden="1" ht="15.75" customHeight="1" s="48">
      <c r="A1053" t="inlineStr">
        <is>
          <t>vn_angst_untote_10</t>
        </is>
      </c>
      <c r="B1053" t="inlineStr">
        <is>
          <t>Vor- und Nachteile</t>
        </is>
      </c>
      <c r="C1053" t="inlineStr">
        <is>
          <t>Nervosität: Untote</t>
        </is>
      </c>
      <c r="E1053" t="inlineStr">
        <is>
          <t>Auswahlgruppe angst_untote; maximal 1 Stufe; Angstwert 10; direkte Konfrontation: bei jeder erneuten direkten Konfrontation; bloße Gegenwart: BE -1.</t>
        </is>
      </c>
      <c r="F1053" t="inlineStr">
        <is>
          <t>Angst: Untote</t>
        </is>
      </c>
      <c r="G1053" t="inlineStr">
        <is>
          <t>Auswahl</t>
        </is>
      </c>
      <c r="J1053" t="inlineStr">
        <is>
          <t>EXKLUSIV_ANGST=angst_untote | ANGST_INTERVALL=NEUE_KONFRONTATION | ANGST_DIREKTE_KONFRONTATION=1 | ANGST_BE=-1</t>
        </is>
      </c>
      <c r="K1053" t="n">
        <v>10</v>
      </c>
      <c r="L1053" s="28" t="n">
        <v>-60</v>
      </c>
      <c r="M1053" t="inlineStr">
        <is>
          <t>S</t>
        </is>
      </c>
      <c r="Q1053" t="inlineStr">
        <is>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is>
      </c>
    </row>
    <row r="1054" hidden="1" ht="15.75" customHeight="1" s="48">
      <c r="A1054" t="inlineStr">
        <is>
          <t>vn_angst_untote_15</t>
        </is>
      </c>
      <c r="B1054" t="inlineStr">
        <is>
          <t>Vor- und Nachteile</t>
        </is>
      </c>
      <c r="C1054" t="inlineStr">
        <is>
          <t>Furcht: Untote</t>
        </is>
      </c>
      <c r="E1054" t="inlineStr">
        <is>
          <t>Auswahlgruppe angst_untote; maximal 1 Stufe; Angstwert 15; direkte Konfrontation: sofort, danach alle 10 KR; bloße Gegenwart: BE -2.</t>
        </is>
      </c>
      <c r="F1054" t="inlineStr">
        <is>
          <t>Angst: Untote</t>
        </is>
      </c>
      <c r="G1054" t="inlineStr">
        <is>
          <t>Auswahl</t>
        </is>
      </c>
      <c r="J1054" t="inlineStr">
        <is>
          <t>EXKLUSIV_ANGST=angst_untote | ANGST_INTERVALL=10_KR | ANGST_DIREKTE_KONFRONTATION=1 | ANGST_BE=-2</t>
        </is>
      </c>
      <c r="K1054" t="n">
        <v>15</v>
      </c>
      <c r="L1054" s="28" t="n">
        <v>-90</v>
      </c>
      <c r="M1054" t="inlineStr">
        <is>
          <t>S</t>
        </is>
      </c>
      <c r="Q1054" t="inlineStr">
        <is>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is>
      </c>
    </row>
    <row r="1055" hidden="1" ht="15.75" customHeight="1" s="48">
      <c r="A1055" t="inlineStr">
        <is>
          <t>vn_angst_untote_20</t>
        </is>
      </c>
      <c r="B1055" t="inlineStr">
        <is>
          <t>Vor- und Nachteile</t>
        </is>
      </c>
      <c r="C1055" t="inlineStr">
        <is>
          <t>Angst: Untote</t>
        </is>
      </c>
      <c r="E1055" t="inlineStr">
        <is>
          <t>Auswahlgruppe angst_untote; maximal 1 Stufe; Angstwert 20; direkte Konfrontation: sofort, danach alle 5 KR; bloße Gegenwart: BE -3.</t>
        </is>
      </c>
      <c r="F1055" t="inlineStr">
        <is>
          <t>Angst: Untote</t>
        </is>
      </c>
      <c r="G1055" t="inlineStr">
        <is>
          <t>Auswahl</t>
        </is>
      </c>
      <c r="J1055" t="inlineStr">
        <is>
          <t>EXKLUSIV_ANGST=angst_untote | ANGST_INTERVALL=5_KR | ANGST_DIREKTE_KONFRONTATION=1 | ANGST_BE=-3</t>
        </is>
      </c>
      <c r="K1055" t="n">
        <v>20</v>
      </c>
      <c r="L1055" s="28" t="n">
        <v>-120</v>
      </c>
      <c r="M1055" t="inlineStr">
        <is>
          <t>S</t>
        </is>
      </c>
      <c r="Q1055" t="inlineStr">
        <is>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is>
      </c>
    </row>
    <row r="1056" hidden="1" ht="15.75" customHeight="1" s="48">
      <c r="A1056" t="inlineStr">
        <is>
          <t>vn_angst_untote_30</t>
        </is>
      </c>
      <c r="B1056" t="inlineStr">
        <is>
          <t>Vor- und Nachteile</t>
        </is>
      </c>
      <c r="C1056" t="inlineStr">
        <is>
          <t>Phobie: Untote</t>
        </is>
      </c>
      <c r="E1056" t="inlineStr">
        <is>
          <t>Auswahlgruppe angst_untote; maximal 1 Stufe; Angstwert 30; direkte Konfrontation: sofort, danach jede KR; bloße Gegenwart: BE -5.</t>
        </is>
      </c>
      <c r="F1056" t="inlineStr">
        <is>
          <t>Angst: Untote</t>
        </is>
      </c>
      <c r="G1056" t="inlineStr">
        <is>
          <t>Auswahl</t>
        </is>
      </c>
      <c r="J1056" t="inlineStr">
        <is>
          <t>EXKLUSIV_ANGST=angst_untote | ANGST_INTERVALL=1_KR | ANGST_DIREKTE_KONFRONTATION=1 | ANGST_BE=-5</t>
        </is>
      </c>
      <c r="K1056" t="n">
        <v>30</v>
      </c>
      <c r="L1056" s="28" t="n">
        <v>-180</v>
      </c>
      <c r="M1056" t="inlineStr">
        <is>
          <t>S</t>
        </is>
      </c>
      <c r="Q1056" t="inlineStr">
        <is>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is>
      </c>
    </row>
    <row r="1057" hidden="1" ht="15.75" customHeight="1" s="48">
      <c r="A1057" t="inlineStr">
        <is>
          <t>vn_angst_voegel_5</t>
        </is>
      </c>
      <c r="B1057" t="inlineStr">
        <is>
          <t>Vor- und Nachteile</t>
        </is>
      </c>
      <c r="C1057" t="inlineStr">
        <is>
          <t>Unbehagen: Vögel</t>
        </is>
      </c>
      <c r="E1057" t="inlineStr">
        <is>
          <t>Auswahlgruppe angst_voegel; maximal 1 Stufe; Angstwert 5; direkte Konfrontation: einmal pro Situation; bloße Gegenwart: BE 0.</t>
        </is>
      </c>
      <c r="F1057" t="inlineStr">
        <is>
          <t>Angst: Vögel</t>
        </is>
      </c>
      <c r="G1057" t="inlineStr">
        <is>
          <t>Auswahl</t>
        </is>
      </c>
      <c r="J1057" t="inlineStr">
        <is>
          <t>EXKLUSIV_ANGST=angst_voegel | ANGST_INTERVALL=SITUATION | ANGST_DIREKTE_KONFRONTATION=1 | ANGST_BE=0</t>
        </is>
      </c>
      <c r="K1057" t="n">
        <v>5</v>
      </c>
      <c r="L1057" s="28" t="n">
        <v>-45</v>
      </c>
      <c r="M1057" t="inlineStr">
        <is>
          <t>S</t>
        </is>
      </c>
      <c r="Q1057" t="inlineStr">
        <is>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is>
      </c>
    </row>
    <row r="1058" hidden="1" ht="15.75" customHeight="1" s="48">
      <c r="A1058" t="inlineStr">
        <is>
          <t>vn_angst_voegel_10</t>
        </is>
      </c>
      <c r="B1058" t="inlineStr">
        <is>
          <t>Vor- und Nachteile</t>
        </is>
      </c>
      <c r="C1058" t="inlineStr">
        <is>
          <t>Nervosität: Vögel</t>
        </is>
      </c>
      <c r="E1058" t="inlineStr">
        <is>
          <t>Auswahlgruppe angst_voegel; maximal 1 Stufe; Angstwert 10; direkte Konfrontation: bei jeder erneuten direkten Konfrontation; bloße Gegenwart: BE -1.</t>
        </is>
      </c>
      <c r="F1058" t="inlineStr">
        <is>
          <t>Angst: Vögel</t>
        </is>
      </c>
      <c r="G1058" t="inlineStr">
        <is>
          <t>Auswahl</t>
        </is>
      </c>
      <c r="J1058" t="inlineStr">
        <is>
          <t>EXKLUSIV_ANGST=angst_voegel | ANGST_INTERVALL=NEUE_KONFRONTATION | ANGST_DIREKTE_KONFRONTATION=1 | ANGST_BE=-1</t>
        </is>
      </c>
      <c r="K1058" t="n">
        <v>10</v>
      </c>
      <c r="L1058" s="28" t="n">
        <v>-90</v>
      </c>
      <c r="M1058" t="inlineStr">
        <is>
          <t>S</t>
        </is>
      </c>
      <c r="Q1058" t="inlineStr">
        <is>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is>
      </c>
    </row>
    <row r="1059" hidden="1" ht="15.75" customHeight="1" s="48">
      <c r="A1059" t="inlineStr">
        <is>
          <t>vn_angst_voegel_15</t>
        </is>
      </c>
      <c r="B1059" t="inlineStr">
        <is>
          <t>Vor- und Nachteile</t>
        </is>
      </c>
      <c r="C1059" t="inlineStr">
        <is>
          <t>Furcht: Vögel</t>
        </is>
      </c>
      <c r="E1059" t="inlineStr">
        <is>
          <t>Auswahlgruppe angst_voegel; maximal 1 Stufe; Angstwert 15; direkte Konfrontation: sofort, danach alle 10 KR; bloße Gegenwart: BE -2.</t>
        </is>
      </c>
      <c r="F1059" t="inlineStr">
        <is>
          <t>Angst: Vögel</t>
        </is>
      </c>
      <c r="G1059" t="inlineStr">
        <is>
          <t>Auswahl</t>
        </is>
      </c>
      <c r="J1059" t="inlineStr">
        <is>
          <t>EXKLUSIV_ANGST=angst_voegel | ANGST_INTERVALL=10_KR | ANGST_DIREKTE_KONFRONTATION=1 | ANGST_BE=-2</t>
        </is>
      </c>
      <c r="K1059" t="n">
        <v>15</v>
      </c>
      <c r="L1059" s="28" t="n">
        <v>-135</v>
      </c>
      <c r="M1059" t="inlineStr">
        <is>
          <t>S</t>
        </is>
      </c>
      <c r="Q1059" t="inlineStr">
        <is>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is>
      </c>
    </row>
    <row r="1060" hidden="1" ht="15.75" customHeight="1" s="48">
      <c r="A1060" t="inlineStr">
        <is>
          <t>vn_angst_voegel_20</t>
        </is>
      </c>
      <c r="B1060" t="inlineStr">
        <is>
          <t>Vor- und Nachteile</t>
        </is>
      </c>
      <c r="C1060" t="inlineStr">
        <is>
          <t>Angst: Vögel</t>
        </is>
      </c>
      <c r="E1060" t="inlineStr">
        <is>
          <t>Auswahlgruppe angst_voegel; maximal 1 Stufe; Angstwert 20; direkte Konfrontation: sofort, danach alle 5 KR; bloße Gegenwart: BE -3.</t>
        </is>
      </c>
      <c r="F1060" t="inlineStr">
        <is>
          <t>Angst: Vögel</t>
        </is>
      </c>
      <c r="G1060" t="inlineStr">
        <is>
          <t>Auswahl</t>
        </is>
      </c>
      <c r="J1060" t="inlineStr">
        <is>
          <t>EXKLUSIV_ANGST=angst_voegel | ANGST_INTERVALL=5_KR | ANGST_DIREKTE_KONFRONTATION=1 | ANGST_BE=-3</t>
        </is>
      </c>
      <c r="K1060" t="n">
        <v>20</v>
      </c>
      <c r="L1060" s="28" t="n">
        <v>-180</v>
      </c>
      <c r="M1060" t="inlineStr">
        <is>
          <t>S</t>
        </is>
      </c>
      <c r="Q1060" t="inlineStr">
        <is>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is>
      </c>
    </row>
    <row r="1061" hidden="1" ht="15.75" customHeight="1" s="48">
      <c r="A1061" t="inlineStr">
        <is>
          <t>vn_angst_voegel_30</t>
        </is>
      </c>
      <c r="B1061" t="inlineStr">
        <is>
          <t>Vor- und Nachteile</t>
        </is>
      </c>
      <c r="C1061" t="inlineStr">
        <is>
          <t>Phobie: Vögel</t>
        </is>
      </c>
      <c r="E1061" t="inlineStr">
        <is>
          <t>Auswahlgruppe angst_voegel; maximal 1 Stufe; Angstwert 30; direkte Konfrontation: sofort, danach jede KR; bloße Gegenwart: BE -5.</t>
        </is>
      </c>
      <c r="F1061" t="inlineStr">
        <is>
          <t>Angst: Vögel</t>
        </is>
      </c>
      <c r="G1061" t="inlineStr">
        <is>
          <t>Auswahl</t>
        </is>
      </c>
      <c r="J1061" t="inlineStr">
        <is>
          <t>EXKLUSIV_ANGST=angst_voegel | ANGST_INTERVALL=1_KR | ANGST_DIREKTE_KONFRONTATION=1 | ANGST_BE=-5</t>
        </is>
      </c>
      <c r="K1061" t="n">
        <v>30</v>
      </c>
      <c r="L1061" s="28" t="n">
        <v>-270</v>
      </c>
      <c r="M1061" t="inlineStr">
        <is>
          <t>S</t>
        </is>
      </c>
      <c r="Q1061" t="inlineStr">
        <is>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is>
      </c>
    </row>
    <row r="1062" hidden="1" ht="15.75" customHeight="1" s="48">
      <c r="A1062" t="inlineStr">
        <is>
          <t>vn_angst_wasser_5</t>
        </is>
      </c>
      <c r="B1062" t="inlineStr">
        <is>
          <t>Vor- und Nachteile</t>
        </is>
      </c>
      <c r="C1062" t="inlineStr">
        <is>
          <t>Unbehagen: Wasser</t>
        </is>
      </c>
      <c r="E1062" t="inlineStr">
        <is>
          <t>Auswahlgruppe angst_wasser; maximal 1 Stufe; Angstwert 5; direkte Konfrontation: einmal pro Situation; bloße Gegenwart: BE 0.</t>
        </is>
      </c>
      <c r="F1062" t="inlineStr">
        <is>
          <t>Angst: Wasser</t>
        </is>
      </c>
      <c r="G1062" t="inlineStr">
        <is>
          <t>Auswahl</t>
        </is>
      </c>
      <c r="J1062" t="inlineStr">
        <is>
          <t>EXKLUSIV_ANGST=angst_wasser | ANGST_INTERVALL=SITUATION | ANGST_DIREKTE_KONFRONTATION=1 | ANGST_BE=0</t>
        </is>
      </c>
      <c r="K1062" t="n">
        <v>5</v>
      </c>
      <c r="L1062" s="28" t="n">
        <v>-45</v>
      </c>
      <c r="M1062" t="inlineStr">
        <is>
          <t>S</t>
        </is>
      </c>
      <c r="Q1062" t="inlineStr">
        <is>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is>
      </c>
    </row>
    <row r="1063" hidden="1" ht="15.75" customHeight="1" s="48">
      <c r="A1063" t="inlineStr">
        <is>
          <t>vn_angst_wasser_10</t>
        </is>
      </c>
      <c r="B1063" t="inlineStr">
        <is>
          <t>Vor- und Nachteile</t>
        </is>
      </c>
      <c r="C1063" t="inlineStr">
        <is>
          <t>Nervosität: Wasser</t>
        </is>
      </c>
      <c r="E1063" t="inlineStr">
        <is>
          <t>Auswahlgruppe angst_wasser; maximal 1 Stufe; Angstwert 10; direkte Konfrontation: bei jeder erneuten direkten Konfrontation; bloße Gegenwart: BE -1.</t>
        </is>
      </c>
      <c r="F1063" t="inlineStr">
        <is>
          <t>Angst: Wasser</t>
        </is>
      </c>
      <c r="G1063" t="inlineStr">
        <is>
          <t>Auswahl</t>
        </is>
      </c>
      <c r="J1063" t="inlineStr">
        <is>
          <t>EXKLUSIV_ANGST=angst_wasser | ANGST_INTERVALL=NEUE_KONFRONTATION | ANGST_DIREKTE_KONFRONTATION=1 | ANGST_BE=-1</t>
        </is>
      </c>
      <c r="K1063" t="n">
        <v>10</v>
      </c>
      <c r="L1063" s="28" t="n">
        <v>-90</v>
      </c>
      <c r="M1063" t="inlineStr">
        <is>
          <t>S</t>
        </is>
      </c>
      <c r="Q1063" t="inlineStr">
        <is>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is>
      </c>
    </row>
    <row r="1064" hidden="1" ht="15.75" customHeight="1" s="48">
      <c r="A1064" t="inlineStr">
        <is>
          <t>vn_angst_wasser_15</t>
        </is>
      </c>
      <c r="B1064" t="inlineStr">
        <is>
          <t>Vor- und Nachteile</t>
        </is>
      </c>
      <c r="C1064" t="inlineStr">
        <is>
          <t>Furcht: Wasser</t>
        </is>
      </c>
      <c r="E1064" t="inlineStr">
        <is>
          <t>Auswahlgruppe angst_wasser; maximal 1 Stufe; Angstwert 15; direkte Konfrontation: sofort, danach alle 10 KR; bloße Gegenwart: BE -2.</t>
        </is>
      </c>
      <c r="F1064" t="inlineStr">
        <is>
          <t>Angst: Wasser</t>
        </is>
      </c>
      <c r="G1064" t="inlineStr">
        <is>
          <t>Auswahl</t>
        </is>
      </c>
      <c r="J1064" t="inlineStr">
        <is>
          <t>EXKLUSIV_ANGST=angst_wasser | ANGST_INTERVALL=10_KR | ANGST_DIREKTE_KONFRONTATION=1 | ANGST_BE=-2</t>
        </is>
      </c>
      <c r="K1064" t="n">
        <v>15</v>
      </c>
      <c r="L1064" s="28" t="n">
        <v>-135</v>
      </c>
      <c r="M1064" t="inlineStr">
        <is>
          <t>S</t>
        </is>
      </c>
      <c r="Q1064" t="inlineStr">
        <is>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is>
      </c>
    </row>
    <row r="1065" hidden="1" ht="15.75" customHeight="1" s="48">
      <c r="A1065" t="inlineStr">
        <is>
          <t>vn_angst_wasser_20</t>
        </is>
      </c>
      <c r="B1065" t="inlineStr">
        <is>
          <t>Vor- und Nachteile</t>
        </is>
      </c>
      <c r="C1065" t="inlineStr">
        <is>
          <t>Angst: Wasser</t>
        </is>
      </c>
      <c r="E1065" t="inlineStr">
        <is>
          <t>Auswahlgruppe angst_wasser; maximal 1 Stufe; Angstwert 20; direkte Konfrontation: sofort, danach alle 5 KR; bloße Gegenwart: BE -3.</t>
        </is>
      </c>
      <c r="F1065" t="inlineStr">
        <is>
          <t>Angst: Wasser</t>
        </is>
      </c>
      <c r="G1065" t="inlineStr">
        <is>
          <t>Auswahl</t>
        </is>
      </c>
      <c r="J1065" t="inlineStr">
        <is>
          <t>EXKLUSIV_ANGST=angst_wasser | ANGST_INTERVALL=5_KR | ANGST_DIREKTE_KONFRONTATION=1 | ANGST_BE=-3</t>
        </is>
      </c>
      <c r="K1065" t="n">
        <v>20</v>
      </c>
      <c r="L1065" s="28" t="n">
        <v>-180</v>
      </c>
      <c r="M1065" t="inlineStr">
        <is>
          <t>S</t>
        </is>
      </c>
      <c r="Q1065" t="inlineStr">
        <is>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is>
      </c>
    </row>
    <row r="1066" hidden="1" ht="15.75" customHeight="1" s="48">
      <c r="A1066" t="inlineStr">
        <is>
          <t>vn_angst_wasser_30</t>
        </is>
      </c>
      <c r="B1066" t="inlineStr">
        <is>
          <t>Vor- und Nachteile</t>
        </is>
      </c>
      <c r="C1066" t="inlineStr">
        <is>
          <t>Phobie: Wasser</t>
        </is>
      </c>
      <c r="E1066" t="inlineStr">
        <is>
          <t>Auswahlgruppe angst_wasser; maximal 1 Stufe; Angstwert 30; direkte Konfrontation: sofort, danach jede KR; bloße Gegenwart: BE -5.</t>
        </is>
      </c>
      <c r="F1066" t="inlineStr">
        <is>
          <t>Angst: Wasser</t>
        </is>
      </c>
      <c r="G1066" t="inlineStr">
        <is>
          <t>Auswahl</t>
        </is>
      </c>
      <c r="J1066" t="inlineStr">
        <is>
          <t>EXKLUSIV_ANGST=angst_wasser | ANGST_INTERVALL=1_KR | ANGST_DIREKTE_KONFRONTATION=1 | ANGST_BE=-5</t>
        </is>
      </c>
      <c r="K1066" t="n">
        <v>30</v>
      </c>
      <c r="L1066" s="28" t="n">
        <v>-270</v>
      </c>
      <c r="M1066" t="inlineStr">
        <is>
          <t>S</t>
        </is>
      </c>
      <c r="Q1066" t="inlineStr">
        <is>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is>
      </c>
    </row>
    <row r="1067" hidden="1" ht="15.75" customHeight="1" s="48">
      <c r="A1067" t="inlineStr">
        <is>
          <t>vn_angst_wilde_tiere_5</t>
        </is>
      </c>
      <c r="B1067" t="inlineStr">
        <is>
          <t>Vor- und Nachteile</t>
        </is>
      </c>
      <c r="C1067" t="inlineStr">
        <is>
          <t>Unbehagen: Wilde Tiere</t>
        </is>
      </c>
      <c r="E1067" t="inlineStr">
        <is>
          <t>Auswahlgruppe angst_wilde_tiere; maximal 1 Stufe; Angstwert 5; direkte Konfrontation: einmal pro Situation; bloße Gegenwart: BE 0.</t>
        </is>
      </c>
      <c r="F1067" t="inlineStr">
        <is>
          <t>Angst: Wilde Tiere</t>
        </is>
      </c>
      <c r="G1067" t="inlineStr">
        <is>
          <t>Auswahl</t>
        </is>
      </c>
      <c r="J1067" t="inlineStr">
        <is>
          <t>EXKLUSIV_ANGST=angst_wilde_tiere | ANGST_INTERVALL=SITUATION | ANGST_DIREKTE_KONFRONTATION=1 | ANGST_BE=0</t>
        </is>
      </c>
      <c r="K1067" t="n">
        <v>5</v>
      </c>
      <c r="L1067" s="28" t="n">
        <v>-50</v>
      </c>
      <c r="M1067" t="inlineStr">
        <is>
          <t>S</t>
        </is>
      </c>
      <c r="Q1067" t="inlineStr">
        <is>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is>
      </c>
    </row>
    <row r="1068" hidden="1" ht="15.75" customHeight="1" s="48">
      <c r="A1068" t="inlineStr">
        <is>
          <t>vn_angst_wilde_tiere_10</t>
        </is>
      </c>
      <c r="B1068" t="inlineStr">
        <is>
          <t>Vor- und Nachteile</t>
        </is>
      </c>
      <c r="C1068" t="inlineStr">
        <is>
          <t>Nervosität: Wilde Tiere</t>
        </is>
      </c>
      <c r="E1068" t="inlineStr">
        <is>
          <t>Auswahlgruppe angst_wilde_tiere; maximal 1 Stufe; Angstwert 10; direkte Konfrontation: bei jeder erneuten direkten Konfrontation; bloße Gegenwart: BE -1.</t>
        </is>
      </c>
      <c r="F1068" t="inlineStr">
        <is>
          <t>Angst: Wilde Tiere</t>
        </is>
      </c>
      <c r="G1068" t="inlineStr">
        <is>
          <t>Auswahl</t>
        </is>
      </c>
      <c r="J1068" t="inlineStr">
        <is>
          <t>EXKLUSIV_ANGST=angst_wilde_tiere | ANGST_INTERVALL=NEUE_KONFRONTATION | ANGST_DIREKTE_KONFRONTATION=1 | ANGST_BE=-1</t>
        </is>
      </c>
      <c r="K1068" t="n">
        <v>10</v>
      </c>
      <c r="L1068" s="28" t="n">
        <v>-100</v>
      </c>
      <c r="M1068" t="inlineStr">
        <is>
          <t>S</t>
        </is>
      </c>
      <c r="Q1068" t="inlineStr">
        <is>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is>
      </c>
    </row>
    <row r="1069" hidden="1" ht="15.75" customHeight="1" s="48">
      <c r="A1069" t="inlineStr">
        <is>
          <t>vn_angst_wilde_tiere_15</t>
        </is>
      </c>
      <c r="B1069" t="inlineStr">
        <is>
          <t>Vor- und Nachteile</t>
        </is>
      </c>
      <c r="C1069" t="inlineStr">
        <is>
          <t>Furcht: Wilde Tiere</t>
        </is>
      </c>
      <c r="E1069" t="inlineStr">
        <is>
          <t>Auswahlgruppe angst_wilde_tiere; maximal 1 Stufe; Angstwert 15; direkte Konfrontation: sofort, danach alle 10 KR; bloße Gegenwart: BE -2.</t>
        </is>
      </c>
      <c r="F1069" t="inlineStr">
        <is>
          <t>Angst: Wilde Tiere</t>
        </is>
      </c>
      <c r="G1069" t="inlineStr">
        <is>
          <t>Auswahl</t>
        </is>
      </c>
      <c r="J1069" t="inlineStr">
        <is>
          <t>EXKLUSIV_ANGST=angst_wilde_tiere | ANGST_INTERVALL=10_KR | ANGST_DIREKTE_KONFRONTATION=1 | ANGST_BE=-2</t>
        </is>
      </c>
      <c r="K1069" t="n">
        <v>15</v>
      </c>
      <c r="L1069" s="28" t="n">
        <v>-150</v>
      </c>
      <c r="M1069" t="inlineStr">
        <is>
          <t>S</t>
        </is>
      </c>
      <c r="Q1069" t="inlineStr">
        <is>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is>
      </c>
    </row>
    <row r="1070" hidden="1" ht="15.75" customHeight="1" s="48">
      <c r="A1070" t="inlineStr">
        <is>
          <t>vn_angst_wilde_tiere_20</t>
        </is>
      </c>
      <c r="B1070" t="inlineStr">
        <is>
          <t>Vor- und Nachteile</t>
        </is>
      </c>
      <c r="C1070" t="inlineStr">
        <is>
          <t>Angst: Wilde Tiere</t>
        </is>
      </c>
      <c r="E1070" t="inlineStr">
        <is>
          <t>Auswahlgruppe angst_wilde_tiere; maximal 1 Stufe; Angstwert 20; direkte Konfrontation: sofort, danach alle 5 KR; bloße Gegenwart: BE -3.</t>
        </is>
      </c>
      <c r="F1070" t="inlineStr">
        <is>
          <t>Angst: Wilde Tiere</t>
        </is>
      </c>
      <c r="G1070" t="inlineStr">
        <is>
          <t>Auswahl</t>
        </is>
      </c>
      <c r="J1070" t="inlineStr">
        <is>
          <t>EXKLUSIV_ANGST=angst_wilde_tiere | ANGST_INTERVALL=5_KR | ANGST_DIREKTE_KONFRONTATION=1 | ANGST_BE=-3</t>
        </is>
      </c>
      <c r="K1070" t="n">
        <v>20</v>
      </c>
      <c r="L1070" s="28" t="n">
        <v>-200</v>
      </c>
      <c r="M1070" t="inlineStr">
        <is>
          <t>S</t>
        </is>
      </c>
      <c r="Q1070" t="inlineStr">
        <is>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is>
      </c>
    </row>
    <row r="1071" hidden="1" ht="15.75" customHeight="1" s="48">
      <c r="A1071" t="inlineStr">
        <is>
          <t>vn_angst_wilde_tiere_30</t>
        </is>
      </c>
      <c r="B1071" t="inlineStr">
        <is>
          <t>Vor- und Nachteile</t>
        </is>
      </c>
      <c r="C1071" t="inlineStr">
        <is>
          <t>Phobie: Wilde Tiere</t>
        </is>
      </c>
      <c r="E1071" t="inlineStr">
        <is>
          <t>Auswahlgruppe angst_wilde_tiere; maximal 1 Stufe; Angstwert 30; direkte Konfrontation: sofort, danach jede KR; bloße Gegenwart: BE -5.</t>
        </is>
      </c>
      <c r="F1071" t="inlineStr">
        <is>
          <t>Angst: Wilde Tiere</t>
        </is>
      </c>
      <c r="G1071" t="inlineStr">
        <is>
          <t>Auswahl</t>
        </is>
      </c>
      <c r="J1071" t="inlineStr">
        <is>
          <t>EXKLUSIV_ANGST=angst_wilde_tiere | ANGST_INTERVALL=1_KR | ANGST_DIREKTE_KONFRONTATION=1 | ANGST_BE=-5</t>
        </is>
      </c>
      <c r="K1071" t="n">
        <v>30</v>
      </c>
      <c r="L1071" s="28" t="n">
        <v>-300</v>
      </c>
      <c r="M1071" t="inlineStr">
        <is>
          <t>S</t>
        </is>
      </c>
      <c r="Q1071" t="inlineStr">
        <is>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is>
      </c>
    </row>
    <row r="1072" hidden="1" ht="15.75" customHeight="1" s="48">
      <c r="A1072" t="inlineStr">
        <is>
          <t>vn_angst_xenophobie_5</t>
        </is>
      </c>
      <c r="B1072" t="inlineStr">
        <is>
          <t>Vor- und Nachteile</t>
        </is>
      </c>
      <c r="C1072" t="inlineStr">
        <is>
          <t>Unbehagen: Xenophobie</t>
        </is>
      </c>
      <c r="E1072" t="inlineStr">
        <is>
          <t>Auswahlgruppe angst_xenophobie; maximal 1 Stufe; Angstwert 5; direkte Konfrontation: einmal pro Situation; bloße Gegenwart: BE 0.</t>
        </is>
      </c>
      <c r="F1072" t="inlineStr">
        <is>
          <t>Angst: Xenophobie</t>
        </is>
      </c>
      <c r="G1072" t="inlineStr">
        <is>
          <t>Auswahl</t>
        </is>
      </c>
      <c r="J1072" t="inlineStr">
        <is>
          <t>EXKLUSIV_ANGST=angst_xenophobie | ANGST_INTERVALL=SITUATION | ANGST_DIREKTE_KONFRONTATION=1 | ANGST_BE=0</t>
        </is>
      </c>
      <c r="K1072" t="n">
        <v>5</v>
      </c>
      <c r="L1072" s="28" t="n">
        <v>-50</v>
      </c>
      <c r="M1072" t="inlineStr">
        <is>
          <t>S</t>
        </is>
      </c>
      <c r="Q1072" t="inlineStr">
        <is>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is>
      </c>
    </row>
    <row r="1073" hidden="1" ht="15.75" customHeight="1" s="48">
      <c r="A1073" t="inlineStr">
        <is>
          <t>vn_angst_xenophobie_10</t>
        </is>
      </c>
      <c r="B1073" t="inlineStr">
        <is>
          <t>Vor- und Nachteile</t>
        </is>
      </c>
      <c r="C1073" t="inlineStr">
        <is>
          <t>Nervosität: Xenophobie</t>
        </is>
      </c>
      <c r="E1073" t="inlineStr">
        <is>
          <t>Auswahlgruppe angst_xenophobie; maximal 1 Stufe; Angstwert 10; direkte Konfrontation: bei jeder erneuten direkten Konfrontation; bloße Gegenwart: BE -1.</t>
        </is>
      </c>
      <c r="F1073" t="inlineStr">
        <is>
          <t>Angst: Xenophobie</t>
        </is>
      </c>
      <c r="G1073" t="inlineStr">
        <is>
          <t>Auswahl</t>
        </is>
      </c>
      <c r="J1073" t="inlineStr">
        <is>
          <t>EXKLUSIV_ANGST=angst_xenophobie | ANGST_INTERVALL=NEUE_KONFRONTATION | ANGST_DIREKTE_KONFRONTATION=1 | ANGST_BE=-1</t>
        </is>
      </c>
      <c r="K1073" t="n">
        <v>10</v>
      </c>
      <c r="L1073" s="28" t="n">
        <v>-100</v>
      </c>
      <c r="M1073" t="inlineStr">
        <is>
          <t>S</t>
        </is>
      </c>
      <c r="Q1073" t="inlineStr">
        <is>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is>
      </c>
    </row>
    <row r="1074" hidden="1" ht="15.75" customHeight="1" s="48">
      <c r="A1074" t="inlineStr">
        <is>
          <t>vn_angst_xenophobie_15</t>
        </is>
      </c>
      <c r="B1074" t="inlineStr">
        <is>
          <t>Vor- und Nachteile</t>
        </is>
      </c>
      <c r="C1074" t="inlineStr">
        <is>
          <t>Furcht: Xenophobie</t>
        </is>
      </c>
      <c r="E1074" t="inlineStr">
        <is>
          <t>Auswahlgruppe angst_xenophobie; maximal 1 Stufe; Angstwert 15; direkte Konfrontation: sofort, danach alle 10 KR; bloße Gegenwart: BE -2.</t>
        </is>
      </c>
      <c r="F1074" t="inlineStr">
        <is>
          <t>Angst: Xenophobie</t>
        </is>
      </c>
      <c r="G1074" t="inlineStr">
        <is>
          <t>Auswahl</t>
        </is>
      </c>
      <c r="J1074" t="inlineStr">
        <is>
          <t>EXKLUSIV_ANGST=angst_xenophobie | ANGST_INTERVALL=10_KR | ANGST_DIREKTE_KONFRONTATION=1 | ANGST_BE=-2</t>
        </is>
      </c>
      <c r="K1074" t="n">
        <v>15</v>
      </c>
      <c r="L1074" s="28" t="n">
        <v>-150</v>
      </c>
      <c r="M1074" t="inlineStr">
        <is>
          <t>S</t>
        </is>
      </c>
      <c r="Q1074" t="inlineStr">
        <is>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is>
      </c>
    </row>
    <row r="1075" hidden="1" ht="15.75" customHeight="1" s="48">
      <c r="A1075" t="inlineStr">
        <is>
          <t>vn_angst_xenophobie_20</t>
        </is>
      </c>
      <c r="B1075" t="inlineStr">
        <is>
          <t>Vor- und Nachteile</t>
        </is>
      </c>
      <c r="C1075" t="inlineStr">
        <is>
          <t>Angst: Xenophobie</t>
        </is>
      </c>
      <c r="E1075" t="inlineStr">
        <is>
          <t>Auswahlgruppe angst_xenophobie; maximal 1 Stufe; Angstwert 20; direkte Konfrontation: sofort, danach alle 5 KR; bloße Gegenwart: BE -3.</t>
        </is>
      </c>
      <c r="F1075" t="inlineStr">
        <is>
          <t>Angst: Xenophobie</t>
        </is>
      </c>
      <c r="G1075" t="inlineStr">
        <is>
          <t>Auswahl</t>
        </is>
      </c>
      <c r="J1075" t="inlineStr">
        <is>
          <t>EXKLUSIV_ANGST=angst_xenophobie | ANGST_INTERVALL=5_KR | ANGST_DIREKTE_KONFRONTATION=1 | ANGST_BE=-3</t>
        </is>
      </c>
      <c r="K1075" t="n">
        <v>20</v>
      </c>
      <c r="L1075" s="28" t="n">
        <v>-200</v>
      </c>
      <c r="M1075" t="inlineStr">
        <is>
          <t>S</t>
        </is>
      </c>
      <c r="Q1075" t="inlineStr">
        <is>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is>
      </c>
    </row>
    <row r="1076" hidden="1" ht="15.75" customHeight="1" s="48">
      <c r="A1076" t="inlineStr">
        <is>
          <t>vn_angst_xenophobie_30</t>
        </is>
      </c>
      <c r="B1076" t="inlineStr">
        <is>
          <t>Vor- und Nachteile</t>
        </is>
      </c>
      <c r="C1076" t="inlineStr">
        <is>
          <t>Phobie: Xenophobie</t>
        </is>
      </c>
      <c r="E1076" t="inlineStr">
        <is>
          <t>Auswahlgruppe angst_xenophobie; maximal 1 Stufe; Angstwert 30; direkte Konfrontation: sofort, danach jede KR; bloße Gegenwart: BE -5.</t>
        </is>
      </c>
      <c r="F1076" t="inlineStr">
        <is>
          <t>Angst: Xenophobie</t>
        </is>
      </c>
      <c r="G1076" t="inlineStr">
        <is>
          <t>Auswahl</t>
        </is>
      </c>
      <c r="J1076" t="inlineStr">
        <is>
          <t>EXKLUSIV_ANGST=angst_xenophobie | ANGST_INTERVALL=1_KR | ANGST_DIREKTE_KONFRONTATION=1 | ANGST_BE=-5</t>
        </is>
      </c>
      <c r="K1076" t="n">
        <v>30</v>
      </c>
      <c r="L1076" s="28" t="n">
        <v>-300</v>
      </c>
      <c r="M1076" t="inlineStr">
        <is>
          <t>S</t>
        </is>
      </c>
      <c r="Q1076" t="inlineStr">
        <is>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is>
      </c>
    </row>
    <row r="1077" hidden="1" ht="15.75" customHeight="1" s="48">
      <c r="A1077" s="29" t="inlineStr">
        <is>
          <t>vn_astrale_abschottung</t>
        </is>
      </c>
      <c r="B1077" s="11" t="inlineStr">
        <is>
          <t>Vor- und Nachteile</t>
        </is>
      </c>
      <c r="C1077" s="7" t="inlineStr">
        <is>
          <t>Astrale Abschottung</t>
        </is>
      </c>
      <c r="G1077" s="11" t="inlineStr">
        <is>
          <t>Auswahl</t>
        </is>
      </c>
      <c r="J1077" t="inlineStr">
        <is>
          <t>VORAUSSETZUNG=Magie 0</t>
        </is>
      </c>
      <c r="L1077" s="28" t="n">
        <v>200</v>
      </c>
      <c r="M1077" t="inlineStr">
        <is>
          <t>E</t>
        </is>
      </c>
      <c r="Q1077" t="inlineStr">
        <is>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is>
      </c>
    </row>
    <row r="1078" hidden="1" ht="15.75" customHeight="1" s="48">
      <c r="A1078" s="29" t="inlineStr">
        <is>
          <t>vn_aura_verhuellen_i</t>
        </is>
      </c>
      <c r="B1078" s="11" t="inlineStr">
        <is>
          <t>Vor- und Nachteile</t>
        </is>
      </c>
      <c r="C1078" s="7" t="inlineStr">
        <is>
          <t>Aura verhüllen I</t>
        </is>
      </c>
      <c r="G1078" s="11" t="inlineStr">
        <is>
          <t>Auswahl</t>
        </is>
      </c>
      <c r="L1078" s="28" t="n">
        <v>500</v>
      </c>
      <c r="M1078" t="inlineStr">
        <is>
          <t>E</t>
        </is>
      </c>
      <c r="Q1078" t="inlineStr">
        <is>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is>
      </c>
    </row>
    <row r="1079" hidden="1" ht="15.75" customHeight="1" s="48">
      <c r="A1079" s="29" t="inlineStr">
        <is>
          <t>vn_aura_verhuellen_ii</t>
        </is>
      </c>
      <c r="B1079" s="11" t="inlineStr">
        <is>
          <t>Vor- und Nachteile</t>
        </is>
      </c>
      <c r="C1079" s="7" t="inlineStr">
        <is>
          <t>Aura verhüllen II</t>
        </is>
      </c>
      <c r="G1079" s="11" t="inlineStr">
        <is>
          <t>Auswahl</t>
        </is>
      </c>
      <c r="J1079" t="inlineStr">
        <is>
          <t>VORAUSSETZUNG=vn_aura_verhuellen_i</t>
        </is>
      </c>
      <c r="L1079" s="28" t="n">
        <v>300</v>
      </c>
      <c r="M1079" t="n">
        <v>3</v>
      </c>
      <c r="Q1079" t="inlineStr">
        <is>
          <t>Voraussetzung Aura verhüllen I. Der Charakter kann seine astrale Signatur jederzeit ohne Probe, Aktion, Konzentration oder Ressourcenkosten verhüllen, vollständig verbergen oder wieder freigeben. Mitgeführte Artefakte werden mit verborgen.</t>
        </is>
      </c>
    </row>
    <row r="1080" hidden="1" ht="15.75" customHeight="1" s="48">
      <c r="A1080" s="29" t="inlineStr">
        <is>
          <t>vn_aussehen_allerweltsgesicht</t>
        </is>
      </c>
      <c r="B1080" s="11" t="inlineStr">
        <is>
          <t>Vor- und Nachteile</t>
        </is>
      </c>
      <c r="C1080" s="7" t="inlineStr">
        <is>
          <t>Aussehen: Allerweltsgesicht</t>
        </is>
      </c>
      <c r="G1080" s="11" t="inlineStr">
        <is>
          <t>Auswahl</t>
        </is>
      </c>
      <c r="J1080" t="inlineStr">
        <is>
          <t>VORAUSSETZUNG=AUS&lt;=16</t>
        </is>
      </c>
      <c r="L1080" s="28" t="n">
        <v>250</v>
      </c>
      <c r="M1080" t="inlineStr">
        <is>
          <t>E</t>
        </is>
      </c>
      <c r="Q1080" t="inlineStr">
        <is>
          <t>Voraussetzung AUS höchstens 16. Eine INT-Probe, um den Charakter akkurat zu beschreiben, ist um 9 erschwert.</t>
        </is>
      </c>
    </row>
    <row r="1081" hidden="1" ht="15.75" customHeight="1" s="48">
      <c r="A1081" s="29" t="inlineStr">
        <is>
          <t>vn_aussehen_gutes_aussehen</t>
        </is>
      </c>
      <c r="B1081" s="11" t="inlineStr">
        <is>
          <t>Vor- und Nachteile</t>
        </is>
      </c>
      <c r="C1081" s="7" t="inlineStr">
        <is>
          <t>Aussehen: Gutes Aussehen</t>
        </is>
      </c>
      <c r="G1081" s="11" t="inlineStr">
        <is>
          <t>Auswahl</t>
        </is>
      </c>
      <c r="J1081" t="inlineStr">
        <is>
          <t>VORAUSSETZUNG=AUS&gt;=10</t>
        </is>
      </c>
      <c r="L1081" s="28" t="n">
        <v>100</v>
      </c>
      <c r="M1081" t="inlineStr">
        <is>
          <t>E</t>
        </is>
      </c>
      <c r="Q1081" t="inlineStr">
        <is>
          <t>Voraussetzung AUS mindestens 10. Alle gesellschaftlichen GF- und WHK-Proben, deren Probe AUS enthält, sind um 3 erleichtert. INT-Proben, um den Charakter akkurat zu beschreiben, sind um 2 erleichtert.</t>
        </is>
      </c>
    </row>
    <row r="1082" hidden="1" ht="15.75" customHeight="1" s="48">
      <c r="A1082" s="29" t="inlineStr">
        <is>
          <t>vn_aussehen_haesslichkeit</t>
        </is>
      </c>
      <c r="B1082" s="11" t="inlineStr">
        <is>
          <t>Vor- und Nachteile</t>
        </is>
      </c>
      <c r="C1082" s="7" t="inlineStr">
        <is>
          <t>Aussehen: Hässlichkeit</t>
        </is>
      </c>
      <c r="G1082" s="11" t="inlineStr">
        <is>
          <t>Auswahl</t>
        </is>
      </c>
      <c r="L1082" s="28" t="n">
        <v>-100</v>
      </c>
      <c r="M1082" t="inlineStr">
        <is>
          <t>E</t>
        </is>
      </c>
      <c r="Q1082" t="inlineStr">
        <is>
          <t>Alle gesellschaftlichen GF- und WHK-Proben, deren Probe AUS enthält, sind um 3 erschwert. INT-Proben, um den Charakter akkurat zu beschreiben, sind um 2 erleichtert.</t>
        </is>
      </c>
    </row>
    <row r="1083" hidden="1" ht="15.75" customHeight="1" s="48">
      <c r="A1083" s="29" t="inlineStr">
        <is>
          <t>vn_aussehen_herausragendes_aussehen</t>
        </is>
      </c>
      <c r="B1083" s="11" t="inlineStr">
        <is>
          <t>Vor- und Nachteile</t>
        </is>
      </c>
      <c r="C1083" s="7" t="inlineStr">
        <is>
          <t>Aussehen: Herausragendes Aussehen</t>
        </is>
      </c>
      <c r="G1083" s="11" t="inlineStr">
        <is>
          <t>Auswahl</t>
        </is>
      </c>
      <c r="J1083" t="inlineStr">
        <is>
          <t>VORAUSSETZUNG=AUS&gt;=15</t>
        </is>
      </c>
      <c r="L1083" s="28" t="n">
        <v>250</v>
      </c>
      <c r="M1083" t="inlineStr">
        <is>
          <t>E</t>
        </is>
      </c>
      <c r="Q1083" t="inlineStr">
        <is>
          <t>Voraussetzung AUS mindestens 15. Alle gesellschaftlichen GF- und WHK-Proben, deren Probe AUS enthält, sind um 6 erleichtert. INT-Proben, um den Charakter akkurat zu beschreiben, sind um 4 erleichtert.</t>
        </is>
      </c>
    </row>
    <row r="1084" hidden="1" ht="15.75" customHeight="1" s="48">
      <c r="A1084" s="29" t="inlineStr">
        <is>
          <t>vn_aussehen_widerwaertiges_aussehen</t>
        </is>
      </c>
      <c r="B1084" s="11" t="inlineStr">
        <is>
          <t>Vor- und Nachteile</t>
        </is>
      </c>
      <c r="C1084" s="7" t="inlineStr">
        <is>
          <t>Aussehen: Widerwärtiges Aussehen</t>
        </is>
      </c>
      <c r="G1084" s="11" t="inlineStr">
        <is>
          <t>Auswahl</t>
        </is>
      </c>
      <c r="L1084" s="28" t="n">
        <v>-200</v>
      </c>
      <c r="M1084" t="inlineStr">
        <is>
          <t>E</t>
        </is>
      </c>
      <c r="Q1084" t="inlineStr">
        <is>
          <t>Alle gesellschaftlichen GF- und WHK-Proben, deren Probe AUS enthält, sind um 6 erschwert. INT-Proben, um den Charakter akkurat zu beschreiben, sind um 4 erleichtert.</t>
        </is>
      </c>
    </row>
    <row r="1085" hidden="1" ht="15.75" customHeight="1" s="48">
      <c r="A1085" s="29" t="inlineStr">
        <is>
          <t>vn_faehigkeit_fliegen</t>
        </is>
      </c>
      <c r="B1085" s="11" t="inlineStr">
        <is>
          <t>Vor- und Nachteile</t>
        </is>
      </c>
      <c r="C1085" s="7" t="inlineStr">
        <is>
          <t>Fähigkeit: Fliegen</t>
        </is>
      </c>
      <c r="G1085" s="11" t="inlineStr">
        <is>
          <t>Auswahl</t>
        </is>
      </c>
      <c r="L1085" s="28" t="n">
        <v>2500</v>
      </c>
      <c r="M1085" t="n">
        <v>7</v>
      </c>
      <c r="Q1085" t="inlineStr">
        <is>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is>
      </c>
    </row>
    <row r="1086" hidden="1" ht="15.75" customHeight="1" s="48">
      <c r="A1086" s="29" t="inlineStr">
        <is>
          <t>vn_faehigkeit_meisterliche_WHK</t>
        </is>
      </c>
      <c r="B1086" s="11" t="inlineStr">
        <is>
          <t>Vor- und Nachteile</t>
        </is>
      </c>
      <c r="C1086" s="7" t="inlineStr">
        <is>
          <t>Fähigkeit: Meisterliche WHK</t>
        </is>
      </c>
      <c r="E1086" t="inlineStr">
        <is>
          <t>Offene WHK-Liste: In der App ist ein dynamisches Dropdown über alle vorhandenen WHK erforderlich. Jede gewählte WHK ist eine eigene, separat kaufbare Instanz; dieselbe WHK darf nicht doppelt gewählt werden. Umsetzung durch Claude.</t>
        </is>
      </c>
      <c r="F1086" t="inlineStr">
        <is>
          <t>Meisterliche WHK</t>
        </is>
      </c>
      <c r="G1086" s="11" t="inlineStr">
        <is>
          <t>Auswahl</t>
        </is>
      </c>
      <c r="J1086" t="inlineStr">
        <is>
          <t>APP_DROPDOWN_WHK_OFFENE_LISTE</t>
        </is>
      </c>
      <c r="L1086" s="28" t="n">
        <v>100</v>
      </c>
      <c r="M1086" t="inlineStr">
        <is>
          <t>E&amp;3</t>
        </is>
      </c>
      <c r="Q1086" t="inlineStr">
        <is>
          <t>Nicht Magier: Der Charakter kann max. (M) Mana für (M) h in 1 Talentpunkt pro 2 Mana einer ausgewählten spezialisierbaren WHK umwandeln. Dieser Vorteil muss für jede WHK einzeln gekauft werden.</t>
        </is>
      </c>
    </row>
    <row r="1087" hidden="1" ht="15.75" customHeight="1" s="48">
      <c r="A1087" s="29" t="inlineStr">
        <is>
          <t>vn_faehigkeit_natuerliche_regeneration_i</t>
        </is>
      </c>
      <c r="B1087" s="11" t="inlineStr">
        <is>
          <t>Vor- und Nachteile</t>
        </is>
      </c>
      <c r="C1087" s="7" t="inlineStr">
        <is>
          <t>Fähigkeit: Natürliche Regeneration I</t>
        </is>
      </c>
      <c r="G1087" s="11" t="inlineStr">
        <is>
          <t>Auswahl</t>
        </is>
      </c>
      <c r="J1087" t="inlineStr">
        <is>
          <t>REGENERATIONSSTUFE=1 | NICHT_KUMULATIV</t>
        </is>
      </c>
      <c r="L1087" s="28" t="n">
        <v>800</v>
      </c>
      <c r="M1087" t="n">
        <v>3</v>
      </c>
      <c r="Q1087" t="inlineStr">
        <is>
          <t>Der Charakter regeneriert 1 LE pro KR. Zuerst wird fehlende Gesundheit regeneriert, danach die Trefferzone mit den aktuell niedrigsten LE. Besitzt der Charakter mehrere Stufen Natürliche Regeneration, gilt ausschließlich die höchste.</t>
        </is>
      </c>
    </row>
    <row r="1088" hidden="1" ht="15.75" customHeight="1" s="48">
      <c r="A1088" s="29" t="inlineStr">
        <is>
          <t>vn_faehigkeit_natuerliche_regeneration_ii</t>
        </is>
      </c>
      <c r="B1088" s="11" t="inlineStr">
        <is>
          <t>Vor- und Nachteile</t>
        </is>
      </c>
      <c r="C1088" s="7" t="inlineStr">
        <is>
          <t>Fähigkeit: Natürliche Regeneration II</t>
        </is>
      </c>
      <c r="G1088" s="11" t="inlineStr">
        <is>
          <t>Auswahl</t>
        </is>
      </c>
      <c r="J1088" t="inlineStr">
        <is>
          <t>VORAUSSETZUNG=vn_faehigkeit_natuerliche_regeneration_i | REGENERATIONSSTUFE=2 | NICHT_KUMULATIV</t>
        </is>
      </c>
      <c r="L1088" s="28" t="n">
        <v>800</v>
      </c>
      <c r="M1088" t="n">
        <v>5</v>
      </c>
      <c r="Q1088" t="inlineStr">
        <is>
          <t>Voraussetzung Natürliche Regeneration I. Der Charakter regeneriert 3 LE pro KR. Zuerst wird fehlende Gesundheit regeneriert, danach die Trefferzone mit den aktuell niedrigsten LE. Besitzt der Charakter mehrere Stufen Natürliche Regeneration, gilt ausschließlich die höchste.</t>
        </is>
      </c>
    </row>
    <row r="1089" hidden="1" ht="15.75" customHeight="1" s="48">
      <c r="A1089" s="29" t="inlineStr">
        <is>
          <t>vn_faehigkeit_natuerliche_regeneration_iii</t>
        </is>
      </c>
      <c r="B1089" s="11" t="inlineStr">
        <is>
          <t>Vor- und Nachteile</t>
        </is>
      </c>
      <c r="C1089" s="7" t="inlineStr">
        <is>
          <t>Fähigkeit: Natürliche Regeneration III</t>
        </is>
      </c>
      <c r="G1089" s="11" t="inlineStr">
        <is>
          <t>Auswahl</t>
        </is>
      </c>
      <c r="J1089" t="inlineStr">
        <is>
          <t>VORAUSSETZUNG=vn_faehigkeit_natuerliche_regeneration_ii | REGENERATIONSSTUFE=3 | NICHT_KUMULATIV</t>
        </is>
      </c>
      <c r="L1089" s="28" t="n">
        <v>800</v>
      </c>
      <c r="M1089" t="n">
        <v>7</v>
      </c>
      <c r="Q1089" t="inlineStr">
        <is>
          <t>Voraussetzung Natürliche Regeneration II. Der Charakter regeneriert 5 LE pro KR. Zuerst wird fehlende Gesundheit regeneriert, danach die Trefferzone mit den aktuell niedrigsten LE. Besitzt der Charakter mehrere Stufen Natürliche Regeneration, gilt ausschließlich die höchste.</t>
        </is>
      </c>
    </row>
    <row r="1090" hidden="1" ht="15.75" customHeight="1" s="48">
      <c r="A1090" s="29" t="inlineStr">
        <is>
          <t>vn_faehigkeit_schweben</t>
        </is>
      </c>
      <c r="B1090" s="11" t="inlineStr">
        <is>
          <t>Vor- und Nachteile</t>
        </is>
      </c>
      <c r="C1090" s="7" t="inlineStr">
        <is>
          <t>Fähigkeit: Schweben</t>
        </is>
      </c>
      <c r="G1090" s="11" t="inlineStr">
        <is>
          <t>Auswahl</t>
        </is>
      </c>
      <c r="L1090" s="28" t="n">
        <v>1000</v>
      </c>
      <c r="M1090" t="n">
        <v>6</v>
      </c>
      <c r="Q1090" t="inlineStr">
        <is>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is>
      </c>
    </row>
    <row r="1091" hidden="1" ht="15.75" customHeight="1" s="48">
      <c r="A1091" s="29" t="inlineStr">
        <is>
          <t>vn_faehigkeit_teleportation</t>
        </is>
      </c>
      <c r="B1091" s="11" t="inlineStr">
        <is>
          <t>Vor- und Nachteile</t>
        </is>
      </c>
      <c r="C1091" s="7" t="inlineStr">
        <is>
          <t>Fähigkeit: Teleportation</t>
        </is>
      </c>
      <c r="G1091" s="11" t="inlineStr">
        <is>
          <t>Auswahl</t>
        </is>
      </c>
      <c r="L1091" s="28" t="n">
        <v>500</v>
      </c>
      <c r="M1091" t="n">
        <v>4</v>
      </c>
      <c r="Q1091" t="inlineStr">
        <is>
          <t>Wie der Verzauberungszauber „Warp“ (Grad 5), einmal pro magischem Tag, Reichweite (M) × 5 m.</t>
        </is>
      </c>
    </row>
    <row r="1092" hidden="1" ht="15.75" customHeight="1" s="48">
      <c r="A1092" s="29" t="inlineStr">
        <is>
          <t>vn_faehigkeit_wasserwandeln</t>
        </is>
      </c>
      <c r="B1092" s="11" t="inlineStr">
        <is>
          <t>Vor- und Nachteile</t>
        </is>
      </c>
      <c r="C1092" s="7" t="inlineStr">
        <is>
          <t>Fähigkeit: Wasserwandeln</t>
        </is>
      </c>
      <c r="G1092" s="11" t="inlineStr">
        <is>
          <t>Auswahl</t>
        </is>
      </c>
      <c r="L1092" s="28" t="n">
        <v>250</v>
      </c>
      <c r="M1092" t="inlineStr">
        <is>
          <t>E&amp;1</t>
        </is>
      </c>
      <c r="Q1092" t="inlineStr">
        <is>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is>
      </c>
    </row>
    <row r="1093" hidden="1" ht="15.75" customHeight="1" s="48">
      <c r="A1093" s="29" t="inlineStr">
        <is>
          <t>#vn_fettleibig</t>
        </is>
      </c>
      <c r="B1093" s="11" t="inlineStr">
        <is>
          <t>Vor- und Nachteile</t>
        </is>
      </c>
      <c r="C1093" s="7" t="inlineStr">
        <is>
          <t>Fettleibig</t>
        </is>
      </c>
      <c r="E1093" t="inlineStr">
        <is>
          <t>Deaktiviert am 2026-08-26; Wirkung und Ausgestaltung werden unter Entwickeln redaktionell geklärt.</t>
        </is>
      </c>
      <c r="G1093" s="11" t="inlineStr">
        <is>
          <t>Auswahl</t>
        </is>
      </c>
      <c r="J1093" t="inlineStr">
        <is>
          <t>DEAKTIVIERT_REDAKTION_OFFEN</t>
        </is>
      </c>
      <c r="L1093" s="28" t="n">
        <v>-100</v>
      </c>
      <c r="M1093" t="inlineStr">
        <is>
          <t>E</t>
        </is>
      </c>
    </row>
    <row r="1094" hidden="1" ht="15.75" customHeight="1" s="48">
      <c r="A1094" t="inlineStr">
        <is>
          <t>vn_krankheit_leicht_migraene</t>
        </is>
      </c>
      <c r="B1094" t="inlineStr">
        <is>
          <t>Vor- und Nachteile</t>
        </is>
      </c>
      <c r="C1094" t="inlineStr">
        <is>
          <t>Krankheit: Leichte Migräne</t>
        </is>
      </c>
      <c r="G1094" t="inlineStr">
        <is>
          <t>Auswahl</t>
        </is>
      </c>
      <c r="L1094" s="28" t="n">
        <v>-25</v>
      </c>
      <c r="M1094" t="inlineStr">
        <is>
          <t>E</t>
        </is>
      </c>
      <c r="Q1094" t="inlineStr">
        <is>
          <t>Nach W3 migränefreien Tagen legt der Charakter eine um 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t>
        </is>
      </c>
    </row>
    <row r="1095" hidden="1" ht="15.75" customHeight="1" s="48">
      <c r="A1095" t="inlineStr">
        <is>
          <t>vn_krankheit_mittel_migraene</t>
        </is>
      </c>
      <c r="B1095" t="inlineStr">
        <is>
          <t>Vor- und Nachteile</t>
        </is>
      </c>
      <c r="C1095" t="inlineStr">
        <is>
          <t>Krankheit: Mittlere Migräne</t>
        </is>
      </c>
      <c r="G1095" t="inlineStr">
        <is>
          <t>Auswahl</t>
        </is>
      </c>
      <c r="L1095" s="28" t="n">
        <v>-50</v>
      </c>
      <c r="M1095" t="inlineStr">
        <is>
          <t>E</t>
        </is>
      </c>
      <c r="Q1095" t="inlineStr">
        <is>
          <t>Nach W3 migränefreien Tagen legt der Charakter eine um 10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t>
        </is>
      </c>
    </row>
    <row r="1096" hidden="1" ht="15.75" customHeight="1" s="48">
      <c r="A1096" t="inlineStr">
        <is>
          <t>vn_krankheit_schwer_migraene</t>
        </is>
      </c>
      <c r="B1096" t="inlineStr">
        <is>
          <t>Vor- und Nachteile</t>
        </is>
      </c>
      <c r="C1096" t="inlineStr">
        <is>
          <t>Krankheit: Schwere Migräne</t>
        </is>
      </c>
      <c r="G1096" t="inlineStr">
        <is>
          <t>Auswahl</t>
        </is>
      </c>
      <c r="L1096" s="28" t="n">
        <v>-75</v>
      </c>
      <c r="M1096" t="inlineStr">
        <is>
          <t>E</t>
        </is>
      </c>
      <c r="Q1096" t="inlineStr">
        <is>
          <t>Nach W3 migränefreien Tagen legt der Charakter eine um 15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t>
        </is>
      </c>
    </row>
    <row r="1097" hidden="1" ht="15.75" customHeight="1" s="48">
      <c r="A1097" t="inlineStr">
        <is>
          <t>vn_krankheit_sehr_schwer_migraene</t>
        </is>
      </c>
      <c r="B1097" t="inlineStr">
        <is>
          <t>Vor- und Nachteile</t>
        </is>
      </c>
      <c r="C1097" t="inlineStr">
        <is>
          <t>Krankheit: Sehr schwere Migräne</t>
        </is>
      </c>
      <c r="G1097" t="inlineStr">
        <is>
          <t>Auswahl</t>
        </is>
      </c>
      <c r="L1097" s="28" t="n">
        <v>-100</v>
      </c>
      <c r="M1097" t="inlineStr">
        <is>
          <t>E</t>
        </is>
      </c>
      <c r="Q1097" t="inlineStr">
        <is>
          <t>Nach W3 migränefreien Tagen legt der Charakter eine um 20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t>
        </is>
      </c>
    </row>
    <row r="1098" hidden="1" ht="15.75" customHeight="1" s="48">
      <c r="A1098" t="inlineStr">
        <is>
          <t>vn_krankheit_extrem_migraene</t>
        </is>
      </c>
      <c r="B1098" t="inlineStr">
        <is>
          <t>Vor- und Nachteile</t>
        </is>
      </c>
      <c r="C1098" t="inlineStr">
        <is>
          <t>Krankheit: Extreme Migräne</t>
        </is>
      </c>
      <c r="G1098" t="inlineStr">
        <is>
          <t>Auswahl</t>
        </is>
      </c>
      <c r="L1098" s="28" t="n">
        <v>-150</v>
      </c>
      <c r="M1098" t="inlineStr">
        <is>
          <t>E</t>
        </is>
      </c>
      <c r="Q1098" t="inlineStr">
        <is>
          <t>Nach W3 migränefreien Tagen legt der Charakter eine um 30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t>
        </is>
      </c>
    </row>
    <row r="1099" hidden="1" ht="15.75" customHeight="1" s="48">
      <c r="A1099" s="29" t="inlineStr">
        <is>
          <t>vn_resistenz_gegen_beherrschung</t>
        </is>
      </c>
      <c r="B1099" s="11" t="inlineStr">
        <is>
          <t>Vor- und Nachteile</t>
        </is>
      </c>
      <c r="C1099" s="23" t="inlineStr">
        <is>
          <t>Resistenz gegen Beherrschung</t>
        </is>
      </c>
      <c r="G1099" s="11" t="inlineStr">
        <is>
          <t>Auswahl</t>
        </is>
      </c>
      <c r="L1099" s="28" t="n">
        <v>250</v>
      </c>
      <c r="M1099" t="inlineStr">
        <is>
          <t>E&amp;1</t>
        </is>
      </c>
      <c r="Q1099" t="inlineStr">
        <is>
          <t>Die Erschwernis eigener Gegenproben gegen Beherrschungswirkungen wird halbiert.</t>
        </is>
      </c>
    </row>
    <row r="1100" hidden="1" ht="15.75" customHeight="1" s="48">
      <c r="A1100" s="29" t="inlineStr">
        <is>
          <t>vn_resistenz_gegen_erde</t>
        </is>
      </c>
      <c r="B1100" s="11" t="inlineStr">
        <is>
          <t>Vor- und Nachteile</t>
        </is>
      </c>
      <c r="C1100" s="12" t="inlineStr">
        <is>
          <t>Resistenz gegen Erde</t>
        </is>
      </c>
      <c r="G1100" s="11" t="inlineStr">
        <is>
          <t>Auswahl</t>
        </is>
      </c>
      <c r="L1100" s="28" t="n">
        <v>300</v>
      </c>
      <c r="M1100" t="inlineStr">
        <is>
          <t>E&amp;1</t>
        </is>
      </c>
      <c r="Q1100" t="inlineStr">
        <is>
          <t>Der Charakter erleidet durch das Element Erde nur die Hälfte der TP.</t>
        </is>
      </c>
    </row>
    <row r="1101" hidden="1" ht="15.75" customHeight="1" s="48">
      <c r="A1101" s="29" t="inlineStr">
        <is>
          <t>vn_resistenz_gegen_feuer</t>
        </is>
      </c>
      <c r="B1101" s="11" t="inlineStr">
        <is>
          <t>Vor- und Nachteile</t>
        </is>
      </c>
      <c r="C1101" s="12" t="inlineStr">
        <is>
          <t>Resistenz gegen Feuer</t>
        </is>
      </c>
      <c r="G1101" s="11" t="inlineStr">
        <is>
          <t>Auswahl</t>
        </is>
      </c>
      <c r="L1101" s="28" t="n">
        <v>300</v>
      </c>
      <c r="M1101" t="inlineStr">
        <is>
          <t>E&amp;1</t>
        </is>
      </c>
      <c r="Q1101" t="inlineStr">
        <is>
          <t>Der Charakter erleidet durch das Element Feuer nur die Hälfte der TP.</t>
        </is>
      </c>
    </row>
    <row r="1102" hidden="1" ht="15.75" customHeight="1" s="48">
      <c r="A1102" s="29" t="inlineStr">
        <is>
          <t>vn_resistenz_gegen_luft</t>
        </is>
      </c>
      <c r="B1102" s="11" t="inlineStr">
        <is>
          <t>Vor- und Nachteile</t>
        </is>
      </c>
      <c r="C1102" s="12" t="inlineStr">
        <is>
          <t>Resistenz gegen Luft</t>
        </is>
      </c>
      <c r="G1102" s="11" t="inlineStr">
        <is>
          <t>Auswahl</t>
        </is>
      </c>
      <c r="L1102" s="28" t="n">
        <v>300</v>
      </c>
      <c r="M1102" t="inlineStr">
        <is>
          <t>E&amp;1</t>
        </is>
      </c>
      <c r="Q1102" t="inlineStr">
        <is>
          <t>Der Charakter erleidet durch das Element Luft nur die Hälfte der TP.</t>
        </is>
      </c>
    </row>
    <row r="1103" hidden="1" ht="15.75" customHeight="1" s="48">
      <c r="A1103" s="29" t="inlineStr">
        <is>
          <t>vn_resistenz_gegen_magie</t>
        </is>
      </c>
      <c r="B1103" s="11" t="inlineStr">
        <is>
          <t>Vor- und Nachteile</t>
        </is>
      </c>
      <c r="C1103" s="12" t="inlineStr">
        <is>
          <t>Resistenz gegen Magie</t>
        </is>
      </c>
      <c r="G1103" s="11" t="inlineStr">
        <is>
          <t>Auswahl</t>
        </is>
      </c>
      <c r="L1103" s="28" t="n">
        <v>300</v>
      </c>
      <c r="M1103" t="inlineStr">
        <is>
          <t>M</t>
        </is>
      </c>
      <c r="Q1103" t="inlineStr">
        <is>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is>
      </c>
    </row>
    <row r="1104" hidden="1" ht="15.75" customHeight="1" s="48">
      <c r="A1104" s="29" t="inlineStr">
        <is>
          <t>vn_resistenz_gegen_magische_heilung</t>
        </is>
      </c>
      <c r="B1104" s="11" t="inlineStr">
        <is>
          <t>Vor- und Nachteile</t>
        </is>
      </c>
      <c r="C1104" s="23" t="inlineStr">
        <is>
          <t>Resistenz gegen magische Heilung</t>
        </is>
      </c>
      <c r="G1104" s="11" t="inlineStr">
        <is>
          <t>Auswahl</t>
        </is>
      </c>
      <c r="L1104" s="28" t="n">
        <v>-300</v>
      </c>
      <c r="M1104" t="inlineStr">
        <is>
          <t>E&amp;1</t>
        </is>
      </c>
      <c r="Q1104" t="inlineStr">
        <is>
          <t>Magische Heilung stellt beim Charakter nur die Hälfte der vorgesehenen LE wieder her.</t>
        </is>
      </c>
    </row>
    <row r="1105" hidden="1" ht="15.75" customHeight="1" s="48">
      <c r="A1105" s="29" t="inlineStr">
        <is>
          <t>vn_resistenz_gegen_verzauberung</t>
        </is>
      </c>
      <c r="B1105" s="11" t="inlineStr">
        <is>
          <t>Vor- und Nachteile</t>
        </is>
      </c>
      <c r="C1105" s="23" t="inlineStr">
        <is>
          <t>Resistenz gegen Verzauberung</t>
        </is>
      </c>
      <c r="G1105" s="11" t="inlineStr">
        <is>
          <t>Auswahl</t>
        </is>
      </c>
      <c r="L1105" s="28" t="n">
        <v>-100</v>
      </c>
      <c r="M1105" t="inlineStr">
        <is>
          <t>E&amp;1</t>
        </is>
      </c>
      <c r="Q1105" t="inlineStr">
        <is>
          <t>Die Erschwernis aller Verzauberungszauber, die den Charakter zum Ziel haben, wird verdoppelt. Dies gilt für schädliche und hilfreiche Verzauberungen.</t>
        </is>
      </c>
    </row>
    <row r="1106" hidden="1" ht="15.75" customHeight="1" s="48">
      <c r="A1106" s="29" t="inlineStr">
        <is>
          <t>vn_resistenz_gegen_wasser</t>
        </is>
      </c>
      <c r="B1106" s="11" t="inlineStr">
        <is>
          <t>Vor- und Nachteile</t>
        </is>
      </c>
      <c r="C1106" s="12" t="inlineStr">
        <is>
          <t>Resistenz gegen Wasser</t>
        </is>
      </c>
      <c r="G1106" s="11" t="inlineStr">
        <is>
          <t>Auswahl</t>
        </is>
      </c>
      <c r="L1106" s="28" t="n">
        <v>300</v>
      </c>
      <c r="M1106" t="inlineStr">
        <is>
          <t>E&amp;1</t>
        </is>
      </c>
      <c r="Q1106" t="inlineStr">
        <is>
          <t>Der Charakter erleidet durch das Element Wasser nur die Hälfte der TP.</t>
        </is>
      </c>
    </row>
    <row r="1107" hidden="1" ht="15.75" customHeight="1" s="48">
      <c r="A1107" s="29" t="inlineStr">
        <is>
          <t>vn_schlaf_insomnia</t>
        </is>
      </c>
      <c r="B1107" s="11" t="inlineStr">
        <is>
          <t>Vor- und Nachteile</t>
        </is>
      </c>
      <c r="C1107" s="23" t="inlineStr">
        <is>
          <t>Schlaf: Insomnia</t>
        </is>
      </c>
      <c r="E1107" t="inlineStr">
        <is>
          <t>Für die Regeneration sind mindestens 6 Stunden Schlaf erforderlich. Die konkrete Regenerationsklasse ist für die Charaktererstellung irrelevant und wird vom Meister situativ festgelegt.</t>
        </is>
      </c>
      <c r="G1107" s="11" t="inlineStr">
        <is>
          <t>Auswahl</t>
        </is>
      </c>
      <c r="L1107" s="28" t="n">
        <v>0</v>
      </c>
      <c r="M1107" t="inlineStr">
        <is>
          <t>E</t>
        </is>
      </c>
      <c r="Q1107" t="inlineStr">
        <is>
          <t>Regenerationsklasse −2. Sinnesschärfe +5, ausschließlich während des Schlafs.</t>
        </is>
      </c>
    </row>
    <row r="1108" hidden="1" ht="15.75" customHeight="1" s="48">
      <c r="A1108" s="29" t="inlineStr">
        <is>
          <t>vn_schlaf_leichter_schlaf</t>
        </is>
      </c>
      <c r="B1108" s="11" t="inlineStr">
        <is>
          <t>Vor- und Nachteile</t>
        </is>
      </c>
      <c r="C1108" s="23" t="inlineStr">
        <is>
          <t>Schlaf: Leichter Schlaf</t>
        </is>
      </c>
      <c r="E1108" t="inlineStr">
        <is>
          <t>Für die Regeneration sind mindestens 6 Stunden Schlaf erforderlich. Die konkrete Regenerationsklasse ist für die Charaktererstellung irrelevant und wird vom Meister situativ festgelegt.</t>
        </is>
      </c>
      <c r="G1108" s="11" t="inlineStr">
        <is>
          <t>Auswahl</t>
        </is>
      </c>
      <c r="L1108" s="28" t="n">
        <v>0</v>
      </c>
      <c r="M1108" t="inlineStr">
        <is>
          <t>E</t>
        </is>
      </c>
      <c r="Q1108" t="inlineStr">
        <is>
          <t>Regenerationsklasse −1. Sinnesschärfe −5, ausschließlich während des Schlafs.</t>
        </is>
      </c>
    </row>
    <row r="1109" hidden="1" ht="15.75" customHeight="1" s="48">
      <c r="A1109" s="29" t="inlineStr">
        <is>
          <t>vn_schlaf_normal</t>
        </is>
      </c>
      <c r="B1109" s="11" t="inlineStr">
        <is>
          <t>Vor- und Nachteile</t>
        </is>
      </c>
      <c r="C1109" s="23" t="inlineStr">
        <is>
          <t>Schlaf: Normal</t>
        </is>
      </c>
      <c r="E1109" t="inlineStr">
        <is>
          <t>Für die Regeneration sind mindestens 6 Stunden Schlaf erforderlich. Die konkrete Regenerationsklasse ist für die Charaktererstellung irrelevant und wird vom Meister situativ festgelegt.</t>
        </is>
      </c>
      <c r="G1109" s="11" t="inlineStr">
        <is>
          <t>Auswahl</t>
        </is>
      </c>
      <c r="L1109" s="28" t="n">
        <v>0</v>
      </c>
      <c r="M1109" t="inlineStr">
        <is>
          <t>E</t>
        </is>
      </c>
      <c r="Q1109" t="inlineStr">
        <is>
          <t>Die Regenerationsklasse bleibt unverändert. Sinnesschärfe −10, ausschließlich während des Schlafs.</t>
        </is>
      </c>
    </row>
    <row r="1110" hidden="1" ht="15.75" customHeight="1" s="48">
      <c r="A1110" s="29" t="inlineStr">
        <is>
          <t>vn_schlaf_tiefer_schlaf</t>
        </is>
      </c>
      <c r="B1110" s="11" t="inlineStr">
        <is>
          <t>Vor- und Nachteile</t>
        </is>
      </c>
      <c r="C1110" s="23" t="inlineStr">
        <is>
          <t>Schlaf: Tiefer Schlaf</t>
        </is>
      </c>
      <c r="E1110" t="inlineStr">
        <is>
          <t>Für die Regeneration sind mindestens 6 Stunden Schlaf erforderlich. Die konkrete Regenerationsklasse ist für die Charaktererstellung irrelevant und wird vom Meister situativ festgelegt.</t>
        </is>
      </c>
      <c r="G1110" s="11" t="inlineStr">
        <is>
          <t>Auswahl</t>
        </is>
      </c>
      <c r="L1110" s="28" t="n">
        <v>0</v>
      </c>
      <c r="M1110" t="inlineStr">
        <is>
          <t>E</t>
        </is>
      </c>
      <c r="Q1110" t="inlineStr">
        <is>
          <t>Regenerationsklasse +1. Sinnesschärfe −15, ausschließlich während des Schlafs.</t>
        </is>
      </c>
    </row>
    <row r="1111" hidden="1" ht="15.75" customHeight="1" s="48">
      <c r="A1111" s="29" t="inlineStr">
        <is>
          <t>vn_gf_krankheitsresistenz</t>
        </is>
      </c>
      <c r="B1111" s="11" t="inlineStr">
        <is>
          <t>Vor- und Nachteile</t>
        </is>
      </c>
      <c r="C1111" s="7" t="inlineStr">
        <is>
          <t>GF: Krankheitsresistenz</t>
        </is>
      </c>
      <c r="G1111" s="11" t="inlineStr">
        <is>
          <t>Auswahl</t>
        </is>
      </c>
      <c r="J1111" t="inlineStr">
        <is>
          <t>SCHALTET_GRUNDFERTIGKEIT_FREI=gr_krankheitsresistenz</t>
        </is>
      </c>
      <c r="L1111" s="28" t="n">
        <v>120</v>
      </c>
      <c r="M1111" t="inlineStr">
        <is>
          <t>E</t>
        </is>
      </c>
      <c r="Q1111" t="inlineStr">
        <is>
          <t>Der Charakter erhält die GF Krankheitsresistenz mit Max 12.</t>
        </is>
      </c>
    </row>
    <row r="1112" hidden="1" ht="15.75" customHeight="1" s="48">
      <c r="A1112" s="29" t="inlineStr">
        <is>
          <t>vn_sicht_astrales_auge</t>
        </is>
      </c>
      <c r="B1112" s="11" t="inlineStr">
        <is>
          <t>Vor- und Nachteile</t>
        </is>
      </c>
      <c r="C1112" s="7" t="inlineStr">
        <is>
          <t>Sicht: Astrales Auge</t>
        </is>
      </c>
      <c r="G1112" s="11" t="inlineStr">
        <is>
          <t>Auswahl</t>
        </is>
      </c>
      <c r="J1112" t="inlineStr">
        <is>
          <t>VORAUSSETZUNG=Aura 1</t>
        </is>
      </c>
      <c r="L1112" s="28" t="n">
        <v>250</v>
      </c>
      <c r="M1112" t="inlineStr">
        <is>
          <t>E</t>
        </is>
      </c>
      <c r="Q1112" t="inlineStr">
        <is>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is>
      </c>
    </row>
    <row r="1113" hidden="1" ht="15.75" customHeight="1" s="48">
      <c r="A1113" s="29" t="inlineStr">
        <is>
          <t>vn_sicht_astrales_auge_ii</t>
        </is>
      </c>
      <c r="B1113" s="11" t="inlineStr">
        <is>
          <t>Vor- und Nachteile</t>
        </is>
      </c>
      <c r="C1113" s="7" t="inlineStr">
        <is>
          <t>Sicht: Astrales Auge II</t>
        </is>
      </c>
      <c r="G1113" s="11" t="inlineStr">
        <is>
          <t>Auswahl</t>
        </is>
      </c>
      <c r="J1113" t="inlineStr">
        <is>
          <t>VORAUSSETZUNG=vn_sicht_astrales_auge</t>
        </is>
      </c>
      <c r="L1113" s="28" t="n">
        <v>150</v>
      </c>
      <c r="M1113" t="inlineStr">
        <is>
          <t>E</t>
        </is>
      </c>
      <c r="Q1113" t="inlineStr">
        <is>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is>
      </c>
    </row>
    <row r="1114" hidden="1" ht="15.75" customHeight="1" s="48">
      <c r="A1114" s="29" t="inlineStr">
        <is>
          <t>vn_sicht_blinder_kampf_i</t>
        </is>
      </c>
      <c r="B1114" s="11" t="inlineStr">
        <is>
          <t>Vor- und Nachteile</t>
        </is>
      </c>
      <c r="C1114" s="7" t="inlineStr">
        <is>
          <t>Sicht: Blinder Kampf I</t>
        </is>
      </c>
      <c r="E1114" t="inlineStr">
        <is>
          <t>Zwölfstufige Vorteilskette. Bei Blindheit kostet ausschließlich Stufe I 75 EP statt 150 EP; alle Folgestufen haben keinen Blindheitsrabatt.</t>
        </is>
      </c>
      <c r="F1114" t="inlineStr">
        <is>
          <t>Blinder Kampf</t>
        </is>
      </c>
      <c r="G1114" s="11" t="inlineStr">
        <is>
          <t>Auswahl</t>
        </is>
      </c>
      <c r="J1114" t="inlineStr">
        <is>
          <t>BLINDER_KAMPF_STUFE=1 | KOSTEN_MIT_BLINDHEIT=75</t>
        </is>
      </c>
      <c r="K1114" t="n">
        <v>1</v>
      </c>
      <c r="L1114" s="28" t="n">
        <v>150</v>
      </c>
      <c r="M1114" t="inlineStr">
        <is>
          <t>E</t>
        </is>
      </c>
      <c r="Q1114" t="inlineStr">
        <is>
          <t>Durch Blindheit und Lichtverhältnisse verursachte Sichterschwerungen werden um insgesamt 1 reduziert, höchstens bis 0. Andere Sichterschwerungen gelten unverändert.</t>
        </is>
      </c>
    </row>
    <row r="1115" hidden="1" ht="15.75" customHeight="1" s="48">
      <c r="A1115" s="29" t="inlineStr">
        <is>
          <t>vn_sicht_blindheit</t>
        </is>
      </c>
      <c r="B1115" s="11" t="inlineStr">
        <is>
          <t>Vor- und Nachteile</t>
        </is>
      </c>
      <c r="C1115" s="7" t="inlineStr">
        <is>
          <t>Sicht: Blindheit</t>
        </is>
      </c>
      <c r="G1115" s="11" t="inlineStr">
        <is>
          <t>Auswahl</t>
        </is>
      </c>
      <c r="J1115" t="inlineStr">
        <is>
          <t>SICHTBEHINDERUNG=18 | DEUTSCHUSS_ERSCHWERUNG=15 | UNHEILBAR</t>
        </is>
      </c>
      <c r="L1115" s="28" t="n">
        <v>-800</v>
      </c>
      <c r="M1115" t="inlineStr">
        <is>
          <t>E</t>
        </is>
      </c>
      <c r="Q1115" t="inlineStr">
        <is>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is>
      </c>
    </row>
    <row r="1116" hidden="1" ht="15.75" customHeight="1" s="48">
      <c r="A1116" s="29" t="inlineStr">
        <is>
          <t>vn_sicht_daemmerungssicht</t>
        </is>
      </c>
      <c r="B1116" s="11" t="inlineStr">
        <is>
          <t>Vor- und Nachteile</t>
        </is>
      </c>
      <c r="C1116" s="7" t="inlineStr">
        <is>
          <t>Sicht: Dämmerungssicht</t>
        </is>
      </c>
      <c r="G1116" s="11" t="inlineStr">
        <is>
          <t>Auswahl</t>
        </is>
      </c>
      <c r="L1116" s="28" t="n">
        <v>100</v>
      </c>
      <c r="M1116" t="inlineStr">
        <is>
          <t>E</t>
        </is>
      </c>
      <c r="Q1116" t="inlineStr">
        <is>
          <t>Der Charakter kann in der Dunkelheit so gut sehen wie am hellichten Tag. Damit dieser Effekt eintreten kann, muss Restlicht vorhanden sein. In vollkommener Dunkelheit ist dieser Vorteil keine Hilfe.</t>
        </is>
      </c>
    </row>
    <row r="1117" hidden="1" ht="15.75" customHeight="1" s="48">
      <c r="A1117" s="29" t="inlineStr">
        <is>
          <t>vn_sicht_einaeugig</t>
        </is>
      </c>
      <c r="B1117" s="11" t="inlineStr">
        <is>
          <t>Vor- und Nachteile</t>
        </is>
      </c>
      <c r="C1117" s="7" t="inlineStr">
        <is>
          <t>Sicht: Einäugig</t>
        </is>
      </c>
      <c r="G1117" s="11" t="inlineStr">
        <is>
          <t>Auswahl</t>
        </is>
      </c>
      <c r="L1117" s="28" t="n">
        <v>-400</v>
      </c>
      <c r="M1117" t="inlineStr">
        <is>
          <t>E</t>
        </is>
      </c>
      <c r="Q1117" t="inlineStr">
        <is>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is>
      </c>
    </row>
    <row r="1118" hidden="1" ht="15.75" customHeight="1" s="48">
      <c r="A1118" s="29" t="inlineStr">
        <is>
          <t>vn_sicht_infrarotsicht</t>
        </is>
      </c>
      <c r="B1118" s="11" t="inlineStr">
        <is>
          <t>Vor- und Nachteile</t>
        </is>
      </c>
      <c r="C1118" s="7" t="inlineStr">
        <is>
          <t>Sicht: Infrarotsicht</t>
        </is>
      </c>
      <c r="G1118" s="11" t="inlineStr">
        <is>
          <t>Auswahl</t>
        </is>
      </c>
      <c r="L1118" s="28" t="n">
        <v>150</v>
      </c>
      <c r="M1118" t="inlineStr">
        <is>
          <t>E</t>
        </is>
      </c>
      <c r="Q1118" t="inlineStr">
        <is>
          <t>Der Charakter nimmt Wärmequellen und Temperaturunterschiede als Infrarotbild wahr. Infrarotsicht benötigt kein Restlicht; die verbleibende Sichterschwerung beträgt immer −1.</t>
        </is>
      </c>
    </row>
    <row r="1119" hidden="1" ht="15.75" customHeight="1" s="48">
      <c r="A1119" t="inlineStr">
        <is>
          <t>vn_sicht_leicht_kurzsichtigkeit</t>
        </is>
      </c>
      <c r="B1119" t="inlineStr">
        <is>
          <t>Vor- und Nachteile</t>
        </is>
      </c>
      <c r="C1119" t="inlineStr">
        <is>
          <t>Sicht: Leichte Kurzsichtigkeit</t>
        </is>
      </c>
      <c r="G1119" t="inlineStr">
        <is>
          <t>Auswahl</t>
        </is>
      </c>
      <c r="J1119" t="inlineStr">
        <is>
          <t>EXKLUSIV_KURZSICHTIGKEIT=kurzsichtigkeit</t>
        </is>
      </c>
      <c r="L1119" s="28" t="n">
        <v>-30</v>
      </c>
      <c r="M1119" t="inlineStr">
        <is>
          <t>E</t>
        </is>
      </c>
      <c r="Q1119" t="inlineStr">
        <is>
          <t>Kurzsichtigkeit erschwert alle sichtbasierten Aktionen in mehr als 5 m Entfernung um 3. Der Vorteil „Blinder Kampf“ reduziert diese Erschwerung entsprechend seiner höchsten Stufe bis minimal 0. Eine passende Brille hebt die Erschwerung vollständig auf.</t>
        </is>
      </c>
    </row>
    <row r="1120" hidden="1" ht="15.75" customHeight="1" s="48">
      <c r="A1120" t="inlineStr">
        <is>
          <t>vn_sicht_mittel_kurzsichtigkeit</t>
        </is>
      </c>
      <c r="B1120" t="inlineStr">
        <is>
          <t>Vor- und Nachteile</t>
        </is>
      </c>
      <c r="C1120" t="inlineStr">
        <is>
          <t>Sicht: Mittlere Kurzsichtigkeit</t>
        </is>
      </c>
      <c r="G1120" t="inlineStr">
        <is>
          <t>Auswahl</t>
        </is>
      </c>
      <c r="J1120" t="inlineStr">
        <is>
          <t>EXKLUSIV_KURZSICHTIGKEIT=kurzsichtigkeit</t>
        </is>
      </c>
      <c r="L1120" s="28" t="n">
        <v>-60</v>
      </c>
      <c r="M1120" t="inlineStr">
        <is>
          <t>E</t>
        </is>
      </c>
      <c r="Q1120" t="inlineStr">
        <is>
          <t>Kurzsichtigkeit erschwert alle sichtbasierten Aktionen in mehr als 5 m Entfernung um 6. Der Vorteil „Blinder Kampf“ reduziert diese Erschwerung entsprechend seiner höchsten Stufe bis minimal 0. Eine passende Brille hebt die Erschwerung vollständig auf.</t>
        </is>
      </c>
    </row>
    <row r="1121" hidden="1" ht="15.75" customHeight="1" s="48">
      <c r="A1121" t="inlineStr">
        <is>
          <t>vn_sicht_schwer_kurzsichtigkeit</t>
        </is>
      </c>
      <c r="B1121" t="inlineStr">
        <is>
          <t>Vor- und Nachteile</t>
        </is>
      </c>
      <c r="C1121" t="inlineStr">
        <is>
          <t>Sicht: Schwere Kurzsichtigkeit</t>
        </is>
      </c>
      <c r="G1121" t="inlineStr">
        <is>
          <t>Auswahl</t>
        </is>
      </c>
      <c r="J1121" t="inlineStr">
        <is>
          <t>EXKLUSIV_KURZSICHTIGKEIT=kurzsichtigkeit</t>
        </is>
      </c>
      <c r="L1121" s="28" t="n">
        <v>-90</v>
      </c>
      <c r="M1121" t="inlineStr">
        <is>
          <t>E</t>
        </is>
      </c>
      <c r="Q1121" t="inlineStr">
        <is>
          <t>Kurzsichtigkeit erschwert alle sichtbasierten Aktionen in mehr als 5 m Entfernung um 9. Der Vorteil „Blinder Kampf“ reduziert diese Erschwerung entsprechend seiner höchsten Stufe bis minimal 0. Eine passende Brille hebt die Erschwerung vollständig auf.</t>
        </is>
      </c>
    </row>
    <row r="1122" hidden="1" ht="15.75" customHeight="1" s="48">
      <c r="A1122" t="inlineStr">
        <is>
          <t>vn_sicht_sehr_schwer_kurzsichtigkeit</t>
        </is>
      </c>
      <c r="B1122" t="inlineStr">
        <is>
          <t>Vor- und Nachteile</t>
        </is>
      </c>
      <c r="C1122" t="inlineStr">
        <is>
          <t>Sicht: Sehr schwere Kurzsichtigkeit</t>
        </is>
      </c>
      <c r="G1122" t="inlineStr">
        <is>
          <t>Auswahl</t>
        </is>
      </c>
      <c r="J1122" t="inlineStr">
        <is>
          <t>EXKLUSIV_KURZSICHTIGKEIT=kurzsichtigkeit</t>
        </is>
      </c>
      <c r="L1122" s="28" t="n">
        <v>-120</v>
      </c>
      <c r="M1122" t="inlineStr">
        <is>
          <t>E</t>
        </is>
      </c>
      <c r="Q1122" t="inlineStr">
        <is>
          <t>Kurzsichtigkeit erschwert alle sichtbasierten Aktionen in mehr als 5 m Entfernung um 12. Der Vorteil „Blinder Kampf“ reduziert diese Erschwerung entsprechend seiner höchsten Stufe bis minimal 0. Eine passende Brille hebt die Erschwerung vollständig auf.</t>
        </is>
      </c>
    </row>
    <row r="1123" hidden="1" ht="15.75" customHeight="1" s="48">
      <c r="A1123" t="inlineStr">
        <is>
          <t>vn_sicht_extrem_kurzsichtigkeit</t>
        </is>
      </c>
      <c r="B1123" t="inlineStr">
        <is>
          <t>Vor- und Nachteile</t>
        </is>
      </c>
      <c r="C1123" t="inlineStr">
        <is>
          <t>Sicht: Extreme Kurzsichtigkeit</t>
        </is>
      </c>
      <c r="G1123" t="inlineStr">
        <is>
          <t>Auswahl</t>
        </is>
      </c>
      <c r="J1123" t="inlineStr">
        <is>
          <t>EXKLUSIV_KURZSICHTIGKEIT=kurzsichtigkeit</t>
        </is>
      </c>
      <c r="L1123" s="28" t="n">
        <v>-180</v>
      </c>
      <c r="M1123" t="inlineStr">
        <is>
          <t>E</t>
        </is>
      </c>
      <c r="Q1123" t="inlineStr">
        <is>
          <t>Kurzsichtigkeit erschwert alle sichtbasierten Aktionen in mehr als 5 m Entfernung um 16. Der Vorteil „Blinder Kampf“ reduziert diese Erschwerung entsprechend seiner höchsten Stufe bis minimal 0. Eine passende Brille hebt die Erschwerung vollständig auf.</t>
        </is>
      </c>
    </row>
    <row r="1124" hidden="1" ht="15.75" customHeight="1" s="48">
      <c r="A1124" s="29" t="inlineStr">
        <is>
          <t>#vn_sicht_nachtsicht</t>
        </is>
      </c>
      <c r="B1124" s="11" t="inlineStr">
        <is>
          <t>Vor- und Nachteile</t>
        </is>
      </c>
      <c r="C1124" s="7" t="inlineStr">
        <is>
          <t>Sicht: Nachtsicht</t>
        </is>
      </c>
      <c r="E1124" t="inlineStr">
        <is>
          <t>Am 2026-08-26 redaktionell gestrichen.</t>
        </is>
      </c>
      <c r="G1124" s="11" t="inlineStr">
        <is>
          <t>Auswahl</t>
        </is>
      </c>
      <c r="J1124" t="inlineStr">
        <is>
          <t>DEAKTIVIERT_GESTRICHEN</t>
        </is>
      </c>
      <c r="L1124" s="28" t="n">
        <v>150</v>
      </c>
      <c r="M1124" t="inlineStr">
        <is>
          <t>E</t>
        </is>
      </c>
    </row>
    <row r="1125" hidden="1" ht="15.75" customHeight="1" s="48">
      <c r="A1125" t="inlineStr">
        <is>
          <t>vn_sicht_leicht_weitsichtigkeit</t>
        </is>
      </c>
      <c r="B1125" t="inlineStr">
        <is>
          <t>Vor- und Nachteile</t>
        </is>
      </c>
      <c r="C1125" t="inlineStr">
        <is>
          <t>Sicht: Leichte Weitsichtigkeit</t>
        </is>
      </c>
      <c r="G1125" t="inlineStr">
        <is>
          <t>Auswahl</t>
        </is>
      </c>
      <c r="J1125" t="inlineStr">
        <is>
          <t>EXKLUSIV_WEITSICHTIGKEIT=weitsichtigkeit</t>
        </is>
      </c>
      <c r="L1125" s="28" t="n">
        <v>-30</v>
      </c>
      <c r="M1125" t="inlineStr">
        <is>
          <t>E</t>
        </is>
      </c>
      <c r="Q1125" t="inlineStr">
        <is>
          <t>Weitsichtigkeit erschwert alle sichtbasierten Aktionen bis einschließlich 30 m Entfernung um 3. Der Vorteil „Blinder Kampf“ reduziert diese Erschwerung entsprechend seiner höchsten Stufe bis minimal 0. Eine passende Brille hebt die Erschwerung vollständig auf.</t>
        </is>
      </c>
    </row>
    <row r="1126" hidden="1" ht="15.75" customHeight="1" s="48">
      <c r="A1126" t="inlineStr">
        <is>
          <t>vn_sicht_mittel_weitsichtigkeit</t>
        </is>
      </c>
      <c r="B1126" t="inlineStr">
        <is>
          <t>Vor- und Nachteile</t>
        </is>
      </c>
      <c r="C1126" t="inlineStr">
        <is>
          <t>Sicht: Mittlere Weitsichtigkeit</t>
        </is>
      </c>
      <c r="G1126" t="inlineStr">
        <is>
          <t>Auswahl</t>
        </is>
      </c>
      <c r="J1126" t="inlineStr">
        <is>
          <t>EXKLUSIV_WEITSICHTIGKEIT=weitsichtigkeit</t>
        </is>
      </c>
      <c r="L1126" s="28" t="n">
        <v>-60</v>
      </c>
      <c r="M1126" t="inlineStr">
        <is>
          <t>E</t>
        </is>
      </c>
      <c r="Q1126" t="inlineStr">
        <is>
          <t>Weitsichtigkeit erschwert alle sichtbasierten Aktionen bis einschließlich 30 m Entfernung um 6. Der Vorteil „Blinder Kampf“ reduziert diese Erschwerung entsprechend seiner höchsten Stufe bis minimal 0. Eine passende Brille hebt die Erschwerung vollständig auf.</t>
        </is>
      </c>
    </row>
    <row r="1127" hidden="1" ht="15.75" customHeight="1" s="48">
      <c r="A1127" t="inlineStr">
        <is>
          <t>vn_sicht_schwer_weitsichtigkeit</t>
        </is>
      </c>
      <c r="B1127" t="inlineStr">
        <is>
          <t>Vor- und Nachteile</t>
        </is>
      </c>
      <c r="C1127" t="inlineStr">
        <is>
          <t>Sicht: Schwere Weitsichtigkeit</t>
        </is>
      </c>
      <c r="G1127" t="inlineStr">
        <is>
          <t>Auswahl</t>
        </is>
      </c>
      <c r="J1127" t="inlineStr">
        <is>
          <t>EXKLUSIV_WEITSICHTIGKEIT=weitsichtigkeit</t>
        </is>
      </c>
      <c r="L1127" s="28" t="n">
        <v>-90</v>
      </c>
      <c r="M1127" t="inlineStr">
        <is>
          <t>E</t>
        </is>
      </c>
      <c r="Q1127" t="inlineStr">
        <is>
          <t>Weitsichtigkeit erschwert alle sichtbasierten Aktionen bis einschließlich 30 m Entfernung um 9. Der Vorteil „Blinder Kampf“ reduziert diese Erschwerung entsprechend seiner höchsten Stufe bis minimal 0. Eine passende Brille hebt die Erschwerung vollständig auf.</t>
        </is>
      </c>
    </row>
    <row r="1128" hidden="1" ht="15.75" customHeight="1" s="48">
      <c r="A1128" t="inlineStr">
        <is>
          <t>vn_sicht_sehr_schwer_weitsichtigkeit</t>
        </is>
      </c>
      <c r="B1128" t="inlineStr">
        <is>
          <t>Vor- und Nachteile</t>
        </is>
      </c>
      <c r="C1128" t="inlineStr">
        <is>
          <t>Sicht: Sehr schwere Weitsichtigkeit</t>
        </is>
      </c>
      <c r="G1128" t="inlineStr">
        <is>
          <t>Auswahl</t>
        </is>
      </c>
      <c r="J1128" t="inlineStr">
        <is>
          <t>EXKLUSIV_WEITSICHTIGKEIT=weitsichtigkeit</t>
        </is>
      </c>
      <c r="L1128" s="28" t="n">
        <v>-120</v>
      </c>
      <c r="M1128" t="inlineStr">
        <is>
          <t>E</t>
        </is>
      </c>
      <c r="Q1128" t="inlineStr">
        <is>
          <t>Weitsichtigkeit erschwert alle sichtbasierten Aktionen bis einschließlich 30 m Entfernung um 12. Der Vorteil „Blinder Kampf“ reduziert diese Erschwerung entsprechend seiner höchsten Stufe bis minimal 0. Eine passende Brille hebt die Erschwerung vollständig auf.</t>
        </is>
      </c>
    </row>
    <row r="1129" hidden="1" ht="15.75" customHeight="1" s="48">
      <c r="A1129" t="inlineStr">
        <is>
          <t>vn_sicht_extrem_weitsichtigkeit</t>
        </is>
      </c>
      <c r="B1129" t="inlineStr">
        <is>
          <t>Vor- und Nachteile</t>
        </is>
      </c>
      <c r="C1129" t="inlineStr">
        <is>
          <t>Sicht: Extreme Weitsichtigkeit</t>
        </is>
      </c>
      <c r="G1129" t="inlineStr">
        <is>
          <t>Auswahl</t>
        </is>
      </c>
      <c r="J1129" t="inlineStr">
        <is>
          <t>EXKLUSIV_WEITSICHTIGKEIT=weitsichtigkeit</t>
        </is>
      </c>
      <c r="L1129" s="28" t="n">
        <v>-180</v>
      </c>
      <c r="M1129" t="inlineStr">
        <is>
          <t>E</t>
        </is>
      </c>
      <c r="Q1129" t="inlineStr">
        <is>
          <t>Weitsichtigkeit erschwert alle sichtbasierten Aktionen bis einschließlich 30 m Entfernung um 16. Der Vorteil „Blinder Kampf“ reduziert diese Erschwerung entsprechend seiner höchsten Stufe bis minimal 0. Eine passende Brille hebt die Erschwerung vollständig auf.</t>
        </is>
      </c>
    </row>
    <row r="1130" hidden="1" ht="15.75" customHeight="1" s="48">
      <c r="A1130" s="29" t="inlineStr">
        <is>
          <t>vn_sprachtalent</t>
        </is>
      </c>
      <c r="B1130" s="11" t="inlineStr">
        <is>
          <t>Vor- und Nachteile</t>
        </is>
      </c>
      <c r="C1130" s="7" t="inlineStr">
        <is>
          <t>Sprachtalent</t>
        </is>
      </c>
      <c r="G1130" s="11" t="inlineStr">
        <is>
          <t>Auswahl</t>
        </is>
      </c>
      <c r="L1130" s="28" t="n">
        <v>1500</v>
      </c>
      <c r="M1130" t="inlineStr">
        <is>
          <t>E</t>
        </is>
      </c>
      <c r="Q1130" t="inlineStr">
        <is>
          <t>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t>
        </is>
      </c>
    </row>
    <row r="1131" hidden="1" ht="15.75" customHeight="1" s="48">
      <c r="A1131" s="29" t="inlineStr">
        <is>
          <t>#vn_traege_reflexe</t>
        </is>
      </c>
      <c r="B1131" s="11" t="inlineStr">
        <is>
          <t>Vor- und Nachteile</t>
        </is>
      </c>
      <c r="C1131" s="7" t="inlineStr">
        <is>
          <t>Träge Reflexe</t>
        </is>
      </c>
      <c r="E1131" t="inlineStr">
        <is>
          <t>Am 2026-08-26 redaktionell auskommentiert; keine Wirkung festgelegt.</t>
        </is>
      </c>
      <c r="G1131" s="11" t="inlineStr">
        <is>
          <t>Auswahl</t>
        </is>
      </c>
      <c r="J1131" t="inlineStr">
        <is>
          <t>DEAKTIVIERT_AUSKOMMENTIERT</t>
        </is>
      </c>
      <c r="L1131" s="28" t="n">
        <v>-120</v>
      </c>
      <c r="M1131" t="inlineStr">
        <is>
          <t>E</t>
        </is>
      </c>
    </row>
    <row r="1132" hidden="1" ht="15.75" customHeight="1" s="48">
      <c r="A1132" s="29" t="inlineStr">
        <is>
          <t>#vn_unempfindlichkeit_gegen_alchemie</t>
        </is>
      </c>
      <c r="B1132" s="11" t="inlineStr">
        <is>
          <t>Vor- und Nachteile</t>
        </is>
      </c>
      <c r="C1132" s="7" t="inlineStr">
        <is>
          <t>Unempfindlichkeit gegen Alchemie</t>
        </is>
      </c>
      <c r="E1132" t="inlineStr">
        <is>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is>
      </c>
      <c r="G1132" s="11" t="inlineStr">
        <is>
          <t>Auswahl</t>
        </is>
      </c>
      <c r="L1132" s="28" t="n">
        <v>-50</v>
      </c>
      <c r="M1132" t="inlineStr">
        <is>
          <t>E&amp;3</t>
        </is>
      </c>
      <c r="Q1132" t="inlineStr">
        <is>
          <t>Das Maximum der Sonderfertigkeit Alchemieresistenz erhöht sich um 12.</t>
        </is>
      </c>
    </row>
    <row r="1133" hidden="1" ht="15.75" customHeight="1" s="48">
      <c r="A1133" s="29" t="inlineStr">
        <is>
          <t>vn_unempfindlichkeit_gegen_profane_waffen</t>
        </is>
      </c>
      <c r="B1133" s="11" t="inlineStr">
        <is>
          <t>Vor- und Nachteile</t>
        </is>
      </c>
      <c r="C1133" s="7" t="inlineStr">
        <is>
          <t>Unempfindlichkeit gegen profane Waffen</t>
        </is>
      </c>
      <c r="G1133" s="11" t="inlineStr">
        <is>
          <t>Auswahl</t>
        </is>
      </c>
      <c r="J1133" t="inlineStr">
        <is>
          <t>PROFANE_WAFFEN_TP_FAKTOR=0,5</t>
        </is>
      </c>
      <c r="L1133" s="28" t="n">
        <v>1000</v>
      </c>
      <c r="M1133" t="inlineStr">
        <is>
          <t>E</t>
        </is>
      </c>
      <c r="Q1133" t="inlineStr">
        <is>
          <t>Der Charakter erleidet durch profane Waffen nur halbe TP.</t>
        </is>
      </c>
    </row>
    <row r="1134" hidden="1" ht="15.75" customHeight="1" s="48">
      <c r="A1134" s="29" t="inlineStr">
        <is>
          <t>vn_weltgewandt</t>
        </is>
      </c>
      <c r="B1134" s="11" t="inlineStr">
        <is>
          <t>Vor- und Nachteile</t>
        </is>
      </c>
      <c r="C1134" s="7" t="inlineStr">
        <is>
          <t>Weltgewandt</t>
        </is>
      </c>
      <c r="G1134" s="11" t="inlineStr">
        <is>
          <t>Auswahl</t>
        </is>
      </c>
      <c r="J1134" t="inlineStr">
        <is>
          <t>VORAUSSETZUNG=AUS 15; INT 15; [Sprache] 1</t>
        </is>
      </c>
      <c r="L1134" s="28" t="n">
        <v>100</v>
      </c>
      <c r="M1134" t="inlineStr">
        <is>
          <t>E</t>
        </is>
      </c>
      <c r="Q1134" t="inlineStr">
        <is>
          <t>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t>
        </is>
      </c>
    </row>
    <row r="1135" hidden="1" ht="15.75" customHeight="1" s="48">
      <c r="A1135" t="inlineStr">
        <is>
          <t>mana_regeneration_pro_stunde</t>
        </is>
      </c>
      <c r="B1135" t="inlineStr">
        <is>
          <t>Charakterwerte</t>
        </is>
      </c>
      <c r="C1135" s="18" t="inlineStr">
        <is>
          <t>Mana-Regeneration pro Stunde</t>
        </is>
      </c>
      <c r="E1135" s="14" t="inlineStr">
        <is>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is>
      </c>
      <c r="F1135" s="14" t="n"/>
      <c r="G1135" t="inlineStr">
        <is>
          <t>Formel</t>
        </is>
      </c>
      <c r="H1135" t="inlineStr">
        <is>
          <t>att_aura*2</t>
        </is>
      </c>
    </row>
    <row r="1136" hidden="1" ht="15.75" customHeight="1" s="48">
      <c r="C1136" s="7" t="n"/>
      <c r="E1136" s="10" t="n"/>
      <c r="F1136" s="10" t="n"/>
      <c r="G1136" s="10" t="n"/>
    </row>
    <row r="1137" hidden="1" ht="15.75" customHeight="1" s="48">
      <c r="C1137" s="7" t="n"/>
      <c r="E1137" s="10" t="n"/>
      <c r="F1137" s="10" t="n"/>
      <c r="G1137" s="10" t="n"/>
    </row>
    <row r="1138" hidden="1" ht="15.75" customHeight="1" s="48">
      <c r="C1138" s="7" t="n"/>
      <c r="E1138" s="10" t="n"/>
      <c r="F1138" s="10" t="n"/>
      <c r="G1138" s="10" t="n"/>
    </row>
    <row r="1139" hidden="1" ht="15.75" customHeight="1" s="48"/>
    <row r="1140" hidden="1" ht="15.75" customHeight="1" s="48"/>
    <row r="1141" hidden="1" ht="15.75" customHeight="1" s="48"/>
    <row r="1142" hidden="1" ht="15.75" customHeight="1" s="48"/>
    <row r="1143" hidden="1" ht="15.75" customHeight="1" s="48"/>
    <row r="1144" hidden="1" ht="15.75" customHeight="1" s="48"/>
    <row r="1145" hidden="1" ht="15.75" customHeight="1" s="48"/>
    <row r="1146" hidden="1" ht="15.75" customHeight="1" s="48"/>
    <row r="1147" hidden="1" ht="15.75" customHeight="1" s="48"/>
    <row r="1148" hidden="1" ht="15.75" customHeight="1" s="48"/>
    <row r="1149" hidden="1" ht="15.75" customHeight="1" s="48"/>
    <row r="1150" hidden="1" ht="15.75" customHeight="1" s="48"/>
    <row r="1151" hidden="1" ht="15.75" customHeight="1" s="48"/>
    <row r="1152" hidden="1" ht="15.75" customHeight="1" s="48"/>
    <row r="1153" hidden="1" ht="15.75" customHeight="1" s="48"/>
    <row r="1154" hidden="1" ht="15.75" customHeight="1" s="48"/>
    <row r="1155" hidden="1" ht="15.75" customHeight="1" s="48"/>
    <row r="1156" hidden="1" ht="15.75" customHeight="1" s="48"/>
    <row r="1157" hidden="1" ht="15.75" customHeight="1" s="48">
      <c r="H1157" s="29" t="n"/>
      <c r="I1157" s="29" t="n"/>
    </row>
    <row r="1158" hidden="1" ht="15.75" customHeight="1" s="48"/>
    <row r="1159" hidden="1" ht="15.75" customHeight="1" s="48"/>
    <row r="1160" hidden="1" ht="15.75" customHeight="1" s="48"/>
    <row r="1161" hidden="1" ht="15.75" customHeight="1" s="48"/>
    <row r="1162" hidden="1" ht="15.75" customHeight="1" s="48"/>
    <row r="1163" hidden="1" ht="15.75" customHeight="1" s="48">
      <c r="H1163" s="29" t="n"/>
      <c r="I1163" s="29" t="n"/>
    </row>
    <row r="1164" hidden="1" ht="15.75" customHeight="1" s="48"/>
    <row r="1165" hidden="1" ht="15.75" customHeight="1" s="48"/>
    <row r="1166" hidden="1" ht="15.75" customHeight="1" s="48"/>
    <row r="1167" hidden="1" ht="15.75" customHeight="1" s="48"/>
    <row r="1168" hidden="1" ht="15.75" customHeight="1" s="48"/>
    <row r="1169" hidden="1" ht="15.75" customHeight="1" s="48"/>
    <row r="1170" hidden="1" ht="15.75" customHeight="1" s="48"/>
    <row r="1171" hidden="1" ht="15.75" customHeight="1" s="48"/>
    <row r="1172" hidden="1" ht="15.75" customHeight="1" s="48"/>
    <row r="1173" hidden="1" ht="15.75" customHeight="1" s="48"/>
    <row r="1174" hidden="1" ht="15.75" customHeight="1" s="48"/>
    <row r="1175" hidden="1" ht="15.75" customHeight="1" s="48"/>
    <row r="1176" hidden="1" ht="15.75" customHeight="1" s="48"/>
    <row r="1177" hidden="1" ht="15.75" customHeight="1" s="48"/>
    <row r="1178" hidden="1" ht="15.75" customHeight="1" s="48"/>
    <row r="1179" hidden="1" ht="15.75" customHeight="1" s="48"/>
    <row r="1180" hidden="1" ht="15.75" customHeight="1" s="48"/>
    <row r="1181" hidden="1" ht="15.75" customHeight="1" s="48"/>
    <row r="1182" hidden="1" ht="15.75" customHeight="1" s="48"/>
    <row r="1183" hidden="1" ht="15.75" customHeight="1" s="48"/>
    <row r="1184" hidden="1" ht="15.75" customHeight="1" s="48"/>
    <row r="1185" hidden="1" ht="15.75" customHeight="1" s="48">
      <c r="H1185" s="29" t="n"/>
      <c r="I1185" s="29" t="n"/>
    </row>
    <row r="1186" hidden="1" ht="15.75" customHeight="1" s="48"/>
    <row r="1187" hidden="1" ht="15.75" customHeight="1" s="48"/>
    <row r="1188" hidden="1" ht="15.75" customHeight="1" s="48"/>
    <row r="1189" hidden="1" ht="15.75" customHeight="1" s="48"/>
    <row r="1190" hidden="1" ht="15.75" customHeight="1" s="48"/>
    <row r="1191" hidden="1" ht="15.75" customHeight="1" s="48">
      <c r="H1191" s="29" t="n"/>
      <c r="I1191" s="29" t="n"/>
    </row>
    <row r="1192" hidden="1" ht="15.75" customHeight="1" s="48"/>
    <row r="1193" hidden="1" ht="15.75" customHeight="1" s="48"/>
    <row r="1194" hidden="1" ht="15.75" customHeight="1" s="48">
      <c r="C1194" s="18" t="n"/>
      <c r="E1194" s="14" t="n"/>
      <c r="F1194" s="14" t="n"/>
    </row>
    <row r="1195" hidden="1" ht="15.75" customHeight="1" s="48">
      <c r="C1195" s="18" t="n"/>
      <c r="E1195" s="14" t="n"/>
      <c r="F1195" s="14" t="n"/>
    </row>
    <row r="1196" hidden="1" ht="15.75" customHeight="1" s="48">
      <c r="C1196" s="18" t="n"/>
      <c r="E1196" s="14" t="n"/>
      <c r="F1196" s="14" t="n"/>
    </row>
    <row r="1197" hidden="1" ht="15.75" customHeight="1" s="48">
      <c r="C1197" s="18" t="n"/>
      <c r="E1197" s="14" t="n"/>
      <c r="F1197" s="14" t="n"/>
    </row>
    <row r="1198" hidden="1" ht="15.75" customHeight="1" s="48">
      <c r="C1198" s="18" t="n"/>
      <c r="E1198" s="14" t="n"/>
      <c r="F1198" s="14" t="n"/>
    </row>
    <row r="1199" hidden="1" ht="15.75" customHeight="1" s="48">
      <c r="C1199" s="18" t="n"/>
      <c r="E1199" s="14" t="n"/>
      <c r="F1199" s="14" t="n"/>
    </row>
    <row r="1200" hidden="1" ht="15.75" customHeight="1" s="48">
      <c r="C1200" s="18" t="n"/>
      <c r="E1200" s="14" t="n"/>
      <c r="F1200" s="14" t="n"/>
    </row>
    <row r="1201" hidden="1" ht="15.75" customHeight="1" s="48">
      <c r="C1201" s="18" t="n"/>
      <c r="E1201" s="14" t="n"/>
      <c r="F1201" s="14" t="n"/>
    </row>
    <row r="1202" hidden="1" ht="15.75" customHeight="1" s="48">
      <c r="C1202" s="18" t="n"/>
      <c r="E1202" s="14" t="n"/>
      <c r="F1202" s="14" t="n"/>
    </row>
    <row r="1203" hidden="1" ht="15.75" customHeight="1" s="48">
      <c r="C1203" s="18" t="n"/>
      <c r="E1203" s="14" t="n"/>
      <c r="F1203" s="14" t="n"/>
    </row>
    <row r="1204" hidden="1" ht="15.75" customHeight="1" s="48">
      <c r="C1204" s="18" t="n"/>
      <c r="E1204" s="14" t="n"/>
      <c r="F1204" s="14" t="n"/>
    </row>
    <row r="1205" hidden="1" ht="15.75" customHeight="1" s="48">
      <c r="C1205" s="18" t="n"/>
      <c r="E1205" s="14" t="n"/>
      <c r="F1205" s="14" t="n"/>
    </row>
    <row r="1206" hidden="1" ht="15.75" customHeight="1" s="48">
      <c r="C1206" s="18" t="n"/>
      <c r="E1206" s="14" t="n"/>
      <c r="F1206" s="14" t="n"/>
    </row>
    <row r="1207" hidden="1" ht="15.75" customHeight="1" s="48">
      <c r="C1207" s="18" t="n"/>
      <c r="E1207" s="14" t="n"/>
      <c r="F1207" s="14" t="n"/>
    </row>
    <row r="1208" hidden="1" ht="15.75" customHeight="1" s="48">
      <c r="C1208" s="18" t="n"/>
      <c r="E1208" s="14" t="n"/>
      <c r="F1208" s="14" t="n"/>
    </row>
    <row r="1209" hidden="1" ht="15.75" customHeight="1" s="48">
      <c r="C1209" s="18" t="n"/>
      <c r="E1209" s="14" t="n"/>
      <c r="F1209" s="14" t="n"/>
    </row>
    <row r="1210" hidden="1" ht="15.75" customHeight="1" s="48">
      <c r="C1210" s="18" t="n"/>
      <c r="E1210" s="14" t="n"/>
      <c r="F1210" s="14" t="n"/>
    </row>
    <row r="1211" hidden="1" ht="15.75" customHeight="1" s="48">
      <c r="C1211" s="18" t="n"/>
      <c r="E1211" s="14" t="n"/>
      <c r="F1211" s="14" t="n"/>
    </row>
    <row r="1212" hidden="1" ht="15.75" customHeight="1" s="48">
      <c r="C1212" s="18" t="n"/>
      <c r="E1212" s="14" t="n"/>
      <c r="F1212" s="14" t="n"/>
    </row>
    <row r="1213" hidden="1" ht="15.75" customHeight="1" s="48">
      <c r="C1213" s="18" t="n"/>
      <c r="E1213" s="14" t="n"/>
      <c r="F1213" s="14" t="n"/>
    </row>
    <row r="1214" hidden="1" ht="15.75" customHeight="1" s="48">
      <c r="C1214" s="18" t="n"/>
      <c r="E1214" s="14" t="n"/>
      <c r="F1214" s="14" t="n"/>
    </row>
    <row r="1215" hidden="1" ht="15.75" customHeight="1" s="48">
      <c r="C1215" s="18" t="n"/>
      <c r="E1215" s="14" t="n"/>
      <c r="F1215" s="14" t="n"/>
    </row>
    <row r="1216" hidden="1" ht="15.75" customHeight="1" s="48">
      <c r="C1216" s="18" t="n"/>
      <c r="E1216" s="14" t="n"/>
      <c r="F1216" s="14" t="n"/>
    </row>
    <row r="1217" hidden="1" ht="15.75" customHeight="1" s="48">
      <c r="C1217" s="18" t="n"/>
      <c r="E1217" s="14" t="n"/>
      <c r="F1217" s="14" t="n"/>
    </row>
    <row r="1218" hidden="1" ht="15.75" customHeight="1" s="48">
      <c r="C1218" s="18" t="n"/>
      <c r="E1218" s="14" t="n"/>
      <c r="F1218" s="14" t="n"/>
    </row>
    <row r="1219" hidden="1" ht="15.75" customHeight="1" s="48">
      <c r="C1219" s="18" t="n"/>
      <c r="E1219" s="14" t="n"/>
      <c r="F1219" s="14" t="n"/>
    </row>
    <row r="1220" hidden="1" ht="15.75" customHeight="1" s="48">
      <c r="C1220" s="18" t="n"/>
      <c r="E1220" s="14" t="n"/>
      <c r="F1220" s="14" t="n"/>
    </row>
    <row r="1221" hidden="1" ht="15.75" customHeight="1" s="48">
      <c r="C1221" s="18" t="n"/>
      <c r="E1221" s="14" t="n"/>
      <c r="F1221" s="14" t="n"/>
    </row>
    <row r="1222" hidden="1" ht="15.75" customHeight="1" s="48">
      <c r="C1222" s="18" t="n"/>
      <c r="E1222" s="14" t="n"/>
      <c r="F1222" s="14" t="n"/>
    </row>
    <row r="1223" hidden="1" ht="15.75" customHeight="1" s="48">
      <c r="C1223" s="18" t="n"/>
      <c r="E1223" s="14" t="n"/>
      <c r="F1223" s="14" t="n"/>
    </row>
    <row r="1224" hidden="1" ht="15.75" customHeight="1" s="48">
      <c r="C1224" s="18" t="n"/>
      <c r="E1224" s="14" t="n"/>
      <c r="F1224" s="14" t="n"/>
    </row>
    <row r="1225" hidden="1" ht="15.75" customHeight="1" s="48">
      <c r="C1225" s="18" t="n"/>
      <c r="E1225" s="14" t="n"/>
      <c r="F1225" s="14" t="n"/>
    </row>
    <row r="1226" hidden="1" ht="15.75" customHeight="1" s="48">
      <c r="C1226" s="18" t="n"/>
      <c r="E1226" s="14" t="n"/>
      <c r="F1226" s="14" t="n"/>
    </row>
    <row r="1227" hidden="1" ht="15.75" customHeight="1" s="48">
      <c r="C1227" s="18" t="n"/>
      <c r="E1227" s="14" t="n"/>
      <c r="F1227" s="14" t="n"/>
    </row>
    <row r="1228" hidden="1" ht="15.75" customHeight="1" s="48">
      <c r="C1228" s="18" t="n"/>
      <c r="E1228" s="14" t="n"/>
      <c r="F1228" s="14" t="n"/>
    </row>
    <row r="1229" hidden="1" ht="15.75" customHeight="1" s="48">
      <c r="C1229" s="18" t="n"/>
      <c r="E1229" s="14" t="n"/>
      <c r="F1229" s="14" t="n"/>
    </row>
    <row r="1230" hidden="1" ht="15.75" customHeight="1" s="48">
      <c r="C1230" s="18" t="n"/>
      <c r="E1230" s="14" t="n"/>
      <c r="F1230" s="14" t="n"/>
    </row>
    <row r="1231" hidden="1" ht="15.75" customHeight="1" s="48">
      <c r="C1231" s="18" t="n"/>
      <c r="E1231" s="14" t="n"/>
      <c r="F1231" s="14" t="n"/>
    </row>
    <row r="1232" hidden="1" ht="15.75" customHeight="1" s="48">
      <c r="C1232" s="18" t="n"/>
      <c r="E1232" s="14" t="n"/>
      <c r="F1232" s="14" t="n"/>
    </row>
    <row r="1233" hidden="1" ht="15.75" customHeight="1" s="48">
      <c r="C1233" s="7" t="n"/>
      <c r="E1233" s="10" t="n"/>
      <c r="F1233" s="10" t="n"/>
      <c r="G1233" s="10" t="n"/>
    </row>
    <row r="1234" hidden="1" ht="15.75" customHeight="1" s="48">
      <c r="C1234" s="7" t="n"/>
      <c r="E1234" s="10" t="n"/>
      <c r="F1234" s="10" t="n"/>
      <c r="G1234" s="10" t="n"/>
    </row>
    <row r="1235" hidden="1" ht="15.75" customHeight="1" s="48">
      <c r="C1235" s="7" t="n"/>
      <c r="E1235" s="10" t="n"/>
      <c r="F1235" s="10" t="n"/>
      <c r="G1235" s="10" t="n"/>
    </row>
    <row r="1236" hidden="1" ht="15.75" customHeight="1" s="48">
      <c r="C1236" s="7" t="n"/>
      <c r="E1236" s="10" t="n"/>
      <c r="F1236" s="10" t="n"/>
      <c r="G1236" s="10" t="n"/>
    </row>
    <row r="1237" hidden="1" ht="15.75" customHeight="1" s="48">
      <c r="C1237" s="7" t="n"/>
      <c r="E1237" s="10" t="n"/>
      <c r="F1237" s="10" t="n"/>
      <c r="G1237" s="10" t="n"/>
    </row>
    <row r="1238" hidden="1" ht="15.75" customHeight="1" s="48">
      <c r="C1238" s="7" t="n"/>
      <c r="E1238" s="10" t="n"/>
      <c r="F1238" s="10" t="n"/>
      <c r="G1238" s="10" t="n"/>
    </row>
    <row r="1239" hidden="1" ht="15.75" customHeight="1" s="48">
      <c r="C1239" s="7" t="n"/>
      <c r="E1239" s="10" t="n"/>
      <c r="F1239" s="10" t="n"/>
      <c r="G1239" s="10" t="n"/>
    </row>
    <row r="1240" hidden="1" ht="15.75" customHeight="1" s="48">
      <c r="C1240" s="7" t="n"/>
      <c r="E1240" s="10" t="n"/>
      <c r="F1240" s="10" t="n"/>
      <c r="G1240" s="10" t="n"/>
    </row>
    <row r="1241" hidden="1" ht="15.75" customHeight="1" s="48">
      <c r="C1241" s="7" t="n"/>
      <c r="E1241" s="10" t="n"/>
      <c r="F1241" s="10" t="n"/>
      <c r="G1241" s="10" t="n"/>
    </row>
    <row r="1242" hidden="1" ht="15.75" customHeight="1" s="48">
      <c r="C1242" s="22" t="n"/>
      <c r="E1242" s="10" t="n"/>
      <c r="F1242" s="10" t="n"/>
      <c r="G1242" s="10" t="n"/>
    </row>
    <row r="1243" hidden="1" ht="15.75" customHeight="1" s="48">
      <c r="C1243" s="7" t="n"/>
      <c r="E1243" s="10" t="n"/>
      <c r="F1243" s="10" t="n"/>
      <c r="G1243" s="10" t="n"/>
    </row>
    <row r="1244" hidden="1" ht="15.75" customHeight="1" s="48">
      <c r="C1244" s="22" t="n"/>
      <c r="E1244" s="10" t="n"/>
      <c r="F1244" s="10" t="n"/>
      <c r="G1244" s="10" t="n"/>
    </row>
    <row r="1245" hidden="1" ht="15.75" customHeight="1" s="48">
      <c r="C1245" s="22" t="n"/>
      <c r="E1245" s="10" t="n"/>
      <c r="F1245" s="10" t="n"/>
      <c r="G1245" s="10" t="n"/>
    </row>
    <row r="1246" hidden="1" ht="15.75" customHeight="1" s="48">
      <c r="C1246" s="7" t="n"/>
      <c r="E1246" s="10" t="n"/>
      <c r="F1246" s="10" t="n"/>
      <c r="G1246" s="10" t="n"/>
    </row>
    <row r="1247" hidden="1" ht="15.75" customHeight="1" s="48">
      <c r="C1247" s="7" t="n"/>
      <c r="E1247" s="10" t="n"/>
      <c r="F1247" s="10" t="n"/>
      <c r="G1247" s="10" t="n"/>
    </row>
    <row r="1248" hidden="1" ht="15.75" customHeight="1" s="48">
      <c r="C1248" s="22" t="n"/>
      <c r="E1248" s="10" t="n"/>
      <c r="F1248" s="10" t="n"/>
      <c r="G1248" s="10" t="n"/>
    </row>
    <row r="1249" hidden="1" ht="15.75" customHeight="1" s="48">
      <c r="C1249" s="7" t="n"/>
      <c r="E1249" s="10" t="n"/>
      <c r="F1249" s="10" t="n"/>
      <c r="G1249" s="10" t="n"/>
    </row>
    <row r="1250" hidden="1" ht="15.75" customHeight="1" s="48">
      <c r="C1250" s="22" t="n"/>
      <c r="E1250" s="10" t="n"/>
      <c r="F1250" s="10" t="n"/>
      <c r="G1250" s="10" t="n"/>
    </row>
    <row r="1251" hidden="1" ht="15.75" customHeight="1" s="48">
      <c r="C1251" s="22" t="n"/>
      <c r="E1251" s="10" t="n"/>
      <c r="F1251" s="10" t="n"/>
      <c r="G1251" s="10" t="n"/>
    </row>
    <row r="1252" hidden="1" ht="15.75" customHeight="1" s="48">
      <c r="C1252" s="7" t="n"/>
      <c r="E1252" s="10" t="n"/>
      <c r="F1252" s="10" t="n"/>
      <c r="G1252" s="10" t="n"/>
    </row>
    <row r="1253" hidden="1" ht="15.75" customHeight="1" s="48">
      <c r="C1253" s="7" t="n"/>
      <c r="E1253" s="10" t="n"/>
      <c r="F1253" s="10" t="n"/>
      <c r="G1253" s="10" t="n"/>
    </row>
    <row r="1254" hidden="1" ht="15.75" customHeight="1" s="48">
      <c r="C1254" s="7" t="n"/>
      <c r="E1254" s="10" t="n"/>
      <c r="F1254" s="10" t="n"/>
      <c r="G1254" s="10" t="n"/>
    </row>
    <row r="1255" hidden="1" ht="15.75" customHeight="1" s="48">
      <c r="C1255" s="7" t="n"/>
      <c r="E1255" s="10" t="n"/>
      <c r="F1255" s="10" t="n"/>
      <c r="G1255" s="10" t="n"/>
    </row>
    <row r="1256" hidden="1" ht="15.75" customHeight="1" s="48">
      <c r="C1256" s="7" t="n"/>
      <c r="E1256" s="10" t="n"/>
      <c r="F1256" s="10" t="n"/>
      <c r="G1256" s="10" t="n"/>
    </row>
    <row r="1257" hidden="1" ht="15.75" customHeight="1" s="48">
      <c r="C1257" s="7" t="n"/>
      <c r="E1257" s="10" t="n"/>
      <c r="F1257" s="10" t="n"/>
      <c r="G1257" s="10" t="n"/>
    </row>
    <row r="1258" hidden="1" ht="15.75" customHeight="1" s="48">
      <c r="C1258" s="7" t="n"/>
      <c r="E1258" s="10" t="n"/>
      <c r="F1258" s="10" t="n"/>
      <c r="G1258" s="10" t="n"/>
    </row>
    <row r="1259" hidden="1" ht="15.75" customHeight="1" s="48">
      <c r="C1259" s="7" t="n"/>
      <c r="E1259" s="10" t="n"/>
      <c r="F1259" s="10" t="n"/>
      <c r="G1259" s="10" t="n"/>
    </row>
    <row r="1260" hidden="1" ht="15.75" customHeight="1" s="48">
      <c r="C1260" s="7" t="n"/>
      <c r="E1260" s="10" t="n"/>
      <c r="F1260" s="10" t="n"/>
      <c r="G1260" s="10" t="n"/>
    </row>
    <row r="1261" hidden="1" ht="15.75" customHeight="1" s="48">
      <c r="C1261" s="7" t="n"/>
      <c r="E1261" s="10" t="n"/>
      <c r="F1261" s="10" t="n"/>
      <c r="G1261" s="10" t="n"/>
    </row>
    <row r="1262" hidden="1" ht="15.75" customHeight="1" s="48">
      <c r="C1262" s="7" t="n"/>
      <c r="E1262" s="10" t="n"/>
      <c r="F1262" s="10" t="n"/>
      <c r="G1262" s="10" t="n"/>
    </row>
    <row r="1263" hidden="1" ht="15.75" customHeight="1" s="48">
      <c r="C1263" s="7" t="n"/>
      <c r="E1263" s="10" t="n"/>
      <c r="F1263" s="10" t="n"/>
      <c r="G1263" s="10" t="n"/>
    </row>
    <row r="1264" hidden="1" ht="15.75" customHeight="1" s="48">
      <c r="C1264" s="7" t="n"/>
      <c r="E1264" s="10" t="n"/>
      <c r="F1264" s="10" t="n"/>
      <c r="G1264" s="10" t="n"/>
    </row>
    <row r="1265" hidden="1" ht="15.75" customHeight="1" s="48">
      <c r="C1265" s="7" t="n"/>
      <c r="E1265" s="10" t="n"/>
      <c r="F1265" s="10" t="n"/>
      <c r="G1265" s="10" t="n"/>
    </row>
    <row r="1266" hidden="1" ht="15.75" customHeight="1" s="48">
      <c r="C1266" s="7" t="n"/>
      <c r="E1266" s="10" t="n"/>
      <c r="F1266" s="10" t="n"/>
      <c r="G1266" s="10" t="n"/>
    </row>
    <row r="1267" hidden="1" ht="15.75" customHeight="1" s="48">
      <c r="C1267" s="7" t="n"/>
      <c r="E1267" s="10" t="n"/>
      <c r="F1267" s="10" t="n"/>
      <c r="G1267" s="10" t="n"/>
    </row>
    <row r="1268" hidden="1" ht="15.75" customHeight="1" s="48">
      <c r="C1268" s="7" t="n"/>
      <c r="E1268" s="10" t="n"/>
      <c r="F1268" s="10" t="n"/>
      <c r="G1268" s="10" t="n"/>
    </row>
    <row r="1269" hidden="1" ht="15.75" customHeight="1" s="48">
      <c r="C1269" s="7" t="n"/>
      <c r="E1269" s="10" t="n"/>
      <c r="F1269" s="10" t="n"/>
      <c r="G1269" s="10" t="n"/>
    </row>
    <row r="1270" hidden="1" ht="15.75" customHeight="1" s="48">
      <c r="C1270" s="7" t="n"/>
      <c r="E1270" s="10" t="n"/>
      <c r="F1270" s="10" t="n"/>
      <c r="G1270" s="10" t="n"/>
    </row>
    <row r="1271" hidden="1" ht="15.75" customHeight="1" s="48">
      <c r="C1271" s="7" t="n"/>
      <c r="E1271" s="10" t="n"/>
      <c r="F1271" s="10" t="n"/>
      <c r="G1271" s="10" t="n"/>
    </row>
    <row r="1272" hidden="1" ht="15.75" customHeight="1" s="48">
      <c r="C1272" s="7" t="n"/>
      <c r="E1272" s="10" t="n"/>
      <c r="F1272" s="10" t="n"/>
      <c r="G1272" s="10" t="n"/>
    </row>
    <row r="1273" hidden="1" ht="15.75" customHeight="1" s="48">
      <c r="C1273" s="23" t="n"/>
      <c r="E1273" s="10" t="n"/>
      <c r="F1273" s="10" t="n"/>
      <c r="G1273" s="10" t="n"/>
    </row>
    <row r="1274" hidden="1" ht="15.75" customHeight="1" s="48">
      <c r="C1274" s="23" t="n"/>
      <c r="E1274" s="10" t="n"/>
      <c r="F1274" s="10" t="n"/>
      <c r="G1274" s="10" t="n"/>
    </row>
    <row r="1275" hidden="1" ht="15.75" customHeight="1" s="48">
      <c r="C1275" s="23" t="n"/>
      <c r="E1275" s="10" t="n"/>
      <c r="F1275" s="10" t="n"/>
      <c r="G1275" s="10" t="n"/>
    </row>
    <row r="1276" hidden="1" ht="15.75" customHeight="1" s="48">
      <c r="C1276" s="23" t="n"/>
      <c r="E1276" s="10" t="n"/>
      <c r="F1276" s="10" t="n"/>
      <c r="G1276" s="10" t="n"/>
    </row>
    <row r="1277" hidden="1" ht="15.75" customHeight="1" s="48">
      <c r="C1277" s="23" t="n"/>
      <c r="E1277" s="10" t="n"/>
      <c r="F1277" s="10" t="n"/>
      <c r="G1277" s="10" t="n"/>
    </row>
    <row r="1278" hidden="1" ht="15.75" customHeight="1" s="48">
      <c r="C1278" s="23" t="n"/>
      <c r="E1278" s="10" t="n"/>
      <c r="F1278" s="10" t="n"/>
      <c r="G1278" s="10" t="n"/>
    </row>
    <row r="1279" hidden="1" ht="15.75" customHeight="1" s="48">
      <c r="C1279" s="23" t="n"/>
      <c r="E1279" s="10" t="n"/>
      <c r="F1279" s="10" t="n"/>
      <c r="G1279" s="10" t="n"/>
    </row>
    <row r="1280" hidden="1" ht="15.75" customHeight="1" s="48">
      <c r="C1280" s="7" t="n"/>
      <c r="E1280" s="10" t="n"/>
      <c r="F1280" s="10" t="n"/>
      <c r="G1280" s="10" t="n"/>
    </row>
    <row r="1281" hidden="1" ht="15.75" customHeight="1" s="48">
      <c r="C1281" s="26" t="n"/>
      <c r="E1281" s="10" t="n"/>
      <c r="F1281" s="10" t="n"/>
      <c r="G1281" s="10" t="n"/>
    </row>
    <row r="1282" hidden="1" ht="15.75" customHeight="1" s="48">
      <c r="C1282" s="7" t="n"/>
      <c r="E1282" s="10" t="n"/>
      <c r="F1282" s="10" t="n"/>
      <c r="G1282" s="10" t="n"/>
    </row>
    <row r="1283" hidden="1" ht="15.75" customHeight="1" s="48">
      <c r="C1283" s="7" t="n"/>
      <c r="E1283" s="10" t="n"/>
      <c r="F1283" s="10" t="n"/>
      <c r="G1283" s="10" t="n"/>
    </row>
    <row r="1284" hidden="1" ht="15.75" customHeight="1" s="48">
      <c r="C1284" s="7" t="n"/>
      <c r="E1284" s="10" t="n"/>
      <c r="F1284" s="10" t="n"/>
      <c r="G1284" s="10" t="n"/>
    </row>
    <row r="1285" hidden="1" ht="15.75" customHeight="1" s="48">
      <c r="C1285" s="26" t="n"/>
      <c r="E1285" s="10" t="n"/>
      <c r="F1285" s="10" t="n"/>
      <c r="G1285" s="10" t="n"/>
    </row>
    <row r="1286" hidden="1" ht="15.75" customHeight="1" s="48">
      <c r="C1286" s="23" t="n"/>
      <c r="E1286" s="10" t="n"/>
      <c r="F1286" s="10" t="n"/>
      <c r="G1286" s="10" t="n"/>
    </row>
    <row r="1287" hidden="1" ht="15.75" customHeight="1" s="48">
      <c r="C1287" s="7" t="n"/>
      <c r="E1287" s="10" t="n"/>
      <c r="F1287" s="10" t="n"/>
      <c r="G1287" s="10" t="n"/>
    </row>
    <row r="1288" hidden="1" ht="15.75" customHeight="1" s="48">
      <c r="C1288" s="7" t="n"/>
      <c r="E1288" s="10" t="n"/>
      <c r="F1288" s="10" t="n"/>
      <c r="G1288" s="10" t="n"/>
    </row>
    <row r="1289" hidden="1" ht="15.75" customHeight="1" s="48">
      <c r="C1289" s="7" t="n"/>
      <c r="E1289" s="10" t="n"/>
      <c r="F1289" s="10" t="n"/>
      <c r="G1289" s="10" t="n"/>
    </row>
    <row r="1290" hidden="1" ht="15.75" customHeight="1" s="48">
      <c r="C1290" s="7" t="n"/>
      <c r="E1290" s="10" t="n"/>
      <c r="F1290" s="10" t="n"/>
      <c r="G1290" s="10" t="n"/>
    </row>
    <row r="1291" hidden="1" ht="15.75" customHeight="1" s="48">
      <c r="C1291" s="7" t="n"/>
      <c r="E1291" s="10" t="n"/>
      <c r="F1291" s="10" t="n"/>
      <c r="G1291" s="10" t="n"/>
    </row>
    <row r="1292" hidden="1" ht="15.75" customHeight="1" s="48">
      <c r="C1292" s="7" t="n"/>
      <c r="E1292" s="10" t="n"/>
      <c r="F1292" s="10" t="n"/>
      <c r="G1292" s="10" t="n"/>
    </row>
    <row r="1293" hidden="1" ht="15.75" customHeight="1" s="48">
      <c r="C1293" s="7" t="n"/>
      <c r="E1293" s="10" t="n"/>
      <c r="F1293" s="10" t="n"/>
      <c r="G1293" s="10" t="n"/>
    </row>
    <row r="1294" hidden="1" ht="15.75" customHeight="1" s="48">
      <c r="C1294" s="7" t="n"/>
      <c r="E1294" s="10" t="n"/>
      <c r="F1294" s="10" t="n"/>
      <c r="G1294" s="10" t="n"/>
    </row>
    <row r="1295" hidden="1" ht="15.75" customHeight="1" s="48">
      <c r="C1295" s="7" t="n"/>
      <c r="E1295" s="10" t="n"/>
      <c r="F1295" s="10" t="n"/>
      <c r="G1295" s="10" t="n"/>
    </row>
    <row r="1296" hidden="1" ht="15.75" customHeight="1" s="48">
      <c r="C1296" s="7" t="n"/>
      <c r="E1296" s="10" t="n"/>
      <c r="F1296" s="10" t="n"/>
      <c r="G1296" s="10" t="n"/>
    </row>
    <row r="1297" hidden="1" ht="15.75" customHeight="1" s="48">
      <c r="C1297" s="7" t="n"/>
      <c r="E1297" s="10" t="n"/>
      <c r="F1297" s="10" t="n"/>
      <c r="G1297" s="10" t="n"/>
    </row>
    <row r="1298" hidden="1" ht="15.75" customHeight="1" s="48">
      <c r="C1298" s="7" t="n"/>
      <c r="E1298" s="10" t="n"/>
      <c r="F1298" s="10" t="n"/>
      <c r="G1298" s="10" t="n"/>
    </row>
    <row r="1299" hidden="1" ht="15.75" customHeight="1" s="48">
      <c r="C1299" s="7" t="n"/>
      <c r="E1299" s="10" t="n"/>
      <c r="F1299" s="10" t="n"/>
      <c r="G1299" s="10" t="n"/>
    </row>
    <row r="1300" hidden="1" ht="15.75" customHeight="1" s="48">
      <c r="C1300" s="7" t="n"/>
      <c r="E1300" s="10" t="n"/>
      <c r="F1300" s="10" t="n"/>
      <c r="G1300" s="10" t="n"/>
    </row>
    <row r="1301" hidden="1" ht="15.75" customHeight="1" s="48">
      <c r="C1301" s="7" t="n"/>
      <c r="E1301" s="10" t="n"/>
      <c r="F1301" s="10" t="n"/>
      <c r="G1301" s="10" t="n"/>
    </row>
    <row r="1302" hidden="1" ht="15.75" customHeight="1" s="48">
      <c r="C1302" s="7" t="n"/>
      <c r="E1302" s="10" t="n"/>
      <c r="F1302" s="10" t="n"/>
      <c r="G1302" s="10" t="n"/>
    </row>
    <row r="1303" hidden="1" ht="15.75" customHeight="1" s="48">
      <c r="C1303" s="7" t="n"/>
      <c r="E1303" s="10" t="n"/>
      <c r="F1303" s="10" t="n"/>
      <c r="G1303" s="10" t="n"/>
    </row>
    <row r="1304" hidden="1" ht="15.75" customHeight="1" s="48">
      <c r="C1304" s="7" t="n"/>
      <c r="E1304" s="10" t="n"/>
      <c r="F1304" s="10" t="n"/>
      <c r="G1304" s="10" t="n"/>
    </row>
    <row r="1305" hidden="1" ht="15.75" customHeight="1" s="48">
      <c r="C1305" s="7" t="n"/>
      <c r="E1305" s="10" t="n"/>
      <c r="F1305" s="10" t="n"/>
      <c r="G1305" s="10" t="n"/>
    </row>
    <row r="1306" hidden="1" ht="15.75" customHeight="1" s="48">
      <c r="C1306" s="7" t="n"/>
      <c r="E1306" s="10" t="n"/>
      <c r="F1306" s="10" t="n"/>
      <c r="G1306" s="10" t="n"/>
    </row>
    <row r="1307" hidden="1" ht="15.75" customHeight="1" s="48">
      <c r="C1307" s="7" t="n"/>
    </row>
    <row r="1308" hidden="1" ht="15.75" customHeight="1" s="48">
      <c r="A1308" t="inlineStr">
        <is>
          <t>vn_abneigung_gegen_erdbeschwoerung</t>
        </is>
      </c>
      <c r="B1308" t="inlineStr">
        <is>
          <t>Vor- und Nachteile</t>
        </is>
      </c>
      <c r="C1308" t="inlineStr">
        <is>
          <t>Abneigung gegen Erdbeschwörung</t>
        </is>
      </c>
      <c r="G1308" t="inlineStr">
        <is>
          <t>Auswahl</t>
        </is>
      </c>
      <c r="L1308" t="n">
        <v>-650</v>
      </c>
      <c r="M1308" t="inlineStr">
        <is>
          <t>E&amp;1</t>
        </is>
      </c>
      <c r="Q1308"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9" hidden="1" ht="15.75" customHeight="1" s="48">
      <c r="A1309" t="inlineStr">
        <is>
          <t>vn_abneigung_gegen_feuerbeschwoerung</t>
        </is>
      </c>
      <c r="B1309" t="inlineStr">
        <is>
          <t>Vor- und Nachteile</t>
        </is>
      </c>
      <c r="C1309" t="inlineStr">
        <is>
          <t>Abneigung gegen Feuerbeschwörung</t>
        </is>
      </c>
      <c r="G1309" t="inlineStr">
        <is>
          <t>Auswahl</t>
        </is>
      </c>
      <c r="L1309" t="n">
        <v>-650</v>
      </c>
      <c r="M1309" t="inlineStr">
        <is>
          <t>E&amp;1</t>
        </is>
      </c>
      <c r="Q1309"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10" hidden="1" ht="15.75" customHeight="1" s="48">
      <c r="A1310" t="inlineStr">
        <is>
          <t>vn_abneigung_gegen_luftbeschwoerung</t>
        </is>
      </c>
      <c r="B1310" t="inlineStr">
        <is>
          <t>Vor- und Nachteile</t>
        </is>
      </c>
      <c r="C1310" t="inlineStr">
        <is>
          <t>Abneigung gegen Luftbeschwörung</t>
        </is>
      </c>
      <c r="G1310" t="inlineStr">
        <is>
          <t>Auswahl</t>
        </is>
      </c>
      <c r="L1310" t="n">
        <v>-650</v>
      </c>
      <c r="M1310" t="inlineStr">
        <is>
          <t>E&amp;1</t>
        </is>
      </c>
      <c r="Q1310"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11" hidden="1" ht="15.75" customHeight="1" s="48">
      <c r="A1311" t="inlineStr">
        <is>
          <t>vn_abneigung_gegen_magiebeschwoerung</t>
        </is>
      </c>
      <c r="B1311" t="inlineStr">
        <is>
          <t>Vor- und Nachteile</t>
        </is>
      </c>
      <c r="C1311" t="inlineStr">
        <is>
          <t>Abneigung gegen Magiebeschwörung</t>
        </is>
      </c>
      <c r="G1311" t="inlineStr">
        <is>
          <t>Auswahl</t>
        </is>
      </c>
      <c r="L1311" t="n">
        <v>-650</v>
      </c>
      <c r="M1311" t="inlineStr">
        <is>
          <t>E&amp;1</t>
        </is>
      </c>
      <c r="Q1311"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12" hidden="1" ht="15.75" customHeight="1" s="48">
      <c r="A1312" t="inlineStr">
        <is>
          <t>vn_abneigung_gegen_wasserbeschwoerung</t>
        </is>
      </c>
      <c r="B1312" t="inlineStr">
        <is>
          <t>Vor- und Nachteile</t>
        </is>
      </c>
      <c r="C1312" t="inlineStr">
        <is>
          <t>Abneigung gegen Wasserbeschwörung</t>
        </is>
      </c>
      <c r="G1312" t="inlineStr">
        <is>
          <t>Auswahl</t>
        </is>
      </c>
      <c r="L1312" t="n">
        <v>-650</v>
      </c>
      <c r="M1312" t="inlineStr">
        <is>
          <t>E&amp;1</t>
        </is>
      </c>
      <c r="Q1312"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13" hidden="1" ht="15.75" customHeight="1" s="48">
      <c r="A1313" t="inlineStr">
        <is>
          <t>vn_abneigung_gegen_heilung</t>
        </is>
      </c>
      <c r="B1313" t="inlineStr">
        <is>
          <t>Vor- und Nachteile</t>
        </is>
      </c>
      <c r="C1313" t="inlineStr">
        <is>
          <t>Abneigung gegen Heilung</t>
        </is>
      </c>
      <c r="G1313" t="inlineStr">
        <is>
          <t>Auswahl</t>
        </is>
      </c>
      <c r="L1313" t="n">
        <v>-650</v>
      </c>
      <c r="M1313" t="inlineStr">
        <is>
          <t>E&amp;1</t>
        </is>
      </c>
      <c r="Q1313"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14" hidden="1" ht="15.75" customHeight="1" s="48">
      <c r="A1314" t="inlineStr">
        <is>
          <t>vn_abneigung_gegen_verzauberung</t>
        </is>
      </c>
      <c r="B1314" t="inlineStr">
        <is>
          <t>Vor- und Nachteile</t>
        </is>
      </c>
      <c r="C1314" t="inlineStr">
        <is>
          <t>Abneigung gegen Verzauberung</t>
        </is>
      </c>
      <c r="G1314" t="inlineStr">
        <is>
          <t>Auswahl</t>
        </is>
      </c>
      <c r="L1314" t="n">
        <v>-650</v>
      </c>
      <c r="M1314" t="inlineStr">
        <is>
          <t>E&amp;1</t>
        </is>
      </c>
      <c r="Q1314"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15" hidden="1" ht="15.75" customHeight="1" s="48">
      <c r="A1315" t="inlineStr">
        <is>
          <t>vn_abneigung_gegen_beherrschung</t>
        </is>
      </c>
      <c r="B1315" t="inlineStr">
        <is>
          <t>Vor- und Nachteile</t>
        </is>
      </c>
      <c r="C1315" t="inlineStr">
        <is>
          <t>Abneigung gegen Beherrschung</t>
        </is>
      </c>
      <c r="G1315" t="inlineStr">
        <is>
          <t>Auswahl</t>
        </is>
      </c>
      <c r="L1315" t="n">
        <v>-650</v>
      </c>
      <c r="M1315" t="inlineStr">
        <is>
          <t>E&amp;1</t>
        </is>
      </c>
      <c r="Q1315"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16" hidden="1" ht="15.75" customHeight="1" s="48">
      <c r="A1316" t="inlineStr">
        <is>
          <t>vn_immunitaet_gegen_erde</t>
        </is>
      </c>
      <c r="B1316" t="inlineStr">
        <is>
          <t>Vor- und Nachteile</t>
        </is>
      </c>
      <c r="C1316" t="inlineStr">
        <is>
          <t>Immunität gegen Erde</t>
        </is>
      </c>
      <c r="E1316" t="inlineStr">
        <is>
          <t>Nur Meistercharaktere; im Spielermodus nie wählbar; bei der Charaktererschaffung im Meistermodus für Elementare passend zum eigenen Element verpflichtend.</t>
        </is>
      </c>
      <c r="F1316" t="inlineStr">
        <is>
          <t>Elementar</t>
        </is>
      </c>
      <c r="G1316" t="inlineStr">
        <is>
          <t>Auswahl</t>
        </is>
      </c>
      <c r="J1316" t="inlineStr">
        <is>
          <t>MEISTER_MODUS_PFLICHT</t>
        </is>
      </c>
      <c r="L1316" t="n">
        <v>0</v>
      </c>
      <c r="M1316" t="inlineStr">
        <is>
          <t>M</t>
        </is>
      </c>
      <c r="Q1316" t="inlineStr">
        <is>
          <t>Nur Elementare: Der Charakter erleidet keinen Schaden durch das eigene Element Erde. Dieser Wert ist im Spielermodus nie wählbar. Bei der Charaktererschaffung im Meistermodus ist für Elementare die zum eigenen Element passende Immunität verpflichtend.</t>
        </is>
      </c>
    </row>
    <row r="1317" hidden="1" ht="15.75" customHeight="1" s="48">
      <c r="A1317" t="inlineStr">
        <is>
          <t>vn_immunitaet_gegen_feuer</t>
        </is>
      </c>
      <c r="B1317" t="inlineStr">
        <is>
          <t>Vor- und Nachteile</t>
        </is>
      </c>
      <c r="C1317" t="inlineStr">
        <is>
          <t>Immunität gegen Feuer</t>
        </is>
      </c>
      <c r="E1317" t="inlineStr">
        <is>
          <t>Nur Meistercharaktere; im Spielermodus nie wählbar; bei der Charaktererschaffung im Meistermodus für Elementare passend zum eigenen Element verpflichtend.</t>
        </is>
      </c>
      <c r="F1317" t="inlineStr">
        <is>
          <t>Elementar</t>
        </is>
      </c>
      <c r="G1317" t="inlineStr">
        <is>
          <t>Auswahl</t>
        </is>
      </c>
      <c r="J1317" t="inlineStr">
        <is>
          <t>MEISTER_MODUS_PFLICHT</t>
        </is>
      </c>
      <c r="L1317" t="n">
        <v>0</v>
      </c>
      <c r="M1317" t="inlineStr">
        <is>
          <t>M</t>
        </is>
      </c>
      <c r="Q1317" t="inlineStr">
        <is>
          <t>Nur Elementare: Der Charakter erleidet keinen Schaden durch das eigene Element Feuer. Dieser Wert ist im Spielermodus nie wählbar. Bei der Charaktererschaffung im Meistermodus ist für Elementare die zum eigenen Element passende Immunität verpflichtend.</t>
        </is>
      </c>
    </row>
    <row r="1318" hidden="1" ht="15.75" customHeight="1" s="48">
      <c r="A1318" t="inlineStr">
        <is>
          <t>vn_immunitaet_gegen_luft</t>
        </is>
      </c>
      <c r="B1318" t="inlineStr">
        <is>
          <t>Vor- und Nachteile</t>
        </is>
      </c>
      <c r="C1318" t="inlineStr">
        <is>
          <t>Immunität gegen Luft</t>
        </is>
      </c>
      <c r="E1318" t="inlineStr">
        <is>
          <t>Nur Meistercharaktere; im Spielermodus nie wählbar; bei der Charaktererschaffung im Meistermodus für Elementare passend zum eigenen Element verpflichtend.</t>
        </is>
      </c>
      <c r="F1318" t="inlineStr">
        <is>
          <t>Elementar</t>
        </is>
      </c>
      <c r="G1318" t="inlineStr">
        <is>
          <t>Auswahl</t>
        </is>
      </c>
      <c r="J1318" t="inlineStr">
        <is>
          <t>MEISTER_MODUS_PFLICHT</t>
        </is>
      </c>
      <c r="L1318" t="n">
        <v>0</v>
      </c>
      <c r="M1318" t="inlineStr">
        <is>
          <t>M</t>
        </is>
      </c>
      <c r="Q1318" t="inlineStr">
        <is>
          <t>Nur Elementare: Der Charakter erleidet keinen Schaden durch das eigene Element Luft. Dieser Wert ist im Spielermodus nie wählbar. Bei der Charaktererschaffung im Meistermodus ist für Elementare die zum eigenen Element passende Immunität verpflichtend.</t>
        </is>
      </c>
    </row>
    <row r="1319" hidden="1" ht="15.75" customHeight="1" s="48">
      <c r="A1319" t="inlineStr">
        <is>
          <t>vn_immunitaet_gegen_magie</t>
        </is>
      </c>
      <c r="B1319" t="inlineStr">
        <is>
          <t>Vor- und Nachteile</t>
        </is>
      </c>
      <c r="C1319" t="inlineStr">
        <is>
          <t>Immunität gegen Magie</t>
        </is>
      </c>
      <c r="E1319" t="inlineStr">
        <is>
          <t>Nur Meistercharaktere; im Spielermodus nie wählbar; bei der Charaktererschaffung im Meistermodus für Elementare passend zum eigenen Element verpflichtend.</t>
        </is>
      </c>
      <c r="F1319" t="inlineStr">
        <is>
          <t>Elementar</t>
        </is>
      </c>
      <c r="G1319" t="inlineStr">
        <is>
          <t>Auswahl</t>
        </is>
      </c>
      <c r="J1319" t="inlineStr">
        <is>
          <t>MEISTER_MODUS_PFLICHT</t>
        </is>
      </c>
      <c r="L1319" t="n">
        <v>0</v>
      </c>
      <c r="M1319" t="inlineStr">
        <is>
          <t>M</t>
        </is>
      </c>
      <c r="Q1319" t="inlineStr">
        <is>
          <t>Nur Elementare: Der Charakter erleidet keinen Schaden durch das eigene Element Magie. Dieser Wert ist im Spielermodus nie wählbar. Bei der Charaktererschaffung im Meistermodus ist für Elementare die zum eigenen Element passende Immunität verpflichtend.</t>
        </is>
      </c>
    </row>
    <row r="1320" hidden="1" ht="15.75" customHeight="1" s="48">
      <c r="A1320" t="inlineStr">
        <is>
          <t>vn_immunitaet_gegen_wasser</t>
        </is>
      </c>
      <c r="B1320" t="inlineStr">
        <is>
          <t>Vor- und Nachteile</t>
        </is>
      </c>
      <c r="C1320" t="inlineStr">
        <is>
          <t>Immunität gegen Wasser</t>
        </is>
      </c>
      <c r="E1320" t="inlineStr">
        <is>
          <t>Nur Meistercharaktere; im Spielermodus nie wählbar; bei der Charaktererschaffung im Meistermodus für Elementare passend zum eigenen Element verpflichtend.</t>
        </is>
      </c>
      <c r="F1320" t="inlineStr">
        <is>
          <t>Elementar</t>
        </is>
      </c>
      <c r="G1320" t="inlineStr">
        <is>
          <t>Auswahl</t>
        </is>
      </c>
      <c r="J1320" t="inlineStr">
        <is>
          <t>MEISTER_MODUS_PFLICHT</t>
        </is>
      </c>
      <c r="L1320" t="n">
        <v>0</v>
      </c>
      <c r="M1320" t="inlineStr">
        <is>
          <t>M</t>
        </is>
      </c>
      <c r="Q1320" t="inlineStr">
        <is>
          <t>Nur Elementare: Der Charakter erleidet keinen Schaden durch das eigene Element Wasser. Dieser Wert ist im Spielermodus nie wählbar. Bei der Charaktererschaffung im Meistermodus ist für Elementare die zum eigenen Element passende Immunität verpflichtend.</t>
        </is>
      </c>
    </row>
    <row r="1321" hidden="1" ht="15.75" customHeight="1" s="48">
      <c r="A1321" t="inlineStr">
        <is>
          <t>vn_kind_der_froehlichkeit</t>
        </is>
      </c>
      <c r="B1321" t="inlineStr">
        <is>
          <t>Vor- und Nachteile</t>
        </is>
      </c>
      <c r="C1321" t="inlineStr">
        <is>
          <t>Kind der Fröhlichkeit</t>
        </is>
      </c>
      <c r="E1321" t="inlineStr">
        <is>
          <t>Jeder Spielercharakter besitzt diesen Vorteil automatisch; nicht manuell wählbar; bei der Spielercharakter-Erstellung verpflichtend zu vergeben.</t>
        </is>
      </c>
      <c r="F1321" t="inlineStr">
        <is>
          <t>Spielercharakter</t>
        </is>
      </c>
      <c r="G1321" t="inlineStr">
        <is>
          <t>Auswahl</t>
        </is>
      </c>
      <c r="J1321" t="inlineStr">
        <is>
          <t>SPIELERCHARAKTER_PFLICHT</t>
        </is>
      </c>
      <c r="L1321" t="n">
        <v>0</v>
      </c>
      <c r="M1321" t="inlineStr">
        <is>
          <t>SC</t>
        </is>
      </c>
      <c r="Q1321" t="inlineStr">
        <is>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is>
      </c>
    </row>
    <row r="1322" hidden="1" ht="15.75" customHeight="1" s="48">
      <c r="A1322" t="inlineStr">
        <is>
          <t>vn_meisterlicher_antimagie_magier_1</t>
        </is>
      </c>
      <c r="B1322" t="inlineStr">
        <is>
          <t>Vor- und Nachteile</t>
        </is>
      </c>
      <c r="C1322" t="inlineStr">
        <is>
          <t>Meisterlicher Antimagie-Magier I</t>
        </is>
      </c>
      <c r="E1322" t="inlineStr">
        <is>
          <t>Gilt ausschließlich für die Schule Antimagie. Nicht kumulativ; eine höhere Stufe ersetzt die vorherige.</t>
        </is>
      </c>
      <c r="F1322" t="inlineStr">
        <is>
          <t>Magier</t>
        </is>
      </c>
      <c r="G1322" t="inlineStr">
        <is>
          <t>Auswahl</t>
        </is>
      </c>
      <c r="J1322" t="inlineStr">
        <is>
          <t>NICHT_KUMULATIV_MEISTERLICHER_SCHULE</t>
        </is>
      </c>
      <c r="L1322" t="n">
        <v>999</v>
      </c>
      <c r="M1322" t="n">
        <v>3</v>
      </c>
      <c r="Q1322" t="inlineStr">
        <is>
          <t>Nur Nasus Nasus, nur Magier: Die Wirkung von Zaubern der Schule Antimagie erhöht sich um 50 % (Faktor 1,5). Nicht kumulativ mit den anderen Stufen dieses Vorteils. Eine höhere Stufe ersetzt die vorherige Stufe.</t>
        </is>
      </c>
    </row>
    <row r="1323" hidden="1" ht="15.75" customHeight="1" s="48">
      <c r="A1323" t="inlineStr">
        <is>
          <t>vn_meisterlicher_beherrschung_magier_1</t>
        </is>
      </c>
      <c r="B1323" t="inlineStr">
        <is>
          <t>Vor- und Nachteile</t>
        </is>
      </c>
      <c r="C1323" t="inlineStr">
        <is>
          <t>Meisterlicher Beherrschung-Magier I</t>
        </is>
      </c>
      <c r="E1323" t="inlineStr">
        <is>
          <t>Gilt ausschließlich für die Schule Beherrschung. Nicht kumulativ; eine höhere Stufe ersetzt die vorherige.</t>
        </is>
      </c>
      <c r="F1323" t="inlineStr">
        <is>
          <t>Magier</t>
        </is>
      </c>
      <c r="G1323" t="inlineStr">
        <is>
          <t>Auswahl</t>
        </is>
      </c>
      <c r="J1323" t="inlineStr">
        <is>
          <t>NICHT_KUMULATIV_MEISTERLICHER_SCHULE</t>
        </is>
      </c>
      <c r="L1323" t="n">
        <v>999</v>
      </c>
      <c r="M1323" t="n">
        <v>3</v>
      </c>
      <c r="Q1323" t="inlineStr">
        <is>
          <t>Nur Nasus Nasus, nur Magier: Die Wirkung von Zaubern der Schule Beherrschung erhöht sich um 50 % (Faktor 1,5). Nicht kumulativ mit den anderen Stufen dieses Vorteils. Eine höhere Stufe ersetzt die vorherige Stufe.</t>
        </is>
      </c>
    </row>
    <row r="1324" hidden="1" ht="15.75" customHeight="1" s="48">
      <c r="A1324" t="inlineStr">
        <is>
          <t>vn_meisterlicher_erdbeschwoerung_magier_1</t>
        </is>
      </c>
      <c r="B1324" t="inlineStr">
        <is>
          <t>Vor- und Nachteile</t>
        </is>
      </c>
      <c r="C1324" t="inlineStr">
        <is>
          <t>Meisterlicher Erdbeschwörung-Magier I</t>
        </is>
      </c>
      <c r="E1324" t="inlineStr">
        <is>
          <t>Gilt ausschließlich für die Schule Erdbeschwörung. Nicht kumulativ; eine höhere Stufe ersetzt die vorherige.</t>
        </is>
      </c>
      <c r="F1324" t="inlineStr">
        <is>
          <t>Magier</t>
        </is>
      </c>
      <c r="G1324" t="inlineStr">
        <is>
          <t>Auswahl</t>
        </is>
      </c>
      <c r="J1324" t="inlineStr">
        <is>
          <t>NICHT_KUMULATIV_MEISTERLICHER_SCHULE</t>
        </is>
      </c>
      <c r="L1324" t="n">
        <v>999</v>
      </c>
      <c r="M1324" t="n">
        <v>3</v>
      </c>
      <c r="Q1324" t="inlineStr">
        <is>
          <t>Nur Nasus Nasus, nur Magier: Die Wirkung von Zaubern der Schule Erdbeschwörung erhöht sich um 50 % (Faktor 1,5). Nicht kumulativ mit den anderen Stufen dieses Vorteils. Eine höhere Stufe ersetzt die vorherige Stufe.</t>
        </is>
      </c>
    </row>
    <row r="1325" hidden="1" ht="15.75" customHeight="1" s="48">
      <c r="A1325" t="inlineStr">
        <is>
          <t>vn_meisterlicher_feuerbeschwoerung_magier_1</t>
        </is>
      </c>
      <c r="B1325" t="inlineStr">
        <is>
          <t>Vor- und Nachteile</t>
        </is>
      </c>
      <c r="C1325" t="inlineStr">
        <is>
          <t>Meisterlicher Feuerbeschwörung-Magier I</t>
        </is>
      </c>
      <c r="E1325" t="inlineStr">
        <is>
          <t>Gilt ausschließlich für die Schule Feuerbeschwörung. Nicht kumulativ; eine höhere Stufe ersetzt die vorherige.</t>
        </is>
      </c>
      <c r="F1325" t="inlineStr">
        <is>
          <t>Magier</t>
        </is>
      </c>
      <c r="G1325" t="inlineStr">
        <is>
          <t>Auswahl</t>
        </is>
      </c>
      <c r="J1325" t="inlineStr">
        <is>
          <t>NICHT_KUMULATIV_MEISTERLICHER_SCHULE</t>
        </is>
      </c>
      <c r="L1325" t="n">
        <v>999</v>
      </c>
      <c r="M1325" t="n">
        <v>3</v>
      </c>
      <c r="Q1325" t="inlineStr">
        <is>
          <t>Nur Nasus Nasus, nur Magier: Die Wirkung von Zaubern der Schule Feuerbeschwörung erhöht sich um 50 % (Faktor 1,5). Nicht kumulativ mit den anderen Stufen dieses Vorteils. Eine höhere Stufe ersetzt die vorherige Stufe.</t>
        </is>
      </c>
    </row>
    <row r="1326" hidden="1" ht="15.75" customHeight="1" s="48">
      <c r="A1326" t="inlineStr">
        <is>
          <t>vn_meisterlicher_heilung_magier_1</t>
        </is>
      </c>
      <c r="B1326" t="inlineStr">
        <is>
          <t>Vor- und Nachteile</t>
        </is>
      </c>
      <c r="C1326" t="inlineStr">
        <is>
          <t>Meisterlicher Heilung-Magier I</t>
        </is>
      </c>
      <c r="E1326" t="inlineStr">
        <is>
          <t>Gilt ausschließlich für die Schule Heilung. Nicht kumulativ; eine höhere Stufe ersetzt die vorherige.</t>
        </is>
      </c>
      <c r="F1326" t="inlineStr">
        <is>
          <t>Magier</t>
        </is>
      </c>
      <c r="G1326" t="inlineStr">
        <is>
          <t>Auswahl</t>
        </is>
      </c>
      <c r="J1326" t="inlineStr">
        <is>
          <t>NICHT_KUMULATIV_MEISTERLICHER_SCHULE</t>
        </is>
      </c>
      <c r="L1326" t="n">
        <v>999</v>
      </c>
      <c r="M1326" t="n">
        <v>3</v>
      </c>
      <c r="Q1326" t="inlineStr">
        <is>
          <t>Nur Nasus Nasus, nur Magier: Die Wirkung von Zaubern der Schule Heilung erhöht sich um 50 % (Faktor 1,5). Nicht kumulativ mit den anderen Stufen dieses Vorteils. Eine höhere Stufe ersetzt die vorherige Stufe.</t>
        </is>
      </c>
    </row>
    <row r="1327" hidden="1" ht="15.75" customHeight="1" s="48">
      <c r="A1327" t="inlineStr">
        <is>
          <t>vn_meisterlicher_hellsicht_magier_1</t>
        </is>
      </c>
      <c r="B1327" t="inlineStr">
        <is>
          <t>Vor- und Nachteile</t>
        </is>
      </c>
      <c r="C1327" t="inlineStr">
        <is>
          <t>Meisterlicher Hellsicht-Magier I</t>
        </is>
      </c>
      <c r="E1327" t="inlineStr">
        <is>
          <t>Gilt ausschließlich für die Schule Hellsicht. Nicht kumulativ; eine höhere Stufe ersetzt die vorherige.</t>
        </is>
      </c>
      <c r="F1327" t="inlineStr">
        <is>
          <t>Magier</t>
        </is>
      </c>
      <c r="G1327" t="inlineStr">
        <is>
          <t>Auswahl</t>
        </is>
      </c>
      <c r="J1327" t="inlineStr">
        <is>
          <t>NICHT_KUMULATIV_MEISTERLICHER_SCHULE</t>
        </is>
      </c>
      <c r="L1327" t="n">
        <v>999</v>
      </c>
      <c r="M1327" t="n">
        <v>3</v>
      </c>
      <c r="Q1327" t="inlineStr">
        <is>
          <t>Nur Nasus Nasus, nur Magier: Die Wirkung von Zaubern der Schule Hellsicht erhöht sich um 50 % (Faktor 1,5). Nicht kumulativ mit den anderen Stufen dieses Vorteils. Eine höhere Stufe ersetzt die vorherige Stufe.</t>
        </is>
      </c>
    </row>
    <row r="1328" hidden="1" ht="15.75" customHeight="1" s="48">
      <c r="A1328" t="inlineStr">
        <is>
          <t>vn_meisterlicher_illusion_magier_1</t>
        </is>
      </c>
      <c r="B1328" t="inlineStr">
        <is>
          <t>Vor- und Nachteile</t>
        </is>
      </c>
      <c r="C1328" t="inlineStr">
        <is>
          <t>Meisterlicher Illusion-Magier I</t>
        </is>
      </c>
      <c r="E1328" t="inlineStr">
        <is>
          <t>Gilt ausschließlich für die Schule Illusion. Nicht kumulativ; eine höhere Stufe ersetzt die vorherige.</t>
        </is>
      </c>
      <c r="F1328" t="inlineStr">
        <is>
          <t>Magier</t>
        </is>
      </c>
      <c r="G1328" t="inlineStr">
        <is>
          <t>Auswahl</t>
        </is>
      </c>
      <c r="J1328" t="inlineStr">
        <is>
          <t>NICHT_KUMULATIV_MEISTERLICHER_SCHULE</t>
        </is>
      </c>
      <c r="L1328" t="n">
        <v>999</v>
      </c>
      <c r="M1328" t="n">
        <v>3</v>
      </c>
      <c r="Q1328" t="inlineStr">
        <is>
          <t>Nur Nasus Nasus, nur Magier: Die Wirkung von Zaubern der Schule Illusion erhöht sich um 50 % (Faktor 1,5). Nicht kumulativ mit den anderen Stufen dieses Vorteils. Eine höhere Stufe ersetzt die vorherige Stufe.</t>
        </is>
      </c>
    </row>
    <row r="1329" hidden="1" ht="15.75" customHeight="1" s="48">
      <c r="A1329" t="inlineStr">
        <is>
          <t>vn_meisterlicher_luftbeschwoerung_magier_1</t>
        </is>
      </c>
      <c r="B1329" t="inlineStr">
        <is>
          <t>Vor- und Nachteile</t>
        </is>
      </c>
      <c r="C1329" t="inlineStr">
        <is>
          <t>Meisterlicher Luftbeschwörung-Magier I</t>
        </is>
      </c>
      <c r="E1329" t="inlineStr">
        <is>
          <t>Gilt ausschließlich für die Schule Luftbeschwörung. Nicht kumulativ; eine höhere Stufe ersetzt die vorherige.</t>
        </is>
      </c>
      <c r="F1329" t="inlineStr">
        <is>
          <t>Magier</t>
        </is>
      </c>
      <c r="G1329" t="inlineStr">
        <is>
          <t>Auswahl</t>
        </is>
      </c>
      <c r="J1329" t="inlineStr">
        <is>
          <t>NICHT_KUMULATIV_MEISTERLICHER_SCHULE</t>
        </is>
      </c>
      <c r="L1329" t="n">
        <v>999</v>
      </c>
      <c r="M1329" t="n">
        <v>3</v>
      </c>
      <c r="Q1329" t="inlineStr">
        <is>
          <t>Nur Nasus Nasus, nur Magier: Die Wirkung von Zaubern der Schule Luftbeschwörung erhöht sich um 50 % (Faktor 1,5). Nicht kumulativ mit den anderen Stufen dieses Vorteils. Eine höhere Stufe ersetzt die vorherige Stufe.</t>
        </is>
      </c>
    </row>
    <row r="1330" hidden="1" ht="15.75" customHeight="1" s="48">
      <c r="A1330" t="inlineStr">
        <is>
          <t>vn_meisterlicher_magiebeschwoerung_magier_1</t>
        </is>
      </c>
      <c r="B1330" t="inlineStr">
        <is>
          <t>Vor- und Nachteile</t>
        </is>
      </c>
      <c r="C1330" t="inlineStr">
        <is>
          <t>Meisterlicher Magiebeschwörung-Magier I</t>
        </is>
      </c>
      <c r="E1330" t="inlineStr">
        <is>
          <t>Gilt ausschließlich für die Schule Magiebeschwörung. Nicht kumulativ; eine höhere Stufe ersetzt die vorherige.</t>
        </is>
      </c>
      <c r="F1330" t="inlineStr">
        <is>
          <t>Magier</t>
        </is>
      </c>
      <c r="G1330" t="inlineStr">
        <is>
          <t>Auswahl</t>
        </is>
      </c>
      <c r="J1330" t="inlineStr">
        <is>
          <t>NICHT_KUMULATIV_MEISTERLICHER_SCHULE</t>
        </is>
      </c>
      <c r="L1330" t="n">
        <v>999</v>
      </c>
      <c r="M1330" t="n">
        <v>3</v>
      </c>
      <c r="Q1330" t="inlineStr">
        <is>
          <t>Nur Nasus Nasus, nur Magier: Die Wirkung von Zaubern der Schule Magiebeschwörung erhöht sich um 50 % (Faktor 1,5). Nicht kumulativ mit den anderen Stufen dieses Vorteils. Eine höhere Stufe ersetzt die vorherige Stufe.</t>
        </is>
      </c>
    </row>
    <row r="1331" hidden="1" ht="15.75" customHeight="1" s="48">
      <c r="A1331" t="inlineStr">
        <is>
          <t>vn_meisterlicher_veraenderung_magier_1</t>
        </is>
      </c>
      <c r="B1331" t="inlineStr">
        <is>
          <t>Vor- und Nachteile</t>
        </is>
      </c>
      <c r="C1331" t="inlineStr">
        <is>
          <t>Meisterlicher Veränderung-Magier I</t>
        </is>
      </c>
      <c r="E1331" t="inlineStr">
        <is>
          <t>Gilt ausschließlich für die Schule Veränderung. Nicht kumulativ; eine höhere Stufe ersetzt die vorherige.</t>
        </is>
      </c>
      <c r="F1331" t="inlineStr">
        <is>
          <t>Magier</t>
        </is>
      </c>
      <c r="G1331" t="inlineStr">
        <is>
          <t>Auswahl</t>
        </is>
      </c>
      <c r="J1331" t="inlineStr">
        <is>
          <t>NICHT_KUMULATIV_MEISTERLICHER_SCHULE</t>
        </is>
      </c>
      <c r="L1331" t="n">
        <v>999</v>
      </c>
      <c r="M1331" t="n">
        <v>3</v>
      </c>
      <c r="Q1331" t="inlineStr">
        <is>
          <t>Nur Nasus Nasus, nur Magier: Die Wirkung von Zaubern der Schule Veränderung erhöht sich um 50 % (Faktor 1,5). Nicht kumulativ mit den anderen Stufen dieses Vorteils. Eine höhere Stufe ersetzt die vorherige Stufe.</t>
        </is>
      </c>
    </row>
    <row r="1332" hidden="1" ht="15.75" customHeight="1" s="48">
      <c r="A1332" t="inlineStr">
        <is>
          <t>vn_meisterlicher_verzauberung_magier_1</t>
        </is>
      </c>
      <c r="B1332" t="inlineStr">
        <is>
          <t>Vor- und Nachteile</t>
        </is>
      </c>
      <c r="C1332" t="inlineStr">
        <is>
          <t>Meisterlicher Verzauberung-Magier I</t>
        </is>
      </c>
      <c r="E1332" t="inlineStr">
        <is>
          <t>Gilt ausschließlich für die Schule Verzauberung. Nicht kumulativ; eine höhere Stufe ersetzt die vorherige.</t>
        </is>
      </c>
      <c r="F1332" t="inlineStr">
        <is>
          <t>Magier</t>
        </is>
      </c>
      <c r="G1332" t="inlineStr">
        <is>
          <t>Auswahl</t>
        </is>
      </c>
      <c r="J1332" t="inlineStr">
        <is>
          <t>NICHT_KUMULATIV_MEISTERLICHER_SCHULE</t>
        </is>
      </c>
      <c r="L1332" t="n">
        <v>999</v>
      </c>
      <c r="M1332" t="n">
        <v>3</v>
      </c>
      <c r="Q1332" t="inlineStr">
        <is>
          <t>Nur Nasus Nasus, nur Magier: Die Wirkung von Zaubern der Schule Verzauberung erhöht sich um 50 % (Faktor 1,5). Nicht kumulativ mit den anderen Stufen dieses Vorteils. Eine höhere Stufe ersetzt die vorherige Stufe.</t>
        </is>
      </c>
    </row>
    <row r="1333" hidden="1" ht="15.75" customHeight="1" s="48">
      <c r="A1333" t="inlineStr">
        <is>
          <t>vn_meisterlicher_wasserbeschwoerung_magier_1</t>
        </is>
      </c>
      <c r="B1333" t="inlineStr">
        <is>
          <t>Vor- und Nachteile</t>
        </is>
      </c>
      <c r="C1333" t="inlineStr">
        <is>
          <t>Meisterlicher Wasserbeschwörung-Magier I</t>
        </is>
      </c>
      <c r="E1333" t="inlineStr">
        <is>
          <t>Gilt ausschließlich für die Schule Wasserbeschwörung. Nicht kumulativ; eine höhere Stufe ersetzt die vorherige.</t>
        </is>
      </c>
      <c r="F1333" t="inlineStr">
        <is>
          <t>Magier</t>
        </is>
      </c>
      <c r="G1333" t="inlineStr">
        <is>
          <t>Auswahl</t>
        </is>
      </c>
      <c r="J1333" t="inlineStr">
        <is>
          <t>NICHT_KUMULATIV_MEISTERLICHER_SCHULE</t>
        </is>
      </c>
      <c r="L1333" t="n">
        <v>999</v>
      </c>
      <c r="M1333" t="n">
        <v>3</v>
      </c>
      <c r="Q1333" t="inlineStr">
        <is>
          <t>Nur Nasus Nasus, nur Magier: Die Wirkung von Zaubern der Schule Wasserbeschwörung erhöht sich um 50 % (Faktor 1,5). Nicht kumulativ mit den anderen Stufen dieses Vorteils. Eine höhere Stufe ersetzt die vorherige Stufe.</t>
        </is>
      </c>
    </row>
    <row r="1334" hidden="1" ht="15.75" customHeight="1" s="48">
      <c r="A1334" t="inlineStr">
        <is>
          <t>vn_meisterlicher_antimagie_magier_2</t>
        </is>
      </c>
      <c r="B1334" t="inlineStr">
        <is>
          <t>Vor- und Nachteile</t>
        </is>
      </c>
      <c r="C1334" t="inlineStr">
        <is>
          <t>Meisterlicher Antimagie-Magier II</t>
        </is>
      </c>
      <c r="E1334" t="inlineStr">
        <is>
          <t>Gilt ausschließlich für die Schule Antimagie. Nicht kumulativ; eine höhere Stufe ersetzt die vorherige. Voraussetzung: vn_meisterlicher_antimagie_magier_1.</t>
        </is>
      </c>
      <c r="F1334" t="inlineStr">
        <is>
          <t>Magier</t>
        </is>
      </c>
      <c r="G1334" t="inlineStr">
        <is>
          <t>Auswahl</t>
        </is>
      </c>
      <c r="J1334" t="inlineStr">
        <is>
          <t>NICHT_KUMULATIV_MEISTERLICHER_SCHULE;VORAUSSETZUNG=vn_meisterlicher_antimagie_magier_1</t>
        </is>
      </c>
      <c r="L1334" t="n">
        <v>999</v>
      </c>
      <c r="M1334" t="n">
        <v>5</v>
      </c>
      <c r="Q1334" t="inlineStr">
        <is>
          <t>Voraussetzung: Meisterlicher Antimagie-Magier I. Die Wirkung von Zaubern der Schule Antimagie erhöht sich um 100 % (Faktor 2). Nicht kumulativ mit den anderen Stufen dieses Vorteils. Eine höhere Stufe ersetzt die vorherige Stufe.</t>
        </is>
      </c>
    </row>
    <row r="1335" hidden="1" ht="15.75" customHeight="1" s="48">
      <c r="A1335" t="inlineStr">
        <is>
          <t>vn_meisterlicher_beherrschung_magier_2</t>
        </is>
      </c>
      <c r="B1335" t="inlineStr">
        <is>
          <t>Vor- und Nachteile</t>
        </is>
      </c>
      <c r="C1335" t="inlineStr">
        <is>
          <t>Meisterlicher Beherrschung-Magier II</t>
        </is>
      </c>
      <c r="E1335" t="inlineStr">
        <is>
          <t>Gilt ausschließlich für die Schule Beherrschung. Nicht kumulativ; eine höhere Stufe ersetzt die vorherige. Voraussetzung: vn_meisterlicher_beherrschung_magier_1.</t>
        </is>
      </c>
      <c r="F1335" t="inlineStr">
        <is>
          <t>Magier</t>
        </is>
      </c>
      <c r="G1335" t="inlineStr">
        <is>
          <t>Auswahl</t>
        </is>
      </c>
      <c r="J1335" t="inlineStr">
        <is>
          <t>NICHT_KUMULATIV_MEISTERLICHER_SCHULE;VORAUSSETZUNG=vn_meisterlicher_beherrschung_magier_1</t>
        </is>
      </c>
      <c r="L1335" t="n">
        <v>999</v>
      </c>
      <c r="M1335" t="n">
        <v>5</v>
      </c>
      <c r="Q1335" t="inlineStr">
        <is>
          <t>Voraussetzung: Meisterlicher Beherrschung-Magier I. Die Wirkung von Zaubern der Schule Beherrschung erhöht sich um 100 % (Faktor 2). Nicht kumulativ mit den anderen Stufen dieses Vorteils. Eine höhere Stufe ersetzt die vorherige Stufe.</t>
        </is>
      </c>
    </row>
    <row r="1336" hidden="1" ht="15.75" customHeight="1" s="48">
      <c r="A1336" t="inlineStr">
        <is>
          <t>vn_meisterlicher_erdbeschwoerung_magier_2</t>
        </is>
      </c>
      <c r="B1336" t="inlineStr">
        <is>
          <t>Vor- und Nachteile</t>
        </is>
      </c>
      <c r="C1336" t="inlineStr">
        <is>
          <t>Meisterlicher Erdbeschwörung-Magier II</t>
        </is>
      </c>
      <c r="E1336" t="inlineStr">
        <is>
          <t>Gilt ausschließlich für die Schule Erdbeschwörung. Nicht kumulativ; eine höhere Stufe ersetzt die vorherige. Voraussetzung: vn_meisterlicher_erdbeschwoerung_magier_1.</t>
        </is>
      </c>
      <c r="F1336" t="inlineStr">
        <is>
          <t>Magier</t>
        </is>
      </c>
      <c r="G1336" t="inlineStr">
        <is>
          <t>Auswahl</t>
        </is>
      </c>
      <c r="J1336" t="inlineStr">
        <is>
          <t>NICHT_KUMULATIV_MEISTERLICHER_SCHULE;VORAUSSETZUNG=vn_meisterlicher_erdbeschwoerung_magier_1</t>
        </is>
      </c>
      <c r="L1336" t="n">
        <v>999</v>
      </c>
      <c r="M1336" t="n">
        <v>5</v>
      </c>
      <c r="Q1336" t="inlineStr">
        <is>
          <t>Voraussetzung: Meisterlicher Erdbeschwörung-Magier I. Die Wirkung von Zaubern der Schule Erdbeschwörung erhöht sich um 100 % (Faktor 2). Nicht kumulativ mit den anderen Stufen dieses Vorteils. Eine höhere Stufe ersetzt die vorherige Stufe.</t>
        </is>
      </c>
    </row>
    <row r="1337" hidden="1" ht="15.75" customHeight="1" s="48">
      <c r="A1337" t="inlineStr">
        <is>
          <t>vn_meisterlicher_feuerbeschwoerung_magier_2</t>
        </is>
      </c>
      <c r="B1337" t="inlineStr">
        <is>
          <t>Vor- und Nachteile</t>
        </is>
      </c>
      <c r="C1337" t="inlineStr">
        <is>
          <t>Meisterlicher Feuerbeschwörung-Magier II</t>
        </is>
      </c>
      <c r="E1337" t="inlineStr">
        <is>
          <t>Gilt ausschließlich für die Schule Feuerbeschwörung. Nicht kumulativ; eine höhere Stufe ersetzt die vorherige. Voraussetzung: vn_meisterlicher_feuerbeschwoerung_magier_1.</t>
        </is>
      </c>
      <c r="F1337" t="inlineStr">
        <is>
          <t>Magier</t>
        </is>
      </c>
      <c r="G1337" t="inlineStr">
        <is>
          <t>Auswahl</t>
        </is>
      </c>
      <c r="J1337" t="inlineStr">
        <is>
          <t>NICHT_KUMULATIV_MEISTERLICHER_SCHULE;VORAUSSETZUNG=vn_meisterlicher_feuerbeschwoerung_magier_1</t>
        </is>
      </c>
      <c r="L1337" t="n">
        <v>999</v>
      </c>
      <c r="M1337" t="n">
        <v>5</v>
      </c>
      <c r="Q1337" t="inlineStr">
        <is>
          <t>Voraussetzung: Meisterlicher Feuerbeschwörung-Magier I. Die Wirkung von Zaubern der Schule Feuerbeschwörung erhöht sich um 100 % (Faktor 2). Nicht kumulativ mit den anderen Stufen dieses Vorteils. Eine höhere Stufe ersetzt die vorherige Stufe.</t>
        </is>
      </c>
    </row>
    <row r="1338" hidden="1" ht="15.75" customHeight="1" s="48">
      <c r="A1338" t="inlineStr">
        <is>
          <t>vn_meisterlicher_heilung_magier_2</t>
        </is>
      </c>
      <c r="B1338" t="inlineStr">
        <is>
          <t>Vor- und Nachteile</t>
        </is>
      </c>
      <c r="C1338" t="inlineStr">
        <is>
          <t>Meisterlicher Heilung-Magier II</t>
        </is>
      </c>
      <c r="E1338" t="inlineStr">
        <is>
          <t>Gilt ausschließlich für die Schule Heilung. Nicht kumulativ; eine höhere Stufe ersetzt die vorherige. Voraussetzung: vn_meisterlicher_heilung_magier_1.</t>
        </is>
      </c>
      <c r="F1338" t="inlineStr">
        <is>
          <t>Magier</t>
        </is>
      </c>
      <c r="G1338" t="inlineStr">
        <is>
          <t>Auswahl</t>
        </is>
      </c>
      <c r="J1338" t="inlineStr">
        <is>
          <t>NICHT_KUMULATIV_MEISTERLICHER_SCHULE;VORAUSSETZUNG=vn_meisterlicher_heilung_magier_1</t>
        </is>
      </c>
      <c r="L1338" t="n">
        <v>999</v>
      </c>
      <c r="M1338" t="n">
        <v>5</v>
      </c>
      <c r="Q1338" t="inlineStr">
        <is>
          <t>Voraussetzung: Meisterlicher Heilung-Magier I. Die Wirkung von Zaubern der Schule Heilung erhöht sich um 100 % (Faktor 2). Nicht kumulativ mit den anderen Stufen dieses Vorteils. Eine höhere Stufe ersetzt die vorherige Stufe.</t>
        </is>
      </c>
    </row>
    <row r="1339" hidden="1" ht="15.75" customHeight="1" s="48">
      <c r="A1339" t="inlineStr">
        <is>
          <t>vn_meisterlicher_hellsicht_magier_2</t>
        </is>
      </c>
      <c r="B1339" t="inlineStr">
        <is>
          <t>Vor- und Nachteile</t>
        </is>
      </c>
      <c r="C1339" t="inlineStr">
        <is>
          <t>Meisterlicher Hellsicht-Magier II</t>
        </is>
      </c>
      <c r="E1339" t="inlineStr">
        <is>
          <t>Gilt ausschließlich für die Schule Hellsicht. Nicht kumulativ; eine höhere Stufe ersetzt die vorherige. Voraussetzung: vn_meisterlicher_hellsicht_magier_1.</t>
        </is>
      </c>
      <c r="F1339" t="inlineStr">
        <is>
          <t>Magier</t>
        </is>
      </c>
      <c r="G1339" t="inlineStr">
        <is>
          <t>Auswahl</t>
        </is>
      </c>
      <c r="J1339" t="inlineStr">
        <is>
          <t>NICHT_KUMULATIV_MEISTERLICHER_SCHULE;VORAUSSETZUNG=vn_meisterlicher_hellsicht_magier_1</t>
        </is>
      </c>
      <c r="L1339" t="n">
        <v>999</v>
      </c>
      <c r="M1339" t="n">
        <v>5</v>
      </c>
      <c r="Q1339" t="inlineStr">
        <is>
          <t>Voraussetzung: Meisterlicher Hellsicht-Magier I. Die Wirkung von Zaubern der Schule Hellsicht erhöht sich um 100 % (Faktor 2). Nicht kumulativ mit den anderen Stufen dieses Vorteils. Eine höhere Stufe ersetzt die vorherige Stufe.</t>
        </is>
      </c>
    </row>
    <row r="1340" hidden="1" ht="15.75" customHeight="1" s="48">
      <c r="A1340" t="inlineStr">
        <is>
          <t>vn_meisterlicher_illusion_magier_2</t>
        </is>
      </c>
      <c r="B1340" t="inlineStr">
        <is>
          <t>Vor- und Nachteile</t>
        </is>
      </c>
      <c r="C1340" t="inlineStr">
        <is>
          <t>Meisterlicher Illusion-Magier II</t>
        </is>
      </c>
      <c r="E1340" t="inlineStr">
        <is>
          <t>Gilt ausschließlich für die Schule Illusion. Nicht kumulativ; eine höhere Stufe ersetzt die vorherige. Voraussetzung: vn_meisterlicher_illusion_magier_1.</t>
        </is>
      </c>
      <c r="F1340" t="inlineStr">
        <is>
          <t>Magier</t>
        </is>
      </c>
      <c r="G1340" t="inlineStr">
        <is>
          <t>Auswahl</t>
        </is>
      </c>
      <c r="J1340" t="inlineStr">
        <is>
          <t>NICHT_KUMULATIV_MEISTERLICHER_SCHULE;VORAUSSETZUNG=vn_meisterlicher_illusion_magier_1</t>
        </is>
      </c>
      <c r="L1340" t="n">
        <v>999</v>
      </c>
      <c r="M1340" t="n">
        <v>5</v>
      </c>
      <c r="Q1340" t="inlineStr">
        <is>
          <t>Voraussetzung: Meisterlicher Illusion-Magier I. Die Wirkung von Zaubern der Schule Illusion erhöht sich um 100 % (Faktor 2). Nicht kumulativ mit den anderen Stufen dieses Vorteils. Eine höhere Stufe ersetzt die vorherige Stufe.</t>
        </is>
      </c>
    </row>
    <row r="1341" hidden="1" ht="15.75" customHeight="1" s="48">
      <c r="A1341" t="inlineStr">
        <is>
          <t>vn_meisterlicher_luftbeschwoerung_magier_2</t>
        </is>
      </c>
      <c r="B1341" t="inlineStr">
        <is>
          <t>Vor- und Nachteile</t>
        </is>
      </c>
      <c r="C1341" t="inlineStr">
        <is>
          <t>Meisterlicher Luftbeschwörung-Magier II</t>
        </is>
      </c>
      <c r="E1341" t="inlineStr">
        <is>
          <t>Gilt ausschließlich für die Schule Luftbeschwörung. Nicht kumulativ; eine höhere Stufe ersetzt die vorherige. Voraussetzung: vn_meisterlicher_luftbeschwoerung_magier_1.</t>
        </is>
      </c>
      <c r="F1341" t="inlineStr">
        <is>
          <t>Magier</t>
        </is>
      </c>
      <c r="G1341" t="inlineStr">
        <is>
          <t>Auswahl</t>
        </is>
      </c>
      <c r="J1341" t="inlineStr">
        <is>
          <t>NICHT_KUMULATIV_MEISTERLICHER_SCHULE;VORAUSSETZUNG=vn_meisterlicher_luftbeschwoerung_magier_1</t>
        </is>
      </c>
      <c r="L1341" t="n">
        <v>999</v>
      </c>
      <c r="M1341" t="n">
        <v>5</v>
      </c>
      <c r="Q1341" t="inlineStr">
        <is>
          <t>Voraussetzung: Meisterlicher Luftbeschwörung-Magier I. Die Wirkung von Zaubern der Schule Luftbeschwörung erhöht sich um 100 % (Faktor 2). Nicht kumulativ mit den anderen Stufen dieses Vorteils. Eine höhere Stufe ersetzt die vorherige Stufe.</t>
        </is>
      </c>
    </row>
    <row r="1342" hidden="1" ht="15.75" customHeight="1" s="48">
      <c r="A1342" t="inlineStr">
        <is>
          <t>vn_meisterlicher_magiebeschwoerung_magier_2</t>
        </is>
      </c>
      <c r="B1342" t="inlineStr">
        <is>
          <t>Vor- und Nachteile</t>
        </is>
      </c>
      <c r="C1342" t="inlineStr">
        <is>
          <t>Meisterlicher Magiebeschwörung-Magier II</t>
        </is>
      </c>
      <c r="E1342" t="inlineStr">
        <is>
          <t>Gilt ausschließlich für die Schule Magiebeschwörung. Nicht kumulativ; eine höhere Stufe ersetzt die vorherige. Voraussetzung: vn_meisterlicher_magiebeschwoerung_magier_1.</t>
        </is>
      </c>
      <c r="F1342" t="inlineStr">
        <is>
          <t>Magier</t>
        </is>
      </c>
      <c r="G1342" t="inlineStr">
        <is>
          <t>Auswahl</t>
        </is>
      </c>
      <c r="J1342" t="inlineStr">
        <is>
          <t>NICHT_KUMULATIV_MEISTERLICHER_SCHULE;VORAUSSETZUNG=vn_meisterlicher_magiebeschwoerung_magier_1</t>
        </is>
      </c>
      <c r="L1342" t="n">
        <v>999</v>
      </c>
      <c r="M1342" t="n">
        <v>5</v>
      </c>
      <c r="Q1342" t="inlineStr">
        <is>
          <t>Voraussetzung: Meisterlicher Magiebeschwörung-Magier I. Die Wirkung von Zaubern der Schule Magiebeschwörung erhöht sich um 100 % (Faktor 2). Nicht kumulativ mit den anderen Stufen dieses Vorteils. Eine höhere Stufe ersetzt die vorherige Stufe.</t>
        </is>
      </c>
    </row>
    <row r="1343" hidden="1" ht="15.75" customHeight="1" s="48">
      <c r="A1343" t="inlineStr">
        <is>
          <t>vn_meisterlicher_veraenderung_magier_2</t>
        </is>
      </c>
      <c r="B1343" t="inlineStr">
        <is>
          <t>Vor- und Nachteile</t>
        </is>
      </c>
      <c r="C1343" t="inlineStr">
        <is>
          <t>Meisterlicher Veränderung-Magier II</t>
        </is>
      </c>
      <c r="E1343" t="inlineStr">
        <is>
          <t>Gilt ausschließlich für die Schule Veränderung. Nicht kumulativ; eine höhere Stufe ersetzt die vorherige. Voraussetzung: vn_meisterlicher_veraenderung_magier_1.</t>
        </is>
      </c>
      <c r="F1343" t="inlineStr">
        <is>
          <t>Magier</t>
        </is>
      </c>
      <c r="G1343" t="inlineStr">
        <is>
          <t>Auswahl</t>
        </is>
      </c>
      <c r="J1343" t="inlineStr">
        <is>
          <t>NICHT_KUMULATIV_MEISTERLICHER_SCHULE;VORAUSSETZUNG=vn_meisterlicher_veraenderung_magier_1</t>
        </is>
      </c>
      <c r="L1343" t="n">
        <v>999</v>
      </c>
      <c r="M1343" t="n">
        <v>5</v>
      </c>
      <c r="Q1343" t="inlineStr">
        <is>
          <t>Voraussetzung: Meisterlicher Veränderung-Magier I. Die Wirkung von Zaubern der Schule Veränderung erhöht sich um 100 % (Faktor 2). Nicht kumulativ mit den anderen Stufen dieses Vorteils. Eine höhere Stufe ersetzt die vorherige Stufe.</t>
        </is>
      </c>
    </row>
    <row r="1344" hidden="1" ht="15.75" customHeight="1" s="48">
      <c r="A1344" t="inlineStr">
        <is>
          <t>vn_meisterlicher_verzauberung_magier_2</t>
        </is>
      </c>
      <c r="B1344" t="inlineStr">
        <is>
          <t>Vor- und Nachteile</t>
        </is>
      </c>
      <c r="C1344" t="inlineStr">
        <is>
          <t>Meisterlicher Verzauberung-Magier II</t>
        </is>
      </c>
      <c r="E1344" t="inlineStr">
        <is>
          <t>Gilt ausschließlich für die Schule Verzauberung. Nicht kumulativ; eine höhere Stufe ersetzt die vorherige. Voraussetzung: vn_meisterlicher_verzauberung_magier_1.</t>
        </is>
      </c>
      <c r="F1344" t="inlineStr">
        <is>
          <t>Magier</t>
        </is>
      </c>
      <c r="G1344" t="inlineStr">
        <is>
          <t>Auswahl</t>
        </is>
      </c>
      <c r="J1344" t="inlineStr">
        <is>
          <t>NICHT_KUMULATIV_MEISTERLICHER_SCHULE;VORAUSSETZUNG=vn_meisterlicher_verzauberung_magier_1</t>
        </is>
      </c>
      <c r="L1344" t="n">
        <v>999</v>
      </c>
      <c r="M1344" t="n">
        <v>5</v>
      </c>
      <c r="Q1344" t="inlineStr">
        <is>
          <t>Voraussetzung: Meisterlicher Verzauberung-Magier I. Die Wirkung von Zaubern der Schule Verzauberung erhöht sich um 100 % (Faktor 2). Nicht kumulativ mit den anderen Stufen dieses Vorteils. Eine höhere Stufe ersetzt die vorherige Stufe.</t>
        </is>
      </c>
    </row>
    <row r="1345" hidden="1" ht="15.75" customHeight="1" s="48">
      <c r="A1345" t="inlineStr">
        <is>
          <t>vn_meisterlicher_wasserbeschwoerung_magier_2</t>
        </is>
      </c>
      <c r="B1345" t="inlineStr">
        <is>
          <t>Vor- und Nachteile</t>
        </is>
      </c>
      <c r="C1345" t="inlineStr">
        <is>
          <t>Meisterlicher Wasserbeschwörung-Magier II</t>
        </is>
      </c>
      <c r="E1345" t="inlineStr">
        <is>
          <t>Gilt ausschließlich für die Schule Wasserbeschwörung. Nicht kumulativ; eine höhere Stufe ersetzt die vorherige. Voraussetzung: vn_meisterlicher_wasserbeschwoerung_magier_1.</t>
        </is>
      </c>
      <c r="F1345" t="inlineStr">
        <is>
          <t>Magier</t>
        </is>
      </c>
      <c r="G1345" t="inlineStr">
        <is>
          <t>Auswahl</t>
        </is>
      </c>
      <c r="J1345" t="inlineStr">
        <is>
          <t>NICHT_KUMULATIV_MEISTERLICHER_SCHULE;VORAUSSETZUNG=vn_meisterlicher_wasserbeschwoerung_magier_1</t>
        </is>
      </c>
      <c r="L1345" t="n">
        <v>999</v>
      </c>
      <c r="M1345" t="n">
        <v>5</v>
      </c>
      <c r="Q1345" t="inlineStr">
        <is>
          <t>Voraussetzung: Meisterlicher Wasserbeschwörung-Magier I. Die Wirkung von Zaubern der Schule Wasserbeschwörung erhöht sich um 100 % (Faktor 2). Nicht kumulativ mit den anderen Stufen dieses Vorteils. Eine höhere Stufe ersetzt die vorherige Stufe.</t>
        </is>
      </c>
    </row>
    <row r="1346" hidden="1" ht="15.75" customHeight="1" s="48">
      <c r="A1346" t="inlineStr">
        <is>
          <t>vn_meisterlicher_antimagie_magier_3</t>
        </is>
      </c>
      <c r="B1346" t="inlineStr">
        <is>
          <t>Vor- und Nachteile</t>
        </is>
      </c>
      <c r="C1346" t="inlineStr">
        <is>
          <t>Meisterlicher Antimagie-Magier III</t>
        </is>
      </c>
      <c r="E1346" t="inlineStr">
        <is>
          <t>Gilt ausschließlich für die Schule Antimagie. Nicht kumulativ; eine höhere Stufe ersetzt die vorherige. Voraussetzung: vn_meisterlicher_antimagie_magier_2.</t>
        </is>
      </c>
      <c r="F1346" t="inlineStr">
        <is>
          <t>Magier</t>
        </is>
      </c>
      <c r="G1346" t="inlineStr">
        <is>
          <t>Auswahl</t>
        </is>
      </c>
      <c r="J1346" t="inlineStr">
        <is>
          <t>NICHT_KUMULATIV_MEISTERLICHER_SCHULE;VORAUSSETZUNG=vn_meisterlicher_antimagie_magier_2</t>
        </is>
      </c>
      <c r="L1346" t="n">
        <v>999</v>
      </c>
      <c r="M1346" t="n">
        <v>7</v>
      </c>
      <c r="Q1346" t="inlineStr">
        <is>
          <t>Voraussetzung: Meisterlicher Antimagie-Magier II. Die Wirkung von Zaubern der Schule Antimagie erhöht sich um 150 % (Faktor 2,5). Nicht kumulativ mit den anderen Stufen dieses Vorteils. Eine höhere Stufe ersetzt die vorherige Stufe.</t>
        </is>
      </c>
    </row>
    <row r="1347" hidden="1" ht="15.75" customHeight="1" s="48">
      <c r="A1347" t="inlineStr">
        <is>
          <t>vn_meisterlicher_beherrschung_magier_3</t>
        </is>
      </c>
      <c r="B1347" t="inlineStr">
        <is>
          <t>Vor- und Nachteile</t>
        </is>
      </c>
      <c r="C1347" t="inlineStr">
        <is>
          <t>Meisterlicher Beherrschung-Magier III</t>
        </is>
      </c>
      <c r="E1347" t="inlineStr">
        <is>
          <t>Gilt ausschließlich für die Schule Beherrschung. Nicht kumulativ; eine höhere Stufe ersetzt die vorherige. Voraussetzung: vn_meisterlicher_beherrschung_magier_2.</t>
        </is>
      </c>
      <c r="F1347" t="inlineStr">
        <is>
          <t>Magier</t>
        </is>
      </c>
      <c r="G1347" t="inlineStr">
        <is>
          <t>Auswahl</t>
        </is>
      </c>
      <c r="J1347" t="inlineStr">
        <is>
          <t>NICHT_KUMULATIV_MEISTERLICHER_SCHULE;VORAUSSETZUNG=vn_meisterlicher_beherrschung_magier_2</t>
        </is>
      </c>
      <c r="L1347" t="n">
        <v>999</v>
      </c>
      <c r="M1347" t="n">
        <v>7</v>
      </c>
      <c r="Q1347" t="inlineStr">
        <is>
          <t>Voraussetzung: Meisterlicher Beherrschung-Magier II. Die Wirkung von Zaubern der Schule Beherrschung erhöht sich um 150 % (Faktor 2,5). Nicht kumulativ mit den anderen Stufen dieses Vorteils. Eine höhere Stufe ersetzt die vorherige Stufe.</t>
        </is>
      </c>
    </row>
    <row r="1348" hidden="1" ht="15.75" customHeight="1" s="48">
      <c r="A1348" t="inlineStr">
        <is>
          <t>vn_meisterlicher_erdbeschwoerung_magier_3</t>
        </is>
      </c>
      <c r="B1348" t="inlineStr">
        <is>
          <t>Vor- und Nachteile</t>
        </is>
      </c>
      <c r="C1348" t="inlineStr">
        <is>
          <t>Meisterlicher Erdbeschwörung-Magier III</t>
        </is>
      </c>
      <c r="E1348" t="inlineStr">
        <is>
          <t>Gilt ausschließlich für die Schule Erdbeschwörung. Nicht kumulativ; eine höhere Stufe ersetzt die vorherige. Voraussetzung: vn_meisterlicher_erdbeschwoerung_magier_2.</t>
        </is>
      </c>
      <c r="F1348" t="inlineStr">
        <is>
          <t>Magier</t>
        </is>
      </c>
      <c r="G1348" t="inlineStr">
        <is>
          <t>Auswahl</t>
        </is>
      </c>
      <c r="J1348" t="inlineStr">
        <is>
          <t>NICHT_KUMULATIV_MEISTERLICHER_SCHULE;VORAUSSETZUNG=vn_meisterlicher_erdbeschwoerung_magier_2</t>
        </is>
      </c>
      <c r="L1348" t="n">
        <v>999</v>
      </c>
      <c r="M1348" t="n">
        <v>7</v>
      </c>
      <c r="Q1348" t="inlineStr">
        <is>
          <t>Voraussetzung: Meisterlicher Erdbeschwörung-Magier II. Die Wirkung von Zaubern der Schule Erdbeschwörung erhöht sich um 150 % (Faktor 2,5). Nicht kumulativ mit den anderen Stufen dieses Vorteils. Eine höhere Stufe ersetzt die vorherige Stufe.</t>
        </is>
      </c>
    </row>
    <row r="1349" hidden="1" ht="15.75" customHeight="1" s="48">
      <c r="A1349" t="inlineStr">
        <is>
          <t>vn_meisterlicher_feuerbeschwoerung_magier_3</t>
        </is>
      </c>
      <c r="B1349" t="inlineStr">
        <is>
          <t>Vor- und Nachteile</t>
        </is>
      </c>
      <c r="C1349" t="inlineStr">
        <is>
          <t>Meisterlicher Feuerbeschwörung-Magier III</t>
        </is>
      </c>
      <c r="E1349" t="inlineStr">
        <is>
          <t>Gilt ausschließlich für die Schule Feuerbeschwörung. Nicht kumulativ; eine höhere Stufe ersetzt die vorherige. Voraussetzung: vn_meisterlicher_feuerbeschwoerung_magier_2.</t>
        </is>
      </c>
      <c r="F1349" t="inlineStr">
        <is>
          <t>Magier</t>
        </is>
      </c>
      <c r="G1349" t="inlineStr">
        <is>
          <t>Auswahl</t>
        </is>
      </c>
      <c r="J1349" t="inlineStr">
        <is>
          <t>NICHT_KUMULATIV_MEISTERLICHER_SCHULE;VORAUSSETZUNG=vn_meisterlicher_feuerbeschwoerung_magier_2</t>
        </is>
      </c>
      <c r="L1349" t="n">
        <v>999</v>
      </c>
      <c r="M1349" t="n">
        <v>7</v>
      </c>
      <c r="Q1349" t="inlineStr">
        <is>
          <t>Voraussetzung: Meisterlicher Feuerbeschwörung-Magier II. Die Wirkung von Zaubern der Schule Feuerbeschwörung erhöht sich um 150 % (Faktor 2,5). Nicht kumulativ mit den anderen Stufen dieses Vorteils. Eine höhere Stufe ersetzt die vorherige Stufe.</t>
        </is>
      </c>
    </row>
    <row r="1350" hidden="1" ht="15.75" customHeight="1" s="48">
      <c r="A1350" t="inlineStr">
        <is>
          <t>vn_meisterlicher_heilung_magier_3</t>
        </is>
      </c>
      <c r="B1350" t="inlineStr">
        <is>
          <t>Vor- und Nachteile</t>
        </is>
      </c>
      <c r="C1350" t="inlineStr">
        <is>
          <t>Meisterlicher Heilung-Magier III</t>
        </is>
      </c>
      <c r="E1350" t="inlineStr">
        <is>
          <t>Gilt ausschließlich für die Schule Heilung. Nicht kumulativ; eine höhere Stufe ersetzt die vorherige. Voraussetzung: vn_meisterlicher_heilung_magier_2.</t>
        </is>
      </c>
      <c r="F1350" t="inlineStr">
        <is>
          <t>Magier</t>
        </is>
      </c>
      <c r="G1350" t="inlineStr">
        <is>
          <t>Auswahl</t>
        </is>
      </c>
      <c r="J1350" t="inlineStr">
        <is>
          <t>NICHT_KUMULATIV_MEISTERLICHER_SCHULE;VORAUSSETZUNG=vn_meisterlicher_heilung_magier_2</t>
        </is>
      </c>
      <c r="L1350" t="n">
        <v>999</v>
      </c>
      <c r="M1350" t="n">
        <v>7</v>
      </c>
      <c r="Q1350" t="inlineStr">
        <is>
          <t>Voraussetzung: Meisterlicher Heilung-Magier II. Die Wirkung von Zaubern der Schule Heilung erhöht sich um 150 % (Faktor 2,5). Nicht kumulativ mit den anderen Stufen dieses Vorteils. Eine höhere Stufe ersetzt die vorherige Stufe.</t>
        </is>
      </c>
    </row>
    <row r="1351" hidden="1" ht="15.75" customHeight="1" s="48">
      <c r="A1351" t="inlineStr">
        <is>
          <t>vn_meisterlicher_hellsicht_magier_3</t>
        </is>
      </c>
      <c r="B1351" t="inlineStr">
        <is>
          <t>Vor- und Nachteile</t>
        </is>
      </c>
      <c r="C1351" t="inlineStr">
        <is>
          <t>Meisterlicher Hellsicht-Magier III</t>
        </is>
      </c>
      <c r="E1351" t="inlineStr">
        <is>
          <t>Gilt ausschließlich für die Schule Hellsicht. Nicht kumulativ; eine höhere Stufe ersetzt die vorherige. Voraussetzung: vn_meisterlicher_hellsicht_magier_2.</t>
        </is>
      </c>
      <c r="F1351" t="inlineStr">
        <is>
          <t>Magier</t>
        </is>
      </c>
      <c r="G1351" t="inlineStr">
        <is>
          <t>Auswahl</t>
        </is>
      </c>
      <c r="J1351" t="inlineStr">
        <is>
          <t>NICHT_KUMULATIV_MEISTERLICHER_SCHULE;VORAUSSETZUNG=vn_meisterlicher_hellsicht_magier_2</t>
        </is>
      </c>
      <c r="L1351" t="n">
        <v>999</v>
      </c>
      <c r="M1351" t="n">
        <v>7</v>
      </c>
      <c r="Q1351" t="inlineStr">
        <is>
          <t>Voraussetzung: Meisterlicher Hellsicht-Magier II. Die Wirkung von Zaubern der Schule Hellsicht erhöht sich um 150 % (Faktor 2,5). Nicht kumulativ mit den anderen Stufen dieses Vorteils. Eine höhere Stufe ersetzt die vorherige Stufe.</t>
        </is>
      </c>
    </row>
    <row r="1352" hidden="1" ht="15.75" customHeight="1" s="48">
      <c r="A1352" t="inlineStr">
        <is>
          <t>vn_meisterlicher_illusion_magier_3</t>
        </is>
      </c>
      <c r="B1352" t="inlineStr">
        <is>
          <t>Vor- und Nachteile</t>
        </is>
      </c>
      <c r="C1352" t="inlineStr">
        <is>
          <t>Meisterlicher Illusion-Magier III</t>
        </is>
      </c>
      <c r="E1352" t="inlineStr">
        <is>
          <t>Gilt ausschließlich für die Schule Illusion. Nicht kumulativ; eine höhere Stufe ersetzt die vorherige. Voraussetzung: vn_meisterlicher_illusion_magier_2.</t>
        </is>
      </c>
      <c r="F1352" t="inlineStr">
        <is>
          <t>Magier</t>
        </is>
      </c>
      <c r="G1352" t="inlineStr">
        <is>
          <t>Auswahl</t>
        </is>
      </c>
      <c r="J1352" t="inlineStr">
        <is>
          <t>NICHT_KUMULATIV_MEISTERLICHER_SCHULE;VORAUSSETZUNG=vn_meisterlicher_illusion_magier_2</t>
        </is>
      </c>
      <c r="L1352" t="n">
        <v>999</v>
      </c>
      <c r="M1352" t="n">
        <v>7</v>
      </c>
      <c r="Q1352" t="inlineStr">
        <is>
          <t>Voraussetzung: Meisterlicher Illusion-Magier II. Die Wirkung von Zaubern der Schule Illusion erhöht sich um 150 % (Faktor 2,5). Nicht kumulativ mit den anderen Stufen dieses Vorteils. Eine höhere Stufe ersetzt die vorherige Stufe.</t>
        </is>
      </c>
    </row>
    <row r="1353" hidden="1" ht="15.75" customHeight="1" s="48">
      <c r="A1353" t="inlineStr">
        <is>
          <t>vn_meisterlicher_luftbeschwoerung_magier_3</t>
        </is>
      </c>
      <c r="B1353" t="inlineStr">
        <is>
          <t>Vor- und Nachteile</t>
        </is>
      </c>
      <c r="C1353" t="inlineStr">
        <is>
          <t>Meisterlicher Luftbeschwörung-Magier III</t>
        </is>
      </c>
      <c r="E1353" t="inlineStr">
        <is>
          <t>Gilt ausschließlich für die Schule Luftbeschwörung. Nicht kumulativ; eine höhere Stufe ersetzt die vorherige. Voraussetzung: vn_meisterlicher_luftbeschwoerung_magier_2.</t>
        </is>
      </c>
      <c r="F1353" t="inlineStr">
        <is>
          <t>Magier</t>
        </is>
      </c>
      <c r="G1353" t="inlineStr">
        <is>
          <t>Auswahl</t>
        </is>
      </c>
      <c r="J1353" t="inlineStr">
        <is>
          <t>NICHT_KUMULATIV_MEISTERLICHER_SCHULE;VORAUSSETZUNG=vn_meisterlicher_luftbeschwoerung_magier_2</t>
        </is>
      </c>
      <c r="L1353" t="n">
        <v>999</v>
      </c>
      <c r="M1353" t="n">
        <v>7</v>
      </c>
      <c r="Q1353" t="inlineStr">
        <is>
          <t>Voraussetzung: Meisterlicher Luftbeschwörung-Magier II. Die Wirkung von Zaubern der Schule Luftbeschwörung erhöht sich um 150 % (Faktor 2,5). Nicht kumulativ mit den anderen Stufen dieses Vorteils. Eine höhere Stufe ersetzt die vorherige Stufe.</t>
        </is>
      </c>
    </row>
    <row r="1354" hidden="1" ht="15.75" customHeight="1" s="48">
      <c r="A1354" t="inlineStr">
        <is>
          <t>vn_meisterlicher_magiebeschwoerung_magier_3</t>
        </is>
      </c>
      <c r="B1354" t="inlineStr">
        <is>
          <t>Vor- und Nachteile</t>
        </is>
      </c>
      <c r="C1354" t="inlineStr">
        <is>
          <t>Meisterlicher Magiebeschwörung-Magier III</t>
        </is>
      </c>
      <c r="E1354" t="inlineStr">
        <is>
          <t>Gilt ausschließlich für die Schule Magiebeschwörung. Nicht kumulativ; eine höhere Stufe ersetzt die vorherige. Voraussetzung: vn_meisterlicher_magiebeschwoerung_magier_2.</t>
        </is>
      </c>
      <c r="F1354" t="inlineStr">
        <is>
          <t>Magier</t>
        </is>
      </c>
      <c r="G1354" t="inlineStr">
        <is>
          <t>Auswahl</t>
        </is>
      </c>
      <c r="J1354" t="inlineStr">
        <is>
          <t>NICHT_KUMULATIV_MEISTERLICHER_SCHULE;VORAUSSETZUNG=vn_meisterlicher_magiebeschwoerung_magier_2</t>
        </is>
      </c>
      <c r="L1354" t="n">
        <v>999</v>
      </c>
      <c r="M1354" t="n">
        <v>7</v>
      </c>
      <c r="Q1354" t="inlineStr">
        <is>
          <t>Voraussetzung: Meisterlicher Magiebeschwörung-Magier II. Die Wirkung von Zaubern der Schule Magiebeschwörung erhöht sich um 150 % (Faktor 2,5). Nicht kumulativ mit den anderen Stufen dieses Vorteils. Eine höhere Stufe ersetzt die vorherige Stufe.</t>
        </is>
      </c>
    </row>
    <row r="1355" hidden="1" ht="15.75" customHeight="1" s="48">
      <c r="A1355" t="inlineStr">
        <is>
          <t>vn_meisterlicher_veraenderung_magier_3</t>
        </is>
      </c>
      <c r="B1355" t="inlineStr">
        <is>
          <t>Vor- und Nachteile</t>
        </is>
      </c>
      <c r="C1355" t="inlineStr">
        <is>
          <t>Meisterlicher Veränderung-Magier III</t>
        </is>
      </c>
      <c r="E1355" t="inlineStr">
        <is>
          <t>Gilt ausschließlich für die Schule Veränderung. Nicht kumulativ; eine höhere Stufe ersetzt die vorherige. Voraussetzung: vn_meisterlicher_veraenderung_magier_2.</t>
        </is>
      </c>
      <c r="F1355" t="inlineStr">
        <is>
          <t>Magier</t>
        </is>
      </c>
      <c r="G1355" t="inlineStr">
        <is>
          <t>Auswahl</t>
        </is>
      </c>
      <c r="J1355" t="inlineStr">
        <is>
          <t>NICHT_KUMULATIV_MEISTERLICHER_SCHULE;VORAUSSETZUNG=vn_meisterlicher_veraenderung_magier_2</t>
        </is>
      </c>
      <c r="L1355" t="n">
        <v>999</v>
      </c>
      <c r="M1355" t="n">
        <v>7</v>
      </c>
      <c r="Q1355" t="inlineStr">
        <is>
          <t>Voraussetzung: Meisterlicher Veränderung-Magier II. Die Wirkung von Zaubern der Schule Veränderung erhöht sich um 150 % (Faktor 2,5). Nicht kumulativ mit den anderen Stufen dieses Vorteils. Eine höhere Stufe ersetzt die vorherige Stufe.</t>
        </is>
      </c>
    </row>
    <row r="1356" hidden="1" ht="15.75" customHeight="1" s="48">
      <c r="A1356" t="inlineStr">
        <is>
          <t>vn_meisterlicher_verzauberung_magier_3</t>
        </is>
      </c>
      <c r="B1356" t="inlineStr">
        <is>
          <t>Vor- und Nachteile</t>
        </is>
      </c>
      <c r="C1356" t="inlineStr">
        <is>
          <t>Meisterlicher Verzauberung-Magier III</t>
        </is>
      </c>
      <c r="E1356" t="inlineStr">
        <is>
          <t>Gilt ausschließlich für die Schule Verzauberung. Nicht kumulativ; eine höhere Stufe ersetzt die vorherige. Voraussetzung: vn_meisterlicher_verzauberung_magier_2.</t>
        </is>
      </c>
      <c r="F1356" t="inlineStr">
        <is>
          <t>Magier</t>
        </is>
      </c>
      <c r="G1356" t="inlineStr">
        <is>
          <t>Auswahl</t>
        </is>
      </c>
      <c r="J1356" t="inlineStr">
        <is>
          <t>NICHT_KUMULATIV_MEISTERLICHER_SCHULE;VORAUSSETZUNG=vn_meisterlicher_verzauberung_magier_2</t>
        </is>
      </c>
      <c r="L1356" t="n">
        <v>999</v>
      </c>
      <c r="M1356" t="n">
        <v>7</v>
      </c>
      <c r="Q1356" t="inlineStr">
        <is>
          <t>Voraussetzung: Meisterlicher Verzauberung-Magier II. Die Wirkung von Zaubern der Schule Verzauberung erhöht sich um 150 % (Faktor 2,5). Nicht kumulativ mit den anderen Stufen dieses Vorteils. Eine höhere Stufe ersetzt die vorherige Stufe.</t>
        </is>
      </c>
    </row>
    <row r="1357" hidden="1" ht="15.75" customHeight="1" s="48">
      <c r="A1357" t="inlineStr">
        <is>
          <t>vn_meisterlicher_wasserbeschwoerung_magier_3</t>
        </is>
      </c>
      <c r="B1357" t="inlineStr">
        <is>
          <t>Vor- und Nachteile</t>
        </is>
      </c>
      <c r="C1357" t="inlineStr">
        <is>
          <t>Meisterlicher Wasserbeschwörung-Magier III</t>
        </is>
      </c>
      <c r="E1357" t="inlineStr">
        <is>
          <t>Gilt ausschließlich für die Schule Wasserbeschwörung. Nicht kumulativ; eine höhere Stufe ersetzt die vorherige. Voraussetzung: vn_meisterlicher_wasserbeschwoerung_magier_2.</t>
        </is>
      </c>
      <c r="F1357" t="inlineStr">
        <is>
          <t>Magier</t>
        </is>
      </c>
      <c r="G1357" t="inlineStr">
        <is>
          <t>Auswahl</t>
        </is>
      </c>
      <c r="J1357" t="inlineStr">
        <is>
          <t>NICHT_KUMULATIV_MEISTERLICHER_SCHULE;VORAUSSETZUNG=vn_meisterlicher_wasserbeschwoerung_magier_2</t>
        </is>
      </c>
      <c r="L1357" t="n">
        <v>999</v>
      </c>
      <c r="M1357" t="n">
        <v>7</v>
      </c>
      <c r="Q1357" t="inlineStr">
        <is>
          <t>Voraussetzung: Meisterlicher Wasserbeschwörung-Magier II. Die Wirkung von Zaubern der Schule Wasserbeschwörung erhöht sich um 150 % (Faktor 2,5). Nicht kumulativ mit den anderen Stufen dieses Vorteils. Eine höhere Stufe ersetzt die vorherige Stufe.</t>
        </is>
      </c>
    </row>
    <row r="1358" hidden="1" ht="15.75" customHeight="1" s="48">
      <c r="A1358" t="inlineStr">
        <is>
          <t>vn_telepathie_sender</t>
        </is>
      </c>
      <c r="B1358" t="inlineStr">
        <is>
          <t>Vor- und Nachteile</t>
        </is>
      </c>
      <c r="C1358" t="inlineStr">
        <is>
          <t>Telepathie: Sender</t>
        </is>
      </c>
      <c r="E1358" t="inlineStr">
        <is>
          <t>Ausschließlich für die Spezies Elementare wählbar.</t>
        </is>
      </c>
      <c r="F1358" t="inlineStr">
        <is>
          <t>Elementar</t>
        </is>
      </c>
      <c r="G1358" t="inlineStr">
        <is>
          <t>Auswahl</t>
        </is>
      </c>
      <c r="J1358" t="inlineStr">
        <is>
          <t>SPEZIES_ELEMENTARE</t>
        </is>
      </c>
      <c r="L1358" t="n">
        <v>1</v>
      </c>
      <c r="M1358" t="n">
        <v>3</v>
      </c>
      <c r="Q1358" t="inlineStr">
        <is>
          <t>Nur für Charaktere der Spezies Elementare.</t>
        </is>
      </c>
    </row>
    <row r="1359" hidden="1" ht="15.75" customHeight="1" s="48">
      <c r="A1359" t="inlineStr">
        <is>
          <t>vn_telepathie_empfaenger</t>
        </is>
      </c>
      <c r="B1359" t="inlineStr">
        <is>
          <t>Vor- und Nachteile</t>
        </is>
      </c>
      <c r="C1359" t="inlineStr">
        <is>
          <t>Telepathie: Empfänger</t>
        </is>
      </c>
      <c r="E1359" t="inlineStr">
        <is>
          <t>Ausschließlich für die Spezies Elementare wählbar.</t>
        </is>
      </c>
      <c r="F1359" t="inlineStr">
        <is>
          <t>Elementar</t>
        </is>
      </c>
      <c r="G1359" t="inlineStr">
        <is>
          <t>Auswahl</t>
        </is>
      </c>
      <c r="J1359" t="inlineStr">
        <is>
          <t>SPEZIES_ELEMENTARE</t>
        </is>
      </c>
      <c r="L1359" t="n">
        <v>1</v>
      </c>
      <c r="M1359" t="n">
        <v>1</v>
      </c>
      <c r="Q1359" t="inlineStr">
        <is>
          <t>Nur für Charaktere der Spezies Elementare.</t>
        </is>
      </c>
    </row>
    <row r="1360" hidden="1" ht="15.75" customHeight="1" s="48">
      <c r="A1360" t="inlineStr">
        <is>
          <t>vn_aussehen_normal</t>
        </is>
      </c>
      <c r="B1360" t="inlineStr">
        <is>
          <t>Vor- und Nachteile</t>
        </is>
      </c>
      <c r="C1360" t="inlineStr">
        <is>
          <t>Aussehen: Normal</t>
        </is>
      </c>
      <c r="E1360" t="inlineStr">
        <is>
          <t>Neutrale Aussehensstufe.</t>
        </is>
      </c>
      <c r="F1360" t="inlineStr">
        <is>
          <t>Aussehen</t>
        </is>
      </c>
      <c r="G1360" t="inlineStr">
        <is>
          <t>Auswahl</t>
        </is>
      </c>
      <c r="L1360" t="n">
        <v>0</v>
      </c>
      <c r="M1360" t="inlineStr">
        <is>
          <t>E</t>
        </is>
      </c>
    </row>
    <row r="1361" hidden="1" ht="15.75" customHeight="1" s="48">
      <c r="A1361" t="inlineStr">
        <is>
          <t>vn_faehigkeit_meisterliche_grundfertigkeit_betoeren</t>
        </is>
      </c>
      <c r="B1361" t="inlineStr">
        <is>
          <t>Vor- und Nachteile</t>
        </is>
      </c>
      <c r="C1361" t="inlineStr">
        <is>
          <t>Fähigkeit: Meisterliche Grundfertigkeit: Betören</t>
        </is>
      </c>
      <c r="E1361" t="inlineStr">
        <is>
          <t>Festes Ziel: Betören (gr_betoeren).</t>
        </is>
      </c>
      <c r="F1361" t="inlineStr">
        <is>
          <t>Meisterliche Grundfertigkeit</t>
        </is>
      </c>
      <c r="G1361" t="inlineStr">
        <is>
          <t>Auswahl</t>
        </is>
      </c>
      <c r="J1361" t="inlineStr">
        <is>
          <t>ZIEL_GRUNDFERTIGKEIT=gr_betoeren</t>
        </is>
      </c>
      <c r="L1361" t="n">
        <v>100</v>
      </c>
      <c r="M1361" t="inlineStr">
        <is>
          <t>E&amp;3</t>
        </is>
      </c>
      <c r="Q1361" t="inlineStr">
        <is>
          <t>Nicht Magier: Der Charakter kann max. (M) Mana für (M)×2 min in 1 Talentpunkt pro 4 Mana der Grundfertigkeit Betören umwandeln. Dieser Vorteil gilt ausschließlich für Betören und muss für jede Grundfertigkeit einzeln gekauft werden.</t>
        </is>
      </c>
    </row>
    <row r="1362" hidden="1" ht="15.75" customHeight="1" s="48">
      <c r="A1362" t="inlineStr">
        <is>
          <t>vn_faehigkeit_meisterliche_grundfertigkeit_einschuechtern</t>
        </is>
      </c>
      <c r="B1362" t="inlineStr">
        <is>
          <t>Vor- und Nachteile</t>
        </is>
      </c>
      <c r="C1362" t="inlineStr">
        <is>
          <t>Fähigkeit: Meisterliche Grundfertigkeit: Einschüchtern</t>
        </is>
      </c>
      <c r="E1362" t="inlineStr">
        <is>
          <t>Festes Ziel: Einschüchtern (gr_einschuechtern).</t>
        </is>
      </c>
      <c r="F1362" t="inlineStr">
        <is>
          <t>Meisterliche Grundfertigkeit</t>
        </is>
      </c>
      <c r="G1362" t="inlineStr">
        <is>
          <t>Auswahl</t>
        </is>
      </c>
      <c r="J1362" t="inlineStr">
        <is>
          <t>ZIEL_GRUNDFERTIGKEIT=gr_einschuechtern</t>
        </is>
      </c>
      <c r="L1362" t="n">
        <v>100</v>
      </c>
      <c r="M1362" t="inlineStr">
        <is>
          <t>E&amp;3</t>
        </is>
      </c>
      <c r="Q1362" t="inlineStr">
        <is>
          <t>Nicht Magier: Der Charakter kann max. (M) Mana für (M)×2 min in 1 Talentpunkt pro 4 Mana der Grundfertigkeit Einschüchtern umwandeln. Dieser Vorteil gilt ausschließlich für Einschüchtern und muss für jede Grundfertigkeit einzeln gekauft werden.</t>
        </is>
      </c>
    </row>
    <row r="1363" hidden="1" ht="15.75" customHeight="1" s="48">
      <c r="A1363" t="inlineStr">
        <is>
          <t>vn_faehigkeit_meisterliche_grundfertigkeit_faehrtensuche</t>
        </is>
      </c>
      <c r="B1363" t="inlineStr">
        <is>
          <t>Vor- und Nachteile</t>
        </is>
      </c>
      <c r="C1363" t="inlineStr">
        <is>
          <t>Fähigkeit: Meisterliche Grundfertigkeit: Fährtensuche</t>
        </is>
      </c>
      <c r="E1363" t="inlineStr">
        <is>
          <t>Festes Ziel: Fährtensuche (gr_faehrtensuche).</t>
        </is>
      </c>
      <c r="F1363" t="inlineStr">
        <is>
          <t>Meisterliche Grundfertigkeit</t>
        </is>
      </c>
      <c r="G1363" t="inlineStr">
        <is>
          <t>Auswahl</t>
        </is>
      </c>
      <c r="J1363" t="inlineStr">
        <is>
          <t>ZIEL_GRUNDFERTIGKEIT=gr_faehrtensuche</t>
        </is>
      </c>
      <c r="L1363" t="n">
        <v>100</v>
      </c>
      <c r="M1363" t="inlineStr">
        <is>
          <t>E&amp;3</t>
        </is>
      </c>
      <c r="Q1363" t="inlineStr">
        <is>
          <t>Nicht Magier: Der Charakter kann max. (M) Mana für (M)×2 min in 1 Talentpunkt pro 4 Mana der Grundfertigkeit Fährtensuche umwandeln. Dieser Vorteil gilt ausschließlich für Fährtensuche und muss für jede Grundfertigkeit einzeln gekauft werden.</t>
        </is>
      </c>
    </row>
    <row r="1364" hidden="1" ht="15.75" customHeight="1" s="48">
      <c r="A1364" t="inlineStr">
        <is>
          <t>vn_faehigkeit_meisterliche_grundfertigkeit_fliegen</t>
        </is>
      </c>
      <c r="B1364" t="inlineStr">
        <is>
          <t>Vor- und Nachteile</t>
        </is>
      </c>
      <c r="C1364" t="inlineStr">
        <is>
          <t>Fähigkeit: Meisterliche Grundfertigkeit: Fliegen</t>
        </is>
      </c>
      <c r="E1364" t="inlineStr">
        <is>
          <t>Festes Ziel: Fliegen (gr_fliegen).</t>
        </is>
      </c>
      <c r="F1364" t="inlineStr">
        <is>
          <t>Meisterliche Grundfertigkeit</t>
        </is>
      </c>
      <c r="G1364" t="inlineStr">
        <is>
          <t>Auswahl</t>
        </is>
      </c>
      <c r="J1364" t="inlineStr">
        <is>
          <t>ZIEL_GRUNDFERTIGKEIT=gr_fliegen</t>
        </is>
      </c>
      <c r="L1364" t="n">
        <v>100</v>
      </c>
      <c r="M1364" t="inlineStr">
        <is>
          <t>E&amp;3</t>
        </is>
      </c>
      <c r="Q1364" t="inlineStr">
        <is>
          <t>Nicht Magier: Der Charakter kann max. (M) Mana für (M)×2 min in 1 Talentpunkt pro 4 Mana der Grundfertigkeit Fliegen umwandeln. Dieser Vorteil gilt ausschließlich für Fliegen und muss für jede Grundfertigkeit einzeln gekauft werden.</t>
        </is>
      </c>
    </row>
    <row r="1365" hidden="1" ht="15.75" customHeight="1" s="48">
      <c r="A1365" t="inlineStr">
        <is>
          <t>vn_faehigkeit_meisterliche_grundfertigkeit_klettern</t>
        </is>
      </c>
      <c r="B1365" t="inlineStr">
        <is>
          <t>Vor- und Nachteile</t>
        </is>
      </c>
      <c r="C1365" t="inlineStr">
        <is>
          <t>Fähigkeit: Meisterliche Grundfertigkeit: Klettern</t>
        </is>
      </c>
      <c r="E1365" t="inlineStr">
        <is>
          <t>Festes Ziel: Klettern (gr_klettern).</t>
        </is>
      </c>
      <c r="F1365" t="inlineStr">
        <is>
          <t>Meisterliche Grundfertigkeit</t>
        </is>
      </c>
      <c r="G1365" t="inlineStr">
        <is>
          <t>Auswahl</t>
        </is>
      </c>
      <c r="J1365" t="inlineStr">
        <is>
          <t>ZIEL_GRUNDFERTIGKEIT=gr_klettern</t>
        </is>
      </c>
      <c r="L1365" t="n">
        <v>100</v>
      </c>
      <c r="M1365" t="inlineStr">
        <is>
          <t>E&amp;3</t>
        </is>
      </c>
      <c r="Q1365" t="inlineStr">
        <is>
          <t>Nicht Magier: Der Charakter kann max. (M) Mana für (M)×2 min in 1 Talentpunkt pro 4 Mana der Grundfertigkeit Klettern umwandeln. Dieser Vorteil gilt ausschließlich für Klettern und muss für jede Grundfertigkeit einzeln gekauft werden.</t>
        </is>
      </c>
    </row>
    <row r="1366" hidden="1" ht="15.75" customHeight="1" s="48">
      <c r="A1366" t="inlineStr">
        <is>
          <t>vn_faehigkeit_meisterliche_grundfertigkeit_koerperbeherrschung</t>
        </is>
      </c>
      <c r="B1366" t="inlineStr">
        <is>
          <t>Vor- und Nachteile</t>
        </is>
      </c>
      <c r="C1366" t="inlineStr">
        <is>
          <t>Fähigkeit: Meisterliche Grundfertigkeit: Körperbeherrschung</t>
        </is>
      </c>
      <c r="E1366" t="inlineStr">
        <is>
          <t>Festes Ziel: Körperbeherrschung (gr_koerperbeherrschung).</t>
        </is>
      </c>
      <c r="F1366" t="inlineStr">
        <is>
          <t>Meisterliche Grundfertigkeit</t>
        </is>
      </c>
      <c r="G1366" t="inlineStr">
        <is>
          <t>Auswahl</t>
        </is>
      </c>
      <c r="J1366" t="inlineStr">
        <is>
          <t>ZIEL_GRUNDFERTIGKEIT=gr_koerperbeherrschung</t>
        </is>
      </c>
      <c r="L1366" t="n">
        <v>100</v>
      </c>
      <c r="M1366" t="inlineStr">
        <is>
          <t>E&amp;3</t>
        </is>
      </c>
      <c r="Q1366" t="inlineStr">
        <is>
          <t>Nicht Magier: Der Charakter kann max. (M) Mana für (M)×2 min in 1 Talentpunkt pro 4 Mana der Grundfertigkeit Körperbeherrschung umwandeln. Dieser Vorteil gilt ausschließlich für Körperbeherrschung und muss für jede Grundfertigkeit einzeln gekauft werden.</t>
        </is>
      </c>
    </row>
    <row r="1367" hidden="1" ht="15.75" customHeight="1" s="48">
      <c r="A1367" t="inlineStr">
        <is>
          <t>vn_faehigkeit_meisterliche_grundfertigkeit_laufen</t>
        </is>
      </c>
      <c r="B1367" t="inlineStr">
        <is>
          <t>Vor- und Nachteile</t>
        </is>
      </c>
      <c r="C1367" t="inlineStr">
        <is>
          <t>Fähigkeit: Meisterliche Grundfertigkeit: Laufen</t>
        </is>
      </c>
      <c r="E1367" t="inlineStr">
        <is>
          <t>Festes Ziel: Laufen (gr_laufen).</t>
        </is>
      </c>
      <c r="F1367" t="inlineStr">
        <is>
          <t>Meisterliche Grundfertigkeit</t>
        </is>
      </c>
      <c r="G1367" t="inlineStr">
        <is>
          <t>Auswahl</t>
        </is>
      </c>
      <c r="J1367" t="inlineStr">
        <is>
          <t>ZIEL_GRUNDFERTIGKEIT=gr_laufen</t>
        </is>
      </c>
      <c r="L1367" t="n">
        <v>100</v>
      </c>
      <c r="M1367" t="inlineStr">
        <is>
          <t>E&amp;3</t>
        </is>
      </c>
      <c r="Q1367" t="inlineStr">
        <is>
          <t>Nicht Magier: Der Charakter kann max. (M) Mana für (M)×2 min in 1 Talentpunkt pro 4 Mana der Grundfertigkeit Laufen umwandeln. Dieser Vorteil gilt ausschließlich für Laufen und muss für jede Grundfertigkeit einzeln gekauft werden.</t>
        </is>
      </c>
    </row>
    <row r="1368" hidden="1" ht="15.75" customHeight="1" s="48">
      <c r="A1368" t="inlineStr">
        <is>
          <t>vn_faehigkeit_meisterliche_grundfertigkeit_luft_anhalten</t>
        </is>
      </c>
      <c r="B1368" t="inlineStr">
        <is>
          <t>Vor- und Nachteile</t>
        </is>
      </c>
      <c r="C1368" t="inlineStr">
        <is>
          <t>Fähigkeit: Meisterliche Grundfertigkeit: Luft anhalten</t>
        </is>
      </c>
      <c r="E1368" t="inlineStr">
        <is>
          <t>Festes Ziel: Luft anhalten (gr_luft_anhalten).</t>
        </is>
      </c>
      <c r="F1368" t="inlineStr">
        <is>
          <t>Meisterliche Grundfertigkeit</t>
        </is>
      </c>
      <c r="G1368" t="inlineStr">
        <is>
          <t>Auswahl</t>
        </is>
      </c>
      <c r="J1368" t="inlineStr">
        <is>
          <t>ZIEL_GRUNDFERTIGKEIT=gr_luft_anhalten</t>
        </is>
      </c>
      <c r="L1368" t="n">
        <v>100</v>
      </c>
      <c r="M1368" t="inlineStr">
        <is>
          <t>E&amp;3</t>
        </is>
      </c>
      <c r="Q1368" t="inlineStr">
        <is>
          <t>Nicht Magier: Der Charakter kann max. (M) Mana für (M)×2 min in 1 Talentpunkt pro 4 Mana der Grundfertigkeit Luft anhalten umwandeln. Dieser Vorteil gilt ausschließlich für Luft anhalten und muss für jede Grundfertigkeit einzeln gekauft werden.</t>
        </is>
      </c>
    </row>
    <row r="1369" hidden="1" ht="15.75" customHeight="1" s="48">
      <c r="A1369" t="inlineStr">
        <is>
          <t>vn_faehigkeit_meisterliche_grundfertigkeit_luegen</t>
        </is>
      </c>
      <c r="B1369" t="inlineStr">
        <is>
          <t>Vor- und Nachteile</t>
        </is>
      </c>
      <c r="C1369" t="inlineStr">
        <is>
          <t>Fähigkeit: Meisterliche Grundfertigkeit: Lügen</t>
        </is>
      </c>
      <c r="E1369" t="inlineStr">
        <is>
          <t>Festes Ziel: Lügen (gr_luegen).</t>
        </is>
      </c>
      <c r="F1369" t="inlineStr">
        <is>
          <t>Meisterliche Grundfertigkeit</t>
        </is>
      </c>
      <c r="G1369" t="inlineStr">
        <is>
          <t>Auswahl</t>
        </is>
      </c>
      <c r="J1369" t="inlineStr">
        <is>
          <t>ZIEL_GRUNDFERTIGKEIT=gr_luegen</t>
        </is>
      </c>
      <c r="L1369" t="n">
        <v>100</v>
      </c>
      <c r="M1369" t="inlineStr">
        <is>
          <t>E&amp;3</t>
        </is>
      </c>
      <c r="Q1369" t="inlineStr">
        <is>
          <t>Nicht Magier: Der Charakter kann max. (M) Mana für (M)×2 min in 1 Talentpunkt pro 4 Mana der Grundfertigkeit Lügen umwandeln. Dieser Vorteil gilt ausschließlich für Lügen und muss für jede Grundfertigkeit einzeln gekauft werden.</t>
        </is>
      </c>
    </row>
    <row r="1370" hidden="1" ht="15.75" customHeight="1" s="48">
      <c r="A1370" t="inlineStr">
        <is>
          <t>vn_faehigkeit_meisterliche_grundfertigkeit_menschenkenntnis</t>
        </is>
      </c>
      <c r="B1370" t="inlineStr">
        <is>
          <t>Vor- und Nachteile</t>
        </is>
      </c>
      <c r="C1370" t="inlineStr">
        <is>
          <t>Fähigkeit: Meisterliche Grundfertigkeit: Menschenkenntnis</t>
        </is>
      </c>
      <c r="E1370" t="inlineStr">
        <is>
          <t>Festes Ziel: Menschenkenntnis (gr_menschenkenntnis).</t>
        </is>
      </c>
      <c r="F1370" t="inlineStr">
        <is>
          <t>Meisterliche Grundfertigkeit</t>
        </is>
      </c>
      <c r="G1370" t="inlineStr">
        <is>
          <t>Auswahl</t>
        </is>
      </c>
      <c r="J1370" t="inlineStr">
        <is>
          <t>ZIEL_GRUNDFERTIGKEIT=gr_menschenkenntnis</t>
        </is>
      </c>
      <c r="L1370" t="n">
        <v>100</v>
      </c>
      <c r="M1370" t="inlineStr">
        <is>
          <t>E&amp;3</t>
        </is>
      </c>
      <c r="Q1370" t="inlineStr">
        <is>
          <t>Nicht Magier: Der Charakter kann max. (M) Mana für (M)×2 min in 1 Talentpunkt pro 4 Mana der Grundfertigkeit Menschenkenntnis umwandeln. Dieser Vorteil gilt ausschließlich für Menschenkenntnis und muss für jede Grundfertigkeit einzeln gekauft werden.</t>
        </is>
      </c>
    </row>
    <row r="1371" hidden="1" ht="15.75" customHeight="1" s="48">
      <c r="A1371" t="inlineStr">
        <is>
          <t>vn_faehigkeit_meisterliche_grundfertigkeit_orientierung</t>
        </is>
      </c>
      <c r="B1371" t="inlineStr">
        <is>
          <t>Vor- und Nachteile</t>
        </is>
      </c>
      <c r="C1371" t="inlineStr">
        <is>
          <t>Fähigkeit: Meisterliche Grundfertigkeit: Orientierung</t>
        </is>
      </c>
      <c r="E1371" t="inlineStr">
        <is>
          <t>Festes Ziel: Orientierung (gr_orientierung).</t>
        </is>
      </c>
      <c r="F1371" t="inlineStr">
        <is>
          <t>Meisterliche Grundfertigkeit</t>
        </is>
      </c>
      <c r="G1371" t="inlineStr">
        <is>
          <t>Auswahl</t>
        </is>
      </c>
      <c r="J1371" t="inlineStr">
        <is>
          <t>ZIEL_GRUNDFERTIGKEIT=gr_orientierung</t>
        </is>
      </c>
      <c r="L1371" t="n">
        <v>100</v>
      </c>
      <c r="M1371" t="inlineStr">
        <is>
          <t>E&amp;3</t>
        </is>
      </c>
      <c r="Q1371" t="inlineStr">
        <is>
          <t>Nicht Magier: Der Charakter kann max. (M) Mana für (M)×2 min in 1 Talentpunkt pro 4 Mana der Grundfertigkeit Orientierung umwandeln. Dieser Vorteil gilt ausschließlich für Orientierung und muss für jede Grundfertigkeit einzeln gekauft werden.</t>
        </is>
      </c>
    </row>
    <row r="1372" hidden="1" ht="15.75" customHeight="1" s="48">
      <c r="A1372" t="inlineStr">
        <is>
          <t>vn_faehigkeit_meisterliche_grundfertigkeit_reiten</t>
        </is>
      </c>
      <c r="B1372" t="inlineStr">
        <is>
          <t>Vor- und Nachteile</t>
        </is>
      </c>
      <c r="C1372" t="inlineStr">
        <is>
          <t>Fähigkeit: Meisterliche Grundfertigkeit: Reiten</t>
        </is>
      </c>
      <c r="E1372" t="inlineStr">
        <is>
          <t>Festes Ziel: Reiten (gr_reiten).</t>
        </is>
      </c>
      <c r="F1372" t="inlineStr">
        <is>
          <t>Meisterliche Grundfertigkeit</t>
        </is>
      </c>
      <c r="G1372" t="inlineStr">
        <is>
          <t>Auswahl</t>
        </is>
      </c>
      <c r="J1372" t="inlineStr">
        <is>
          <t>ZIEL_GRUNDFERTIGKEIT=gr_reiten</t>
        </is>
      </c>
      <c r="L1372" t="n">
        <v>100</v>
      </c>
      <c r="M1372" t="inlineStr">
        <is>
          <t>E&amp;3</t>
        </is>
      </c>
      <c r="Q1372" t="inlineStr">
        <is>
          <t>Nicht Magier: Der Charakter kann max. (M) Mana für (M)×2 min in 1 Talentpunkt pro 4 Mana der Grundfertigkeit Reiten umwandeln. Dieser Vorteil gilt ausschließlich für Reiten und muss für jede Grundfertigkeit einzeln gekauft werden.</t>
        </is>
      </c>
    </row>
    <row r="1373" hidden="1" ht="15.75" customHeight="1" s="48">
      <c r="A1373" t="inlineStr">
        <is>
          <t>vn_faehigkeit_meisterliche_grundfertigkeit_rudern</t>
        </is>
      </c>
      <c r="B1373" t="inlineStr">
        <is>
          <t>Vor- und Nachteile</t>
        </is>
      </c>
      <c r="C1373" t="inlineStr">
        <is>
          <t>Fähigkeit: Meisterliche Grundfertigkeit: Rudern</t>
        </is>
      </c>
      <c r="E1373" t="inlineStr">
        <is>
          <t>Festes Ziel: Rudern (gr_rudern).</t>
        </is>
      </c>
      <c r="F1373" t="inlineStr">
        <is>
          <t>Meisterliche Grundfertigkeit</t>
        </is>
      </c>
      <c r="G1373" t="inlineStr">
        <is>
          <t>Auswahl</t>
        </is>
      </c>
      <c r="J1373" t="inlineStr">
        <is>
          <t>ZIEL_GRUNDFERTIGKEIT=gr_rudern</t>
        </is>
      </c>
      <c r="L1373" t="n">
        <v>100</v>
      </c>
      <c r="M1373" t="inlineStr">
        <is>
          <t>E&amp;3</t>
        </is>
      </c>
      <c r="Q1373" t="inlineStr">
        <is>
          <t>Nicht Magier: Der Charakter kann max. (M) Mana für (M)×2 min in 1 Talentpunkt pro 4 Mana der Grundfertigkeit Rudern umwandeln. Dieser Vorteil gilt ausschließlich für Rudern und muss für jede Grundfertigkeit einzeln gekauft werden.</t>
        </is>
      </c>
    </row>
    <row r="1374" hidden="1" ht="15.75" customHeight="1" s="48">
      <c r="A1374" t="inlineStr">
        <is>
          <t>vn_faehigkeit_meisterliche_grundfertigkeit_schaetzen</t>
        </is>
      </c>
      <c r="B1374" t="inlineStr">
        <is>
          <t>Vor- und Nachteile</t>
        </is>
      </c>
      <c r="C1374" t="inlineStr">
        <is>
          <t>Fähigkeit: Meisterliche Grundfertigkeit: Schätzen</t>
        </is>
      </c>
      <c r="E1374" t="inlineStr">
        <is>
          <t>Festes Ziel: Schätzen (gr_schaetzen).</t>
        </is>
      </c>
      <c r="F1374" t="inlineStr">
        <is>
          <t>Meisterliche Grundfertigkeit</t>
        </is>
      </c>
      <c r="G1374" t="inlineStr">
        <is>
          <t>Auswahl</t>
        </is>
      </c>
      <c r="J1374" t="inlineStr">
        <is>
          <t>ZIEL_GRUNDFERTIGKEIT=gr_schaetzen</t>
        </is>
      </c>
      <c r="L1374" t="n">
        <v>100</v>
      </c>
      <c r="M1374" t="inlineStr">
        <is>
          <t>E&amp;3</t>
        </is>
      </c>
      <c r="Q1374" t="inlineStr">
        <is>
          <t>Nicht Magier: Der Charakter kann max. (M) Mana für (M)×2 min in 1 Talentpunkt pro 4 Mana der Grundfertigkeit Schätzen umwandeln. Dieser Vorteil gilt ausschließlich für Schätzen und muss für jede Grundfertigkeit einzeln gekauft werden.</t>
        </is>
      </c>
    </row>
    <row r="1375" hidden="1" ht="15.75" customHeight="1" s="48">
      <c r="A1375" t="inlineStr">
        <is>
          <t>vn_faehigkeit_meisterliche_grundfertigkeit_schleichen</t>
        </is>
      </c>
      <c r="B1375" t="inlineStr">
        <is>
          <t>Vor- und Nachteile</t>
        </is>
      </c>
      <c r="C1375" t="inlineStr">
        <is>
          <t>Fähigkeit: Meisterliche Grundfertigkeit: Schleichen</t>
        </is>
      </c>
      <c r="E1375" t="inlineStr">
        <is>
          <t>Festes Ziel: Schleichen (gr_schleichen).</t>
        </is>
      </c>
      <c r="F1375" t="inlineStr">
        <is>
          <t>Meisterliche Grundfertigkeit</t>
        </is>
      </c>
      <c r="G1375" t="inlineStr">
        <is>
          <t>Auswahl</t>
        </is>
      </c>
      <c r="J1375" t="inlineStr">
        <is>
          <t>ZIEL_GRUNDFERTIGKEIT=gr_schleichen</t>
        </is>
      </c>
      <c r="L1375" t="n">
        <v>100</v>
      </c>
      <c r="M1375" t="inlineStr">
        <is>
          <t>E&amp;3</t>
        </is>
      </c>
      <c r="Q1375" t="inlineStr">
        <is>
          <t>Nicht Magier: Der Charakter kann max. (M) Mana für (M)×2 min in 1 Talentpunkt pro 4 Mana der Grundfertigkeit Schleichen umwandeln. Dieser Vorteil gilt ausschließlich für Schleichen und muss für jede Grundfertigkeit einzeln gekauft werden.</t>
        </is>
      </c>
    </row>
    <row r="1376" hidden="1" ht="15.75" customHeight="1" s="48">
      <c r="A1376" t="inlineStr">
        <is>
          <t>vn_faehigkeit_meisterliche_grundfertigkeit_schwimmen</t>
        </is>
      </c>
      <c r="B1376" t="inlineStr">
        <is>
          <t>Vor- und Nachteile</t>
        </is>
      </c>
      <c r="C1376" t="inlineStr">
        <is>
          <t>Fähigkeit: Meisterliche Grundfertigkeit: Schwimmen</t>
        </is>
      </c>
      <c r="E1376" t="inlineStr">
        <is>
          <t>Festes Ziel: Schwimmen (gr_schwimmen).</t>
        </is>
      </c>
      <c r="F1376" t="inlineStr">
        <is>
          <t>Meisterliche Grundfertigkeit</t>
        </is>
      </c>
      <c r="G1376" t="inlineStr">
        <is>
          <t>Auswahl</t>
        </is>
      </c>
      <c r="J1376" t="inlineStr">
        <is>
          <t>ZIEL_GRUNDFERTIGKEIT=gr_schwimmen</t>
        </is>
      </c>
      <c r="L1376" t="n">
        <v>100</v>
      </c>
      <c r="M1376" t="inlineStr">
        <is>
          <t>E&amp;3</t>
        </is>
      </c>
      <c r="Q1376" t="inlineStr">
        <is>
          <t>Nicht Magier: Der Charakter kann max. (M) Mana für (M)×2 min in 1 Talentpunkt pro 4 Mana der Grundfertigkeit Schwimmen umwandeln. Dieser Vorteil gilt ausschließlich für Schwimmen und muss für jede Grundfertigkeit einzeln gekauft werden.</t>
        </is>
      </c>
    </row>
    <row r="1377" hidden="1" ht="15.75" customHeight="1" s="48">
      <c r="A1377" t="inlineStr">
        <is>
          <t>vn_faehigkeit_meisterliche_grundfertigkeit_springen</t>
        </is>
      </c>
      <c r="B1377" t="inlineStr">
        <is>
          <t>Vor- und Nachteile</t>
        </is>
      </c>
      <c r="C1377" t="inlineStr">
        <is>
          <t>Fähigkeit: Meisterliche Grundfertigkeit: Springen</t>
        </is>
      </c>
      <c r="E1377" t="inlineStr">
        <is>
          <t>Festes Ziel: Springen (gr_springen).</t>
        </is>
      </c>
      <c r="F1377" t="inlineStr">
        <is>
          <t>Meisterliche Grundfertigkeit</t>
        </is>
      </c>
      <c r="G1377" t="inlineStr">
        <is>
          <t>Auswahl</t>
        </is>
      </c>
      <c r="J1377" t="inlineStr">
        <is>
          <t>ZIEL_GRUNDFERTIGKEIT=gr_springen</t>
        </is>
      </c>
      <c r="L1377" t="n">
        <v>100</v>
      </c>
      <c r="M1377" t="inlineStr">
        <is>
          <t>E&amp;3</t>
        </is>
      </c>
      <c r="Q1377" t="inlineStr">
        <is>
          <t>Nicht Magier: Der Charakter kann max. (M) Mana für (M)×2 min in 1 Talentpunkt pro 4 Mana der Grundfertigkeit Springen umwandeln. Dieser Vorteil gilt ausschließlich für Springen und muss für jede Grundfertigkeit einzeln gekauft werden.</t>
        </is>
      </c>
    </row>
    <row r="1378" hidden="1" ht="15.75" customHeight="1" s="48">
      <c r="A1378" t="inlineStr">
        <is>
          <t>vn_faehigkeit_meisterliche_grundfertigkeit_ueberzeugen</t>
        </is>
      </c>
      <c r="B1378" t="inlineStr">
        <is>
          <t>Vor- und Nachteile</t>
        </is>
      </c>
      <c r="C1378" t="inlineStr">
        <is>
          <t>Fähigkeit: Meisterliche Grundfertigkeit: Überzeugen</t>
        </is>
      </c>
      <c r="E1378" t="inlineStr">
        <is>
          <t>Festes Ziel: Überzeugen (gr_ueberzeugen).</t>
        </is>
      </c>
      <c r="F1378" t="inlineStr">
        <is>
          <t>Meisterliche Grundfertigkeit</t>
        </is>
      </c>
      <c r="G1378" t="inlineStr">
        <is>
          <t>Auswahl</t>
        </is>
      </c>
      <c r="J1378" t="inlineStr">
        <is>
          <t>ZIEL_GRUNDFERTIGKEIT=gr_ueberzeugen</t>
        </is>
      </c>
      <c r="L1378" t="n">
        <v>100</v>
      </c>
      <c r="M1378" t="inlineStr">
        <is>
          <t>E&amp;3</t>
        </is>
      </c>
      <c r="Q1378" t="inlineStr">
        <is>
          <t>Nicht Magier: Der Charakter kann max. (M) Mana für (M)×2 min in 1 Talentpunkt pro 4 Mana der Grundfertigkeit Überzeugen umwandeln. Dieser Vorteil gilt ausschließlich für Überzeugen und muss für jede Grundfertigkeit einzeln gekauft werden.</t>
        </is>
      </c>
    </row>
    <row r="1379" hidden="1" ht="15.75" customHeight="1" s="48">
      <c r="A1379" t="inlineStr">
        <is>
          <t>vn_faehigkeit_meisterliche_grundfertigkeit_verstecken</t>
        </is>
      </c>
      <c r="B1379" t="inlineStr">
        <is>
          <t>Vor- und Nachteile</t>
        </is>
      </c>
      <c r="C1379" t="inlineStr">
        <is>
          <t>Fähigkeit: Meisterliche Grundfertigkeit: Verstecken</t>
        </is>
      </c>
      <c r="E1379" t="inlineStr">
        <is>
          <t>Festes Ziel: Verstecken (gr_verstecken).</t>
        </is>
      </c>
      <c r="F1379" t="inlineStr">
        <is>
          <t>Meisterliche Grundfertigkeit</t>
        </is>
      </c>
      <c r="G1379" t="inlineStr">
        <is>
          <t>Auswahl</t>
        </is>
      </c>
      <c r="J1379" t="inlineStr">
        <is>
          <t>ZIEL_GRUNDFERTIGKEIT=gr_verstecken</t>
        </is>
      </c>
      <c r="L1379" t="n">
        <v>100</v>
      </c>
      <c r="M1379" t="inlineStr">
        <is>
          <t>E&amp;3</t>
        </is>
      </c>
      <c r="Q1379" t="inlineStr">
        <is>
          <t>Nicht Magier: Der Charakter kann max. (M) Mana für (M)×2 min in 1 Talentpunkt pro 4 Mana der Grundfertigkeit Verstecken umwandeln. Dieser Vorteil gilt ausschließlich für Verstecken und muss für jede Grundfertigkeit einzeln gekauft werden.</t>
        </is>
      </c>
    </row>
    <row r="1380" hidden="1" ht="15.75" customHeight="1" s="48">
      <c r="A1380" t="inlineStr">
        <is>
          <t>vn_faehigkeit_meisterliche_grundfertigkeit_werfen</t>
        </is>
      </c>
      <c r="B1380" t="inlineStr">
        <is>
          <t>Vor- und Nachteile</t>
        </is>
      </c>
      <c r="C1380" t="inlineStr">
        <is>
          <t>Fähigkeit: Meisterliche Grundfertigkeit: Werfen</t>
        </is>
      </c>
      <c r="E1380" t="inlineStr">
        <is>
          <t>Festes Ziel: Werfen (gr_werfen).</t>
        </is>
      </c>
      <c r="F1380" t="inlineStr">
        <is>
          <t>Meisterliche Grundfertigkeit</t>
        </is>
      </c>
      <c r="G1380" t="inlineStr">
        <is>
          <t>Auswahl</t>
        </is>
      </c>
      <c r="J1380" t="inlineStr">
        <is>
          <t>ZIEL_GRUNDFERTIGKEIT=gr_werfen</t>
        </is>
      </c>
      <c r="L1380" t="n">
        <v>100</v>
      </c>
      <c r="M1380" t="inlineStr">
        <is>
          <t>E&amp;3</t>
        </is>
      </c>
      <c r="Q1380" t="inlineStr">
        <is>
          <t>Nicht Magier: Der Charakter kann max. (M) Mana für (M)×2 min in 1 Talentpunkt pro 4 Mana der Grundfertigkeit Werfen umwandeln. Dieser Vorteil gilt ausschließlich für Werfen und muss für jede Grundfertigkeit einzeln gekauft werden.</t>
        </is>
      </c>
    </row>
    <row r="1381" hidden="1" ht="15.75" customHeight="1" s="48">
      <c r="A1381" t="inlineStr">
        <is>
          <t>vn_angst_magie_25</t>
        </is>
      </c>
      <c r="B1381" t="inlineStr">
        <is>
          <t>Vor- und Nachteile</t>
        </is>
      </c>
      <c r="C1381" t="inlineStr">
        <is>
          <t>Panik: Magie</t>
        </is>
      </c>
      <c r="E1381" t="inlineStr">
        <is>
          <t>Auswahlgruppe angst_magie; maximal 1 Stufe; Angstwert 25; direkte Konfrontation: sofort, danach alle 2 KR; bloße Gegenwart: BE -4.</t>
        </is>
      </c>
      <c r="F1381" t="inlineStr">
        <is>
          <t>Angst: Magie</t>
        </is>
      </c>
      <c r="G1381" t="inlineStr">
        <is>
          <t>Auswahl</t>
        </is>
      </c>
      <c r="J1381" t="inlineStr">
        <is>
          <t>EXKLUSIV_ANGST=angst_magie | ANGST_INTERVALL=2_KR | ANGST_DIREKTE_KONFRONTATION=1 | ANGST_BE=-4</t>
        </is>
      </c>
      <c r="K1381" t="n">
        <v>25</v>
      </c>
      <c r="L1381" t="n">
        <v>-250</v>
      </c>
      <c r="M1381" t="inlineStr">
        <is>
          <t>S</t>
        </is>
      </c>
      <c r="Q1381" t="inlineStr">
        <is>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is>
      </c>
    </row>
    <row r="1382" hidden="1" ht="15.75" customHeight="1" s="48">
      <c r="A1382" t="inlineStr">
        <is>
          <t>vn_angst_verlusten_humanoide_25</t>
        </is>
      </c>
      <c r="B1382" t="inlineStr">
        <is>
          <t>Vor- und Nachteile</t>
        </is>
      </c>
      <c r="C1382" t="inlineStr">
        <is>
          <t>Panik: Verlusten (Humanoide)</t>
        </is>
      </c>
      <c r="E1382" t="inlineStr">
        <is>
          <t>Auswahlgruppe angst_verlusten_humanoide; maximal 1 Stufe; Angstwert 25; direkte Konfrontation: sofort, danach alle 2 KR; bloße Gegenwart: BE -4.</t>
        </is>
      </c>
      <c r="F1382" t="inlineStr">
        <is>
          <t>Angst: Verlusten (Humanoide)</t>
        </is>
      </c>
      <c r="G1382" t="inlineStr">
        <is>
          <t>Auswahl</t>
        </is>
      </c>
      <c r="J1382" t="inlineStr">
        <is>
          <t>EXKLUSIV_ANGST=angst_verlusten_humanoide | ANGST_INTERVALL=2_KR | ANGST_DIREKTE_KONFRONTATION=1 | ANGST_BE=-4</t>
        </is>
      </c>
      <c r="K1382" t="n">
        <v>25</v>
      </c>
      <c r="L1382" t="n">
        <v>-100</v>
      </c>
      <c r="M1382" t="inlineStr">
        <is>
          <t>S</t>
        </is>
      </c>
      <c r="Q1382" t="inlineStr">
        <is>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is>
      </c>
    </row>
    <row r="1383" hidden="1" ht="15.75" customHeight="1" s="48">
      <c r="A1383" t="inlineStr">
        <is>
          <t>vn_angst_arachnophobie_25</t>
        </is>
      </c>
      <c r="B1383" t="inlineStr">
        <is>
          <t>Vor- und Nachteile</t>
        </is>
      </c>
      <c r="C1383" t="inlineStr">
        <is>
          <t>Panik: Arachnophobie</t>
        </is>
      </c>
      <c r="E1383" t="inlineStr">
        <is>
          <t>Auswahlgruppe angst_arachnophobie; maximal 1 Stufe; Angstwert 25; direkte Konfrontation: sofort, danach alle 2 KR; bloße Gegenwart: BE -4.</t>
        </is>
      </c>
      <c r="F1383" t="inlineStr">
        <is>
          <t>Angst: Arachnophobie</t>
        </is>
      </c>
      <c r="G1383" t="inlineStr">
        <is>
          <t>Auswahl</t>
        </is>
      </c>
      <c r="J1383" t="inlineStr">
        <is>
          <t>EXKLUSIV_ANGST=angst_arachnophobie | ANGST_INTERVALL=2_KR | ANGST_DIREKTE_KONFRONTATION=1 | ANGST_BE=-4</t>
        </is>
      </c>
      <c r="K1383" t="n">
        <v>25</v>
      </c>
      <c r="L1383" t="n">
        <v>-150</v>
      </c>
      <c r="M1383" t="inlineStr">
        <is>
          <t>S</t>
        </is>
      </c>
      <c r="Q1383" t="inlineStr">
        <is>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is>
      </c>
    </row>
    <row r="1384" hidden="1" ht="15.75" customHeight="1" s="48">
      <c r="A1384" t="inlineStr">
        <is>
          <t>vn_angst_bestimmtes_domestiziertes_tier_25</t>
        </is>
      </c>
      <c r="B1384" t="inlineStr">
        <is>
          <t>Vor- und Nachteile</t>
        </is>
      </c>
      <c r="C1384" t="inlineStr">
        <is>
          <t>Panik: Bestimmtes domestiziertes Tier</t>
        </is>
      </c>
      <c r="E1384" t="inlineStr">
        <is>
          <t>Auswahlgruppe angst_bestimmtes_domestiziertes_tier; maximal 1 Stufe; Angstwert 25; direkte Konfrontation: sofort, danach alle 2 KR; bloße Gegenwart: BE -4.</t>
        </is>
      </c>
      <c r="F1384" t="inlineStr">
        <is>
          <t>Angst: Bestimmtes domestiziertes Tier</t>
        </is>
      </c>
      <c r="G1384" t="inlineStr">
        <is>
          <t>Auswahl</t>
        </is>
      </c>
      <c r="J1384" t="inlineStr">
        <is>
          <t>EXKLUSIV_ANGST=angst_bestimmtes_domestiziertes_tier | ANGST_INTERVALL=2_KR | ANGST_DIREKTE_KONFRONTATION=1 | ANGST_BE=-4</t>
        </is>
      </c>
      <c r="K1384" t="n">
        <v>25</v>
      </c>
      <c r="L1384" t="n">
        <v>-75</v>
      </c>
      <c r="M1384" t="inlineStr">
        <is>
          <t>S</t>
        </is>
      </c>
      <c r="Q1384" t="inlineStr">
        <is>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is>
      </c>
    </row>
    <row r="1385" hidden="1" ht="15.75" customHeight="1" s="48">
      <c r="A1385" t="inlineStr">
        <is>
          <t>vn_angst_hundeartige_25</t>
        </is>
      </c>
      <c r="B1385" t="inlineStr">
        <is>
          <t>Vor- und Nachteile</t>
        </is>
      </c>
      <c r="C1385" t="inlineStr">
        <is>
          <t>Panik: Hundeartige</t>
        </is>
      </c>
      <c r="E1385" t="inlineStr">
        <is>
          <t>Auswahlgruppe angst_hundeartige; maximal 1 Stufe; Angstwert 25; direkte Konfrontation: sofort, danach alle 2 KR; bloße Gegenwart: BE -4.</t>
        </is>
      </c>
      <c r="F1385" t="inlineStr">
        <is>
          <t>Angst: Hundeartige</t>
        </is>
      </c>
      <c r="G1385" t="inlineStr">
        <is>
          <t>Auswahl</t>
        </is>
      </c>
      <c r="J1385" t="inlineStr">
        <is>
          <t>EXKLUSIV_ANGST=angst_hundeartige | ANGST_INTERVALL=2_KR | ANGST_DIREKTE_KONFRONTATION=1 | ANGST_BE=-4</t>
        </is>
      </c>
      <c r="K1385" t="n">
        <v>25</v>
      </c>
      <c r="L1385" t="n">
        <v>-125</v>
      </c>
      <c r="M1385" t="inlineStr">
        <is>
          <t>S</t>
        </is>
      </c>
      <c r="Q1385" t="inlineStr">
        <is>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is>
      </c>
    </row>
    <row r="1386" hidden="1" ht="15.75" customHeight="1" s="48">
      <c r="A1386" t="inlineStr">
        <is>
          <t>vn_angst_hunger_25</t>
        </is>
      </c>
      <c r="B1386" t="inlineStr">
        <is>
          <t>Vor- und Nachteile</t>
        </is>
      </c>
      <c r="C1386" t="inlineStr">
        <is>
          <t>Panik: Hunger</t>
        </is>
      </c>
      <c r="E1386" t="inlineStr">
        <is>
          <t>Auswahlgruppe angst_hunger; maximal 1 Stufe; Angstwert 25; direkte Konfrontation: sofort, danach alle 2 KR; bloße Gegenwart: BE -4.</t>
        </is>
      </c>
      <c r="F1386" t="inlineStr">
        <is>
          <t>Angst: Hunger</t>
        </is>
      </c>
      <c r="G1386" t="inlineStr">
        <is>
          <t>Auswahl</t>
        </is>
      </c>
      <c r="J1386" t="inlineStr">
        <is>
          <t>EXKLUSIV_ANGST=angst_hunger | ANGST_INTERVALL=2_KR | ANGST_DIREKTE_KONFRONTATION=1 | ANGST_BE=-4</t>
        </is>
      </c>
      <c r="K1386" t="n">
        <v>25</v>
      </c>
      <c r="L1386" t="n">
        <v>-100</v>
      </c>
      <c r="M1386" t="inlineStr">
        <is>
          <t>S</t>
        </is>
      </c>
      <c r="Q1386" t="inlineStr">
        <is>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is>
      </c>
    </row>
    <row r="1387" hidden="1" ht="15.75" customHeight="1" s="48">
      <c r="A1387" t="inlineStr">
        <is>
          <t>vn_angst_laecherlichkeit_25</t>
        </is>
      </c>
      <c r="B1387" t="inlineStr">
        <is>
          <t>Vor- und Nachteile</t>
        </is>
      </c>
      <c r="C1387" t="inlineStr">
        <is>
          <t>Panik: Lächerlichkeit</t>
        </is>
      </c>
      <c r="E1387" t="inlineStr">
        <is>
          <t>Auswahlgruppe angst_laecherlichkeit; maximal 1 Stufe; Angstwert 25; direkte Konfrontation: sofort, danach alle 2 KR; bloße Gegenwart: BE -4.</t>
        </is>
      </c>
      <c r="F1387" t="inlineStr">
        <is>
          <t>Angst: Lächerlichkeit</t>
        </is>
      </c>
      <c r="G1387" t="inlineStr">
        <is>
          <t>Auswahl</t>
        </is>
      </c>
      <c r="J1387" t="inlineStr">
        <is>
          <t>EXKLUSIV_ANGST=angst_laecherlichkeit | ANGST_INTERVALL=2_KR | ANGST_DIREKTE_KONFRONTATION=1 | ANGST_BE=-4</t>
        </is>
      </c>
      <c r="K1387" t="n">
        <v>25</v>
      </c>
      <c r="L1387" t="n">
        <v>-75</v>
      </c>
      <c r="M1387" t="inlineStr">
        <is>
          <t>S</t>
        </is>
      </c>
      <c r="Q1387" t="inlineStr">
        <is>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is>
      </c>
    </row>
    <row r="1388" hidden="1" ht="15.75" customHeight="1" s="48">
      <c r="A1388" t="inlineStr">
        <is>
          <t>vn_angst_magische_gegenstaende_25</t>
        </is>
      </c>
      <c r="B1388" t="inlineStr">
        <is>
          <t>Vor- und Nachteile</t>
        </is>
      </c>
      <c r="C1388" t="inlineStr">
        <is>
          <t>Panik: Magische Gegenstände</t>
        </is>
      </c>
      <c r="E1388" t="inlineStr">
        <is>
          <t>Auswahlgruppe angst_magische_gegenstaende; maximal 1 Stufe; Angstwert 25; direkte Konfrontation: sofort, danach alle 2 KR; bloße Gegenwart: BE -4.</t>
        </is>
      </c>
      <c r="F1388" t="inlineStr">
        <is>
          <t>Angst: Magische Gegenstände</t>
        </is>
      </c>
      <c r="G1388" t="inlineStr">
        <is>
          <t>Auswahl</t>
        </is>
      </c>
      <c r="J1388" t="inlineStr">
        <is>
          <t>EXKLUSIV_ANGST=angst_magische_gegenstaende | ANGST_INTERVALL=2_KR | ANGST_DIREKTE_KONFRONTATION=1 | ANGST_BE=-4</t>
        </is>
      </c>
      <c r="K1388" t="n">
        <v>25</v>
      </c>
      <c r="L1388" t="n">
        <v>-150</v>
      </c>
      <c r="M1388" t="inlineStr">
        <is>
          <t>S</t>
        </is>
      </c>
      <c r="Q1388" t="inlineStr">
        <is>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is>
      </c>
    </row>
    <row r="1389" hidden="1" ht="15.75" customHeight="1" s="48">
      <c r="A1389" t="inlineStr">
        <is>
          <t>vn_angst_magische_wesen_25</t>
        </is>
      </c>
      <c r="B1389" t="inlineStr">
        <is>
          <t>Vor- und Nachteile</t>
        </is>
      </c>
      <c r="C1389" t="inlineStr">
        <is>
          <t>Panik: Magische Wesen</t>
        </is>
      </c>
      <c r="E1389" t="inlineStr">
        <is>
          <t>Auswahlgruppe angst_magische_wesen; maximal 1 Stufe; Angstwert 25; direkte Konfrontation: sofort, danach alle 2 KR; bloße Gegenwart: BE -4.</t>
        </is>
      </c>
      <c r="F1389" t="inlineStr">
        <is>
          <t>Angst: Magische Wesen</t>
        </is>
      </c>
      <c r="G1389" t="inlineStr">
        <is>
          <t>Auswahl</t>
        </is>
      </c>
      <c r="J1389" t="inlineStr">
        <is>
          <t>EXKLUSIV_ANGST=angst_magische_wesen | ANGST_INTERVALL=2_KR | ANGST_DIREKTE_KONFRONTATION=1 | ANGST_BE=-4</t>
        </is>
      </c>
      <c r="K1389" t="n">
        <v>25</v>
      </c>
      <c r="L1389" t="n">
        <v>-150</v>
      </c>
      <c r="M1389" t="inlineStr">
        <is>
          <t>S</t>
        </is>
      </c>
      <c r="Q1389" t="inlineStr">
        <is>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is>
      </c>
    </row>
    <row r="1390" hidden="1" ht="15.75" customHeight="1" s="48">
      <c r="A1390" t="inlineStr">
        <is>
          <t>vn_angst_meer_25</t>
        </is>
      </c>
      <c r="B1390" t="inlineStr">
        <is>
          <t>Vor- und Nachteile</t>
        </is>
      </c>
      <c r="C1390" t="inlineStr">
        <is>
          <t>Panik: Meer</t>
        </is>
      </c>
      <c r="E1390" t="inlineStr">
        <is>
          <t>Auswahlgruppe angst_meer; maximal 1 Stufe; Angstwert 25; direkte Konfrontation: sofort, danach alle 2 KR; bloße Gegenwart: BE -4.</t>
        </is>
      </c>
      <c r="F1390" t="inlineStr">
        <is>
          <t>Angst: Meer</t>
        </is>
      </c>
      <c r="G1390" t="inlineStr">
        <is>
          <t>Auswahl</t>
        </is>
      </c>
      <c r="J1390" t="inlineStr">
        <is>
          <t>EXKLUSIV_ANGST=angst_meer | ANGST_INTERVALL=2_KR | ANGST_DIREKTE_KONFRONTATION=1 | ANGST_BE=-4</t>
        </is>
      </c>
      <c r="K1390" t="n">
        <v>25</v>
      </c>
      <c r="L1390" t="n">
        <v>-150</v>
      </c>
      <c r="M1390" t="inlineStr">
        <is>
          <t>S</t>
        </is>
      </c>
      <c r="Q1390" t="inlineStr">
        <is>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is>
      </c>
    </row>
    <row r="1391" hidden="1" ht="15.75" customHeight="1" s="48">
      <c r="A1391" t="inlineStr">
        <is>
          <t>vn_angst_raubkatzen_25</t>
        </is>
      </c>
      <c r="B1391" t="inlineStr">
        <is>
          <t>Vor- und Nachteile</t>
        </is>
      </c>
      <c r="C1391" t="inlineStr">
        <is>
          <t>Panik: Raubkatzen</t>
        </is>
      </c>
      <c r="E1391" t="inlineStr">
        <is>
          <t>Auswahlgruppe angst_raubkatzen; maximal 1 Stufe; Angstwert 25; direkte Konfrontation: sofort, danach alle 2 KR; bloße Gegenwart: BE -4.</t>
        </is>
      </c>
      <c r="F1391" t="inlineStr">
        <is>
          <t>Angst: Raubkatzen</t>
        </is>
      </c>
      <c r="G1391" t="inlineStr">
        <is>
          <t>Auswahl</t>
        </is>
      </c>
      <c r="J1391" t="inlineStr">
        <is>
          <t>EXKLUSIV_ANGST=angst_raubkatzen | ANGST_INTERVALL=2_KR | ANGST_DIREKTE_KONFRONTATION=1 | ANGST_BE=-4</t>
        </is>
      </c>
      <c r="K1391" t="n">
        <v>25</v>
      </c>
      <c r="L1391" t="n">
        <v>-175</v>
      </c>
      <c r="M1391" t="inlineStr">
        <is>
          <t>S</t>
        </is>
      </c>
      <c r="Q1391" t="inlineStr">
        <is>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is>
      </c>
    </row>
    <row r="1392" hidden="1" ht="15.75" customHeight="1" s="48">
      <c r="A1392" t="inlineStr">
        <is>
          <t>vn_angst_schmutz_25</t>
        </is>
      </c>
      <c r="B1392" t="inlineStr">
        <is>
          <t>Vor- und Nachteile</t>
        </is>
      </c>
      <c r="C1392" t="inlineStr">
        <is>
          <t>Panik: Schmutz</t>
        </is>
      </c>
      <c r="E1392" t="inlineStr">
        <is>
          <t>Auswahlgruppe angst_schmutz; maximal 1 Stufe; Angstwert 25; direkte Konfrontation: sofort, danach alle 2 KR; bloße Gegenwart: BE -4.</t>
        </is>
      </c>
      <c r="F1392" t="inlineStr">
        <is>
          <t>Angst: Schmutz</t>
        </is>
      </c>
      <c r="G1392" t="inlineStr">
        <is>
          <t>Auswahl</t>
        </is>
      </c>
      <c r="J1392" t="inlineStr">
        <is>
          <t>EXKLUSIV_ANGST=angst_schmutz | ANGST_INTERVALL=2_KR | ANGST_DIREKTE_KONFRONTATION=1 | ANGST_BE=-4</t>
        </is>
      </c>
      <c r="K1392" t="n">
        <v>25</v>
      </c>
      <c r="L1392" t="n">
        <v>-250</v>
      </c>
      <c r="M1392" t="inlineStr">
        <is>
          <t>S</t>
        </is>
      </c>
      <c r="Q1392" t="inlineStr">
        <is>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is>
      </c>
    </row>
    <row r="1393" hidden="1" ht="15.75" customHeight="1" s="48">
      <c r="A1393" t="inlineStr">
        <is>
          <t>vn_angst_tiere_25</t>
        </is>
      </c>
      <c r="B1393" t="inlineStr">
        <is>
          <t>Vor- und Nachteile</t>
        </is>
      </c>
      <c r="C1393" t="inlineStr">
        <is>
          <t>Panik: Tiere</t>
        </is>
      </c>
      <c r="E1393" t="inlineStr">
        <is>
          <t>Auswahlgruppe angst_tiere; maximal 1 Stufe; Angstwert 25; direkte Konfrontation: sofort, danach alle 2 KR; bloße Gegenwart: BE -4.</t>
        </is>
      </c>
      <c r="F1393" t="inlineStr">
        <is>
          <t>Angst: Tiere</t>
        </is>
      </c>
      <c r="G1393" t="inlineStr">
        <is>
          <t>Auswahl</t>
        </is>
      </c>
      <c r="J1393" t="inlineStr">
        <is>
          <t>EXKLUSIV_ANGST=angst_tiere | ANGST_INTERVALL=2_KR | ANGST_DIREKTE_KONFRONTATION=1 | ANGST_BE=-4</t>
        </is>
      </c>
      <c r="K1393" t="n">
        <v>25</v>
      </c>
      <c r="L1393" t="n">
        <v>-250</v>
      </c>
      <c r="M1393" t="inlineStr">
        <is>
          <t>S</t>
        </is>
      </c>
      <c r="Q1393" t="inlineStr">
        <is>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is>
      </c>
    </row>
    <row r="1394" hidden="1" ht="15.75" customHeight="1" s="48">
      <c r="A1394" t="inlineStr">
        <is>
          <t>vn_angst_untote_25</t>
        </is>
      </c>
      <c r="B1394" t="inlineStr">
        <is>
          <t>Vor- und Nachteile</t>
        </is>
      </c>
      <c r="C1394" t="inlineStr">
        <is>
          <t>Panik: Untote</t>
        </is>
      </c>
      <c r="E1394" t="inlineStr">
        <is>
          <t>Auswahlgruppe angst_untote; maximal 1 Stufe; Angstwert 25; direkte Konfrontation: sofort, danach alle 2 KR; bloße Gegenwart: BE -4.</t>
        </is>
      </c>
      <c r="F1394" t="inlineStr">
        <is>
          <t>Angst: Untote</t>
        </is>
      </c>
      <c r="G1394" t="inlineStr">
        <is>
          <t>Auswahl</t>
        </is>
      </c>
      <c r="J1394" t="inlineStr">
        <is>
          <t>EXKLUSIV_ANGST=angst_untote | ANGST_INTERVALL=2_KR | ANGST_DIREKTE_KONFRONTATION=1 | ANGST_BE=-4</t>
        </is>
      </c>
      <c r="K1394" t="n">
        <v>25</v>
      </c>
      <c r="L1394" t="n">
        <v>-150</v>
      </c>
      <c r="M1394" t="inlineStr">
        <is>
          <t>S</t>
        </is>
      </c>
      <c r="Q1394" t="inlineStr">
        <is>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is>
      </c>
    </row>
    <row r="1395" hidden="1" ht="15.75" customHeight="1" s="48">
      <c r="A1395" t="inlineStr">
        <is>
          <t>vn_angst_voegel_25</t>
        </is>
      </c>
      <c r="B1395" t="inlineStr">
        <is>
          <t>Vor- und Nachteile</t>
        </is>
      </c>
      <c r="C1395" t="inlineStr">
        <is>
          <t>Panik: Vögel</t>
        </is>
      </c>
      <c r="E1395" t="inlineStr">
        <is>
          <t>Auswahlgruppe angst_voegel; maximal 1 Stufe; Angstwert 25; direkte Konfrontation: sofort, danach alle 2 KR; bloße Gegenwart: BE -4.</t>
        </is>
      </c>
      <c r="F1395" t="inlineStr">
        <is>
          <t>Angst: Vögel</t>
        </is>
      </c>
      <c r="G1395" t="inlineStr">
        <is>
          <t>Auswahl</t>
        </is>
      </c>
      <c r="J1395" t="inlineStr">
        <is>
          <t>EXKLUSIV_ANGST=angst_voegel | ANGST_INTERVALL=2_KR | ANGST_DIREKTE_KONFRONTATION=1 | ANGST_BE=-4</t>
        </is>
      </c>
      <c r="K1395" t="n">
        <v>25</v>
      </c>
      <c r="L1395" t="n">
        <v>-225</v>
      </c>
      <c r="M1395" t="inlineStr">
        <is>
          <t>S</t>
        </is>
      </c>
      <c r="Q1395" t="inlineStr">
        <is>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is>
      </c>
    </row>
    <row r="1396" hidden="1" ht="15.75" customHeight="1" s="48">
      <c r="A1396" t="inlineStr">
        <is>
          <t>vn_angst_wasser_25</t>
        </is>
      </c>
      <c r="B1396" t="inlineStr">
        <is>
          <t>Vor- und Nachteile</t>
        </is>
      </c>
      <c r="C1396" t="inlineStr">
        <is>
          <t>Panik: Wasser</t>
        </is>
      </c>
      <c r="E1396" t="inlineStr">
        <is>
          <t>Auswahlgruppe angst_wasser; maximal 1 Stufe; Angstwert 25; direkte Konfrontation: sofort, danach alle 2 KR; bloße Gegenwart: BE -4.</t>
        </is>
      </c>
      <c r="F1396" t="inlineStr">
        <is>
          <t>Angst: Wasser</t>
        </is>
      </c>
      <c r="G1396" t="inlineStr">
        <is>
          <t>Auswahl</t>
        </is>
      </c>
      <c r="J1396" t="inlineStr">
        <is>
          <t>EXKLUSIV_ANGST=angst_wasser | ANGST_INTERVALL=2_KR | ANGST_DIREKTE_KONFRONTATION=1 | ANGST_BE=-4</t>
        </is>
      </c>
      <c r="K1396" t="n">
        <v>25</v>
      </c>
      <c r="L1396" t="n">
        <v>-225</v>
      </c>
      <c r="M1396" t="inlineStr">
        <is>
          <t>S</t>
        </is>
      </c>
      <c r="Q1396" t="inlineStr">
        <is>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is>
      </c>
    </row>
    <row r="1397" hidden="1" ht="15.75" customHeight="1" s="48">
      <c r="A1397" t="inlineStr">
        <is>
          <t>vn_angst_wilde_tiere_25</t>
        </is>
      </c>
      <c r="B1397" t="inlineStr">
        <is>
          <t>Vor- und Nachteile</t>
        </is>
      </c>
      <c r="C1397" t="inlineStr">
        <is>
          <t>Panik: Wilde Tiere</t>
        </is>
      </c>
      <c r="E1397" t="inlineStr">
        <is>
          <t>Auswahlgruppe angst_wilde_tiere; maximal 1 Stufe; Angstwert 25; direkte Konfrontation: sofort, danach alle 2 KR; bloße Gegenwart: BE -4.</t>
        </is>
      </c>
      <c r="F1397" t="inlineStr">
        <is>
          <t>Angst: Wilde Tiere</t>
        </is>
      </c>
      <c r="G1397" t="inlineStr">
        <is>
          <t>Auswahl</t>
        </is>
      </c>
      <c r="J1397" t="inlineStr">
        <is>
          <t>EXKLUSIV_ANGST=angst_wilde_tiere | ANGST_INTERVALL=2_KR | ANGST_DIREKTE_KONFRONTATION=1 | ANGST_BE=-4</t>
        </is>
      </c>
      <c r="K1397" t="n">
        <v>25</v>
      </c>
      <c r="L1397" t="n">
        <v>-250</v>
      </c>
      <c r="M1397" t="inlineStr">
        <is>
          <t>S</t>
        </is>
      </c>
      <c r="Q1397" t="inlineStr">
        <is>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is>
      </c>
    </row>
    <row r="1398" hidden="1" ht="15.75" customHeight="1" s="48">
      <c r="A1398" t="inlineStr">
        <is>
          <t>vn_angst_xenophobie_25</t>
        </is>
      </c>
      <c r="B1398" t="inlineStr">
        <is>
          <t>Vor- und Nachteile</t>
        </is>
      </c>
      <c r="C1398" t="inlineStr">
        <is>
          <t>Panik: Xenophobie</t>
        </is>
      </c>
      <c r="E1398" t="inlineStr">
        <is>
          <t>Auswahlgruppe angst_xenophobie; maximal 1 Stufe; Angstwert 25; direkte Konfrontation: sofort, danach alle 2 KR; bloße Gegenwart: BE -4.</t>
        </is>
      </c>
      <c r="F1398" t="inlineStr">
        <is>
          <t>Angst: Xenophobie</t>
        </is>
      </c>
      <c r="G1398" t="inlineStr">
        <is>
          <t>Auswahl</t>
        </is>
      </c>
      <c r="J1398" t="inlineStr">
        <is>
          <t>EXKLUSIV_ANGST=angst_xenophobie | ANGST_INTERVALL=2_KR | ANGST_DIREKTE_KONFRONTATION=1 | ANGST_BE=-4</t>
        </is>
      </c>
      <c r="K1398" t="n">
        <v>25</v>
      </c>
      <c r="L1398" t="n">
        <v>-250</v>
      </c>
      <c r="M1398" t="inlineStr">
        <is>
          <t>S</t>
        </is>
      </c>
      <c r="Q1398" t="inlineStr">
        <is>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is>
      </c>
    </row>
    <row r="1399" hidden="1" ht="15.75" customHeight="1" s="48">
      <c r="A1399" t="inlineStr">
        <is>
          <t>spruchmagie_veraenderung_1_magisches_makeover</t>
        </is>
      </c>
      <c r="B1399" t="inlineStr">
        <is>
          <t>Spruchmagie</t>
        </is>
      </c>
      <c r="C1399" t="inlineStr">
        <is>
          <t>Magisches Makeover</t>
        </is>
      </c>
      <c r="F1399" t="inlineStr">
        <is>
          <t>Veränderung</t>
        </is>
      </c>
      <c r="G1399" t="inlineStr">
        <is>
          <t>Wert</t>
        </is>
      </c>
      <c r="K1399" t="inlineStr">
        <is>
          <t>1</t>
        </is>
      </c>
      <c r="L1399" t="inlineStr">
        <is>
          <t>WENN(wert=0;0;10+(wert-1)*grad)</t>
        </is>
      </c>
      <c r="P1399" t="inlineStr">
        <is>
          <t>eig_bonus_g_ausstrahlung</t>
        </is>
      </c>
      <c r="Q1399"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1400" hidden="1" ht="15.75" customHeight="1" s="48">
      <c r="A1400" t="inlineStr">
        <is>
          <t>spruchmagie_veraenderung_1_wasserwandeln</t>
        </is>
      </c>
      <c r="B1400" t="inlineStr">
        <is>
          <t>Spruchmagie</t>
        </is>
      </c>
      <c r="C1400" t="inlineStr">
        <is>
          <t>Wasserwandeln</t>
        </is>
      </c>
      <c r="F1400" t="inlineStr">
        <is>
          <t>Veränderung</t>
        </is>
      </c>
      <c r="G1400" t="inlineStr">
        <is>
          <t>Wert</t>
        </is>
      </c>
      <c r="K1400" t="inlineStr">
        <is>
          <t>1</t>
        </is>
      </c>
      <c r="L1400" t="inlineStr">
        <is>
          <t>WENN(wert=0;0;10+(wert-1)*grad)</t>
        </is>
      </c>
      <c r="P1400" t="inlineStr">
        <is>
          <t>eig_bonus_k_athletik</t>
        </is>
      </c>
      <c r="Q1400"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1401" hidden="1" ht="15.75" customHeight="1" s="48">
      <c r="A1401" t="inlineStr">
        <is>
          <t>spruchmagie_verzauberung_1_ausstrahlung_erhoehen</t>
        </is>
      </c>
      <c r="B1401" t="inlineStr">
        <is>
          <t>Spruchmagie</t>
        </is>
      </c>
      <c r="C1401" t="inlineStr">
        <is>
          <t>Ausstrahlung erhöhen</t>
        </is>
      </c>
      <c r="F1401" t="inlineStr">
        <is>
          <t>Verzauberung</t>
        </is>
      </c>
      <c r="G1401" t="inlineStr">
        <is>
          <t>Wert</t>
        </is>
      </c>
      <c r="K1401" t="inlineStr">
        <is>
          <t>1</t>
        </is>
      </c>
      <c r="L1401" t="inlineStr">
        <is>
          <t>WENN(wert=0;0;10+(wert-1)*grad)</t>
        </is>
      </c>
      <c r="P1401" t="inlineStr">
        <is>
          <t>eig_bonus_g_ausstrahlung</t>
        </is>
      </c>
      <c r="Q1401" t="inlineStr">
        <is>
          <t>Die Ausstrahlung des Magus erhöht sich um {Magie} * 2. Ausstrahlung kann nur einmal magisch erhöht werden.</t>
        </is>
      </c>
    </row>
    <row r="1402" hidden="1" ht="15.75" customHeight="1" s="48">
      <c r="A1402" t="inlineStr">
        <is>
          <t>spruchmagie_verzauberung_1_grundfertigkeit_erhoehen</t>
        </is>
      </c>
      <c r="B1402" t="inlineStr">
        <is>
          <t>Spruchmagie</t>
        </is>
      </c>
      <c r="C1402" t="inlineStr">
        <is>
          <t>Grundfertigkeit erhöhen</t>
        </is>
      </c>
      <c r="F1402" t="inlineStr">
        <is>
          <t>Verzauberung</t>
        </is>
      </c>
      <c r="G1402" t="inlineStr">
        <is>
          <t>Wert</t>
        </is>
      </c>
      <c r="K1402" t="inlineStr">
        <is>
          <t>1</t>
        </is>
      </c>
      <c r="L1402" t="inlineStr">
        <is>
          <t>WENN(wert=0;0;10+(wert-1)*grad)</t>
        </is>
      </c>
      <c r="P1402" t="inlineStr">
        <is>
          <t>eig_bonus_g_willenskraft</t>
        </is>
      </c>
      <c r="Q1402" t="inlineStr">
        <is>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is>
      </c>
    </row>
    <row r="1403" hidden="1" ht="15.75" customHeight="1" s="48">
      <c r="A1403" t="inlineStr">
        <is>
          <t>spruchmagie_verzauberung_2_koerperliche_eigenschaft_erhoehen</t>
        </is>
      </c>
      <c r="B1403" t="inlineStr">
        <is>
          <t>Spruchmagie</t>
        </is>
      </c>
      <c r="C1403" t="inlineStr">
        <is>
          <t>Körperliche Eigenschaft erhöhen</t>
        </is>
      </c>
      <c r="F1403" t="inlineStr">
        <is>
          <t>Verzauberung</t>
        </is>
      </c>
      <c r="G1403" t="inlineStr">
        <is>
          <t>Wert</t>
        </is>
      </c>
      <c r="K1403" t="inlineStr">
        <is>
          <t>2</t>
        </is>
      </c>
      <c r="L1403" t="inlineStr">
        <is>
          <t>WENN(wert=0;0;10+(wert-1)*grad)</t>
        </is>
      </c>
      <c r="P1403" t="inlineStr">
        <is>
          <t>eig_bonus_g_intelligenz</t>
        </is>
      </c>
      <c r="Q1403" t="inlineStr">
        <is>
          <t>Das Ziel erhält einen Bonus von {Magie} * 2 auf eine körperliche Eigenschaft (Athletik, Geschicklichkeit Konstitution, Schnelligkeit, Stärke). Jede Eigenschaft kann nur einmal magisch verstärkt werden.</t>
        </is>
      </c>
    </row>
    <row r="1404" hidden="1" ht="15.75" customHeight="1" s="48">
      <c r="A1404" t="inlineStr">
        <is>
          <t>spruchmagie_antimagie_1_magische_wand</t>
        </is>
      </c>
      <c r="B1404" t="inlineStr">
        <is>
          <t>Spruchmagie</t>
        </is>
      </c>
      <c r="C1404" t="inlineStr">
        <is>
          <t>Magische Wand</t>
        </is>
      </c>
      <c r="F1404" t="inlineStr">
        <is>
          <t>Antimagie</t>
        </is>
      </c>
      <c r="G1404" t="inlineStr">
        <is>
          <t>Wert</t>
        </is>
      </c>
      <c r="K1404" t="inlineStr">
        <is>
          <t>1</t>
        </is>
      </c>
      <c r="L1404" t="inlineStr">
        <is>
          <t>WENN(wert=0;0;10+(wert-1)*grad)</t>
        </is>
      </c>
      <c r="P1404" t="inlineStr">
        <is>
          <t>eig_bonus_g_sinneschaerfe</t>
        </is>
      </c>
      <c r="Q1404" t="inlineStr">
        <is>
          <t>Der Magus erschafft eine Wand aus Magie. Diese ist undurchdringlich und verfügt über einen RS und LE von {M}*4. Die Wand gilt als Magiekorpus. Länge max. W6 +{Magie}+{Aura} m, Breite max. {M}*2cm</t>
        </is>
      </c>
    </row>
    <row r="1405" hidden="1" ht="15.75" customHeight="1" s="48">
      <c r="A1405" t="inlineStr">
        <is>
          <t>spruchmagie_antimagie_2_magische_reinigung</t>
        </is>
      </c>
      <c r="B1405" t="inlineStr">
        <is>
          <t>Spruchmagie</t>
        </is>
      </c>
      <c r="C1405" t="inlineStr">
        <is>
          <t>Magische Reinigung</t>
        </is>
      </c>
      <c r="F1405" t="inlineStr">
        <is>
          <t>Antimagie</t>
        </is>
      </c>
      <c r="G1405" t="inlineStr">
        <is>
          <t>Wert</t>
        </is>
      </c>
      <c r="K1405" t="inlineStr">
        <is>
          <t>2</t>
        </is>
      </c>
      <c r="L1405" t="inlineStr">
        <is>
          <t>WENN(wert=0;0;10+(wert-1)*grad)</t>
        </is>
      </c>
      <c r="P1405" t="inlineStr">
        <is>
          <t>eig_bonus_g_willenskraft</t>
        </is>
      </c>
      <c r="Q1405" t="inlineStr">
        <is>
          <t>Ein Anhaltender oder Bipolarer Zauber mit maximalem Zaubergrad von (Wei+3) nach Wahl des Magiers wird beendet.</t>
        </is>
      </c>
    </row>
    <row r="1406" hidden="1" ht="15.75" customHeight="1" s="48">
      <c r="A1406" t="inlineStr">
        <is>
          <t>spruchmagie_antimagie_2_bipolare_schere</t>
        </is>
      </c>
      <c r="B1406" t="inlineStr">
        <is>
          <t>Spruchmagie</t>
        </is>
      </c>
      <c r="C1406" t="inlineStr">
        <is>
          <t>Bipolare Schere</t>
        </is>
      </c>
      <c r="F1406" t="inlineStr">
        <is>
          <t>Antimagie</t>
        </is>
      </c>
      <c r="G1406" t="inlineStr">
        <is>
          <t>Wert</t>
        </is>
      </c>
      <c r="K1406" t="inlineStr">
        <is>
          <t>2</t>
        </is>
      </c>
      <c r="L1406" t="inlineStr">
        <is>
          <t>WENN(wert=0;0;10+(wert-1)*grad)</t>
        </is>
      </c>
      <c r="P1406" t="inlineStr">
        <is>
          <t>eig_bonus_g_sinneschaerfe</t>
        </is>
      </c>
      <c r="Q1406" t="inlineStr">
        <is>
          <t>Ein Bipolarer Zauber bis Grad (Wei+2) wird gebrochen. Wenn der Zauber während der Vorbereitungsdauer gebrochen wird, entstehen dem gegnerischen Magus nur halbe Manakosten.</t>
        </is>
      </c>
    </row>
    <row r="1407" hidden="1" ht="15.75" customHeight="1" s="48">
      <c r="A1407" t="inlineStr">
        <is>
          <t>spruchmagie_antimagie_2_magische_kuppel</t>
        </is>
      </c>
      <c r="B1407" t="inlineStr">
        <is>
          <t>Spruchmagie</t>
        </is>
      </c>
      <c r="C1407" t="inlineStr">
        <is>
          <t>Magische Kuppel</t>
        </is>
      </c>
      <c r="F1407" t="inlineStr">
        <is>
          <t>Antimagie</t>
        </is>
      </c>
      <c r="G1407" t="inlineStr">
        <is>
          <t>Wert</t>
        </is>
      </c>
      <c r="K1407" t="inlineStr">
        <is>
          <t>2</t>
        </is>
      </c>
      <c r="L1407" t="inlineStr">
        <is>
          <t>WENN(wert=0;0;10+(wert-1)*grad)</t>
        </is>
      </c>
      <c r="P1407" t="inlineStr">
        <is>
          <t>eig_bonus_g_willenskraft</t>
        </is>
      </c>
      <c r="Q140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1408" hidden="1" ht="15.75" customHeight="1" s="48">
      <c r="A1408" t="inlineStr">
        <is>
          <t>spruchmagie_antimagie_3_magischer_schild</t>
        </is>
      </c>
      <c r="B1408" t="inlineStr">
        <is>
          <t>Spruchmagie</t>
        </is>
      </c>
      <c r="C1408" t="inlineStr">
        <is>
          <t>Magischer Schild</t>
        </is>
      </c>
      <c r="F1408" t="inlineStr">
        <is>
          <t>Antimagie</t>
        </is>
      </c>
      <c r="G1408" t="inlineStr">
        <is>
          <t>Wert</t>
        </is>
      </c>
      <c r="K1408" t="inlineStr">
        <is>
          <t>3</t>
        </is>
      </c>
      <c r="L1408" t="inlineStr">
        <is>
          <t>WENN(wert=0;0;10+(wert-1)*grad)</t>
        </is>
      </c>
      <c r="P1408" t="inlineStr">
        <is>
          <t>eig_bonus_g_sinneschaerfe</t>
        </is>
      </c>
      <c r="Q1408" t="inlineStr">
        <is>
          <t>Die Aura des Zieles wird von einem unsichtbaren Schild geschützt. Es kann pro KR maximal {M} TP und insgesamt {M} * 2 TP abhalten.</t>
        </is>
      </c>
    </row>
    <row r="1409" hidden="1" ht="15.75" customHeight="1" s="48">
      <c r="A1409" t="inlineStr">
        <is>
          <t>spruchmagie_antimagie_3_magische_barriere</t>
        </is>
      </c>
      <c r="B1409" t="inlineStr">
        <is>
          <t>Spruchmagie</t>
        </is>
      </c>
      <c r="C1409" t="inlineStr">
        <is>
          <t>Magische Barriere</t>
        </is>
      </c>
      <c r="F1409" t="inlineStr">
        <is>
          <t>Antimagie</t>
        </is>
      </c>
      <c r="G1409" t="inlineStr">
        <is>
          <t>Wert</t>
        </is>
      </c>
      <c r="K1409" t="inlineStr">
        <is>
          <t>3</t>
        </is>
      </c>
      <c r="L1409" t="inlineStr">
        <is>
          <t>WENN(wert=0;0;10+(wert-1)*grad)</t>
        </is>
      </c>
      <c r="P1409" t="inlineStr">
        <is>
          <t>eig_bonus_g_willenskraft</t>
        </is>
      </c>
      <c r="Q140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1410" hidden="1" ht="15.75" customHeight="1" s="48">
      <c r="A1410" t="inlineStr">
        <is>
          <t>spruchmagie_antimagie_4_magische_bresche</t>
        </is>
      </c>
      <c r="B1410" t="inlineStr">
        <is>
          <t>Spruchmagie</t>
        </is>
      </c>
      <c r="C1410" t="inlineStr">
        <is>
          <t>Magische Bresche</t>
        </is>
      </c>
      <c r="F1410" t="inlineStr">
        <is>
          <t>Antimagie</t>
        </is>
      </c>
      <c r="G1410" t="inlineStr">
        <is>
          <t>Wert</t>
        </is>
      </c>
      <c r="K1410" t="inlineStr">
        <is>
          <t>4</t>
        </is>
      </c>
      <c r="L1410" t="inlineStr">
        <is>
          <t>WENN(wert=0;0;10+(wert-1)*grad)</t>
        </is>
      </c>
      <c r="P1410" t="inlineStr">
        <is>
          <t>eig_bonus_g_willenskraft</t>
        </is>
      </c>
      <c r="Q1410" t="inlineStr">
        <is>
          <t>Alle Anhaltenden und Bipolaren Zauber bis Grad (Wei+1) die auf der Aura liegen, werden gebrochen.</t>
        </is>
      </c>
    </row>
    <row r="1411" hidden="1" ht="15.75" customHeight="1" s="48">
      <c r="A1411" t="inlineStr">
        <is>
          <t>spruchmagie_antimagie_4_mobile_barriere</t>
        </is>
      </c>
      <c r="B1411" t="inlineStr">
        <is>
          <t>Spruchmagie</t>
        </is>
      </c>
      <c r="C1411" t="inlineStr">
        <is>
          <t>Mobile Barriere</t>
        </is>
      </c>
      <c r="F1411" t="inlineStr">
        <is>
          <t>Antimagie</t>
        </is>
      </c>
      <c r="G1411" t="inlineStr">
        <is>
          <t>Wert</t>
        </is>
      </c>
      <c r="K1411" t="inlineStr">
        <is>
          <t>4</t>
        </is>
      </c>
      <c r="L1411" t="inlineStr">
        <is>
          <t>WENN(wert=0;0;10+(wert-1)*grad)</t>
        </is>
      </c>
      <c r="P1411" t="inlineStr">
        <is>
          <t>eig_bonus_g_sinneschaerfe</t>
        </is>
      </c>
      <c r="Q1411" t="inlineStr">
        <is>
          <t>Der Magier erschafft eine bewegliche Barriere mit LE|RS {M}*4. Diese Barriere entsteht entweder als Kugel um den Magus oder als „Verstärkung“ um ein materiell fest definiertes Objekt (z.B. ein Auto).</t>
        </is>
      </c>
    </row>
    <row r="1412" hidden="1" ht="15.75" customHeight="1" s="48">
      <c r="A1412" t="inlineStr">
        <is>
          <t>spruchmagie_antimagie_5_schutz</t>
        </is>
      </c>
      <c r="B1412" t="inlineStr">
        <is>
          <t>Spruchmagie</t>
        </is>
      </c>
      <c r="C1412" t="inlineStr">
        <is>
          <t>Schutz</t>
        </is>
      </c>
      <c r="F1412" t="inlineStr">
        <is>
          <t>Antimagie</t>
        </is>
      </c>
      <c r="G1412" t="inlineStr">
        <is>
          <t>Wert</t>
        </is>
      </c>
      <c r="K1412" t="inlineStr">
        <is>
          <t>5</t>
        </is>
      </c>
      <c r="L1412" t="inlineStr">
        <is>
          <t>WENN(wert=0;0;10+(wert-1)*grad)</t>
        </is>
      </c>
      <c r="P1412" t="inlineStr">
        <is>
          <t>eig_bonus_g_willenskraft</t>
        </is>
      </c>
      <c r="Q1412"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1413" hidden="1" ht="15.75" customHeight="1" s="48">
      <c r="A1413" t="inlineStr">
        <is>
          <t>spruchmagie_antimagie_6_antimagisches_feld</t>
        </is>
      </c>
      <c r="B1413" t="inlineStr">
        <is>
          <t>Spruchmagie</t>
        </is>
      </c>
      <c r="C1413" t="inlineStr">
        <is>
          <t>Antimagisches Feld</t>
        </is>
      </c>
      <c r="F1413" t="inlineStr">
        <is>
          <t>Antimagie</t>
        </is>
      </c>
      <c r="G1413" t="inlineStr">
        <is>
          <t>Wert</t>
        </is>
      </c>
      <c r="K1413" t="inlineStr">
        <is>
          <t>6</t>
        </is>
      </c>
      <c r="L1413" t="inlineStr">
        <is>
          <t>WENN(wert=0;0;10+(wert-1)*grad)</t>
        </is>
      </c>
      <c r="P1413" t="inlineStr">
        <is>
          <t>eig_bonus_g_willenskraft</t>
        </is>
      </c>
      <c r="Q1413"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1414" hidden="1" ht="15.75" customHeight="1" s="48">
      <c r="A1414" t="inlineStr">
        <is>
          <t>spruchmagie_antimagie_7_spiegeltrick</t>
        </is>
      </c>
      <c r="B1414" t="inlineStr">
        <is>
          <t>Spruchmagie</t>
        </is>
      </c>
      <c r="C1414" t="inlineStr">
        <is>
          <t>Spiegeltrick</t>
        </is>
      </c>
      <c r="F1414" t="inlineStr">
        <is>
          <t>Antimagie</t>
        </is>
      </c>
      <c r="G1414" t="inlineStr">
        <is>
          <t>Wert</t>
        </is>
      </c>
      <c r="K1414" t="inlineStr">
        <is>
          <t>7</t>
        </is>
      </c>
      <c r="L1414" t="inlineStr">
        <is>
          <t>WENN(wert=0;0;10+(wert-1)*grad)</t>
        </is>
      </c>
      <c r="P1414" t="inlineStr">
        <is>
          <t>eig_bonus_g_willenskraft</t>
        </is>
      </c>
      <c r="Q1414" t="inlineStr">
        <is>
          <t>Ein beliebiger Zauber, der auf den Magus gezielt wird, wird mit voller Stärke auf den Gegner zurückgeworfen. Der Magus erleidet nur die halbierte Wirkung.</t>
        </is>
      </c>
    </row>
    <row r="1415" hidden="1" ht="15.75" customHeight="1" s="48">
      <c r="A1415" t="inlineStr">
        <is>
          <t>spruchmagie_heilung_1_wunden_schliessen</t>
        </is>
      </c>
      <c r="B1415" t="inlineStr">
        <is>
          <t>Spruchmagie</t>
        </is>
      </c>
      <c r="C1415" t="inlineStr">
        <is>
          <t>Wunden schließen</t>
        </is>
      </c>
      <c r="F1415" t="inlineStr">
        <is>
          <t>Heilung</t>
        </is>
      </c>
      <c r="G1415" t="inlineStr">
        <is>
          <t>Wert</t>
        </is>
      </c>
      <c r="K1415" t="inlineStr">
        <is>
          <t>1</t>
        </is>
      </c>
      <c r="L1415" t="inlineStr">
        <is>
          <t>WENN(wert=0;0;10+(wert-1)*grad)</t>
        </is>
      </c>
      <c r="P1415" t="inlineStr">
        <is>
          <t>eig_bonus_k_konstitution</t>
        </is>
      </c>
      <c r="Q1415" t="inlineStr">
        <is>
          <t>Der Magus schließt eine Wunde (1 Blutung stoppen) und heilt auf der selben Trefferzone W6 (maximal {Magie}) LE.</t>
        </is>
      </c>
    </row>
    <row r="1416" hidden="1" ht="15.75" customHeight="1" s="48">
      <c r="A1416" t="inlineStr">
        <is>
          <t>spruchmagie_heilung_2_kleine_heilung</t>
        </is>
      </c>
      <c r="B1416" t="inlineStr">
        <is>
          <t>Spruchmagie</t>
        </is>
      </c>
      <c r="C1416" t="inlineStr">
        <is>
          <t>Kleine Heilung</t>
        </is>
      </c>
      <c r="F1416" t="inlineStr">
        <is>
          <t>Heilung</t>
        </is>
      </c>
      <c r="G1416" t="inlineStr">
        <is>
          <t>Wert</t>
        </is>
      </c>
      <c r="K1416" t="inlineStr">
        <is>
          <t>2</t>
        </is>
      </c>
      <c r="L1416" t="inlineStr">
        <is>
          <t>WENN(wert=0;0;10+(wert-1)*grad)</t>
        </is>
      </c>
      <c r="P1416" t="inlineStr">
        <is>
          <t>eig_bonus_k_konstitution</t>
        </is>
      </c>
      <c r="Q1416" t="inlineStr">
        <is>
          <t>Der Magus schließt eine Wunde (1 Blutung stoppen) und heilt 2W6 + {Magie} Lebensenergie auf einer Trefferzone. Überschüssige LE verfallen.</t>
        </is>
      </c>
    </row>
    <row r="1417" hidden="1" ht="15.75" customHeight="1" s="48">
      <c r="A1417" t="inlineStr">
        <is>
          <t>spruchmagie_heilung_3_mittlere_heilung</t>
        </is>
      </c>
      <c r="B1417" t="inlineStr">
        <is>
          <t>Spruchmagie</t>
        </is>
      </c>
      <c r="C1417" t="inlineStr">
        <is>
          <t>Mittlere Heilung</t>
        </is>
      </c>
      <c r="F1417" t="inlineStr">
        <is>
          <t>Heilung</t>
        </is>
      </c>
      <c r="G1417" t="inlineStr">
        <is>
          <t>Wert</t>
        </is>
      </c>
      <c r="K1417" t="inlineStr">
        <is>
          <t>3</t>
        </is>
      </c>
      <c r="L1417" t="inlineStr">
        <is>
          <t>WENN(wert=0;0;10+(wert-1)*grad)</t>
        </is>
      </c>
      <c r="P1417" t="inlineStr">
        <is>
          <t>eig_bonus_k_konstitution</t>
        </is>
      </c>
      <c r="Q1417" t="inlineStr">
        <is>
          <t>Der Magus schließt eine Wunde (1 Blutung stoppen) und heilt 2W10 + {Magie} Lebensenergie auf einer Trefferzone. Überschüssige LE verfallen.</t>
        </is>
      </c>
    </row>
    <row r="1418" hidden="1" ht="15.75" customHeight="1" s="48">
      <c r="A1418" t="inlineStr">
        <is>
          <t>spruchmagie_heilung_4_gesundheit_wiederherstellen</t>
        </is>
      </c>
      <c r="B1418" t="inlineStr">
        <is>
          <t>Spruchmagie</t>
        </is>
      </c>
      <c r="C1418" t="inlineStr">
        <is>
          <t>Gesundheit wiederherstellen</t>
        </is>
      </c>
      <c r="F1418" t="inlineStr">
        <is>
          <t>Heilung</t>
        </is>
      </c>
      <c r="G1418" t="inlineStr">
        <is>
          <t>Wert</t>
        </is>
      </c>
      <c r="K1418" t="inlineStr">
        <is>
          <t>4</t>
        </is>
      </c>
      <c r="L1418" t="inlineStr">
        <is>
          <t>WENN(wert=0;0;10+(wert-1)*grad)</t>
        </is>
      </c>
      <c r="P1418" t="inlineStr">
        <is>
          <t>eig_bonus_k_konstitution</t>
        </is>
      </c>
      <c r="Q1418" t="inlineStr">
        <is>
          <t>Das Ziel regeneriert W8 Gesundheit. Überschüssige Punkte verfallen, alle Wunden schließen sich.</t>
        </is>
      </c>
    </row>
    <row r="1419" hidden="1" ht="15.75" customHeight="1" s="48">
      <c r="A1419" t="inlineStr">
        <is>
          <t>spruchmagie_beherrschung_1_respekt_einfloessen</t>
        </is>
      </c>
      <c r="B1419" t="inlineStr">
        <is>
          <t>Spruchmagie</t>
        </is>
      </c>
      <c r="C1419" t="inlineStr">
        <is>
          <t>Respekt einflößen</t>
        </is>
      </c>
      <c r="F1419" t="inlineStr">
        <is>
          <t>Beherrschung</t>
        </is>
      </c>
      <c r="G1419" t="inlineStr">
        <is>
          <t>Wert</t>
        </is>
      </c>
      <c r="K1419" t="inlineStr">
        <is>
          <t>1</t>
        </is>
      </c>
      <c r="L1419" t="inlineStr">
        <is>
          <t>WENN(wert=0;0;10+(wert-1)*grad)</t>
        </is>
      </c>
      <c r="P1419" t="inlineStr">
        <is>
          <t>eig_bonus_g_ausstrahlung</t>
        </is>
      </c>
      <c r="Q1419" t="inlineStr">
        <is>
          <t>Der Magus wirkt dem Opfer gegenüber wesentlich imposanter und seine Worte sind wesentlich zwingender als vorher. Ein Wunsch von ihm ist jetzt ehr wie ein Befehl eines Generals an einen einfachen Soldaten. Er bekommt dem Opfer gegenüber einen Ausstrahlungsbonus von +2x {Magie}</t>
        </is>
      </c>
    </row>
    <row r="1420" hidden="1" ht="15.75" customHeight="1" s="48">
      <c r="A1420" t="inlineStr">
        <is>
          <t>spruchmagie_beherrschung_2_entmutigen</t>
        </is>
      </c>
      <c r="B1420" t="inlineStr">
        <is>
          <t>Spruchmagie</t>
        </is>
      </c>
      <c r="C1420" t="inlineStr">
        <is>
          <t>Entmutigen</t>
        </is>
      </c>
      <c r="F1420" t="inlineStr">
        <is>
          <t>Beherrschung</t>
        </is>
      </c>
      <c r="G1420" t="inlineStr">
        <is>
          <t>Wert</t>
        </is>
      </c>
      <c r="K1420" t="inlineStr">
        <is>
          <t>2</t>
        </is>
      </c>
      <c r="L1420" t="inlineStr">
        <is>
          <t>WENN(wert=0;0;10+(wert-1)*grad)</t>
        </is>
      </c>
      <c r="P1420" t="inlineStr">
        <is>
          <t>eig_bonus_g_ausstrahlung</t>
        </is>
      </c>
      <c r="Q142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1421" hidden="1" ht="15.75" customHeight="1" s="48">
      <c r="A1421" t="inlineStr">
        <is>
          <t>spruchmagie_beherrschung_3_konfus</t>
        </is>
      </c>
      <c r="B1421" t="inlineStr">
        <is>
          <t>Spruchmagie</t>
        </is>
      </c>
      <c r="C1421" t="inlineStr">
        <is>
          <t>Konfus</t>
        </is>
      </c>
      <c r="F1421" t="inlineStr">
        <is>
          <t>Beherrschung</t>
        </is>
      </c>
      <c r="G1421" t="inlineStr">
        <is>
          <t>Wert</t>
        </is>
      </c>
      <c r="K1421" t="inlineStr">
        <is>
          <t>3</t>
        </is>
      </c>
      <c r="L1421" t="inlineStr">
        <is>
          <t>WENN(wert=0;0;10+(wert-1)*grad)</t>
        </is>
      </c>
      <c r="P1421" t="inlineStr">
        <is>
          <t>eig_bonus_g_mut</t>
        </is>
      </c>
      <c r="Q1421" t="inlineStr">
        <is>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is>
      </c>
    </row>
    <row r="1422" hidden="1" ht="15.75" customHeight="1" s="48">
      <c r="A1422" t="inlineStr">
        <is>
          <t>spruchmagie_beherrschung_4_furcht</t>
        </is>
      </c>
      <c r="B1422" t="inlineStr">
        <is>
          <t>Spruchmagie</t>
        </is>
      </c>
      <c r="C1422" t="inlineStr">
        <is>
          <t>Furcht</t>
        </is>
      </c>
      <c r="F1422" t="inlineStr">
        <is>
          <t>Beherrschung</t>
        </is>
      </c>
      <c r="G1422" t="inlineStr">
        <is>
          <t>Wert</t>
        </is>
      </c>
      <c r="K1422" t="inlineStr">
        <is>
          <t>4</t>
        </is>
      </c>
      <c r="L1422" t="inlineStr">
        <is>
          <t>WENN(wert=0;0;10+(wert-1)*grad)</t>
        </is>
      </c>
      <c r="P1422" t="inlineStr">
        <is>
          <t>eig_bonus_g_ausstrahlung</t>
        </is>
      </c>
      <c r="Q1422" t="inlineStr">
        <is>
          <t>Das Opfer gerät in Panik und läuft so schnell es kann vom Magus weg. Dabei rennt es so lange bis Es vor Erschöpfung Bewusstlos wird, dann fällt der Zauber von selbst. Außerdem wirft Es alles von sich was ihm am laufen hindert.</t>
        </is>
      </c>
    </row>
    <row r="1423" hidden="1" ht="15.75" customHeight="1" s="48">
      <c r="A1423" t="inlineStr">
        <is>
          <t>spruchmagie_beherrschung_5_massenfurcht</t>
        </is>
      </c>
      <c r="B1423" t="inlineStr">
        <is>
          <t>Spruchmagie</t>
        </is>
      </c>
      <c r="C1423" t="inlineStr">
        <is>
          <t>Massenfurcht</t>
        </is>
      </c>
      <c r="F1423" t="inlineStr">
        <is>
          <t>Beherrschung</t>
        </is>
      </c>
      <c r="G1423" t="inlineStr">
        <is>
          <t>Wert</t>
        </is>
      </c>
      <c r="K1423" t="inlineStr">
        <is>
          <t>5</t>
        </is>
      </c>
      <c r="L1423" t="inlineStr">
        <is>
          <t>WENN(wert=0;0;10+(wert-1)*grad)</t>
        </is>
      </c>
      <c r="P1423" t="inlineStr">
        <is>
          <t>eig_bonus_g_ausstrahlung</t>
        </is>
      </c>
      <c r="Q1423" t="inlineStr">
        <is>
          <t>Die Opfer geraten in Panik und laufen so schnell sie können vom Magus weg. Dabei rennen Sie so lange bis Sie vor Erschöpfung Bewusstlos werden, dann fällt der Zauber von selbst. Außerdem werfen Sie alles von sich was Sie am laufen hindert.</t>
        </is>
      </c>
    </row>
    <row r="1424" hidden="1" ht="15.75" customHeight="1" s="48">
      <c r="A1424" t="inlineStr">
        <is>
          <t>spruchmagie_beherrschung_5_paralyse</t>
        </is>
      </c>
      <c r="B1424" t="inlineStr">
        <is>
          <t>Spruchmagie</t>
        </is>
      </c>
      <c r="C1424" t="inlineStr">
        <is>
          <t>Paralyse</t>
        </is>
      </c>
      <c r="F1424" t="inlineStr">
        <is>
          <t>Beherrschung</t>
        </is>
      </c>
      <c r="G1424" t="inlineStr">
        <is>
          <t>Wert</t>
        </is>
      </c>
      <c r="K1424" t="inlineStr">
        <is>
          <t>5</t>
        </is>
      </c>
      <c r="L1424" t="inlineStr">
        <is>
          <t>WENN(wert=0;0;10+(wert-1)*grad)</t>
        </is>
      </c>
      <c r="P1424" t="inlineStr">
        <is>
          <t>eig_bonus_g_willenskraft</t>
        </is>
      </c>
      <c r="Q1424" t="inlineStr">
        <is>
          <t>Das Opfer erstarrt während der Wirkungsdauer vollständig ist aber bewegbar. Der Magus kann versuchen Maximal {Magie} Lebewesen in Sicht und Reichweite gleichzeitig zu Paralysieren, allerdings addiert sich die (M) aller Opfer bei der Beherrschungsprobe gegen die {M} des Magus auf.</t>
        </is>
      </c>
    </row>
    <row r="1425" hidden="1" ht="15.75" customHeight="1" s="48">
      <c r="A1425" t="inlineStr">
        <is>
          <t>spruchmagie_beherrschung_6_totale_kontrolle</t>
        </is>
      </c>
      <c r="B1425" t="inlineStr">
        <is>
          <t>Spruchmagie</t>
        </is>
      </c>
      <c r="C1425" t="inlineStr">
        <is>
          <t>Totale Kontrolle</t>
        </is>
      </c>
      <c r="F1425" t="inlineStr">
        <is>
          <t>Beherrschung</t>
        </is>
      </c>
      <c r="G1425" t="inlineStr">
        <is>
          <t>Wert</t>
        </is>
      </c>
      <c r="K1425" t="inlineStr">
        <is>
          <t>6</t>
        </is>
      </c>
      <c r="L1425" t="inlineStr">
        <is>
          <t>WENN(wert=0;0;10+(wert-1)*grad)</t>
        </is>
      </c>
      <c r="P1425" t="inlineStr">
        <is>
          <t>eig_bonus_g_willenskraft</t>
        </is>
      </c>
      <c r="Q142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is>
      </c>
    </row>
    <row r="1426" hidden="1" ht="15.75" customHeight="1" s="48">
      <c r="A1426" t="inlineStr">
        <is>
          <t>spruchmagie_beherrschung_7_massen_raserei</t>
        </is>
      </c>
      <c r="B1426" t="inlineStr">
        <is>
          <t>Spruchmagie</t>
        </is>
      </c>
      <c r="C1426" t="inlineStr">
        <is>
          <t>Massen Raserei</t>
        </is>
      </c>
      <c r="F1426" t="inlineStr">
        <is>
          <t>Beherrschung</t>
        </is>
      </c>
      <c r="G1426" t="inlineStr">
        <is>
          <t>Wert</t>
        </is>
      </c>
      <c r="K1426" t="inlineStr">
        <is>
          <t>7</t>
        </is>
      </c>
      <c r="L1426" t="inlineStr">
        <is>
          <t>WENN(wert=0;0;10+(wert-1)*grad)</t>
        </is>
      </c>
      <c r="P1426" t="inlineStr">
        <is>
          <t>eig_bonus_g_ausstrahlung</t>
        </is>
      </c>
      <c r="Q1426"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1427" hidden="1" ht="15.75" customHeight="1" s="48">
      <c r="A1427" t="inlineStr">
        <is>
          <t>spruchmagie_beherrschung_7_menschen_befehligen</t>
        </is>
      </c>
      <c r="B1427" t="inlineStr">
        <is>
          <t>Spruchmagie</t>
        </is>
      </c>
      <c r="C1427" t="inlineStr">
        <is>
          <t>Menschen befehligen</t>
        </is>
      </c>
      <c r="F1427" t="inlineStr">
        <is>
          <t>Beherrschung</t>
        </is>
      </c>
      <c r="G1427" t="inlineStr">
        <is>
          <t>Wert</t>
        </is>
      </c>
      <c r="K1427" t="inlineStr">
        <is>
          <t>7</t>
        </is>
      </c>
      <c r="L1427" t="inlineStr">
        <is>
          <t>WENN(wert=0;0;10+(wert-1)*grad)</t>
        </is>
      </c>
      <c r="P1427" t="inlineStr">
        <is>
          <t>eig_bonus_g_ausstrahlung</t>
        </is>
      </c>
      <c r="Q1427" t="inlineStr">
        <is>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is>
      </c>
    </row>
    <row r="1428" hidden="1" ht="15.75" customHeight="1" s="48">
      <c r="A1428" t="inlineStr">
        <is>
          <t>spruchmagie_illusion_1_funkentanz</t>
        </is>
      </c>
      <c r="B1428" t="inlineStr">
        <is>
          <t>Spruchmagie</t>
        </is>
      </c>
      <c r="C1428" t="inlineStr">
        <is>
          <t>Funkentanz</t>
        </is>
      </c>
      <c r="F1428" t="inlineStr">
        <is>
          <t>Illusion</t>
        </is>
      </c>
      <c r="G1428" t="inlineStr">
        <is>
          <t>Wert</t>
        </is>
      </c>
      <c r="K1428" t="inlineStr">
        <is>
          <t>1</t>
        </is>
      </c>
      <c r="L1428" t="inlineStr">
        <is>
          <t>WENN(wert=0;0;10+(wert-1)*grad)</t>
        </is>
      </c>
      <c r="P1428" t="inlineStr">
        <is>
          <t>eig_bonus_g_sinneschaerfe</t>
        </is>
      </c>
      <c r="Q1428" t="inlineStr">
        <is>
          <t>Der Magus erzeugt viele kleine Lichtfunken, die rund um seinen Körper fliegen. Hierdurch wird es für jeden Gegner um {Magie} schwerer, ihn mit einer Nahkampf- oder Fernkampf-Attacke zu treffen.</t>
        </is>
      </c>
    </row>
    <row r="1429" hidden="1" ht="15.75" customHeight="1" s="48">
      <c r="A1429" t="inlineStr">
        <is>
          <t>spruchmagie_illusion_2_blitzlicht</t>
        </is>
      </c>
      <c r="B1429" t="inlineStr">
        <is>
          <t>Spruchmagie</t>
        </is>
      </c>
      <c r="C1429" t="inlineStr">
        <is>
          <t>Blitzlicht</t>
        </is>
      </c>
      <c r="F1429" t="inlineStr">
        <is>
          <t>Illusion</t>
        </is>
      </c>
      <c r="G1429" t="inlineStr">
        <is>
          <t>Wert</t>
        </is>
      </c>
      <c r="K1429" t="inlineStr">
        <is>
          <t>2</t>
        </is>
      </c>
      <c r="L1429" t="inlineStr">
        <is>
          <t>WENN(wert=0;0;10+(wert-1)*grad)</t>
        </is>
      </c>
      <c r="P1429" t="inlineStr">
        <is>
          <t>eig_bonus_g_ausstrahlung</t>
        </is>
      </c>
      <c r="Q1429" t="inlineStr">
        <is>
          <t>Ein Körperteil des Magus  blitzt grell auf. Jedes ungewarnte Opfer hat eine Glücks-Probe, jedes gewarnte Opfer hat eine Schnelligkeits-Probe, ansonsten ist es für W6 sec blind.(AT|PA-Klasse je -1; BE 10, außer Magie mit Ziel selbst)</t>
        </is>
      </c>
    </row>
    <row r="1430" hidden="1" ht="15.75" customHeight="1" s="48">
      <c r="A1430" t="inlineStr">
        <is>
          <t>spruchmagie_illusion_3_dunkelheit</t>
        </is>
      </c>
      <c r="B1430" t="inlineStr">
        <is>
          <t>Spruchmagie</t>
        </is>
      </c>
      <c r="C1430" t="inlineStr">
        <is>
          <t>Dunkelheit</t>
        </is>
      </c>
      <c r="F1430" t="inlineStr">
        <is>
          <t>Illusion</t>
        </is>
      </c>
      <c r="G1430" t="inlineStr">
        <is>
          <t>Wert</t>
        </is>
      </c>
      <c r="K1430" t="inlineStr">
        <is>
          <t>3</t>
        </is>
      </c>
      <c r="L1430" t="inlineStr">
        <is>
          <t>WENN(wert=0;0;10+(wert-1)*grad)</t>
        </is>
      </c>
      <c r="P1430" t="inlineStr">
        <is>
          <t>eig_bonus_g_sinneschaerfe</t>
        </is>
      </c>
      <c r="Q1430"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1431" hidden="1" ht="15.75" customHeight="1" s="48">
      <c r="A1431" t="inlineStr">
        <is>
          <t>spruchmagie_illusion_4_nebel</t>
        </is>
      </c>
      <c r="B1431" t="inlineStr">
        <is>
          <t>Spruchmagie</t>
        </is>
      </c>
      <c r="C1431" t="inlineStr">
        <is>
          <t>Nebel</t>
        </is>
      </c>
      <c r="F1431" t="inlineStr">
        <is>
          <t>Illusion</t>
        </is>
      </c>
      <c r="G1431" t="inlineStr">
        <is>
          <t>Wert</t>
        </is>
      </c>
      <c r="K1431" t="inlineStr">
        <is>
          <t>4</t>
        </is>
      </c>
      <c r="L1431" t="inlineStr">
        <is>
          <t>WENN(wert=0;0;10+(wert-1)*grad)</t>
        </is>
      </c>
      <c r="P1431" t="inlineStr">
        <is>
          <t>eig_bonus_g_sinneschaerfe</t>
        </is>
      </c>
      <c r="Q1431"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1432" hidden="1" ht="15.75" customHeight="1" s="48">
      <c r="A1432" t="inlineStr">
        <is>
          <t>spruchmagie_illusion_5_chamaeleon</t>
        </is>
      </c>
      <c r="B1432" t="inlineStr">
        <is>
          <t>Spruchmagie</t>
        </is>
      </c>
      <c r="C1432" t="inlineStr">
        <is>
          <t>Chamäleon</t>
        </is>
      </c>
      <c r="F1432" t="inlineStr">
        <is>
          <t>Illusion</t>
        </is>
      </c>
      <c r="G1432" t="inlineStr">
        <is>
          <t>Wert</t>
        </is>
      </c>
      <c r="K1432" t="inlineStr">
        <is>
          <t>5</t>
        </is>
      </c>
      <c r="L1432" t="inlineStr">
        <is>
          <t>WENN(wert=0;0;10+(wert-1)*grad)</t>
        </is>
      </c>
      <c r="P1432" t="inlineStr">
        <is>
          <t>eig_bonus_g_sinneschaerfe</t>
        </is>
      </c>
      <c r="Q1432"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1433" hidden="1" ht="15.75" customHeight="1" s="48">
      <c r="A1433" t="inlineStr">
        <is>
          <t>spruchmagie_illusion_6_unauffindbarkeit</t>
        </is>
      </c>
      <c r="B1433" t="inlineStr">
        <is>
          <t>Spruchmagie</t>
        </is>
      </c>
      <c r="C1433" t="inlineStr">
        <is>
          <t>Unauffindbarkeit</t>
        </is>
      </c>
      <c r="F1433" t="inlineStr">
        <is>
          <t>Illusion</t>
        </is>
      </c>
      <c r="G1433" t="inlineStr">
        <is>
          <t>Wert</t>
        </is>
      </c>
      <c r="K1433" t="inlineStr">
        <is>
          <t>6</t>
        </is>
      </c>
      <c r="L1433" t="inlineStr">
        <is>
          <t>WENN(wert=0;0;10+(wert-1)*grad)</t>
        </is>
      </c>
      <c r="P1433" t="inlineStr">
        <is>
          <t>eig_bonus_g_sinneschaerfe</t>
        </is>
      </c>
      <c r="Q143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1434" hidden="1" ht="15.75" customHeight="1" s="48">
      <c r="A1434" t="inlineStr">
        <is>
          <t>spruchmagie_illusion_6_unsichtbarkeit</t>
        </is>
      </c>
      <c r="B1434" t="inlineStr">
        <is>
          <t>Spruchmagie</t>
        </is>
      </c>
      <c r="C1434" t="inlineStr">
        <is>
          <t>Unsichtbarkeit</t>
        </is>
      </c>
      <c r="F1434" t="inlineStr">
        <is>
          <t>Illusion</t>
        </is>
      </c>
      <c r="G1434" t="inlineStr">
        <is>
          <t>Wert</t>
        </is>
      </c>
      <c r="K1434" t="inlineStr">
        <is>
          <t>6</t>
        </is>
      </c>
      <c r="L1434" t="inlineStr">
        <is>
          <t>WENN(wert=0;0;10+(wert-1)*grad)</t>
        </is>
      </c>
      <c r="P1434" t="inlineStr">
        <is>
          <t>eig_bonus_g_sinneschaerfe</t>
        </is>
      </c>
      <c r="Q143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1435" hidden="1" ht="15.75" customHeight="1" s="48">
      <c r="A1435" t="inlineStr">
        <is>
          <t>spruchmagie_illusion_6_magischer_nebel</t>
        </is>
      </c>
      <c r="B1435" t="inlineStr">
        <is>
          <t>Spruchmagie</t>
        </is>
      </c>
      <c r="C1435" t="inlineStr">
        <is>
          <t>Magischer Nebel</t>
        </is>
      </c>
      <c r="F1435" t="inlineStr">
        <is>
          <t>Illusion</t>
        </is>
      </c>
      <c r="G1435" t="inlineStr">
        <is>
          <t>Wert</t>
        </is>
      </c>
      <c r="K1435" t="inlineStr">
        <is>
          <t>6</t>
        </is>
      </c>
      <c r="L1435" t="inlineStr">
        <is>
          <t>WENN(wert=0;0;10+(wert-1)*grad)</t>
        </is>
      </c>
      <c r="P1435" t="inlineStr">
        <is>
          <t>eig_bonus_g_sinneschaerfe</t>
        </is>
      </c>
      <c r="Q1435"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1436" hidden="1" ht="15.75" customHeight="1" s="48">
      <c r="A1436" t="inlineStr">
        <is>
          <t>spruchmagie_illusion_7_bewegte_vollsensorische_illusion</t>
        </is>
      </c>
      <c r="B1436" t="inlineStr">
        <is>
          <t>Spruchmagie</t>
        </is>
      </c>
      <c r="C1436" t="inlineStr">
        <is>
          <t>Bewegte vollsensorische Illusion</t>
        </is>
      </c>
      <c r="F1436" t="inlineStr">
        <is>
          <t>Illusion</t>
        </is>
      </c>
      <c r="G1436" t="inlineStr">
        <is>
          <t>Wert</t>
        </is>
      </c>
      <c r="K1436" t="inlineStr">
        <is>
          <t>7</t>
        </is>
      </c>
      <c r="L1436" t="inlineStr">
        <is>
          <t>WENN(wert=0;0;10+(wert-1)*grad)</t>
        </is>
      </c>
      <c r="P1436" t="inlineStr">
        <is>
          <t>eig_bonus_g_sinneschaerfe</t>
        </is>
      </c>
      <c r="Q1436"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1437" hidden="1" ht="15.75" customHeight="1" s="48">
      <c r="A1437" t="inlineStr">
        <is>
          <t>spruchmagie_magiebeschwoerung_1_magischer_ball</t>
        </is>
      </c>
      <c r="B1437" t="inlineStr">
        <is>
          <t>Spruchmagie</t>
        </is>
      </c>
      <c r="C1437" t="inlineStr">
        <is>
          <t>Magischer Ball</t>
        </is>
      </c>
      <c r="F1437" t="inlineStr">
        <is>
          <t>Magiebeschwörung</t>
        </is>
      </c>
      <c r="G1437" t="inlineStr">
        <is>
          <t>Wert</t>
        </is>
      </c>
      <c r="K1437" t="inlineStr">
        <is>
          <t>1</t>
        </is>
      </c>
      <c r="L1437" t="inlineStr">
        <is>
          <t>WENN(wert=0;0;10+(wert-1)*grad)</t>
        </is>
      </c>
      <c r="P1437" t="inlineStr">
        <is>
          <t>eig_bonus_g_ausstrahlung</t>
        </is>
      </c>
      <c r="Q1437" t="inlineStr">
        <is>
          <t>Der Magus erschafft einen Ball aus Magie. Schaden: 2W4 + {Magie}, zusätzliche Erschwerung der SB-Probe -6, wenn min. 1 SP erzielt wird.</t>
        </is>
      </c>
    </row>
    <row r="1438" hidden="1" ht="15.75" customHeight="1" s="48">
      <c r="A1438" t="inlineStr">
        <is>
          <t>spruchmagie_magiebeschwoerung_2_magisches_geschoss</t>
        </is>
      </c>
      <c r="B1438" t="inlineStr">
        <is>
          <t>Spruchmagie</t>
        </is>
      </c>
      <c r="C1438" t="inlineStr">
        <is>
          <t>Magisches Geschoss</t>
        </is>
      </c>
      <c r="F1438" t="inlineStr">
        <is>
          <t>Magiebeschwörung</t>
        </is>
      </c>
      <c r="G1438" t="inlineStr">
        <is>
          <t>Wert</t>
        </is>
      </c>
      <c r="K1438" t="inlineStr">
        <is>
          <t>2</t>
        </is>
      </c>
      <c r="L1438" t="inlineStr">
        <is>
          <t>WENN(wert=0;0;10+(wert-1)*grad)</t>
        </is>
      </c>
      <c r="P1438" t="inlineStr">
        <is>
          <t>eig_bonus_g_ausstrahlung</t>
        </is>
      </c>
      <c r="Q1438" t="inlineStr">
        <is>
          <t>Der Magus erschafft einen Bolzen aus Magie. Treffer auf FK-TZ. Schaden: 2W6 + {Magie}, RB {Magie}*2, zusätzliche Erschwerung der SB-Probe -6, wenn min. 1 SP erzielt wird.</t>
        </is>
      </c>
    </row>
    <row r="1439" hidden="1" ht="15.75" customHeight="1" s="48">
      <c r="A1439" t="inlineStr">
        <is>
          <t>spruchmagie_magiebeschwoerung_3_magische_entladung</t>
        </is>
      </c>
      <c r="B1439" t="inlineStr">
        <is>
          <t>Spruchmagie</t>
        </is>
      </c>
      <c r="C1439" t="inlineStr">
        <is>
          <t>Magische Entladung</t>
        </is>
      </c>
      <c r="F1439" t="inlineStr">
        <is>
          <t>Magiebeschwörung</t>
        </is>
      </c>
      <c r="G1439" t="inlineStr">
        <is>
          <t>Wert</t>
        </is>
      </c>
      <c r="K1439" t="inlineStr">
        <is>
          <t>3</t>
        </is>
      </c>
      <c r="L1439" t="inlineStr">
        <is>
          <t>WENN(wert=0;0;10+(wert-1)*grad)</t>
        </is>
      </c>
      <c r="P1439" t="inlineStr">
        <is>
          <t>eig_bonus_g_ausstrahlung</t>
        </is>
      </c>
      <c r="Q1439" t="inlineStr">
        <is>
          <t>Der Magus erschafft um das Opfer eine Kugel aus Magie.  Treffer auf FK-TZ mit 2 TZ-Rerolls auf die gewünschte Trefferzone. Schaden: 2W6 + {Magie}, zusätzliche Erschwerung der SB-Probe -6, wenn min. 1 SP erzielt wird.</t>
        </is>
      </c>
    </row>
    <row r="1440" hidden="1" ht="15.75" customHeight="1" s="48">
      <c r="A1440" t="inlineStr">
        <is>
          <t>spruchmagie_magiebeschwoerung_4_magische_geschoss_salve</t>
        </is>
      </c>
      <c r="B1440" t="inlineStr">
        <is>
          <t>Spruchmagie</t>
        </is>
      </c>
      <c r="C1440" t="inlineStr">
        <is>
          <t>Magische Geschoss-Salve</t>
        </is>
      </c>
      <c r="F1440" t="inlineStr">
        <is>
          <t>Magiebeschwörung</t>
        </is>
      </c>
      <c r="G1440" t="inlineStr">
        <is>
          <t>Wert</t>
        </is>
      </c>
      <c r="K1440" t="inlineStr">
        <is>
          <t>4</t>
        </is>
      </c>
      <c r="L1440" t="inlineStr">
        <is>
          <t>WENN(wert=0;0;10+(wert-1)*grad)</t>
        </is>
      </c>
      <c r="P1440" t="inlineStr">
        <is>
          <t>eig_bonus_g_ausstrahlung</t>
        </is>
      </c>
      <c r="Q1440" t="inlineStr">
        <is>
          <t>Der Magus erschafft {Magie} : 2 Bolzen aus Magie. Treffer auf FK-TZ, Schaden: 2W6 + {Magie}; RB {Magie}*2, zusätzliche Erschwerung der SB-Probe -6, wenn min. 1 SP erzielt wird.</t>
        </is>
      </c>
    </row>
    <row r="1441" hidden="1" ht="15.75" customHeight="1" s="48">
      <c r="A1441" t="inlineStr">
        <is>
          <t>spruchmagie_magiebeschwoerung_5_grosse_magische_aura</t>
        </is>
      </c>
      <c r="B1441" t="inlineStr">
        <is>
          <t>Spruchmagie</t>
        </is>
      </c>
      <c r="C1441" t="inlineStr">
        <is>
          <t>Große Magische Aura</t>
        </is>
      </c>
      <c r="F1441" t="inlineStr">
        <is>
          <t>Magiebeschwörung</t>
        </is>
      </c>
      <c r="G1441" t="inlineStr">
        <is>
          <t>Wert</t>
        </is>
      </c>
      <c r="K1441" t="inlineStr">
        <is>
          <t>5</t>
        </is>
      </c>
      <c r="L1441" t="inlineStr">
        <is>
          <t>WENN(wert=0;0;10+(wert-1)*grad)</t>
        </is>
      </c>
      <c r="P1441" t="inlineStr">
        <is>
          <t>eig_bonus_g_ausstrahlung</t>
        </is>
      </c>
      <c r="Q14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is>
      </c>
    </row>
    <row r="1442" hidden="1" ht="15.75" customHeight="1" s="48">
      <c r="A1442" t="inlineStr">
        <is>
          <t>spruchmagie_magiebeschwoerung_5_statisches_feld</t>
        </is>
      </c>
      <c r="B1442" t="inlineStr">
        <is>
          <t>Spruchmagie</t>
        </is>
      </c>
      <c r="C1442" t="inlineStr">
        <is>
          <t>Statisches Feld</t>
        </is>
      </c>
      <c r="F1442" t="inlineStr">
        <is>
          <t>Magiebeschwörung</t>
        </is>
      </c>
      <c r="G1442" t="inlineStr">
        <is>
          <t>Wert</t>
        </is>
      </c>
      <c r="K1442" t="inlineStr">
        <is>
          <t>5</t>
        </is>
      </c>
      <c r="L1442" t="inlineStr">
        <is>
          <t>WENN(wert=0;0;10+(wert-1)*grad)</t>
        </is>
      </c>
      <c r="P1442" t="inlineStr">
        <is>
          <t>eig_bonus_g_ausstrahlung</t>
        </is>
      </c>
      <c r="Q1442" t="inlineStr">
        <is>
          <t>Eine vom Magus ausgehende kugelförmige Explosion verursacht Elementarschaden. Es ist unmöglich, dem Schaden zu entgehen. Jede TZ wird getroffen. Schaden: W8 + {Magie}, zusätzliche Erschwerung der SB-Probe -21, wenn min. 1 SP erzielt wird.</t>
        </is>
      </c>
    </row>
    <row r="1443" hidden="1" ht="15.75" customHeight="1" s="48">
      <c r="A1443" t="inlineStr">
        <is>
          <t>spruchmagie_magiebeschwoerung_6_grosse_magische_ball_salve</t>
        </is>
      </c>
      <c r="B1443" t="inlineStr">
        <is>
          <t>Spruchmagie</t>
        </is>
      </c>
      <c r="C1443" t="inlineStr">
        <is>
          <t>Große Magische Ball-Salve</t>
        </is>
      </c>
      <c r="F1443" t="inlineStr">
        <is>
          <t>Magiebeschwörung</t>
        </is>
      </c>
      <c r="G1443" t="inlineStr">
        <is>
          <t>Wert</t>
        </is>
      </c>
      <c r="K1443" t="inlineStr">
        <is>
          <t>6</t>
        </is>
      </c>
      <c r="L1443" t="inlineStr">
        <is>
          <t>WENN(wert=0;0;10+(wert-1)*grad)</t>
        </is>
      </c>
      <c r="P1443" t="inlineStr">
        <is>
          <t>eig_bonus_g_ausstrahlung</t>
        </is>
      </c>
      <c r="Q1443" t="inlineStr">
        <is>
          <t>Der Magus erschafft {Magie} : 2 Bälle aus Magie. W12 + {Magie} auf jede Trefferzone, zusätzliche Erschwerung der SB-Probe -35, wenn min. 1 SP erzielt wird.</t>
        </is>
      </c>
    </row>
    <row r="1444" hidden="1" ht="15.75" customHeight="1" s="48">
      <c r="A1444" t="inlineStr">
        <is>
          <t>spruchmagie_magiebeschwoerung_7_grosses_statisches_feld</t>
        </is>
      </c>
      <c r="B1444" t="inlineStr">
        <is>
          <t>Spruchmagie</t>
        </is>
      </c>
      <c r="C1444" t="inlineStr">
        <is>
          <t>Großes statisches Feld</t>
        </is>
      </c>
      <c r="F1444" t="inlineStr">
        <is>
          <t>Magiebeschwörung</t>
        </is>
      </c>
      <c r="G1444" t="inlineStr">
        <is>
          <t>Wert</t>
        </is>
      </c>
      <c r="K1444" t="inlineStr">
        <is>
          <t>7</t>
        </is>
      </c>
      <c r="L1444" t="inlineStr">
        <is>
          <t>WENN(wert=0;0;10+(wert-1)*grad)</t>
        </is>
      </c>
      <c r="P1444" t="inlineStr">
        <is>
          <t>eig_bonus_g_ausstrahlung</t>
        </is>
      </c>
      <c r="Q1444" t="inlineStr">
        <is>
          <t>Eine vom Magus ausgehende kugelförmige Explosion verursacht Elementarschaden. Es ist unmöglich, dem Schaden zu entgehen. Schaden: 2W15 + {Magie} auf jede TZ, zusätzliche Erschwerung der SB-Probe -105, wenn min. 1 SP erzielt wird.</t>
        </is>
      </c>
    </row>
    <row r="1445" hidden="1" ht="15.75" customHeight="1" s="48">
      <c r="A1445" t="inlineStr">
        <is>
          <t>spruchmagie_antimagie_1_artefakt_analysieren</t>
        </is>
      </c>
      <c r="B1445" t="inlineStr">
        <is>
          <t>Spruchmagie</t>
        </is>
      </c>
      <c r="C1445" t="inlineStr">
        <is>
          <t>Artefakt analysieren</t>
        </is>
      </c>
      <c r="F1445" t="inlineStr">
        <is>
          <t>Antimagie</t>
        </is>
      </c>
      <c r="G1445" t="inlineStr">
        <is>
          <t>Wert</t>
        </is>
      </c>
      <c r="K1445" t="inlineStr">
        <is>
          <t>1</t>
        </is>
      </c>
      <c r="L1445" t="inlineStr">
        <is>
          <t>WENN(wert=0;0;10+(wert-1)*grad)</t>
        </is>
      </c>
      <c r="P1445" t="inlineStr">
        <is>
          <t>eig_bonus_g_willenskraft</t>
        </is>
      </c>
      <c r="Q1445"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446" hidden="1" ht="15.75" customHeight="1" s="48">
      <c r="A1446" t="inlineStr">
        <is>
          <t>spruchmagie_antimagie_2_artefakt_stoeren</t>
        </is>
      </c>
      <c r="B1446" t="inlineStr">
        <is>
          <t>Spruchmagie</t>
        </is>
      </c>
      <c r="C1446" t="inlineStr">
        <is>
          <t>Artefakt stören</t>
        </is>
      </c>
      <c r="F1446" t="inlineStr">
        <is>
          <t>Antimagie</t>
        </is>
      </c>
      <c r="G1446" t="inlineStr">
        <is>
          <t>Wert</t>
        </is>
      </c>
      <c r="K1446" t="inlineStr">
        <is>
          <t>2</t>
        </is>
      </c>
      <c r="L1446" t="inlineStr">
        <is>
          <t>WENN(wert=0;0;10+(wert-1)*grad)</t>
        </is>
      </c>
      <c r="P1446" t="inlineStr">
        <is>
          <t>eig_bonus_g_willenskraft</t>
        </is>
      </c>
      <c r="Q144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1447" hidden="1" ht="15.75" customHeight="1" s="48">
      <c r="A1447" t="inlineStr">
        <is>
          <t>spruchmagie_antimagie_3_schule_erschweren_antimagie</t>
        </is>
      </c>
      <c r="B1447" t="inlineStr">
        <is>
          <t>Spruchmagie</t>
        </is>
      </c>
      <c r="C1447" t="inlineStr">
        <is>
          <t>Schule erschweren: Antimagie</t>
        </is>
      </c>
      <c r="F1447" t="inlineStr">
        <is>
          <t>Antimagie</t>
        </is>
      </c>
      <c r="G1447" t="inlineStr">
        <is>
          <t>Wert</t>
        </is>
      </c>
      <c r="K1447" t="inlineStr">
        <is>
          <t>3</t>
        </is>
      </c>
      <c r="L1447" t="inlineStr">
        <is>
          <t>WENN(wert=0;0;10+(wert-1)*grad)</t>
        </is>
      </c>
      <c r="P1447" t="inlineStr">
        <is>
          <t>eig_bonus_g_willenskraft</t>
        </is>
      </c>
      <c r="Q144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8" hidden="1" ht="15.75" customHeight="1" s="48">
      <c r="A1448" t="inlineStr">
        <is>
          <t>spruchmagie_antimagie_3_schule_erschweren_beherrschung</t>
        </is>
      </c>
      <c r="B1448" t="inlineStr">
        <is>
          <t>Spruchmagie</t>
        </is>
      </c>
      <c r="C1448" t="inlineStr">
        <is>
          <t>Schule erschweren: Beherrschung</t>
        </is>
      </c>
      <c r="F1448" t="inlineStr">
        <is>
          <t>Antimagie</t>
        </is>
      </c>
      <c r="G1448" t="inlineStr">
        <is>
          <t>Wert</t>
        </is>
      </c>
      <c r="K1448" t="inlineStr">
        <is>
          <t>3</t>
        </is>
      </c>
      <c r="L1448" t="inlineStr">
        <is>
          <t>WENN(wert=0;0;10+(wert-1)*grad)</t>
        </is>
      </c>
      <c r="P1448" t="inlineStr">
        <is>
          <t>eig_bonus_g_willenskraft</t>
        </is>
      </c>
      <c r="Q144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9" hidden="1" ht="15.75" customHeight="1" s="48">
      <c r="A1449" t="inlineStr">
        <is>
          <t>spruchmagie_antimagie_3_schule_erschweren_erdbeschwoerung</t>
        </is>
      </c>
      <c r="B1449" t="inlineStr">
        <is>
          <t>Spruchmagie</t>
        </is>
      </c>
      <c r="C1449" t="inlineStr">
        <is>
          <t>Schule erschweren: Erdbeschwörung</t>
        </is>
      </c>
      <c r="F1449" t="inlineStr">
        <is>
          <t>Antimagie</t>
        </is>
      </c>
      <c r="G1449" t="inlineStr">
        <is>
          <t>Wert</t>
        </is>
      </c>
      <c r="K1449" t="inlineStr">
        <is>
          <t>3</t>
        </is>
      </c>
      <c r="L1449" t="inlineStr">
        <is>
          <t>WENN(wert=0;0;10+(wert-1)*grad)</t>
        </is>
      </c>
      <c r="P1449" t="inlineStr">
        <is>
          <t>eig_bonus_g_willenskraft</t>
        </is>
      </c>
      <c r="Q144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0" hidden="1" ht="15.75" customHeight="1" s="48">
      <c r="A1450" t="inlineStr">
        <is>
          <t>spruchmagie_antimagie_3_schule_erschweren_feuerbeschwoerung</t>
        </is>
      </c>
      <c r="B1450" t="inlineStr">
        <is>
          <t>Spruchmagie</t>
        </is>
      </c>
      <c r="C1450" t="inlineStr">
        <is>
          <t>Schule erschweren: Feuerbeschwörung</t>
        </is>
      </c>
      <c r="F1450" t="inlineStr">
        <is>
          <t>Antimagie</t>
        </is>
      </c>
      <c r="G1450" t="inlineStr">
        <is>
          <t>Wert</t>
        </is>
      </c>
      <c r="K1450" t="inlineStr">
        <is>
          <t>3</t>
        </is>
      </c>
      <c r="L1450" t="inlineStr">
        <is>
          <t>WENN(wert=0;0;10+(wert-1)*grad)</t>
        </is>
      </c>
      <c r="P1450" t="inlineStr">
        <is>
          <t>eig_bonus_g_willenskraft</t>
        </is>
      </c>
      <c r="Q145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1" hidden="1" ht="15.75" customHeight="1" s="48">
      <c r="A1451" t="inlineStr">
        <is>
          <t>spruchmagie_antimagie_3_schule_erschweren_heilung</t>
        </is>
      </c>
      <c r="B1451" t="inlineStr">
        <is>
          <t>Spruchmagie</t>
        </is>
      </c>
      <c r="C1451" t="inlineStr">
        <is>
          <t>Schule erschweren: Heilung</t>
        </is>
      </c>
      <c r="F1451" t="inlineStr">
        <is>
          <t>Antimagie</t>
        </is>
      </c>
      <c r="G1451" t="inlineStr">
        <is>
          <t>Wert</t>
        </is>
      </c>
      <c r="K1451" t="inlineStr">
        <is>
          <t>3</t>
        </is>
      </c>
      <c r="L1451" t="inlineStr">
        <is>
          <t>WENN(wert=0;0;10+(wert-1)*grad)</t>
        </is>
      </c>
      <c r="P1451" t="inlineStr">
        <is>
          <t>eig_bonus_g_willenskraft</t>
        </is>
      </c>
      <c r="Q145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2" hidden="1" ht="15.75" customHeight="1" s="48">
      <c r="A1452" t="inlineStr">
        <is>
          <t>spruchmagie_antimagie_3_schule_erschweren_hellsicht</t>
        </is>
      </c>
      <c r="B1452" t="inlineStr">
        <is>
          <t>Spruchmagie</t>
        </is>
      </c>
      <c r="C1452" t="inlineStr">
        <is>
          <t>Schule erschweren: Hellsicht</t>
        </is>
      </c>
      <c r="F1452" t="inlineStr">
        <is>
          <t>Antimagie</t>
        </is>
      </c>
      <c r="G1452" t="inlineStr">
        <is>
          <t>Wert</t>
        </is>
      </c>
      <c r="K1452" t="inlineStr">
        <is>
          <t>3</t>
        </is>
      </c>
      <c r="L1452" t="inlineStr">
        <is>
          <t>WENN(wert=0;0;10+(wert-1)*grad)</t>
        </is>
      </c>
      <c r="P1452" t="inlineStr">
        <is>
          <t>eig_bonus_g_willenskraft</t>
        </is>
      </c>
      <c r="Q145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3" hidden="1" ht="15.75" customHeight="1" s="48">
      <c r="A1453" t="inlineStr">
        <is>
          <t>spruchmagie_antimagie_3_schule_erschweren_illusion</t>
        </is>
      </c>
      <c r="B1453" t="inlineStr">
        <is>
          <t>Spruchmagie</t>
        </is>
      </c>
      <c r="C1453" t="inlineStr">
        <is>
          <t>Schule erschweren: Illusion</t>
        </is>
      </c>
      <c r="F1453" t="inlineStr">
        <is>
          <t>Antimagie</t>
        </is>
      </c>
      <c r="G1453" t="inlineStr">
        <is>
          <t>Wert</t>
        </is>
      </c>
      <c r="K1453" t="inlineStr">
        <is>
          <t>3</t>
        </is>
      </c>
      <c r="L1453" t="inlineStr">
        <is>
          <t>WENN(wert=0;0;10+(wert-1)*grad)</t>
        </is>
      </c>
      <c r="P1453" t="inlineStr">
        <is>
          <t>eig_bonus_g_willenskraft</t>
        </is>
      </c>
      <c r="Q145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4" hidden="1" ht="15.75" customHeight="1" s="48">
      <c r="A1454" t="inlineStr">
        <is>
          <t>spruchmagie_antimagie_3_schule_erschweren_luftbeschwoerung</t>
        </is>
      </c>
      <c r="B1454" t="inlineStr">
        <is>
          <t>Spruchmagie</t>
        </is>
      </c>
      <c r="C1454" t="inlineStr">
        <is>
          <t>Schule erschweren: Luftbeschwörung</t>
        </is>
      </c>
      <c r="F1454" t="inlineStr">
        <is>
          <t>Antimagie</t>
        </is>
      </c>
      <c r="G1454" t="inlineStr">
        <is>
          <t>Wert</t>
        </is>
      </c>
      <c r="K1454" t="inlineStr">
        <is>
          <t>3</t>
        </is>
      </c>
      <c r="L1454" t="inlineStr">
        <is>
          <t>WENN(wert=0;0;10+(wert-1)*grad)</t>
        </is>
      </c>
      <c r="P1454" t="inlineStr">
        <is>
          <t>eig_bonus_g_willenskraft</t>
        </is>
      </c>
      <c r="Q145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5" hidden="1" ht="15.75" customHeight="1" s="48">
      <c r="A1455" t="inlineStr">
        <is>
          <t>spruchmagie_antimagie_3_schule_erschweren_magiebeschwoerung</t>
        </is>
      </c>
      <c r="B1455" t="inlineStr">
        <is>
          <t>Spruchmagie</t>
        </is>
      </c>
      <c r="C1455" t="inlineStr">
        <is>
          <t>Schule erschweren: Magiebeschwörung</t>
        </is>
      </c>
      <c r="F1455" t="inlineStr">
        <is>
          <t>Antimagie</t>
        </is>
      </c>
      <c r="G1455" t="inlineStr">
        <is>
          <t>Wert</t>
        </is>
      </c>
      <c r="K1455" t="inlineStr">
        <is>
          <t>3</t>
        </is>
      </c>
      <c r="L1455" t="inlineStr">
        <is>
          <t>WENN(wert=0;0;10+(wert-1)*grad)</t>
        </is>
      </c>
      <c r="P1455" t="inlineStr">
        <is>
          <t>eig_bonus_g_willenskraft</t>
        </is>
      </c>
      <c r="Q145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6" hidden="1" ht="15.75" customHeight="1" s="48">
      <c r="A1456" t="inlineStr">
        <is>
          <t>spruchmagie_antimagie_3_schule_erschweren_veraenderung</t>
        </is>
      </c>
      <c r="B1456" t="inlineStr">
        <is>
          <t>Spruchmagie</t>
        </is>
      </c>
      <c r="C1456" t="inlineStr">
        <is>
          <t>Schule erschweren: Veränderung</t>
        </is>
      </c>
      <c r="F1456" t="inlineStr">
        <is>
          <t>Antimagie</t>
        </is>
      </c>
      <c r="G1456" t="inlineStr">
        <is>
          <t>Wert</t>
        </is>
      </c>
      <c r="K1456" t="inlineStr">
        <is>
          <t>3</t>
        </is>
      </c>
      <c r="L1456" t="inlineStr">
        <is>
          <t>WENN(wert=0;0;10+(wert-1)*grad)</t>
        </is>
      </c>
      <c r="P1456" t="inlineStr">
        <is>
          <t>eig_bonus_g_willenskraft</t>
        </is>
      </c>
      <c r="Q145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7" hidden="1" ht="15.75" customHeight="1" s="48">
      <c r="A1457" t="inlineStr">
        <is>
          <t>spruchmagie_antimagie_3_schule_erschweren_verzauberung</t>
        </is>
      </c>
      <c r="B1457" t="inlineStr">
        <is>
          <t>Spruchmagie</t>
        </is>
      </c>
      <c r="C1457" t="inlineStr">
        <is>
          <t>Schule erschweren: Verzauberung</t>
        </is>
      </c>
      <c r="F1457" t="inlineStr">
        <is>
          <t>Antimagie</t>
        </is>
      </c>
      <c r="G1457" t="inlineStr">
        <is>
          <t>Wert</t>
        </is>
      </c>
      <c r="K1457" t="inlineStr">
        <is>
          <t>3</t>
        </is>
      </c>
      <c r="L1457" t="inlineStr">
        <is>
          <t>WENN(wert=0;0;10+(wert-1)*grad)</t>
        </is>
      </c>
      <c r="P1457" t="inlineStr">
        <is>
          <t>eig_bonus_g_willenskraft</t>
        </is>
      </c>
      <c r="Q145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8" hidden="1" ht="15.75" customHeight="1" s="48">
      <c r="A1458" t="inlineStr">
        <is>
          <t>spruchmagie_antimagie_3_schule_erschweren_wasserbeschwoerung</t>
        </is>
      </c>
      <c r="B1458" t="inlineStr">
        <is>
          <t>Spruchmagie</t>
        </is>
      </c>
      <c r="C1458" t="inlineStr">
        <is>
          <t>Schule erschweren: Wasserbeschwörung</t>
        </is>
      </c>
      <c r="F1458" t="inlineStr">
        <is>
          <t>Antimagie</t>
        </is>
      </c>
      <c r="G1458" t="inlineStr">
        <is>
          <t>Wert</t>
        </is>
      </c>
      <c r="K1458" t="inlineStr">
        <is>
          <t>3</t>
        </is>
      </c>
      <c r="L1458" t="inlineStr">
        <is>
          <t>WENN(wert=0;0;10+(wert-1)*grad)</t>
        </is>
      </c>
      <c r="P1458" t="inlineStr">
        <is>
          <t>eig_bonus_g_willenskraft</t>
        </is>
      </c>
      <c r="Q145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9" hidden="1" ht="15.75" customHeight="1" s="48">
      <c r="A1459" t="inlineStr">
        <is>
          <t>spruchmagie_antimagie_5_schule_hemmen_antimagie</t>
        </is>
      </c>
      <c r="B1459" t="inlineStr">
        <is>
          <t>Spruchmagie</t>
        </is>
      </c>
      <c r="C1459" t="inlineStr">
        <is>
          <t>Schule hemmen: Antimagie</t>
        </is>
      </c>
      <c r="F1459" t="inlineStr">
        <is>
          <t>Antimagie</t>
        </is>
      </c>
      <c r="G1459" t="inlineStr">
        <is>
          <t>Wert</t>
        </is>
      </c>
      <c r="K1459" t="inlineStr">
        <is>
          <t>5</t>
        </is>
      </c>
      <c r="L1459" t="inlineStr">
        <is>
          <t>WENN(wert=0;0;10+(wert-1)*grad)</t>
        </is>
      </c>
      <c r="P1459" t="inlineStr">
        <is>
          <t>eig_bonus_g_sinneschaerfe</t>
        </is>
      </c>
      <c r="Q1459" t="inlineStr">
        <is>
          <t>Der Magus erschafft eine kreisförmige Zone mit {M} * m Radius, in der alle Wirkungen von [Schule]-Spruchzaubern oder natürlichen Effekten um 25% reduziert werden. Beherrscht der Magier die [Schule] selbst, wird die Wirkung um 50% reduziert.</t>
        </is>
      </c>
    </row>
    <row r="1460" hidden="1" ht="15.75" customHeight="1" s="48">
      <c r="A1460" t="inlineStr">
        <is>
          <t>spruchmagie_antimagie_5_korpi_ignorieren</t>
        </is>
      </c>
      <c r="B1460" t="inlineStr">
        <is>
          <t>Spruchmagie</t>
        </is>
      </c>
      <c r="C1460" t="inlineStr">
        <is>
          <t>Korpi ignorieren</t>
        </is>
      </c>
      <c r="F1460" t="inlineStr">
        <is>
          <t>Antimagie</t>
        </is>
      </c>
      <c r="G1460" t="inlineStr">
        <is>
          <t>Wert</t>
        </is>
      </c>
      <c r="K1460" t="inlineStr">
        <is>
          <t>5</t>
        </is>
      </c>
      <c r="L1460" t="inlineStr">
        <is>
          <t>WENN(wert=0;0;10+(wert-1)*grad)</t>
        </is>
      </c>
      <c r="P1460" t="inlineStr">
        <is>
          <t>eig_bonus_g_willenskraft</t>
        </is>
      </c>
      <c r="Q1460" t="inlineStr">
        <is>
          <t>Der Magus ermöglicht es einem Gegenstand, magische Korpi zu ignorieren. So ist es dem Gegenstand möglich, durch jede Art von Barriere zu dringen, als wäre sie nicht existent. Diese Gegenstände können von Magiekorpi nicht wahrgenommen werden.</t>
        </is>
      </c>
    </row>
    <row r="1461" hidden="1" ht="15.75" customHeight="1" s="48">
      <c r="A1461" t="inlineStr">
        <is>
          <t>spruchmagie_antimagie_5_aura_verhuellen</t>
        </is>
      </c>
      <c r="B1461" t="inlineStr">
        <is>
          <t>Spruchmagie</t>
        </is>
      </c>
      <c r="C1461" t="inlineStr">
        <is>
          <t>Aura verhüllen</t>
        </is>
      </c>
      <c r="F1461" t="inlineStr">
        <is>
          <t>Antimagie</t>
        </is>
      </c>
      <c r="G1461" t="inlineStr">
        <is>
          <t>Wert</t>
        </is>
      </c>
      <c r="K1461" t="inlineStr">
        <is>
          <t>5</t>
        </is>
      </c>
      <c r="L1461" t="inlineStr">
        <is>
          <t>WENN(wert=0;0;10+(wert-1)*grad)</t>
        </is>
      </c>
      <c r="P1461" t="inlineStr">
        <is>
          <t>eig_bonus_g_willenskraft</t>
        </is>
      </c>
      <c r="Q1461"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1462" hidden="1" ht="15.75" customHeight="1" s="48">
      <c r="A1462" t="inlineStr">
        <is>
          <t>spruchmagie_antimagie_5_schule_hemmen_beherrschung</t>
        </is>
      </c>
      <c r="B1462" t="inlineStr">
        <is>
          <t>Spruchmagie</t>
        </is>
      </c>
      <c r="C1462" t="inlineStr">
        <is>
          <t>Schule hemmen: Beherrschung</t>
        </is>
      </c>
      <c r="F1462" t="inlineStr">
        <is>
          <t>Antimagie</t>
        </is>
      </c>
      <c r="G1462" t="inlineStr">
        <is>
          <t>Wert</t>
        </is>
      </c>
      <c r="K1462" t="inlineStr">
        <is>
          <t>5</t>
        </is>
      </c>
      <c r="L1462" t="inlineStr">
        <is>
          <t>WENN(wert=0;0;10+(wert-1)*grad)</t>
        </is>
      </c>
      <c r="P1462" t="inlineStr">
        <is>
          <t>eig_bonus_g_sinneschaerfe</t>
        </is>
      </c>
      <c r="Q1462" t="inlineStr">
        <is>
          <t>Der Magus erschafft eine kreisförmige Zone mit {M} * m Radius, in der alle Wirkungen von [Schule]-Spruchzaubern oder natürlichen Effekten um 25% reduziert werden. Beherrscht der Magier die [Schule] selbst, wird die Wirkung um 50% reduziert.</t>
        </is>
      </c>
    </row>
    <row r="1463" hidden="1" ht="15.75" customHeight="1" s="48">
      <c r="A1463" t="inlineStr">
        <is>
          <t>spruchmagie_antimagie_5_schule_hemmen_heilung</t>
        </is>
      </c>
      <c r="B1463" t="inlineStr">
        <is>
          <t>Spruchmagie</t>
        </is>
      </c>
      <c r="C1463" t="inlineStr">
        <is>
          <t>Schule hemmen: Heilung</t>
        </is>
      </c>
      <c r="F1463" t="inlineStr">
        <is>
          <t>Antimagie</t>
        </is>
      </c>
      <c r="G1463" t="inlineStr">
        <is>
          <t>Wert</t>
        </is>
      </c>
      <c r="K1463" t="inlineStr">
        <is>
          <t>5</t>
        </is>
      </c>
      <c r="L1463" t="inlineStr">
        <is>
          <t>WENN(wert=0;0;10+(wert-1)*grad)</t>
        </is>
      </c>
      <c r="P1463" t="inlineStr">
        <is>
          <t>eig_bonus_g_sinneschaerfe</t>
        </is>
      </c>
      <c r="Q1463" t="inlineStr">
        <is>
          <t>Der Magus erschafft eine kreisförmige Zone mit {M} * m Radius, in der alle Wirkungen von [Schule]-Spruchzaubern oder natürlichen Effekten um 25% reduziert werden. Beherrscht der Magier die [Schule] selbst, wird die Wirkung um 50% reduziert.</t>
        </is>
      </c>
    </row>
    <row r="1464" hidden="1" ht="15.75" customHeight="1" s="48">
      <c r="A1464" t="inlineStr">
        <is>
          <t>spruchmagie_antimagie_5_schule_hemmen_hellsicht</t>
        </is>
      </c>
      <c r="B1464" t="inlineStr">
        <is>
          <t>Spruchmagie</t>
        </is>
      </c>
      <c r="C1464" t="inlineStr">
        <is>
          <t>Schule hemmen: Hellsicht</t>
        </is>
      </c>
      <c r="F1464" t="inlineStr">
        <is>
          <t>Antimagie</t>
        </is>
      </c>
      <c r="G1464" t="inlineStr">
        <is>
          <t>Wert</t>
        </is>
      </c>
      <c r="K1464" t="inlineStr">
        <is>
          <t>5</t>
        </is>
      </c>
      <c r="L1464" t="inlineStr">
        <is>
          <t>WENN(wert=0;0;10+(wert-1)*grad)</t>
        </is>
      </c>
      <c r="P1464" t="inlineStr">
        <is>
          <t>eig_bonus_g_sinneschaerfe</t>
        </is>
      </c>
      <c r="Q1464" t="inlineStr">
        <is>
          <t>Der Magus erschafft eine kreisförmige Zone mit {M} * m Radius, in der alle Wirkungen von [Schule]-Spruchzaubern oder natürlichen Effekten um 25% reduziert werden. Beherrscht der Magier die [Schule] selbst, wird die Wirkung um 50% reduziert.</t>
        </is>
      </c>
    </row>
    <row r="1465" hidden="1" ht="15.75" customHeight="1" s="48">
      <c r="A1465" t="inlineStr">
        <is>
          <t>spruchmagie_antimagie_5_schule_hemmen_erdbeschwoerung</t>
        </is>
      </c>
      <c r="B1465" t="inlineStr">
        <is>
          <t>Spruchmagie</t>
        </is>
      </c>
      <c r="C1465" t="inlineStr">
        <is>
          <t>Schule hemmen: Erdbeschwörung</t>
        </is>
      </c>
      <c r="F1465" t="inlineStr">
        <is>
          <t>Antimagie</t>
        </is>
      </c>
      <c r="G1465" t="inlineStr">
        <is>
          <t>Wert</t>
        </is>
      </c>
      <c r="K1465" t="inlineStr">
        <is>
          <t>5</t>
        </is>
      </c>
      <c r="L1465" t="inlineStr">
        <is>
          <t>WENN(wert=0;0;10+(wert-1)*grad)</t>
        </is>
      </c>
      <c r="P1465" t="inlineStr">
        <is>
          <t>eig_bonus_g_sinneschaerfe</t>
        </is>
      </c>
      <c r="Q1465" t="inlineStr">
        <is>
          <t>Der Magus erschafft eine kreisförmige Zone mit {M} * m Radius, in der alle Wirkungen von [Schule]-Spruchzaubern oder natürlichen Effekten um 25% reduziert werden. Beherrscht der Magier die [Schule] selbst, wird die Wirkung um 50% reduziert.</t>
        </is>
      </c>
    </row>
    <row r="1466" hidden="1" ht="15.75" customHeight="1" s="48">
      <c r="A1466" t="inlineStr">
        <is>
          <t>spruchmagie_antimagie_5_schule_hemmen_luftbeschwoerung</t>
        </is>
      </c>
      <c r="B1466" t="inlineStr">
        <is>
          <t>Spruchmagie</t>
        </is>
      </c>
      <c r="C1466" t="inlineStr">
        <is>
          <t>Schule hemmen: Luftbeschwörung</t>
        </is>
      </c>
      <c r="F1466" t="inlineStr">
        <is>
          <t>Antimagie</t>
        </is>
      </c>
      <c r="G1466" t="inlineStr">
        <is>
          <t>Wert</t>
        </is>
      </c>
      <c r="K1466" t="inlineStr">
        <is>
          <t>5</t>
        </is>
      </c>
      <c r="L1466" t="inlineStr">
        <is>
          <t>WENN(wert=0;0;10+(wert-1)*grad)</t>
        </is>
      </c>
      <c r="P1466" t="inlineStr">
        <is>
          <t>eig_bonus_g_sinneschaerfe</t>
        </is>
      </c>
      <c r="Q1466" t="inlineStr">
        <is>
          <t>Der Magus erschafft eine kreisförmige Zone mit {M} * m Radius, in der alle Wirkungen von [Schule]-Spruchzaubern oder natürlichen Effekten um 25% reduziert werden. Beherrscht der Magier die [Schule] selbst, wird die Wirkung um 50% reduziert.</t>
        </is>
      </c>
    </row>
    <row r="1467" hidden="1" ht="15.75" customHeight="1" s="48">
      <c r="A1467" t="inlineStr">
        <is>
          <t>spruchmagie_antimagie_5_schule_hemmen_magiebeschwoerung</t>
        </is>
      </c>
      <c r="B1467" t="inlineStr">
        <is>
          <t>Spruchmagie</t>
        </is>
      </c>
      <c r="C1467" t="inlineStr">
        <is>
          <t>Schule hemmen: Magiebeschwörung</t>
        </is>
      </c>
      <c r="F1467" t="inlineStr">
        <is>
          <t>Antimagie</t>
        </is>
      </c>
      <c r="G1467" t="inlineStr">
        <is>
          <t>Wert</t>
        </is>
      </c>
      <c r="K1467" t="inlineStr">
        <is>
          <t>5</t>
        </is>
      </c>
      <c r="L1467" t="inlineStr">
        <is>
          <t>WENN(wert=0;0;10+(wert-1)*grad)</t>
        </is>
      </c>
      <c r="P1467" t="inlineStr">
        <is>
          <t>eig_bonus_g_sinneschaerfe</t>
        </is>
      </c>
      <c r="Q1467" t="inlineStr">
        <is>
          <t>Der Magus erschafft eine kreisförmige Zone mit {M} * m Radius, in der alle Wirkungen von [Schule]-Spruchzaubern oder natürlichen Effekten um 25% reduziert werden. Beherrscht der Magier die [Schule] selbst, wird die Wirkung um 50% reduziert.</t>
        </is>
      </c>
    </row>
    <row r="1468" hidden="1" ht="15.75" customHeight="1" s="48">
      <c r="A1468" t="inlineStr">
        <is>
          <t>spruchmagie_antimagie_5_schule_hemmen_wasserbeschwoerung</t>
        </is>
      </c>
      <c r="B1468" t="inlineStr">
        <is>
          <t>Spruchmagie</t>
        </is>
      </c>
      <c r="C1468" t="inlineStr">
        <is>
          <t>Schule hemmen: Wasserbeschwörung</t>
        </is>
      </c>
      <c r="F1468" t="inlineStr">
        <is>
          <t>Antimagie</t>
        </is>
      </c>
      <c r="G1468" t="inlineStr">
        <is>
          <t>Wert</t>
        </is>
      </c>
      <c r="K1468" t="inlineStr">
        <is>
          <t>5</t>
        </is>
      </c>
      <c r="L1468" t="inlineStr">
        <is>
          <t>WENN(wert=0;0;10+(wert-1)*grad)</t>
        </is>
      </c>
      <c r="P1468" t="inlineStr">
        <is>
          <t>eig_bonus_g_sinneschaerfe</t>
        </is>
      </c>
      <c r="Q1468" t="inlineStr">
        <is>
          <t>Der Magus erschafft eine kreisförmige Zone mit {M} * m Radius, in der alle Wirkungen von [Schule]-Spruchzaubern oder natürlichen Effekten um 25% reduziert werden. Beherrscht der Magier die [Schule] selbst, wird die Wirkung um 50% reduziert.</t>
        </is>
      </c>
    </row>
    <row r="1469" hidden="1" ht="15.75" customHeight="1" s="48">
      <c r="A1469" t="inlineStr">
        <is>
          <t>spruchmagie_antimagie_5_schule_hemmen_feuerbeschwoerung</t>
        </is>
      </c>
      <c r="B1469" t="inlineStr">
        <is>
          <t>Spruchmagie</t>
        </is>
      </c>
      <c r="C1469" t="inlineStr">
        <is>
          <t>Schule hemmen: Feuerbeschwörung</t>
        </is>
      </c>
      <c r="F1469" t="inlineStr">
        <is>
          <t>Antimagie</t>
        </is>
      </c>
      <c r="G1469" t="inlineStr">
        <is>
          <t>Wert</t>
        </is>
      </c>
      <c r="K1469" t="inlineStr">
        <is>
          <t>5</t>
        </is>
      </c>
      <c r="L1469" t="inlineStr">
        <is>
          <t>WENN(wert=0;0;10+(wert-1)*grad)</t>
        </is>
      </c>
      <c r="P1469" t="inlineStr">
        <is>
          <t>eig_bonus_g_sinneschaerfe</t>
        </is>
      </c>
      <c r="Q1469" t="inlineStr">
        <is>
          <t>Der Magus erschafft eine kreisförmige Zone mit {M} * m Radius, in der alle Wirkungen von [Schule]-Spruchzaubern oder natürlichen Effekten um 25% reduziert werden. Beherrscht der Magier die [Schule] selbst, wird die Wirkung um 50% reduziert.</t>
        </is>
      </c>
    </row>
    <row r="1470" hidden="1" ht="15.75" customHeight="1" s="48">
      <c r="A1470" t="inlineStr">
        <is>
          <t>spruchmagie_antimagie_5_schule_hemmen_verzauberung</t>
        </is>
      </c>
      <c r="B1470" t="inlineStr">
        <is>
          <t>Spruchmagie</t>
        </is>
      </c>
      <c r="C1470" t="inlineStr">
        <is>
          <t>Schule hemmen: Verzauberung</t>
        </is>
      </c>
      <c r="F1470" t="inlineStr">
        <is>
          <t>Antimagie</t>
        </is>
      </c>
      <c r="G1470" t="inlineStr">
        <is>
          <t>Wert</t>
        </is>
      </c>
      <c r="K1470" t="inlineStr">
        <is>
          <t>5</t>
        </is>
      </c>
      <c r="L1470" t="inlineStr">
        <is>
          <t>WENN(wert=0;0;10+(wert-1)*grad)</t>
        </is>
      </c>
      <c r="P1470" t="inlineStr">
        <is>
          <t>eig_bonus_g_sinneschaerfe</t>
        </is>
      </c>
      <c r="Q1470" t="inlineStr">
        <is>
          <t>Der Magus erschafft eine kreisförmige Zone mit {M} * m Radius, in der alle Wirkungen von [Schule]-Spruchzaubern oder natürlichen Effekten um 25% reduziert werden. Beherrscht der Magier die [Schule] selbst, wird die Wirkung um 50% reduziert.</t>
        </is>
      </c>
    </row>
    <row r="1471" hidden="1" ht="15.75" customHeight="1" s="48">
      <c r="A1471" t="inlineStr">
        <is>
          <t>spruchmagie_antimagie_5_schule_hemmen_veraenderung</t>
        </is>
      </c>
      <c r="B1471" t="inlineStr">
        <is>
          <t>Spruchmagie</t>
        </is>
      </c>
      <c r="C1471" t="inlineStr">
        <is>
          <t>Schule hemmen: Veränderung</t>
        </is>
      </c>
      <c r="F1471" t="inlineStr">
        <is>
          <t>Antimagie</t>
        </is>
      </c>
      <c r="G1471" t="inlineStr">
        <is>
          <t>Wert</t>
        </is>
      </c>
      <c r="K1471" t="inlineStr">
        <is>
          <t>5</t>
        </is>
      </c>
      <c r="L1471" t="inlineStr">
        <is>
          <t>WENN(wert=0;0;10+(wert-1)*grad)</t>
        </is>
      </c>
      <c r="P1471" t="inlineStr">
        <is>
          <t>eig_bonus_g_sinneschaerfe</t>
        </is>
      </c>
      <c r="Q1471" t="inlineStr">
        <is>
          <t>Der Magus erschafft eine kreisförmige Zone mit {M} * m Radius, in der alle Wirkungen von [Schule]-Spruchzaubern oder natürlichen Effekten um 25% reduziert werden. Beherrscht der Magier die [Schule] selbst, wird die Wirkung um 50% reduziert.</t>
        </is>
      </c>
    </row>
    <row r="1472" hidden="1" ht="15.75" customHeight="1" s="48">
      <c r="A1472" t="inlineStr">
        <is>
          <t>spruchmagie_antimagie_5_schule_hemmen_illusion</t>
        </is>
      </c>
      <c r="B1472" t="inlineStr">
        <is>
          <t>Spruchmagie</t>
        </is>
      </c>
      <c r="C1472" t="inlineStr">
        <is>
          <t>Schule hemmen: Illusion</t>
        </is>
      </c>
      <c r="F1472" t="inlineStr">
        <is>
          <t>Antimagie</t>
        </is>
      </c>
      <c r="G1472" t="inlineStr">
        <is>
          <t>Wert</t>
        </is>
      </c>
      <c r="K1472" t="inlineStr">
        <is>
          <t>5</t>
        </is>
      </c>
      <c r="L1472" t="inlineStr">
        <is>
          <t>WENN(wert=0;0;10+(wert-1)*grad)</t>
        </is>
      </c>
      <c r="P1472" t="inlineStr">
        <is>
          <t>eig_bonus_g_sinneschaerfe</t>
        </is>
      </c>
      <c r="Q1472" t="inlineStr">
        <is>
          <t>Der Magus erschafft eine kreisförmige Zone mit {M} * m Radius, in der alle Wirkungen von [Schule]-Spruchzaubern oder natürlichen Effekten um 25% reduziert werden. Beherrscht der Magier die [Schule] selbst, wird die Wirkung um 50% reduziert.</t>
        </is>
      </c>
    </row>
    <row r="1473" hidden="1" ht="15.75" customHeight="1" s="48">
      <c r="A1473" t="inlineStr">
        <is>
          <t>spruchmagie_antimagie_6_subjektives_manaloch</t>
        </is>
      </c>
      <c r="B1473" t="inlineStr">
        <is>
          <t>Spruchmagie</t>
        </is>
      </c>
      <c r="C1473" t="inlineStr">
        <is>
          <t>Subjektives Manaloch</t>
        </is>
      </c>
      <c r="F1473" t="inlineStr">
        <is>
          <t>Antimagie</t>
        </is>
      </c>
      <c r="G1473" t="inlineStr">
        <is>
          <t>Wert</t>
        </is>
      </c>
      <c r="K1473" t="inlineStr">
        <is>
          <t>6</t>
        </is>
      </c>
      <c r="L1473" t="inlineStr">
        <is>
          <t>WENN(wert=0;0;10+(wert-1)*grad)</t>
        </is>
      </c>
      <c r="P1473" t="inlineStr">
        <is>
          <t>eig_bonus_g_intelligenz</t>
        </is>
      </c>
      <c r="Q147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1474" hidden="1" ht="15.75" customHeight="1" s="48">
      <c r="A1474" t="inlineStr">
        <is>
          <t>spruchmagie_antimagie_6_schutz_vor_schule_antimagie</t>
        </is>
      </c>
      <c r="B1474" t="inlineStr">
        <is>
          <t>Spruchmagie</t>
        </is>
      </c>
      <c r="C1474" t="inlineStr">
        <is>
          <t>Schutz vor Schule: Antimagie</t>
        </is>
      </c>
      <c r="F1474" t="inlineStr">
        <is>
          <t>Antimagie</t>
        </is>
      </c>
      <c r="G1474" t="inlineStr">
        <is>
          <t>Wert</t>
        </is>
      </c>
      <c r="K1474" t="inlineStr">
        <is>
          <t>6</t>
        </is>
      </c>
      <c r="L1474" t="inlineStr">
        <is>
          <t>WENN(wert=0;0;10+(wert-1)*grad)</t>
        </is>
      </c>
      <c r="P1474" t="inlineStr">
        <is>
          <t>eig_bonus_g_willenskraft</t>
        </is>
      </c>
      <c r="Q1474" t="inlineStr">
        <is>
          <t>Der Magus schützt sich kraft seines Wissens um die Wirkungsweise der [Schule] vollständig gegen alle Wirkungen der  entsprechenden Magie. Um diesen Zauber steigern zu können, muss der Magus die entsprechende Spruchmagie-Schule beherrschen.</t>
        </is>
      </c>
    </row>
    <row r="1475" hidden="1" ht="15.75" customHeight="1" s="48">
      <c r="A1475" t="inlineStr">
        <is>
          <t>spruchmagie_antimagie_6_schutz_vor_schule_beherrschung</t>
        </is>
      </c>
      <c r="B1475" t="inlineStr">
        <is>
          <t>Spruchmagie</t>
        </is>
      </c>
      <c r="C1475" t="inlineStr">
        <is>
          <t>Schutz vor Schule: Beherrschung</t>
        </is>
      </c>
      <c r="F1475" t="inlineStr">
        <is>
          <t>Antimagie</t>
        </is>
      </c>
      <c r="G1475" t="inlineStr">
        <is>
          <t>Wert</t>
        </is>
      </c>
      <c r="K1475" t="inlineStr">
        <is>
          <t>6</t>
        </is>
      </c>
      <c r="L1475" t="inlineStr">
        <is>
          <t>WENN(wert=0;0;10+(wert-1)*grad)</t>
        </is>
      </c>
      <c r="P1475" t="inlineStr">
        <is>
          <t>eig_bonus_g_willenskraft</t>
        </is>
      </c>
      <c r="Q1475" t="inlineStr">
        <is>
          <t>Der Magus schützt sich kraft seines Wissens um die Wirkungsweise der [Schule] vollständig gegen alle Wirkungen der  entsprechenden Magie. Um diesen Zauber steigern zu können, muss der Magus die entsprechende Spruchmagie-Schule beherrschen.</t>
        </is>
      </c>
    </row>
    <row r="1476" hidden="1" ht="15.75" customHeight="1" s="48">
      <c r="A1476" t="inlineStr">
        <is>
          <t>spruchmagie_antimagie_6_schutz_vor_schule_heilung</t>
        </is>
      </c>
      <c r="B1476" t="inlineStr">
        <is>
          <t>Spruchmagie</t>
        </is>
      </c>
      <c r="C1476" t="inlineStr">
        <is>
          <t>Schutz vor Schule: Heilung</t>
        </is>
      </c>
      <c r="F1476" t="inlineStr">
        <is>
          <t>Antimagie</t>
        </is>
      </c>
      <c r="G1476" t="inlineStr">
        <is>
          <t>Wert</t>
        </is>
      </c>
      <c r="K1476" t="inlineStr">
        <is>
          <t>6</t>
        </is>
      </c>
      <c r="L1476" t="inlineStr">
        <is>
          <t>WENN(wert=0;0;10+(wert-1)*grad)</t>
        </is>
      </c>
      <c r="P1476" t="inlineStr">
        <is>
          <t>eig_bonus_g_willenskraft</t>
        </is>
      </c>
      <c r="Q1476" t="inlineStr">
        <is>
          <t>Der Magus schützt sich kraft seines Wissens um die Wirkungsweise der [Schule] vollständig gegen alle Wirkungen der  entsprechenden Magie. Um diesen Zauber steigern zu können, muss der Magus die entsprechende Spruchmagie-Schule beherrschen.</t>
        </is>
      </c>
    </row>
    <row r="1477" hidden="1" ht="15.75" customHeight="1" s="48">
      <c r="A1477" t="inlineStr">
        <is>
          <t>spruchmagie_antimagie_6_schutz_vor_schule_hellsicht</t>
        </is>
      </c>
      <c r="B1477" t="inlineStr">
        <is>
          <t>Spruchmagie</t>
        </is>
      </c>
      <c r="C1477" t="inlineStr">
        <is>
          <t>Schutz vor Schule: Hellsicht</t>
        </is>
      </c>
      <c r="F1477" t="inlineStr">
        <is>
          <t>Antimagie</t>
        </is>
      </c>
      <c r="G1477" t="inlineStr">
        <is>
          <t>Wert</t>
        </is>
      </c>
      <c r="K1477" t="inlineStr">
        <is>
          <t>6</t>
        </is>
      </c>
      <c r="L1477" t="inlineStr">
        <is>
          <t>WENN(wert=0;0;10+(wert-1)*grad)</t>
        </is>
      </c>
      <c r="P1477" t="inlineStr">
        <is>
          <t>eig_bonus_g_willenskraft</t>
        </is>
      </c>
      <c r="Q1477" t="inlineStr">
        <is>
          <t>Der Magus schützt sich kraft seines Wissens um die Wirkungsweise der [Schule] vollständig gegen alle Wirkungen der  entsprechenden Magie. Um diesen Zauber steigern zu können, muss der Magus die entsprechende Spruchmagie-Schule beherrschen.</t>
        </is>
      </c>
    </row>
    <row r="1478" hidden="1" ht="15.75" customHeight="1" s="48">
      <c r="A1478" t="inlineStr">
        <is>
          <t>spruchmagie_antimagie_6_schutz_vor_schule_erdbeschwoerung</t>
        </is>
      </c>
      <c r="B1478" t="inlineStr">
        <is>
          <t>Spruchmagie</t>
        </is>
      </c>
      <c r="C1478" t="inlineStr">
        <is>
          <t>Schutz vor Schule: Erdbeschwörung</t>
        </is>
      </c>
      <c r="F1478" t="inlineStr">
        <is>
          <t>Antimagie</t>
        </is>
      </c>
      <c r="G1478" t="inlineStr">
        <is>
          <t>Wert</t>
        </is>
      </c>
      <c r="K1478" t="inlineStr">
        <is>
          <t>6</t>
        </is>
      </c>
      <c r="L1478" t="inlineStr">
        <is>
          <t>WENN(wert=0;0;10+(wert-1)*grad)</t>
        </is>
      </c>
      <c r="P1478" t="inlineStr">
        <is>
          <t>eig_bonus_g_willenskraft</t>
        </is>
      </c>
      <c r="Q1478" t="inlineStr">
        <is>
          <t>Der Magus schützt sich kraft seines Wissens um die Wirkungsweise der [Schule] vollständig gegen alle Wirkungen der  entsprechenden Magie. Um diesen Zauber steigern zu können, muss der Magus die entsprechende Spruchmagie-Schule beherrschen.</t>
        </is>
      </c>
    </row>
    <row r="1479" hidden="1" ht="15.75" customHeight="1" s="48">
      <c r="A1479" t="inlineStr">
        <is>
          <t>spruchmagie_antimagie_6_schutz_vor_schule_luftbeschwoerung</t>
        </is>
      </c>
      <c r="B1479" t="inlineStr">
        <is>
          <t>Spruchmagie</t>
        </is>
      </c>
      <c r="C1479" t="inlineStr">
        <is>
          <t>Schutz vor Schule: Luftbeschwörung</t>
        </is>
      </c>
      <c r="F1479" t="inlineStr">
        <is>
          <t>Antimagie</t>
        </is>
      </c>
      <c r="G1479" t="inlineStr">
        <is>
          <t>Wert</t>
        </is>
      </c>
      <c r="K1479" t="inlineStr">
        <is>
          <t>6</t>
        </is>
      </c>
      <c r="L1479" t="inlineStr">
        <is>
          <t>WENN(wert=0;0;10+(wert-1)*grad)</t>
        </is>
      </c>
      <c r="P1479" t="inlineStr">
        <is>
          <t>eig_bonus_g_willenskraft</t>
        </is>
      </c>
      <c r="Q1479" t="inlineStr">
        <is>
          <t>Der Magus schützt sich kraft seines Wissens um die Wirkungsweise der [Schule] vollständig gegen alle Wirkungen der  entsprechenden Magie. Um diesen Zauber steigern zu können, muss der Magus die entsprechende Spruchmagie-Schule beherrschen.</t>
        </is>
      </c>
    </row>
    <row r="1480" hidden="1" ht="15.75" customHeight="1" s="48">
      <c r="A1480" t="inlineStr">
        <is>
          <t>spruchmagie_antimagie_6_schutz_vor_schule_magiebeschwoerung</t>
        </is>
      </c>
      <c r="B1480" t="inlineStr">
        <is>
          <t>Spruchmagie</t>
        </is>
      </c>
      <c r="C1480" t="inlineStr">
        <is>
          <t>Schutz vor Schule: Magiebeschwörung</t>
        </is>
      </c>
      <c r="F1480" t="inlineStr">
        <is>
          <t>Antimagie</t>
        </is>
      </c>
      <c r="G1480" t="inlineStr">
        <is>
          <t>Wert</t>
        </is>
      </c>
      <c r="K1480" t="inlineStr">
        <is>
          <t>6</t>
        </is>
      </c>
      <c r="L1480" t="inlineStr">
        <is>
          <t>WENN(wert=0;0;10+(wert-1)*grad)</t>
        </is>
      </c>
      <c r="P1480" t="inlineStr">
        <is>
          <t>eig_bonus_g_willenskraft</t>
        </is>
      </c>
      <c r="Q1480" t="inlineStr">
        <is>
          <t>Der Magus schützt sich kraft seines Wissens um die Wirkungsweise der [Schule] vollständig gegen alle Wirkungen der  entsprechenden Magie. Um diesen Zauber steigern zu können, muss der Magus die entsprechende Spruchmagie-Schule beherrschen.</t>
        </is>
      </c>
    </row>
    <row r="1481" hidden="1" ht="15.75" customHeight="1" s="48">
      <c r="A1481" t="inlineStr">
        <is>
          <t>spruchmagie_antimagie_6_schutz_vor_schule_wasserbeschwoerung</t>
        </is>
      </c>
      <c r="B1481" t="inlineStr">
        <is>
          <t>Spruchmagie</t>
        </is>
      </c>
      <c r="C1481" t="inlineStr">
        <is>
          <t>Schutz vor Schule: Wasserbeschwörung</t>
        </is>
      </c>
      <c r="F1481" t="inlineStr">
        <is>
          <t>Antimagie</t>
        </is>
      </c>
      <c r="G1481" t="inlineStr">
        <is>
          <t>Wert</t>
        </is>
      </c>
      <c r="K1481" t="inlineStr">
        <is>
          <t>6</t>
        </is>
      </c>
      <c r="L1481" t="inlineStr">
        <is>
          <t>WENN(wert=0;0;10+(wert-1)*grad)</t>
        </is>
      </c>
      <c r="P1481" t="inlineStr">
        <is>
          <t>eig_bonus_g_willenskraft</t>
        </is>
      </c>
      <c r="Q1481" t="inlineStr">
        <is>
          <t>Der Magus schützt sich kraft seines Wissens um die Wirkungsweise der [Schule] vollständig gegen alle Wirkungen der  entsprechenden Magie. Um diesen Zauber steigern zu können, muss der Magus die entsprechende Spruchmagie-Schule beherrschen.</t>
        </is>
      </c>
    </row>
    <row r="1482" hidden="1" ht="15.75" customHeight="1" s="48">
      <c r="A1482" t="inlineStr">
        <is>
          <t>spruchmagie_antimagie_6_schutz_vor_schule_feuerbeschwoerung</t>
        </is>
      </c>
      <c r="B1482" t="inlineStr">
        <is>
          <t>Spruchmagie</t>
        </is>
      </c>
      <c r="C1482" t="inlineStr">
        <is>
          <t>Schutz vor Schule: Feuerbeschwörung</t>
        </is>
      </c>
      <c r="F1482" t="inlineStr">
        <is>
          <t>Antimagie</t>
        </is>
      </c>
      <c r="G1482" t="inlineStr">
        <is>
          <t>Wert</t>
        </is>
      </c>
      <c r="K1482" t="inlineStr">
        <is>
          <t>6</t>
        </is>
      </c>
      <c r="L1482" t="inlineStr">
        <is>
          <t>WENN(wert=0;0;10+(wert-1)*grad)</t>
        </is>
      </c>
      <c r="P1482" t="inlineStr">
        <is>
          <t>eig_bonus_g_willenskraft</t>
        </is>
      </c>
      <c r="Q1482" t="inlineStr">
        <is>
          <t>Der Magus schützt sich kraft seines Wissens um die Wirkungsweise der [Schule] vollständig gegen alle Wirkungen der  entsprechenden Magie. Um diesen Zauber steigern zu können, muss der Magus die entsprechende Spruchmagie-Schule beherrschen.</t>
        </is>
      </c>
    </row>
    <row r="1483" hidden="1" ht="15.75" customHeight="1" s="48">
      <c r="A1483" t="inlineStr">
        <is>
          <t>spruchmagie_antimagie_6_schutz_vor_schule_verzauberung</t>
        </is>
      </c>
      <c r="B1483" t="inlineStr">
        <is>
          <t>Spruchmagie</t>
        </is>
      </c>
      <c r="C1483" t="inlineStr">
        <is>
          <t>Schutz vor Schule: Verzauberung</t>
        </is>
      </c>
      <c r="F1483" t="inlineStr">
        <is>
          <t>Antimagie</t>
        </is>
      </c>
      <c r="G1483" t="inlineStr">
        <is>
          <t>Wert</t>
        </is>
      </c>
      <c r="K1483" t="inlineStr">
        <is>
          <t>6</t>
        </is>
      </c>
      <c r="L1483" t="inlineStr">
        <is>
          <t>WENN(wert=0;0;10+(wert-1)*grad)</t>
        </is>
      </c>
      <c r="P1483" t="inlineStr">
        <is>
          <t>eig_bonus_g_willenskraft</t>
        </is>
      </c>
      <c r="Q1483" t="inlineStr">
        <is>
          <t>Der Magus schützt sich kraft seines Wissens um die Wirkungsweise der [Schule] vollständig gegen alle Wirkungen der  entsprechenden Magie. Um diesen Zauber steigern zu können, muss der Magus die entsprechende Spruchmagie-Schule beherrschen.</t>
        </is>
      </c>
    </row>
    <row r="1484" hidden="1" ht="15.75" customHeight="1" s="48">
      <c r="A1484" t="inlineStr">
        <is>
          <t>spruchmagie_antimagie_6_schutz_vor_schule_illusion</t>
        </is>
      </c>
      <c r="B1484" t="inlineStr">
        <is>
          <t>Spruchmagie</t>
        </is>
      </c>
      <c r="C1484" t="inlineStr">
        <is>
          <t>Schutz vor Schule: Illusion</t>
        </is>
      </c>
      <c r="F1484" t="inlineStr">
        <is>
          <t>Antimagie</t>
        </is>
      </c>
      <c r="G1484" t="inlineStr">
        <is>
          <t>Wert</t>
        </is>
      </c>
      <c r="K1484" t="inlineStr">
        <is>
          <t>6</t>
        </is>
      </c>
      <c r="L1484" t="inlineStr">
        <is>
          <t>WENN(wert=0;0;10+(wert-1)*grad)</t>
        </is>
      </c>
      <c r="P1484" t="inlineStr">
        <is>
          <t>eig_bonus_g_willenskraft</t>
        </is>
      </c>
      <c r="Q1484" t="inlineStr">
        <is>
          <t>Der Magus schützt sich kraft seines Wissens um die Wirkungsweise der [Schule] vollständig gegen alle Wirkungen der  entsprechenden Magie. Um diesen Zauber steigern zu können, muss der Magus die entsprechende Spruchmagie-Schule beherrschen.</t>
        </is>
      </c>
    </row>
    <row r="1485" hidden="1" ht="15.75" customHeight="1" s="48">
      <c r="A1485" t="inlineStr">
        <is>
          <t>spruchmagie_antimagie_7_aura_entkernen</t>
        </is>
      </c>
      <c r="B1485" t="inlineStr">
        <is>
          <t>Spruchmagie</t>
        </is>
      </c>
      <c r="C1485" t="inlineStr">
        <is>
          <t>Aura entkernen</t>
        </is>
      </c>
      <c r="F1485" t="inlineStr">
        <is>
          <t>Antimagie</t>
        </is>
      </c>
      <c r="G1485" t="inlineStr">
        <is>
          <t>Wert</t>
        </is>
      </c>
      <c r="K1485" t="inlineStr">
        <is>
          <t>7</t>
        </is>
      </c>
      <c r="L1485" t="inlineStr">
        <is>
          <t>WENN(wert=0;0;10+(wert-1)*grad)</t>
        </is>
      </c>
      <c r="P1485" t="inlineStr">
        <is>
          <t>eig_bonus_g_intelligenz</t>
        </is>
      </c>
      <c r="Q1485" t="inlineStr">
        <is>
          <t>Die Aura des Opfers wird für den Bruchteil einer Sekunde zerstört. Dadurch fallen alle Zauber vom Ziel, alle aktiven Artefakte verlieren ihre Wirkung und das Ziel büßt all sein Mana ein. Zaubervorbereitungen werden unterbrochen.</t>
        </is>
      </c>
    </row>
    <row r="1486" hidden="1" ht="15.75" customHeight="1" s="48">
      <c r="A1486" t="inlineStr">
        <is>
          <t>spruchmagie_antimagie_7_manaloch</t>
        </is>
      </c>
      <c r="B1486" t="inlineStr">
        <is>
          <t>Spruchmagie</t>
        </is>
      </c>
      <c r="C1486" t="inlineStr">
        <is>
          <t>Manaloch</t>
        </is>
      </c>
      <c r="F1486" t="inlineStr">
        <is>
          <t>Antimagie</t>
        </is>
      </c>
      <c r="G1486" t="inlineStr">
        <is>
          <t>Wert</t>
        </is>
      </c>
      <c r="K1486" t="inlineStr">
        <is>
          <t>7</t>
        </is>
      </c>
      <c r="L1486" t="inlineStr">
        <is>
          <t>WENN(wert=0;0;10+(wert-1)*grad)</t>
        </is>
      </c>
      <c r="P1486" t="inlineStr">
        <is>
          <t>eig_bonus_g_willenskraft</t>
        </is>
      </c>
      <c r="Q1486"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1487" hidden="1" ht="15.75" customHeight="1" s="48">
      <c r="A1487" t="inlineStr">
        <is>
          <t>spruchmagie_beherrschung_1_ermutigen</t>
        </is>
      </c>
      <c r="B1487" t="inlineStr">
        <is>
          <t>Spruchmagie</t>
        </is>
      </c>
      <c r="C1487" t="inlineStr">
        <is>
          <t>Ermutigen</t>
        </is>
      </c>
      <c r="F1487" t="inlineStr">
        <is>
          <t>Beherrschung</t>
        </is>
      </c>
      <c r="G1487" t="inlineStr">
        <is>
          <t>Wert</t>
        </is>
      </c>
      <c r="K1487" t="inlineStr">
        <is>
          <t>1</t>
        </is>
      </c>
      <c r="L1487" t="inlineStr">
        <is>
          <t>WENN(wert=0;0;10+(wert-1)*grad)</t>
        </is>
      </c>
      <c r="P1487" t="inlineStr">
        <is>
          <t>eig_bonus_g_ausstrahlung</t>
        </is>
      </c>
      <c r="Q1487" t="inlineStr">
        <is>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is>
      </c>
    </row>
    <row r="1488" hidden="1" ht="15.75" customHeight="1" s="48">
      <c r="A1488" t="inlineStr">
        <is>
          <t>spruchmagie_beherrschung_1_freundschaft</t>
        </is>
      </c>
      <c r="B1488" t="inlineStr">
        <is>
          <t>Spruchmagie</t>
        </is>
      </c>
      <c r="C1488" t="inlineStr">
        <is>
          <t>Freundschaft</t>
        </is>
      </c>
      <c r="F1488" t="inlineStr">
        <is>
          <t>Beherrschung</t>
        </is>
      </c>
      <c r="G1488" t="inlineStr">
        <is>
          <t>Wert</t>
        </is>
      </c>
      <c r="K1488" t="inlineStr">
        <is>
          <t>1</t>
        </is>
      </c>
      <c r="L1488" t="inlineStr">
        <is>
          <t>WENN(wert=0;0;10+(wert-1)*grad)</t>
        </is>
      </c>
      <c r="P1488" t="inlineStr">
        <is>
          <t>eig_bonus_g_ausstrahlung</t>
        </is>
      </c>
      <c r="Q1488" t="inlineStr">
        <is>
          <t>Das Ansehen des Magus steigt bei dem Opfer um eine Stufe. Bester Freund---Freund---neutral---Böse/Gefahr---Feind Nach {M}:2 Stunden erinnert sich das Opfer wieder warum es das Opfer doch nicht so gerne mochte.</t>
        </is>
      </c>
    </row>
    <row r="1489" hidden="1" ht="15.75" customHeight="1" s="48">
      <c r="A1489" t="inlineStr">
        <is>
          <t>spruchmagie_beherrschung_1_tiere_befehligen</t>
        </is>
      </c>
      <c r="B1489" t="inlineStr">
        <is>
          <t>Spruchmagie</t>
        </is>
      </c>
      <c r="C1489" t="inlineStr">
        <is>
          <t>Tiere Befehligen</t>
        </is>
      </c>
      <c r="F1489" t="inlineStr">
        <is>
          <t>Beherrschung</t>
        </is>
      </c>
      <c r="G1489" t="inlineStr">
        <is>
          <t>Wert</t>
        </is>
      </c>
      <c r="K1489" t="inlineStr">
        <is>
          <t>1</t>
        </is>
      </c>
      <c r="L1489" t="inlineStr">
        <is>
          <t>WENN(wert=0;0;10+(wert-1)*grad)</t>
        </is>
      </c>
      <c r="P1489" t="inlineStr">
        <is>
          <t>eig_bonus_g_ausstrahlung</t>
        </is>
      </c>
      <c r="Q1489" t="inlineStr">
        <is>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is>
      </c>
    </row>
    <row r="1490" hidden="1" ht="15.75" customHeight="1" s="48">
      <c r="A1490" t="inlineStr">
        <is>
          <t>spruchmagie_beherrschung_2_lachanfall</t>
        </is>
      </c>
      <c r="B1490" t="inlineStr">
        <is>
          <t>Spruchmagie</t>
        </is>
      </c>
      <c r="C1490" t="inlineStr">
        <is>
          <t>Lachanfall</t>
        </is>
      </c>
      <c r="F1490" t="inlineStr">
        <is>
          <t>Beherrschung</t>
        </is>
      </c>
      <c r="G1490" t="inlineStr">
        <is>
          <t>Wert</t>
        </is>
      </c>
      <c r="K1490" t="inlineStr">
        <is>
          <t>2</t>
        </is>
      </c>
      <c r="L1490" t="inlineStr">
        <is>
          <t>WENN(wert=0;0;10+(wert-1)*grad)</t>
        </is>
      </c>
      <c r="P1490" t="inlineStr">
        <is>
          <t>eig_bonus_g_ausstrahlung</t>
        </is>
      </c>
      <c r="Q1490"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1491" hidden="1" ht="15.75" customHeight="1" s="48">
      <c r="A1491" t="inlineStr">
        <is>
          <t>spruchmagie_beherrschung_2_stumm</t>
        </is>
      </c>
      <c r="B1491" t="inlineStr">
        <is>
          <t>Spruchmagie</t>
        </is>
      </c>
      <c r="C1491" t="inlineStr">
        <is>
          <t>Stumm</t>
        </is>
      </c>
      <c r="F1491" t="inlineStr">
        <is>
          <t>Beherrschung</t>
        </is>
      </c>
      <c r="G1491" t="inlineStr">
        <is>
          <t>Wert</t>
        </is>
      </c>
      <c r="K1491" t="inlineStr">
        <is>
          <t>2</t>
        </is>
      </c>
      <c r="L1491" t="inlineStr">
        <is>
          <t>WENN(wert=0;0;10+(wert-1)*grad)</t>
        </is>
      </c>
      <c r="P1491" t="inlineStr">
        <is>
          <t>eig_bonus_g_ausstrahlung</t>
        </is>
      </c>
      <c r="Q1491" t="inlineStr">
        <is>
          <t>Das Opfer bringt keinen Ton raus. Man hört zwar wie die Luft die Lungen durch den Mund verlässt aber das ist auch schon alles. Das sprechen von Zaubern geht nur noch auf ST2, also ohne Formel.</t>
        </is>
      </c>
    </row>
    <row r="1492" hidden="1" ht="15.75" customHeight="1" s="48">
      <c r="A1492" t="inlineStr">
        <is>
          <t>spruchmagie_beherrschung_2_besaenftigen</t>
        </is>
      </c>
      <c r="B1492" t="inlineStr">
        <is>
          <t>Spruchmagie</t>
        </is>
      </c>
      <c r="C1492" t="inlineStr">
        <is>
          <t>Besänftigen</t>
        </is>
      </c>
      <c r="F1492" t="inlineStr">
        <is>
          <t>Beherrschung</t>
        </is>
      </c>
      <c r="G1492" t="inlineStr">
        <is>
          <t>Wert</t>
        </is>
      </c>
      <c r="K1492" t="inlineStr">
        <is>
          <t>2</t>
        </is>
      </c>
      <c r="L1492" t="inlineStr">
        <is>
          <t>WENN(wert=0;0;10+(wert-1)*grad)</t>
        </is>
      </c>
      <c r="P1492" t="inlineStr">
        <is>
          <t>eig_bonus_g_ausstrahlung</t>
        </is>
      </c>
      <c r="Q1492" t="inlineStr">
        <is>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is>
      </c>
    </row>
    <row r="1493" hidden="1" ht="15.75" customHeight="1" s="48">
      <c r="A1493" t="inlineStr">
        <is>
          <t>spruchmagie_beherrschung_2_traurigkeit</t>
        </is>
      </c>
      <c r="B1493" t="inlineStr">
        <is>
          <t>Spruchmagie</t>
        </is>
      </c>
      <c r="C1493" t="inlineStr">
        <is>
          <t>Traurigkeit</t>
        </is>
      </c>
      <c r="F1493" t="inlineStr">
        <is>
          <t>Beherrschung</t>
        </is>
      </c>
      <c r="G1493" t="inlineStr">
        <is>
          <t>Wert</t>
        </is>
      </c>
      <c r="K1493" t="inlineStr">
        <is>
          <t>2</t>
        </is>
      </c>
      <c r="L1493" t="inlineStr">
        <is>
          <t>WENN(wert=0;0;10+(wert-1)*grad)</t>
        </is>
      </c>
      <c r="P1493" t="inlineStr">
        <is>
          <t>eig_bonus_g_ausstrahlung</t>
        </is>
      </c>
      <c r="Q149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1494" hidden="1" ht="15.75" customHeight="1" s="48">
      <c r="A1494" t="inlineStr">
        <is>
          <t>spruchmagie_beherrschung_2_zoegern</t>
        </is>
      </c>
      <c r="B1494" t="inlineStr">
        <is>
          <t>Spruchmagie</t>
        </is>
      </c>
      <c r="C1494" t="inlineStr">
        <is>
          <t>Zögern</t>
        </is>
      </c>
      <c r="F1494" t="inlineStr">
        <is>
          <t>Beherrschung</t>
        </is>
      </c>
      <c r="G1494" t="inlineStr">
        <is>
          <t>Wert</t>
        </is>
      </c>
      <c r="K1494" t="inlineStr">
        <is>
          <t>2</t>
        </is>
      </c>
      <c r="L1494" t="inlineStr">
        <is>
          <t>WENN(wert=0;0;10+(wert-1)*grad)</t>
        </is>
      </c>
      <c r="P1494" t="inlineStr">
        <is>
          <t>eig_bonus_g_intelligenz</t>
        </is>
      </c>
      <c r="Q149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1495" hidden="1" ht="15.75" customHeight="1" s="48">
      <c r="A1495" t="inlineStr">
        <is>
          <t>spruchmagie_beherrschung_3_herrschaft_ueber_tiere</t>
        </is>
      </c>
      <c r="B1495" t="inlineStr">
        <is>
          <t>Spruchmagie</t>
        </is>
      </c>
      <c r="C1495" t="inlineStr">
        <is>
          <t>Herrschaft über Tiere</t>
        </is>
      </c>
      <c r="F1495" t="inlineStr">
        <is>
          <t>Beherrschung</t>
        </is>
      </c>
      <c r="G1495" t="inlineStr">
        <is>
          <t>Wert</t>
        </is>
      </c>
      <c r="K1495" t="inlineStr">
        <is>
          <t>3</t>
        </is>
      </c>
      <c r="L1495" t="inlineStr">
        <is>
          <t>WENN(wert=0;0;10+(wert-1)*grad)</t>
        </is>
      </c>
      <c r="P1495" t="inlineStr">
        <is>
          <t>eig_bonus_g_ausstrahlung</t>
        </is>
      </c>
      <c r="Q1495"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is>
      </c>
    </row>
    <row r="1496" hidden="1" ht="15.75" customHeight="1" s="48">
      <c r="A1496" t="inlineStr">
        <is>
          <t>spruchmagie_beherrschung_3_tick_verursachen</t>
        </is>
      </c>
      <c r="B1496" t="inlineStr">
        <is>
          <t>Spruchmagie</t>
        </is>
      </c>
      <c r="C1496" t="inlineStr">
        <is>
          <t>Tick Verursachen</t>
        </is>
      </c>
      <c r="F1496" t="inlineStr">
        <is>
          <t>Beherrschung</t>
        </is>
      </c>
      <c r="G1496" t="inlineStr">
        <is>
          <t>Wert</t>
        </is>
      </c>
      <c r="K1496" t="inlineStr">
        <is>
          <t>3</t>
        </is>
      </c>
      <c r="L1496" t="inlineStr">
        <is>
          <t>WENN(wert=0;0;10+(wert-1)*grad)</t>
        </is>
      </c>
      <c r="P1496" t="inlineStr">
        <is>
          <t>eig_bonus_g_ausstrahlung</t>
        </is>
      </c>
      <c r="Q1496" t="inlineStr">
        <is>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is>
      </c>
    </row>
    <row r="1497" hidden="1" ht="15.75" customHeight="1" s="48">
      <c r="A1497" t="inlineStr">
        <is>
          <t>spruchmagie_beherrschung_3_zorn</t>
        </is>
      </c>
      <c r="B1497" t="inlineStr">
        <is>
          <t>Spruchmagie</t>
        </is>
      </c>
      <c r="C1497" t="inlineStr">
        <is>
          <t>Zorn</t>
        </is>
      </c>
      <c r="F1497" t="inlineStr">
        <is>
          <t>Beherrschung</t>
        </is>
      </c>
      <c r="G1497" t="inlineStr">
        <is>
          <t>Wert</t>
        </is>
      </c>
      <c r="K1497" t="inlineStr">
        <is>
          <t>3</t>
        </is>
      </c>
      <c r="L1497" t="inlineStr">
        <is>
          <t>WENN(wert=0;0;10+(wert-1)*grad)</t>
        </is>
      </c>
      <c r="P1497" t="inlineStr">
        <is>
          <t>eig_bonus_g_mut</t>
        </is>
      </c>
      <c r="Q1497" t="inlineStr">
        <is>
          <t>Das Opfer greift das nächstliegende Ziel , was er/es am wenigsten Mag an. Sollten alle Ziele in Reichweiten für ihn Neutral oder Freundlich sein, so passiert nichts bis ein Ziel in sicht kommt, das er nicht mag oder gar ein Feind ist.</t>
        </is>
      </c>
    </row>
    <row r="1498" hidden="1" ht="15.75" customHeight="1" s="48">
      <c r="A1498" t="inlineStr">
        <is>
          <t>spruchmagie_beherrschung_3_schmerzt_unterdruecken</t>
        </is>
      </c>
      <c r="B1498" t="inlineStr">
        <is>
          <t>Spruchmagie</t>
        </is>
      </c>
      <c r="C1498" t="inlineStr">
        <is>
          <t>Schmerzt unterdrücken</t>
        </is>
      </c>
      <c r="F1498" t="inlineStr">
        <is>
          <t>Beherrschung</t>
        </is>
      </c>
      <c r="G1498" t="inlineStr">
        <is>
          <t>Wert</t>
        </is>
      </c>
      <c r="K1498" t="inlineStr">
        <is>
          <t>3</t>
        </is>
      </c>
      <c r="L1498" t="inlineStr">
        <is>
          <t>WENN(wert=0;0;10+(wert-1)*grad)</t>
        </is>
      </c>
      <c r="P1498" t="inlineStr">
        <is>
          <t>eig_bonus_g_willenskraft</t>
        </is>
      </c>
      <c r="Q149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1499" hidden="1" ht="15.75" customHeight="1" s="48">
      <c r="A1499" t="inlineStr">
        <is>
          <t>spruchmagie_beherrschung_4_berserker</t>
        </is>
      </c>
      <c r="B1499" t="inlineStr">
        <is>
          <t>Spruchmagie</t>
        </is>
      </c>
      <c r="C1499" t="inlineStr">
        <is>
          <t>Berserker</t>
        </is>
      </c>
      <c r="F1499" t="inlineStr">
        <is>
          <t>Beherrschung</t>
        </is>
      </c>
      <c r="G1499" t="inlineStr">
        <is>
          <t>Wert</t>
        </is>
      </c>
      <c r="K1499" t="inlineStr">
        <is>
          <t>4</t>
        </is>
      </c>
      <c r="L1499" t="inlineStr">
        <is>
          <t>WENN(wert=0;0;10+(wert-1)*grad)</t>
        </is>
      </c>
      <c r="P1499" t="inlineStr">
        <is>
          <t>eig_bonus_g_mut</t>
        </is>
      </c>
      <c r="Q1499" t="inlineStr">
        <is>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is>
      </c>
    </row>
    <row r="1500" hidden="1" ht="15.75" customHeight="1" s="48">
      <c r="A1500" t="inlineStr">
        <is>
          <t>spruchmagie_beherrschung_4_einschlaefern</t>
        </is>
      </c>
      <c r="B1500" t="inlineStr">
        <is>
          <t>Spruchmagie</t>
        </is>
      </c>
      <c r="C1500" t="inlineStr">
        <is>
          <t>Einschläfern</t>
        </is>
      </c>
      <c r="F1500" t="inlineStr">
        <is>
          <t>Beherrschung</t>
        </is>
      </c>
      <c r="G1500" t="inlineStr">
        <is>
          <t>Wert</t>
        </is>
      </c>
      <c r="K1500" t="inlineStr">
        <is>
          <t>4</t>
        </is>
      </c>
      <c r="L1500" t="inlineStr">
        <is>
          <t>WENN(wert=0;0;10+(wert-1)*grad)</t>
        </is>
      </c>
      <c r="P1500" t="inlineStr">
        <is>
          <t>eig_bonus_g_ausstrahlung</t>
        </is>
      </c>
      <c r="Q1500"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1501" hidden="1" ht="15.75" customHeight="1" s="48">
      <c r="A1501" t="inlineStr">
        <is>
          <t>spruchmagie_beherrschung_4_aufmerksamkeit</t>
        </is>
      </c>
      <c r="B1501" t="inlineStr">
        <is>
          <t>Spruchmagie</t>
        </is>
      </c>
      <c r="C1501" t="inlineStr">
        <is>
          <t>Aufmerksamkeit</t>
        </is>
      </c>
      <c r="F1501" t="inlineStr">
        <is>
          <t>Beherrschung</t>
        </is>
      </c>
      <c r="G1501" t="inlineStr">
        <is>
          <t>Wert</t>
        </is>
      </c>
      <c r="K1501" t="inlineStr">
        <is>
          <t>4</t>
        </is>
      </c>
      <c r="L1501" t="inlineStr">
        <is>
          <t>WENN(wert=0;0;10+(wert-1)*grad)</t>
        </is>
      </c>
      <c r="P1501" t="inlineStr">
        <is>
          <t>eig_bonus_g_ausstrahlung</t>
        </is>
      </c>
      <c r="Q1501" t="inlineStr">
        <is>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is>
      </c>
    </row>
    <row r="1502" hidden="1" ht="15.75" customHeight="1" s="48">
      <c r="A1502" t="inlineStr">
        <is>
          <t>spruchmagie_beherrschung_4_verwirrung</t>
        </is>
      </c>
      <c r="B1502" t="inlineStr">
        <is>
          <t>Spruchmagie</t>
        </is>
      </c>
      <c r="C1502" t="inlineStr">
        <is>
          <t>Verwirrung</t>
        </is>
      </c>
      <c r="F1502" t="inlineStr">
        <is>
          <t>Beherrschung</t>
        </is>
      </c>
      <c r="G1502" t="inlineStr">
        <is>
          <t>Wert</t>
        </is>
      </c>
      <c r="K1502" t="inlineStr">
        <is>
          <t>4</t>
        </is>
      </c>
      <c r="L1502" t="inlineStr">
        <is>
          <t>WENN(wert=0;0;10+(wert-1)*grad)</t>
        </is>
      </c>
      <c r="P1502" t="inlineStr">
        <is>
          <t>eig_bonus_g_intelligenz</t>
        </is>
      </c>
      <c r="Q1502" t="inlineStr">
        <is>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is>
      </c>
    </row>
    <row r="1503" hidden="1" ht="15.75" customHeight="1" s="48">
      <c r="A1503" t="inlineStr">
        <is>
          <t>spruchmagie_beherrschung_5_massen_besaenftigung</t>
        </is>
      </c>
      <c r="B1503" t="inlineStr">
        <is>
          <t>Spruchmagie</t>
        </is>
      </c>
      <c r="C1503" t="inlineStr">
        <is>
          <t>Massen Besänftigung</t>
        </is>
      </c>
      <c r="F1503" t="inlineStr">
        <is>
          <t>Beherrschung</t>
        </is>
      </c>
      <c r="G1503" t="inlineStr">
        <is>
          <t>Wert</t>
        </is>
      </c>
      <c r="K1503" t="inlineStr">
        <is>
          <t>5</t>
        </is>
      </c>
      <c r="L1503" t="inlineStr">
        <is>
          <t>WENN(wert=0;0;10+(wert-1)*grad)</t>
        </is>
      </c>
      <c r="P1503" t="inlineStr">
        <is>
          <t>eig_bonus_g_ausstrahlung</t>
        </is>
      </c>
      <c r="Q1503" t="inlineStr">
        <is>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is>
      </c>
    </row>
    <row r="1504" hidden="1" ht="15.75" customHeight="1" s="48">
      <c r="A1504" t="inlineStr">
        <is>
          <t>spruchmagie_beherrschung_6_maechtige_tierherrschaft</t>
        </is>
      </c>
      <c r="B1504" t="inlineStr">
        <is>
          <t>Spruchmagie</t>
        </is>
      </c>
      <c r="C1504" t="inlineStr">
        <is>
          <t>Mächtige Tierherrschaft</t>
        </is>
      </c>
      <c r="F1504" t="inlineStr">
        <is>
          <t>Beherrschung</t>
        </is>
      </c>
      <c r="G1504" t="inlineStr">
        <is>
          <t>Wert</t>
        </is>
      </c>
      <c r="K1504" t="inlineStr">
        <is>
          <t>6</t>
        </is>
      </c>
      <c r="L1504" t="inlineStr">
        <is>
          <t>WENN(wert=0;0;10+(wert-1)*grad)</t>
        </is>
      </c>
      <c r="P1504" t="inlineStr">
        <is>
          <t>eig_bonus_g_mut</t>
        </is>
      </c>
      <c r="Q1504"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is>
      </c>
    </row>
    <row r="1505" hidden="1" ht="15.75" customHeight="1" s="48">
      <c r="A1505" t="inlineStr">
        <is>
          <t>spruchmagie_beherrschung_6_totale_tier_kontrolle</t>
        </is>
      </c>
      <c r="B1505" t="inlineStr">
        <is>
          <t>Spruchmagie</t>
        </is>
      </c>
      <c r="C1505" t="inlineStr">
        <is>
          <t>Totale Tier Kontrolle</t>
        </is>
      </c>
      <c r="F1505" t="inlineStr">
        <is>
          <t>Beherrschung</t>
        </is>
      </c>
      <c r="G1505" t="inlineStr">
        <is>
          <t>Wert</t>
        </is>
      </c>
      <c r="K1505" t="inlineStr">
        <is>
          <t>6</t>
        </is>
      </c>
      <c r="L1505" t="inlineStr">
        <is>
          <t>WENN(wert=0;0;10+(wert-1)*grad)</t>
        </is>
      </c>
      <c r="P1505" t="inlineStr">
        <is>
          <t>eig_bonus_g_willenskraft</t>
        </is>
      </c>
      <c r="Q150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1506" hidden="1" ht="15.75" customHeight="1" s="48">
      <c r="A1506" t="inlineStr">
        <is>
          <t>spruchmagie_erdbeschwoerung_1_splitterwand</t>
        </is>
      </c>
      <c r="B1506" t="inlineStr">
        <is>
          <t>Spruchmagie</t>
        </is>
      </c>
      <c r="C1506" t="inlineStr">
        <is>
          <t>Splitterwand</t>
        </is>
      </c>
      <c r="F1506" t="inlineStr">
        <is>
          <t>Erdbeschwörung</t>
        </is>
      </c>
      <c r="G1506" t="inlineStr">
        <is>
          <t>Wert</t>
        </is>
      </c>
      <c r="K1506" t="inlineStr">
        <is>
          <t>1</t>
        </is>
      </c>
      <c r="L1506" t="inlineStr">
        <is>
          <t>WENN(wert=0;0;10+(wert-1)*grad)</t>
        </is>
      </c>
      <c r="P1506" t="inlineStr">
        <is>
          <t>eig_bonus_k_staerke</t>
        </is>
      </c>
      <c r="Q150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1507" hidden="1" ht="15.75" customHeight="1" s="48">
      <c r="A1507" t="inlineStr">
        <is>
          <t>spruchmagie_erdbeschwoerung_1_steinkugel</t>
        </is>
      </c>
      <c r="B1507" t="inlineStr">
        <is>
          <t>Spruchmagie</t>
        </is>
      </c>
      <c r="C1507" t="inlineStr">
        <is>
          <t>Steinkugel</t>
        </is>
      </c>
      <c r="F1507" t="inlineStr">
        <is>
          <t>Erdbeschwörung</t>
        </is>
      </c>
      <c r="G1507" t="inlineStr">
        <is>
          <t>Wert</t>
        </is>
      </c>
      <c r="K1507" t="inlineStr">
        <is>
          <t>1</t>
        </is>
      </c>
      <c r="L1507" t="inlineStr">
        <is>
          <t>WENN(wert=0;0;10+(wert-1)*grad)</t>
        </is>
      </c>
      <c r="P1507" t="inlineStr">
        <is>
          <t>eig_bonus_k_staerke</t>
        </is>
      </c>
      <c r="Q1507" t="inlineStr">
        <is>
          <t>Der Magus erschafft einen Ball aus Erde. Schaden: 2W4 + {Magie}, RB 6.</t>
        </is>
      </c>
    </row>
    <row r="1508" hidden="1" ht="15.75" customHeight="1" s="48">
      <c r="A1508" t="inlineStr">
        <is>
          <t>spruchmagie_erdbeschwoerung_1_steinfaust</t>
        </is>
      </c>
      <c r="B1508" t="inlineStr">
        <is>
          <t>Spruchmagie</t>
        </is>
      </c>
      <c r="C1508" t="inlineStr">
        <is>
          <t>Steinfaust</t>
        </is>
      </c>
      <c r="F1508" t="inlineStr">
        <is>
          <t>Erdbeschwörung</t>
        </is>
      </c>
      <c r="G1508" t="inlineStr">
        <is>
          <t>Wert</t>
        </is>
      </c>
      <c r="K1508" t="inlineStr">
        <is>
          <t>1</t>
        </is>
      </c>
      <c r="L1508" t="inlineStr">
        <is>
          <t>WENN(wert=0;0;10+(wert-1)*grad)</t>
        </is>
      </c>
      <c r="P1508" t="inlineStr">
        <is>
          <t>eig_bonus_k_staerke</t>
        </is>
      </c>
      <c r="Q1508" t="inlineStr">
        <is>
          <t>Die Fäuste des Magiers verursachen zusätzlichen Elementarschaden. Schaden: W8 + {Magie}, RB 3.</t>
        </is>
      </c>
    </row>
    <row r="1509" hidden="1" ht="15.75" customHeight="1" s="48">
      <c r="A1509" t="inlineStr">
        <is>
          <t>spruchmagie_erdbeschwoerung_2_steinschuss</t>
        </is>
      </c>
      <c r="B1509" t="inlineStr">
        <is>
          <t>Spruchmagie</t>
        </is>
      </c>
      <c r="C1509" t="inlineStr">
        <is>
          <t>Steinschuss</t>
        </is>
      </c>
      <c r="F1509" t="inlineStr">
        <is>
          <t>Erdbeschwörung</t>
        </is>
      </c>
      <c r="G1509" t="inlineStr">
        <is>
          <t>Wert</t>
        </is>
      </c>
      <c r="K1509" t="inlineStr">
        <is>
          <t>2</t>
        </is>
      </c>
      <c r="L1509" t="inlineStr">
        <is>
          <t>WENN(wert=0;0;10+(wert-1)*grad)</t>
        </is>
      </c>
      <c r="P1509" t="inlineStr">
        <is>
          <t>eig_bonus_k_staerke</t>
        </is>
      </c>
      <c r="Q1509" t="inlineStr">
        <is>
          <t>Der Magus erschafft einen Bolzen aus Erde. Treffer auf FK-TZ. Schaden: 2W6 + {Magie}; RB: 6 + {Magie}*2</t>
        </is>
      </c>
    </row>
    <row r="1510" hidden="1" ht="15.75" customHeight="1" s="48">
      <c r="A1510" t="inlineStr">
        <is>
          <t>spruchmagie_erdbeschwoerung_2_splitter_aura</t>
        </is>
      </c>
      <c r="B1510" t="inlineStr">
        <is>
          <t>Spruchmagie</t>
        </is>
      </c>
      <c r="C1510" t="inlineStr">
        <is>
          <t>Splitter-Aura</t>
        </is>
      </c>
      <c r="F1510" t="inlineStr">
        <is>
          <t>Erdbeschwörung</t>
        </is>
      </c>
      <c r="G1510" t="inlineStr">
        <is>
          <t>Wert</t>
        </is>
      </c>
      <c r="K1510" t="inlineStr">
        <is>
          <t>2</t>
        </is>
      </c>
      <c r="L1510" t="inlineStr">
        <is>
          <t>WENN(wert=0;0;10+(wert-1)*grad)</t>
        </is>
      </c>
      <c r="P1510" t="inlineStr">
        <is>
          <t>eig_bonus_k_staerke</t>
        </is>
      </c>
      <c r="Q151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1511" hidden="1" ht="15.75" customHeight="1" s="48">
      <c r="A1511" t="inlineStr">
        <is>
          <t>spruchmagie_erdbeschwoerung_2_splitterstrahl</t>
        </is>
      </c>
      <c r="B1511" t="inlineStr">
        <is>
          <t>Spruchmagie</t>
        </is>
      </c>
      <c r="C1511" t="inlineStr">
        <is>
          <t>Splitterstrahl</t>
        </is>
      </c>
      <c r="F1511" t="inlineStr">
        <is>
          <t>Erdbeschwörung</t>
        </is>
      </c>
      <c r="G1511" t="inlineStr">
        <is>
          <t>Wert</t>
        </is>
      </c>
      <c r="K1511" t="inlineStr">
        <is>
          <t>2</t>
        </is>
      </c>
      <c r="L1511" t="inlineStr">
        <is>
          <t>WENN(wert=0;0;10+(wert-1)*grad)</t>
        </is>
      </c>
      <c r="P1511" t="inlineStr">
        <is>
          <t>eig_bonus_k_staerke</t>
        </is>
      </c>
      <c r="Q1511" t="inlineStr">
        <is>
          <t>Aus der Handfläche des Magiers schießt ein {M} cm dicker Strahl aus Erde. Schaden: W10+{Magie}, RB 3, pro sec, Treffer auf eine FK-TZ mit 1 zusätzlichen TZ-Reroll.</t>
        </is>
      </c>
    </row>
    <row r="1512" hidden="1" ht="15.75" customHeight="1" s="48">
      <c r="A1512" t="inlineStr">
        <is>
          <t>spruchmagie_erdbeschwoerung_3_erd_klinge</t>
        </is>
      </c>
      <c r="B1512" t="inlineStr">
        <is>
          <t>Spruchmagie</t>
        </is>
      </c>
      <c r="C1512" t="inlineStr">
        <is>
          <t>Erd-Klinge</t>
        </is>
      </c>
      <c r="F1512" t="inlineStr">
        <is>
          <t>Erdbeschwörung</t>
        </is>
      </c>
      <c r="G1512" t="inlineStr">
        <is>
          <t>Wert</t>
        </is>
      </c>
      <c r="K1512" t="inlineStr">
        <is>
          <t>3</t>
        </is>
      </c>
      <c r="L1512" t="inlineStr">
        <is>
          <t>WENN(wert=0;0;10+(wert-1)*grad)</t>
        </is>
      </c>
      <c r="P1512" t="inlineStr">
        <is>
          <t>eig_bonus_k_staerke</t>
        </is>
      </c>
      <c r="Q1512"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513" hidden="1" ht="15.75" customHeight="1" s="48">
      <c r="A1513" t="inlineStr">
        <is>
          <t>spruchmagie_erdbeschwoerung_3_splitter_pfeil</t>
        </is>
      </c>
      <c r="B1513" t="inlineStr">
        <is>
          <t>Spruchmagie</t>
        </is>
      </c>
      <c r="C1513" t="inlineStr">
        <is>
          <t>Splitter-Pfeil</t>
        </is>
      </c>
      <c r="F1513" t="inlineStr">
        <is>
          <t>Erdbeschwörung</t>
        </is>
      </c>
      <c r="G1513" t="inlineStr">
        <is>
          <t>Wert</t>
        </is>
      </c>
      <c r="K1513" t="inlineStr">
        <is>
          <t>3</t>
        </is>
      </c>
      <c r="L1513" t="inlineStr">
        <is>
          <t>WENN(wert=0;0;10+(wert-1)*grad)</t>
        </is>
      </c>
      <c r="P1513" t="inlineStr">
        <is>
          <t>eig_bonus_k_staerke</t>
        </is>
      </c>
      <c r="Q1513" t="inlineStr">
        <is>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514" hidden="1" ht="15.75" customHeight="1" s="48">
      <c r="A1514" t="inlineStr">
        <is>
          <t>spruchmagie_erdbeschwoerung_3_grosse_steinfaust</t>
        </is>
      </c>
      <c r="B1514" t="inlineStr">
        <is>
          <t>Spruchmagie</t>
        </is>
      </c>
      <c r="C1514" t="inlineStr">
        <is>
          <t>Große Steinfaust</t>
        </is>
      </c>
      <c r="F1514" t="inlineStr">
        <is>
          <t>Erdbeschwörung</t>
        </is>
      </c>
      <c r="G1514" t="inlineStr">
        <is>
          <t>Wert</t>
        </is>
      </c>
      <c r="K1514" t="inlineStr">
        <is>
          <t>3</t>
        </is>
      </c>
      <c r="L1514" t="inlineStr">
        <is>
          <t>WENN(wert=0;0;10+(wert-1)*grad)</t>
        </is>
      </c>
      <c r="P1514" t="inlineStr">
        <is>
          <t>eig_bonus_k_staerke</t>
        </is>
      </c>
      <c r="Q1514" t="inlineStr">
        <is>
          <t>Die Fäuste des Magiers verursachen zusätzlichen Elementarschaden von   2W12+{Magie}, RB 9.</t>
        </is>
      </c>
    </row>
    <row r="1515" hidden="1" ht="15.75" customHeight="1" s="48">
      <c r="A1515" t="inlineStr">
        <is>
          <t>spruchmagie_erdbeschwoerung_3_steinkugel_salve</t>
        </is>
      </c>
      <c r="B1515" t="inlineStr">
        <is>
          <t>Spruchmagie</t>
        </is>
      </c>
      <c r="C1515" t="inlineStr">
        <is>
          <t>Steinkugel-Salve</t>
        </is>
      </c>
      <c r="F1515" t="inlineStr">
        <is>
          <t>Erdbeschwörung</t>
        </is>
      </c>
      <c r="G1515" t="inlineStr">
        <is>
          <t>Wert</t>
        </is>
      </c>
      <c r="K1515" t="inlineStr">
        <is>
          <t>3</t>
        </is>
      </c>
      <c r="L1515" t="inlineStr">
        <is>
          <t>WENN(wert=0;0;10+(wert-1)*grad)</t>
        </is>
      </c>
      <c r="P1515" t="inlineStr">
        <is>
          <t>eig_bonus_k_staerke</t>
        </is>
      </c>
      <c r="Q1515" t="inlineStr">
        <is>
          <t>Der Magus erschafft {Magie} : 2 Bälle aus Erde. Schaden: 2W4 + {Magie}, RB 6.</t>
        </is>
      </c>
    </row>
    <row r="1516" hidden="1" ht="15.75" customHeight="1" s="48">
      <c r="A1516" t="inlineStr">
        <is>
          <t>spruchmagie_erdbeschwoerung_3_steinschlag</t>
        </is>
      </c>
      <c r="B1516" t="inlineStr">
        <is>
          <t>Spruchmagie</t>
        </is>
      </c>
      <c r="C1516" t="inlineStr">
        <is>
          <t>Steinschlag</t>
        </is>
      </c>
      <c r="F1516" t="inlineStr">
        <is>
          <t>Erdbeschwörung</t>
        </is>
      </c>
      <c r="G1516" t="inlineStr">
        <is>
          <t>Wert</t>
        </is>
      </c>
      <c r="K1516" t="inlineStr">
        <is>
          <t>3</t>
        </is>
      </c>
      <c r="L1516" t="inlineStr">
        <is>
          <t>WENN(wert=0;0;10+(wert-1)*grad)</t>
        </is>
      </c>
      <c r="P1516" t="inlineStr">
        <is>
          <t>eig_bonus_k_staerke</t>
        </is>
      </c>
      <c r="Q1516" t="inlineStr">
        <is>
          <t>Der Magus erschafft um das Opfer eine Kugel aus Erde.  Treffer auf FK-TZ mit 2 TZ-Rerolls auf die gewünschte Trefferzone. Schaden: 2W6 + {Magie}, RB 6.</t>
        </is>
      </c>
    </row>
    <row r="1517" hidden="1" ht="15.75" customHeight="1" s="48">
      <c r="A1517" t="inlineStr">
        <is>
          <t>spruchmagie_erdbeschwoerung_4_steinschuss_salve</t>
        </is>
      </c>
      <c r="B1517" t="inlineStr">
        <is>
          <t>Spruchmagie</t>
        </is>
      </c>
      <c r="C1517" t="inlineStr">
        <is>
          <t>Steinschuss-Salve</t>
        </is>
      </c>
      <c r="F1517" t="inlineStr">
        <is>
          <t>Erdbeschwörung</t>
        </is>
      </c>
      <c r="G1517" t="inlineStr">
        <is>
          <t>Wert</t>
        </is>
      </c>
      <c r="K1517" t="inlineStr">
        <is>
          <t>4</t>
        </is>
      </c>
      <c r="L1517" t="inlineStr">
        <is>
          <t>WENN(wert=0;0;10+(wert-1)*grad)</t>
        </is>
      </c>
      <c r="P1517" t="inlineStr">
        <is>
          <t>eig_bonus_k_staerke</t>
        </is>
      </c>
      <c r="Q1517" t="inlineStr">
        <is>
          <t>Der Magus erschafft {Magie} : 2 Bolzen aus Erde. Treffer auf FK-TZ, Schaden: 2W6 + {Magie}; RB: 6 + {Magie}*2</t>
        </is>
      </c>
    </row>
    <row r="1518" hidden="1" ht="15.75" customHeight="1" s="48">
      <c r="A1518" t="inlineStr">
        <is>
          <t>spruchmagie_erdbeschwoerung_4_grosse_steinkugel</t>
        </is>
      </c>
      <c r="B1518" t="inlineStr">
        <is>
          <t>Spruchmagie</t>
        </is>
      </c>
      <c r="C1518" t="inlineStr">
        <is>
          <t>Große Steinkugel</t>
        </is>
      </c>
      <c r="F1518" t="inlineStr">
        <is>
          <t>Erdbeschwörung</t>
        </is>
      </c>
      <c r="G1518" t="inlineStr">
        <is>
          <t>Wert</t>
        </is>
      </c>
      <c r="K1518" t="inlineStr">
        <is>
          <t>4</t>
        </is>
      </c>
      <c r="L1518" t="inlineStr">
        <is>
          <t>WENN(wert=0;0;10+(wert-1)*grad)</t>
        </is>
      </c>
      <c r="P1518" t="inlineStr">
        <is>
          <t>eig_bonus_k_staerke</t>
        </is>
      </c>
      <c r="Q1518" t="inlineStr">
        <is>
          <t>Der Magus erschafft einen Ball aus Erde. Schaden: W12 + {Magie}, RB 5, auf jede Trefferzone.</t>
        </is>
      </c>
    </row>
    <row r="1519" hidden="1" ht="15.75" customHeight="1" s="48">
      <c r="A1519" t="inlineStr">
        <is>
          <t>spruchmagie_erdbeschwoerung_4_grosse_splitterwand</t>
        </is>
      </c>
      <c r="B1519" t="inlineStr">
        <is>
          <t>Spruchmagie</t>
        </is>
      </c>
      <c r="C1519" t="inlineStr">
        <is>
          <t>Große Splitterwand</t>
        </is>
      </c>
      <c r="F1519" t="inlineStr">
        <is>
          <t>Erdbeschwörung</t>
        </is>
      </c>
      <c r="G1519" t="inlineStr">
        <is>
          <t>Wert</t>
        </is>
      </c>
      <c r="K1519" t="inlineStr">
        <is>
          <t>4</t>
        </is>
      </c>
      <c r="L1519" t="inlineStr">
        <is>
          <t>WENN(wert=0;0;10+(wert-1)*grad)</t>
        </is>
      </c>
      <c r="P1519" t="inlineStr">
        <is>
          <t>eig_bonus_k_staerke</t>
        </is>
      </c>
      <c r="Q151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1520" hidden="1" ht="15.75" customHeight="1" s="48">
      <c r="A1520" t="inlineStr">
        <is>
          <t>spruchmagie_erdbeschwoerung_5_grosse_splitteraura</t>
        </is>
      </c>
      <c r="B1520" t="inlineStr">
        <is>
          <t>Spruchmagie</t>
        </is>
      </c>
      <c r="C1520" t="inlineStr">
        <is>
          <t>Große Splitteraura</t>
        </is>
      </c>
      <c r="F1520" t="inlineStr">
        <is>
          <t>Erdbeschwörung</t>
        </is>
      </c>
      <c r="G1520" t="inlineStr">
        <is>
          <t>Wert</t>
        </is>
      </c>
      <c r="K1520" t="inlineStr">
        <is>
          <t>5</t>
        </is>
      </c>
      <c r="L1520" t="inlineStr">
        <is>
          <t>WENN(wert=0;0;10+(wert-1)*grad)</t>
        </is>
      </c>
      <c r="P1520" t="inlineStr">
        <is>
          <t>eig_bonus_k_staerke</t>
        </is>
      </c>
      <c r="Q152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1521" hidden="1" ht="15.75" customHeight="1" s="48">
      <c r="A1521" t="inlineStr">
        <is>
          <t>spruchmagie_erdbeschwoerung_5_splittersturm</t>
        </is>
      </c>
      <c r="B1521" t="inlineStr">
        <is>
          <t>Spruchmagie</t>
        </is>
      </c>
      <c r="C1521" t="inlineStr">
        <is>
          <t>Splittersturm</t>
        </is>
      </c>
      <c r="F1521" t="inlineStr">
        <is>
          <t>Erdbeschwörung</t>
        </is>
      </c>
      <c r="G1521" t="inlineStr">
        <is>
          <t>Wert</t>
        </is>
      </c>
      <c r="K1521" t="inlineStr">
        <is>
          <t>5</t>
        </is>
      </c>
      <c r="L1521" t="inlineStr">
        <is>
          <t>WENN(wert=0;0;10+(wert-1)*grad)</t>
        </is>
      </c>
      <c r="P1521" t="inlineStr">
        <is>
          <t>eig_bonus_k_staerke</t>
        </is>
      </c>
      <c r="Q1521" t="inlineStr">
        <is>
          <t>Eine vom Magus ausgehende kugelförmige Explosion verursacht Elementarschaden. Es ist unmöglich, dem Schaden zu entgehen. Jede TZ wird getroffen. Schaden: W8 + {Magie}, RB 3.</t>
        </is>
      </c>
    </row>
    <row r="1522" hidden="1" ht="15.75" customHeight="1" s="48">
      <c r="A1522" t="inlineStr">
        <is>
          <t>spruchmagie_erdbeschwoerung_5_grosser_steinschuss</t>
        </is>
      </c>
      <c r="B1522" t="inlineStr">
        <is>
          <t>Spruchmagie</t>
        </is>
      </c>
      <c r="C1522" t="inlineStr">
        <is>
          <t>Großer Steinschuss</t>
        </is>
      </c>
      <c r="F1522" t="inlineStr">
        <is>
          <t>Erdbeschwörung</t>
        </is>
      </c>
      <c r="G1522" t="inlineStr">
        <is>
          <t>Wert</t>
        </is>
      </c>
      <c r="K1522" t="inlineStr">
        <is>
          <t>5</t>
        </is>
      </c>
      <c r="L1522" t="inlineStr">
        <is>
          <t>WENN(wert=0;0;10+(wert-1)*grad)</t>
        </is>
      </c>
      <c r="P1522" t="inlineStr">
        <is>
          <t>eig_bonus_k_staerke</t>
        </is>
      </c>
      <c r="Q1522" t="inlineStr">
        <is>
          <t>Der Magus erschafft einen Bolzen aus Erde. Treffer auf FK-TZ. Schaden: 2W10 + {Magie}; RB: 6 + {M}:2</t>
        </is>
      </c>
    </row>
    <row r="1523" hidden="1" ht="15.75" customHeight="1" s="48">
      <c r="A1523" t="inlineStr">
        <is>
          <t>spruchmagie_erdbeschwoerung_6_grosse_steinkugel_salve</t>
        </is>
      </c>
      <c r="B1523" t="inlineStr">
        <is>
          <t>Spruchmagie</t>
        </is>
      </c>
      <c r="C1523" t="inlineStr">
        <is>
          <t>Große Steinkugel-Salve</t>
        </is>
      </c>
      <c r="F1523" t="inlineStr">
        <is>
          <t>Erdbeschwörung</t>
        </is>
      </c>
      <c r="G1523" t="inlineStr">
        <is>
          <t>Wert</t>
        </is>
      </c>
      <c r="K1523" t="inlineStr">
        <is>
          <t>6</t>
        </is>
      </c>
      <c r="L1523" t="inlineStr">
        <is>
          <t>WENN(wert=0;0;10+(wert-1)*grad)</t>
        </is>
      </c>
      <c r="P1523" t="inlineStr">
        <is>
          <t>eig_bonus_k_staerke</t>
        </is>
      </c>
      <c r="Q1523" t="inlineStr">
        <is>
          <t>Der Magus erschafft {Magie} : 2 Bälle aus Erde. W12 + {Magie}, RB 5, auf jede Trefferzone.</t>
        </is>
      </c>
    </row>
    <row r="1524" hidden="1" ht="15.75" customHeight="1" s="48">
      <c r="A1524" t="inlineStr">
        <is>
          <t>spruchmagie_erdbeschwoerung_6_grosser_splitterstrahl</t>
        </is>
      </c>
      <c r="B1524" t="inlineStr">
        <is>
          <t>Spruchmagie</t>
        </is>
      </c>
      <c r="C1524" t="inlineStr">
        <is>
          <t>Großer Splitterstrahl</t>
        </is>
      </c>
      <c r="F1524" t="inlineStr">
        <is>
          <t>Erdbeschwörung</t>
        </is>
      </c>
      <c r="G1524" t="inlineStr">
        <is>
          <t>Wert</t>
        </is>
      </c>
      <c r="K1524" t="inlineStr">
        <is>
          <t>6</t>
        </is>
      </c>
      <c r="L1524" t="inlineStr">
        <is>
          <t>WENN(wert=0;0;10+(wert-1)*grad)</t>
        </is>
      </c>
      <c r="P1524" t="inlineStr">
        <is>
          <t>eig_bonus_k_staerke</t>
        </is>
      </c>
      <c r="Q1524" t="inlineStr">
        <is>
          <t>Aus der Handfläche des Magiers schießt ein {M} cm dicker Strahl aus Erde. Schaden: 2W10 + {Magie}, RB 6, pro sec, Treffer auf eine FK-TZ mit 1 zusätzlichen TZ-Reroll.</t>
        </is>
      </c>
    </row>
    <row r="1525" hidden="1" ht="15.75" customHeight="1" s="48">
      <c r="A1525" t="inlineStr">
        <is>
          <t>spruchmagie_erdbeschwoerung_6_grosser_steinschlag</t>
        </is>
      </c>
      <c r="B1525" t="inlineStr">
        <is>
          <t>Spruchmagie</t>
        </is>
      </c>
      <c r="C1525" t="inlineStr">
        <is>
          <t>Großer Steinschlag</t>
        </is>
      </c>
      <c r="F1525" t="inlineStr">
        <is>
          <t>Erdbeschwörung</t>
        </is>
      </c>
      <c r="G1525" t="inlineStr">
        <is>
          <t>Wert</t>
        </is>
      </c>
      <c r="K1525" t="inlineStr">
        <is>
          <t>6</t>
        </is>
      </c>
      <c r="L1525" t="inlineStr">
        <is>
          <t>WENN(wert=0;0;10+(wert-1)*grad)</t>
        </is>
      </c>
      <c r="P1525" t="inlineStr">
        <is>
          <t>eig_bonus_k_staerke</t>
        </is>
      </c>
      <c r="Q1525" t="inlineStr">
        <is>
          <t>Der Magus erschafft um das Opfer eine Kugel aus Erde. Treffer auf FK-TZ mit 2 TZ-Rerolls auf die gewünschte Trefferzone. Schaden: 2W12 + {Magie}, RB 9.</t>
        </is>
      </c>
    </row>
    <row r="1526" hidden="1" ht="15.75" customHeight="1" s="48">
      <c r="A1526" t="inlineStr">
        <is>
          <t>spruchmagie_erdbeschwoerung_7_grosser_splittersturm</t>
        </is>
      </c>
      <c r="B1526" t="inlineStr">
        <is>
          <t>Spruchmagie</t>
        </is>
      </c>
      <c r="C1526" t="inlineStr">
        <is>
          <t>Großer Splittersturm</t>
        </is>
      </c>
      <c r="F1526" t="inlineStr">
        <is>
          <t>Erdbeschwörung</t>
        </is>
      </c>
      <c r="G1526" t="inlineStr">
        <is>
          <t>Wert</t>
        </is>
      </c>
      <c r="K1526" t="inlineStr">
        <is>
          <t>7</t>
        </is>
      </c>
      <c r="L1526" t="inlineStr">
        <is>
          <t>WENN(wert=0;0;10+(wert-1)*grad)</t>
        </is>
      </c>
      <c r="P1526" t="inlineStr">
        <is>
          <t>eig_bonus_k_staerke</t>
        </is>
      </c>
      <c r="Q1526" t="inlineStr">
        <is>
          <t>Eine vom Magus ausgehende kugelförmige Explosion verursacht Elementarschaden. Es ist unmöglich, dem Schaden zu entgehen. Jede TZ wird getroffen. Schaden: 2W15 + {Magie}, RB 15.</t>
        </is>
      </c>
    </row>
    <row r="1527" hidden="1" ht="15.75" customHeight="1" s="48">
      <c r="A1527" t="inlineStr">
        <is>
          <t>spruchmagie_erdbeschwoerung_7_grosse_steinschuss_salve</t>
        </is>
      </c>
      <c r="B1527" t="inlineStr">
        <is>
          <t>Spruchmagie</t>
        </is>
      </c>
      <c r="C1527" t="inlineStr">
        <is>
          <t>Große Steinschuss-Salve</t>
        </is>
      </c>
      <c r="F1527" t="inlineStr">
        <is>
          <t>Erdbeschwörung</t>
        </is>
      </c>
      <c r="G1527" t="inlineStr">
        <is>
          <t>Wert</t>
        </is>
      </c>
      <c r="K1527" t="inlineStr">
        <is>
          <t>7</t>
        </is>
      </c>
      <c r="L1527" t="inlineStr">
        <is>
          <t>WENN(wert=0;0;10+(wert-1)*grad)</t>
        </is>
      </c>
      <c r="P1527" t="inlineStr">
        <is>
          <t>eig_bonus_k_staerke</t>
        </is>
      </c>
      <c r="Q1527" t="inlineStr">
        <is>
          <t>Der Magus erschafft {Magie} : 2 Bolzen aus Erde. Jeweils Treffer auf FK-TZ. Schaden: 2W10 + {Magie}; RB: 6 + {M}:2</t>
        </is>
      </c>
    </row>
    <row r="1528" hidden="1" ht="15.75" customHeight="1" s="48">
      <c r="A1528" t="inlineStr">
        <is>
          <t>spruchmagie_feuerbeschwoerung_1_flammenfaust</t>
        </is>
      </c>
      <c r="B1528" t="inlineStr">
        <is>
          <t>Spruchmagie</t>
        </is>
      </c>
      <c r="C1528" t="inlineStr">
        <is>
          <t>Flammenfaust</t>
        </is>
      </c>
      <c r="F1528" t="inlineStr">
        <is>
          <t>Feuerbeschwörung</t>
        </is>
      </c>
      <c r="G1528" t="inlineStr">
        <is>
          <t>Wert</t>
        </is>
      </c>
      <c r="K1528" t="inlineStr">
        <is>
          <t>1</t>
        </is>
      </c>
      <c r="L1528" t="inlineStr">
        <is>
          <t>WENN(wert=0;0;10+(wert-1)*grad)</t>
        </is>
      </c>
      <c r="P1528" t="inlineStr">
        <is>
          <t>eig_bonus_g_mut</t>
        </is>
      </c>
      <c r="Q1528" t="inlineStr">
        <is>
          <t>Die Fäuste des Magiers verursachen zusätzlichen Elementarschaden.   Schaden:   W10 + {Magie}</t>
        </is>
      </c>
    </row>
    <row r="1529" hidden="1" ht="15.75" customHeight="1" s="48">
      <c r="A1529" t="inlineStr">
        <is>
          <t>spruchmagie_feuerbeschwoerung_1_feuerball</t>
        </is>
      </c>
      <c r="B1529" t="inlineStr">
        <is>
          <t>Spruchmagie</t>
        </is>
      </c>
      <c r="C1529" t="inlineStr">
        <is>
          <t>Feuerball</t>
        </is>
      </c>
      <c r="F1529" t="inlineStr">
        <is>
          <t>Feuerbeschwörung</t>
        </is>
      </c>
      <c r="G1529" t="inlineStr">
        <is>
          <t>Wert</t>
        </is>
      </c>
      <c r="K1529" t="inlineStr">
        <is>
          <t>1</t>
        </is>
      </c>
      <c r="L1529" t="inlineStr">
        <is>
          <t>WENN(wert=0;0;10+(wert-1)*grad)</t>
        </is>
      </c>
      <c r="P1529" t="inlineStr">
        <is>
          <t>eig_bonus_g_mut</t>
        </is>
      </c>
      <c r="Q1529" t="inlineStr">
        <is>
          <t>Der Magus erschafft einen Ball aus Feuer. Schaden: 2W6 + {Magie}.</t>
        </is>
      </c>
    </row>
    <row r="1530" hidden="1" ht="15.75" customHeight="1" s="48">
      <c r="A1530" t="inlineStr">
        <is>
          <t>spruchmagie_feuerbeschwoerung_1_flammenwand</t>
        </is>
      </c>
      <c r="B1530" t="inlineStr">
        <is>
          <t>Spruchmagie</t>
        </is>
      </c>
      <c r="C1530" t="inlineStr">
        <is>
          <t>Flammenwand</t>
        </is>
      </c>
      <c r="F1530" t="inlineStr">
        <is>
          <t>Feuerbeschwörung</t>
        </is>
      </c>
      <c r="G1530" t="inlineStr">
        <is>
          <t>Wert</t>
        </is>
      </c>
      <c r="K1530" t="inlineStr">
        <is>
          <t>1</t>
        </is>
      </c>
      <c r="L1530" t="inlineStr">
        <is>
          <t>WENN(wert=0;0;10+(wert-1)*grad)</t>
        </is>
      </c>
      <c r="P1530" t="inlineStr">
        <is>
          <t>eig_bonus_g_mut</t>
        </is>
      </c>
      <c r="Q1530"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531" hidden="1" ht="15.75" customHeight="1" s="48">
      <c r="A1531" t="inlineStr">
        <is>
          <t>spruchmagie_feuerbeschwoerung_2_feuerpfeil</t>
        </is>
      </c>
      <c r="B1531" t="inlineStr">
        <is>
          <t>Spruchmagie</t>
        </is>
      </c>
      <c r="C1531" t="inlineStr">
        <is>
          <t>Feuerpfeil</t>
        </is>
      </c>
      <c r="F1531" t="inlineStr">
        <is>
          <t>Feuerbeschwörung</t>
        </is>
      </c>
      <c r="G1531" t="inlineStr">
        <is>
          <t>Wert</t>
        </is>
      </c>
      <c r="K1531" t="inlineStr">
        <is>
          <t>2</t>
        </is>
      </c>
      <c r="L1531" t="inlineStr">
        <is>
          <t>WENN(wert=0;0;10+(wert-1)*grad)</t>
        </is>
      </c>
      <c r="P1531" t="inlineStr">
        <is>
          <t>eig_bonus_g_mut</t>
        </is>
      </c>
      <c r="Q1531" t="inlineStr">
        <is>
          <t>Der Magus erschafft einen Bolzen aus Feuer. Treffer auf FK-TZ. Schaden: 2W8 + {Magie}; RB: {Magie}*2</t>
        </is>
      </c>
    </row>
    <row r="1532" hidden="1" ht="15.75" customHeight="1" s="48">
      <c r="A1532" t="inlineStr">
        <is>
          <t>spruchmagie_feuerbeschwoerung_2_flammenaura</t>
        </is>
      </c>
      <c r="B1532" t="inlineStr">
        <is>
          <t>Spruchmagie</t>
        </is>
      </c>
      <c r="C1532" t="inlineStr">
        <is>
          <t>Flammenaura</t>
        </is>
      </c>
      <c r="F1532" t="inlineStr">
        <is>
          <t>Feuerbeschwörung</t>
        </is>
      </c>
      <c r="G1532" t="inlineStr">
        <is>
          <t>Wert</t>
        </is>
      </c>
      <c r="K1532" t="inlineStr">
        <is>
          <t>2</t>
        </is>
      </c>
      <c r="L1532" t="inlineStr">
        <is>
          <t>WENN(wert=0;0;10+(wert-1)*grad)</t>
        </is>
      </c>
      <c r="P1532" t="inlineStr">
        <is>
          <t>eig_bonus_g_mut</t>
        </is>
      </c>
      <c r="Q15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533" hidden="1" ht="15.75" customHeight="1" s="48">
      <c r="A1533" t="inlineStr">
        <is>
          <t>spruchmagie_feuerbeschwoerung_2_flammenstrahl</t>
        </is>
      </c>
      <c r="B1533" t="inlineStr">
        <is>
          <t>Spruchmagie</t>
        </is>
      </c>
      <c r="C1533" t="inlineStr">
        <is>
          <t>Flammenstrahl</t>
        </is>
      </c>
      <c r="F1533" t="inlineStr">
        <is>
          <t>Feuerbeschwörung</t>
        </is>
      </c>
      <c r="G1533" t="inlineStr">
        <is>
          <t>Wert</t>
        </is>
      </c>
      <c r="K1533" t="inlineStr">
        <is>
          <t>2</t>
        </is>
      </c>
      <c r="L1533" t="inlineStr">
        <is>
          <t>WENN(wert=0;0;10+(wert-1)*grad)</t>
        </is>
      </c>
      <c r="P1533" t="inlineStr">
        <is>
          <t>eig_bonus_g_mut</t>
        </is>
      </c>
      <c r="Q1533" t="inlineStr">
        <is>
          <t>Aus der Handfläche des Magiers schießt ein {M} cm dicker Strahl aus Feuer. Schaden: W12+{Magie} pro sec, Treffer auf eine FK-TZ mit 1 zusätzlichen TZ-Reroll.</t>
        </is>
      </c>
    </row>
    <row r="1534" hidden="1" ht="15.75" customHeight="1" s="48">
      <c r="A1534" t="inlineStr">
        <is>
          <t>spruchmagie_feuerbeschwoerung_3_grosse_flammenfaust</t>
        </is>
      </c>
      <c r="B1534" t="inlineStr">
        <is>
          <t>Spruchmagie</t>
        </is>
      </c>
      <c r="C1534" t="inlineStr">
        <is>
          <t>Große Flammenfaust</t>
        </is>
      </c>
      <c r="F1534" t="inlineStr">
        <is>
          <t>Feuerbeschwörung</t>
        </is>
      </c>
      <c r="G1534" t="inlineStr">
        <is>
          <t>Wert</t>
        </is>
      </c>
      <c r="K1534" t="inlineStr">
        <is>
          <t>3</t>
        </is>
      </c>
      <c r="L1534" t="inlineStr">
        <is>
          <t>WENN(wert=0;0;10+(wert-1)*grad)</t>
        </is>
      </c>
      <c r="P1534" t="inlineStr">
        <is>
          <t>eig_bonus_g_mut</t>
        </is>
      </c>
      <c r="Q1534" t="inlineStr">
        <is>
          <t>Die Fäuste des Magiers verursachen zusätzlichen Elementarschaden von   2W15+{Magie}</t>
        </is>
      </c>
    </row>
    <row r="1535" hidden="1" ht="15.75" customHeight="1" s="48">
      <c r="A1535" t="inlineStr">
        <is>
          <t>spruchmagie_feuerbeschwoerung_3_feuerball_salve</t>
        </is>
      </c>
      <c r="B1535" t="inlineStr">
        <is>
          <t>Spruchmagie</t>
        </is>
      </c>
      <c r="C1535" t="inlineStr">
        <is>
          <t>Feuerball-Salve</t>
        </is>
      </c>
      <c r="F1535" t="inlineStr">
        <is>
          <t>Feuerbeschwörung</t>
        </is>
      </c>
      <c r="G1535" t="inlineStr">
        <is>
          <t>Wert</t>
        </is>
      </c>
      <c r="K1535" t="inlineStr">
        <is>
          <t>3</t>
        </is>
      </c>
      <c r="L1535" t="inlineStr">
        <is>
          <t>WENN(wert=0;0;10+(wert-1)*grad)</t>
        </is>
      </c>
      <c r="P1535" t="inlineStr">
        <is>
          <t>eig_bonus_g_mut</t>
        </is>
      </c>
      <c r="Q1535" t="inlineStr">
        <is>
          <t>Der Magus erschafft {Magie} : 2 Bälle aus Feuer. Schaden: 2W6 + {Magie}.</t>
        </is>
      </c>
    </row>
    <row r="1536" hidden="1" ht="15.75" customHeight="1" s="48">
      <c r="A1536" t="inlineStr">
        <is>
          <t>spruchmagie_feuerbeschwoerung_3_feuer_klinge</t>
        </is>
      </c>
      <c r="B1536" t="inlineStr">
        <is>
          <t>Spruchmagie</t>
        </is>
      </c>
      <c r="C1536" t="inlineStr">
        <is>
          <t>Feuer-Klinge</t>
        </is>
      </c>
      <c r="F1536" t="inlineStr">
        <is>
          <t>Feuerbeschwörung</t>
        </is>
      </c>
      <c r="G1536" t="inlineStr">
        <is>
          <t>Wert</t>
        </is>
      </c>
      <c r="K1536" t="inlineStr">
        <is>
          <t>3</t>
        </is>
      </c>
      <c r="L1536" t="inlineStr">
        <is>
          <t>WENN(wert=0;0;10+(wert-1)*grad)</t>
        </is>
      </c>
      <c r="P1536" t="inlineStr">
        <is>
          <t>eig_bonus_g_mut</t>
        </is>
      </c>
      <c r="Q1536" t="inlineStr">
        <is>
          <t>Eine Waffe erhält zusätzliche Schadenswirkung entsprechend der Magie des Magus: 1=W4, 2=W6, 3=W8, 4=W10, 5=W12, 6=W15, 7=W20, 8=W30, 9=2W20, 10=W50, 11=2W30. Bei guter oder besserer Probe können die KK-Punkte zum Erhöhen der Wirkung nur dafür eingesetzt werden, die W-Klasse zu erhöhen.</t>
        </is>
      </c>
    </row>
    <row r="1537" hidden="1" ht="15.75" customHeight="1" s="48">
      <c r="A1537" t="inlineStr">
        <is>
          <t>spruchmagie_feuerbeschwoerung_3_flammen_pfeil</t>
        </is>
      </c>
      <c r="B1537" t="inlineStr">
        <is>
          <t>Spruchmagie</t>
        </is>
      </c>
      <c r="C1537" t="inlineStr">
        <is>
          <t>Flammen-Pfeil</t>
        </is>
      </c>
      <c r="F1537" t="inlineStr">
        <is>
          <t>Feuerbeschwörung</t>
        </is>
      </c>
      <c r="G1537" t="inlineStr">
        <is>
          <t>Wert</t>
        </is>
      </c>
      <c r="K1537" t="inlineStr">
        <is>
          <t>3</t>
        </is>
      </c>
      <c r="L1537" t="inlineStr">
        <is>
          <t>WENN(wert=0;0;10+(wert-1)*grad)</t>
        </is>
      </c>
      <c r="P1537" t="inlineStr">
        <is>
          <t>eig_bonus_g_mut</t>
        </is>
      </c>
      <c r="Q1537" t="inlineStr">
        <is>
          <t>Ein Pfeil erhält eine zusätzliche Schadenswirkung entsprechend der Magie des Magus:1=W4, 2=W6, 3=W8, 4=W10, 5=W12, 6=W15, 7=W20, 8=W30, 9=2W20, 10=W50, 11=2W30. Bei guter oder besserer Probe können die KK-Punkte zum Erhöhen der Wirkung nur dafür eingesetzt werden, die W-Klasse zu erhöhen.</t>
        </is>
      </c>
    </row>
    <row r="1538" hidden="1" ht="15.75" customHeight="1" s="48">
      <c r="A1538" t="inlineStr">
        <is>
          <t>spruchmagie_feuerbeschwoerung_3_feuerblitz</t>
        </is>
      </c>
      <c r="B1538" t="inlineStr">
        <is>
          <t>Spruchmagie</t>
        </is>
      </c>
      <c r="C1538" t="inlineStr">
        <is>
          <t>Feuerblitz</t>
        </is>
      </c>
      <c r="F1538" t="inlineStr">
        <is>
          <t>Feuerbeschwörung</t>
        </is>
      </c>
      <c r="G1538" t="inlineStr">
        <is>
          <t>Wert</t>
        </is>
      </c>
      <c r="K1538" t="inlineStr">
        <is>
          <t>3</t>
        </is>
      </c>
      <c r="L1538" t="inlineStr">
        <is>
          <t>WENN(wert=0;0;10+(wert-1)*grad)</t>
        </is>
      </c>
      <c r="P1538" t="inlineStr">
        <is>
          <t>eig_bonus_g_mut</t>
        </is>
      </c>
      <c r="Q1538" t="inlineStr">
        <is>
          <t>Der Magus erschafft um das Opfer eine Kugel aus Feuer.  Treffer auf FK-TZ mit 2 TZ-Rerolls auf die gewünschte Trefferzone. Schaden: 2W8 + {Magie}.</t>
        </is>
      </c>
    </row>
    <row r="1539" hidden="1" ht="15.75" customHeight="1" s="48">
      <c r="A1539" t="inlineStr">
        <is>
          <t>spruchmagie_feuerbeschwoerung_4_grosser_feuerball</t>
        </is>
      </c>
      <c r="B1539" t="inlineStr">
        <is>
          <t>Spruchmagie</t>
        </is>
      </c>
      <c r="C1539" t="inlineStr">
        <is>
          <t>Großer Feuerball</t>
        </is>
      </c>
      <c r="F1539" t="inlineStr">
        <is>
          <t>Feuerbeschwörung</t>
        </is>
      </c>
      <c r="G1539" t="inlineStr">
        <is>
          <t>Wert</t>
        </is>
      </c>
      <c r="K1539" t="inlineStr">
        <is>
          <t>4</t>
        </is>
      </c>
      <c r="L1539" t="inlineStr">
        <is>
          <t>WENN(wert=0;0;10+(wert-1)*grad)</t>
        </is>
      </c>
      <c r="P1539" t="inlineStr">
        <is>
          <t>eig_bonus_g_mut</t>
        </is>
      </c>
      <c r="Q1539" t="inlineStr">
        <is>
          <t>Der Magus erschafft einen Ball aus Feuer. Schaden: W15 + {Magie} auf jede Trefferzone.</t>
        </is>
      </c>
    </row>
    <row r="1540" hidden="1" ht="15.75" customHeight="1" s="48">
      <c r="A1540" t="inlineStr">
        <is>
          <t>spruchmagie_feuerbeschwoerung_4_feuerpfeil_salve</t>
        </is>
      </c>
      <c r="B1540" t="inlineStr">
        <is>
          <t>Spruchmagie</t>
        </is>
      </c>
      <c r="C1540" t="inlineStr">
        <is>
          <t>Feuerpfeil-Salve</t>
        </is>
      </c>
      <c r="F1540" t="inlineStr">
        <is>
          <t>Feuerbeschwörung</t>
        </is>
      </c>
      <c r="G1540" t="inlineStr">
        <is>
          <t>Wert</t>
        </is>
      </c>
      <c r="K1540" t="inlineStr">
        <is>
          <t>4</t>
        </is>
      </c>
      <c r="L1540" t="inlineStr">
        <is>
          <t>WENN(wert=0;0;10+(wert-1)*grad)</t>
        </is>
      </c>
      <c r="P1540" t="inlineStr">
        <is>
          <t>eig_bonus_g_mut</t>
        </is>
      </c>
      <c r="Q1540" t="inlineStr">
        <is>
          <t>Der Magus erschafft {Magie} : 2 Bolzen aus Feuer. Treffer auf FK-TZ, Schaden: 2W8 + {Magie}; RB: {Magie}*2</t>
        </is>
      </c>
    </row>
    <row r="1541" hidden="1" ht="15.75" customHeight="1" s="48">
      <c r="A1541" t="inlineStr">
        <is>
          <t>spruchmagie_feuerbeschwoerung_4_grosse_flammenwand</t>
        </is>
      </c>
      <c r="B1541" t="inlineStr">
        <is>
          <t>Spruchmagie</t>
        </is>
      </c>
      <c r="C1541" t="inlineStr">
        <is>
          <t>Große Flammenwand</t>
        </is>
      </c>
      <c r="F1541" t="inlineStr">
        <is>
          <t>Feuerbeschwörung</t>
        </is>
      </c>
      <c r="G1541" t="inlineStr">
        <is>
          <t>Wert</t>
        </is>
      </c>
      <c r="K1541" t="inlineStr">
        <is>
          <t>4</t>
        </is>
      </c>
      <c r="L1541" t="inlineStr">
        <is>
          <t>WENN(wert=0;0;10+(wert-1)*grad)</t>
        </is>
      </c>
      <c r="P1541" t="inlineStr">
        <is>
          <t>eig_bonus_g_mut</t>
        </is>
      </c>
      <c r="Q1541"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542" hidden="1" ht="15.75" customHeight="1" s="48">
      <c r="A1542" t="inlineStr">
        <is>
          <t>spruchmagie_feuerbeschwoerung_5_grosse_flammenaura</t>
        </is>
      </c>
      <c r="B1542" t="inlineStr">
        <is>
          <t>Spruchmagie</t>
        </is>
      </c>
      <c r="C1542" t="inlineStr">
        <is>
          <t>Große Flammenaura</t>
        </is>
      </c>
      <c r="F1542" t="inlineStr">
        <is>
          <t>Feuerbeschwörung</t>
        </is>
      </c>
      <c r="G1542" t="inlineStr">
        <is>
          <t>Wert</t>
        </is>
      </c>
      <c r="K1542" t="inlineStr">
        <is>
          <t>5</t>
        </is>
      </c>
      <c r="L1542" t="inlineStr">
        <is>
          <t>WENN(wert=0;0;10+(wert-1)*grad)</t>
        </is>
      </c>
      <c r="P1542" t="inlineStr">
        <is>
          <t>eig_bonus_g_mut</t>
        </is>
      </c>
      <c r="Q154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543" hidden="1" ht="15.75" customHeight="1" s="48">
      <c r="A1543" t="inlineStr">
        <is>
          <t>spruchmagie_feuerbeschwoerung_5_flammenmeer</t>
        </is>
      </c>
      <c r="B1543" t="inlineStr">
        <is>
          <t>Spruchmagie</t>
        </is>
      </c>
      <c r="C1543" t="inlineStr">
        <is>
          <t>Flammenmeer</t>
        </is>
      </c>
      <c r="F1543" t="inlineStr">
        <is>
          <t>Feuerbeschwörung</t>
        </is>
      </c>
      <c r="G1543" t="inlineStr">
        <is>
          <t>Wert</t>
        </is>
      </c>
      <c r="K1543" t="inlineStr">
        <is>
          <t>5</t>
        </is>
      </c>
      <c r="L1543" t="inlineStr">
        <is>
          <t>WENN(wert=0;0;10+(wert-1)*grad)</t>
        </is>
      </c>
      <c r="P1543" t="inlineStr">
        <is>
          <t>eig_bonus_g_mut</t>
        </is>
      </c>
      <c r="Q1543" t="inlineStr">
        <is>
          <t>Eine vom Magus ausgehende kugelförmige Explosion verursacht Elementarschaden. Es ist unmöglich, dem Schaden zu entgehen. Jede TZ wird getroffen. Schaden: W10 + {Magie} : 2</t>
        </is>
      </c>
    </row>
    <row r="1544" hidden="1" ht="15.75" customHeight="1" s="48">
      <c r="A1544" t="inlineStr">
        <is>
          <t>spruchmagie_feuerbeschwoerung_5_grosser_feuerpfeil</t>
        </is>
      </c>
      <c r="B1544" t="inlineStr">
        <is>
          <t>Spruchmagie</t>
        </is>
      </c>
      <c r="C1544" t="inlineStr">
        <is>
          <t>Großer Feuerpfeil</t>
        </is>
      </c>
      <c r="F1544" t="inlineStr">
        <is>
          <t>Feuerbeschwörung</t>
        </is>
      </c>
      <c r="G1544" t="inlineStr">
        <is>
          <t>Wert</t>
        </is>
      </c>
      <c r="K1544" t="inlineStr">
        <is>
          <t>5</t>
        </is>
      </c>
      <c r="L1544" t="inlineStr">
        <is>
          <t>WENN(wert=0;0;10+(wert-1)*grad)</t>
        </is>
      </c>
      <c r="P1544" t="inlineStr">
        <is>
          <t>eig_bonus_g_mut</t>
        </is>
      </c>
      <c r="Q1544" t="inlineStr">
        <is>
          <t>Der Magus erschafft einen Bolzen aus Feuer. Treffer auf FK-TZ. Schaden: 2W12 + {Magie}; RB: {M}:2</t>
        </is>
      </c>
    </row>
    <row r="1545" hidden="1" ht="15.75" customHeight="1" s="48">
      <c r="A1545" t="inlineStr">
        <is>
          <t>spruchmagie_feuerbeschwoerung_6_grosse_feuerball_salve</t>
        </is>
      </c>
      <c r="B1545" t="inlineStr">
        <is>
          <t>Spruchmagie</t>
        </is>
      </c>
      <c r="C1545" t="inlineStr">
        <is>
          <t>Große Feuerball-Salve</t>
        </is>
      </c>
      <c r="F1545" t="inlineStr">
        <is>
          <t>Feuerbeschwörung</t>
        </is>
      </c>
      <c r="G1545" t="inlineStr">
        <is>
          <t>Wert</t>
        </is>
      </c>
      <c r="K1545" t="inlineStr">
        <is>
          <t>6</t>
        </is>
      </c>
      <c r="L1545" t="inlineStr">
        <is>
          <t>WENN(wert=0;0;10+(wert-1)*grad)</t>
        </is>
      </c>
      <c r="P1545" t="inlineStr">
        <is>
          <t>eig_bonus_g_mut</t>
        </is>
      </c>
      <c r="Q1545" t="inlineStr">
        <is>
          <t>Der Magus erschafft {Magie} : 2 Bälle aus Feuer. W15 + {Magie} auf jede Trefferzone.</t>
        </is>
      </c>
    </row>
    <row r="1546" hidden="1" ht="15.75" customHeight="1" s="48">
      <c r="A1546" t="inlineStr">
        <is>
          <t>spruchmagie_feuerbeschwoerung_6_grosser_flammenstrahl</t>
        </is>
      </c>
      <c r="B1546" t="inlineStr">
        <is>
          <t>Spruchmagie</t>
        </is>
      </c>
      <c r="C1546" t="inlineStr">
        <is>
          <t>Großer Flammenstrahl</t>
        </is>
      </c>
      <c r="F1546" t="inlineStr">
        <is>
          <t>Feuerbeschwörung</t>
        </is>
      </c>
      <c r="G1546" t="inlineStr">
        <is>
          <t>Wert</t>
        </is>
      </c>
      <c r="K1546" t="inlineStr">
        <is>
          <t>6</t>
        </is>
      </c>
      <c r="L1546" t="inlineStr">
        <is>
          <t>WENN(wert=0;0;10+(wert-1)*grad)</t>
        </is>
      </c>
      <c r="P1546" t="inlineStr">
        <is>
          <t>eig_bonus_g_mut</t>
        </is>
      </c>
      <c r="Q1546" t="inlineStr">
        <is>
          <t>Aus der Handfläche des Magiers schießt ein {M} cm dicker Strahl aus Feuer. Schaden: 2W12 + {Magie} pro sec, Treffer auf eine FK-TZ mit 1 zusätzlichen TZ-Reroll.</t>
        </is>
      </c>
    </row>
    <row r="1547" hidden="1" ht="15.75" customHeight="1" s="48">
      <c r="A1547" t="inlineStr">
        <is>
          <t>spruchmagie_feuerbeschwoerung_6_grosser_feuerblitz</t>
        </is>
      </c>
      <c r="B1547" t="inlineStr">
        <is>
          <t>Spruchmagie</t>
        </is>
      </c>
      <c r="C1547" t="inlineStr">
        <is>
          <t>Großer Feuerblitz</t>
        </is>
      </c>
      <c r="F1547" t="inlineStr">
        <is>
          <t>Feuerbeschwörung</t>
        </is>
      </c>
      <c r="G1547" t="inlineStr">
        <is>
          <t>Wert</t>
        </is>
      </c>
      <c r="K1547" t="inlineStr">
        <is>
          <t>6</t>
        </is>
      </c>
      <c r="L1547" t="inlineStr">
        <is>
          <t>WENN(wert=0;0;10+(wert-1)*grad)</t>
        </is>
      </c>
      <c r="P1547" t="inlineStr">
        <is>
          <t>eig_bonus_g_mut</t>
        </is>
      </c>
      <c r="Q1547" t="inlineStr">
        <is>
          <t>Der Magus erschafft um das Opfer eine Kugel aus Eis.  Treffer auf FK-TZ mit 2 TZ-Rerolls auf die gewünschte Trefferzone. Schaden: 2W15 + {Magie}.</t>
        </is>
      </c>
    </row>
    <row r="1548" hidden="1" ht="15.75" customHeight="1" s="48">
      <c r="A1548" t="inlineStr">
        <is>
          <t>spruchmagie_feuerbeschwoerung_7_inferno</t>
        </is>
      </c>
      <c r="B1548" t="inlineStr">
        <is>
          <t>Spruchmagie</t>
        </is>
      </c>
      <c r="C1548" t="inlineStr">
        <is>
          <t>Inferno</t>
        </is>
      </c>
      <c r="F1548" t="inlineStr">
        <is>
          <t>Feuerbeschwörung</t>
        </is>
      </c>
      <c r="G1548" t="inlineStr">
        <is>
          <t>Wert</t>
        </is>
      </c>
      <c r="K1548" t="inlineStr">
        <is>
          <t>7</t>
        </is>
      </c>
      <c r="L1548" t="inlineStr">
        <is>
          <t>WENN(wert=0;0;10+(wert-1)*grad)</t>
        </is>
      </c>
      <c r="P1548" t="inlineStr">
        <is>
          <t>eig_bonus_g_mut</t>
        </is>
      </c>
      <c r="Q1548" t="inlineStr">
        <is>
          <t>Eine vom Magus ausgehende kugelförmige Explosion verursacht Elementarschaden. Es ist unmöglich, dem Schaden zu entgehen. Jede TZ wird getroffen. Schaden: 2W20 + {Magie}</t>
        </is>
      </c>
    </row>
    <row r="1549" hidden="1" ht="15.75" customHeight="1" s="48">
      <c r="A1549" t="inlineStr">
        <is>
          <t>spruchmagie_feuerbeschwoerung_7_grosse_feuerpfeil_salve</t>
        </is>
      </c>
      <c r="B1549" t="inlineStr">
        <is>
          <t>Spruchmagie</t>
        </is>
      </c>
      <c r="C1549" t="inlineStr">
        <is>
          <t>Große Feuerpfeil-Salve</t>
        </is>
      </c>
      <c r="F1549" t="inlineStr">
        <is>
          <t>Feuerbeschwörung</t>
        </is>
      </c>
      <c r="G1549" t="inlineStr">
        <is>
          <t>Wert</t>
        </is>
      </c>
      <c r="K1549" t="inlineStr">
        <is>
          <t>7</t>
        </is>
      </c>
      <c r="L1549" t="inlineStr">
        <is>
          <t>WENN(wert=0;0;10+(wert-1)*grad)</t>
        </is>
      </c>
      <c r="P1549" t="inlineStr">
        <is>
          <t>eig_bonus_g_mut</t>
        </is>
      </c>
      <c r="Q1549" t="inlineStr">
        <is>
          <t>Der Magus erschafft {Magie} : 2 Bolzen aus Feuer. Jeweils Treffer auf FK-TZ. Schaden: 2W12 + {Magie}; RB: {M}:2</t>
        </is>
      </c>
    </row>
    <row r="1550" hidden="1" ht="15.75" customHeight="1" s="48">
      <c r="A1550" t="inlineStr">
        <is>
          <t>spruchmagie_heilung_1_schmerz_unterdruecken</t>
        </is>
      </c>
      <c r="B1550" t="inlineStr">
        <is>
          <t>Spruchmagie</t>
        </is>
      </c>
      <c r="C1550" t="inlineStr">
        <is>
          <t>Schmerz unterdrücken</t>
        </is>
      </c>
      <c r="F1550" t="inlineStr">
        <is>
          <t>Heilung</t>
        </is>
      </c>
      <c r="G1550" t="inlineStr">
        <is>
          <t>Wert</t>
        </is>
      </c>
      <c r="K1550" t="inlineStr">
        <is>
          <t>1</t>
        </is>
      </c>
      <c r="L1550" t="inlineStr">
        <is>
          <t>WENN(wert=0;0;10+(wert-1)*grad)</t>
        </is>
      </c>
      <c r="P1550" t="inlineStr">
        <is>
          <t>eig_bonus_g_sinneschaerfe</t>
        </is>
      </c>
      <c r="Q1550" t="inlineStr">
        <is>
          <t>Der Magus senkt Behinderungen, die durch beliebige Schadenswirkungen entstanden sind, um maximal {Magie} * 2 Punkte.</t>
        </is>
      </c>
    </row>
    <row r="1551" hidden="1" ht="15.75" customHeight="1" s="48">
      <c r="A1551" t="inlineStr">
        <is>
          <t>spruchmagie_heilung_1_ruhiger_schlaf</t>
        </is>
      </c>
      <c r="B1551" t="inlineStr">
        <is>
          <t>Spruchmagie</t>
        </is>
      </c>
      <c r="C1551" t="inlineStr">
        <is>
          <t>Ruhiger Schlaf</t>
        </is>
      </c>
      <c r="F1551" t="inlineStr">
        <is>
          <t>Heilung</t>
        </is>
      </c>
      <c r="G1551" t="inlineStr">
        <is>
          <t>Wert</t>
        </is>
      </c>
      <c r="K1551" t="inlineStr">
        <is>
          <t>1</t>
        </is>
      </c>
      <c r="L1551" t="inlineStr">
        <is>
          <t>WENN(wert=0;0;10+(wert-1)*grad)</t>
        </is>
      </c>
      <c r="P1551" t="inlineStr">
        <is>
          <t>eig_bonus_k_konstitution</t>
        </is>
      </c>
      <c r="Q1551"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1552" hidden="1" ht="15.75" customHeight="1" s="48">
      <c r="A1552" t="inlineStr">
        <is>
          <t>spruchmagie_heilung_1_zwang_unterdruecken</t>
        </is>
      </c>
      <c r="B1552" t="inlineStr">
        <is>
          <t>Spruchmagie</t>
        </is>
      </c>
      <c r="C1552" t="inlineStr">
        <is>
          <t>Zwang unterdrücken</t>
        </is>
      </c>
      <c r="F1552" t="inlineStr">
        <is>
          <t>Heilung</t>
        </is>
      </c>
      <c r="G1552" t="inlineStr">
        <is>
          <t>Wert</t>
        </is>
      </c>
      <c r="K1552" t="inlineStr">
        <is>
          <t>1</t>
        </is>
      </c>
      <c r="L1552" t="inlineStr">
        <is>
          <t>WENN(wert=0;0;10+(wert-1)*grad)</t>
        </is>
      </c>
      <c r="P1552" t="inlineStr">
        <is>
          <t>eig_bonus_g_willenskraft</t>
        </is>
      </c>
      <c r="Q1552" t="inlineStr">
        <is>
          <t>Der Magus hilft dem Opfer, einem psychischen Zwang für die Wirkungsdauer zu entgehen. Dies schließt alle psychischen Drogenabhängigkeiten und Süchte ein, magische Zwänge sind hiervon nicht betroffen.</t>
        </is>
      </c>
    </row>
    <row r="1553" hidden="1" ht="15.75" customHeight="1" s="48">
      <c r="A1553" t="inlineStr">
        <is>
          <t>spruchmagie_heilung_2_schlaf_der_heilung</t>
        </is>
      </c>
      <c r="B1553" t="inlineStr">
        <is>
          <t>Spruchmagie</t>
        </is>
      </c>
      <c r="C1553" t="inlineStr">
        <is>
          <t>Schlaf der Heilung</t>
        </is>
      </c>
      <c r="F1553" t="inlineStr">
        <is>
          <t>Heilung</t>
        </is>
      </c>
      <c r="G1553" t="inlineStr">
        <is>
          <t>Wert</t>
        </is>
      </c>
      <c r="K1553" t="inlineStr">
        <is>
          <t>2</t>
        </is>
      </c>
      <c r="L1553" t="inlineStr">
        <is>
          <t>WENN(wert=0;0;10+(wert-1)*grad)</t>
        </is>
      </c>
      <c r="P1553" t="inlineStr">
        <is>
          <t>eig_bonus_k_konstitution</t>
        </is>
      </c>
      <c r="Q1553"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1554" hidden="1" ht="15.75" customHeight="1" s="48">
      <c r="A1554" t="inlineStr">
        <is>
          <t>spruchmagie_heilung_2_ausdauer_wiederherstellen</t>
        </is>
      </c>
      <c r="B1554" t="inlineStr">
        <is>
          <t>Spruchmagie</t>
        </is>
      </c>
      <c r="C1554" t="inlineStr">
        <is>
          <t>Ausdauer wiederherstellen</t>
        </is>
      </c>
      <c r="F1554" t="inlineStr">
        <is>
          <t>Heilung</t>
        </is>
      </c>
      <c r="G1554" t="inlineStr">
        <is>
          <t>Wert</t>
        </is>
      </c>
      <c r="K1554" t="inlineStr">
        <is>
          <t>2</t>
        </is>
      </c>
      <c r="L1554" t="inlineStr">
        <is>
          <t>WENN(wert=0;0;10+(wert-1)*grad)</t>
        </is>
      </c>
      <c r="P1554" t="inlineStr">
        <is>
          <t>eig_bonus_k_athletik</t>
        </is>
      </c>
      <c r="Q1554" t="inlineStr">
        <is>
          <t>Das Ziel regeneriert auf der Stelle {M} Ausdauer.</t>
        </is>
      </c>
    </row>
    <row r="1555" hidden="1" ht="15.75" customHeight="1" s="48">
      <c r="A1555" t="inlineStr">
        <is>
          <t>spruchmagie_heilung_2_entzug_lindern</t>
        </is>
      </c>
      <c r="B1555" t="inlineStr">
        <is>
          <t>Spruchmagie</t>
        </is>
      </c>
      <c r="C1555" t="inlineStr">
        <is>
          <t>Entzug lindern</t>
        </is>
      </c>
      <c r="F1555" t="inlineStr">
        <is>
          <t>Heilung</t>
        </is>
      </c>
      <c r="G1555" t="inlineStr">
        <is>
          <t>Wert</t>
        </is>
      </c>
      <c r="K1555" t="inlineStr">
        <is>
          <t>2</t>
        </is>
      </c>
      <c r="L1555" t="inlineStr">
        <is>
          <t>WENN(wert=0;0;10+(wert-1)*grad)</t>
        </is>
      </c>
      <c r="P1555" t="inlineStr">
        <is>
          <t>eig_bonus_k_konstitution</t>
        </is>
      </c>
      <c r="Q1555" t="inlineStr">
        <is>
          <t>Alle Entzugserscheinungen, die durch physische Abhängigkeiten entstehen, werden hierdurch um die Hälfte reduziert.</t>
        </is>
      </c>
    </row>
    <row r="1556" hidden="1" ht="15.75" customHeight="1" s="48">
      <c r="A1556" t="inlineStr">
        <is>
          <t>spruchmagie_heilung_3_gift_lindern</t>
        </is>
      </c>
      <c r="B1556" t="inlineStr">
        <is>
          <t>Spruchmagie</t>
        </is>
      </c>
      <c r="C1556" t="inlineStr">
        <is>
          <t>Gift lindern</t>
        </is>
      </c>
      <c r="F1556" t="inlineStr">
        <is>
          <t>Heilung</t>
        </is>
      </c>
      <c r="G1556" t="inlineStr">
        <is>
          <t>Wert</t>
        </is>
      </c>
      <c r="K1556" t="inlineStr">
        <is>
          <t>3</t>
        </is>
      </c>
      <c r="L1556" t="inlineStr">
        <is>
          <t>WENN(wert=0;0;10+(wert-1)*grad)</t>
        </is>
      </c>
      <c r="P1556" t="inlineStr">
        <is>
          <t>eig_bonus_k_konstitution</t>
        </is>
      </c>
      <c r="Q1556" t="inlineStr">
        <is>
          <t>Die Wirkung aller Gifte im Organismus des Ziels wird halbiert, während sich die Wirkzeit des Giftes verdoppelt. Nach Ablauf der Wirkungsdauer normalisieen sich Wirkzeit und Wirkung von Giften.</t>
        </is>
      </c>
    </row>
    <row r="1557" hidden="1" ht="15.75" customHeight="1" s="48">
      <c r="A1557" t="inlineStr">
        <is>
          <t>spruchmagie_heilung_3_krankheit_heilen</t>
        </is>
      </c>
      <c r="B1557" t="inlineStr">
        <is>
          <t>Spruchmagie</t>
        </is>
      </c>
      <c r="C1557" t="inlineStr">
        <is>
          <t>Krankheit heilen</t>
        </is>
      </c>
      <c r="F1557" t="inlineStr">
        <is>
          <t>Heilung</t>
        </is>
      </c>
      <c r="G1557" t="inlineStr">
        <is>
          <t>Wert</t>
        </is>
      </c>
      <c r="K1557" t="inlineStr">
        <is>
          <t>3</t>
        </is>
      </c>
      <c r="L1557" t="inlineStr">
        <is>
          <t>WENN(wert=0;0;10+(wert-1)*grad)</t>
        </is>
      </c>
      <c r="P1557" t="inlineStr">
        <is>
          <t>eig_bonus_k_konstitution</t>
        </is>
      </c>
      <c r="Q1557" t="inlineStr">
        <is>
          <t>Eine unmagische Krankheit wird geheilt. Dies bedeutet, dass der Auslöser der Krankheit unwirksam geworden ist und Begleiterscheinungen wie z. B. Fieber erst abklingen müssen, damit eine vollständige Heilung aller Symptome eintritt.</t>
        </is>
      </c>
    </row>
    <row r="1558" hidden="1" ht="15.75" customHeight="1" s="48">
      <c r="A1558" t="inlineStr">
        <is>
          <t>spruchmagie_heilung_3_koma_der_heilung</t>
        </is>
      </c>
      <c r="B1558" t="inlineStr">
        <is>
          <t>Spruchmagie</t>
        </is>
      </c>
      <c r="C1558" t="inlineStr">
        <is>
          <t>Koma der Heilung</t>
        </is>
      </c>
      <c r="F1558" t="inlineStr">
        <is>
          <t>Heilung</t>
        </is>
      </c>
      <c r="G1558" t="inlineStr">
        <is>
          <t>Wert</t>
        </is>
      </c>
      <c r="K1558" t="inlineStr">
        <is>
          <t>3</t>
        </is>
      </c>
      <c r="L1558" t="inlineStr">
        <is>
          <t>WENN(wert=0;0;10+(wert-1)*grad)</t>
        </is>
      </c>
      <c r="P1558" t="inlineStr">
        <is>
          <t>eig_bonus_g_willenskraft</t>
        </is>
      </c>
      <c r="Q155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1559" hidden="1" ht="15.75" customHeight="1" s="48">
      <c r="A1559" t="inlineStr">
        <is>
          <t>spruchmagie_heilung_4_defibrillator</t>
        </is>
      </c>
      <c r="B1559" t="inlineStr">
        <is>
          <t>Spruchmagie</t>
        </is>
      </c>
      <c r="C1559" t="inlineStr">
        <is>
          <t>Defibrillator</t>
        </is>
      </c>
      <c r="F1559" t="inlineStr">
        <is>
          <t>Heilung</t>
        </is>
      </c>
      <c r="G1559" t="inlineStr">
        <is>
          <t>Wert</t>
        </is>
      </c>
      <c r="K1559" t="inlineStr">
        <is>
          <t>4</t>
        </is>
      </c>
      <c r="L1559" t="inlineStr">
        <is>
          <t>WENN(wert=0;0;10+(wert-1)*grad)</t>
        </is>
      </c>
      <c r="P1559" t="inlineStr">
        <is>
          <t>eig_bonus_k_konstitution</t>
        </is>
      </c>
      <c r="Q1559" t="inlineStr">
        <is>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is>
      </c>
    </row>
    <row r="1560" hidden="1" ht="15.75" customHeight="1" s="48">
      <c r="A1560" t="inlineStr">
        <is>
          <t>spruchmagie_heilung_4_grosse_heilung</t>
        </is>
      </c>
      <c r="B1560" t="inlineStr">
        <is>
          <t>Spruchmagie</t>
        </is>
      </c>
      <c r="C1560" t="inlineStr">
        <is>
          <t>Große Heilung</t>
        </is>
      </c>
      <c r="F1560" t="inlineStr">
        <is>
          <t>Heilung</t>
        </is>
      </c>
      <c r="G1560" t="inlineStr">
        <is>
          <t>Wert</t>
        </is>
      </c>
      <c r="K1560" t="inlineStr">
        <is>
          <t>4</t>
        </is>
      </c>
      <c r="L1560" t="inlineStr">
        <is>
          <t>WENN(wert=0;0;10+(wert-1)*grad)</t>
        </is>
      </c>
      <c r="P1560" t="inlineStr">
        <is>
          <t>eig_bonus_k_konstitution</t>
        </is>
      </c>
      <c r="Q1560" t="inlineStr">
        <is>
          <t>Der Magus kann alle Wunden schließen und Blutungen stoppen. Das Ziel regeneriert 2W15 + {Magie} Lebensenergie auf allen Trefferzonen verteilt. Überschüssige LE verfallen.</t>
        </is>
      </c>
    </row>
    <row r="1561" hidden="1" ht="15.75" customHeight="1" s="48">
      <c r="A1561" t="inlineStr">
        <is>
          <t>spruchmagie_heilung_4_entseuchung</t>
        </is>
      </c>
      <c r="B1561" t="inlineStr">
        <is>
          <t>Spruchmagie</t>
        </is>
      </c>
      <c r="C1561" t="inlineStr">
        <is>
          <t>Entseuchung</t>
        </is>
      </c>
      <c r="F1561" t="inlineStr">
        <is>
          <t>Heilung</t>
        </is>
      </c>
      <c r="G1561" t="inlineStr">
        <is>
          <t>Wert</t>
        </is>
      </c>
      <c r="K1561" t="inlineStr">
        <is>
          <t>4</t>
        </is>
      </c>
      <c r="L1561" t="inlineStr">
        <is>
          <t>WENN(wert=0;0;10+(wert-1)*grad)</t>
        </is>
      </c>
      <c r="P1561" t="inlineStr">
        <is>
          <t>eig_bonus_k_konstitution</t>
        </is>
      </c>
      <c r="Q1561" t="inlineStr">
        <is>
          <t>Das Ziel wird von den Einflüssen unmagischer Giftstoffe befreit. Gifte beenden ihre Wirkung mit Ablauf der Effektdauer.</t>
        </is>
      </c>
    </row>
    <row r="1562" hidden="1" ht="15.75" customHeight="1" s="48">
      <c r="A1562" t="inlineStr">
        <is>
          <t>spruchmagie_heilung_4_kleine_fernheilung</t>
        </is>
      </c>
      <c r="B1562" t="inlineStr">
        <is>
          <t>Spruchmagie</t>
        </is>
      </c>
      <c r="C1562" t="inlineStr">
        <is>
          <t>Kleine Fernheilung</t>
        </is>
      </c>
      <c r="F1562" t="inlineStr">
        <is>
          <t>Heilung</t>
        </is>
      </c>
      <c r="G1562" t="inlineStr">
        <is>
          <t>Wert</t>
        </is>
      </c>
      <c r="K1562" t="inlineStr">
        <is>
          <t>4</t>
        </is>
      </c>
      <c r="L1562" t="inlineStr">
        <is>
          <t>WENN(wert=0;0;10+(wert-1)*grad)</t>
        </is>
      </c>
      <c r="P1562" t="inlineStr">
        <is>
          <t>eig_bonus_k_konstitution</t>
        </is>
      </c>
      <c r="Q1562" t="inlineStr">
        <is>
          <t>Das Ziel regeneriert 2W6 + {Magie} Lebensenergie auf alle Trefferzonen verteilt. Überschüssige LE verfallen.</t>
        </is>
      </c>
    </row>
    <row r="1563" hidden="1" ht="15.75" customHeight="1" s="48">
      <c r="A1563" t="inlineStr">
        <is>
          <t>spruchmagie_heilung_5_gliedmassen_nachwachsen_lassen</t>
        </is>
      </c>
      <c r="B1563" t="inlineStr">
        <is>
          <t>Spruchmagie</t>
        </is>
      </c>
      <c r="C1563" t="inlineStr">
        <is>
          <t>Gliedmaßen nachwachsen lassen</t>
        </is>
      </c>
      <c r="F1563" t="inlineStr">
        <is>
          <t>Heilung</t>
        </is>
      </c>
      <c r="G1563" t="inlineStr">
        <is>
          <t>Wert</t>
        </is>
      </c>
      <c r="K1563" t="inlineStr">
        <is>
          <t>5</t>
        </is>
      </c>
      <c r="L1563" t="inlineStr">
        <is>
          <t>WENN(wert=0;0;10+(wert-1)*grad)</t>
        </is>
      </c>
      <c r="P1563" t="inlineStr">
        <is>
          <t>eig_bonus_k_konstitution</t>
        </is>
      </c>
      <c r="Q1563"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1564" hidden="1" ht="15.75" customHeight="1" s="48">
      <c r="A1564" t="inlineStr">
        <is>
          <t>spruchmagie_heilung_5_maechtige_heilung</t>
        </is>
      </c>
      <c r="B1564" t="inlineStr">
        <is>
          <t>Spruchmagie</t>
        </is>
      </c>
      <c r="C1564" t="inlineStr">
        <is>
          <t>Mächtige Heilung</t>
        </is>
      </c>
      <c r="F1564" t="inlineStr">
        <is>
          <t>Heilung</t>
        </is>
      </c>
      <c r="G1564" t="inlineStr">
        <is>
          <t>Wert</t>
        </is>
      </c>
      <c r="K1564" t="inlineStr">
        <is>
          <t>5</t>
        </is>
      </c>
      <c r="L1564" t="inlineStr">
        <is>
          <t>WENN(wert=0;0;10+(wert-1)*grad)</t>
        </is>
      </c>
      <c r="P1564" t="inlineStr">
        <is>
          <t>eig_bonus_k_konstitution</t>
        </is>
      </c>
      <c r="Q1564" t="inlineStr">
        <is>
          <t>Der Magus kann alle Wunden schließen und Blutungen stoppen. Das Ziel regeneriert 2W30 + {Magie} Lebensenergie auf allen Trefferzonen verteilt. Überschüssige LE verfallen.</t>
        </is>
      </c>
    </row>
    <row r="1565" hidden="1" ht="15.75" customHeight="1" s="48">
      <c r="A1565" t="inlineStr">
        <is>
          <t>spruchmagie_heilung_5_grosser_gesundheit_wiederherstellen</t>
        </is>
      </c>
      <c r="B1565" t="inlineStr">
        <is>
          <t>Spruchmagie</t>
        </is>
      </c>
      <c r="C1565" t="inlineStr">
        <is>
          <t>Großer Gesundheit wiederherstellen</t>
        </is>
      </c>
      <c r="F1565" t="inlineStr">
        <is>
          <t>Heilung</t>
        </is>
      </c>
      <c r="G1565" t="inlineStr">
        <is>
          <t>Wert</t>
        </is>
      </c>
      <c r="K1565" t="inlineStr">
        <is>
          <t>5</t>
        </is>
      </c>
      <c r="L1565" t="inlineStr">
        <is>
          <t>WENN(wert=0;0;10+(wert-1)*grad)</t>
        </is>
      </c>
      <c r="P1565" t="inlineStr">
        <is>
          <t>eig_bonus_k_konstitution</t>
        </is>
      </c>
      <c r="Q1565" t="inlineStr">
        <is>
          <t>Der Magus kann alle Wunden schließen und Blutungen stoppen. Das Ziel regeneriert W12 Gesundheit. Überschüssige Punkte verfallen.</t>
        </is>
      </c>
    </row>
    <row r="1566" hidden="1" ht="15.75" customHeight="1" s="48">
      <c r="A1566" t="inlineStr">
        <is>
          <t>spruchmagie_heilung_5_selbstbeherrschung_erhoehen</t>
        </is>
      </c>
      <c r="B1566" t="inlineStr">
        <is>
          <t>Spruchmagie</t>
        </is>
      </c>
      <c r="C1566" t="inlineStr">
        <is>
          <t>Selbstbeherrschung erhöhen</t>
        </is>
      </c>
      <c r="F1566" t="inlineStr">
        <is>
          <t>Heilung</t>
        </is>
      </c>
      <c r="G1566" t="inlineStr">
        <is>
          <t>Wert</t>
        </is>
      </c>
      <c r="K1566" t="inlineStr">
        <is>
          <t>5</t>
        </is>
      </c>
      <c r="L1566" t="inlineStr">
        <is>
          <t>WENN(wert=0;0;10+(wert-1)*grad)</t>
        </is>
      </c>
      <c r="P1566" t="inlineStr">
        <is>
          <t>eig_bonus_k_konstitution</t>
        </is>
      </c>
      <c r="Q1566" t="inlineStr">
        <is>
          <t>Die Selbstbeherrschung des Ziels wird um {M} Punkte erhöht.</t>
        </is>
      </c>
    </row>
    <row r="1567" hidden="1" ht="15.75" customHeight="1" s="48">
      <c r="A1567" t="inlineStr">
        <is>
          <t>spruchmagie_heilung_5_mittlere_fernheilung</t>
        </is>
      </c>
      <c r="B1567" t="inlineStr">
        <is>
          <t>Spruchmagie</t>
        </is>
      </c>
      <c r="C1567" t="inlineStr">
        <is>
          <t>Mittlere Fernheilung</t>
        </is>
      </c>
      <c r="F1567" t="inlineStr">
        <is>
          <t>Heilung</t>
        </is>
      </c>
      <c r="G1567" t="inlineStr">
        <is>
          <t>Wert</t>
        </is>
      </c>
      <c r="K1567" t="inlineStr">
        <is>
          <t>5</t>
        </is>
      </c>
      <c r="L1567" t="inlineStr">
        <is>
          <t>WENN(wert=0;0;10+(wert-1)*grad)</t>
        </is>
      </c>
      <c r="P1567" t="inlineStr">
        <is>
          <t>eig_bonus_k_konstitution</t>
        </is>
      </c>
      <c r="Q1567" t="inlineStr">
        <is>
          <t>Das Ziel regeneriert 2W10 + {Magie} Lebensenergie auf alle Trefferzonen verteilt. Überschüssige LE verfallen.</t>
        </is>
      </c>
    </row>
    <row r="1568" hidden="1" ht="15.75" customHeight="1" s="48">
      <c r="A1568" t="inlineStr">
        <is>
          <t>spruchmagie_heilung_6_tod_verzoegern</t>
        </is>
      </c>
      <c r="B1568" t="inlineStr">
        <is>
          <t>Spruchmagie</t>
        </is>
      </c>
      <c r="C1568" t="inlineStr">
        <is>
          <t>Tod verzögern</t>
        </is>
      </c>
      <c r="F1568" t="inlineStr">
        <is>
          <t>Heilung</t>
        </is>
      </c>
      <c r="G1568" t="inlineStr">
        <is>
          <t>Wert</t>
        </is>
      </c>
      <c r="K1568" t="inlineStr">
        <is>
          <t>6</t>
        </is>
      </c>
      <c r="L1568" t="inlineStr">
        <is>
          <t>WENN(wert=0;0;10+(wert-1)*grad)</t>
        </is>
      </c>
      <c r="P1568" t="inlineStr">
        <is>
          <t>eig_bonus_k_konstitution</t>
        </is>
      </c>
      <c r="Q1568" t="inlineStr">
        <is>
          <t>Der Zeitpunkt, zu dem der Tod eines Ziels Eintreten würde, wird um {Magie}*3 min herausgezögert. Der Magus darf die Verbindung zum Ziel nicht lösen, sonst fällt der Zauber und die natürliche Todesfrist setzt wieder ein.</t>
        </is>
      </c>
    </row>
    <row r="1569" hidden="1" ht="15.75" customHeight="1" s="48">
      <c r="A1569" t="inlineStr">
        <is>
          <t>spruchmagie_heilung_6_maechtige_entseuchung</t>
        </is>
      </c>
      <c r="B1569" t="inlineStr">
        <is>
          <t>Spruchmagie</t>
        </is>
      </c>
      <c r="C1569" t="inlineStr">
        <is>
          <t>Mächtige Entseuchung</t>
        </is>
      </c>
      <c r="F1569" t="inlineStr">
        <is>
          <t>Heilung</t>
        </is>
      </c>
      <c r="G1569" t="inlineStr">
        <is>
          <t>Wert</t>
        </is>
      </c>
      <c r="K1569" t="inlineStr">
        <is>
          <t>6</t>
        </is>
      </c>
      <c r="L1569" t="inlineStr">
        <is>
          <t>WENN(wert=0;0;10+(wert-1)*grad)</t>
        </is>
      </c>
      <c r="P1569" t="inlineStr">
        <is>
          <t>eig_bonus_k_konstitution</t>
        </is>
      </c>
      <c r="Q1569" t="inlineStr">
        <is>
          <t>Das Ziel wird von den Einflüssen unmagischer und magischer Giftstoffe befreit. Gifte beenden ihre Wirkung mit Ablauf der Effektdauer.</t>
        </is>
      </c>
    </row>
    <row r="1570" hidden="1" ht="15.75" customHeight="1" s="48">
      <c r="A1570" t="inlineStr">
        <is>
          <t>spruchmagie_heilung_6_magische_krankheit_heilen</t>
        </is>
      </c>
      <c r="B1570" t="inlineStr">
        <is>
          <t>Spruchmagie</t>
        </is>
      </c>
      <c r="C1570" t="inlineStr">
        <is>
          <t>Magische Krankheit heilen</t>
        </is>
      </c>
      <c r="F1570" t="inlineStr">
        <is>
          <t>Heilung</t>
        </is>
      </c>
      <c r="G1570" t="inlineStr">
        <is>
          <t>Wert</t>
        </is>
      </c>
      <c r="K1570" t="inlineStr">
        <is>
          <t>6</t>
        </is>
      </c>
      <c r="L1570" t="inlineStr">
        <is>
          <t>WENN(wert=0;0;10+(wert-1)*grad)</t>
        </is>
      </c>
      <c r="P1570" t="inlineStr">
        <is>
          <t>eig_bonus_k_konstitution</t>
        </is>
      </c>
      <c r="Q1570" t="inlineStr">
        <is>
          <t>Eine magische Krankheit wird geheilt. Dies bedeutet, dass der Auslöser der Krankheit unwirksam geworden ist und Begleiterscheinungen wie z. B. Fieber erst abklingen muss, damit eine vollständige Heilung eintritt.</t>
        </is>
      </c>
    </row>
    <row r="1571" hidden="1" ht="15.75" customHeight="1" s="48">
      <c r="A1571" t="inlineStr">
        <is>
          <t>spruchmagie_heilung_6_regeneration_im_kampf</t>
        </is>
      </c>
      <c r="B1571" t="inlineStr">
        <is>
          <t>Spruchmagie</t>
        </is>
      </c>
      <c r="C1571" t="inlineStr">
        <is>
          <t>Regeneration im Kampf</t>
        </is>
      </c>
      <c r="F1571" t="inlineStr">
        <is>
          <t>Heilung</t>
        </is>
      </c>
      <c r="G1571" t="inlineStr">
        <is>
          <t>Wert</t>
        </is>
      </c>
      <c r="K1571" t="inlineStr">
        <is>
          <t>6</t>
        </is>
      </c>
      <c r="L1571" t="inlineStr">
        <is>
          <t>WENN(wert=0;0;10+(wert-1)*grad)</t>
        </is>
      </c>
      <c r="P1571" t="inlineStr">
        <is>
          <t>eig_bonus_k_konstitution</t>
        </is>
      </c>
      <c r="Q1571" t="inlineStr">
        <is>
          <t>Der Magus regeneriert pro KR {Magie} LE auf alle Trefferzonen verteilt oder verschließt eine Wunde pro KR.</t>
        </is>
      </c>
    </row>
    <row r="1572" hidden="1" ht="15.75" customHeight="1" s="48">
      <c r="A1572" t="inlineStr">
        <is>
          <t>spruchmagie_heilung_6_gesundheit_erhoehen</t>
        </is>
      </c>
      <c r="B1572" t="inlineStr">
        <is>
          <t>Spruchmagie</t>
        </is>
      </c>
      <c r="C1572" t="inlineStr">
        <is>
          <t>Gesundheit erhöhen</t>
        </is>
      </c>
      <c r="F1572" t="inlineStr">
        <is>
          <t>Heilung</t>
        </is>
      </c>
      <c r="G1572" t="inlineStr">
        <is>
          <t>Wert</t>
        </is>
      </c>
      <c r="K1572" t="inlineStr">
        <is>
          <t>6</t>
        </is>
      </c>
      <c r="L1572" t="inlineStr">
        <is>
          <t>WENN(wert=0;0;10+(wert-1)*grad)</t>
        </is>
      </c>
      <c r="P1572" t="inlineStr">
        <is>
          <t>eig_bonus_k_konstitution</t>
        </is>
      </c>
      <c r="Q1572" t="inlineStr">
        <is>
          <t>Die Gesundheit des Ziels wird um {Magie} * 2 Punkte erhöht. Sollte das Ziel während der Wirkungsdauer Schaden auf die Gesundheit bekommen, wird zuerst die magische Erhöhung abgezogen, die Wirkung des Zaubers endet mit Verlust des letzten Bonuspunkts automatisch.</t>
        </is>
      </c>
    </row>
    <row r="1573" hidden="1" ht="15.75" customHeight="1" s="48">
      <c r="A1573" t="inlineStr">
        <is>
          <t>spruchmagie_heilung_6_grosse_fernheilung</t>
        </is>
      </c>
      <c r="B1573" t="inlineStr">
        <is>
          <t>Spruchmagie</t>
        </is>
      </c>
      <c r="C1573" t="inlineStr">
        <is>
          <t>Große Fernheilung</t>
        </is>
      </c>
      <c r="F1573" t="inlineStr">
        <is>
          <t>Heilung</t>
        </is>
      </c>
      <c r="G1573" t="inlineStr">
        <is>
          <t>Wert</t>
        </is>
      </c>
      <c r="K1573" t="inlineStr">
        <is>
          <t>6</t>
        </is>
      </c>
      <c r="L1573" t="inlineStr">
        <is>
          <t>WENN(wert=0;0;10+(wert-1)*grad)</t>
        </is>
      </c>
      <c r="P1573" t="inlineStr">
        <is>
          <t>eig_bonus_k_konstitution</t>
        </is>
      </c>
      <c r="Q1573" t="inlineStr">
        <is>
          <t>Das Ziel regeneriert 2W15 + {Magie} Lebensenergie auf alle Trefferzonen verteilt. Überschüssige LE verfallen.</t>
        </is>
      </c>
    </row>
    <row r="1574" hidden="1" ht="15.75" customHeight="1" s="48">
      <c r="A1574" t="inlineStr">
        <is>
          <t>spruchmagie_heilung_7_totale_regeneration</t>
        </is>
      </c>
      <c r="B1574" t="inlineStr">
        <is>
          <t>Spruchmagie</t>
        </is>
      </c>
      <c r="C1574" t="inlineStr">
        <is>
          <t>Totale Regeneration</t>
        </is>
      </c>
      <c r="F1574" t="inlineStr">
        <is>
          <t>Heilung</t>
        </is>
      </c>
      <c r="G1574" t="inlineStr">
        <is>
          <t>Wert</t>
        </is>
      </c>
      <c r="K1574" t="inlineStr">
        <is>
          <t>7</t>
        </is>
      </c>
      <c r="L1574" t="inlineStr">
        <is>
          <t>WENN(wert=0;0;10+(wert-1)*grad)</t>
        </is>
      </c>
      <c r="P1574" t="inlineStr">
        <is>
          <t>eig_bonus_k_konstitution</t>
        </is>
      </c>
      <c r="Q1574" t="inlineStr">
        <is>
          <t>Das Ziel regeneriert alle verlorenen LE auf allen noch vorhandenen Trefferzonen und die volle Gesundheit, alle Wunden schließen sich.</t>
        </is>
      </c>
    </row>
    <row r="1575" hidden="1" ht="15.75" customHeight="1" s="48">
      <c r="A1575" t="inlineStr">
        <is>
          <t>spruchmagie_heilung_7_trefferschwelle_erhoehen</t>
        </is>
      </c>
      <c r="B1575" t="inlineStr">
        <is>
          <t>Spruchmagie</t>
        </is>
      </c>
      <c r="C1575" t="inlineStr">
        <is>
          <t>Trefferschwelle erhöhen</t>
        </is>
      </c>
      <c r="F1575" t="inlineStr">
        <is>
          <t>Heilung</t>
        </is>
      </c>
      <c r="G1575" t="inlineStr">
        <is>
          <t>Wert</t>
        </is>
      </c>
      <c r="K1575" t="inlineStr">
        <is>
          <t>7</t>
        </is>
      </c>
      <c r="L1575" t="inlineStr">
        <is>
          <t>WENN(wert=0;0;10+(wert-1)*grad)</t>
        </is>
      </c>
      <c r="P1575" t="inlineStr">
        <is>
          <t>eig_bonus_k_konstitution</t>
        </is>
      </c>
      <c r="Q1575" t="inlineStr">
        <is>
          <t>Die Trefferschwelle des Ziels wird um {Magie} erhöht.</t>
        </is>
      </c>
    </row>
    <row r="1576" hidden="1" ht="15.75" customHeight="1" s="48">
      <c r="A1576" t="inlineStr">
        <is>
          <t>spruchmagie_heilung_7_wiederbelebung</t>
        </is>
      </c>
      <c r="B1576" t="inlineStr">
        <is>
          <t>Spruchmagie</t>
        </is>
      </c>
      <c r="C1576" t="inlineStr">
        <is>
          <t>Wiederbelebung</t>
        </is>
      </c>
      <c r="F1576" t="inlineStr">
        <is>
          <t>Heilung</t>
        </is>
      </c>
      <c r="G1576" t="inlineStr">
        <is>
          <t>Wert</t>
        </is>
      </c>
      <c r="K1576" t="inlineStr">
        <is>
          <t>7</t>
        </is>
      </c>
      <c r="L1576" t="inlineStr">
        <is>
          <t>WENN(wert=0;0;10+(wert-1)*grad)</t>
        </is>
      </c>
      <c r="P1576" t="inlineStr">
        <is>
          <t>eig_bonus_k_konstitution</t>
        </is>
      </c>
      <c r="Q157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1577" hidden="1" ht="15.75" customHeight="1" s="48">
      <c r="A1577" t="inlineStr">
        <is>
          <t>spruchmagie_heilung_7_maechtige_fernheilung</t>
        </is>
      </c>
      <c r="B1577" t="inlineStr">
        <is>
          <t>Spruchmagie</t>
        </is>
      </c>
      <c r="C1577" t="inlineStr">
        <is>
          <t>Mächtige Fernheilung</t>
        </is>
      </c>
      <c r="F1577" t="inlineStr">
        <is>
          <t>Heilung</t>
        </is>
      </c>
      <c r="G1577" t="inlineStr">
        <is>
          <t>Wert</t>
        </is>
      </c>
      <c r="K1577" t="inlineStr">
        <is>
          <t>7</t>
        </is>
      </c>
      <c r="L1577" t="inlineStr">
        <is>
          <t>WENN(wert=0;0;10+(wert-1)*grad)</t>
        </is>
      </c>
      <c r="P1577" t="inlineStr">
        <is>
          <t>eig_bonus_k_konstitution</t>
        </is>
      </c>
      <c r="Q1577" t="inlineStr">
        <is>
          <t>Das Ziel regeneriert 2W30 + {Magie} Lebensenergie auf alle Trefferzonen verteilt. Überschüssige LE verfallen.</t>
        </is>
      </c>
    </row>
    <row r="1578" hidden="1" ht="15.75" customHeight="1" s="48">
      <c r="A1578" t="inlineStr">
        <is>
          <t>spruchmagie_hellsicht_1_artefakt_erkennen</t>
        </is>
      </c>
      <c r="B1578" t="inlineStr">
        <is>
          <t>Spruchmagie</t>
        </is>
      </c>
      <c r="C1578" t="inlineStr">
        <is>
          <t>Artefakt erkennen</t>
        </is>
      </c>
      <c r="F1578" t="inlineStr">
        <is>
          <t>Hellsicht</t>
        </is>
      </c>
      <c r="G1578" t="inlineStr">
        <is>
          <t>Wert</t>
        </is>
      </c>
      <c r="K1578" t="inlineStr">
        <is>
          <t>1</t>
        </is>
      </c>
      <c r="L1578" t="inlineStr">
        <is>
          <t>WENN(wert=0;0;10+(wert-1)*grad)</t>
        </is>
      </c>
      <c r="P1578" t="inlineStr">
        <is>
          <t>eig_bonus_g_sinneschaerfe</t>
        </is>
      </c>
      <c r="Q15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579" hidden="1" ht="15.75" customHeight="1" s="48">
      <c r="A1579" t="inlineStr">
        <is>
          <t>spruchmagie_hellsicht_1_daemmerungssicht</t>
        </is>
      </c>
      <c r="B1579" t="inlineStr">
        <is>
          <t>Spruchmagie</t>
        </is>
      </c>
      <c r="C1579" t="inlineStr">
        <is>
          <t>Dämmerungssicht</t>
        </is>
      </c>
      <c r="F1579" t="inlineStr">
        <is>
          <t>Hellsicht</t>
        </is>
      </c>
      <c r="G1579" t="inlineStr">
        <is>
          <t>Wert</t>
        </is>
      </c>
      <c r="K1579" t="inlineStr">
        <is>
          <t>1</t>
        </is>
      </c>
      <c r="L1579" t="inlineStr">
        <is>
          <t>WENN(wert=0;0;10+(wert-1)*grad)</t>
        </is>
      </c>
      <c r="P1579" t="inlineStr">
        <is>
          <t>eig_bonus_g_sinneschaerfe</t>
        </is>
      </c>
      <c r="Q1579" t="inlineStr">
        <is>
          <t>Der Anwender kann in der Dunkelheit so gut sehen wie am hellichten Tag. Damit dieser Effekt eintreten kann, muss Restlicht vorhanden sein. In vollkommener Dunkelheit ist dieser Zauber keine Hilfe.</t>
        </is>
      </c>
    </row>
    <row r="1580" hidden="1" ht="15.75" customHeight="1" s="48">
      <c r="A1580" t="inlineStr">
        <is>
          <t>spruchmagie_hellsicht_2_infrarotsicht</t>
        </is>
      </c>
      <c r="B1580" t="inlineStr">
        <is>
          <t>Spruchmagie</t>
        </is>
      </c>
      <c r="C1580" t="inlineStr">
        <is>
          <t>Infrarotsicht</t>
        </is>
      </c>
      <c r="F1580" t="inlineStr">
        <is>
          <t>Hellsicht</t>
        </is>
      </c>
      <c r="G1580" t="inlineStr">
        <is>
          <t>Wert</t>
        </is>
      </c>
      <c r="K1580" t="inlineStr">
        <is>
          <t>2</t>
        </is>
      </c>
      <c r="L1580" t="inlineStr">
        <is>
          <t>WENN(wert=0;0;10+(wert-1)*grad)</t>
        </is>
      </c>
      <c r="P1580" t="inlineStr">
        <is>
          <t>eig_bonus_g_sinneschaerfe</t>
        </is>
      </c>
      <c r="Q1580" t="inlineStr">
        <is>
          <t>Das Ziel verliert seine derzeitige Wahrnehmung und gewinnt stattdessen Infrarotsicht.</t>
        </is>
      </c>
    </row>
    <row r="1581" hidden="1" ht="15.75" customHeight="1" s="48">
      <c r="A1581" t="inlineStr">
        <is>
          <t>spruchmagie_hellsicht_2_durchblick</t>
        </is>
      </c>
      <c r="B1581" t="inlineStr">
        <is>
          <t>Spruchmagie</t>
        </is>
      </c>
      <c r="C1581" t="inlineStr">
        <is>
          <t>Durchblick</t>
        </is>
      </c>
      <c r="F1581" t="inlineStr">
        <is>
          <t>Hellsicht</t>
        </is>
      </c>
      <c r="G1581" t="inlineStr">
        <is>
          <t>Wert</t>
        </is>
      </c>
      <c r="K1581" t="inlineStr">
        <is>
          <t>2</t>
        </is>
      </c>
      <c r="L1581" t="inlineStr">
        <is>
          <t>WENN(wert=0;0;10+(wert-1)*grad)</t>
        </is>
      </c>
      <c r="P1581" t="inlineStr">
        <is>
          <t>eig_bonus_g_sinneschaerfe</t>
        </is>
      </c>
      <c r="Q1581" t="inlineStr">
        <is>
          <t>Der Magus kann durch eine unbewegliche,      {M} * 2 cm durchmessende Röhre durch beliebige Materie schauen. Diese darf eine maximale Dicke von {M} * 6 cm haben. Entdeckte Ziele können normal anvisiert werden.</t>
        </is>
      </c>
    </row>
    <row r="1582" hidden="1" ht="15.75" customHeight="1" s="48">
      <c r="A1582" t="inlineStr">
        <is>
          <t>spruchmagie_hellsicht_3_astralsicht</t>
        </is>
      </c>
      <c r="B1582" t="inlineStr">
        <is>
          <t>Spruchmagie</t>
        </is>
      </c>
      <c r="C1582" t="inlineStr">
        <is>
          <t>Astralsicht</t>
        </is>
      </c>
      <c r="F1582" t="inlineStr">
        <is>
          <t>Hellsicht</t>
        </is>
      </c>
      <c r="G1582" t="inlineStr">
        <is>
          <t>Wert</t>
        </is>
      </c>
      <c r="K1582" t="inlineStr">
        <is>
          <t>3</t>
        </is>
      </c>
      <c r="L1582" t="inlineStr">
        <is>
          <t>WENN(wert=0;0;10+(wert-1)*grad)</t>
        </is>
      </c>
      <c r="P1582" t="inlineStr">
        <is>
          <t>eig_bonus_g_sinneschaerfe</t>
        </is>
      </c>
      <c r="Q1582"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1583" hidden="1" ht="15.75" customHeight="1" s="48">
      <c r="A1583" t="inlineStr">
        <is>
          <t>spruchmagie_hellsicht_3_blick_aufs_wesen</t>
        </is>
      </c>
      <c r="B1583" t="inlineStr">
        <is>
          <t>Spruchmagie</t>
        </is>
      </c>
      <c r="C1583" t="inlineStr">
        <is>
          <t>Blick aufs Wesen</t>
        </is>
      </c>
      <c r="F1583" t="inlineStr">
        <is>
          <t>Hellsicht</t>
        </is>
      </c>
      <c r="G1583" t="inlineStr">
        <is>
          <t>Wert</t>
        </is>
      </c>
      <c r="K1583" t="inlineStr">
        <is>
          <t>3</t>
        </is>
      </c>
      <c r="L1583" t="inlineStr">
        <is>
          <t>WENN(wert=0;0;10+(wert-1)*grad)</t>
        </is>
      </c>
      <c r="P1583" t="inlineStr">
        <is>
          <t>eig_bonus_g_sinneschaerfe</t>
        </is>
      </c>
      <c r="Q1583"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1584" hidden="1" ht="15.75" customHeight="1" s="48">
      <c r="A1584" t="inlineStr">
        <is>
          <t>spruchmagie_hellsicht_4_blick_durch_fremde_augen</t>
        </is>
      </c>
      <c r="B1584" t="inlineStr">
        <is>
          <t>Spruchmagie</t>
        </is>
      </c>
      <c r="C1584" t="inlineStr">
        <is>
          <t>Blick durch fremde Augen</t>
        </is>
      </c>
      <c r="F1584" t="inlineStr">
        <is>
          <t>Hellsicht</t>
        </is>
      </c>
      <c r="G1584" t="inlineStr">
        <is>
          <t>Wert</t>
        </is>
      </c>
      <c r="K1584" t="inlineStr">
        <is>
          <t>4</t>
        </is>
      </c>
      <c r="L1584" t="inlineStr">
        <is>
          <t>WENN(wert=0;0;10+(wert-1)*grad)</t>
        </is>
      </c>
      <c r="P1584" t="inlineStr">
        <is>
          <t>eig_bonus_g_sinneschaerfe</t>
        </is>
      </c>
      <c r="Q158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1585" hidden="1" ht="15.75" customHeight="1" s="48">
      <c r="A1585" t="inlineStr">
        <is>
          <t>spruchmagie_hellsicht_4_aura_analysieren</t>
        </is>
      </c>
      <c r="B1585" t="inlineStr">
        <is>
          <t>Spruchmagie</t>
        </is>
      </c>
      <c r="C1585" t="inlineStr">
        <is>
          <t>Aura analysieren</t>
        </is>
      </c>
      <c r="F1585" t="inlineStr">
        <is>
          <t>Hellsicht</t>
        </is>
      </c>
      <c r="G1585" t="inlineStr">
        <is>
          <t>Wert</t>
        </is>
      </c>
      <c r="K1585" t="inlineStr">
        <is>
          <t>4</t>
        </is>
      </c>
      <c r="L1585" t="inlineStr">
        <is>
          <t>WENN(wert=0;0;10+(wert-1)*grad)</t>
        </is>
      </c>
      <c r="P1585" t="inlineStr">
        <is>
          <t>eig_bonus_g_sinneschaerfe</t>
        </is>
      </c>
      <c r="Q1585"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1586" hidden="1" ht="15.75" customHeight="1" s="48">
      <c r="A1586" t="inlineStr">
        <is>
          <t>spruchmagie_hellsicht_5_blick_in_die_gedanken</t>
        </is>
      </c>
      <c r="B1586" t="inlineStr">
        <is>
          <t>Spruchmagie</t>
        </is>
      </c>
      <c r="C1586" t="inlineStr">
        <is>
          <t>Blick in die Gedanken</t>
        </is>
      </c>
      <c r="F1586" t="inlineStr">
        <is>
          <t>Hellsicht</t>
        </is>
      </c>
      <c r="G1586" t="inlineStr">
        <is>
          <t>Wert</t>
        </is>
      </c>
      <c r="K1586" t="inlineStr">
        <is>
          <t>5</t>
        </is>
      </c>
      <c r="L1586" t="inlineStr">
        <is>
          <t>WENN(wert=0;0;10+(wert-1)*grad)</t>
        </is>
      </c>
      <c r="P1586" t="inlineStr">
        <is>
          <t>eig_bonus_g_sinneschaerfe</t>
        </is>
      </c>
      <c r="Q1586"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1587" hidden="1" ht="15.75" customHeight="1" s="48">
      <c r="A1587" t="inlineStr">
        <is>
          <t>spruchmagie_hellsicht_6_kampfmaschine</t>
        </is>
      </c>
      <c r="B1587" t="inlineStr">
        <is>
          <t>Spruchmagie</t>
        </is>
      </c>
      <c r="C1587" t="inlineStr">
        <is>
          <t>Kampfmaschine</t>
        </is>
      </c>
      <c r="F1587" t="inlineStr">
        <is>
          <t>Hellsicht</t>
        </is>
      </c>
      <c r="G1587" t="inlineStr">
        <is>
          <t>Wert</t>
        </is>
      </c>
      <c r="K1587" t="inlineStr">
        <is>
          <t>6</t>
        </is>
      </c>
      <c r="L1587" t="inlineStr">
        <is>
          <t>WENN(wert=0;0;10+(wert-1)*grad)</t>
        </is>
      </c>
      <c r="P1587" t="inlineStr">
        <is>
          <t>eig_bonus_g_sinneschaerfe</t>
        </is>
      </c>
      <c r="Q1587"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1588" hidden="1" ht="15.75" customHeight="1" s="48">
      <c r="A1588" t="inlineStr">
        <is>
          <t>spruchmagie_hellsicht_7_blick_in_die_zukunft</t>
        </is>
      </c>
      <c r="B1588" t="inlineStr">
        <is>
          <t>Spruchmagie</t>
        </is>
      </c>
      <c r="C1588" t="inlineStr">
        <is>
          <t>Blick in die Zukunft</t>
        </is>
      </c>
      <c r="F1588" t="inlineStr">
        <is>
          <t>Hellsicht</t>
        </is>
      </c>
      <c r="G1588" t="inlineStr">
        <is>
          <t>Wert</t>
        </is>
      </c>
      <c r="K1588" t="inlineStr">
        <is>
          <t>7</t>
        </is>
      </c>
      <c r="L1588" t="inlineStr">
        <is>
          <t>WENN(wert=0;0;10+(wert-1)*grad)</t>
        </is>
      </c>
      <c r="P1588" t="inlineStr">
        <is>
          <t>eig_bonus_g_sinneschaerfe</t>
        </is>
      </c>
      <c r="Q1588" t="inlineStr">
        <is>
          <t>Der Magus vermag eine KR in die Zukunft zu blicken. Hierdurch ist er automatisch als Erster an der Initiative und hat alle kampfrelevanten Proben um {Magie} erleichtert. Nach Ende der Wirkungsdauer muss der Magus die Initiative neu bestimmen.</t>
        </is>
      </c>
    </row>
    <row r="1589" hidden="1" ht="15.75" customHeight="1" s="48">
      <c r="A1589" t="inlineStr">
        <is>
          <t>spruchmagie_illusion_1_licht</t>
        </is>
      </c>
      <c r="B1589" t="inlineStr">
        <is>
          <t>Spruchmagie</t>
        </is>
      </c>
      <c r="C1589" t="inlineStr">
        <is>
          <t>Licht</t>
        </is>
      </c>
      <c r="F1589" t="inlineStr">
        <is>
          <t>Illusion</t>
        </is>
      </c>
      <c r="G1589" t="inlineStr">
        <is>
          <t>Wert</t>
        </is>
      </c>
      <c r="K1589" t="inlineStr">
        <is>
          <t>1</t>
        </is>
      </c>
      <c r="L1589" t="inlineStr">
        <is>
          <t>WENN(wert=0;0;10+(wert-1)*grad)</t>
        </is>
      </c>
      <c r="P1589" t="inlineStr">
        <is>
          <t>eig_bonus_g_ausstrahlung</t>
        </is>
      </c>
      <c r="Q158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1590" hidden="1" ht="15.75" customHeight="1" s="48">
      <c r="A1590" t="inlineStr">
        <is>
          <t>spruchmagie_illusion_1_magische_schriftzeichen</t>
        </is>
      </c>
      <c r="B1590" t="inlineStr">
        <is>
          <t>Spruchmagie</t>
        </is>
      </c>
      <c r="C1590" t="inlineStr">
        <is>
          <t>Magische Schriftzeichen</t>
        </is>
      </c>
      <c r="F1590" t="inlineStr">
        <is>
          <t>Illusion</t>
        </is>
      </c>
      <c r="G1590" t="inlineStr">
        <is>
          <t>Wert</t>
        </is>
      </c>
      <c r="K1590" t="inlineStr">
        <is>
          <t>1</t>
        </is>
      </c>
      <c r="L1590" t="inlineStr">
        <is>
          <t>WENN(wert=0;0;10+(wert-1)*grad)</t>
        </is>
      </c>
      <c r="P1590" t="inlineStr">
        <is>
          <t>eig_bonus_g_intelligenz</t>
        </is>
      </c>
      <c r="Q1590" t="inlineStr">
        <is>
          <t>An der vom Magus bestimmten Stelle erscheinen stationäre Schriftzeichen, deren Größe, Form und Erscheinungsbild vom Magus frei gewählt werden können. Es können maximal {M}*5 Zeichen abgebildet werden, die maximal {Magie} * {Magie} m Fläche einnehmen dürfen.</t>
        </is>
      </c>
    </row>
    <row r="1591" hidden="1" ht="15.75" customHeight="1" s="48">
      <c r="A1591" t="inlineStr">
        <is>
          <t>spruchmagie_illusion_1_magische_verkleidung</t>
        </is>
      </c>
      <c r="B1591" t="inlineStr">
        <is>
          <t>Spruchmagie</t>
        </is>
      </c>
      <c r="C1591" t="inlineStr">
        <is>
          <t>Magische Verkleidung</t>
        </is>
      </c>
      <c r="F1591" t="inlineStr">
        <is>
          <t>Illusion</t>
        </is>
      </c>
      <c r="G1591" t="inlineStr">
        <is>
          <t>Wert</t>
        </is>
      </c>
      <c r="K1591" t="inlineStr">
        <is>
          <t>1</t>
        </is>
      </c>
      <c r="L1591" t="inlineStr">
        <is>
          <t>WENN(wert=0;0;10+(wert-1)*grad)</t>
        </is>
      </c>
      <c r="P1591" t="inlineStr">
        <is>
          <t>eig_bonus_g_ausstrahlung</t>
        </is>
      </c>
      <c r="Q1591" t="inlineStr">
        <is>
          <t>Der Magus kann die Illusion erzeugen, dass seine Kleidung, seine Nägel und sein Haar in den gewünschten Zustand versetzt sind.</t>
        </is>
      </c>
    </row>
    <row r="1592" hidden="1" ht="15.75" customHeight="1" s="48">
      <c r="A1592" t="inlineStr">
        <is>
          <t>spruchmagie_illusion_2_geraeuschillusion</t>
        </is>
      </c>
      <c r="B1592" t="inlineStr">
        <is>
          <t>Spruchmagie</t>
        </is>
      </c>
      <c r="C1592" t="inlineStr">
        <is>
          <t>Geräuschillusion</t>
        </is>
      </c>
      <c r="F1592" t="inlineStr">
        <is>
          <t>Illusion</t>
        </is>
      </c>
      <c r="G1592" t="inlineStr">
        <is>
          <t>Wert</t>
        </is>
      </c>
      <c r="K1592" t="inlineStr">
        <is>
          <t>2</t>
        </is>
      </c>
      <c r="L1592" t="inlineStr">
        <is>
          <t>WENN(wert=0;0;10+(wert-1)*grad)</t>
        </is>
      </c>
      <c r="P1592" t="inlineStr">
        <is>
          <t>eig_bonus_g_sinneschaerfe</t>
        </is>
      </c>
      <c r="Q1592" t="inlineStr">
        <is>
          <t>Der Magus kann seine Stimme oder einfache Laute an einen anderen Ort projizieren. Hierfür muss er seine Stimmbänder nicht einsetzen.</t>
        </is>
      </c>
    </row>
    <row r="1593" hidden="1" ht="15.75" customHeight="1" s="48">
      <c r="A1593" t="inlineStr">
        <is>
          <t>spruchmagie_illusion_2_stimme_veraendern</t>
        </is>
      </c>
      <c r="B1593" t="inlineStr">
        <is>
          <t>Spruchmagie</t>
        </is>
      </c>
      <c r="C1593" t="inlineStr">
        <is>
          <t>Stimme verändern</t>
        </is>
      </c>
      <c r="F1593" t="inlineStr">
        <is>
          <t>Illusion</t>
        </is>
      </c>
      <c r="G1593" t="inlineStr">
        <is>
          <t>Wert</t>
        </is>
      </c>
      <c r="K1593" t="inlineStr">
        <is>
          <t>2</t>
        </is>
      </c>
      <c r="L1593" t="inlineStr">
        <is>
          <t>WENN(wert=0;0;10+(wert-1)*grad)</t>
        </is>
      </c>
      <c r="P1593" t="inlineStr">
        <is>
          <t>eig_bonus_g_sinneschaerfe</t>
        </is>
      </c>
      <c r="Q1593"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1594" hidden="1" ht="15.75" customHeight="1" s="48">
      <c r="A1594" t="inlineStr">
        <is>
          <t>spruchmagie_illusion_2_nebelwand</t>
        </is>
      </c>
      <c r="B1594" t="inlineStr">
        <is>
          <t>Spruchmagie</t>
        </is>
      </c>
      <c r="C1594" t="inlineStr">
        <is>
          <t>Nebelwand</t>
        </is>
      </c>
      <c r="F1594" t="inlineStr">
        <is>
          <t>Illusion</t>
        </is>
      </c>
      <c r="G1594" t="inlineStr">
        <is>
          <t>Wert</t>
        </is>
      </c>
      <c r="K1594" t="inlineStr">
        <is>
          <t>2</t>
        </is>
      </c>
      <c r="L1594" t="inlineStr">
        <is>
          <t>WENN(wert=0;0;10+(wert-1)*grad)</t>
        </is>
      </c>
      <c r="P1594" t="inlineStr">
        <is>
          <t>eig_bonus_k_schnelligkeit</t>
        </is>
      </c>
      <c r="Q159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1595" hidden="1" ht="15.75" customHeight="1" s="48">
      <c r="A1595" t="inlineStr">
        <is>
          <t>spruchmagie_illusion_2_zweites_gesicht</t>
        </is>
      </c>
      <c r="B1595" t="inlineStr">
        <is>
          <t>Spruchmagie</t>
        </is>
      </c>
      <c r="C1595" t="inlineStr">
        <is>
          <t>Zweites Gesicht</t>
        </is>
      </c>
      <c r="F1595" t="inlineStr">
        <is>
          <t>Illusion</t>
        </is>
      </c>
      <c r="G1595" t="inlineStr">
        <is>
          <t>Wert</t>
        </is>
      </c>
      <c r="K1595" t="inlineStr">
        <is>
          <t>2</t>
        </is>
      </c>
      <c r="L1595" t="inlineStr">
        <is>
          <t>WENN(wert=0;0;10+(wert-1)*grad)</t>
        </is>
      </c>
      <c r="P1595" t="inlineStr">
        <is>
          <t>eig_bonus_g_ausstrahlung</t>
        </is>
      </c>
      <c r="Q1595"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1596" hidden="1" ht="15.75" customHeight="1" s="48">
      <c r="A1596" t="inlineStr">
        <is>
          <t>spruchmagie_illusion_3_durchsichtiger_gegenstand</t>
        </is>
      </c>
      <c r="B1596" t="inlineStr">
        <is>
          <t>Spruchmagie</t>
        </is>
      </c>
      <c r="C1596" t="inlineStr">
        <is>
          <t>Durchsichtiger Gegenstand</t>
        </is>
      </c>
      <c r="F1596" t="inlineStr">
        <is>
          <t>Illusion</t>
        </is>
      </c>
      <c r="G1596" t="inlineStr">
        <is>
          <t>Wert</t>
        </is>
      </c>
      <c r="K1596" t="inlineStr">
        <is>
          <t>3</t>
        </is>
      </c>
      <c r="L1596" t="inlineStr">
        <is>
          <t>WENN(wert=0;0;10+(wert-1)*grad)</t>
        </is>
      </c>
      <c r="P1596" t="inlineStr">
        <is>
          <t>eig_bonus_g_sinneschaerfe</t>
        </is>
      </c>
      <c r="Q1596"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1597" hidden="1" ht="15.75" customHeight="1" s="48">
      <c r="A1597" t="inlineStr">
        <is>
          <t>spruchmagie_illusion_3_trugbild_der_haesslichkeit</t>
        </is>
      </c>
      <c r="B1597" t="inlineStr">
        <is>
          <t>Spruchmagie</t>
        </is>
      </c>
      <c r="C1597" t="inlineStr">
        <is>
          <t>Trugbild der Hässlichkeit</t>
        </is>
      </c>
      <c r="F1597" t="inlineStr">
        <is>
          <t>Illusion</t>
        </is>
      </c>
      <c r="G1597" t="inlineStr">
        <is>
          <t>Wert</t>
        </is>
      </c>
      <c r="K1597" t="inlineStr">
        <is>
          <t>3</t>
        </is>
      </c>
      <c r="L1597" t="inlineStr">
        <is>
          <t>WENN(wert=0;0;10+(wert-1)*grad)</t>
        </is>
      </c>
      <c r="P1597" t="inlineStr">
        <is>
          <t>eig_bonus_g_ausstrahlung</t>
        </is>
      </c>
      <c r="Q1597" t="inlineStr">
        <is>
          <t>Die Ausstrahlung des Opfers reduziert sich um {Magie} * 2 Punkte. Das Opfer wirkt abstoßend und fremd. Anweisungen des Opfers müssen eventuell mit Ausstrahlungs+TaW-Proben belegt werden.Die Ausstrahlung kann nicht unter 1 sinken.</t>
        </is>
      </c>
    </row>
    <row r="1598" hidden="1" ht="15.75" customHeight="1" s="48">
      <c r="A1598" t="inlineStr">
        <is>
          <t>spruchmagie_illusion_3_unbewegte_illusion</t>
        </is>
      </c>
      <c r="B1598" t="inlineStr">
        <is>
          <t>Spruchmagie</t>
        </is>
      </c>
      <c r="C1598" t="inlineStr">
        <is>
          <t>Unbewegte Illusion</t>
        </is>
      </c>
      <c r="F1598" t="inlineStr">
        <is>
          <t>Illusion</t>
        </is>
      </c>
      <c r="G1598" t="inlineStr">
        <is>
          <t>Wert</t>
        </is>
      </c>
      <c r="K1598" t="inlineStr">
        <is>
          <t>3</t>
        </is>
      </c>
      <c r="L1598" t="inlineStr">
        <is>
          <t>WENN(wert=0;0;10+(wert-1)*grad)</t>
        </is>
      </c>
      <c r="P1598" t="inlineStr">
        <is>
          <t>eig_bonus_g_ausstrahlung</t>
        </is>
      </c>
      <c r="Q1598"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1599" hidden="1" ht="15.75" customHeight="1" s="48">
      <c r="A1599" t="inlineStr">
        <is>
          <t>spruchmagie_illusion_4_unsichtbarer_gegenstand</t>
        </is>
      </c>
      <c r="B1599" t="inlineStr">
        <is>
          <t>Spruchmagie</t>
        </is>
      </c>
      <c r="C1599" t="inlineStr">
        <is>
          <t>Unsichtbarer Gegenstand</t>
        </is>
      </c>
      <c r="F1599" t="inlineStr">
        <is>
          <t>Illusion</t>
        </is>
      </c>
      <c r="G1599" t="inlineStr">
        <is>
          <t>Wert</t>
        </is>
      </c>
      <c r="K1599" t="inlineStr">
        <is>
          <t>4</t>
        </is>
      </c>
      <c r="L1599" t="inlineStr">
        <is>
          <t>WENN(wert=0;0;10+(wert-1)*grad)</t>
        </is>
      </c>
      <c r="P1599" t="inlineStr">
        <is>
          <t>eig_bonus_g_sinneschaerfe</t>
        </is>
      </c>
      <c r="Q1599" t="inlineStr">
        <is>
          <t>Ein Gegenstand von maximal {M} l Volumen wird unsichtbar, kann allerdings mit Astralsicht wahrgenommen werden. Wird der Gegenstand bewegt, fällt der Zauber.</t>
        </is>
      </c>
    </row>
    <row r="1600" hidden="1" ht="15.75" customHeight="1" s="48">
      <c r="A1600" t="inlineStr">
        <is>
          <t>spruchmagie_illusion_4_grosser_funkentanz</t>
        </is>
      </c>
      <c r="B1600" t="inlineStr">
        <is>
          <t>Spruchmagie</t>
        </is>
      </c>
      <c r="C1600" t="inlineStr">
        <is>
          <t>Großer Funkentanz</t>
        </is>
      </c>
      <c r="F1600" t="inlineStr">
        <is>
          <t>Illusion</t>
        </is>
      </c>
      <c r="G1600" t="inlineStr">
        <is>
          <t>Wert</t>
        </is>
      </c>
      <c r="K1600" t="inlineStr">
        <is>
          <t>4</t>
        </is>
      </c>
      <c r="L1600" t="inlineStr">
        <is>
          <t>WENN(wert=0;0;10+(wert-1)*grad)</t>
        </is>
      </c>
      <c r="P1600" t="inlineStr">
        <is>
          <t>eig_bonus_g_sinneschaerfe</t>
        </is>
      </c>
      <c r="Q1600" t="inlineStr">
        <is>
          <t>Der Magus erzeugt viele kleine Lichtfunken, die rund um seinen sowie um maximal Aura befreundete Körper in Reichweite fliegen. Hierdurch wird es für jeden Gegner um {Magie} schwerer, ihn mit einer Nahkampf- oder Fernkampf-Attacke zu treffen.</t>
        </is>
      </c>
    </row>
    <row r="1601" hidden="1" ht="15.75" customHeight="1" s="48">
      <c r="A1601" t="inlineStr">
        <is>
          <t>spruchmagie_illusion_5_bewegte_illusion</t>
        </is>
      </c>
      <c r="B1601" t="inlineStr">
        <is>
          <t>Spruchmagie</t>
        </is>
      </c>
      <c r="C1601" t="inlineStr">
        <is>
          <t>Bewegte Illusion</t>
        </is>
      </c>
      <c r="F1601" t="inlineStr">
        <is>
          <t>Illusion</t>
        </is>
      </c>
      <c r="G1601" t="inlineStr">
        <is>
          <t>Wert</t>
        </is>
      </c>
      <c r="K1601" t="inlineStr">
        <is>
          <t>5</t>
        </is>
      </c>
      <c r="L1601" t="inlineStr">
        <is>
          <t>WENN(wert=0;0;10+(wert-1)*grad)</t>
        </is>
      </c>
      <c r="P1601" t="inlineStr">
        <is>
          <t>eig_bonus_g_sinneschaerfe</t>
        </is>
      </c>
      <c r="Q1601"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1602" hidden="1" ht="15.75" customHeight="1" s="48">
      <c r="A1602" t="inlineStr">
        <is>
          <t>spruchmagie_illusion_5_vollsensorische_illusion</t>
        </is>
      </c>
      <c r="B1602" t="inlineStr">
        <is>
          <t>Spruchmagie</t>
        </is>
      </c>
      <c r="C1602" t="inlineStr">
        <is>
          <t>Vollsensorische Illusion</t>
        </is>
      </c>
      <c r="F1602" t="inlineStr">
        <is>
          <t>Illusion</t>
        </is>
      </c>
      <c r="G1602" t="inlineStr">
        <is>
          <t>Wert</t>
        </is>
      </c>
      <c r="K1602" t="inlineStr">
        <is>
          <t>5</t>
        </is>
      </c>
      <c r="L1602" t="inlineStr">
        <is>
          <t>WENN(wert=0;0;10+(wert-1)*grad)</t>
        </is>
      </c>
      <c r="P1602" t="inlineStr">
        <is>
          <t>eig_bonus_g_sinneschaerfe</t>
        </is>
      </c>
      <c r="Q1602"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1603" hidden="1" ht="15.75" customHeight="1" s="48">
      <c r="A1603" t="inlineStr">
        <is>
          <t>spruchmagie_luftbeschwoerung_1_sturmfaust</t>
        </is>
      </c>
      <c r="B1603" t="inlineStr">
        <is>
          <t>Spruchmagie</t>
        </is>
      </c>
      <c r="C1603" t="inlineStr">
        <is>
          <t>Sturmfaust</t>
        </is>
      </c>
      <c r="F1603" t="inlineStr">
        <is>
          <t>Luftbeschwörung</t>
        </is>
      </c>
      <c r="G1603" t="inlineStr">
        <is>
          <t>Wert</t>
        </is>
      </c>
      <c r="K1603" t="inlineStr">
        <is>
          <t>1</t>
        </is>
      </c>
      <c r="L1603" t="inlineStr">
        <is>
          <t>WENN(wert=0;0;10+(wert-1)*grad)</t>
        </is>
      </c>
      <c r="P1603" t="inlineStr">
        <is>
          <t>eig_bonus_k_schnelligkeit</t>
        </is>
      </c>
      <c r="Q1603" t="inlineStr">
        <is>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is>
      </c>
    </row>
    <row r="1604" hidden="1" ht="15.75" customHeight="1" s="48">
      <c r="A1604" t="inlineStr">
        <is>
          <t>spruchmagie_luftbeschwoerung_1_sturmball</t>
        </is>
      </c>
      <c r="B1604" t="inlineStr">
        <is>
          <t>Spruchmagie</t>
        </is>
      </c>
      <c r="C1604" t="inlineStr">
        <is>
          <t>Sturmball</t>
        </is>
      </c>
      <c r="F1604" t="inlineStr">
        <is>
          <t>Luftbeschwörung</t>
        </is>
      </c>
      <c r="G1604" t="inlineStr">
        <is>
          <t>Wert</t>
        </is>
      </c>
      <c r="K1604" t="inlineStr">
        <is>
          <t>1</t>
        </is>
      </c>
      <c r="L1604" t="inlineStr">
        <is>
          <t>WENN(wert=0;0;10+(wert-1)*grad)</t>
        </is>
      </c>
      <c r="P1604" t="inlineStr">
        <is>
          <t>eig_bonus_k_schnelligkeit</t>
        </is>
      </c>
      <c r="Q1604" t="inlineStr">
        <is>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is>
      </c>
    </row>
    <row r="1605" hidden="1" ht="15.75" customHeight="1" s="48">
      <c r="A1605" t="inlineStr">
        <is>
          <t>spruchmagie_luftbeschwoerung_1_sturmwand</t>
        </is>
      </c>
      <c r="B1605" t="inlineStr">
        <is>
          <t>Spruchmagie</t>
        </is>
      </c>
      <c r="C1605" t="inlineStr">
        <is>
          <t>Sturmwand</t>
        </is>
      </c>
      <c r="F1605" t="inlineStr">
        <is>
          <t>Luftbeschwörung</t>
        </is>
      </c>
      <c r="G1605" t="inlineStr">
        <is>
          <t>Wert</t>
        </is>
      </c>
      <c r="K1605" t="inlineStr">
        <is>
          <t>1</t>
        </is>
      </c>
      <c r="L1605" t="inlineStr">
        <is>
          <t>WENN(wert=0;0;10+(wert-1)*grad)</t>
        </is>
      </c>
      <c r="P1605" t="inlineStr">
        <is>
          <t>eig_bonus_k_schnelligkeit</t>
        </is>
      </c>
      <c r="Q160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is>
      </c>
    </row>
    <row r="1606" hidden="1" ht="15.75" customHeight="1" s="48">
      <c r="A1606" t="inlineStr">
        <is>
          <t>spruchmagie_luftbeschwoerung_2_sturmpfeil</t>
        </is>
      </c>
      <c r="B1606" t="inlineStr">
        <is>
          <t>Spruchmagie</t>
        </is>
      </c>
      <c r="C1606" t="inlineStr">
        <is>
          <t>Sturmpfeil</t>
        </is>
      </c>
      <c r="F1606" t="inlineStr">
        <is>
          <t>Luftbeschwörung</t>
        </is>
      </c>
      <c r="G1606" t="inlineStr">
        <is>
          <t>Wert</t>
        </is>
      </c>
      <c r="K1606" t="inlineStr">
        <is>
          <t>2</t>
        </is>
      </c>
      <c r="L1606" t="inlineStr">
        <is>
          <t>WENN(wert=0;0;10+(wert-1)*grad)</t>
        </is>
      </c>
      <c r="P1606" t="inlineStr">
        <is>
          <t>eig_bonus_k_schnelligkeit</t>
        </is>
      </c>
      <c r="Q1606"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is>
      </c>
    </row>
    <row r="1607" hidden="1" ht="15.75" customHeight="1" s="48">
      <c r="A1607" t="inlineStr">
        <is>
          <t>spruchmagie_luftbeschwoerung_2_sturmaura</t>
        </is>
      </c>
      <c r="B1607" t="inlineStr">
        <is>
          <t>Spruchmagie</t>
        </is>
      </c>
      <c r="C1607" t="inlineStr">
        <is>
          <t>Sturmaura</t>
        </is>
      </c>
      <c r="F1607" t="inlineStr">
        <is>
          <t>Luftbeschwörung</t>
        </is>
      </c>
      <c r="G1607" t="inlineStr">
        <is>
          <t>Wert</t>
        </is>
      </c>
      <c r="K1607" t="inlineStr">
        <is>
          <t>2</t>
        </is>
      </c>
      <c r="L1607" t="inlineStr">
        <is>
          <t>WENN(wert=0;0;10+(wert-1)*grad)</t>
        </is>
      </c>
      <c r="P1607" t="inlineStr">
        <is>
          <t>eig_bonus_k_schnelligkeit</t>
        </is>
      </c>
      <c r="Q160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is>
      </c>
    </row>
    <row r="1608" hidden="1" ht="15.75" customHeight="1" s="48">
      <c r="A1608" t="inlineStr">
        <is>
          <t>spruchmagie_luftbeschwoerung_2_sturmstrahl</t>
        </is>
      </c>
      <c r="B1608" t="inlineStr">
        <is>
          <t>Spruchmagie</t>
        </is>
      </c>
      <c r="C1608" t="inlineStr">
        <is>
          <t>Sturmstrahl</t>
        </is>
      </c>
      <c r="F1608" t="inlineStr">
        <is>
          <t>Luftbeschwörung</t>
        </is>
      </c>
      <c r="G1608" t="inlineStr">
        <is>
          <t>Wert</t>
        </is>
      </c>
      <c r="K1608" t="inlineStr">
        <is>
          <t>2</t>
        </is>
      </c>
      <c r="L1608" t="inlineStr">
        <is>
          <t>WENN(wert=0;0;10+(wert-1)*grad)</t>
        </is>
      </c>
      <c r="P1608" t="inlineStr">
        <is>
          <t>eig_bonus_k_schnelligkeit</t>
        </is>
      </c>
      <c r="Q1608" t="inlineStr">
        <is>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is>
      </c>
    </row>
    <row r="1609" hidden="1" ht="15.75" customHeight="1" s="48">
      <c r="A1609" t="inlineStr">
        <is>
          <t>spruchmagie_luftbeschwoerung_3_grosse_sturmfaust</t>
        </is>
      </c>
      <c r="B1609" t="inlineStr">
        <is>
          <t>Spruchmagie</t>
        </is>
      </c>
      <c r="C1609" t="inlineStr">
        <is>
          <t>Große Sturmfaust</t>
        </is>
      </c>
      <c r="F1609" t="inlineStr">
        <is>
          <t>Luftbeschwörung</t>
        </is>
      </c>
      <c r="G1609" t="inlineStr">
        <is>
          <t>Wert</t>
        </is>
      </c>
      <c r="K1609" t="inlineStr">
        <is>
          <t>3</t>
        </is>
      </c>
      <c r="L1609" t="inlineStr">
        <is>
          <t>WENN(wert=0;0;10+(wert-1)*grad)</t>
        </is>
      </c>
      <c r="P1609" t="inlineStr">
        <is>
          <t>eig_bonus_k_schnelligkeit</t>
        </is>
      </c>
      <c r="Q1609" t="inlineStr">
        <is>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is>
      </c>
    </row>
    <row r="1610" hidden="1" ht="15.75" customHeight="1" s="48">
      <c r="A1610" t="inlineStr">
        <is>
          <t>spruchmagie_luftbeschwoerung_3_sturmball_salve</t>
        </is>
      </c>
      <c r="B1610" t="inlineStr">
        <is>
          <t>Spruchmagie</t>
        </is>
      </c>
      <c r="C1610" t="inlineStr">
        <is>
          <t>Sturmball-Salve</t>
        </is>
      </c>
      <c r="F1610" t="inlineStr">
        <is>
          <t>Luftbeschwörung</t>
        </is>
      </c>
      <c r="G1610" t="inlineStr">
        <is>
          <t>Wert</t>
        </is>
      </c>
      <c r="K1610" t="inlineStr">
        <is>
          <t>3</t>
        </is>
      </c>
      <c r="L1610" t="inlineStr">
        <is>
          <t>WENN(wert=0;0;10+(wert-1)*grad)</t>
        </is>
      </c>
      <c r="P1610" t="inlineStr">
        <is>
          <t>eig_bonus_k_schnelligkeit</t>
        </is>
      </c>
      <c r="Q1610" t="inlineStr">
        <is>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is>
      </c>
    </row>
    <row r="1611" hidden="1" ht="15.75" customHeight="1" s="48">
      <c r="A1611" t="inlineStr">
        <is>
          <t>spruchmagie_luftbeschwoerung_3_luft_klinge</t>
        </is>
      </c>
      <c r="B1611" t="inlineStr">
        <is>
          <t>Spruchmagie</t>
        </is>
      </c>
      <c r="C1611" t="inlineStr">
        <is>
          <t>Luft-Klinge</t>
        </is>
      </c>
      <c r="F1611" t="inlineStr">
        <is>
          <t>Luftbeschwörung</t>
        </is>
      </c>
      <c r="G1611" t="inlineStr">
        <is>
          <t>Wert</t>
        </is>
      </c>
      <c r="K1611" t="inlineStr">
        <is>
          <t>3</t>
        </is>
      </c>
      <c r="L1611" t="inlineStr">
        <is>
          <t>WENN(wert=0;0;10+(wert-1)*grad)</t>
        </is>
      </c>
      <c r="P1611" t="inlineStr">
        <is>
          <t>eig_bonus_k_schnelligkeit</t>
        </is>
      </c>
      <c r="Q1611" t="inlineStr">
        <is>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612" hidden="1" ht="15.75" customHeight="1" s="48">
      <c r="A1612" t="inlineStr">
        <is>
          <t>spruchmagie_luftbeschwoerung_3_sturm_pfeil</t>
        </is>
      </c>
      <c r="B1612" t="inlineStr">
        <is>
          <t>Spruchmagie</t>
        </is>
      </c>
      <c r="C1612" t="inlineStr">
        <is>
          <t>Sturm-Pfeil</t>
        </is>
      </c>
      <c r="F1612" t="inlineStr">
        <is>
          <t>Luftbeschwörung</t>
        </is>
      </c>
      <c r="G1612" t="inlineStr">
        <is>
          <t>Wert</t>
        </is>
      </c>
      <c r="K1612" t="inlineStr">
        <is>
          <t>3</t>
        </is>
      </c>
      <c r="L1612" t="inlineStr">
        <is>
          <t>WENN(wert=0;0;10+(wert-1)*grad)</t>
        </is>
      </c>
      <c r="P1612" t="inlineStr">
        <is>
          <t>eig_bonus_k_schnelligkeit</t>
        </is>
      </c>
      <c r="Q1612" t="inlineStr">
        <is>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613" hidden="1" ht="15.75" customHeight="1" s="48">
      <c r="A1613" t="inlineStr">
        <is>
          <t>spruchmagie_luftbeschwoerung_3_sturmblitz</t>
        </is>
      </c>
      <c r="B1613" t="inlineStr">
        <is>
          <t>Spruchmagie</t>
        </is>
      </c>
      <c r="C1613" t="inlineStr">
        <is>
          <t>Sturmblitz</t>
        </is>
      </c>
      <c r="F1613" t="inlineStr">
        <is>
          <t>Luftbeschwörung</t>
        </is>
      </c>
      <c r="G1613" t="inlineStr">
        <is>
          <t>Wert</t>
        </is>
      </c>
      <c r="K1613" t="inlineStr">
        <is>
          <t>3</t>
        </is>
      </c>
      <c r="L1613" t="inlineStr">
        <is>
          <t>WENN(wert=0;0;10+(wert-1)*grad)</t>
        </is>
      </c>
      <c r="P1613" t="inlineStr">
        <is>
          <t>eig_bonus_k_schnelligkeit</t>
        </is>
      </c>
      <c r="Q1613" t="inlineStr">
        <is>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is>
      </c>
    </row>
    <row r="1614" hidden="1" ht="15.75" customHeight="1" s="48">
      <c r="A1614" t="inlineStr">
        <is>
          <t>spruchmagie_luftbeschwoerung_4_grosser_sturmball</t>
        </is>
      </c>
      <c r="B1614" t="inlineStr">
        <is>
          <t>Spruchmagie</t>
        </is>
      </c>
      <c r="C1614" t="inlineStr">
        <is>
          <t>Großer Sturmball</t>
        </is>
      </c>
      <c r="F1614" t="inlineStr">
        <is>
          <t>Luftbeschwörung</t>
        </is>
      </c>
      <c r="G1614" t="inlineStr">
        <is>
          <t>Wert</t>
        </is>
      </c>
      <c r="K1614" t="inlineStr">
        <is>
          <t>4</t>
        </is>
      </c>
      <c r="L1614" t="inlineStr">
        <is>
          <t>WENN(wert=0;0;10+(wert-1)*grad)</t>
        </is>
      </c>
      <c r="P1614" t="inlineStr">
        <is>
          <t>eig_bonus_k_schnelligkeit</t>
        </is>
      </c>
      <c r="Q1614" t="inlineStr">
        <is>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is>
      </c>
    </row>
    <row r="1615" hidden="1" ht="15.75" customHeight="1" s="48">
      <c r="A1615" t="inlineStr">
        <is>
          <t>spruchmagie_luftbeschwoerung_4_sturmpfeil_salve</t>
        </is>
      </c>
      <c r="B1615" t="inlineStr">
        <is>
          <t>Spruchmagie</t>
        </is>
      </c>
      <c r="C1615" t="inlineStr">
        <is>
          <t>Sturmpfeil-Salve</t>
        </is>
      </c>
      <c r="F1615" t="inlineStr">
        <is>
          <t>Luftbeschwörung</t>
        </is>
      </c>
      <c r="G1615" t="inlineStr">
        <is>
          <t>Wert</t>
        </is>
      </c>
      <c r="K1615" t="inlineStr">
        <is>
          <t>4</t>
        </is>
      </c>
      <c r="L1615" t="inlineStr">
        <is>
          <t>WENN(wert=0;0;10+(wert-1)*grad)</t>
        </is>
      </c>
      <c r="P1615" t="inlineStr">
        <is>
          <t>eig_bonus_k_schnelligkeit</t>
        </is>
      </c>
      <c r="Q1615" t="inlineStr">
        <is>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is>
      </c>
    </row>
    <row r="1616" hidden="1" ht="15.75" customHeight="1" s="48">
      <c r="A1616" t="inlineStr">
        <is>
          <t>spruchmagie_luftbeschwoerung_4_grosse_sturmwand</t>
        </is>
      </c>
      <c r="B1616" t="inlineStr">
        <is>
          <t>Spruchmagie</t>
        </is>
      </c>
      <c r="C1616" t="inlineStr">
        <is>
          <t>Große Sturmwand</t>
        </is>
      </c>
      <c r="F1616" t="inlineStr">
        <is>
          <t>Luftbeschwörung</t>
        </is>
      </c>
      <c r="G1616" t="inlineStr">
        <is>
          <t>Wert</t>
        </is>
      </c>
      <c r="K1616" t="inlineStr">
        <is>
          <t>4</t>
        </is>
      </c>
      <c r="L1616" t="inlineStr">
        <is>
          <t>WENN(wert=0;0;10+(wert-1)*grad)</t>
        </is>
      </c>
      <c r="P1616" t="inlineStr">
        <is>
          <t>eig_bonus_k_schnelligkeit</t>
        </is>
      </c>
      <c r="Q1616"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is>
      </c>
    </row>
    <row r="1617" hidden="1" ht="15.75" customHeight="1" s="48">
      <c r="A1617" t="inlineStr">
        <is>
          <t>spruchmagie_luftbeschwoerung_5_grosse_sturmaura</t>
        </is>
      </c>
      <c r="B1617" t="inlineStr">
        <is>
          <t>Spruchmagie</t>
        </is>
      </c>
      <c r="C1617" t="inlineStr">
        <is>
          <t>Große Sturmaura</t>
        </is>
      </c>
      <c r="F1617" t="inlineStr">
        <is>
          <t>Luftbeschwörung</t>
        </is>
      </c>
      <c r="G1617" t="inlineStr">
        <is>
          <t>Wert</t>
        </is>
      </c>
      <c r="K1617" t="inlineStr">
        <is>
          <t>5</t>
        </is>
      </c>
      <c r="L1617" t="inlineStr">
        <is>
          <t>WENN(wert=0;0;10+(wert-1)*grad)</t>
        </is>
      </c>
      <c r="P1617" t="inlineStr">
        <is>
          <t>eig_bonus_k_schnelligkeit</t>
        </is>
      </c>
      <c r="Q161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is>
      </c>
    </row>
    <row r="1618" hidden="1" ht="15.75" customHeight="1" s="48">
      <c r="A1618" t="inlineStr">
        <is>
          <t>spruchmagie_luftbeschwoerung_5_tornado</t>
        </is>
      </c>
      <c r="B1618" t="inlineStr">
        <is>
          <t>Spruchmagie</t>
        </is>
      </c>
      <c r="C1618" t="inlineStr">
        <is>
          <t>Tornado</t>
        </is>
      </c>
      <c r="F1618" t="inlineStr">
        <is>
          <t>Luftbeschwörung</t>
        </is>
      </c>
      <c r="G1618" t="inlineStr">
        <is>
          <t>Wert</t>
        </is>
      </c>
      <c r="K1618" t="inlineStr">
        <is>
          <t>5</t>
        </is>
      </c>
      <c r="L1618" t="inlineStr">
        <is>
          <t>WENN(wert=0;0;10+(wert-1)*grad)</t>
        </is>
      </c>
      <c r="P1618" t="inlineStr">
        <is>
          <t>eig_bonus_k_schnelligkeit</t>
        </is>
      </c>
      <c r="Q1618" t="inlineStr">
        <is>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is>
      </c>
    </row>
    <row r="1619" hidden="1" ht="15.75" customHeight="1" s="48">
      <c r="A1619" t="inlineStr">
        <is>
          <t>spruchmagie_luftbeschwoerung_5_grosser_sturmpfeil</t>
        </is>
      </c>
      <c r="B1619" t="inlineStr">
        <is>
          <t>Spruchmagie</t>
        </is>
      </c>
      <c r="C1619" t="inlineStr">
        <is>
          <t>Großer Sturmpfeil</t>
        </is>
      </c>
      <c r="F1619" t="inlineStr">
        <is>
          <t>Luftbeschwörung</t>
        </is>
      </c>
      <c r="G1619" t="inlineStr">
        <is>
          <t>Wert</t>
        </is>
      </c>
      <c r="K1619" t="inlineStr">
        <is>
          <t>5</t>
        </is>
      </c>
      <c r="L1619" t="inlineStr">
        <is>
          <t>WENN(wert=0;0;10+(wert-1)*grad)</t>
        </is>
      </c>
      <c r="P1619" t="inlineStr">
        <is>
          <t>eig_bonus_k_schnelligkeit</t>
        </is>
      </c>
      <c r="Q1619"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is>
      </c>
    </row>
    <row r="1620" hidden="1" ht="15.75" customHeight="1" s="48">
      <c r="A1620" t="inlineStr">
        <is>
          <t>spruchmagie_luftbeschwoerung_6_grosse_sturmball_salve</t>
        </is>
      </c>
      <c r="B1620" t="inlineStr">
        <is>
          <t>Spruchmagie</t>
        </is>
      </c>
      <c r="C1620" t="inlineStr">
        <is>
          <t>Große Sturmball-Salve</t>
        </is>
      </c>
      <c r="F1620" t="inlineStr">
        <is>
          <t>Luftbeschwörung</t>
        </is>
      </c>
      <c r="G1620" t="inlineStr">
        <is>
          <t>Wert</t>
        </is>
      </c>
      <c r="K1620" t="inlineStr">
        <is>
          <t>6</t>
        </is>
      </c>
      <c r="L1620" t="inlineStr">
        <is>
          <t>WENN(wert=0;0;10+(wert-1)*grad)</t>
        </is>
      </c>
      <c r="P1620" t="inlineStr">
        <is>
          <t>eig_bonus_k_schnelligkeit</t>
        </is>
      </c>
      <c r="Q1620" t="inlineStr">
        <is>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is>
      </c>
    </row>
    <row r="1621" hidden="1" ht="15.75" customHeight="1" s="48">
      <c r="A1621" t="inlineStr">
        <is>
          <t>spruchmagie_luftbeschwoerung_6_grosser_sturmstrahl</t>
        </is>
      </c>
      <c r="B1621" t="inlineStr">
        <is>
          <t>Spruchmagie</t>
        </is>
      </c>
      <c r="C1621" t="inlineStr">
        <is>
          <t>Großer Sturmstrahl</t>
        </is>
      </c>
      <c r="F1621" t="inlineStr">
        <is>
          <t>Luftbeschwörung</t>
        </is>
      </c>
      <c r="G1621" t="inlineStr">
        <is>
          <t>Wert</t>
        </is>
      </c>
      <c r="K1621" t="inlineStr">
        <is>
          <t>6</t>
        </is>
      </c>
      <c r="L1621" t="inlineStr">
        <is>
          <t>WENN(wert=0;0;10+(wert-1)*grad)</t>
        </is>
      </c>
      <c r="P1621" t="inlineStr">
        <is>
          <t>eig_bonus_k_schnelligkeit</t>
        </is>
      </c>
      <c r="Q1621" t="inlineStr">
        <is>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is>
      </c>
    </row>
    <row r="1622" hidden="1" ht="15.75" customHeight="1" s="48">
      <c r="A1622" t="inlineStr">
        <is>
          <t>spruchmagie_luftbeschwoerung_6_grosser_sturmblitz</t>
        </is>
      </c>
      <c r="B1622" t="inlineStr">
        <is>
          <t>Spruchmagie</t>
        </is>
      </c>
      <c r="C1622" t="inlineStr">
        <is>
          <t>Großer Sturmblitz</t>
        </is>
      </c>
      <c r="F1622" t="inlineStr">
        <is>
          <t>Luftbeschwörung</t>
        </is>
      </c>
      <c r="G1622" t="inlineStr">
        <is>
          <t>Wert</t>
        </is>
      </c>
      <c r="K1622" t="inlineStr">
        <is>
          <t>6</t>
        </is>
      </c>
      <c r="L1622" t="inlineStr">
        <is>
          <t>WENN(wert=0;0;10+(wert-1)*grad)</t>
        </is>
      </c>
      <c r="P1622" t="inlineStr">
        <is>
          <t>eig_bonus_k_schnelligkeit</t>
        </is>
      </c>
      <c r="Q1622" t="inlineStr">
        <is>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is>
      </c>
    </row>
    <row r="1623" hidden="1" ht="15.75" customHeight="1" s="48">
      <c r="A1623" t="inlineStr">
        <is>
          <t>spruchmagie_luftbeschwoerung_7_grosser_tornado</t>
        </is>
      </c>
      <c r="B1623" t="inlineStr">
        <is>
          <t>Spruchmagie</t>
        </is>
      </c>
      <c r="C1623" t="inlineStr">
        <is>
          <t>Großer Tornado</t>
        </is>
      </c>
      <c r="F1623" t="inlineStr">
        <is>
          <t>Luftbeschwörung</t>
        </is>
      </c>
      <c r="G1623" t="inlineStr">
        <is>
          <t>Wert</t>
        </is>
      </c>
      <c r="K1623" t="inlineStr">
        <is>
          <t>7</t>
        </is>
      </c>
      <c r="L1623" t="inlineStr">
        <is>
          <t>WENN(wert=0;0;10+(wert-1)*grad)</t>
        </is>
      </c>
      <c r="P1623" t="inlineStr">
        <is>
          <t>eig_bonus_k_schnelligkeit</t>
        </is>
      </c>
      <c r="Q1623" t="inlineStr">
        <is>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is>
      </c>
    </row>
    <row r="1624" hidden="1" ht="15.75" customHeight="1" s="48">
      <c r="A1624" t="inlineStr">
        <is>
          <t>spruchmagie_luftbeschwoerung_7_grosse_sturmpfeil_salve</t>
        </is>
      </c>
      <c r="B1624" t="inlineStr">
        <is>
          <t>Spruchmagie</t>
        </is>
      </c>
      <c r="C1624" t="inlineStr">
        <is>
          <t>Große Sturmpfeil-Salve</t>
        </is>
      </c>
      <c r="F1624" t="inlineStr">
        <is>
          <t>Luftbeschwörung</t>
        </is>
      </c>
      <c r="G1624" t="inlineStr">
        <is>
          <t>Wert</t>
        </is>
      </c>
      <c r="K1624" t="inlineStr">
        <is>
          <t>7</t>
        </is>
      </c>
      <c r="L1624" t="inlineStr">
        <is>
          <t>WENN(wert=0;0;10+(wert-1)*grad)</t>
        </is>
      </c>
      <c r="P1624" t="inlineStr">
        <is>
          <t>eig_bonus_k_schnelligkeit</t>
        </is>
      </c>
      <c r="Q1624" t="inlineStr">
        <is>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is>
      </c>
    </row>
    <row r="1625" hidden="1" ht="15.75" customHeight="1" s="48">
      <c r="A1625" t="inlineStr">
        <is>
          <t>spruchmagie_magiebeschwoerung_1_magische_faust</t>
        </is>
      </c>
      <c r="B1625" t="inlineStr">
        <is>
          <t>Spruchmagie</t>
        </is>
      </c>
      <c r="C1625" t="inlineStr">
        <is>
          <t>Magische Faust</t>
        </is>
      </c>
      <c r="F1625" t="inlineStr">
        <is>
          <t>Magiebeschwörung</t>
        </is>
      </c>
      <c r="G1625" t="inlineStr">
        <is>
          <t>Wert</t>
        </is>
      </c>
      <c r="K1625" t="inlineStr">
        <is>
          <t>1</t>
        </is>
      </c>
      <c r="L1625" t="inlineStr">
        <is>
          <t>WENN(wert=0;0;10+(wert-1)*grad)</t>
        </is>
      </c>
      <c r="P1625" t="inlineStr">
        <is>
          <t>eig_bonus_g_ausstrahlung</t>
        </is>
      </c>
      <c r="Q1625" t="inlineStr">
        <is>
          <t>Die Fäuste des Magiers verursachen zusätzlichen Elementarschaden. Schaden: W8 + {Magie}, zusätzliche Erschwerung der SB-Probe -3, wenn min. 1 SP erzielt wird.</t>
        </is>
      </c>
    </row>
    <row r="1626" hidden="1" ht="15.75" customHeight="1" s="48">
      <c r="A1626" t="inlineStr">
        <is>
          <t>spruchmagie_magiebeschwoerung_1_wand_aus_magie</t>
        </is>
      </c>
      <c r="B1626" t="inlineStr">
        <is>
          <t>Spruchmagie</t>
        </is>
      </c>
      <c r="C1626" t="inlineStr">
        <is>
          <t>Wand aus Magie</t>
        </is>
      </c>
      <c r="F1626" t="inlineStr">
        <is>
          <t>Magiebeschwörung</t>
        </is>
      </c>
      <c r="G1626" t="inlineStr">
        <is>
          <t>Wert</t>
        </is>
      </c>
      <c r="K1626" t="inlineStr">
        <is>
          <t>1</t>
        </is>
      </c>
      <c r="L1626" t="inlineStr">
        <is>
          <t>WENN(wert=0;0;10+(wert-1)*grad)</t>
        </is>
      </c>
      <c r="P1626" t="inlineStr">
        <is>
          <t>eig_bonus_g_ausstrahlung</t>
        </is>
      </c>
      <c r="Q1626"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1627" hidden="1" ht="15.75" customHeight="1" s="48">
      <c r="A1627" t="inlineStr">
        <is>
          <t>spruchmagie_magiebeschwoerung_2_magische_aura</t>
        </is>
      </c>
      <c r="B1627" t="inlineStr">
        <is>
          <t>Spruchmagie</t>
        </is>
      </c>
      <c r="C1627" t="inlineStr">
        <is>
          <t>Magische Aura</t>
        </is>
      </c>
      <c r="F1627" t="inlineStr">
        <is>
          <t>Magiebeschwörung</t>
        </is>
      </c>
      <c r="G1627" t="inlineStr">
        <is>
          <t>Wert</t>
        </is>
      </c>
      <c r="K1627" t="inlineStr">
        <is>
          <t>2</t>
        </is>
      </c>
      <c r="L1627" t="inlineStr">
        <is>
          <t>WENN(wert=0;0;10+(wert-1)*grad)</t>
        </is>
      </c>
      <c r="P1627" t="inlineStr">
        <is>
          <t>eig_bonus_g_ausstrahlung</t>
        </is>
      </c>
      <c r="Q1627"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1628" hidden="1" ht="15.75" customHeight="1" s="48">
      <c r="A1628" t="inlineStr">
        <is>
          <t>spruchmagie_magiebeschwoerung_2_magischer_strahl</t>
        </is>
      </c>
      <c r="B1628" t="inlineStr">
        <is>
          <t>Spruchmagie</t>
        </is>
      </c>
      <c r="C1628" t="inlineStr">
        <is>
          <t>Magischer Strahl</t>
        </is>
      </c>
      <c r="F1628" t="inlineStr">
        <is>
          <t>Magiebeschwörung</t>
        </is>
      </c>
      <c r="G1628" t="inlineStr">
        <is>
          <t>Wert</t>
        </is>
      </c>
      <c r="K1628" t="inlineStr">
        <is>
          <t>2</t>
        </is>
      </c>
      <c r="L1628" t="inlineStr">
        <is>
          <t>WENN(wert=0;0;10+(wert-1)*grad)</t>
        </is>
      </c>
      <c r="P1628" t="inlineStr">
        <is>
          <t>eig_bonus_g_ausstrahlung</t>
        </is>
      </c>
      <c r="Q1628" t="inlineStr">
        <is>
          <t>Aus der Handfläche des Magiers schießt ein {M} cm dicker Strahl aus Magie. Schaden: W10+{Magie} pro sec, zusätzliche Erschwerung der SB-Probe -3. Treffer auf eine FK-TZ mit 1 zusätzlichen TZ-Reroll, wenn min. 1 SP erzielt wird.</t>
        </is>
      </c>
    </row>
    <row r="1629" hidden="1" ht="15.75" customHeight="1" s="48">
      <c r="A1629" t="inlineStr">
        <is>
          <t>spruchmagie_magiebeschwoerung_3_grosse_magische_faust</t>
        </is>
      </c>
      <c r="B1629" t="inlineStr">
        <is>
          <t>Spruchmagie</t>
        </is>
      </c>
      <c r="C1629" t="inlineStr">
        <is>
          <t>Große Magische Faust</t>
        </is>
      </c>
      <c r="F1629" t="inlineStr">
        <is>
          <t>Magiebeschwörung</t>
        </is>
      </c>
      <c r="G1629" t="inlineStr">
        <is>
          <t>Wert</t>
        </is>
      </c>
      <c r="K1629" t="inlineStr">
        <is>
          <t>3</t>
        </is>
      </c>
      <c r="L1629" t="inlineStr">
        <is>
          <t>WENN(wert=0;0;10+(wert-1)*grad)</t>
        </is>
      </c>
      <c r="P1629" t="inlineStr">
        <is>
          <t>eig_bonus_g_ausstrahlung</t>
        </is>
      </c>
      <c r="Q1629" t="inlineStr">
        <is>
          <t>Die Fäuste des Magiers verursachen zusätzlichen Elementarschaden von   2W12+{Magie}, zusätzliche Erschwerung der SB-Probe -9, wenn min. 1 SP erzielt wird.</t>
        </is>
      </c>
    </row>
    <row r="1630" hidden="1" ht="15.75" customHeight="1" s="48">
      <c r="A1630" t="inlineStr">
        <is>
          <t>spruchmagie_magiebeschwoerung_3_magische_ball_salve</t>
        </is>
      </c>
      <c r="B1630" t="inlineStr">
        <is>
          <t>Spruchmagie</t>
        </is>
      </c>
      <c r="C1630" t="inlineStr">
        <is>
          <t>Magische Ball-Salve</t>
        </is>
      </c>
      <c r="F1630" t="inlineStr">
        <is>
          <t>Magiebeschwörung</t>
        </is>
      </c>
      <c r="G1630" t="inlineStr">
        <is>
          <t>Wert</t>
        </is>
      </c>
      <c r="K1630" t="inlineStr">
        <is>
          <t>3</t>
        </is>
      </c>
      <c r="L1630" t="inlineStr">
        <is>
          <t>WENN(wert=0;0;10+(wert-1)*grad)</t>
        </is>
      </c>
      <c r="P1630" t="inlineStr">
        <is>
          <t>eig_bonus_g_ausstrahlung</t>
        </is>
      </c>
      <c r="Q1630" t="inlineStr">
        <is>
          <t>Der Magus erschafft {Magie} : 2 Bälle aus Magie. Schaden: 2W4 + {Magie}, zusätzliche Erschwerung der SB-Probe -6, wenn min. 1 SP erzielt wird.</t>
        </is>
      </c>
    </row>
    <row r="1631" hidden="1" ht="15.75" customHeight="1" s="48">
      <c r="A1631" t="inlineStr">
        <is>
          <t>spruchmagie_magiebeschwoerung_3_blitz_klinge</t>
        </is>
      </c>
      <c r="B1631" t="inlineStr">
        <is>
          <t>Spruchmagie</t>
        </is>
      </c>
      <c r="C1631" t="inlineStr">
        <is>
          <t>Blitz-Klinge</t>
        </is>
      </c>
      <c r="F1631" t="inlineStr">
        <is>
          <t>Magiebeschwörung</t>
        </is>
      </c>
      <c r="G1631" t="inlineStr">
        <is>
          <t>Wert</t>
        </is>
      </c>
      <c r="K1631" t="inlineStr">
        <is>
          <t>3</t>
        </is>
      </c>
      <c r="L1631" t="inlineStr">
        <is>
          <t>WENN(wert=0;0;10+(wert-1)*grad)</t>
        </is>
      </c>
      <c r="P1631" t="inlineStr">
        <is>
          <t>eig_bonus_g_ausstrahlung</t>
        </is>
      </c>
      <c r="Q1631"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1632" hidden="1" ht="15.75" customHeight="1" s="48">
      <c r="A1632" t="inlineStr">
        <is>
          <t>spruchmagie_magiebeschwoerung_3_schock_pfeil</t>
        </is>
      </c>
      <c r="B1632" t="inlineStr">
        <is>
          <t>Spruchmagie</t>
        </is>
      </c>
      <c r="C1632" t="inlineStr">
        <is>
          <t>Schock-Pfeil</t>
        </is>
      </c>
      <c r="F1632" t="inlineStr">
        <is>
          <t>Magiebeschwörung</t>
        </is>
      </c>
      <c r="G1632" t="inlineStr">
        <is>
          <t>Wert</t>
        </is>
      </c>
      <c r="K1632" t="inlineStr">
        <is>
          <t>3</t>
        </is>
      </c>
      <c r="L1632" t="inlineStr">
        <is>
          <t>WENN(wert=0;0;10+(wert-1)*grad)</t>
        </is>
      </c>
      <c r="P1632" t="inlineStr">
        <is>
          <t>eig_bonus_g_ausstrahlung</t>
        </is>
      </c>
      <c r="Q1632"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1633" hidden="1" ht="15.75" customHeight="1" s="48">
      <c r="A1633" t="inlineStr">
        <is>
          <t>spruchmagie_magiebeschwoerung_4_grosser_magischer_ball</t>
        </is>
      </c>
      <c r="B1633" t="inlineStr">
        <is>
          <t>Spruchmagie</t>
        </is>
      </c>
      <c r="C1633" t="inlineStr">
        <is>
          <t>Großer Magischer Ball</t>
        </is>
      </c>
      <c r="F1633" t="inlineStr">
        <is>
          <t>Magiebeschwörung</t>
        </is>
      </c>
      <c r="G1633" t="inlineStr">
        <is>
          <t>Wert</t>
        </is>
      </c>
      <c r="K1633" t="inlineStr">
        <is>
          <t>4</t>
        </is>
      </c>
      <c r="L1633" t="inlineStr">
        <is>
          <t>WENN(wert=0;0;10+(wert-1)*grad)</t>
        </is>
      </c>
      <c r="P1633" t="inlineStr">
        <is>
          <t>eig_bonus_g_ausstrahlung</t>
        </is>
      </c>
      <c r="Q1633" t="inlineStr">
        <is>
          <t>Der Magus erschafft einen Ball aus Magie. Schaden: W12 + {Magie} auf jede TZ, zusätzliche Erschwerung der SB-Probe -35, wenn min. 1 SP erzielt wird.</t>
        </is>
      </c>
    </row>
    <row r="1634" hidden="1" ht="15.75" customHeight="1" s="48">
      <c r="A1634" t="inlineStr">
        <is>
          <t>spruchmagie_magiebeschwoerung_4_grosse_wand_aus_magie</t>
        </is>
      </c>
      <c r="B1634" t="inlineStr">
        <is>
          <t>Spruchmagie</t>
        </is>
      </c>
      <c r="C1634" t="inlineStr">
        <is>
          <t>Große Wand aus Magie</t>
        </is>
      </c>
      <c r="F1634" t="inlineStr">
        <is>
          <t>Magiebeschwörung</t>
        </is>
      </c>
      <c r="G1634" t="inlineStr">
        <is>
          <t>Wert</t>
        </is>
      </c>
      <c r="K1634" t="inlineStr">
        <is>
          <t>4</t>
        </is>
      </c>
      <c r="L1634" t="inlineStr">
        <is>
          <t>WENN(wert=0;0;10+(wert-1)*grad)</t>
        </is>
      </c>
      <c r="P1634" t="inlineStr">
        <is>
          <t>eig_bonus_g_ausstrahlung</t>
        </is>
      </c>
      <c r="Q1634"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1635" hidden="1" ht="15.75" customHeight="1" s="48">
      <c r="A1635" t="inlineStr">
        <is>
          <t>spruchmagie_magiebeschwoerung_5_grosses_magisches_geschoss</t>
        </is>
      </c>
      <c r="B1635" t="inlineStr">
        <is>
          <t>Spruchmagie</t>
        </is>
      </c>
      <c r="C1635" t="inlineStr">
        <is>
          <t>Großes Magisches Geschoss</t>
        </is>
      </c>
      <c r="F1635" t="inlineStr">
        <is>
          <t>Magiebeschwörung</t>
        </is>
      </c>
      <c r="G1635" t="inlineStr">
        <is>
          <t>Wert</t>
        </is>
      </c>
      <c r="K1635" t="inlineStr">
        <is>
          <t>5</t>
        </is>
      </c>
      <c r="L1635" t="inlineStr">
        <is>
          <t>WENN(wert=0;0;10+(wert-1)*grad)</t>
        </is>
      </c>
      <c r="P1635" t="inlineStr">
        <is>
          <t>eig_bonus_g_ausstrahlung</t>
        </is>
      </c>
      <c r="Q1635" t="inlineStr">
        <is>
          <t>Der Magus erschafft einen Bolzen aus Magie. Treffer auf FK-TZ. Schaden: 2W10 + {Magie}; RB {M}:2, zusätzliche Erschwerung der SB-Probe -6, wenn min. 1 SP erzielt wird.</t>
        </is>
      </c>
    </row>
    <row r="1636" hidden="1" ht="15.75" customHeight="1" s="48">
      <c r="A1636" t="inlineStr">
        <is>
          <t>spruchmagie_magiebeschwoerung_6_grosser_magischer_strahl</t>
        </is>
      </c>
      <c r="B1636" t="inlineStr">
        <is>
          <t>Spruchmagie</t>
        </is>
      </c>
      <c r="C1636" t="inlineStr">
        <is>
          <t>Großer Magischer Strahl</t>
        </is>
      </c>
      <c r="F1636" t="inlineStr">
        <is>
          <t>Magiebeschwörung</t>
        </is>
      </c>
      <c r="G1636" t="inlineStr">
        <is>
          <t>Wert</t>
        </is>
      </c>
      <c r="K1636" t="inlineStr">
        <is>
          <t>6</t>
        </is>
      </c>
      <c r="L1636" t="inlineStr">
        <is>
          <t>WENN(wert=0;0;10+(wert-1)*grad)</t>
        </is>
      </c>
      <c r="P1636" t="inlineStr">
        <is>
          <t>eig_bonus_g_ausstrahlung</t>
        </is>
      </c>
      <c r="Q1636" t="inlineStr">
        <is>
          <t>Aus der Handfläche des Magiers schießt ein {M} cm dicker Strahl aus Magie. Treffer auf eine FK-TZ mit 1 TZ-Reroll. Schaden: 2W10 + {Magie} pro sec, zusätzliche Erschwerung der SB-Probe -6, wenn min. 1 SP erzielt wird.</t>
        </is>
      </c>
    </row>
    <row r="1637" hidden="1" ht="15.75" customHeight="1" s="48">
      <c r="A1637" t="inlineStr">
        <is>
          <t>spruchmagie_magiebeschwoerung_6_grosse_magische_entladung</t>
        </is>
      </c>
      <c r="B1637" t="inlineStr">
        <is>
          <t>Spruchmagie</t>
        </is>
      </c>
      <c r="C1637" t="inlineStr">
        <is>
          <t>Große Magische Entladung</t>
        </is>
      </c>
      <c r="F1637" t="inlineStr">
        <is>
          <t>Magiebeschwörung</t>
        </is>
      </c>
      <c r="G1637" t="inlineStr">
        <is>
          <t>Wert</t>
        </is>
      </c>
      <c r="K1637" t="inlineStr">
        <is>
          <t>6</t>
        </is>
      </c>
      <c r="L1637" t="inlineStr">
        <is>
          <t>WENN(wert=0;0;10+(wert-1)*grad)</t>
        </is>
      </c>
      <c r="P1637" t="inlineStr">
        <is>
          <t>eig_bonus_g_ausstrahlung</t>
        </is>
      </c>
      <c r="Q1637" t="inlineStr">
        <is>
          <t>Der Magus erschafft um das Opfer eine Kugel aus Magie. Treffer auf FK-TZ mit 2 TZ-Rerolls auf die gewünschte Trefferzone. Schaden: 2W12 + {Magie}, zusätzliche Erschwerung der SB-Probe -9, wenn min. 1 SP erzielt wird.</t>
        </is>
      </c>
    </row>
    <row r="1638" hidden="1" ht="15.75" customHeight="1" s="48">
      <c r="A1638" t="inlineStr">
        <is>
          <t>spruchmagie_magiebeschwoerung_7_grosse_magische_geschoss_salve</t>
        </is>
      </c>
      <c r="B1638" t="inlineStr">
        <is>
          <t>Spruchmagie</t>
        </is>
      </c>
      <c r="C1638" t="inlineStr">
        <is>
          <t>Große Magische Geschoss-Salve</t>
        </is>
      </c>
      <c r="F1638" t="inlineStr">
        <is>
          <t>Magiebeschwörung</t>
        </is>
      </c>
      <c r="G1638" t="inlineStr">
        <is>
          <t>Wert</t>
        </is>
      </c>
      <c r="K1638" t="inlineStr">
        <is>
          <t>7</t>
        </is>
      </c>
      <c r="L1638" t="inlineStr">
        <is>
          <t>WENN(wert=0;0;10+(wert-1)*grad)</t>
        </is>
      </c>
      <c r="P1638" t="inlineStr">
        <is>
          <t>eig_bonus_g_ausstrahlung</t>
        </is>
      </c>
      <c r="Q1638" t="inlineStr">
        <is>
          <t>Der Magus erschafft {Magie} : 2 Bolzen aus Magie. Jeweils Treffer auf FK-TZ. Schaden: 2W10 + {Magie}, RB {M}:2, zusätzliche Erschwerung der SB-Probe -6, wenn min. 1 SP erzielt wird.</t>
        </is>
      </c>
    </row>
    <row r="1639" hidden="1" ht="15.75" customHeight="1" s="48">
      <c r="A1639" t="inlineStr">
        <is>
          <t>spruchmagie_veraenderung_1_in_nahrung_verwandeln</t>
        </is>
      </c>
      <c r="B1639" t="inlineStr">
        <is>
          <t>Spruchmagie</t>
        </is>
      </c>
      <c r="C1639" t="inlineStr">
        <is>
          <t>In Nahrung verwandeln</t>
        </is>
      </c>
      <c r="F1639" t="inlineStr">
        <is>
          <t>Veränderung</t>
        </is>
      </c>
      <c r="G1639" t="inlineStr">
        <is>
          <t>Wert</t>
        </is>
      </c>
      <c r="K1639" t="inlineStr">
        <is>
          <t>1</t>
        </is>
      </c>
      <c r="L1639" t="inlineStr">
        <is>
          <t>WENN(wert=0;0;10+(wert-1)*grad)</t>
        </is>
      </c>
      <c r="P1639" t="inlineStr">
        <is>
          <t>eig_bonus_g_intelligenz</t>
        </is>
      </c>
      <c r="Q1639" t="inlineStr">
        <is>
          <t>Der Magier verwandelt max. {Magie} kg beliebige un´magische Materie in Nahrung. Diese Nahrung ist nahezu geschmacklos, deckt aber alle Bedürfnisse des Organismus ab. Es ist möglich, sich ausschließlich von magischer Nahrung zu ernähren.</t>
        </is>
      </c>
    </row>
    <row r="1640" hidden="1" ht="15.75" customHeight="1" s="48">
      <c r="A1640" t="inlineStr">
        <is>
          <t>spruchmagie_veraenderung_2_blankwaffe_erschaffen</t>
        </is>
      </c>
      <c r="B1640" t="inlineStr">
        <is>
          <t>Spruchmagie</t>
        </is>
      </c>
      <c r="C1640" t="inlineStr">
        <is>
          <t>Blankwaffe erschaffen</t>
        </is>
      </c>
      <c r="F1640" t="inlineStr">
        <is>
          <t>Veränderung</t>
        </is>
      </c>
      <c r="G1640" t="inlineStr">
        <is>
          <t>Wert</t>
        </is>
      </c>
      <c r="K1640" t="inlineStr">
        <is>
          <t>2</t>
        </is>
      </c>
      <c r="L1640" t="inlineStr">
        <is>
          <t>WENN(wert=0;0;10+(wert-1)*grad)</t>
        </is>
      </c>
      <c r="P1640" t="inlineStr">
        <is>
          <t>eig_bonus_k_staerke</t>
        </is>
      </c>
      <c r="Q1640" t="inlineStr">
        <is>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is>
      </c>
    </row>
    <row r="1641" hidden="1" ht="15.75" customHeight="1" s="48">
      <c r="A1641" t="inlineStr">
        <is>
          <t>spruchmagie_veraenderung_2_material_erweichen</t>
        </is>
      </c>
      <c r="B1641" t="inlineStr">
        <is>
          <t>Spruchmagie</t>
        </is>
      </c>
      <c r="C1641" t="inlineStr">
        <is>
          <t>Material erweichen</t>
        </is>
      </c>
      <c r="F1641" t="inlineStr">
        <is>
          <t>Veränderung</t>
        </is>
      </c>
      <c r="G1641" t="inlineStr">
        <is>
          <t>Wert</t>
        </is>
      </c>
      <c r="K1641" t="inlineStr">
        <is>
          <t>2</t>
        </is>
      </c>
      <c r="L1641" t="inlineStr">
        <is>
          <t>WENN(wert=0;0;10+(wert-1)*grad)</t>
        </is>
      </c>
      <c r="P1641" t="inlineStr">
        <is>
          <t>eig_bonus_k_geschicklichkeit</t>
        </is>
      </c>
      <c r="Q1641" t="inlineStr">
        <is>
          <t>Ein beliebiger Gegenstand von max. {M} l wird formbar wie Wachs. Nach Ablauf der Wirkungsdauer behält der Gegenstand seine Form.</t>
        </is>
      </c>
    </row>
    <row r="1642" hidden="1" ht="15.75" customHeight="1" s="48">
      <c r="A1642" t="inlineStr">
        <is>
          <t>spruchmagie_veraenderung_2_material_schwaechen</t>
        </is>
      </c>
      <c r="B1642" t="inlineStr">
        <is>
          <t>Spruchmagie</t>
        </is>
      </c>
      <c r="C1642" t="inlineStr">
        <is>
          <t>Material schwächen</t>
        </is>
      </c>
      <c r="F1642" t="inlineStr">
        <is>
          <t>Veränderung</t>
        </is>
      </c>
      <c r="G1642" t="inlineStr">
        <is>
          <t>Wert</t>
        </is>
      </c>
      <c r="K1642" t="inlineStr">
        <is>
          <t>2</t>
        </is>
      </c>
      <c r="L1642" t="inlineStr">
        <is>
          <t>WENN(wert=0;0;10+(wert-1)*grad)</t>
        </is>
      </c>
      <c r="P1642" t="inlineStr">
        <is>
          <t>eig_bonus_k_staerke</t>
        </is>
      </c>
      <c r="Q1642"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1643" hidden="1" ht="15.75" customHeight="1" s="48">
      <c r="A1643" t="inlineStr">
        <is>
          <t>spruchmagie_veraenderung_2_mechanik_schmieren</t>
        </is>
      </c>
      <c r="B1643" t="inlineStr">
        <is>
          <t>Spruchmagie</t>
        </is>
      </c>
      <c r="C1643" t="inlineStr">
        <is>
          <t>Mechanik schmieren</t>
        </is>
      </c>
      <c r="F1643" t="inlineStr">
        <is>
          <t>Veränderung</t>
        </is>
      </c>
      <c r="G1643" t="inlineStr">
        <is>
          <t>Wert</t>
        </is>
      </c>
      <c r="K1643" t="inlineStr">
        <is>
          <t>2</t>
        </is>
      </c>
      <c r="L1643" t="inlineStr">
        <is>
          <t>WENN(wert=0;0;10+(wert-1)*grad)</t>
        </is>
      </c>
      <c r="P1643" t="inlineStr">
        <is>
          <t>eig_bonus_k_geschicklichkeit</t>
        </is>
      </c>
      <c r="Q1643"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1644" hidden="1" ht="15.75" customHeight="1" s="48">
      <c r="A1644" t="inlineStr">
        <is>
          <t>spruchmagie_veraenderung_3_material_verstaerken</t>
        </is>
      </c>
      <c r="B1644" t="inlineStr">
        <is>
          <t>Spruchmagie</t>
        </is>
      </c>
      <c r="C1644" t="inlineStr">
        <is>
          <t>Material verstärken</t>
        </is>
      </c>
      <c r="F1644" t="inlineStr">
        <is>
          <t>Veränderung</t>
        </is>
      </c>
      <c r="G1644" t="inlineStr">
        <is>
          <t>Wert</t>
        </is>
      </c>
      <c r="K1644" t="inlineStr">
        <is>
          <t>3</t>
        </is>
      </c>
      <c r="L1644" t="inlineStr">
        <is>
          <t>WENN(wert=0;0;10+(wert-1)*grad)</t>
        </is>
      </c>
      <c r="P1644" t="inlineStr">
        <is>
          <t>eig_bonus_k_konstitution</t>
        </is>
      </c>
      <c r="Q1644" t="inlineStr">
        <is>
          <t>Ein beliebiger Gegenstand von maximal {M} l wird für {M} min stark in seiner Struktur gestärkt. Der nötige Kraftaufwand ssteigt um {M} * 2.Klingenschutz und Klingenbrecher erhöhen sich um {M} : 3.</t>
        </is>
      </c>
    </row>
    <row r="1645" hidden="1" ht="15.75" customHeight="1" s="48">
      <c r="A1645" t="inlineStr">
        <is>
          <t>spruchmagie_veraenderung_3_gegenstand_fixieren</t>
        </is>
      </c>
      <c r="B1645" t="inlineStr">
        <is>
          <t>Spruchmagie</t>
        </is>
      </c>
      <c r="C1645" t="inlineStr">
        <is>
          <t>Gegenstand fixieren</t>
        </is>
      </c>
      <c r="F1645" t="inlineStr">
        <is>
          <t>Veränderung</t>
        </is>
      </c>
      <c r="G1645" t="inlineStr">
        <is>
          <t>Wert</t>
        </is>
      </c>
      <c r="K1645" t="inlineStr">
        <is>
          <t>3</t>
        </is>
      </c>
      <c r="L1645" t="inlineStr">
        <is>
          <t>WENN(wert=0;0;10+(wert-1)*grad)</t>
        </is>
      </c>
      <c r="P1645" t="inlineStr">
        <is>
          <t>eig_bonus_k_staerke</t>
        </is>
      </c>
      <c r="Q1645"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1646" hidden="1" ht="15.75" customHeight="1" s="48">
      <c r="A1646" t="inlineStr">
        <is>
          <t>spruchmagie_veraenderung_3_material_verhaerten</t>
        </is>
      </c>
      <c r="B1646" t="inlineStr">
        <is>
          <t>Spruchmagie</t>
        </is>
      </c>
      <c r="C1646" t="inlineStr">
        <is>
          <t>Material verhärten</t>
        </is>
      </c>
      <c r="F1646" t="inlineStr">
        <is>
          <t>Veränderung</t>
        </is>
      </c>
      <c r="G1646" t="inlineStr">
        <is>
          <t>Wert</t>
        </is>
      </c>
      <c r="K1646" t="inlineStr">
        <is>
          <t>3</t>
        </is>
      </c>
      <c r="L1646" t="inlineStr">
        <is>
          <t>WENN(wert=0;0;10+(wert-1)*grad)</t>
        </is>
      </c>
      <c r="P1646" t="inlineStr">
        <is>
          <t>eig_bonus_k_konstitution</t>
        </is>
      </c>
      <c r="Q1646" t="inlineStr">
        <is>
          <t>Eine beliebiges Material von maximal {M} l wird für {M} sec verhärtet. Flüssigkeiten verhalten sich wie Feststoffe. Es ist möglich, einen Würfel Wasser aus dem Meer zu nehmen.</t>
        </is>
      </c>
    </row>
    <row r="1647" hidden="1" ht="15.75" customHeight="1" s="48">
      <c r="A1647" t="inlineStr">
        <is>
          <t>spruchmagie_veraenderung_3_in_pflanze_verwandeln</t>
        </is>
      </c>
      <c r="B1647" t="inlineStr">
        <is>
          <t>Spruchmagie</t>
        </is>
      </c>
      <c r="C1647" t="inlineStr">
        <is>
          <t>In Pflanze verwandeln</t>
        </is>
      </c>
      <c r="F1647" t="inlineStr">
        <is>
          <t>Veränderung</t>
        </is>
      </c>
      <c r="G1647" t="inlineStr">
        <is>
          <t>Wert</t>
        </is>
      </c>
      <c r="K1647" t="inlineStr">
        <is>
          <t>3</t>
        </is>
      </c>
      <c r="L1647" t="inlineStr">
        <is>
          <t>WENN(wert=0;0;10+(wert-1)*grad)</t>
        </is>
      </c>
      <c r="P1647" t="inlineStr">
        <is>
          <t>eig_bonus_k_konstitution</t>
        </is>
      </c>
      <c r="Q1647"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1648" hidden="1" ht="15.75" customHeight="1" s="48">
      <c r="A1648" t="inlineStr">
        <is>
          <t>spruchmagie_veraenderung_3_temperatur_veraendern</t>
        </is>
      </c>
      <c r="B1648" t="inlineStr">
        <is>
          <t>Spruchmagie</t>
        </is>
      </c>
      <c r="C1648" t="inlineStr">
        <is>
          <t>Temperatur verändern</t>
        </is>
      </c>
      <c r="F1648" t="inlineStr">
        <is>
          <t>Veränderung</t>
        </is>
      </c>
      <c r="G1648" t="inlineStr">
        <is>
          <t>Wert</t>
        </is>
      </c>
      <c r="K1648" t="inlineStr">
        <is>
          <t>3</t>
        </is>
      </c>
      <c r="L1648" t="inlineStr">
        <is>
          <t>WENN(wert=0;0;10+(wert-1)*grad)</t>
        </is>
      </c>
      <c r="P1648" t="inlineStr">
        <is>
          <t>eig_bonus_g_willenskraft</t>
        </is>
      </c>
      <c r="Q1648"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1649" hidden="1" ht="15.75" customHeight="1" s="48">
      <c r="A1649" t="inlineStr">
        <is>
          <t>spruchmagie_veraenderung_4_ruestung_verstaerken</t>
        </is>
      </c>
      <c r="B1649" t="inlineStr">
        <is>
          <t>Spruchmagie</t>
        </is>
      </c>
      <c r="C1649" t="inlineStr">
        <is>
          <t>Rüstung verstärken</t>
        </is>
      </c>
      <c r="F1649" t="inlineStr">
        <is>
          <t>Veränderung</t>
        </is>
      </c>
      <c r="G1649" t="inlineStr">
        <is>
          <t>Wert</t>
        </is>
      </c>
      <c r="K1649" t="inlineStr">
        <is>
          <t>4</t>
        </is>
      </c>
      <c r="L1649" t="inlineStr">
        <is>
          <t>WENN(wert=0;0;10+(wert-1)*grad)</t>
        </is>
      </c>
      <c r="P1649" t="inlineStr">
        <is>
          <t>eig_bonus_k_konstitution</t>
        </is>
      </c>
      <c r="Q1649" t="inlineStr">
        <is>
          <t>Der Rüstungsschutz von Rüstungsteilen in der Aura des Ziels wird um den Faktor [{Magie} + {Aura}] : 3 verstärkt.Magische Rüstung wird hiervon nicht beeinflusst.</t>
        </is>
      </c>
    </row>
    <row r="1650" hidden="1" ht="15.75" customHeight="1" s="48">
      <c r="A1650" t="inlineStr">
        <is>
          <t>spruchmagie_veraenderung_4_material_stabilisieren_konservieren</t>
        </is>
      </c>
      <c r="B1650" t="inlineStr">
        <is>
          <t>Spruchmagie</t>
        </is>
      </c>
      <c r="C1650" t="inlineStr">
        <is>
          <t>Material Stabilisieren, Konservieren</t>
        </is>
      </c>
      <c r="F1650" t="inlineStr">
        <is>
          <t>Veränderung</t>
        </is>
      </c>
      <c r="G1650" t="inlineStr">
        <is>
          <t>Wert</t>
        </is>
      </c>
      <c r="K1650" t="inlineStr">
        <is>
          <t>4</t>
        </is>
      </c>
      <c r="L1650" t="inlineStr">
        <is>
          <t>WENN(wert=0;0;10+(wert-1)*grad)</t>
        </is>
      </c>
      <c r="P1650" t="inlineStr">
        <is>
          <t>eig_bonus_k_konstitution</t>
        </is>
      </c>
      <c r="Q1650" t="inlineStr">
        <is>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is>
      </c>
    </row>
    <row r="1651" hidden="1" ht="15.75" customHeight="1" s="48">
      <c r="A1651" t="inlineStr">
        <is>
          <t>spruchmagie_veraenderung_4_gift_neutralisieren</t>
        </is>
      </c>
      <c r="B1651" t="inlineStr">
        <is>
          <t>Spruchmagie</t>
        </is>
      </c>
      <c r="C1651" t="inlineStr">
        <is>
          <t>Gift neutralisieren</t>
        </is>
      </c>
      <c r="F1651" t="inlineStr">
        <is>
          <t>Veränderung</t>
        </is>
      </c>
      <c r="G1651" t="inlineStr">
        <is>
          <t>Wert</t>
        </is>
      </c>
      <c r="K1651" t="inlineStr">
        <is>
          <t>4</t>
        </is>
      </c>
      <c r="L1651" t="inlineStr">
        <is>
          <t>WENN(wert=0;0;10+(wert-1)*grad)</t>
        </is>
      </c>
      <c r="P1651" t="inlineStr">
        <is>
          <t>eig_bonus_g_intelligenz</t>
        </is>
      </c>
      <c r="Q1651" t="inlineStr">
        <is>
          <t>Jedwede Form von Verseuchung oder Gift wird aus beliebiger Materie (kein Lebewesen) von maximal {Magie} m³ entfernt und das Material wandelt sich in einen gänzlich ungiftigen Stoff um, bleibt dabei allerdings in seiner Beschaffenheit gleich.</t>
        </is>
      </c>
    </row>
    <row r="1652" hidden="1" ht="15.75" customHeight="1" s="48">
      <c r="A1652" t="inlineStr">
        <is>
          <t>spruchmagie_veraenderung_4_mechanik_blockieren</t>
        </is>
      </c>
      <c r="B1652" t="inlineStr">
        <is>
          <t>Spruchmagie</t>
        </is>
      </c>
      <c r="C1652" t="inlineStr">
        <is>
          <t>Mechanik blockieren</t>
        </is>
      </c>
      <c r="F1652" t="inlineStr">
        <is>
          <t>Veränderung</t>
        </is>
      </c>
      <c r="G1652" t="inlineStr">
        <is>
          <t>Wert</t>
        </is>
      </c>
      <c r="K1652" t="inlineStr">
        <is>
          <t>4</t>
        </is>
      </c>
      <c r="L1652" t="inlineStr">
        <is>
          <t>WENN(wert=0;0;10+(wert-1)*grad)</t>
        </is>
      </c>
      <c r="P1652" t="inlineStr">
        <is>
          <t>eig_bonus_k_staerke</t>
        </is>
      </c>
      <c r="Q1652" t="inlineStr">
        <is>
          <t>Ein beliebiger Mechanismus von maximal m³ Größe wird blockiert. Der Mechanismus wird nicht zerstört. Der Mechanismus kann eine um {M} * 5 erschwerte Stärke-Probe würfeln, um den Zauber zu überwinden.</t>
        </is>
      </c>
    </row>
    <row r="1653" hidden="1" ht="15.75" customHeight="1" s="48">
      <c r="A1653" t="inlineStr">
        <is>
          <t>spruchmagie_veraenderung_4_verwandlung_in_element</t>
        </is>
      </c>
      <c r="B1653" t="inlineStr">
        <is>
          <t>Spruchmagie</t>
        </is>
      </c>
      <c r="C1653" t="inlineStr">
        <is>
          <t>Verwandlung in [Element]</t>
        </is>
      </c>
      <c r="F1653" t="inlineStr">
        <is>
          <t>Veränderung</t>
        </is>
      </c>
      <c r="G1653" t="inlineStr">
        <is>
          <t>Wert</t>
        </is>
      </c>
      <c r="K1653" t="inlineStr">
        <is>
          <t>4</t>
        </is>
      </c>
      <c r="L1653" t="inlineStr">
        <is>
          <t>WENN(wert=0;0;10+(wert-1)*grad)</t>
        </is>
      </c>
      <c r="P1653" t="inlineStr">
        <is>
          <t>eig_bonus_g_willenskraft</t>
        </is>
      </c>
      <c r="Q1653" t="inlineStr">
        <is>
          <t>Ein Gegenstand (Aurabann) von maximal {Magie} * dm³ verwandelt sich in [Element], verursacht dabei allerdings keinen festgelegten Schaden.</t>
        </is>
      </c>
    </row>
    <row r="1654" hidden="1" ht="15.75" customHeight="1" s="48">
      <c r="A1654" t="inlineStr">
        <is>
          <t>spruchmagie_veraenderung_5_schwerkraft_erhoehen</t>
        </is>
      </c>
      <c r="B1654" t="inlineStr">
        <is>
          <t>Spruchmagie</t>
        </is>
      </c>
      <c r="C1654" t="inlineStr">
        <is>
          <t>Schwerkraft erhöhen</t>
        </is>
      </c>
      <c r="F1654" t="inlineStr">
        <is>
          <t>Veränderung</t>
        </is>
      </c>
      <c r="G1654" t="inlineStr">
        <is>
          <t>Wert</t>
        </is>
      </c>
      <c r="K1654" t="inlineStr">
        <is>
          <t>5</t>
        </is>
      </c>
      <c r="L1654" t="inlineStr">
        <is>
          <t>WENN(wert=0;0;10+(wert-1)*grad)</t>
        </is>
      </c>
      <c r="P1654" t="inlineStr">
        <is>
          <t>eig_bonus_k_staerke</t>
        </is>
      </c>
      <c r="Q165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1655" hidden="1" ht="15.75" customHeight="1" s="48">
      <c r="A1655" t="inlineStr">
        <is>
          <t>spruchmagie_veraenderung_5_ruestung_schwaechen</t>
        </is>
      </c>
      <c r="B1655" t="inlineStr">
        <is>
          <t>Spruchmagie</t>
        </is>
      </c>
      <c r="C1655" t="inlineStr">
        <is>
          <t>Rüstung schwächen</t>
        </is>
      </c>
      <c r="F1655" t="inlineStr">
        <is>
          <t>Veränderung</t>
        </is>
      </c>
      <c r="G1655" t="inlineStr">
        <is>
          <t>Wert</t>
        </is>
      </c>
      <c r="K1655" t="inlineStr">
        <is>
          <t>5</t>
        </is>
      </c>
      <c r="L1655" t="inlineStr">
        <is>
          <t>WENN(wert=0;0;10+(wert-1)*grad)</t>
        </is>
      </c>
      <c r="P1655" t="inlineStr">
        <is>
          <t>eig_bonus_k_konstitution</t>
        </is>
      </c>
      <c r="Q1655" t="inlineStr">
        <is>
          <t>Der Rüstungsschutz aller Rüstungsteile des Ziels wird um {Magie} * 2 gesenkt.Dies hat keine Auswirkung auf magische Rüstung.</t>
        </is>
      </c>
    </row>
    <row r="1656" hidden="1" ht="15.75" customHeight="1" s="48">
      <c r="A1656" t="inlineStr">
        <is>
          <t>spruchmagie_veraenderung_6_weg_aus_licht</t>
        </is>
      </c>
      <c r="B1656" t="inlineStr">
        <is>
          <t>Spruchmagie</t>
        </is>
      </c>
      <c r="C1656" t="inlineStr">
        <is>
          <t>Weg aus Licht</t>
        </is>
      </c>
      <c r="F1656" t="inlineStr">
        <is>
          <t>Veränderung</t>
        </is>
      </c>
      <c r="G1656" t="inlineStr">
        <is>
          <t>Wert</t>
        </is>
      </c>
      <c r="K1656" t="inlineStr">
        <is>
          <t>6</t>
        </is>
      </c>
      <c r="L1656" t="inlineStr">
        <is>
          <t>WENN(wert=0;0;10+(wert-1)*grad)</t>
        </is>
      </c>
      <c r="P1656" t="inlineStr">
        <is>
          <t>eig_bonus_k_staerke</t>
        </is>
      </c>
      <c r="Q165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1657" hidden="1" ht="15.75" customHeight="1" s="48">
      <c r="A1657" t="inlineStr">
        <is>
          <t>spruchmagie_veraenderung_6_wettermeisterschaft</t>
        </is>
      </c>
      <c r="B1657" t="inlineStr">
        <is>
          <t>Spruchmagie</t>
        </is>
      </c>
      <c r="C1657" t="inlineStr">
        <is>
          <t>Wettermeisterschaft</t>
        </is>
      </c>
      <c r="F1657" t="inlineStr">
        <is>
          <t>Veränderung</t>
        </is>
      </c>
      <c r="G1657" t="inlineStr">
        <is>
          <t>Wert</t>
        </is>
      </c>
      <c r="K1657" t="inlineStr">
        <is>
          <t>6</t>
        </is>
      </c>
      <c r="L1657" t="inlineStr">
        <is>
          <t>WENN(wert=0;0;10+(wert-1)*grad)</t>
        </is>
      </c>
      <c r="P1657" t="inlineStr">
        <is>
          <t>eig_bonus_g_willenskraft</t>
        </is>
      </c>
      <c r="Q165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1658" hidden="1" ht="15.75" customHeight="1" s="48">
      <c r="A1658" t="inlineStr">
        <is>
          <t>spruchmagie_veraenderung_6_unbelebte_materie_zerstoeren</t>
        </is>
      </c>
      <c r="B1658" t="inlineStr">
        <is>
          <t>Spruchmagie</t>
        </is>
      </c>
      <c r="C1658" t="inlineStr">
        <is>
          <t>Unbelebte Materie zerstören</t>
        </is>
      </c>
      <c r="F1658" t="inlineStr">
        <is>
          <t>Veränderung</t>
        </is>
      </c>
      <c r="G1658" t="inlineStr">
        <is>
          <t>Wert</t>
        </is>
      </c>
      <c r="K1658" t="inlineStr">
        <is>
          <t>6</t>
        </is>
      </c>
      <c r="L1658" t="inlineStr">
        <is>
          <t>WENN(wert=0;0;10+(wert-1)*grad)</t>
        </is>
      </c>
      <c r="P1658" t="inlineStr">
        <is>
          <t>eig_bonus_k_staerke</t>
        </is>
      </c>
      <c r="Q1658" t="inlineStr">
        <is>
          <t>Der Magus zerstört alle nichtlebendige unmagische Materie (auch Ausrüstung, kein Aurabann!) permanent, auf die er mit einem {M} : 2 m langen und {M} cm durchmessenden Strahl zielt (W30, 1 TZ-Reroll). Lebende Materie hält den Strahl auf.</t>
        </is>
      </c>
    </row>
    <row r="1659" hidden="1" ht="15.75" customHeight="1" s="48">
      <c r="A1659" t="inlineStr">
        <is>
          <t>spruchmagie_veraenderung_7_materie_zerstoeren</t>
        </is>
      </c>
      <c r="B1659" t="inlineStr">
        <is>
          <t>Spruchmagie</t>
        </is>
      </c>
      <c r="C1659" t="inlineStr">
        <is>
          <t>Materie zerstören</t>
        </is>
      </c>
      <c r="F1659" t="inlineStr">
        <is>
          <t>Veränderung</t>
        </is>
      </c>
      <c r="G1659" t="inlineStr">
        <is>
          <t>Wert</t>
        </is>
      </c>
      <c r="K1659" t="inlineStr">
        <is>
          <t>7</t>
        </is>
      </c>
      <c r="L1659" t="inlineStr">
        <is>
          <t>WENN(wert=0;0;10+(wert-1)*grad)</t>
        </is>
      </c>
      <c r="P1659" t="inlineStr">
        <is>
          <t>eig_bonus_k_staerke</t>
        </is>
      </c>
      <c r="Q1659" t="inlineStr">
        <is>
          <t>Der Magus zerstört alle unmagische Materie (auch Ausrüstung und Implantate) permanent, auf die er mit einem {M} : 2 m langen und {M} cm durchmessenden Strahl zielt (W30, 1 TZ-Reroll). Lebende Materie hält den Strahl auf.</t>
        </is>
      </c>
    </row>
    <row r="1660" hidden="1" ht="15.75" customHeight="1" s="48">
      <c r="A1660" t="inlineStr">
        <is>
          <t>spruchmagie_veraenderung_7_stillstand</t>
        </is>
      </c>
      <c r="B1660" t="inlineStr">
        <is>
          <t>Spruchmagie</t>
        </is>
      </c>
      <c r="C1660" t="inlineStr">
        <is>
          <t>Stillstand</t>
        </is>
      </c>
      <c r="F1660" t="inlineStr">
        <is>
          <t>Veränderung</t>
        </is>
      </c>
      <c r="G1660" t="inlineStr">
        <is>
          <t>Wert</t>
        </is>
      </c>
      <c r="K1660" t="inlineStr">
        <is>
          <t>7</t>
        </is>
      </c>
      <c r="L1660" t="inlineStr">
        <is>
          <t>WENN(wert=0;0;10+(wert-1)*grad)</t>
        </is>
      </c>
      <c r="P1660" t="inlineStr">
        <is>
          <t>eig_bonus_g_willenskraft</t>
        </is>
      </c>
      <c r="Q166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1661" hidden="1" ht="15.75" customHeight="1" s="48">
      <c r="A1661" t="inlineStr">
        <is>
          <t>spruchmagie_veraenderung_7_fleisch_zu_stein</t>
        </is>
      </c>
      <c r="B1661" t="inlineStr">
        <is>
          <t>Spruchmagie</t>
        </is>
      </c>
      <c r="C1661" t="inlineStr">
        <is>
          <t>Fleisch zu Stein</t>
        </is>
      </c>
      <c r="F1661" t="inlineStr">
        <is>
          <t>Veränderung</t>
        </is>
      </c>
      <c r="G1661" t="inlineStr">
        <is>
          <t>Wert</t>
        </is>
      </c>
      <c r="K1661" t="inlineStr">
        <is>
          <t>7</t>
        </is>
      </c>
      <c r="L1661" t="inlineStr">
        <is>
          <t>WENN(wert=0;0;10+(wert-1)*grad)</t>
        </is>
      </c>
      <c r="P1661" t="inlineStr">
        <is>
          <t>eig_bonus_k_konstitution</t>
        </is>
      </c>
      <c r="Q1661"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1662" hidden="1" ht="15.75" customHeight="1" s="48">
      <c r="A1662" t="inlineStr">
        <is>
          <t>spruchmagie_verzauberung_1_whk_erhoehen</t>
        </is>
      </c>
      <c r="B1662" t="inlineStr">
        <is>
          <t>Spruchmagie</t>
        </is>
      </c>
      <c r="C1662" t="inlineStr">
        <is>
          <t>WHK erhöhen</t>
        </is>
      </c>
      <c r="F1662" t="inlineStr">
        <is>
          <t>Verzauberung</t>
        </is>
      </c>
      <c r="G1662" t="inlineStr">
        <is>
          <t>Wert</t>
        </is>
      </c>
      <c r="K1662" t="inlineStr">
        <is>
          <t>1</t>
        </is>
      </c>
      <c r="L1662" t="inlineStr">
        <is>
          <t>WENN(wert=0;0;10+(wert-1)*grad)</t>
        </is>
      </c>
      <c r="P1662" t="inlineStr">
        <is>
          <t>eig_bonus_g_intelligenz</t>
        </is>
      </c>
      <c r="Q1662"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1663" hidden="1" ht="15.75" customHeight="1" s="48">
      <c r="A1663" t="inlineStr">
        <is>
          <t>spruchmagie_verzauberung_1_manaspende</t>
        </is>
      </c>
      <c r="B1663" t="inlineStr">
        <is>
          <t>Spruchmagie</t>
        </is>
      </c>
      <c r="C1663" t="inlineStr">
        <is>
          <t>Manaspende</t>
        </is>
      </c>
      <c r="F1663" t="inlineStr">
        <is>
          <t>Verzauberung</t>
        </is>
      </c>
      <c r="G1663" t="inlineStr">
        <is>
          <t>Wert</t>
        </is>
      </c>
      <c r="K1663" t="inlineStr">
        <is>
          <t>1</t>
        </is>
      </c>
      <c r="L1663" t="inlineStr">
        <is>
          <t>WENN(wert=0;0;10+(wert-1)*grad)</t>
        </is>
      </c>
      <c r="P1663" t="inlineStr">
        <is>
          <t>eig_bonus_g_intelligenz</t>
        </is>
      </c>
      <c r="Q1663" t="inlineStr">
        <is>
          <t>Der Magus überträgt dem Ziel max. {M} x 2 Mana. Damit das Ziel mehr als sein maximales Mana verwenden kann, kann die Verbindung zum Magus max. {M} min aufrechterhalten werden, sonst verfällt das überschüssige Mana.</t>
        </is>
      </c>
    </row>
    <row r="1664" hidden="1" ht="15.75" customHeight="1" s="48">
      <c r="A1664" t="inlineStr">
        <is>
          <t>spruchmagie_verzauberung_1_kleine_telekinese</t>
        </is>
      </c>
      <c r="B1664" t="inlineStr">
        <is>
          <t>Spruchmagie</t>
        </is>
      </c>
      <c r="C1664" t="inlineStr">
        <is>
          <t>Kleine Telekinese</t>
        </is>
      </c>
      <c r="F1664" t="inlineStr">
        <is>
          <t>Verzauberung</t>
        </is>
      </c>
      <c r="G1664" t="inlineStr">
        <is>
          <t>Wert</t>
        </is>
      </c>
      <c r="K1664" t="inlineStr">
        <is>
          <t>1</t>
        </is>
      </c>
      <c r="L1664" t="inlineStr">
        <is>
          <t>WENN(wert=0;0;10+(wert-1)*grad)</t>
        </is>
      </c>
      <c r="P1664" t="inlineStr">
        <is>
          <t>eig_bonus_k_staerke</t>
        </is>
      </c>
      <c r="Q166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1665" hidden="1" ht="15.75" customHeight="1" s="48">
      <c r="A1665" t="inlineStr">
        <is>
          <t>spruchmagie_verzauberung_2_kiemen</t>
        </is>
      </c>
      <c r="B1665" t="inlineStr">
        <is>
          <t>Spruchmagie</t>
        </is>
      </c>
      <c r="C1665" t="inlineStr">
        <is>
          <t>Kiemen</t>
        </is>
      </c>
      <c r="F1665" t="inlineStr">
        <is>
          <t>Verzauberung</t>
        </is>
      </c>
      <c r="G1665" t="inlineStr">
        <is>
          <t>Wert</t>
        </is>
      </c>
      <c r="K1665" t="inlineStr">
        <is>
          <t>2</t>
        </is>
      </c>
      <c r="L1665" t="inlineStr">
        <is>
          <t>WENN(wert=0;0;10+(wert-1)*grad)</t>
        </is>
      </c>
      <c r="P1665" t="inlineStr">
        <is>
          <t>eig_bonus_k_athletik</t>
        </is>
      </c>
      <c r="Q1665" t="inlineStr">
        <is>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is>
      </c>
    </row>
    <row r="1666" hidden="1" ht="15.75" customHeight="1" s="48">
      <c r="A1666" t="inlineStr">
        <is>
          <t>spruchmagie_verzauberung_2_explosionsfalle</t>
        </is>
      </c>
      <c r="B1666" t="inlineStr">
        <is>
          <t>Spruchmagie</t>
        </is>
      </c>
      <c r="C1666" t="inlineStr">
        <is>
          <t>Explosionsfalle</t>
        </is>
      </c>
      <c r="F1666" t="inlineStr">
        <is>
          <t>Verzauberung</t>
        </is>
      </c>
      <c r="G1666" t="inlineStr">
        <is>
          <t>Wert</t>
        </is>
      </c>
      <c r="K1666" t="inlineStr">
        <is>
          <t>2</t>
        </is>
      </c>
      <c r="L1666" t="inlineStr">
        <is>
          <t>WENN(wert=0;0;10+(wert-1)*grad)</t>
        </is>
      </c>
      <c r="P1666" t="inlineStr">
        <is>
          <t>eig_bonus_g_mut</t>
        </is>
      </c>
      <c r="Q166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1667" hidden="1" ht="15.75" customHeight="1" s="48">
      <c r="A1667" t="inlineStr">
        <is>
          <t>spruchmagie_verzauberung_2_mana_fernspende</t>
        </is>
      </c>
      <c r="B1667" t="inlineStr">
        <is>
          <t>Spruchmagie</t>
        </is>
      </c>
      <c r="C1667" t="inlineStr">
        <is>
          <t>Mana-Fernspende</t>
        </is>
      </c>
      <c r="F1667" t="inlineStr">
        <is>
          <t>Verzauberung</t>
        </is>
      </c>
      <c r="G1667" t="inlineStr">
        <is>
          <t>Wert</t>
        </is>
      </c>
      <c r="K1667" t="inlineStr">
        <is>
          <t>2</t>
        </is>
      </c>
      <c r="L1667" t="inlineStr">
        <is>
          <t>WENN(wert=0;0;10+(wert-1)*grad)</t>
        </is>
      </c>
      <c r="P1667" t="inlineStr">
        <is>
          <t>eig_bonus_g_intelligenz</t>
        </is>
      </c>
      <c r="Q1667" t="inlineStr">
        <is>
          <t>Der Magus überträgt dem Ziel 10 Mana/sec, max. {M} x 2 Mana. Das übertragene Mana ist astral als Verbindung zwischen den Köpfen von Magus und Ziel sichtbar. Das Mana, das vom Ziel nicht mehr aufgenommen werden kann, verfällt.</t>
        </is>
      </c>
    </row>
    <row r="1668" hidden="1" ht="15.75" customHeight="1" s="48">
      <c r="A1668" t="inlineStr">
        <is>
          <t>spruchmagie_verzauberung_2_leben_einhauchen</t>
        </is>
      </c>
      <c r="B1668" t="inlineStr">
        <is>
          <t>Spruchmagie</t>
        </is>
      </c>
      <c r="C1668" t="inlineStr">
        <is>
          <t>Leben Einhauchen</t>
        </is>
      </c>
      <c r="F1668" t="inlineStr">
        <is>
          <t>Verzauberung</t>
        </is>
      </c>
      <c r="G1668" t="inlineStr">
        <is>
          <t>Wert</t>
        </is>
      </c>
      <c r="K1668" t="inlineStr">
        <is>
          <t>2</t>
        </is>
      </c>
      <c r="L1668" t="inlineStr">
        <is>
          <t>WENN(wert=0;0;10+(wert-1)*grad)</t>
        </is>
      </c>
      <c r="P1668" t="inlineStr">
        <is>
          <t>eig_bonus_g_willenskraft</t>
        </is>
      </c>
      <c r="Q1668"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1669" hidden="1" ht="15.75" customHeight="1" s="48">
      <c r="A1669" t="inlineStr">
        <is>
          <t>spruchmagie_verzauberung_3_geistige_eigenschaft_erhoehen</t>
        </is>
      </c>
      <c r="B1669" t="inlineStr">
        <is>
          <t>Spruchmagie</t>
        </is>
      </c>
      <c r="C1669" t="inlineStr">
        <is>
          <t>Geistige Eigenschaft erhöhen</t>
        </is>
      </c>
      <c r="F1669" t="inlineStr">
        <is>
          <t>Verzauberung</t>
        </is>
      </c>
      <c r="G1669" t="inlineStr">
        <is>
          <t>Wert</t>
        </is>
      </c>
      <c r="K1669" t="inlineStr">
        <is>
          <t>3</t>
        </is>
      </c>
      <c r="L1669" t="inlineStr">
        <is>
          <t>WENN(wert=0;0;10+(wert-1)*grad)</t>
        </is>
      </c>
      <c r="P1669" t="inlineStr">
        <is>
          <t>eig_bonus_g_intelligenz</t>
        </is>
      </c>
      <c r="Q1669" t="inlineStr">
        <is>
          <t>Das Ziel erhält einen Bonus von {Magie} * 2 auf eine geistige Eigenschaft (Intelligenz, Mut, Sinnesschärfe, Willenskraft). Jede Eigenschaft kann nur einmal magisch verstärkt werden.</t>
        </is>
      </c>
    </row>
    <row r="1670" hidden="1" ht="15.75" customHeight="1" s="48">
      <c r="A1670" t="inlineStr">
        <is>
          <t>spruchmagie_verzauberung_3_blitz_klinge_v</t>
        </is>
      </c>
      <c r="B1670" t="inlineStr">
        <is>
          <t>Spruchmagie</t>
        </is>
      </c>
      <c r="C1670" t="inlineStr">
        <is>
          <t>Blitz-Klinge (V)</t>
        </is>
      </c>
      <c r="F1670" t="inlineStr">
        <is>
          <t>Verzauberung</t>
        </is>
      </c>
      <c r="G1670" t="inlineStr">
        <is>
          <t>Wert</t>
        </is>
      </c>
      <c r="K1670" t="inlineStr">
        <is>
          <t>3</t>
        </is>
      </c>
      <c r="L1670" t="inlineStr">
        <is>
          <t>WENN(wert=0;0;10+(wert-1)*grad)</t>
        </is>
      </c>
      <c r="P1670" t="inlineStr">
        <is>
          <t>eig_bonus_g_ausstrahlung</t>
        </is>
      </c>
      <c r="Q1670" t="inlineStr">
        <is>
          <t>Eine Waffe erhält zusätzliche Schadenswirkung entsprechend der Magie des Magus:1=W4 SB 3, 2=W6 SB 3, 3=W8 SB 3, 4=W10 SB 3, 5=W12 SB 4, 6=W15 SB 7, 7=W20 SB 13, 8=W30 SB 14; alle +{Magie}</t>
        </is>
      </c>
    </row>
    <row r="1671" hidden="1" ht="15.75" customHeight="1" s="48">
      <c r="A1671" t="inlineStr">
        <is>
          <t>spruchmagie_verzauberung_3_erd_klinge_v</t>
        </is>
      </c>
      <c r="B1671" t="inlineStr">
        <is>
          <t>Spruchmagie</t>
        </is>
      </c>
      <c r="C1671" t="inlineStr">
        <is>
          <t>Erd-Klinge (V)</t>
        </is>
      </c>
      <c r="F1671" t="inlineStr">
        <is>
          <t>Verzauberung</t>
        </is>
      </c>
      <c r="G1671" t="inlineStr">
        <is>
          <t>Wert</t>
        </is>
      </c>
      <c r="K1671" t="inlineStr">
        <is>
          <t>3</t>
        </is>
      </c>
      <c r="L1671" t="inlineStr">
        <is>
          <t>WENN(wert=0;0;10+(wert-1)*grad)</t>
        </is>
      </c>
      <c r="P1671" t="inlineStr">
        <is>
          <t>eig_bonus_k_staerke</t>
        </is>
      </c>
      <c r="Q1671" t="inlineStr">
        <is>
          <t>Eine Waffe erhält zusätzliche Schadenswirkung entsprechend der Magie des Magus:1=W4 RB 2, 2=W6 RB 2, 3=W8 RB 2, 4=W10 RB 2, 5=W12 RB 3, 6=W15 RB 4, 7=W20 RB 8, 8=W30 RB 9; alle +{Magie}</t>
        </is>
      </c>
    </row>
    <row r="1672" hidden="1" ht="15.75" customHeight="1" s="48">
      <c r="A1672" t="inlineStr">
        <is>
          <t>spruchmagie_verzauberung_3_feuer_klinge_v</t>
        </is>
      </c>
      <c r="B1672" t="inlineStr">
        <is>
          <t>Spruchmagie</t>
        </is>
      </c>
      <c r="C1672" t="inlineStr">
        <is>
          <t>Feuer-Klinge (V)</t>
        </is>
      </c>
      <c r="F1672" t="inlineStr">
        <is>
          <t>Verzauberung</t>
        </is>
      </c>
      <c r="G1672" t="inlineStr">
        <is>
          <t>Wert</t>
        </is>
      </c>
      <c r="K1672" t="inlineStr">
        <is>
          <t>3</t>
        </is>
      </c>
      <c r="L1672" t="inlineStr">
        <is>
          <t>WENN(wert=0;0;10+(wert-1)*grad)</t>
        </is>
      </c>
      <c r="P1672" t="inlineStr">
        <is>
          <t>eig_bonus_g_mut</t>
        </is>
      </c>
      <c r="Q1672" t="inlineStr">
        <is>
          <t>Eine Waffe erhält zusätzliche Schadenswirkung entsprechend der Magie des Magus:1=W6, 2=W8, 3=W10, 4=W12, 5=W15, 6=W20, 7=W30, 8=2W20; alle +{Magie}</t>
        </is>
      </c>
    </row>
    <row r="1673" hidden="1" ht="15.75" customHeight="1" s="48">
      <c r="A1673" t="inlineStr">
        <is>
          <t>spruchmagie_verzauberung_3_flammen_pfeil_v</t>
        </is>
      </c>
      <c r="B1673" t="inlineStr">
        <is>
          <t>Spruchmagie</t>
        </is>
      </c>
      <c r="C1673" t="inlineStr">
        <is>
          <t>Flammen-Pfeil (V)</t>
        </is>
      </c>
      <c r="F1673" t="inlineStr">
        <is>
          <t>Verzauberung</t>
        </is>
      </c>
      <c r="G1673" t="inlineStr">
        <is>
          <t>Wert</t>
        </is>
      </c>
      <c r="K1673" t="inlineStr">
        <is>
          <t>3</t>
        </is>
      </c>
      <c r="L1673" t="inlineStr">
        <is>
          <t>WENN(wert=0;0;10+(wert-1)*grad)</t>
        </is>
      </c>
      <c r="P1673" t="inlineStr">
        <is>
          <t>eig_bonus_g_mut</t>
        </is>
      </c>
      <c r="Q1673" t="inlineStr">
        <is>
          <t>Ein Pfeil erhält zusätzliche Schadenswirkung entsprechend der Magie des Magus:1=W6, 2=W8, 3=W10, 4=W12, 5=W15, 6=W20, 7=W30, 8=2W20; alle +{Magie}</t>
        </is>
      </c>
    </row>
    <row r="1674" hidden="1" ht="15.75" customHeight="1" s="48">
      <c r="A1674" t="inlineStr">
        <is>
          <t>spruchmagie_verzauberung_3_geistesbund</t>
        </is>
      </c>
      <c r="B1674" t="inlineStr">
        <is>
          <t>Spruchmagie</t>
        </is>
      </c>
      <c r="C1674" t="inlineStr">
        <is>
          <t>Geistesbund</t>
        </is>
      </c>
      <c r="F1674" t="inlineStr">
        <is>
          <t>Verzauberung</t>
        </is>
      </c>
      <c r="G1674" t="inlineStr">
        <is>
          <t>Wert</t>
        </is>
      </c>
      <c r="K1674" t="inlineStr">
        <is>
          <t>3</t>
        </is>
      </c>
      <c r="L1674" t="inlineStr">
        <is>
          <t>WENN(wert=0;0;10+(wert-1)*grad)</t>
        </is>
      </c>
      <c r="P1674" t="inlineStr">
        <is>
          <t>eig_bonus_g_ausstrahlung</t>
        </is>
      </c>
      <c r="Q1674"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1675" hidden="1" ht="15.75" customHeight="1" s="48">
      <c r="A1675" t="inlineStr">
        <is>
          <t>spruchmagie_verzauberung_3_frost_klinge_v</t>
        </is>
      </c>
      <c r="B1675" t="inlineStr">
        <is>
          <t>Spruchmagie</t>
        </is>
      </c>
      <c r="C1675" t="inlineStr">
        <is>
          <t>Frost-Klinge (V)</t>
        </is>
      </c>
      <c r="F1675" t="inlineStr">
        <is>
          <t>Verzauberung</t>
        </is>
      </c>
      <c r="G1675" t="inlineStr">
        <is>
          <t>Wert</t>
        </is>
      </c>
      <c r="K1675" t="inlineStr">
        <is>
          <t>3</t>
        </is>
      </c>
      <c r="L1675" t="inlineStr">
        <is>
          <t>WENN(wert=0;0;10+(wert-1)*grad)</t>
        </is>
      </c>
      <c r="P1675" t="inlineStr">
        <is>
          <t>eig_bonus_k_athletik</t>
        </is>
      </c>
      <c r="Q1675" t="inlineStr">
        <is>
          <t>Eine Waffe erhält zusätzliche Schadenswirkung entsprechend der Magie des Magus:1=W4, 2=W6, 3=W8, 4=W10, 5=W12, 6=W15, 7=W20, 8=W30; alle +{Magie}. Pro 5 TP erleidet das Opfer eine BE von 1.</t>
        </is>
      </c>
    </row>
    <row r="1676" hidden="1" ht="15.75" customHeight="1" s="48">
      <c r="A1676" t="inlineStr">
        <is>
          <t>spruchmagie_verzauberung_3_frost_pfeil_v</t>
        </is>
      </c>
      <c r="B1676" t="inlineStr">
        <is>
          <t>Spruchmagie</t>
        </is>
      </c>
      <c r="C1676" t="inlineStr">
        <is>
          <t>Frost-Pfeil (V)</t>
        </is>
      </c>
      <c r="F1676" t="inlineStr">
        <is>
          <t>Verzauberung</t>
        </is>
      </c>
      <c r="G1676" t="inlineStr">
        <is>
          <t>Wert</t>
        </is>
      </c>
      <c r="K1676" t="inlineStr">
        <is>
          <t>3</t>
        </is>
      </c>
      <c r="L1676" t="inlineStr">
        <is>
          <t>WENN(wert=0;0;10+(wert-1)*grad)</t>
        </is>
      </c>
      <c r="P1676" t="inlineStr">
        <is>
          <t>eig_bonus_k_athletik</t>
        </is>
      </c>
      <c r="Q1676" t="inlineStr">
        <is>
          <t>Ein Pfeil erhält eine zusätzliche Schadenswirkung entsprechend der Magie des Magus:1=W4, 2=W6, 3=W8, 4=W10, 5=W12, 6=W15, 7=W20, 8=W30; alle +MagiePro 5 TP erleidet das Opfer eine BE von 1.</t>
        </is>
      </c>
    </row>
    <row r="1677" hidden="1" ht="15.75" customHeight="1" s="48">
      <c r="A1677" t="inlineStr">
        <is>
          <t>spruchmagie_verzauberung_3_luft_klinge_v</t>
        </is>
      </c>
      <c r="B1677" t="inlineStr">
        <is>
          <t>Spruchmagie</t>
        </is>
      </c>
      <c r="C1677" t="inlineStr">
        <is>
          <t>Luft-Klinge (V)</t>
        </is>
      </c>
      <c r="F1677" t="inlineStr">
        <is>
          <t>Verzauberung</t>
        </is>
      </c>
      <c r="G1677" t="inlineStr">
        <is>
          <t>Wert</t>
        </is>
      </c>
      <c r="K1677" t="inlineStr">
        <is>
          <t>3</t>
        </is>
      </c>
      <c r="L1677" t="inlineStr">
        <is>
          <t>WENN(wert=0;0;10+(wert-1)*grad)</t>
        </is>
      </c>
      <c r="P1677" t="inlineStr">
        <is>
          <t>eig_bonus_k_schnelligkeit</t>
        </is>
      </c>
      <c r="Q1677" t="inlineStr">
        <is>
          <t>Eine Waffe erhält zusätzliche Schadenswirkung entsprechend der Magie des Magus: 1=W3, 2=W4, 3=W6, 4=W8, 5=W10, 6=W12, 7=W15, 8=W20; alle +{Magie}. Ziel wird TP*m weggeschleudert; Ath-Probe erschwert um TP, sonst W8 Sturzschaden auf FK-TZ (W30).</t>
        </is>
      </c>
    </row>
    <row r="1678" hidden="1" ht="15.75" customHeight="1" s="48">
      <c r="A1678" t="inlineStr">
        <is>
          <t>spruchmagie_verzauberung_3_schock_pfeil_v</t>
        </is>
      </c>
      <c r="B1678" t="inlineStr">
        <is>
          <t>Spruchmagie</t>
        </is>
      </c>
      <c r="C1678" t="inlineStr">
        <is>
          <t>Schock-Pfeil (V)</t>
        </is>
      </c>
      <c r="F1678" t="inlineStr">
        <is>
          <t>Verzauberung</t>
        </is>
      </c>
      <c r="G1678" t="inlineStr">
        <is>
          <t>Wert</t>
        </is>
      </c>
      <c r="K1678" t="inlineStr">
        <is>
          <t>3</t>
        </is>
      </c>
      <c r="L1678" t="inlineStr">
        <is>
          <t>WENN(wert=0;0;10+(wert-1)*grad)</t>
        </is>
      </c>
      <c r="P1678" t="inlineStr">
        <is>
          <t>eig_bonus_g_ausstrahlung</t>
        </is>
      </c>
      <c r="Q1678" t="inlineStr">
        <is>
          <t>Ein Pfeil erhält zusätzliche Schadenswirkung entsprechend der Magie des Magus: 1=W4 SB 3, 2=W6 SB 3, 3=W8 SB 3, 4=W10 SB 3, 5=W12 SB 4, 6=W15 SB 7, 7=W20 SB 13, 8=W30 SB 14; alle +{Magie}</t>
        </is>
      </c>
    </row>
    <row r="1679" hidden="1" ht="15.75" customHeight="1" s="48">
      <c r="A1679" t="inlineStr">
        <is>
          <t>spruchmagie_verzauberung_3_sinne_verbessern</t>
        </is>
      </c>
      <c r="B1679" t="inlineStr">
        <is>
          <t>Spruchmagie</t>
        </is>
      </c>
      <c r="C1679" t="inlineStr">
        <is>
          <t>Sinne verbessern</t>
        </is>
      </c>
      <c r="F1679" t="inlineStr">
        <is>
          <t>Verzauberung</t>
        </is>
      </c>
      <c r="G1679" t="inlineStr">
        <is>
          <t>Wert</t>
        </is>
      </c>
      <c r="K1679" t="inlineStr">
        <is>
          <t>3</t>
        </is>
      </c>
      <c r="L1679" t="inlineStr">
        <is>
          <t>WENN(wert=0;0;10+(wert-1)*grad)</t>
        </is>
      </c>
      <c r="P1679" t="inlineStr">
        <is>
          <t>eig_bonus_g_sinneschaerfe</t>
        </is>
      </c>
      <c r="Q1679" t="inlineStr">
        <is>
          <t>Der Magus verbessert entweder seinen Geruchssinn, seinen Geschmackssinn, sein Gehör, sein Sehvermögen oder seinen Tastsinn. Sinnesschärfe-Proben sind um {M} erleichtert.</t>
        </is>
      </c>
    </row>
    <row r="1680" hidden="1" ht="15.75" customHeight="1" s="48">
      <c r="A1680" t="inlineStr">
        <is>
          <t>spruchmagie_verzauberung_3_splitter_pfeil_v</t>
        </is>
      </c>
      <c r="B1680" t="inlineStr">
        <is>
          <t>Spruchmagie</t>
        </is>
      </c>
      <c r="C1680" t="inlineStr">
        <is>
          <t>Splitter-Pfeil (V)</t>
        </is>
      </c>
      <c r="F1680" t="inlineStr">
        <is>
          <t>Verzauberung</t>
        </is>
      </c>
      <c r="G1680" t="inlineStr">
        <is>
          <t>Wert</t>
        </is>
      </c>
      <c r="K1680" t="inlineStr">
        <is>
          <t>3</t>
        </is>
      </c>
      <c r="L1680" t="inlineStr">
        <is>
          <t>WENN(wert=0;0;10+(wert-1)*grad)</t>
        </is>
      </c>
      <c r="P1680" t="inlineStr">
        <is>
          <t>eig_bonus_k_staerke</t>
        </is>
      </c>
      <c r="Q1680" t="inlineStr">
        <is>
          <t>Ein Pfeil erhält zusätzliche Schadenswirkung entsprechend der Magie des Magus: 1=W4 RB 2, 2=W6 RB 2, 3=W8 RB 2, 4=W10 RB 2, 5=W12 RB 3, 6=W15 RB 4, 7=W20 RB 8, 8=W30 RB 9; alle +{Magie}</t>
        </is>
      </c>
    </row>
    <row r="1681" hidden="1" ht="15.75" customHeight="1" s="48">
      <c r="A1681" t="inlineStr">
        <is>
          <t>spruchmagie_verzauberung_3_unbelebtes_teleportieren</t>
        </is>
      </c>
      <c r="B1681" t="inlineStr">
        <is>
          <t>Spruchmagie</t>
        </is>
      </c>
      <c r="C1681" t="inlineStr">
        <is>
          <t>Unbelebtes Teleportieren</t>
        </is>
      </c>
      <c r="F1681" t="inlineStr">
        <is>
          <t>Verzauberung</t>
        </is>
      </c>
      <c r="G1681" t="inlineStr">
        <is>
          <t>Wert</t>
        </is>
      </c>
      <c r="K1681" t="inlineStr">
        <is>
          <t>3</t>
        </is>
      </c>
      <c r="L1681" t="inlineStr">
        <is>
          <t>WENN(wert=0;0;10+(wert-1)*grad)</t>
        </is>
      </c>
      <c r="P1681" t="inlineStr">
        <is>
          <t>eig_bonus_g_sinneschaerfe</t>
        </is>
      </c>
      <c r="Q1681" t="inlineStr">
        <is>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is>
      </c>
    </row>
    <row r="1682" hidden="1" ht="15.75" customHeight="1" s="48">
      <c r="A1682" t="inlineStr">
        <is>
          <t>spruchmagie_verzauberung_3_sturm_pfeil_v</t>
        </is>
      </c>
      <c r="B1682" t="inlineStr">
        <is>
          <t>Spruchmagie</t>
        </is>
      </c>
      <c r="C1682" t="inlineStr">
        <is>
          <t>Sturm-Pfeil (V)</t>
        </is>
      </c>
      <c r="F1682" t="inlineStr">
        <is>
          <t>Verzauberung</t>
        </is>
      </c>
      <c r="G1682" t="inlineStr">
        <is>
          <t>Wert</t>
        </is>
      </c>
      <c r="K1682" t="inlineStr">
        <is>
          <t>3</t>
        </is>
      </c>
      <c r="L1682" t="inlineStr">
        <is>
          <t>WENN(wert=0;0;10+(wert-1)*grad)</t>
        </is>
      </c>
      <c r="P1682" t="inlineStr">
        <is>
          <t>eig_bonus_k_schnelligkeit</t>
        </is>
      </c>
      <c r="Q1682" t="inlineStr">
        <is>
          <t>Ein Pfeil erhält zusätzliche Schadenswirkung entsprechend der Magie des Magus: 1=W3, 2=W4, 3=W6, 4=W8, 5=W10, 6=W12, 7=W15, 8=W20; alle +{Magie}. Ziel wird TP*m weggeschleudert; Ath-Probe erschwert um TP, sonst W8 Sturzschaden auf FK-TZ (W30).</t>
        </is>
      </c>
    </row>
    <row r="1683" hidden="1" ht="15.75" customHeight="1" s="48">
      <c r="A1683" t="inlineStr">
        <is>
          <t>spruchmagie_verzauberung_3_haesslichkeit</t>
        </is>
      </c>
      <c r="B1683" t="inlineStr">
        <is>
          <t>Spruchmagie</t>
        </is>
      </c>
      <c r="C1683" t="inlineStr">
        <is>
          <t>Hässlichkeit</t>
        </is>
      </c>
      <c r="F1683" t="inlineStr">
        <is>
          <t>Verzauberung</t>
        </is>
      </c>
      <c r="G1683" t="inlineStr">
        <is>
          <t>Wert</t>
        </is>
      </c>
      <c r="K1683" t="inlineStr">
        <is>
          <t>3</t>
        </is>
      </c>
      <c r="L1683" t="inlineStr">
        <is>
          <t>WENN(wert=0;0;10+(wert-1)*grad)</t>
        </is>
      </c>
      <c r="P1683" t="inlineStr">
        <is>
          <t>eig_bonus_g_ausstrahlung</t>
        </is>
      </c>
      <c r="Q1683" t="inlineStr">
        <is>
          <t>Die Ausstrahlung des Opfers reduziert sich um {Magie} * 2 Punkte. Das Opfer wirkt abstoßend und fremd. Anweisungen des Opfers müssen eventuell mit Ausstrahlungs+TaW-Proben belegt werden.Die Ausstrahlung kann nicht unter 1 sinken.</t>
        </is>
      </c>
    </row>
    <row r="1684" hidden="1" ht="15.75" customHeight="1" s="48">
      <c r="A1684" t="inlineStr">
        <is>
          <t>spruchmagie_verzauberung_3_beschleuniger</t>
        </is>
      </c>
      <c r="B1684" t="inlineStr">
        <is>
          <t>Spruchmagie</t>
        </is>
      </c>
      <c r="C1684" t="inlineStr">
        <is>
          <t>Beschleuniger</t>
        </is>
      </c>
      <c r="F1684" t="inlineStr">
        <is>
          <t>Verzauberung</t>
        </is>
      </c>
      <c r="G1684" t="inlineStr">
        <is>
          <t>Wert</t>
        </is>
      </c>
      <c r="K1684" t="inlineStr">
        <is>
          <t>3</t>
        </is>
      </c>
      <c r="L1684" t="inlineStr">
        <is>
          <t>WENN(wert=0;0;10+(wert-1)*grad)</t>
        </is>
      </c>
      <c r="P1684" t="inlineStr">
        <is>
          <t>eig_bonus_k_schnelligkeit</t>
        </is>
      </c>
      <c r="Q1684" t="inlineStr">
        <is>
          <t>Der Magus bewegt sich unnatürlich schnell. Joggen: + {Magie} m/s; Sprinten: + {Magie}*1,5 m/s; Hochsprung: + {Magie} : 2 m; Weitsprung: + {Magie} * 2 m; Initiative: + {Magie}. Alle Attacken gegen den Magus sind um {Magie} erschwert.</t>
        </is>
      </c>
    </row>
    <row r="1685" hidden="1" ht="15.75" customHeight="1" s="48">
      <c r="A1685" t="inlineStr">
        <is>
          <t>spruchmagie_verzauberung_3_koerperliche_eigenschaft_senken</t>
        </is>
      </c>
      <c r="B1685" t="inlineStr">
        <is>
          <t>Spruchmagie</t>
        </is>
      </c>
      <c r="C1685" t="inlineStr">
        <is>
          <t>Körperliche Eigenschaft senken</t>
        </is>
      </c>
      <c r="F1685" t="inlineStr">
        <is>
          <t>Verzauberung</t>
        </is>
      </c>
      <c r="G1685" t="inlineStr">
        <is>
          <t>Wert</t>
        </is>
      </c>
      <c r="K1685" t="inlineStr">
        <is>
          <t>3</t>
        </is>
      </c>
      <c r="L1685" t="inlineStr">
        <is>
          <t>WENN(wert=0;0;10+(wert-1)*grad)</t>
        </is>
      </c>
      <c r="P1685" t="inlineStr">
        <is>
          <t>eig_bonus_g_willenskraft</t>
        </is>
      </c>
      <c r="Q1685"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1686" hidden="1" ht="15.75" customHeight="1" s="48">
      <c r="A1686" t="inlineStr">
        <is>
          <t>spruchmagie_verzauberung_4_verlangsamen</t>
        </is>
      </c>
      <c r="B1686" t="inlineStr">
        <is>
          <t>Spruchmagie</t>
        </is>
      </c>
      <c r="C1686" t="inlineStr">
        <is>
          <t>Verlangsamen</t>
        </is>
      </c>
      <c r="F1686" t="inlineStr">
        <is>
          <t>Verzauberung</t>
        </is>
      </c>
      <c r="G1686" t="inlineStr">
        <is>
          <t>Wert</t>
        </is>
      </c>
      <c r="K1686" t="inlineStr">
        <is>
          <t>4</t>
        </is>
      </c>
      <c r="L1686" t="inlineStr">
        <is>
          <t>WENN(wert=0;0;10+(wert-1)*grad)</t>
        </is>
      </c>
      <c r="P1686" t="inlineStr">
        <is>
          <t>eig_bonus_g_willenskraft</t>
        </is>
      </c>
      <c r="Q1686" t="inlineStr">
        <is>
          <t>Ein Lebewesen wird durch diesen Zauber so weit verlangsamt, dass es keinen Sturzschaden erfahren kann.</t>
        </is>
      </c>
    </row>
    <row r="1687" hidden="1" ht="15.75" customHeight="1" s="48">
      <c r="A1687" t="inlineStr">
        <is>
          <t>spruchmagie_verzauberung_4_in_tier_verwandeln</t>
        </is>
      </c>
      <c r="B1687" t="inlineStr">
        <is>
          <t>Spruchmagie</t>
        </is>
      </c>
      <c r="C1687" t="inlineStr">
        <is>
          <t>In [Tier] verwandeln</t>
        </is>
      </c>
      <c r="F1687" t="inlineStr">
        <is>
          <t>Verzauberung</t>
        </is>
      </c>
      <c r="G1687" t="inlineStr">
        <is>
          <t>Wert</t>
        </is>
      </c>
      <c r="K1687" t="inlineStr">
        <is>
          <t>4</t>
        </is>
      </c>
      <c r="L1687" t="inlineStr">
        <is>
          <t>WENN(wert=0;0;10+(wert-1)*grad)</t>
        </is>
      </c>
      <c r="P1687" t="inlineStr">
        <is>
          <t>eig_bonus_k_konstitution</t>
        </is>
      </c>
      <c r="Q1687"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688" hidden="1" ht="15.75" customHeight="1" s="48">
      <c r="A1688" t="inlineStr">
        <is>
          <t>spruchmagie_verzauberung_4_wachstum_beeinflussen</t>
        </is>
      </c>
      <c r="B1688" t="inlineStr">
        <is>
          <t>Spruchmagie</t>
        </is>
      </c>
      <c r="C1688" t="inlineStr">
        <is>
          <t>Wachstum beeinflussen</t>
        </is>
      </c>
      <c r="F1688" t="inlineStr">
        <is>
          <t>Verzauberung</t>
        </is>
      </c>
      <c r="G1688" t="inlineStr">
        <is>
          <t>Wert</t>
        </is>
      </c>
      <c r="K1688" t="inlineStr">
        <is>
          <t>4</t>
        </is>
      </c>
      <c r="L1688" t="inlineStr">
        <is>
          <t>WENN(wert=0;0;10+(wert-1)*grad)</t>
        </is>
      </c>
      <c r="P1688" t="inlineStr">
        <is>
          <t>eig_bonus_g_willenskraft</t>
        </is>
      </c>
      <c r="Q1688" t="inlineStr">
        <is>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is>
      </c>
    </row>
    <row r="1689" hidden="1" ht="15.75" customHeight="1" s="48">
      <c r="A1689" t="inlineStr">
        <is>
          <t>spruchmagie_verzauberung_4_geistige_eigenschaft_senken</t>
        </is>
      </c>
      <c r="B1689" t="inlineStr">
        <is>
          <t>Spruchmagie</t>
        </is>
      </c>
      <c r="C1689" t="inlineStr">
        <is>
          <t>Geistige Eigenschaft senken</t>
        </is>
      </c>
      <c r="F1689" t="inlineStr">
        <is>
          <t>Verzauberung</t>
        </is>
      </c>
      <c r="G1689" t="inlineStr">
        <is>
          <t>Wert</t>
        </is>
      </c>
      <c r="K1689" t="inlineStr">
        <is>
          <t>4</t>
        </is>
      </c>
      <c r="L1689" t="inlineStr">
        <is>
          <t>WENN(wert=0;0;10+(wert-1)*grad)</t>
        </is>
      </c>
      <c r="P1689" t="inlineStr">
        <is>
          <t>eig_bonus_g_intelligenz</t>
        </is>
      </c>
      <c r="Q1689"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690" hidden="1" ht="15.75" customHeight="1" s="48">
      <c r="A1690" t="inlineStr">
        <is>
          <t>spruchmagie_verzauberung_4_grosse_telekinese</t>
        </is>
      </c>
      <c r="B1690" t="inlineStr">
        <is>
          <t>Spruchmagie</t>
        </is>
      </c>
      <c r="C1690" t="inlineStr">
        <is>
          <t>Große Telekinese</t>
        </is>
      </c>
      <c r="F1690" t="inlineStr">
        <is>
          <t>Verzauberung</t>
        </is>
      </c>
      <c r="G1690" t="inlineStr">
        <is>
          <t>Wert</t>
        </is>
      </c>
      <c r="K1690" t="inlineStr">
        <is>
          <t>4</t>
        </is>
      </c>
      <c r="L1690" t="inlineStr">
        <is>
          <t>WENN(wert=0;0;10+(wert-1)*grad)</t>
        </is>
      </c>
      <c r="P1690" t="inlineStr">
        <is>
          <t>eig_bonus_k_staerke</t>
        </is>
      </c>
      <c r="Q1690"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691" hidden="1" ht="15.75" customHeight="1" s="48">
      <c r="A1691" t="inlineStr">
        <is>
          <t>spruchmagie_verzauberung_4_golem_diener</t>
        </is>
      </c>
      <c r="B1691" t="inlineStr">
        <is>
          <t>Spruchmagie</t>
        </is>
      </c>
      <c r="C1691" t="inlineStr">
        <is>
          <t>Golem Diener</t>
        </is>
      </c>
      <c r="F1691" t="inlineStr">
        <is>
          <t>Verzauberung</t>
        </is>
      </c>
      <c r="G1691" t="inlineStr">
        <is>
          <t>Wert</t>
        </is>
      </c>
      <c r="K1691" t="inlineStr">
        <is>
          <t>4</t>
        </is>
      </c>
      <c r="L1691" t="inlineStr">
        <is>
          <t>WENN(wert=0;0;10+(wert-1)*grad)</t>
        </is>
      </c>
      <c r="P1691" t="inlineStr">
        <is>
          <t>eig_bonus_g_intelligenz</t>
        </is>
      </c>
      <c r="Q169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692" hidden="1" ht="15.75" customHeight="1" s="48">
      <c r="A1692" t="inlineStr">
        <is>
          <t>spruchmagie_verzauberung_5_schwaeche</t>
        </is>
      </c>
      <c r="B1692" t="inlineStr">
        <is>
          <t>Spruchmagie</t>
        </is>
      </c>
      <c r="C1692" t="inlineStr">
        <is>
          <t>Schwäche</t>
        </is>
      </c>
      <c r="F1692" t="inlineStr">
        <is>
          <t>Verzauberung</t>
        </is>
      </c>
      <c r="G1692" t="inlineStr">
        <is>
          <t>Wert</t>
        </is>
      </c>
      <c r="K1692" t="inlineStr">
        <is>
          <t>5</t>
        </is>
      </c>
      <c r="L1692" t="inlineStr">
        <is>
          <t>WENN(wert=0;0;10+(wert-1)*grad)</t>
        </is>
      </c>
      <c r="P1692" t="inlineStr">
        <is>
          <t>eig_bonus_g_intelligenz</t>
        </is>
      </c>
      <c r="Q1692" t="inlineStr">
        <is>
          <t>Alle körperlichen Eigenschaften (Athletik, Geschicklichkeit Konstitution, Schnelligkeit, Stärke) des Ziels werden um {Magie} * 2 gesenkt. Eigenschaften können nicht unter 1 fallen.Das Opfer bemerkt die Verzauberung sofort.</t>
        </is>
      </c>
    </row>
    <row r="1693" hidden="1" ht="15.75" customHeight="1" s="48">
      <c r="A1693" t="inlineStr">
        <is>
          <t>spruchmagie_verzauberung_5_warp</t>
        </is>
      </c>
      <c r="B1693" t="inlineStr">
        <is>
          <t>Spruchmagie</t>
        </is>
      </c>
      <c r="C1693" t="inlineStr">
        <is>
          <t>Warp</t>
        </is>
      </c>
      <c r="F1693" t="inlineStr">
        <is>
          <t>Verzauberung</t>
        </is>
      </c>
      <c r="G1693" t="inlineStr">
        <is>
          <t>Wert</t>
        </is>
      </c>
      <c r="K1693" t="inlineStr">
        <is>
          <t>5</t>
        </is>
      </c>
      <c r="L1693" t="inlineStr">
        <is>
          <t>WENN(wert=0;0;10+(wert-1)*grad)</t>
        </is>
      </c>
      <c r="P1693" t="inlineStr">
        <is>
          <t>eig_bonus_g_sinneschaerfe</t>
        </is>
      </c>
      <c r="Q1693" t="inlineStr">
        <is>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is>
      </c>
    </row>
    <row r="1694" hidden="1" ht="15.75" customHeight="1" s="48">
      <c r="A1694" t="inlineStr">
        <is>
          <t>spruchmagie_verzauberung_5_verwandlung</t>
        </is>
      </c>
      <c r="B1694" t="inlineStr">
        <is>
          <t>Spruchmagie</t>
        </is>
      </c>
      <c r="C1694" t="inlineStr">
        <is>
          <t>Verwandlung</t>
        </is>
      </c>
      <c r="F1694" t="inlineStr">
        <is>
          <t>Verzauberung</t>
        </is>
      </c>
      <c r="G1694" t="inlineStr">
        <is>
          <t>Wert</t>
        </is>
      </c>
      <c r="K1694" t="inlineStr">
        <is>
          <t>5</t>
        </is>
      </c>
      <c r="L1694" t="inlineStr">
        <is>
          <t>WENN(wert=0;0;10+(wert-1)*grad)</t>
        </is>
      </c>
      <c r="P1694" t="inlineStr">
        <is>
          <t>eig_bonus_g_ausstrahlung</t>
        </is>
      </c>
      <c r="Q169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695" hidden="1" ht="15.75" customHeight="1" s="48">
      <c r="A1695" t="inlineStr">
        <is>
          <t>spruchmagie_verzauberung_5_mechanismus_antreiben</t>
        </is>
      </c>
      <c r="B1695" t="inlineStr">
        <is>
          <t>Spruchmagie</t>
        </is>
      </c>
      <c r="C1695" t="inlineStr">
        <is>
          <t>Mechanismus antreiben</t>
        </is>
      </c>
      <c r="F1695" t="inlineStr">
        <is>
          <t>Verzauberung</t>
        </is>
      </c>
      <c r="G1695" t="inlineStr">
        <is>
          <t>Wert</t>
        </is>
      </c>
      <c r="K1695" t="inlineStr">
        <is>
          <t>5</t>
        </is>
      </c>
      <c r="L1695" t="inlineStr">
        <is>
          <t>WENN(wert=0;0;10+(wert-1)*grad)</t>
        </is>
      </c>
      <c r="P1695" t="inlineStr">
        <is>
          <t>eig_bonus_k_staerke</t>
        </is>
      </c>
      <c r="Q1695"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696" hidden="1" ht="15.75" customHeight="1" s="48">
      <c r="A1696" t="inlineStr">
        <is>
          <t>spruchmagie_verzauberung_5_gecko</t>
        </is>
      </c>
      <c r="B1696" t="inlineStr">
        <is>
          <t>Spruchmagie</t>
        </is>
      </c>
      <c r="C1696" t="inlineStr">
        <is>
          <t>Gecko</t>
        </is>
      </c>
      <c r="F1696" t="inlineStr">
        <is>
          <t>Verzauberung</t>
        </is>
      </c>
      <c r="G1696" t="inlineStr">
        <is>
          <t>Wert</t>
        </is>
      </c>
      <c r="K1696" t="inlineStr">
        <is>
          <t>5</t>
        </is>
      </c>
      <c r="L1696" t="inlineStr">
        <is>
          <t>WENN(wert=0;0;10+(wert-1)*grad)</t>
        </is>
      </c>
      <c r="P1696" t="inlineStr">
        <is>
          <t>eig_bonus_k_geschicklichkeit</t>
        </is>
      </c>
      <c r="Q1696" t="inlineStr">
        <is>
          <t>Das Ziel kann mit Händen und Füßen an jeder beliebigen festen Oberfläche haften und dabei seine Maximallast tragen. Klettern-Proben sind um {M} erleichtert.</t>
        </is>
      </c>
    </row>
    <row r="1697" hidden="1" ht="15.75" customHeight="1" s="48">
      <c r="A1697" t="inlineStr">
        <is>
          <t>spruchmagie_verzauberung_5_nebelleib</t>
        </is>
      </c>
      <c r="B1697" t="inlineStr">
        <is>
          <t>Spruchmagie</t>
        </is>
      </c>
      <c r="C1697" t="inlineStr">
        <is>
          <t>Nebelleib</t>
        </is>
      </c>
      <c r="F1697" t="inlineStr">
        <is>
          <t>Verzauberung</t>
        </is>
      </c>
      <c r="G1697" t="inlineStr">
        <is>
          <t>Wert</t>
        </is>
      </c>
      <c r="K1697" t="inlineStr">
        <is>
          <t>5</t>
        </is>
      </c>
      <c r="L1697" t="inlineStr">
        <is>
          <t>WENN(wert=0;0;10+(wert-1)*grad)</t>
        </is>
      </c>
      <c r="P1697" t="inlineStr">
        <is>
          <t>eig_bonus_g_sinneschaerfe</t>
        </is>
      </c>
      <c r="Q1697"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698" hidden="1" ht="15.75" customHeight="1" s="48">
      <c r="A1698" t="inlineStr">
        <is>
          <t>spruchmagie_verzauberung_5_golem_kaempfer</t>
        </is>
      </c>
      <c r="B1698" t="inlineStr">
        <is>
          <t>Spruchmagie</t>
        </is>
      </c>
      <c r="C1698" t="inlineStr">
        <is>
          <t>Golem Kämpfer</t>
        </is>
      </c>
      <c r="F1698" t="inlineStr">
        <is>
          <t>Verzauberung</t>
        </is>
      </c>
      <c r="G1698" t="inlineStr">
        <is>
          <t>Wert</t>
        </is>
      </c>
      <c r="K1698" t="inlineStr">
        <is>
          <t>5</t>
        </is>
      </c>
      <c r="L1698" t="inlineStr">
        <is>
          <t>WENN(wert=0;0;10+(wert-1)*grad)</t>
        </is>
      </c>
      <c r="P1698" t="inlineStr">
        <is>
          <t>eig_bonus_g_intelligenz</t>
        </is>
      </c>
      <c r="Q169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699" hidden="1" ht="15.75" customHeight="1" s="48">
      <c r="A1699" t="inlineStr">
        <is>
          <t>spruchmagie_verzauberung_6_last_des_alters</t>
        </is>
      </c>
      <c r="B1699" t="inlineStr">
        <is>
          <t>Spruchmagie</t>
        </is>
      </c>
      <c r="C1699" t="inlineStr">
        <is>
          <t>Last des Alters</t>
        </is>
      </c>
      <c r="F1699" t="inlineStr">
        <is>
          <t>Verzauberung</t>
        </is>
      </c>
      <c r="G1699" t="inlineStr">
        <is>
          <t>Wert</t>
        </is>
      </c>
      <c r="K1699" t="inlineStr">
        <is>
          <t>6</t>
        </is>
      </c>
      <c r="L1699" t="inlineStr">
        <is>
          <t>WENN(wert=0;0;10+(wert-1)*grad)</t>
        </is>
      </c>
      <c r="P1699" t="inlineStr">
        <is>
          <t>eig_bonus_g_ausstrahlung</t>
        </is>
      </c>
      <c r="Q1699"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700" hidden="1" ht="15.75" customHeight="1" s="48">
      <c r="A1700" t="inlineStr">
        <is>
          <t>spruchmagie_verzauberung_6_dummheit</t>
        </is>
      </c>
      <c r="B1700" t="inlineStr">
        <is>
          <t>Spruchmagie</t>
        </is>
      </c>
      <c r="C1700" t="inlineStr">
        <is>
          <t>Dummheit</t>
        </is>
      </c>
      <c r="F1700" t="inlineStr">
        <is>
          <t>Verzauberung</t>
        </is>
      </c>
      <c r="G1700" t="inlineStr">
        <is>
          <t>Wert</t>
        </is>
      </c>
      <c r="K1700" t="inlineStr">
        <is>
          <t>6</t>
        </is>
      </c>
      <c r="L1700" t="inlineStr">
        <is>
          <t>WENN(wert=0;0;10+(wert-1)*grad)</t>
        </is>
      </c>
      <c r="P1700" t="inlineStr">
        <is>
          <t>eig_bonus_g_intelligenz</t>
        </is>
      </c>
      <c r="Q1700" t="inlineStr">
        <is>
          <t>Alle geistigen Eigenschaften (Intelligenz, Mut, Sinnesschärfe, Willenskraft) des Opfers werden um {Magie} * 2 gesenkt. Eigenschaften können nicht unter 1 fallen.Das Opfer bemerkt die Verzauberung sofort.</t>
        </is>
      </c>
    </row>
    <row r="1701" hidden="1" ht="15.75" customHeight="1" s="48">
      <c r="A1701" t="inlineStr">
        <is>
          <t>spruchmagie_verzauberung_6_eisenhaut</t>
        </is>
      </c>
      <c r="B1701" t="inlineStr">
        <is>
          <t>Spruchmagie</t>
        </is>
      </c>
      <c r="C1701" t="inlineStr">
        <is>
          <t>Eisenhaut</t>
        </is>
      </c>
      <c r="F1701" t="inlineStr">
        <is>
          <t>Verzauberung</t>
        </is>
      </c>
      <c r="G1701" t="inlineStr">
        <is>
          <t>Wert</t>
        </is>
      </c>
      <c r="K1701" t="inlineStr">
        <is>
          <t>6</t>
        </is>
      </c>
      <c r="L1701" t="inlineStr">
        <is>
          <t>WENN(wert=0;0;10+(wert-1)*grad)</t>
        </is>
      </c>
      <c r="P1701" t="inlineStr">
        <is>
          <t>eig_bonus_k_konstitution</t>
        </is>
      </c>
      <c r="Q1701" t="inlineStr">
        <is>
          <t>Die Haut des Magiers wird widerstandsfähiger.Er erhält zusätzlichen Rüstungsschutz von [{Magie} + {Aura}]:2 auf allen TZ.</t>
        </is>
      </c>
    </row>
    <row r="1702" hidden="1" ht="15.75" customHeight="1" s="48">
      <c r="A1702" t="inlineStr">
        <is>
          <t>spruchmagie_verzauberung_7_verjuengung</t>
        </is>
      </c>
      <c r="B1702" t="inlineStr">
        <is>
          <t>Spruchmagie</t>
        </is>
      </c>
      <c r="C1702" t="inlineStr">
        <is>
          <t>Verjüngung</t>
        </is>
      </c>
      <c r="F1702" t="inlineStr">
        <is>
          <t>Verzauberung</t>
        </is>
      </c>
      <c r="G1702" t="inlineStr">
        <is>
          <t>Wert</t>
        </is>
      </c>
      <c r="K1702" t="inlineStr">
        <is>
          <t>7</t>
        </is>
      </c>
      <c r="L1702" t="inlineStr">
        <is>
          <t>WENN(wert=0;0;10+(wert-1)*grad)</t>
        </is>
      </c>
      <c r="P1702" t="inlineStr">
        <is>
          <t>eig_bonus_g_ausstrahlung</t>
        </is>
      </c>
      <c r="Q170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703" hidden="1" ht="15.75" customHeight="1" s="48">
      <c r="A1703" t="inlineStr">
        <is>
          <t>spruchmagie_verzauberung_7_grosser_golem</t>
        </is>
      </c>
      <c r="B1703" t="inlineStr">
        <is>
          <t>Spruchmagie</t>
        </is>
      </c>
      <c r="C1703" t="inlineStr">
        <is>
          <t>Großer Golem</t>
        </is>
      </c>
      <c r="F1703" t="inlineStr">
        <is>
          <t>Verzauberung</t>
        </is>
      </c>
      <c r="G1703" t="inlineStr">
        <is>
          <t>Wert</t>
        </is>
      </c>
      <c r="K1703" t="inlineStr">
        <is>
          <t>7</t>
        </is>
      </c>
      <c r="L1703" t="inlineStr">
        <is>
          <t>WENN(wert=0;0;10+(wert-1)*grad)</t>
        </is>
      </c>
      <c r="P1703" t="inlineStr">
        <is>
          <t>eig_bonus_g_willenskraft</t>
        </is>
      </c>
      <c r="Q170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704" hidden="1" ht="15.75" customHeight="1" s="48">
      <c r="A1704" t="inlineStr">
        <is>
          <t>spruchmagie_verzauberung_7_krueppel</t>
        </is>
      </c>
      <c r="B1704" t="inlineStr">
        <is>
          <t>Spruchmagie</t>
        </is>
      </c>
      <c r="C1704" t="inlineStr">
        <is>
          <t>Krüppel</t>
        </is>
      </c>
      <c r="F1704" t="inlineStr">
        <is>
          <t>Verzauberung</t>
        </is>
      </c>
      <c r="G1704" t="inlineStr">
        <is>
          <t>Wert</t>
        </is>
      </c>
      <c r="K1704" t="inlineStr">
        <is>
          <t>7</t>
        </is>
      </c>
      <c r="L1704" t="inlineStr">
        <is>
          <t>WENN(wert=0;0;10+(wert-1)*grad)</t>
        </is>
      </c>
      <c r="P1704" t="inlineStr">
        <is>
          <t>eig_bonus_g_intelligenz</t>
        </is>
      </c>
      <c r="Q1704" t="inlineStr">
        <is>
          <t>Alle Eigenschaften des Opfers werden um {Magie} * 2 Punkte gesenkt.Eigenschaften können nicht unter 1 fallen.Das Opfer bemerkt die Verzauberung sofort.</t>
        </is>
      </c>
    </row>
    <row r="1705" hidden="1" ht="15.75" customHeight="1" s="48">
      <c r="A1705" t="inlineStr">
        <is>
          <t>spruchmagie_verzauberung_7_leib_aus_element</t>
        </is>
      </c>
      <c r="B1705" t="inlineStr">
        <is>
          <t>Spruchmagie</t>
        </is>
      </c>
      <c r="C1705" t="inlineStr">
        <is>
          <t>Leib aus [Element]</t>
        </is>
      </c>
      <c r="F1705" t="inlineStr">
        <is>
          <t>Verzauberung</t>
        </is>
      </c>
      <c r="G1705" t="inlineStr">
        <is>
          <t>Wert</t>
        </is>
      </c>
      <c r="K1705" t="inlineStr">
        <is>
          <t>7</t>
        </is>
      </c>
      <c r="L1705" t="inlineStr">
        <is>
          <t>WENN(wert=0;0;10+(wert-1)*grad)</t>
        </is>
      </c>
      <c r="P1705" t="inlineStr">
        <is>
          <t>eig_bonus_g_willenskraft</t>
        </is>
      </c>
      <c r="Q170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706" hidden="1" ht="15.75" customHeight="1" s="48">
      <c r="A1706" t="inlineStr">
        <is>
          <t>spruchmagie_verzauberung_7_tod_nn</t>
        </is>
      </c>
      <c r="B1706" t="inlineStr">
        <is>
          <t>Spruchmagie</t>
        </is>
      </c>
      <c r="C1706" t="inlineStr">
        <is>
          <t>Tod (NN)</t>
        </is>
      </c>
      <c r="F1706" t="inlineStr">
        <is>
          <t>Verzauberung</t>
        </is>
      </c>
      <c r="G1706" t="inlineStr">
        <is>
          <t>Wert</t>
        </is>
      </c>
      <c r="K1706" t="inlineStr">
        <is>
          <t>7</t>
        </is>
      </c>
      <c r="L1706" t="inlineStr">
        <is>
          <t>WENN(wert=0;0;10+(wert-1)*grad)</t>
        </is>
      </c>
      <c r="P1706" t="inlineStr">
        <is>
          <t>eig_bonus_k_staerke</t>
        </is>
      </c>
      <c r="Q170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707" hidden="1" ht="15.75" customHeight="1" s="48">
      <c r="A1707" t="inlineStr">
        <is>
          <t>spruchmagie_wasserbeschwoerung_1_frostwand</t>
        </is>
      </c>
      <c r="B1707" t="inlineStr">
        <is>
          <t>Spruchmagie</t>
        </is>
      </c>
      <c r="C1707" t="inlineStr">
        <is>
          <t>Frostwand</t>
        </is>
      </c>
      <c r="F1707" t="inlineStr">
        <is>
          <t>Wasserbeschwörung</t>
        </is>
      </c>
      <c r="G1707" t="inlineStr">
        <is>
          <t>Wert</t>
        </is>
      </c>
      <c r="K1707" t="inlineStr">
        <is>
          <t>1</t>
        </is>
      </c>
      <c r="L1707" t="inlineStr">
        <is>
          <t>WENN(wert=0;0;10+(wert-1)*grad)</t>
        </is>
      </c>
      <c r="P1707" t="inlineStr">
        <is>
          <t>eig_bonus_k_athletik</t>
        </is>
      </c>
      <c r="Q1707" t="inlineStr">
        <is>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is>
      </c>
    </row>
    <row r="1708" hidden="1" ht="15.75" customHeight="1" s="48">
      <c r="A1708" t="inlineStr">
        <is>
          <t>spruchmagie_wasserbeschwoerung_1_frostfaust</t>
        </is>
      </c>
      <c r="B1708" t="inlineStr">
        <is>
          <t>Spruchmagie</t>
        </is>
      </c>
      <c r="C1708" t="inlineStr">
        <is>
          <t>Frostfaust</t>
        </is>
      </c>
      <c r="F1708" t="inlineStr">
        <is>
          <t>Wasserbeschwörung</t>
        </is>
      </c>
      <c r="G1708" t="inlineStr">
        <is>
          <t>Wert</t>
        </is>
      </c>
      <c r="K1708" t="inlineStr">
        <is>
          <t>1</t>
        </is>
      </c>
      <c r="L1708" t="inlineStr">
        <is>
          <t>WENN(wert=0;0;10+(wert-1)*grad)</t>
        </is>
      </c>
      <c r="P1708" t="inlineStr">
        <is>
          <t>eig_bonus_k_athletik</t>
        </is>
      </c>
      <c r="Q1708" t="inlineStr">
        <is>
          <t>Die Fäuste des Magiers verursachen zusätzlichen Elementarschaden. Schaden: W8 + {Magie}. Pro 5 TP erleidet das Opfer zusätzliche BE 1, nur die höchste so erzielte BE zählt.</t>
        </is>
      </c>
    </row>
    <row r="1709" hidden="1" ht="15.75" customHeight="1" s="48">
      <c r="A1709" t="inlineStr">
        <is>
          <t>spruchmagie_wasserbeschwoerung_1_eisball</t>
        </is>
      </c>
      <c r="B1709" t="inlineStr">
        <is>
          <t>Spruchmagie</t>
        </is>
      </c>
      <c r="C1709" t="inlineStr">
        <is>
          <t>Eisball</t>
        </is>
      </c>
      <c r="F1709" t="inlineStr">
        <is>
          <t>Wasserbeschwörung</t>
        </is>
      </c>
      <c r="G1709" t="inlineStr">
        <is>
          <t>Wert</t>
        </is>
      </c>
      <c r="K1709" t="inlineStr">
        <is>
          <t>1</t>
        </is>
      </c>
      <c r="L1709" t="inlineStr">
        <is>
          <t>WENN(wert=0;0;10+(wert-1)*grad)</t>
        </is>
      </c>
      <c r="P1709" t="inlineStr">
        <is>
          <t>eig_bonus_k_athletik</t>
        </is>
      </c>
      <c r="Q1709" t="inlineStr">
        <is>
          <t>Der Magus erschafft einen Ball aus Wasser. Schaden: 2W4 + {Magie}. Pro 5 TP erleidet das Opfer zusätzliche BE 1, nur die höchste so erzielte BE zählt.</t>
        </is>
      </c>
    </row>
    <row r="1710" hidden="1" ht="15.75" customHeight="1" s="48">
      <c r="A1710" t="inlineStr">
        <is>
          <t>spruchmagie_wasserbeschwoerung_2_eis_aura</t>
        </is>
      </c>
      <c r="B1710" t="inlineStr">
        <is>
          <t>Spruchmagie</t>
        </is>
      </c>
      <c r="C1710" t="inlineStr">
        <is>
          <t>Eis-Aura</t>
        </is>
      </c>
      <c r="F1710" t="inlineStr">
        <is>
          <t>Wasserbeschwörung</t>
        </is>
      </c>
      <c r="G1710" t="inlineStr">
        <is>
          <t>Wert</t>
        </is>
      </c>
      <c r="K1710" t="inlineStr">
        <is>
          <t>2</t>
        </is>
      </c>
      <c r="L1710" t="inlineStr">
        <is>
          <t>WENN(wert=0;0;10+(wert-1)*grad)</t>
        </is>
      </c>
      <c r="P1710" t="inlineStr">
        <is>
          <t>eig_bonus_k_athletik</t>
        </is>
      </c>
      <c r="Q171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1711" hidden="1" ht="15.75" customHeight="1" s="48">
      <c r="A1711" t="inlineStr">
        <is>
          <t>spruchmagie_wasserbeschwoerung_2_eisstrahl</t>
        </is>
      </c>
      <c r="B1711" t="inlineStr">
        <is>
          <t>Spruchmagie</t>
        </is>
      </c>
      <c r="C1711" t="inlineStr">
        <is>
          <t>Eisstrahl</t>
        </is>
      </c>
      <c r="F1711" t="inlineStr">
        <is>
          <t>Wasserbeschwörung</t>
        </is>
      </c>
      <c r="G1711" t="inlineStr">
        <is>
          <t>Wert</t>
        </is>
      </c>
      <c r="K1711" t="inlineStr">
        <is>
          <t>2</t>
        </is>
      </c>
      <c r="L1711" t="inlineStr">
        <is>
          <t>WENN(wert=0;0;10+(wert-1)*grad)</t>
        </is>
      </c>
      <c r="P1711" t="inlineStr">
        <is>
          <t>eig_bonus_k_athletik</t>
        </is>
      </c>
      <c r="Q1711" t="inlineStr">
        <is>
          <t>Aus der Handfläche des Magiers schießt ein {M} cm dicker Strahl aus Wasser. Treffer auf eine FK-TZ mit 1 zusätzlichen TZ-Reroll. Schaden: W10+{Magie} pro sec. Pro 5 TP erleidet das Opfer zusätzliche BE 1, nur die höchste so erzielte BE zählt.</t>
        </is>
      </c>
    </row>
    <row r="1712" hidden="1" ht="15.75" customHeight="1" s="48">
      <c r="A1712" t="inlineStr">
        <is>
          <t>spruchmagie_wasserbeschwoerung_2_frostbolzen</t>
        </is>
      </c>
      <c r="B1712" t="inlineStr">
        <is>
          <t>Spruchmagie</t>
        </is>
      </c>
      <c r="C1712" t="inlineStr">
        <is>
          <t>Frostbolzen</t>
        </is>
      </c>
      <c r="F1712" t="inlineStr">
        <is>
          <t>Wasserbeschwörung</t>
        </is>
      </c>
      <c r="G1712" t="inlineStr">
        <is>
          <t>Wert</t>
        </is>
      </c>
      <c r="K1712" t="inlineStr">
        <is>
          <t>2</t>
        </is>
      </c>
      <c r="L1712" t="inlineStr">
        <is>
          <t>WENN(wert=0;0;10+(wert-1)*grad)</t>
        </is>
      </c>
      <c r="P1712" t="inlineStr">
        <is>
          <t>eig_bonus_k_athletik</t>
        </is>
      </c>
      <c r="Q1712" t="inlineStr">
        <is>
          <t>Der Magus erschafft einen Bolzen aus Wasser. Treffer auf FK-TZ. Schaden: 2W6 + {Magie}, RB: {Magie}*2. Pro 5 TP erleidet das Opfer zusätzliche BE 1, nur die höchste so erzielte BE zählt.</t>
        </is>
      </c>
    </row>
    <row r="1713" hidden="1" ht="15.75" customHeight="1" s="48">
      <c r="A1713" t="inlineStr">
        <is>
          <t>spruchmagie_wasserbeschwoerung_3_frost_klinge</t>
        </is>
      </c>
      <c r="B1713" t="inlineStr">
        <is>
          <t>Spruchmagie</t>
        </is>
      </c>
      <c r="C1713" t="inlineStr">
        <is>
          <t>Frost-Klinge</t>
        </is>
      </c>
      <c r="F1713" t="inlineStr">
        <is>
          <t>Wasserbeschwörung</t>
        </is>
      </c>
      <c r="G1713" t="inlineStr">
        <is>
          <t>Wert</t>
        </is>
      </c>
      <c r="K1713" t="inlineStr">
        <is>
          <t>3</t>
        </is>
      </c>
      <c r="L1713" t="inlineStr">
        <is>
          <t>WENN(wert=0;0;10+(wert-1)*grad)</t>
        </is>
      </c>
      <c r="P1713" t="inlineStr">
        <is>
          <t>eig_bonus_k_athletik</t>
        </is>
      </c>
      <c r="Q1713"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714" hidden="1" ht="15.75" customHeight="1" s="48">
      <c r="A1714" t="inlineStr">
        <is>
          <t>spruchmagie_wasserbeschwoerung_3_frost_pfeil</t>
        </is>
      </c>
      <c r="B1714" t="inlineStr">
        <is>
          <t>Spruchmagie</t>
        </is>
      </c>
      <c r="C1714" t="inlineStr">
        <is>
          <t>Frost-Pfeil</t>
        </is>
      </c>
      <c r="F1714" t="inlineStr">
        <is>
          <t>Wasserbeschwörung</t>
        </is>
      </c>
      <c r="G1714" t="inlineStr">
        <is>
          <t>Wert</t>
        </is>
      </c>
      <c r="K1714" t="inlineStr">
        <is>
          <t>3</t>
        </is>
      </c>
      <c r="L1714" t="inlineStr">
        <is>
          <t>WENN(wert=0;0;10+(wert-1)*grad)</t>
        </is>
      </c>
      <c r="P1714" t="inlineStr">
        <is>
          <t>eig_bonus_k_athletik</t>
        </is>
      </c>
      <c r="Q1714" t="inlineStr">
        <is>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715" hidden="1" ht="15.75" customHeight="1" s="48">
      <c r="A1715" t="inlineStr">
        <is>
          <t>spruchmagie_wasserbeschwoerung_3_eisblitz</t>
        </is>
      </c>
      <c r="B1715" t="inlineStr">
        <is>
          <t>Spruchmagie</t>
        </is>
      </c>
      <c r="C1715" t="inlineStr">
        <is>
          <t>Eisblitz</t>
        </is>
      </c>
      <c r="F1715" t="inlineStr">
        <is>
          <t>Wasserbeschwörung</t>
        </is>
      </c>
      <c r="G1715" t="inlineStr">
        <is>
          <t>Wert</t>
        </is>
      </c>
      <c r="K1715" t="inlineStr">
        <is>
          <t>3</t>
        </is>
      </c>
      <c r="L1715" t="inlineStr">
        <is>
          <t>WENN(wert=0;0;10+(wert-1)*grad)</t>
        </is>
      </c>
      <c r="P1715" t="inlineStr">
        <is>
          <t>eig_bonus_k_athletik</t>
        </is>
      </c>
      <c r="Q1715" t="inlineStr">
        <is>
          <t>Der Magus erschafft um das Opfer eine Kugel aus Wasser.  Treffer auf FK-TZ mit 2 TZ-Rerolls auf die gewünschte Trefferzone. Schaden: 2W6 + {Magie}. Pro 5 TP erleidet das Opfer zusätzliche BE 1, nur die höchste so erzielte BE zählt.</t>
        </is>
      </c>
    </row>
    <row r="1716" hidden="1" ht="15.75" customHeight="1" s="48">
      <c r="A1716" t="inlineStr">
        <is>
          <t>spruchmagie_wasserbeschwoerung_3_grosse_frostfaust</t>
        </is>
      </c>
      <c r="B1716" t="inlineStr">
        <is>
          <t>Spruchmagie</t>
        </is>
      </c>
      <c r="C1716" t="inlineStr">
        <is>
          <t>Große Frostfaust</t>
        </is>
      </c>
      <c r="F1716" t="inlineStr">
        <is>
          <t>Wasserbeschwörung</t>
        </is>
      </c>
      <c r="G1716" t="inlineStr">
        <is>
          <t>Wert</t>
        </is>
      </c>
      <c r="K1716" t="inlineStr">
        <is>
          <t>3</t>
        </is>
      </c>
      <c r="L1716" t="inlineStr">
        <is>
          <t>WENN(wert=0;0;10+(wert-1)*grad)</t>
        </is>
      </c>
      <c r="P1716" t="inlineStr">
        <is>
          <t>eig_bonus_k_athletik</t>
        </is>
      </c>
      <c r="Q1716" t="inlineStr">
        <is>
          <t>Die Fäuste des Magiers verursachen zusätzlichen Elementarschaden von 2W12+{Magie}. Pro 5 TP erleidet das Opfer zusätzliche BE 1, nur die höchste so erzielte BE zählt.</t>
        </is>
      </c>
    </row>
    <row r="1717" hidden="1" ht="15.75" customHeight="1" s="48">
      <c r="A1717" t="inlineStr">
        <is>
          <t>spruchmagie_wasserbeschwoerung_3_eisball_salve</t>
        </is>
      </c>
      <c r="B1717" t="inlineStr">
        <is>
          <t>Spruchmagie</t>
        </is>
      </c>
      <c r="C1717" t="inlineStr">
        <is>
          <t>Eisball-Salve</t>
        </is>
      </c>
      <c r="F1717" t="inlineStr">
        <is>
          <t>Wasserbeschwörung</t>
        </is>
      </c>
      <c r="G1717" t="inlineStr">
        <is>
          <t>Wert</t>
        </is>
      </c>
      <c r="K1717" t="inlineStr">
        <is>
          <t>3</t>
        </is>
      </c>
      <c r="L1717" t="inlineStr">
        <is>
          <t>WENN(wert=0;0;10+(wert-1)*grad)</t>
        </is>
      </c>
      <c r="P1717" t="inlineStr">
        <is>
          <t>eig_bonus_k_athletik</t>
        </is>
      </c>
      <c r="Q1717" t="inlineStr">
        <is>
          <t>Der Magus erschafft {Magie} : 2 Bälle aus Wasser. Schaden: 2W4 + {Magie}. Pro 5 TP erleidet das Opfer zusätzliche BE 1, nur die höchste so erzielte BE zählt.</t>
        </is>
      </c>
    </row>
    <row r="1718" hidden="1" ht="15.75" customHeight="1" s="48">
      <c r="A1718" t="inlineStr">
        <is>
          <t>spruchmagie_wasserbeschwoerung_4_grosse_frostwand</t>
        </is>
      </c>
      <c r="B1718" t="inlineStr">
        <is>
          <t>Spruchmagie</t>
        </is>
      </c>
      <c r="C1718" t="inlineStr">
        <is>
          <t>Große Frostwand</t>
        </is>
      </c>
      <c r="F1718" t="inlineStr">
        <is>
          <t>Wasserbeschwörung</t>
        </is>
      </c>
      <c r="G1718" t="inlineStr">
        <is>
          <t>Wert</t>
        </is>
      </c>
      <c r="K1718" t="inlineStr">
        <is>
          <t>4</t>
        </is>
      </c>
      <c r="L1718" t="inlineStr">
        <is>
          <t>WENN(wert=0;0;10+(wert-1)*grad)</t>
        </is>
      </c>
      <c r="P1718" t="inlineStr">
        <is>
          <t>eig_bonus_k_athletik</t>
        </is>
      </c>
      <c r="Q171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1719" hidden="1" ht="15.75" customHeight="1" s="48">
      <c r="A1719" t="inlineStr">
        <is>
          <t>spruchmagie_wasserbeschwoerung_4_grosser_eisball</t>
        </is>
      </c>
      <c r="B1719" t="inlineStr">
        <is>
          <t>Spruchmagie</t>
        </is>
      </c>
      <c r="C1719" t="inlineStr">
        <is>
          <t>Großer Eisball</t>
        </is>
      </c>
      <c r="F1719" t="inlineStr">
        <is>
          <t>Wasserbeschwörung</t>
        </is>
      </c>
      <c r="G1719" t="inlineStr">
        <is>
          <t>Wert</t>
        </is>
      </c>
      <c r="K1719" t="inlineStr">
        <is>
          <t>4</t>
        </is>
      </c>
      <c r="L1719" t="inlineStr">
        <is>
          <t>WENN(wert=0;0;10+(wert-1)*grad)</t>
        </is>
      </c>
      <c r="P1719" t="inlineStr">
        <is>
          <t>eig_bonus_k_athletik</t>
        </is>
      </c>
      <c r="Q1719" t="inlineStr">
        <is>
          <t>Der Magus erschafft einen Ball aus Wasser. Schaden: W12 + {Magie} auf jede Trefferzone. Pro 5 TP erleidet das Opfer zusätzliche BE 1, nur die höchste so erzielte BE zählt.</t>
        </is>
      </c>
    </row>
    <row r="1720" hidden="1" ht="15.75" customHeight="1" s="48">
      <c r="A1720" t="inlineStr">
        <is>
          <t>spruchmagie_wasserbeschwoerung_4_frostbolzen_salve</t>
        </is>
      </c>
      <c r="B1720" t="inlineStr">
        <is>
          <t>Spruchmagie</t>
        </is>
      </c>
      <c r="C1720" t="inlineStr">
        <is>
          <t>Frostbolzen-Salve</t>
        </is>
      </c>
      <c r="F1720" t="inlineStr">
        <is>
          <t>Wasserbeschwörung</t>
        </is>
      </c>
      <c r="G1720" t="inlineStr">
        <is>
          <t>Wert</t>
        </is>
      </c>
      <c r="K1720" t="inlineStr">
        <is>
          <t>4</t>
        </is>
      </c>
      <c r="L1720" t="inlineStr">
        <is>
          <t>WENN(wert=0;0;10+(wert-1)*grad)</t>
        </is>
      </c>
      <c r="P1720" t="inlineStr">
        <is>
          <t>eig_bonus_k_athletik</t>
        </is>
      </c>
      <c r="Q1720" t="inlineStr">
        <is>
          <t>Der Magus erschafft {Magie} : 2 Bolzen aus Wasser. Treffer auf FK-TZ, Schaden: 2W6 + {Magie}; RB: {Magie}*2. Pro 5 TP erleidet das Opfer zusätzliche BE 1, nur die höchste so erzielte BE zählt.</t>
        </is>
      </c>
    </row>
    <row r="1721" hidden="1" ht="15.75" customHeight="1" s="48">
      <c r="A1721" t="inlineStr">
        <is>
          <t>spruchmagie_wasserbeschwoerung_5_grosse_eisaura</t>
        </is>
      </c>
      <c r="B1721" t="inlineStr">
        <is>
          <t>Spruchmagie</t>
        </is>
      </c>
      <c r="C1721" t="inlineStr">
        <is>
          <t>Große Eisaura</t>
        </is>
      </c>
      <c r="F1721" t="inlineStr">
        <is>
          <t>Wasserbeschwörung</t>
        </is>
      </c>
      <c r="G1721" t="inlineStr">
        <is>
          <t>Wert</t>
        </is>
      </c>
      <c r="K1721" t="inlineStr">
        <is>
          <t>5</t>
        </is>
      </c>
      <c r="L1721" t="inlineStr">
        <is>
          <t>WENN(wert=0;0;10+(wert-1)*grad)</t>
        </is>
      </c>
      <c r="P1721" t="inlineStr">
        <is>
          <t>eig_bonus_k_athletik</t>
        </is>
      </c>
      <c r="Q172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1722" hidden="1" ht="15.75" customHeight="1" s="48">
      <c r="A1722" t="inlineStr">
        <is>
          <t>spruchmagie_wasserbeschwoerung_5_blizzard</t>
        </is>
      </c>
      <c r="B1722" t="inlineStr">
        <is>
          <t>Spruchmagie</t>
        </is>
      </c>
      <c r="C1722" t="inlineStr">
        <is>
          <t>Blizzard</t>
        </is>
      </c>
      <c r="F1722" t="inlineStr">
        <is>
          <t>Wasserbeschwörung</t>
        </is>
      </c>
      <c r="G1722" t="inlineStr">
        <is>
          <t>Wert</t>
        </is>
      </c>
      <c r="K1722" t="inlineStr">
        <is>
          <t>5</t>
        </is>
      </c>
      <c r="L1722" t="inlineStr">
        <is>
          <t>WENN(wert=0;0;10+(wert-1)*grad)</t>
        </is>
      </c>
      <c r="P1722" t="inlineStr">
        <is>
          <t>eig_bonus_k_athletik</t>
        </is>
      </c>
      <c r="Q1722" t="inlineStr">
        <is>
          <t>Eine vom Magus ausgehende kugelförmige Explosion verursacht Elementarschaden. Es ist unmöglich, dem Schaden zu entgehen. Jede TZ wird getroffen. Schaden: W8 + {Magie}. Pro 5 TP erleidet das Opfer zusätzliche BE 1, nur die höchste so erzielte BE zählt.</t>
        </is>
      </c>
    </row>
    <row r="1723" hidden="1" ht="15.75" customHeight="1" s="48">
      <c r="A1723" t="inlineStr">
        <is>
          <t>spruchmagie_wasserbeschwoerung_5_grosser_frostbolzen</t>
        </is>
      </c>
      <c r="B1723" t="inlineStr">
        <is>
          <t>Spruchmagie</t>
        </is>
      </c>
      <c r="C1723" t="inlineStr">
        <is>
          <t>Großer Frostbolzen</t>
        </is>
      </c>
      <c r="F1723" t="inlineStr">
        <is>
          <t>Wasserbeschwörung</t>
        </is>
      </c>
      <c r="G1723" t="inlineStr">
        <is>
          <t>Wert</t>
        </is>
      </c>
      <c r="K1723" t="inlineStr">
        <is>
          <t>5</t>
        </is>
      </c>
      <c r="L1723" t="inlineStr">
        <is>
          <t>WENN(wert=0;0;10+(wert-1)*grad)</t>
        </is>
      </c>
      <c r="P1723" t="inlineStr">
        <is>
          <t>eig_bonus_k_athletik</t>
        </is>
      </c>
      <c r="Q1723" t="inlineStr">
        <is>
          <t>Der Magus erschafft einen Bolzen aus Wasser. Treffer auf FK-TZ. Schaden: 2W10 + {Magie}; RB: {M}:2. Pro 5 TP erleidet das Opfer zusätzliche BE 1, nur die höchste so erzielte BE zählt.</t>
        </is>
      </c>
    </row>
    <row r="1724" hidden="1" ht="15.75" customHeight="1" s="48">
      <c r="A1724" t="inlineStr">
        <is>
          <t>spruchmagie_wasserbeschwoerung_6_grosser_eisstrahl</t>
        </is>
      </c>
      <c r="B1724" t="inlineStr">
        <is>
          <t>Spruchmagie</t>
        </is>
      </c>
      <c r="C1724" t="inlineStr">
        <is>
          <t>Großer Eisstrahl</t>
        </is>
      </c>
      <c r="F1724" t="inlineStr">
        <is>
          <t>Wasserbeschwörung</t>
        </is>
      </c>
      <c r="G1724" t="inlineStr">
        <is>
          <t>Wert</t>
        </is>
      </c>
      <c r="K1724" t="inlineStr">
        <is>
          <t>6</t>
        </is>
      </c>
      <c r="L1724" t="inlineStr">
        <is>
          <t>WENN(wert=0;0;10+(wert-1)*grad)</t>
        </is>
      </c>
      <c r="P1724" t="inlineStr">
        <is>
          <t>eig_bonus_k_athletik</t>
        </is>
      </c>
      <c r="Q1724" t="inlineStr">
        <is>
          <t>Aus der Handfläche des Magiers schießt ein {M} cm dicker Strahl aus Wasser. Treffer auf eine FK-TZ mit 1 zusätzlichen TZ-Reroll. Schaden: 2W10 + {Magie} pro sec. Pro 5 TP erleidet das Opfer zusätzliche BE 1, nur die höchste so erzielte BE zählt.</t>
        </is>
      </c>
    </row>
    <row r="1725" hidden="1" ht="15.75" customHeight="1" s="48">
      <c r="A1725" t="inlineStr">
        <is>
          <t>spruchmagie_wasserbeschwoerung_6_grosser_eisblitz</t>
        </is>
      </c>
      <c r="B1725" t="inlineStr">
        <is>
          <t>Spruchmagie</t>
        </is>
      </c>
      <c r="C1725" t="inlineStr">
        <is>
          <t>Großer Eisblitz</t>
        </is>
      </c>
      <c r="F1725" t="inlineStr">
        <is>
          <t>Wasserbeschwörung</t>
        </is>
      </c>
      <c r="G1725" t="inlineStr">
        <is>
          <t>Wert</t>
        </is>
      </c>
      <c r="K1725" t="inlineStr">
        <is>
          <t>6</t>
        </is>
      </c>
      <c r="L1725" t="inlineStr">
        <is>
          <t>WENN(wert=0;0;10+(wert-1)*grad)</t>
        </is>
      </c>
      <c r="P1725" t="inlineStr">
        <is>
          <t>eig_bonus_k_athletik</t>
        </is>
      </c>
      <c r="Q1725" t="inlineStr">
        <is>
          <t>Der Magus erschafft um das Opfer eine Kugel aus Wasser. Treffer auf FK-TZ mit 2 TZ-Rerolls auf die gewünschte Trefferzone. Schaden: 2W12 + {Magie}. Pro 5 TP erleidet das Opfer zusätzliche BE 1, nur die höchste so erzielte BE zählt.</t>
        </is>
      </c>
    </row>
    <row r="1726" hidden="1" ht="15.75" customHeight="1" s="48">
      <c r="A1726" t="inlineStr">
        <is>
          <t>spruchmagie_wasserbeschwoerung_6_grosse_eisball_salve</t>
        </is>
      </c>
      <c r="B1726" t="inlineStr">
        <is>
          <t>Spruchmagie</t>
        </is>
      </c>
      <c r="C1726" t="inlineStr">
        <is>
          <t>Große Eisball-Salve</t>
        </is>
      </c>
      <c r="F1726" t="inlineStr">
        <is>
          <t>Wasserbeschwörung</t>
        </is>
      </c>
      <c r="G1726" t="inlineStr">
        <is>
          <t>Wert</t>
        </is>
      </c>
      <c r="K1726" t="inlineStr">
        <is>
          <t>6</t>
        </is>
      </c>
      <c r="L1726" t="inlineStr">
        <is>
          <t>WENN(wert=0;0;10+(wert-1)*grad)</t>
        </is>
      </c>
      <c r="P1726" t="inlineStr">
        <is>
          <t>eig_bonus_k_athletik</t>
        </is>
      </c>
      <c r="Q1726" t="inlineStr">
        <is>
          <t>Der Magus erschafft {Magie} : 2 Bälle aus Wasser. W12 + {Magie} auf jede Trefferzone. Pro 5 TP erleidet das Opfer zusätzliche BE 1, nur die höchste so erzielte BE zählt.</t>
        </is>
      </c>
    </row>
    <row r="1727" hidden="1" ht="15.75" customHeight="1" s="48">
      <c r="A1727" t="inlineStr">
        <is>
          <t>spruchmagie_wasserbeschwoerung_7_grosser_blizzard</t>
        </is>
      </c>
      <c r="B1727" t="inlineStr">
        <is>
          <t>Spruchmagie</t>
        </is>
      </c>
      <c r="C1727" t="inlineStr">
        <is>
          <t>Großer Blizzard</t>
        </is>
      </c>
      <c r="F1727" t="inlineStr">
        <is>
          <t>Wasserbeschwörung</t>
        </is>
      </c>
      <c r="G1727" t="inlineStr">
        <is>
          <t>Wert</t>
        </is>
      </c>
      <c r="K1727" t="inlineStr">
        <is>
          <t>7</t>
        </is>
      </c>
      <c r="L1727" t="inlineStr">
        <is>
          <t>WENN(wert=0;0;10+(wert-1)*grad)</t>
        </is>
      </c>
      <c r="P1727" t="inlineStr">
        <is>
          <t>eig_bonus_k_athletik</t>
        </is>
      </c>
      <c r="Q1727" t="inlineStr">
        <is>
          <t>Eine vom Magus ausgehende kugelförmige Explosion verursacht Elementarschaden. Es ist unmöglich, dem Schaden zu entgehen. Jede TZ wird getroffen. Schaden: 2W15 + {Magie}. Pro 5 TP erleidet das Opfer zusätzliche BE 1, nur die höchste so erzielte BE zählt.</t>
        </is>
      </c>
    </row>
    <row r="1728" hidden="1" ht="15.75" customHeight="1" s="48">
      <c r="A1728" t="inlineStr">
        <is>
          <t>spruchmagie_wasserbeschwoerung_7_grosse_frostbolzen_salve</t>
        </is>
      </c>
      <c r="B1728" t="inlineStr">
        <is>
          <t>Spruchmagie</t>
        </is>
      </c>
      <c r="C1728" t="inlineStr">
        <is>
          <t>Große Frostbolzen-Salve</t>
        </is>
      </c>
      <c r="F1728" t="inlineStr">
        <is>
          <t>Wasserbeschwörung</t>
        </is>
      </c>
      <c r="G1728" t="inlineStr">
        <is>
          <t>Wert</t>
        </is>
      </c>
      <c r="K1728" t="inlineStr">
        <is>
          <t>7</t>
        </is>
      </c>
      <c r="L1728" t="inlineStr">
        <is>
          <t>WENN(wert=0;0;10+(wert-1)*grad)</t>
        </is>
      </c>
      <c r="P1728" t="inlineStr">
        <is>
          <t>eig_bonus_k_athletik</t>
        </is>
      </c>
      <c r="Q1728" t="inlineStr">
        <is>
          <t>Der Magus erschafft {Magie} : 2 Bolzen aus Wasser. Jeweils Treffer auf FK-TZ. Schaden: 2W10 + {Magie}; RB: {M}:2. Pro 5 TP erleidet das Opfer zusätzliche BE 1, nur die höchste so erzielte BE zählt.</t>
        </is>
      </c>
    </row>
    <row r="1729" hidden="1" ht="15.75" customHeight="1" s="48">
      <c r="A1729" t="inlineStr">
        <is>
          <t>talente_geweihter_lloth_stufe_1_orthodox</t>
        </is>
      </c>
      <c r="B1729" t="inlineStr">
        <is>
          <t>Talente</t>
        </is>
      </c>
      <c r="C1729" t="inlineStr">
        <is>
          <t>Geweihter von Lloth, Orthodox – Niederer</t>
        </is>
      </c>
      <c r="F1729" t="inlineStr">
        <is>
          <t>Geweihte</t>
        </is>
      </c>
      <c r="G1729" t="inlineStr">
        <is>
          <t>Auswahl</t>
        </is>
      </c>
      <c r="L1729" t="n">
        <v>5</v>
      </c>
      <c r="Q1729" t="inlineStr">
        <is>
          <t>Dieser Charakter ist Geweihter von Lloth, Orthodox (Geweihtengrad 1: Niederer). Der Charakter muss Karma auf mindestens 1 steigern.</t>
        </is>
      </c>
    </row>
    <row r="1730" hidden="1" ht="15.75" customHeight="1" s="48">
      <c r="A1730" t="inlineStr">
        <is>
          <t>talente_geweihter_khartazh_stufe_1_orthodox</t>
        </is>
      </c>
      <c r="B1730" t="inlineStr">
        <is>
          <t>Talente</t>
        </is>
      </c>
      <c r="C1730" t="inlineStr">
        <is>
          <t>Geweihter von Khartazh, Orthodox – Niederer</t>
        </is>
      </c>
      <c r="F1730" t="inlineStr">
        <is>
          <t>Geweihte</t>
        </is>
      </c>
      <c r="G1730" t="inlineStr">
        <is>
          <t>Auswahl</t>
        </is>
      </c>
      <c r="L1730" t="n">
        <v>5</v>
      </c>
      <c r="Q1730" t="inlineStr">
        <is>
          <t>Dieser Charakter ist Geweihter von Khartazh, Orthodox (Geweihtengrad 1: Niederer). Der Charakter muss Karma auf mindestens 1 steigern.</t>
        </is>
      </c>
    </row>
    <row r="1731" hidden="1" ht="15.75" customHeight="1" s="48">
      <c r="A1731" t="inlineStr">
        <is>
          <t>talente_geweihter_nomna_stufe_1_orthodox</t>
        </is>
      </c>
      <c r="B1731" t="inlineStr">
        <is>
          <t>Talente</t>
        </is>
      </c>
      <c r="C1731" t="inlineStr">
        <is>
          <t>Geweihter von Nomna, Orthodox – Niederer</t>
        </is>
      </c>
      <c r="F1731" t="inlineStr">
        <is>
          <t>Geweihte</t>
        </is>
      </c>
      <c r="G1731" t="inlineStr">
        <is>
          <t>Auswahl</t>
        </is>
      </c>
      <c r="L1731" t="n">
        <v>5</v>
      </c>
      <c r="Q1731" t="inlineStr">
        <is>
          <t>Dieser Charakter ist Geweihter von Nomna, Orthodox (Geweihtengrad 1: Niederer). Der Charakter muss Karma auf mindestens 1 steigern.</t>
        </is>
      </c>
    </row>
    <row r="1732" hidden="1" ht="15.75" customHeight="1" s="48">
      <c r="A1732" t="inlineStr">
        <is>
          <t>talente_geweihter_tepod_stufe_1_orthodox</t>
        </is>
      </c>
      <c r="B1732" t="inlineStr">
        <is>
          <t>Talente</t>
        </is>
      </c>
      <c r="C1732" t="inlineStr">
        <is>
          <t>Geweihter von Tepod, Orthodox – Niederer</t>
        </is>
      </c>
      <c r="F1732" t="inlineStr">
        <is>
          <t>Geweihte</t>
        </is>
      </c>
      <c r="G1732" t="inlineStr">
        <is>
          <t>Auswahl</t>
        </is>
      </c>
      <c r="L1732" t="n">
        <v>5</v>
      </c>
      <c r="Q1732" t="inlineStr">
        <is>
          <t>Dieser Charakter ist Geweihter von Tepod, Orthodox (Geweihtengrad 1: Niederer). Der Charakter muss Karma auf mindestens 1 steigern.</t>
        </is>
      </c>
    </row>
    <row r="1733" hidden="1" ht="15.75" customHeight="1" s="48">
      <c r="A1733" t="inlineStr">
        <is>
          <t>talente_geweihter_isch_stufe_1_orthodox</t>
        </is>
      </c>
      <c r="B1733" t="inlineStr">
        <is>
          <t>Talente</t>
        </is>
      </c>
      <c r="C1733" t="inlineStr">
        <is>
          <t>Geweihter von Isch, Orthodox – Niederer</t>
        </is>
      </c>
      <c r="F1733" t="inlineStr">
        <is>
          <t>Geweihte</t>
        </is>
      </c>
      <c r="G1733" t="inlineStr">
        <is>
          <t>Auswahl</t>
        </is>
      </c>
      <c r="L1733" t="n">
        <v>5</v>
      </c>
      <c r="Q1733" t="inlineStr">
        <is>
          <t>Dieser Charakter ist Geweihter von Isch, Orthodox (Geweihtengrad 1: Niederer). Der Charakter muss Karma auf mindestens 1 steigern.</t>
        </is>
      </c>
    </row>
    <row r="1734" hidden="1" ht="15.75" customHeight="1" s="48">
      <c r="A1734" t="inlineStr">
        <is>
          <t>talente_beidhaendig_pistolenschiessen</t>
        </is>
      </c>
      <c r="B1734" t="inlineStr">
        <is>
          <t>Talente</t>
        </is>
      </c>
      <c r="C1734" t="inlineStr">
        <is>
          <t>Beidhändig Pistolenschießen</t>
        </is>
      </c>
      <c r="F1734" t="inlineStr">
        <is>
          <t>Schütze</t>
        </is>
      </c>
      <c r="G1734" t="inlineStr">
        <is>
          <t>Auswahl</t>
        </is>
      </c>
      <c r="L1734" t="n">
        <v>20</v>
      </c>
      <c r="Q1734" t="inlineStr">
        <is>
          <t>Ermöglicht es dem Schützen, wenn er mit einer Pistole in jeder Hand schießt, mit beiden Pistolen statt auf seinen halben auf seinen vollen Probenwert zu würfeln.</t>
        </is>
      </c>
    </row>
    <row r="1735" ht="15.75" customHeight="1" s="48">
      <c r="A1735" t="inlineStr">
        <is>
          <t>talente_schildkampf</t>
        </is>
      </c>
      <c r="B1735" t="inlineStr">
        <is>
          <t>Talente</t>
        </is>
      </c>
      <c r="C1735" t="inlineStr">
        <is>
          <t>Schildkampf</t>
        </is>
      </c>
      <c r="F1735" t="inlineStr">
        <is>
          <t>Krieger</t>
        </is>
      </c>
      <c r="G1735" t="inlineStr">
        <is>
          <t>Auswahl</t>
        </is>
      </c>
      <c r="L1735" t="n">
        <v>5</v>
      </c>
      <c r="Q1735" t="inlineStr">
        <is>
          <t>Ermöglicht es dem Krieger, wenn er nur mit der linken Hand ein Schild führt, statt auf seinen halben auf seinen vollen Probenwert zu würfeln.</t>
        </is>
      </c>
    </row>
    <row r="1736" hidden="1" ht="15.75" customHeight="1" s="48">
      <c r="A1736" t="inlineStr">
        <is>
          <t>fk_feuerwaffen</t>
        </is>
      </c>
      <c r="B1736" t="inlineStr">
        <is>
          <t>Fernkampf</t>
        </is>
      </c>
      <c r="C1736" t="inlineStr">
        <is>
          <t>Feuerwaffen</t>
        </is>
      </c>
      <c r="G1736" t="inlineStr">
        <is>
          <t>Wert</t>
        </is>
      </c>
      <c r="L1736" t="inlineStr">
        <is>
          <t>wert*18</t>
        </is>
      </c>
    </row>
    <row r="1737" hidden="1" ht="15.75" customHeight="1" s="48">
      <c r="A1737" t="inlineStr">
        <is>
          <t>fk_basis_feuerwaffen</t>
        </is>
      </c>
      <c r="B1737" t="inlineStr">
        <is>
          <t>Fernkampf</t>
        </is>
      </c>
      <c r="C1737" t="inlineStr">
        <is>
          <t>Fernkampf-Basis-Wert Feuerwaffen</t>
        </is>
      </c>
      <c r="G1737" t="inlineStr">
        <is>
          <t>Formel</t>
        </is>
      </c>
      <c r="H1737" t="inlineStr">
        <is>
          <t>(eig_g_sinneschaerfe+eig_k_geschicklichkeit+fk_feuerwaffen)/4</t>
        </is>
      </c>
    </row>
    <row r="1738" hidden="1" ht="15.75" customHeight="1" s="48">
      <c r="A1738" t="inlineStr">
        <is>
          <t>fk_gute_feuerwaffen</t>
        </is>
      </c>
      <c r="B1738" t="inlineStr">
        <is>
          <t>Fernkampf</t>
        </is>
      </c>
      <c r="C1738" t="inlineStr">
        <is>
          <t>Fernkampf-Gute-Wert Feuerwaffen</t>
        </is>
      </c>
      <c r="G1738" t="inlineStr">
        <is>
          <t>Formel</t>
        </is>
      </c>
      <c r="H1738" t="inlineStr">
        <is>
          <t>WENN(talente_fernkampfgeschick_stufe_2&gt;0;1+AUFRUNDEN(fk_basis_feuerwaffen/3;0);WENN(talente_fernkampfgeschick_stufe_1&gt;0;1+AUFRUNDEN(fk_basis_feuerwaffen/4;0);1))</t>
        </is>
      </c>
    </row>
    <row r="1739" hidden="1" ht="15.75" customHeight="1" s="48">
      <c r="A1739" t="inlineStr">
        <is>
          <t>fk_meisterlich_feuerwaffen</t>
        </is>
      </c>
      <c r="B1739" t="inlineStr">
        <is>
          <t>Fernkampf</t>
        </is>
      </c>
      <c r="C1739" t="inlineStr">
        <is>
          <t>Fernkampf-Meisterliche-Wert Feuerwaffen</t>
        </is>
      </c>
      <c r="G1739" t="inlineStr">
        <is>
          <t>Formel</t>
        </is>
      </c>
      <c r="H1739" t="inlineStr">
        <is>
          <t>WENN(talente_fernkampfgeschick_stufe_3&gt;0;21+AUFRUNDEN(fk_basis_feuerwaffen/20;0);21)</t>
        </is>
      </c>
    </row>
    <row r="1740" ht="15.75" customHeight="1" s="48">
      <c r="A1740" t="inlineStr">
        <is>
          <t>talente_kampffertigkeit_erhoehen_feuerwaffen</t>
        </is>
      </c>
      <c r="B1740" t="inlineStr">
        <is>
          <t>Talente</t>
        </is>
      </c>
      <c r="C1740" t="inlineStr">
        <is>
          <t>Kampffertigkeit erhöhen: Feuerwaffen</t>
        </is>
      </c>
      <c r="F1740" s="10" t="inlineStr">
        <is>
          <t>Schütze</t>
        </is>
      </c>
      <c r="G1740" t="inlineStr">
        <is>
          <t>Auswahl</t>
        </is>
      </c>
      <c r="L1740" t="n">
        <v>2</v>
      </c>
      <c r="Q1740" t="inlineStr">
        <is>
          <t>Erhöht das Maximum der Kampffertigkeit um 6 Punkte.</t>
        </is>
      </c>
    </row>
    <row r="1741" hidden="1" ht="15.75" customHeight="1" s="48">
      <c r="A1741" t="inlineStr">
        <is>
          <t>whk_zimmerei</t>
        </is>
      </c>
      <c r="B1741" t="inlineStr">
        <is>
          <t>WHK</t>
        </is>
      </c>
      <c r="C1741" t="inlineStr">
        <is>
          <t>Zimmerei</t>
        </is>
      </c>
      <c r="F1741" t="inlineStr">
        <is>
          <t>Bau</t>
        </is>
      </c>
      <c r="G1741" t="inlineStr">
        <is>
          <t>Wert</t>
        </is>
      </c>
      <c r="L1741" t="inlineStr">
        <is>
          <t>WENN(wert=0;0;10+(wert-1)*wert/2)</t>
        </is>
      </c>
    </row>
    <row r="1742" hidden="1" ht="15.75" customHeight="1" s="48">
      <c r="A1742" t="inlineStr">
        <is>
          <t>whk_spez_zimmerei_dachstuhlbauer</t>
        </is>
      </c>
      <c r="B1742" t="inlineStr">
        <is>
          <t>WHK</t>
        </is>
      </c>
      <c r="C1742" t="inlineStr">
        <is>
          <t>-&gt; Dachstuhlbauer</t>
        </is>
      </c>
      <c r="F1742" t="inlineStr">
        <is>
          <t>Zimmerei</t>
        </is>
      </c>
      <c r="G1742" t="inlineStr">
        <is>
          <t>Wert</t>
        </is>
      </c>
      <c r="L1742" t="inlineStr">
        <is>
          <t>SVERWEIS(wert;'WHK-Spez-Kosten';3;1)</t>
        </is>
      </c>
    </row>
    <row r="1743" hidden="1" ht="15.75" customHeight="1" s="48">
      <c r="A1743" t="inlineStr">
        <is>
          <t>whk_spez_zimmerei_fenster_und_tuerenbauer</t>
        </is>
      </c>
      <c r="B1743" t="inlineStr">
        <is>
          <t>WHK</t>
        </is>
      </c>
      <c r="C1743" t="inlineStr">
        <is>
          <t>-&gt; Fenster- und Türenbauer</t>
        </is>
      </c>
      <c r="F1743" t="inlineStr">
        <is>
          <t>Zimmerei</t>
        </is>
      </c>
      <c r="G1743" t="inlineStr">
        <is>
          <t>Wert</t>
        </is>
      </c>
      <c r="L1743" t="inlineStr">
        <is>
          <t>SVERWEIS(wert;'WHK-Spez-Kosten';3;1)</t>
        </is>
      </c>
    </row>
    <row r="1744" hidden="1" ht="15.75" customHeight="1" s="48">
      <c r="A1744" t="inlineStr">
        <is>
          <t>whk_spez_zimmerei_schindelmacher</t>
        </is>
      </c>
      <c r="B1744" t="inlineStr">
        <is>
          <t>WHK</t>
        </is>
      </c>
      <c r="C1744" t="inlineStr">
        <is>
          <t>-&gt; Schindelmacher</t>
        </is>
      </c>
      <c r="F1744" t="inlineStr">
        <is>
          <t>Zimmerei</t>
        </is>
      </c>
      <c r="G1744" t="inlineStr">
        <is>
          <t>Wert</t>
        </is>
      </c>
      <c r="L1744" t="inlineStr">
        <is>
          <t>SVERWEIS(wert;'WHK-Spez-Kosten';3;1)</t>
        </is>
      </c>
    </row>
    <row r="1745" hidden="1" ht="15.75" customHeight="1" s="48">
      <c r="A1745" t="inlineStr">
        <is>
          <t>whk_spez_zimmerei_fachwerkbauer</t>
        </is>
      </c>
      <c r="B1745" t="inlineStr">
        <is>
          <t>WHK</t>
        </is>
      </c>
      <c r="C1745" t="inlineStr">
        <is>
          <t>-&gt; Fachwerkbauer</t>
        </is>
      </c>
      <c r="F1745" t="inlineStr">
        <is>
          <t>Zimmerei</t>
        </is>
      </c>
      <c r="G1745" t="inlineStr">
        <is>
          <t>Wert</t>
        </is>
      </c>
      <c r="L1745" t="inlineStr">
        <is>
          <t>SVERWEIS(wert;'WHK-Spez-Kosten';3;1)</t>
        </is>
      </c>
    </row>
    <row r="1746" hidden="1" ht="15.75" customHeight="1" s="48">
      <c r="A1746" t="inlineStr">
        <is>
          <t>whk_maurerhandwerk</t>
        </is>
      </c>
      <c r="B1746" t="inlineStr">
        <is>
          <t>WHK</t>
        </is>
      </c>
      <c r="C1746" t="inlineStr">
        <is>
          <t>Maurerhandwerk</t>
        </is>
      </c>
      <c r="F1746" t="inlineStr">
        <is>
          <t>Bau</t>
        </is>
      </c>
      <c r="G1746" t="inlineStr">
        <is>
          <t>Wert</t>
        </is>
      </c>
      <c r="L1746" t="inlineStr">
        <is>
          <t>WENN(wert=0;0;10+(wert-1)*wert/2)</t>
        </is>
      </c>
    </row>
    <row r="1747" hidden="1" ht="15.75" customHeight="1" s="48">
      <c r="A1747" t="inlineStr">
        <is>
          <t>whk_spez_maurerhandwerk_ziegelmaurer</t>
        </is>
      </c>
      <c r="B1747" t="inlineStr">
        <is>
          <t>WHK</t>
        </is>
      </c>
      <c r="C1747" t="inlineStr">
        <is>
          <t>-&gt; Ziegelmaurer</t>
        </is>
      </c>
      <c r="F1747" t="inlineStr">
        <is>
          <t>Maurerhandwerk</t>
        </is>
      </c>
      <c r="G1747" t="inlineStr">
        <is>
          <t>Wert</t>
        </is>
      </c>
      <c r="L1747" t="inlineStr">
        <is>
          <t>SVERWEIS(wert;'WHK-Spez-Kosten';3;1)</t>
        </is>
      </c>
    </row>
    <row r="1748" hidden="1" ht="15.75" customHeight="1" s="48">
      <c r="A1748" t="inlineStr">
        <is>
          <t>whk_spez_maurerhandwerk_stuckateur</t>
        </is>
      </c>
      <c r="B1748" t="inlineStr">
        <is>
          <t>WHK</t>
        </is>
      </c>
      <c r="C1748" t="inlineStr">
        <is>
          <t>-&gt; Stuckateur</t>
        </is>
      </c>
      <c r="F1748" t="inlineStr">
        <is>
          <t>Maurerhandwerk</t>
        </is>
      </c>
      <c r="G1748" t="inlineStr">
        <is>
          <t>Wert</t>
        </is>
      </c>
      <c r="L1748" t="inlineStr">
        <is>
          <t>SVERWEIS(wert;'WHK-Spez-Kosten';3;1)</t>
        </is>
      </c>
    </row>
    <row r="1749" hidden="1" ht="15.75" customHeight="1" s="48">
      <c r="A1749" t="inlineStr">
        <is>
          <t>whk_spez_maurerhandwerk_dachdecker</t>
        </is>
      </c>
      <c r="B1749" t="inlineStr">
        <is>
          <t>WHK</t>
        </is>
      </c>
      <c r="C1749" t="inlineStr">
        <is>
          <t>-&gt; Dachdecker</t>
        </is>
      </c>
      <c r="F1749" t="inlineStr">
        <is>
          <t>Maurerhandwerk</t>
        </is>
      </c>
      <c r="G1749" t="inlineStr">
        <is>
          <t>Wert</t>
        </is>
      </c>
      <c r="L1749" t="inlineStr">
        <is>
          <t>SVERWEIS(wert;'WHK-Spez-Kosten';3;1)</t>
        </is>
      </c>
    </row>
    <row r="1750" hidden="1" ht="15.75" customHeight="1" s="48">
      <c r="A1750" t="inlineStr">
        <is>
          <t>whk_spez_maurerhandwerk_fliesenleger</t>
        </is>
      </c>
      <c r="B1750" t="inlineStr">
        <is>
          <t>WHK</t>
        </is>
      </c>
      <c r="C1750" t="inlineStr">
        <is>
          <t>-&gt; Fliesenleger</t>
        </is>
      </c>
      <c r="F1750" t="inlineStr">
        <is>
          <t>Maurerhandwerk</t>
        </is>
      </c>
      <c r="G1750" t="inlineStr">
        <is>
          <t>Wert</t>
        </is>
      </c>
      <c r="L1750" t="inlineStr">
        <is>
          <t>SVERWEIS(wert;'WHK-Spez-Kosten';3;1)</t>
        </is>
      </c>
    </row>
    <row r="1751" hidden="1" ht="15.75" customHeight="1" s="48">
      <c r="A1751" t="inlineStr">
        <is>
          <t>whk_architektur</t>
        </is>
      </c>
      <c r="B1751" t="inlineStr">
        <is>
          <t>WHK</t>
        </is>
      </c>
      <c r="C1751" t="inlineStr">
        <is>
          <t>Architektur</t>
        </is>
      </c>
      <c r="F1751" t="inlineStr">
        <is>
          <t>Bau</t>
        </is>
      </c>
      <c r="G1751" t="inlineStr">
        <is>
          <t>Wert</t>
        </is>
      </c>
      <c r="L1751" t="inlineStr">
        <is>
          <t>WENN(wert=0;0;10+(wert-1)*wert/2)</t>
        </is>
      </c>
    </row>
    <row r="1752" hidden="1" ht="15.75" customHeight="1" s="48">
      <c r="A1752" t="inlineStr">
        <is>
          <t>whk_spez_architektur_brueckenbauingenieur</t>
        </is>
      </c>
      <c r="B1752" t="inlineStr">
        <is>
          <t>WHK</t>
        </is>
      </c>
      <c r="C1752" t="inlineStr">
        <is>
          <t>-&gt; Brückenbauingenieur</t>
        </is>
      </c>
      <c r="F1752" t="inlineStr">
        <is>
          <t>Architektur</t>
        </is>
      </c>
      <c r="G1752" t="inlineStr">
        <is>
          <t>Wert</t>
        </is>
      </c>
      <c r="L1752" t="inlineStr">
        <is>
          <t>SVERWEIS(wert;'WHK-Spez-Kosten';3;1)</t>
        </is>
      </c>
    </row>
    <row r="1753" hidden="1" ht="15.75" customHeight="1" s="48">
      <c r="A1753" t="inlineStr">
        <is>
          <t>whk_spez_architektur_festungsbaumeister</t>
        </is>
      </c>
      <c r="B1753" t="inlineStr">
        <is>
          <t>WHK</t>
        </is>
      </c>
      <c r="C1753" t="inlineStr">
        <is>
          <t>-&gt; Festungsbaumeister</t>
        </is>
      </c>
      <c r="F1753" t="inlineStr">
        <is>
          <t>Architektur</t>
        </is>
      </c>
      <c r="G1753" t="inlineStr">
        <is>
          <t>Wert</t>
        </is>
      </c>
      <c r="L1753" t="inlineStr">
        <is>
          <t>SVERWEIS(wert;'WHK-Spez-Kosten';3;1)</t>
        </is>
      </c>
    </row>
    <row r="1754" hidden="1" ht="15.75" customHeight="1" s="48">
      <c r="A1754" t="inlineStr">
        <is>
          <t>whk_spez_architektur_stadtplaner</t>
        </is>
      </c>
      <c r="B1754" t="inlineStr">
        <is>
          <t>WHK</t>
        </is>
      </c>
      <c r="C1754" t="inlineStr">
        <is>
          <t>-&gt; Stadtplaner</t>
        </is>
      </c>
      <c r="F1754" t="inlineStr">
        <is>
          <t>Architektur</t>
        </is>
      </c>
      <c r="G1754" t="inlineStr">
        <is>
          <t>Wert</t>
        </is>
      </c>
      <c r="L1754" t="inlineStr">
        <is>
          <t>SVERWEIS(wert;'WHK-Spez-Kosten';3;1)</t>
        </is>
      </c>
    </row>
    <row r="1755" hidden="1" ht="15.75" customHeight="1" s="48">
      <c r="A1755" t="inlineStr">
        <is>
          <t>whk_spez_architektur_baumeister</t>
        </is>
      </c>
      <c r="B1755" t="inlineStr">
        <is>
          <t>WHK</t>
        </is>
      </c>
      <c r="C1755" t="inlineStr">
        <is>
          <t>-&gt; Baumeister</t>
        </is>
      </c>
      <c r="F1755" t="inlineStr">
        <is>
          <t>Architektur</t>
        </is>
      </c>
      <c r="G1755" t="inlineStr">
        <is>
          <t>Wert</t>
        </is>
      </c>
      <c r="L1755" t="inlineStr">
        <is>
          <t>SVERWEIS(wert;'WHK-Spez-Kosten';3;1)</t>
        </is>
      </c>
    </row>
    <row r="1756" hidden="1" ht="15.75" customHeight="1" s="48">
      <c r="A1756" t="inlineStr">
        <is>
          <t>whk_holzbearbeitung</t>
        </is>
      </c>
      <c r="B1756" t="inlineStr">
        <is>
          <t>WHK</t>
        </is>
      </c>
      <c r="C1756" t="inlineStr">
        <is>
          <t>Holzbearbeitung</t>
        </is>
      </c>
      <c r="F1756" t="inlineStr">
        <is>
          <t>Bau</t>
        </is>
      </c>
      <c r="G1756" t="inlineStr">
        <is>
          <t>Wert</t>
        </is>
      </c>
      <c r="L1756" t="inlineStr">
        <is>
          <t>WENN(wert=0;0;10+(wert-1)*wert/2)</t>
        </is>
      </c>
    </row>
    <row r="1757" hidden="1" ht="15.75" customHeight="1" s="48">
      <c r="A1757" t="inlineStr">
        <is>
          <t>whk_spez_holzbearbeitung_drechsler</t>
        </is>
      </c>
      <c r="B1757" t="inlineStr">
        <is>
          <t>WHK</t>
        </is>
      </c>
      <c r="C1757" t="inlineStr">
        <is>
          <t>-&gt; Drechsler</t>
        </is>
      </c>
      <c r="F1757" t="inlineStr">
        <is>
          <t>Holzbearbeitung</t>
        </is>
      </c>
      <c r="G1757" t="inlineStr">
        <is>
          <t>Wert</t>
        </is>
      </c>
      <c r="L1757" t="inlineStr">
        <is>
          <t>SVERWEIS(wert;'WHK-Spez-Kosten';3;1)</t>
        </is>
      </c>
    </row>
    <row r="1758" hidden="1" ht="15.75" customHeight="1" s="48">
      <c r="A1758" t="inlineStr">
        <is>
          <t>whk_spez_holzbearbeitung_buerstenbinder</t>
        </is>
      </c>
      <c r="B1758" t="inlineStr">
        <is>
          <t>WHK</t>
        </is>
      </c>
      <c r="C1758" t="inlineStr">
        <is>
          <t>-&gt; Bürstenbinder</t>
        </is>
      </c>
      <c r="F1758" t="inlineStr">
        <is>
          <t>Holzbearbeitung</t>
        </is>
      </c>
      <c r="G1758" t="inlineStr">
        <is>
          <t>Wert</t>
        </is>
      </c>
      <c r="L1758" t="inlineStr">
        <is>
          <t>SVERWEIS(wert;'WHK-Spez-Kosten';3;1)</t>
        </is>
      </c>
    </row>
    <row r="1759" hidden="1" ht="15.75" customHeight="1" s="48">
      <c r="A1759" t="inlineStr">
        <is>
          <t>whk_spez_holzbearbeitung_fassbinder</t>
        </is>
      </c>
      <c r="B1759" t="inlineStr">
        <is>
          <t>WHK</t>
        </is>
      </c>
      <c r="C1759" t="inlineStr">
        <is>
          <t>-&gt; Fassbinder</t>
        </is>
      </c>
      <c r="F1759" t="inlineStr">
        <is>
          <t>Holzbearbeitung</t>
        </is>
      </c>
      <c r="G1759" t="inlineStr">
        <is>
          <t>Wert</t>
        </is>
      </c>
      <c r="L1759" t="inlineStr">
        <is>
          <t>SVERWEIS(wert;'WHK-Spez-Kosten';3;1)</t>
        </is>
      </c>
    </row>
    <row r="1760" hidden="1" ht="15.75" customHeight="1" s="48">
      <c r="A1760" t="inlineStr">
        <is>
          <t>whk_spez_holzbearbeitung_korbflechter</t>
        </is>
      </c>
      <c r="B1760" t="inlineStr">
        <is>
          <t>WHK</t>
        </is>
      </c>
      <c r="C1760" t="inlineStr">
        <is>
          <t>-&gt; Korbflechter</t>
        </is>
      </c>
      <c r="F1760" t="inlineStr">
        <is>
          <t>Holzbearbeitung</t>
        </is>
      </c>
      <c r="G1760" t="inlineStr">
        <is>
          <t>Wert</t>
        </is>
      </c>
      <c r="L1760" t="inlineStr">
        <is>
          <t>SVERWEIS(wert;'WHK-Spez-Kosten';3;1)</t>
        </is>
      </c>
    </row>
    <row r="1761" hidden="1" ht="15.75" customHeight="1" s="48">
      <c r="A1761" t="inlineStr">
        <is>
          <t>whk_spez_holzbearbeitung_koehler</t>
        </is>
      </c>
      <c r="B1761" t="inlineStr">
        <is>
          <t>WHK</t>
        </is>
      </c>
      <c r="C1761" t="inlineStr">
        <is>
          <t>-&gt; Köhler</t>
        </is>
      </c>
      <c r="F1761" t="inlineStr">
        <is>
          <t>Holzbearbeitung</t>
        </is>
      </c>
      <c r="G1761" t="inlineStr">
        <is>
          <t>Wert</t>
        </is>
      </c>
      <c r="L1761" t="inlineStr">
        <is>
          <t>SVERWEIS(wert;'WHK-Spez-Kosten';3;1)</t>
        </is>
      </c>
    </row>
    <row r="1762" hidden="1" ht="15.75" customHeight="1" s="48">
      <c r="A1762" t="inlineStr">
        <is>
          <t>whk_spez_holzbearbeitung_schnitzer</t>
        </is>
      </c>
      <c r="B1762" t="inlineStr">
        <is>
          <t>WHK</t>
        </is>
      </c>
      <c r="C1762" t="inlineStr">
        <is>
          <t>-&gt; Schnitzer</t>
        </is>
      </c>
      <c r="F1762" t="inlineStr">
        <is>
          <t>Holzbearbeitung</t>
        </is>
      </c>
      <c r="G1762" t="inlineStr">
        <is>
          <t>Wert</t>
        </is>
      </c>
      <c r="L1762" t="inlineStr">
        <is>
          <t>SVERWEIS(wert;'WHK-Spez-Kosten';3;1)</t>
        </is>
      </c>
    </row>
    <row r="1763" hidden="1" ht="15.75" customHeight="1" s="48">
      <c r="A1763" t="inlineStr">
        <is>
          <t>whk_spez_holzbearbeitung_tischler</t>
        </is>
      </c>
      <c r="B1763" t="inlineStr">
        <is>
          <t>WHK</t>
        </is>
      </c>
      <c r="C1763" t="inlineStr">
        <is>
          <t>-&gt; Tischler</t>
        </is>
      </c>
      <c r="F1763" t="inlineStr">
        <is>
          <t>Holzbearbeitung</t>
        </is>
      </c>
      <c r="G1763" t="inlineStr">
        <is>
          <t>Wert</t>
        </is>
      </c>
      <c r="L1763" t="inlineStr">
        <is>
          <t>SVERWEIS(wert;'WHK-Spez-Kosten';3;1)</t>
        </is>
      </c>
    </row>
    <row r="1764" hidden="1" ht="15.75" customHeight="1" s="48">
      <c r="A1764" t="inlineStr">
        <is>
          <t>whk_spez_holzbearbeitung_wagner</t>
        </is>
      </c>
      <c r="B1764" t="inlineStr">
        <is>
          <t>WHK</t>
        </is>
      </c>
      <c r="C1764" t="inlineStr">
        <is>
          <t>-&gt; Wagner</t>
        </is>
      </c>
      <c r="F1764" t="inlineStr">
        <is>
          <t>Holzbearbeitung</t>
        </is>
      </c>
      <c r="G1764" t="inlineStr">
        <is>
          <t>Wert</t>
        </is>
      </c>
      <c r="L1764" t="inlineStr">
        <is>
          <t>SVERWEIS(wert;'WHK-Spez-Kosten';3;1)</t>
        </is>
      </c>
    </row>
    <row r="1765" hidden="1" ht="15.75" customHeight="1" s="48">
      <c r="A1765" t="inlineStr">
        <is>
          <t>whk_spez_holzbearbeitung_holzfaeller</t>
        </is>
      </c>
      <c r="B1765" t="inlineStr">
        <is>
          <t>WHK</t>
        </is>
      </c>
      <c r="C1765" t="inlineStr">
        <is>
          <t>-&gt; Holzfäller</t>
        </is>
      </c>
      <c r="F1765" t="inlineStr">
        <is>
          <t>Holzbearbeitung</t>
        </is>
      </c>
      <c r="G1765" t="inlineStr">
        <is>
          <t>Wert</t>
        </is>
      </c>
      <c r="L1765" t="inlineStr">
        <is>
          <t>SVERWEIS(wert;'WHK-Spez-Kosten';3;1)</t>
        </is>
      </c>
    </row>
    <row r="1766" hidden="1" ht="15.75" customHeight="1" s="48">
      <c r="A1766" t="inlineStr">
        <is>
          <t>whk_bootsbauer</t>
        </is>
      </c>
      <c r="B1766" t="inlineStr">
        <is>
          <t>WHK</t>
        </is>
      </c>
      <c r="C1766" t="inlineStr">
        <is>
          <t>Bootsbauer</t>
        </is>
      </c>
      <c r="F1766" t="inlineStr">
        <is>
          <t>Bau</t>
        </is>
      </c>
      <c r="G1766" t="inlineStr">
        <is>
          <t>Wert</t>
        </is>
      </c>
      <c r="L1766" t="inlineStr">
        <is>
          <t>WENN(wert=0;0;10+(wert-1)*wert/2)</t>
        </is>
      </c>
    </row>
    <row r="1767" hidden="1" ht="15.75" customHeight="1" s="48">
      <c r="A1767" t="inlineStr">
        <is>
          <t>whk_spez_bootsbauer_grossschiffbauer</t>
        </is>
      </c>
      <c r="B1767" t="inlineStr">
        <is>
          <t>WHK</t>
        </is>
      </c>
      <c r="C1767" t="inlineStr">
        <is>
          <t>-&gt; Großschiffbauer</t>
        </is>
      </c>
      <c r="F1767" t="inlineStr">
        <is>
          <t>Bootsbauer</t>
        </is>
      </c>
      <c r="G1767" t="inlineStr">
        <is>
          <t>Wert</t>
        </is>
      </c>
      <c r="L1767" t="inlineStr">
        <is>
          <t>SVERWEIS(wert;'WHK-Spez-Kosten';3;1)</t>
        </is>
      </c>
    </row>
    <row r="1768" hidden="1" ht="15.75" customHeight="1" s="48">
      <c r="A1768" t="inlineStr">
        <is>
          <t>whk_spez_bootsbauer_kleinbootbauer</t>
        </is>
      </c>
      <c r="B1768" t="inlineStr">
        <is>
          <t>WHK</t>
        </is>
      </c>
      <c r="C1768" t="inlineStr">
        <is>
          <t>-&gt; Kleinbootbauer</t>
        </is>
      </c>
      <c r="F1768" t="inlineStr">
        <is>
          <t>Bootsbauer</t>
        </is>
      </c>
      <c r="G1768" t="inlineStr">
        <is>
          <t>Wert</t>
        </is>
      </c>
      <c r="L1768" t="inlineStr">
        <is>
          <t>SVERWEIS(wert;'WHK-Spez-Kosten';3;1)</t>
        </is>
      </c>
    </row>
    <row r="1769" hidden="1" ht="15.75" customHeight="1" s="48">
      <c r="A1769" t="inlineStr">
        <is>
          <t>whk_spez_bootsbauer_galeerenbauer</t>
        </is>
      </c>
      <c r="B1769" t="inlineStr">
        <is>
          <t>WHK</t>
        </is>
      </c>
      <c r="C1769" t="inlineStr">
        <is>
          <t>-&gt; Galeerenbauer</t>
        </is>
      </c>
      <c r="F1769" t="inlineStr">
        <is>
          <t>Bootsbauer</t>
        </is>
      </c>
      <c r="G1769" t="inlineStr">
        <is>
          <t>Wert</t>
        </is>
      </c>
      <c r="L1769" t="inlineStr">
        <is>
          <t>SVERWEIS(wert;'WHK-Spez-Kosten';3;1)</t>
        </is>
      </c>
    </row>
    <row r="1770" hidden="1" ht="15.75" customHeight="1" s="48">
      <c r="A1770" t="inlineStr">
        <is>
          <t>whk_glaser</t>
        </is>
      </c>
      <c r="B1770" t="inlineStr">
        <is>
          <t>WHK</t>
        </is>
      </c>
      <c r="C1770" t="inlineStr">
        <is>
          <t>Glaser</t>
        </is>
      </c>
      <c r="F1770" t="inlineStr">
        <is>
          <t>Bau</t>
        </is>
      </c>
      <c r="G1770" t="inlineStr">
        <is>
          <t>Wert</t>
        </is>
      </c>
      <c r="L1770" t="inlineStr">
        <is>
          <t>WENN(wert=0;0;10+(wert-1)*wert/2)</t>
        </is>
      </c>
    </row>
    <row r="1771" hidden="1" ht="15.75" customHeight="1" s="48">
      <c r="A1771" t="inlineStr">
        <is>
          <t>whk_spez_glaser_apparateglaser</t>
        </is>
      </c>
      <c r="B1771" t="inlineStr">
        <is>
          <t>WHK</t>
        </is>
      </c>
      <c r="C1771" t="inlineStr">
        <is>
          <t>-&gt; Apparateglaser</t>
        </is>
      </c>
      <c r="F1771" t="inlineStr">
        <is>
          <t>Glaser</t>
        </is>
      </c>
      <c r="G1771" t="inlineStr">
        <is>
          <t>Wert</t>
        </is>
      </c>
      <c r="L1771" t="inlineStr">
        <is>
          <t>SVERWEIS(wert;'WHK-Spez-Kosten';3;1)</t>
        </is>
      </c>
    </row>
    <row r="1772" hidden="1" ht="15.75" customHeight="1" s="48">
      <c r="A1772" t="inlineStr">
        <is>
          <t>whk_spez_glaser_glasblaeser</t>
        </is>
      </c>
      <c r="B1772" t="inlineStr">
        <is>
          <t>WHK</t>
        </is>
      </c>
      <c r="C1772" t="inlineStr">
        <is>
          <t>-&gt; Glasbläser</t>
        </is>
      </c>
      <c r="F1772" t="inlineStr">
        <is>
          <t>Glaser</t>
        </is>
      </c>
      <c r="G1772" t="inlineStr">
        <is>
          <t>Wert</t>
        </is>
      </c>
      <c r="L1772" t="inlineStr">
        <is>
          <t>SVERWEIS(wert;'WHK-Spez-Kosten';3;1)</t>
        </is>
      </c>
    </row>
    <row r="1773" hidden="1" ht="15.75" customHeight="1" s="48">
      <c r="A1773" t="inlineStr">
        <is>
          <t>whk_spez_glaser_kristallschleifer</t>
        </is>
      </c>
      <c r="B1773" t="inlineStr">
        <is>
          <t>WHK</t>
        </is>
      </c>
      <c r="C1773" t="inlineStr">
        <is>
          <t>-&gt; Kristallschleifer</t>
        </is>
      </c>
      <c r="F1773" t="inlineStr">
        <is>
          <t>Glaser</t>
        </is>
      </c>
      <c r="G1773" t="inlineStr">
        <is>
          <t>Wert</t>
        </is>
      </c>
      <c r="L1773" t="inlineStr">
        <is>
          <t>SVERWEIS(wert;'WHK-Spez-Kosten';3;1)</t>
        </is>
      </c>
    </row>
    <row r="1774" hidden="1" ht="15.75" customHeight="1" s="48">
      <c r="A1774" t="inlineStr">
        <is>
          <t>whk_spez_glaser_optiker</t>
        </is>
      </c>
      <c r="B1774" t="inlineStr">
        <is>
          <t>WHK</t>
        </is>
      </c>
      <c r="C1774" t="inlineStr">
        <is>
          <t>-&gt; Optiker</t>
        </is>
      </c>
      <c r="F1774" t="inlineStr">
        <is>
          <t>Glaser</t>
        </is>
      </c>
      <c r="G1774" t="inlineStr">
        <is>
          <t>Wert</t>
        </is>
      </c>
      <c r="L1774" t="inlineStr">
        <is>
          <t>SVERWEIS(wert;'WHK-Spez-Kosten';3;1)</t>
        </is>
      </c>
    </row>
    <row r="1775" hidden="1" ht="15.75" customHeight="1" s="48">
      <c r="A1775" t="inlineStr">
        <is>
          <t>whk_spez_glaser_fensterglaser</t>
        </is>
      </c>
      <c r="B1775" t="inlineStr">
        <is>
          <t>WHK</t>
        </is>
      </c>
      <c r="C1775" t="inlineStr">
        <is>
          <t>-&gt; Fensterglaser</t>
        </is>
      </c>
      <c r="F1775" t="inlineStr">
        <is>
          <t>Glaser</t>
        </is>
      </c>
      <c r="G1775" t="inlineStr">
        <is>
          <t>Wert</t>
        </is>
      </c>
      <c r="L1775" t="inlineStr">
        <is>
          <t>SVERWEIS(wert;'WHK-Spez-Kosten';3;1)</t>
        </is>
      </c>
    </row>
    <row r="1776" hidden="1" ht="15.75" customHeight="1" s="48">
      <c r="A1776" t="inlineStr">
        <is>
          <t>whk_maler</t>
        </is>
      </c>
      <c r="B1776" t="inlineStr">
        <is>
          <t>WHK</t>
        </is>
      </c>
      <c r="C1776" t="inlineStr">
        <is>
          <t>Maler</t>
        </is>
      </c>
      <c r="F1776" t="inlineStr">
        <is>
          <t>Bau</t>
        </is>
      </c>
      <c r="G1776" t="inlineStr">
        <is>
          <t>Wert</t>
        </is>
      </c>
      <c r="L1776" t="inlineStr">
        <is>
          <t>WENN(wert=0;0;10+(wert-1)*wert/2)</t>
        </is>
      </c>
    </row>
    <row r="1777" hidden="1" ht="15.75" customHeight="1" s="48">
      <c r="A1777" t="inlineStr">
        <is>
          <t>whk_spez_maler_fassadenmaler</t>
        </is>
      </c>
      <c r="B1777" t="inlineStr">
        <is>
          <t>WHK</t>
        </is>
      </c>
      <c r="C1777" t="inlineStr">
        <is>
          <t>-&gt; Fassadenmaler</t>
        </is>
      </c>
      <c r="F1777" t="inlineStr">
        <is>
          <t>Maler</t>
        </is>
      </c>
      <c r="G1777" t="inlineStr">
        <is>
          <t>Wert</t>
        </is>
      </c>
      <c r="L1777" t="inlineStr">
        <is>
          <t>SVERWEIS(wert;'WHK-Spez-Kosten';3;1)</t>
        </is>
      </c>
    </row>
    <row r="1778" hidden="1" ht="15.75" customHeight="1" s="48">
      <c r="A1778" t="inlineStr">
        <is>
          <t>whk_spez_maler_anstreicher</t>
        </is>
      </c>
      <c r="B1778" t="inlineStr">
        <is>
          <t>WHK</t>
        </is>
      </c>
      <c r="C1778" t="inlineStr">
        <is>
          <t>-&gt; Anstreicher</t>
        </is>
      </c>
      <c r="F1778" t="inlineStr">
        <is>
          <t>Maler</t>
        </is>
      </c>
      <c r="G1778" t="inlineStr">
        <is>
          <t>Wert</t>
        </is>
      </c>
      <c r="L1778" t="inlineStr">
        <is>
          <t>SVERWEIS(wert;'WHK-Spez-Kosten';3;1)</t>
        </is>
      </c>
    </row>
    <row r="1779" hidden="1" ht="15.75" customHeight="1" s="48">
      <c r="A1779" t="inlineStr">
        <is>
          <t>whk_spez_maler_tapezierer</t>
        </is>
      </c>
      <c r="B1779" t="inlineStr">
        <is>
          <t>WHK</t>
        </is>
      </c>
      <c r="C1779" t="inlineStr">
        <is>
          <t>-&gt; Tapezierer</t>
        </is>
      </c>
      <c r="F1779" t="inlineStr">
        <is>
          <t>Maler</t>
        </is>
      </c>
      <c r="G1779" t="inlineStr">
        <is>
          <t>Wert</t>
        </is>
      </c>
      <c r="L1779" t="inlineStr">
        <is>
          <t>SVERWEIS(wert;'WHK-Spez-Kosten';3;1)</t>
        </is>
      </c>
    </row>
    <row r="1780" hidden="1" ht="15.75" customHeight="1" s="48">
      <c r="A1780" t="inlineStr">
        <is>
          <t>whk_schmied</t>
        </is>
      </c>
      <c r="B1780" t="inlineStr">
        <is>
          <t>WHK</t>
        </is>
      </c>
      <c r="C1780" t="inlineStr">
        <is>
          <t>Schmied</t>
        </is>
      </c>
      <c r="F1780" t="inlineStr">
        <is>
          <t>Metall</t>
        </is>
      </c>
      <c r="G1780" t="inlineStr">
        <is>
          <t>Wert</t>
        </is>
      </c>
      <c r="L1780" t="inlineStr">
        <is>
          <t>WENN(wert=0;0;10+(wert-1)*wert/2)</t>
        </is>
      </c>
    </row>
    <row r="1781" hidden="1" ht="15.75" customHeight="1" s="48">
      <c r="A1781" t="inlineStr">
        <is>
          <t>whk_spez_schmied_feinschmied</t>
        </is>
      </c>
      <c r="B1781" t="inlineStr">
        <is>
          <t>WHK</t>
        </is>
      </c>
      <c r="C1781" t="inlineStr">
        <is>
          <t>-&gt; Feinschmied</t>
        </is>
      </c>
      <c r="F1781" t="inlineStr">
        <is>
          <t>Schmied</t>
        </is>
      </c>
      <c r="G1781" t="inlineStr">
        <is>
          <t>Wert</t>
        </is>
      </c>
      <c r="L1781" t="inlineStr">
        <is>
          <t>SVERWEIS(wert;'WHK-Spez-Kosten';3;1)</t>
        </is>
      </c>
    </row>
    <row r="1782" hidden="1" ht="15.75" customHeight="1" s="48">
      <c r="A1782" t="inlineStr">
        <is>
          <t>whk_spez_schmied_grobschmied</t>
        </is>
      </c>
      <c r="B1782" t="inlineStr">
        <is>
          <t>WHK</t>
        </is>
      </c>
      <c r="C1782" t="inlineStr">
        <is>
          <t>-&gt; Grobschmied</t>
        </is>
      </c>
      <c r="F1782" t="inlineStr">
        <is>
          <t>Schmied</t>
        </is>
      </c>
      <c r="G1782" t="inlineStr">
        <is>
          <t>Wert</t>
        </is>
      </c>
      <c r="L1782" t="inlineStr">
        <is>
          <t>SVERWEIS(wert;'WHK-Spez-Kosten';3;1)</t>
        </is>
      </c>
    </row>
    <row r="1783" hidden="1" ht="15.75" customHeight="1" s="48">
      <c r="A1783" t="inlineStr">
        <is>
          <t>whk_spez_schmied_hufschmied</t>
        </is>
      </c>
      <c r="B1783" t="inlineStr">
        <is>
          <t>WHK</t>
        </is>
      </c>
      <c r="C1783" t="inlineStr">
        <is>
          <t>-&gt; Hufschmied</t>
        </is>
      </c>
      <c r="F1783" t="inlineStr">
        <is>
          <t>Schmied</t>
        </is>
      </c>
      <c r="G1783" t="inlineStr">
        <is>
          <t>Wert</t>
        </is>
      </c>
      <c r="L1783" t="inlineStr">
        <is>
          <t>SVERWEIS(wert;'WHK-Spez-Kosten';3;1)</t>
        </is>
      </c>
    </row>
    <row r="1784" hidden="1" ht="15.75" customHeight="1" s="48">
      <c r="A1784" t="inlineStr">
        <is>
          <t>whk_buntmetallschmied</t>
        </is>
      </c>
      <c r="B1784" t="inlineStr">
        <is>
          <t>WHK</t>
        </is>
      </c>
      <c r="C1784" t="inlineStr">
        <is>
          <t>Buntmetallschmied</t>
        </is>
      </c>
      <c r="F1784" t="inlineStr">
        <is>
          <t>Metall</t>
        </is>
      </c>
      <c r="G1784" t="inlineStr">
        <is>
          <t>Wert</t>
        </is>
      </c>
      <c r="L1784" t="inlineStr">
        <is>
          <t>WENN(wert=0;0;10+(wert-1)*wert/2)</t>
        </is>
      </c>
    </row>
    <row r="1785" hidden="1" ht="15.75" customHeight="1" s="48">
      <c r="A1785" t="inlineStr">
        <is>
          <t>whk_spez_buntmetallschmied_bronzeschmied</t>
        </is>
      </c>
      <c r="B1785" t="inlineStr">
        <is>
          <t>WHK</t>
        </is>
      </c>
      <c r="C1785" t="inlineStr">
        <is>
          <t>-&gt; Bronzeschmied</t>
        </is>
      </c>
      <c r="F1785" t="inlineStr">
        <is>
          <t>Buntmetallschmied</t>
        </is>
      </c>
      <c r="G1785" t="inlineStr">
        <is>
          <t>Wert</t>
        </is>
      </c>
      <c r="L1785" t="inlineStr">
        <is>
          <t>SVERWEIS(wert;'WHK-Spez-Kosten';3;1)</t>
        </is>
      </c>
    </row>
    <row r="1786" hidden="1" ht="15.75" customHeight="1" s="48">
      <c r="A1786" t="inlineStr">
        <is>
          <t>whk_spez_buntmetallschmied_goldschmied</t>
        </is>
      </c>
      <c r="B1786" t="inlineStr">
        <is>
          <t>WHK</t>
        </is>
      </c>
      <c r="C1786" t="inlineStr">
        <is>
          <t>-&gt; Goldschmied</t>
        </is>
      </c>
      <c r="F1786" t="inlineStr">
        <is>
          <t>Buntmetallschmied</t>
        </is>
      </c>
      <c r="G1786" t="inlineStr">
        <is>
          <t>Wert</t>
        </is>
      </c>
      <c r="L1786" t="inlineStr">
        <is>
          <t>SVERWEIS(wert;'WHK-Spez-Kosten';3;1)</t>
        </is>
      </c>
    </row>
    <row r="1787" hidden="1" ht="15.75" customHeight="1" s="48">
      <c r="A1787" t="inlineStr">
        <is>
          <t>whk_spez_buntmetallschmied_kupferschmied</t>
        </is>
      </c>
      <c r="B1787" t="inlineStr">
        <is>
          <t>WHK</t>
        </is>
      </c>
      <c r="C1787" t="inlineStr">
        <is>
          <t>-&gt; Kupferschmied</t>
        </is>
      </c>
      <c r="F1787" t="inlineStr">
        <is>
          <t>Buntmetallschmied</t>
        </is>
      </c>
      <c r="G1787" t="inlineStr">
        <is>
          <t>Wert</t>
        </is>
      </c>
      <c r="L1787" t="inlineStr">
        <is>
          <t>SVERWEIS(wert;'WHK-Spez-Kosten';3;1)</t>
        </is>
      </c>
    </row>
    <row r="1788" hidden="1" ht="15.75" customHeight="1" s="48">
      <c r="A1788" t="inlineStr">
        <is>
          <t>whk_spez_buntmetallschmied_silberschmied</t>
        </is>
      </c>
      <c r="B1788" t="inlineStr">
        <is>
          <t>WHK</t>
        </is>
      </c>
      <c r="C1788" t="inlineStr">
        <is>
          <t>-&gt; Silberschmied</t>
        </is>
      </c>
      <c r="F1788" t="inlineStr">
        <is>
          <t>Buntmetallschmied</t>
        </is>
      </c>
      <c r="G1788" t="inlineStr">
        <is>
          <t>Wert</t>
        </is>
      </c>
      <c r="L1788" t="inlineStr">
        <is>
          <t>SVERWEIS(wert;'WHK-Spez-Kosten';3;1)</t>
        </is>
      </c>
    </row>
    <row r="1789" hidden="1" ht="15.75" customHeight="1" s="48">
      <c r="A1789" t="inlineStr">
        <is>
          <t>whk_spez_buntmetallschmied_zinngiesser</t>
        </is>
      </c>
      <c r="B1789" t="inlineStr">
        <is>
          <t>WHK</t>
        </is>
      </c>
      <c r="C1789" t="inlineStr">
        <is>
          <t>-&gt; Zinngießer</t>
        </is>
      </c>
      <c r="F1789" t="inlineStr">
        <is>
          <t>Buntmetallschmied</t>
        </is>
      </c>
      <c r="G1789" t="inlineStr">
        <is>
          <t>Wert</t>
        </is>
      </c>
      <c r="L1789" t="inlineStr">
        <is>
          <t>SVERWEIS(wert;'WHK-Spez-Kosten';3;1)</t>
        </is>
      </c>
    </row>
    <row r="1790" hidden="1" ht="15.75" customHeight="1" s="48">
      <c r="A1790" t="inlineStr">
        <is>
          <t>whk_waffenschmied</t>
        </is>
      </c>
      <c r="B1790" t="inlineStr">
        <is>
          <t>WHK</t>
        </is>
      </c>
      <c r="C1790" t="inlineStr">
        <is>
          <t>Waffenschmied</t>
        </is>
      </c>
      <c r="F1790" t="inlineStr">
        <is>
          <t>Metall</t>
        </is>
      </c>
      <c r="G1790" t="inlineStr">
        <is>
          <t>Wert</t>
        </is>
      </c>
      <c r="L1790" t="inlineStr">
        <is>
          <t>WENN(wert=0;0;10+(wert-1)*wert/2)</t>
        </is>
      </c>
    </row>
    <row r="1791" hidden="1" ht="15.75" customHeight="1" s="48">
      <c r="A1791" t="inlineStr">
        <is>
          <t>whk_spez_waffenschmied_klingenwaffen</t>
        </is>
      </c>
      <c r="B1791" t="inlineStr">
        <is>
          <t>WHK</t>
        </is>
      </c>
      <c r="C1791" t="inlineStr">
        <is>
          <t>-&gt; Klingenwaffen</t>
        </is>
      </c>
      <c r="F1791" t="inlineStr">
        <is>
          <t>Waffenschmied</t>
        </is>
      </c>
      <c r="G1791" t="inlineStr">
        <is>
          <t>Wert</t>
        </is>
      </c>
      <c r="L1791" t="inlineStr">
        <is>
          <t>SVERWEIS(wert;'WHK-Spez-Kosten';3;1)</t>
        </is>
      </c>
    </row>
    <row r="1792" hidden="1" ht="15.75" customHeight="1" s="48">
      <c r="A1792" t="inlineStr">
        <is>
          <t>whk_spez_waffenschmied_hiebwaffen</t>
        </is>
      </c>
      <c r="B1792" t="inlineStr">
        <is>
          <t>WHK</t>
        </is>
      </c>
      <c r="C1792" t="inlineStr">
        <is>
          <t>-&gt; Hiebwaffen</t>
        </is>
      </c>
      <c r="F1792" t="inlineStr">
        <is>
          <t>Waffenschmied</t>
        </is>
      </c>
      <c r="G1792" t="inlineStr">
        <is>
          <t>Wert</t>
        </is>
      </c>
      <c r="L1792" t="inlineStr">
        <is>
          <t>SVERWEIS(wert;'WHK-Spez-Kosten';3;1)</t>
        </is>
      </c>
    </row>
    <row r="1793" hidden="1" ht="15.75" customHeight="1" s="48">
      <c r="A1793" t="inlineStr">
        <is>
          <t>whk_spez_waffenschmied_stangenwaffen</t>
        </is>
      </c>
      <c r="B1793" t="inlineStr">
        <is>
          <t>WHK</t>
        </is>
      </c>
      <c r="C1793" t="inlineStr">
        <is>
          <t>-&gt; Stangenwaffen</t>
        </is>
      </c>
      <c r="F1793" t="inlineStr">
        <is>
          <t>Waffenschmied</t>
        </is>
      </c>
      <c r="G1793" t="inlineStr">
        <is>
          <t>Wert</t>
        </is>
      </c>
      <c r="L1793" t="inlineStr">
        <is>
          <t>SVERWEIS(wert;'WHK-Spez-Kosten';3;1)</t>
        </is>
      </c>
    </row>
    <row r="1794" hidden="1" ht="15.75" customHeight="1" s="48">
      <c r="A1794" t="inlineStr">
        <is>
          <t>whk_spez_waffenschmied_stichwaffen</t>
        </is>
      </c>
      <c r="B1794" t="inlineStr">
        <is>
          <t>WHK</t>
        </is>
      </c>
      <c r="C1794" t="inlineStr">
        <is>
          <t>-&gt; Stichwaffen</t>
        </is>
      </c>
      <c r="F1794" t="inlineStr">
        <is>
          <t>Waffenschmied</t>
        </is>
      </c>
      <c r="G1794" t="inlineStr">
        <is>
          <t>Wert</t>
        </is>
      </c>
      <c r="L1794" t="inlineStr">
        <is>
          <t>SVERWEIS(wert;'WHK-Spez-Kosten';3;1)</t>
        </is>
      </c>
    </row>
    <row r="1795" hidden="1" ht="15.75" customHeight="1" s="48">
      <c r="A1795" t="inlineStr">
        <is>
          <t>whk_ruestungsschmied</t>
        </is>
      </c>
      <c r="B1795" t="inlineStr">
        <is>
          <t>WHK</t>
        </is>
      </c>
      <c r="C1795" t="inlineStr">
        <is>
          <t>Rüstungsschmied</t>
        </is>
      </c>
      <c r="F1795" t="inlineStr">
        <is>
          <t>Metall</t>
        </is>
      </c>
      <c r="G1795" t="inlineStr">
        <is>
          <t>Wert</t>
        </is>
      </c>
      <c r="L1795" t="inlineStr">
        <is>
          <t>WENN(wert=0;0;10+(wert-1)*wert/2)</t>
        </is>
      </c>
    </row>
    <row r="1796" hidden="1" ht="15.75" customHeight="1" s="48">
      <c r="A1796" t="inlineStr">
        <is>
          <t>whk_spez_ruestungsschmied_tierruestungen</t>
        </is>
      </c>
      <c r="B1796" t="inlineStr">
        <is>
          <t>WHK</t>
        </is>
      </c>
      <c r="C1796" t="inlineStr">
        <is>
          <t>-&gt; Tierrüstungen</t>
        </is>
      </c>
      <c r="F1796" t="inlineStr">
        <is>
          <t>Rüstungsschmied</t>
        </is>
      </c>
      <c r="G1796" t="inlineStr">
        <is>
          <t>Wert</t>
        </is>
      </c>
      <c r="L1796" t="inlineStr">
        <is>
          <t>SVERWEIS(wert;'WHK-Spez-Kosten';3;1)</t>
        </is>
      </c>
    </row>
    <row r="1797" hidden="1" ht="15.75" customHeight="1" s="48">
      <c r="A1797" t="inlineStr">
        <is>
          <t>whk_spez_ruestungsschmied_kettenruestungen</t>
        </is>
      </c>
      <c r="B1797" t="inlineStr">
        <is>
          <t>WHK</t>
        </is>
      </c>
      <c r="C1797" t="inlineStr">
        <is>
          <t>-&gt; Kettenrüstungen</t>
        </is>
      </c>
      <c r="F1797" t="inlineStr">
        <is>
          <t>Rüstungsschmied</t>
        </is>
      </c>
      <c r="G1797" t="inlineStr">
        <is>
          <t>Wert</t>
        </is>
      </c>
      <c r="L1797" t="inlineStr">
        <is>
          <t>SVERWEIS(wert;'WHK-Spez-Kosten';3;1)</t>
        </is>
      </c>
    </row>
    <row r="1798" hidden="1" ht="15.75" customHeight="1" s="48">
      <c r="A1798" t="inlineStr">
        <is>
          <t>whk_spez_ruestungsschmied_plattenpanzer</t>
        </is>
      </c>
      <c r="B1798" t="inlineStr">
        <is>
          <t>WHK</t>
        </is>
      </c>
      <c r="C1798" t="inlineStr">
        <is>
          <t>-&gt; Plattenpanzer</t>
        </is>
      </c>
      <c r="F1798" t="inlineStr">
        <is>
          <t>Rüstungsschmied</t>
        </is>
      </c>
      <c r="G1798" t="inlineStr">
        <is>
          <t>Wert</t>
        </is>
      </c>
      <c r="L1798" t="inlineStr">
        <is>
          <t>SVERWEIS(wert;'WHK-Spez-Kosten';3;1)</t>
        </is>
      </c>
    </row>
    <row r="1799" hidden="1" ht="15.75" customHeight="1" s="48">
      <c r="A1799" t="inlineStr">
        <is>
          <t>whk_feuerwaffenbauer</t>
        </is>
      </c>
      <c r="B1799" t="inlineStr">
        <is>
          <t>WHK</t>
        </is>
      </c>
      <c r="C1799" t="inlineStr">
        <is>
          <t>Feuerwaffenbauer</t>
        </is>
      </c>
      <c r="F1799" t="inlineStr">
        <is>
          <t>Metall</t>
        </is>
      </c>
      <c r="G1799" t="inlineStr">
        <is>
          <t>Wert</t>
        </is>
      </c>
      <c r="L1799" t="inlineStr">
        <is>
          <t>WENN(wert=0;0;10+(wert-1)*wert/2)</t>
        </is>
      </c>
    </row>
    <row r="1800" hidden="1" ht="15.75" customHeight="1" s="48">
      <c r="A1800" t="inlineStr">
        <is>
          <t>whk_spez_feuerwaffenbauer_vorderlader</t>
        </is>
      </c>
      <c r="B1800" t="inlineStr">
        <is>
          <t>WHK</t>
        </is>
      </c>
      <c r="C1800" t="inlineStr">
        <is>
          <t>-&gt; Vorderlader</t>
        </is>
      </c>
      <c r="F1800" t="inlineStr">
        <is>
          <t>Feuerwaffenbauer</t>
        </is>
      </c>
      <c r="G1800" t="inlineStr">
        <is>
          <t>Wert</t>
        </is>
      </c>
      <c r="L1800" t="inlineStr">
        <is>
          <t>SVERWEIS(wert;'WHK-Spez-Kosten';3;1)</t>
        </is>
      </c>
    </row>
    <row r="1801" hidden="1" ht="15.75" customHeight="1" s="48">
      <c r="A1801" t="inlineStr">
        <is>
          <t>whk_spez_feuerwaffenbauer_stein_perkussionsschloss</t>
        </is>
      </c>
      <c r="B1801" t="inlineStr">
        <is>
          <t>WHK</t>
        </is>
      </c>
      <c r="C1801" t="inlineStr">
        <is>
          <t>-&gt; Stein-/Perkussionsschloss</t>
        </is>
      </c>
      <c r="F1801" t="inlineStr">
        <is>
          <t>Feuerwaffenbauer</t>
        </is>
      </c>
      <c r="G1801" t="inlineStr">
        <is>
          <t>Wert</t>
        </is>
      </c>
      <c r="L1801" t="inlineStr">
        <is>
          <t>SVERWEIS(wert;'WHK-Spez-Kosten';3;1)</t>
        </is>
      </c>
    </row>
    <row r="1802" hidden="1" ht="15.75" customHeight="1" s="48">
      <c r="A1802" t="inlineStr">
        <is>
          <t>whk_spez_feuerwaffenbauer_kipplaufverschluss</t>
        </is>
      </c>
      <c r="B1802" t="inlineStr">
        <is>
          <t>WHK</t>
        </is>
      </c>
      <c r="C1802" t="inlineStr">
        <is>
          <t>-&gt; Kipplaufverschluss</t>
        </is>
      </c>
      <c r="F1802" t="inlineStr">
        <is>
          <t>Feuerwaffenbauer</t>
        </is>
      </c>
      <c r="G1802" t="inlineStr">
        <is>
          <t>Wert</t>
        </is>
      </c>
      <c r="L1802" t="inlineStr">
        <is>
          <t>SVERWEIS(wert;'WHK-Spez-Kosten';3;1)</t>
        </is>
      </c>
    </row>
    <row r="1803" hidden="1" ht="15.75" customHeight="1" s="48">
      <c r="A1803" t="inlineStr">
        <is>
          <t>whk_spez_feuerwaffenbauer_trommelverschluss</t>
        </is>
      </c>
      <c r="B1803" t="inlineStr">
        <is>
          <t>WHK</t>
        </is>
      </c>
      <c r="C1803" t="inlineStr">
        <is>
          <t>-&gt; Trommelverschluss</t>
        </is>
      </c>
      <c r="F1803" t="inlineStr">
        <is>
          <t>Feuerwaffenbauer</t>
        </is>
      </c>
      <c r="G1803" t="inlineStr">
        <is>
          <t>Wert</t>
        </is>
      </c>
      <c r="L1803" t="inlineStr">
        <is>
          <t>SVERWEIS(wert;'WHK-Spez-Kosten';3;1)</t>
        </is>
      </c>
    </row>
    <row r="1804" hidden="1" ht="15.75" customHeight="1" s="48">
      <c r="A1804" t="inlineStr">
        <is>
          <t>whk_spez_feuerwaffenbauer_repetierverschluss</t>
        </is>
      </c>
      <c r="B1804" t="inlineStr">
        <is>
          <t>WHK</t>
        </is>
      </c>
      <c r="C1804" t="inlineStr">
        <is>
          <t>-&gt; Repetierverschluss</t>
        </is>
      </c>
      <c r="F1804" t="inlineStr">
        <is>
          <t>Feuerwaffenbauer</t>
        </is>
      </c>
      <c r="G1804" t="inlineStr">
        <is>
          <t>Wert</t>
        </is>
      </c>
      <c r="L1804" t="inlineStr">
        <is>
          <t>SVERWEIS(wert;'WHK-Spez-Kosten';3;1)</t>
        </is>
      </c>
    </row>
    <row r="1805" hidden="1" ht="15.75" customHeight="1" s="48">
      <c r="A1805" t="inlineStr">
        <is>
          <t>whk_metallurgie</t>
        </is>
      </c>
      <c r="B1805" t="inlineStr">
        <is>
          <t>WHK</t>
        </is>
      </c>
      <c r="C1805" t="inlineStr">
        <is>
          <t>Metallurgie</t>
        </is>
      </c>
      <c r="F1805" t="inlineStr">
        <is>
          <t>Metall</t>
        </is>
      </c>
      <c r="G1805" t="inlineStr">
        <is>
          <t>Wert</t>
        </is>
      </c>
      <c r="L1805" t="inlineStr">
        <is>
          <t>WENN(wert=0;0;10+(wert-1)*wert/2)</t>
        </is>
      </c>
    </row>
    <row r="1806" hidden="1" ht="15.75" customHeight="1" s="48">
      <c r="A1806" t="inlineStr">
        <is>
          <t>whk_spez_metallurgie_edelmetalle</t>
        </is>
      </c>
      <c r="B1806" t="inlineStr">
        <is>
          <t>WHK</t>
        </is>
      </c>
      <c r="C1806" t="inlineStr">
        <is>
          <t>-&gt; Edelmetalle</t>
        </is>
      </c>
      <c r="F1806" t="inlineStr">
        <is>
          <t>Metallurgie</t>
        </is>
      </c>
      <c r="G1806" t="inlineStr">
        <is>
          <t>Wert</t>
        </is>
      </c>
      <c r="L1806" t="inlineStr">
        <is>
          <t>SVERWEIS(wert;'WHK-Spez-Kosten';3;1)</t>
        </is>
      </c>
    </row>
    <row r="1807" hidden="1" ht="15.75" customHeight="1" s="48">
      <c r="A1807" t="inlineStr">
        <is>
          <t>whk_spez_metallurgie_schwermetalle</t>
        </is>
      </c>
      <c r="B1807" t="inlineStr">
        <is>
          <t>WHK</t>
        </is>
      </c>
      <c r="C1807" t="inlineStr">
        <is>
          <t>-&gt; Schwermetalle</t>
        </is>
      </c>
      <c r="F1807" t="inlineStr">
        <is>
          <t>Metallurgie</t>
        </is>
      </c>
      <c r="G1807" t="inlineStr">
        <is>
          <t>Wert</t>
        </is>
      </c>
      <c r="L1807" t="inlineStr">
        <is>
          <t>SVERWEIS(wert;'WHK-Spez-Kosten';3;1)</t>
        </is>
      </c>
    </row>
    <row r="1808" hidden="1" ht="15.75" customHeight="1" s="48">
      <c r="A1808" t="inlineStr">
        <is>
          <t>whk_spez_metallurgie_sonderlegierungen</t>
        </is>
      </c>
      <c r="B1808" t="inlineStr">
        <is>
          <t>WHK</t>
        </is>
      </c>
      <c r="C1808" t="inlineStr">
        <is>
          <t>-&gt; Sonderlegierungen</t>
        </is>
      </c>
      <c r="F1808" t="inlineStr">
        <is>
          <t>Metallurgie</t>
        </is>
      </c>
      <c r="G1808" t="inlineStr">
        <is>
          <t>Wert</t>
        </is>
      </c>
      <c r="L1808" t="inlineStr">
        <is>
          <t>SVERWEIS(wert;'WHK-Spez-Kosten';3;1)</t>
        </is>
      </c>
    </row>
    <row r="1809" hidden="1" ht="15.75" customHeight="1" s="48">
      <c r="A1809" t="inlineStr">
        <is>
          <t>whk_spez_metallurgie_eisen_stahl</t>
        </is>
      </c>
      <c r="B1809" t="inlineStr">
        <is>
          <t>WHK</t>
        </is>
      </c>
      <c r="C1809" t="inlineStr">
        <is>
          <t>-&gt; Eisen &amp; Stahl</t>
        </is>
      </c>
      <c r="F1809" t="inlineStr">
        <is>
          <t>Metallurgie</t>
        </is>
      </c>
      <c r="G1809" t="inlineStr">
        <is>
          <t>Wert</t>
        </is>
      </c>
      <c r="L1809" t="inlineStr">
        <is>
          <t>SVERWEIS(wert;'WHK-Spez-Kosten';3;1)</t>
        </is>
      </c>
    </row>
    <row r="1810" hidden="1" ht="15.75" customHeight="1" s="48">
      <c r="A1810" t="inlineStr">
        <is>
          <t>whk_spez_metallurgie_messing</t>
        </is>
      </c>
      <c r="B1810" t="inlineStr">
        <is>
          <t>WHK</t>
        </is>
      </c>
      <c r="C1810" t="inlineStr">
        <is>
          <t>-&gt; Messing</t>
        </is>
      </c>
      <c r="F1810" t="inlineStr">
        <is>
          <t>Metallurgie</t>
        </is>
      </c>
      <c r="G1810" t="inlineStr">
        <is>
          <t>Wert</t>
        </is>
      </c>
      <c r="L1810" t="inlineStr">
        <is>
          <t>SVERWEIS(wert;'WHK-Spez-Kosten';3;1)</t>
        </is>
      </c>
    </row>
    <row r="1811" hidden="1" ht="15.75" customHeight="1" s="48">
      <c r="A1811" t="inlineStr">
        <is>
          <t>whk_giesser</t>
        </is>
      </c>
      <c r="B1811" t="inlineStr">
        <is>
          <t>WHK</t>
        </is>
      </c>
      <c r="C1811" t="inlineStr">
        <is>
          <t>Gießer</t>
        </is>
      </c>
      <c r="F1811" t="inlineStr">
        <is>
          <t>Metall</t>
        </is>
      </c>
      <c r="G1811" t="inlineStr">
        <is>
          <t>Wert</t>
        </is>
      </c>
      <c r="L1811" t="inlineStr">
        <is>
          <t>WENN(wert=0;0;10+(wert-1)*wert/2)</t>
        </is>
      </c>
    </row>
    <row r="1812" hidden="1" ht="15.75" customHeight="1" s="48">
      <c r="A1812" t="inlineStr">
        <is>
          <t>whk_spez_giesser_glockengiesser</t>
        </is>
      </c>
      <c r="B1812" t="inlineStr">
        <is>
          <t>WHK</t>
        </is>
      </c>
      <c r="C1812" t="inlineStr">
        <is>
          <t>-&gt; Glockengießer</t>
        </is>
      </c>
      <c r="F1812" t="inlineStr">
        <is>
          <t>Gießer</t>
        </is>
      </c>
      <c r="G1812" t="inlineStr">
        <is>
          <t>Wert</t>
        </is>
      </c>
      <c r="L1812" t="inlineStr">
        <is>
          <t>SVERWEIS(wert;'WHK-Spez-Kosten';3;1)</t>
        </is>
      </c>
    </row>
    <row r="1813" hidden="1" ht="15.75" customHeight="1" s="48">
      <c r="A1813" t="inlineStr">
        <is>
          <t>whk_spez_giesser_werkzeuggiesser</t>
        </is>
      </c>
      <c r="B1813" t="inlineStr">
        <is>
          <t>WHK</t>
        </is>
      </c>
      <c r="C1813" t="inlineStr">
        <is>
          <t>-&gt; Werkzeuggießer</t>
        </is>
      </c>
      <c r="F1813" t="inlineStr">
        <is>
          <t>Gießer</t>
        </is>
      </c>
      <c r="G1813" t="inlineStr">
        <is>
          <t>Wert</t>
        </is>
      </c>
      <c r="L1813" t="inlineStr">
        <is>
          <t>SVERWEIS(wert;'WHK-Spez-Kosten';3;1)</t>
        </is>
      </c>
    </row>
    <row r="1814" hidden="1" ht="15.75" customHeight="1" s="48">
      <c r="A1814" t="inlineStr">
        <is>
          <t>whk_spez_giesser_stueckgiesser</t>
        </is>
      </c>
      <c r="B1814" t="inlineStr">
        <is>
          <t>WHK</t>
        </is>
      </c>
      <c r="C1814" t="inlineStr">
        <is>
          <t>-&gt; Stückgießer</t>
        </is>
      </c>
      <c r="F1814" t="inlineStr">
        <is>
          <t>Gießer</t>
        </is>
      </c>
      <c r="G1814" t="inlineStr">
        <is>
          <t>Wert</t>
        </is>
      </c>
      <c r="L1814" t="inlineStr">
        <is>
          <t>SVERWEIS(wert;'WHK-Spez-Kosten';3;1)</t>
        </is>
      </c>
    </row>
    <row r="1815" hidden="1" ht="15.75" customHeight="1" s="48">
      <c r="A1815" t="inlineStr">
        <is>
          <t>whk_spez_giesser_munitionsgiesser</t>
        </is>
      </c>
      <c r="B1815" t="inlineStr">
        <is>
          <t>WHK</t>
        </is>
      </c>
      <c r="C1815" t="inlineStr">
        <is>
          <t>-&gt; Munitionsgießer</t>
        </is>
      </c>
      <c r="F1815" t="inlineStr">
        <is>
          <t>Gießer</t>
        </is>
      </c>
      <c r="G1815" t="inlineStr">
        <is>
          <t>Wert</t>
        </is>
      </c>
      <c r="L1815" t="inlineStr">
        <is>
          <t>SVERWEIS(wert;'WHK-Spez-Kosten';3;1)</t>
        </is>
      </c>
    </row>
    <row r="1816" hidden="1" ht="15.75" customHeight="1" s="48">
      <c r="A1816" t="inlineStr">
        <is>
          <t>whk_bogenbauer</t>
        </is>
      </c>
      <c r="B1816" t="inlineStr">
        <is>
          <t>WHK</t>
        </is>
      </c>
      <c r="C1816" t="inlineStr">
        <is>
          <t>Bogenbauer</t>
        </is>
      </c>
      <c r="F1816" t="inlineStr">
        <is>
          <t>Metall</t>
        </is>
      </c>
      <c r="G1816" t="inlineStr">
        <is>
          <t>Wert</t>
        </is>
      </c>
      <c r="L1816" t="inlineStr">
        <is>
          <t>WENN(wert=0;0;10+(wert-1)*wert/2)</t>
        </is>
      </c>
    </row>
    <row r="1817" hidden="1" ht="15.75" customHeight="1" s="48">
      <c r="A1817" t="inlineStr">
        <is>
          <t>whk_spez_bogenbauer_holzboegen</t>
        </is>
      </c>
      <c r="B1817" t="inlineStr">
        <is>
          <t>WHK</t>
        </is>
      </c>
      <c r="C1817" t="inlineStr">
        <is>
          <t>-&gt; Holzbögen</t>
        </is>
      </c>
      <c r="F1817" t="inlineStr">
        <is>
          <t>Bogenbauer</t>
        </is>
      </c>
      <c r="G1817" t="inlineStr">
        <is>
          <t>Wert</t>
        </is>
      </c>
      <c r="L1817" t="inlineStr">
        <is>
          <t>SVERWEIS(wert;'WHK-Spez-Kosten';3;1)</t>
        </is>
      </c>
    </row>
    <row r="1818" hidden="1" ht="15.75" customHeight="1" s="48">
      <c r="A1818" t="inlineStr">
        <is>
          <t>whk_spez_bogenbauer_kompositboegen</t>
        </is>
      </c>
      <c r="B1818" t="inlineStr">
        <is>
          <t>WHK</t>
        </is>
      </c>
      <c r="C1818" t="inlineStr">
        <is>
          <t>-&gt; Kompositbögen</t>
        </is>
      </c>
      <c r="F1818" t="inlineStr">
        <is>
          <t>Bogenbauer</t>
        </is>
      </c>
      <c r="G1818" t="inlineStr">
        <is>
          <t>Wert</t>
        </is>
      </c>
      <c r="L1818" t="inlineStr">
        <is>
          <t>SVERWEIS(wert;'WHK-Spez-Kosten';3;1)</t>
        </is>
      </c>
    </row>
    <row r="1819" hidden="1" ht="15.75" customHeight="1" s="48">
      <c r="A1819" t="inlineStr">
        <is>
          <t>whk_spez_bogenbauer_umspannboegen</t>
        </is>
      </c>
      <c r="B1819" t="inlineStr">
        <is>
          <t>WHK</t>
        </is>
      </c>
      <c r="C1819" t="inlineStr">
        <is>
          <t>-&gt; Umspannbögen</t>
        </is>
      </c>
      <c r="F1819" t="inlineStr">
        <is>
          <t>Bogenbauer</t>
        </is>
      </c>
      <c r="G1819" t="inlineStr">
        <is>
          <t>Wert</t>
        </is>
      </c>
      <c r="L1819" t="inlineStr">
        <is>
          <t>SVERWEIS(wert;'WHK-Spez-Kosten';3;1)</t>
        </is>
      </c>
    </row>
    <row r="1820" hidden="1" ht="15.75" customHeight="1" s="48">
      <c r="A1820" t="inlineStr">
        <is>
          <t>whk_schneider</t>
        </is>
      </c>
      <c r="B1820" t="inlineStr">
        <is>
          <t>WHK</t>
        </is>
      </c>
      <c r="C1820" t="inlineStr">
        <is>
          <t>Schneider</t>
        </is>
      </c>
      <c r="F1820" t="inlineStr">
        <is>
          <t>Textil/Leder</t>
        </is>
      </c>
      <c r="G1820" t="inlineStr">
        <is>
          <t>Wert</t>
        </is>
      </c>
      <c r="L1820" t="inlineStr">
        <is>
          <t>WENN(wert=0;0;10+(wert-1)*wert/2)</t>
        </is>
      </c>
    </row>
    <row r="1821" hidden="1" ht="15.75" customHeight="1" s="48">
      <c r="A1821" t="inlineStr">
        <is>
          <t>whk_spez_schneider_segelmacher</t>
        </is>
      </c>
      <c r="B1821" t="inlineStr">
        <is>
          <t>WHK</t>
        </is>
      </c>
      <c r="C1821" t="inlineStr">
        <is>
          <t>-&gt; Segelmacher</t>
        </is>
      </c>
      <c r="F1821" t="inlineStr">
        <is>
          <t>Schneider</t>
        </is>
      </c>
      <c r="G1821" t="inlineStr">
        <is>
          <t>Wert</t>
        </is>
      </c>
      <c r="L1821" t="inlineStr">
        <is>
          <t>SVERWEIS(wert;'WHK-Spez-Kosten';3;1)</t>
        </is>
      </c>
    </row>
    <row r="1822" hidden="1" ht="15.75" customHeight="1" s="48">
      <c r="A1822" t="inlineStr">
        <is>
          <t>whk_spez_schneider_konfektionsschneider</t>
        </is>
      </c>
      <c r="B1822" t="inlineStr">
        <is>
          <t>WHK</t>
        </is>
      </c>
      <c r="C1822" t="inlineStr">
        <is>
          <t>-&gt; Konfektionsschneider</t>
        </is>
      </c>
      <c r="F1822" t="inlineStr">
        <is>
          <t>Schneider</t>
        </is>
      </c>
      <c r="G1822" t="inlineStr">
        <is>
          <t>Wert</t>
        </is>
      </c>
      <c r="L1822" t="inlineStr">
        <is>
          <t>SVERWEIS(wert;'WHK-Spez-Kosten';3;1)</t>
        </is>
      </c>
    </row>
    <row r="1823" hidden="1" ht="15.75" customHeight="1" s="48">
      <c r="A1823" t="inlineStr">
        <is>
          <t>whk_spez_schneider_hutmacher</t>
        </is>
      </c>
      <c r="B1823" t="inlineStr">
        <is>
          <t>WHK</t>
        </is>
      </c>
      <c r="C1823" t="inlineStr">
        <is>
          <t>-&gt; Hutmacher</t>
        </is>
      </c>
      <c r="F1823" t="inlineStr">
        <is>
          <t>Schneider</t>
        </is>
      </c>
      <c r="G1823" t="inlineStr">
        <is>
          <t>Wert</t>
        </is>
      </c>
      <c r="L1823" t="inlineStr">
        <is>
          <t>SVERWEIS(wert;'WHK-Spez-Kosten';3;1)</t>
        </is>
      </c>
    </row>
    <row r="1824" hidden="1" ht="15.75" customHeight="1" s="48">
      <c r="A1824" t="inlineStr">
        <is>
          <t>whk_spez_schneider_teppichknuepfer</t>
        </is>
      </c>
      <c r="B1824" t="inlineStr">
        <is>
          <t>WHK</t>
        </is>
      </c>
      <c r="C1824" t="inlineStr">
        <is>
          <t>-&gt; Teppichknüpfer</t>
        </is>
      </c>
      <c r="F1824" t="inlineStr">
        <is>
          <t>Schneider</t>
        </is>
      </c>
      <c r="G1824" t="inlineStr">
        <is>
          <t>Wert</t>
        </is>
      </c>
      <c r="L1824" t="inlineStr">
        <is>
          <t>SVERWEIS(wert;'WHK-Spez-Kosten';3;1)</t>
        </is>
      </c>
    </row>
    <row r="1825" hidden="1" ht="15.75" customHeight="1" s="48">
      <c r="A1825" t="inlineStr">
        <is>
          <t>whk_spez_schneider_stoffruestungen</t>
        </is>
      </c>
      <c r="B1825" t="inlineStr">
        <is>
          <t>WHK</t>
        </is>
      </c>
      <c r="C1825" t="inlineStr">
        <is>
          <t>-&gt; Stoffrüstungen</t>
        </is>
      </c>
      <c r="F1825" t="inlineStr">
        <is>
          <t>Schneider</t>
        </is>
      </c>
      <c r="G1825" t="inlineStr">
        <is>
          <t>Wert</t>
        </is>
      </c>
      <c r="L1825" t="inlineStr">
        <is>
          <t>SVERWEIS(wert;'WHK-Spez-Kosten';3;1)</t>
        </is>
      </c>
    </row>
    <row r="1826" hidden="1" ht="15.75" customHeight="1" s="48">
      <c r="A1826" t="inlineStr">
        <is>
          <t>whk_weber</t>
        </is>
      </c>
      <c r="B1826" t="inlineStr">
        <is>
          <t>WHK</t>
        </is>
      </c>
      <c r="C1826" t="inlineStr">
        <is>
          <t>Weber</t>
        </is>
      </c>
      <c r="F1826" t="inlineStr">
        <is>
          <t>Textil/Leder</t>
        </is>
      </c>
      <c r="G1826" t="inlineStr">
        <is>
          <t>Wert</t>
        </is>
      </c>
      <c r="L1826" t="inlineStr">
        <is>
          <t>WENN(wert=0;0;10+(wert-1)*wert/2)</t>
        </is>
      </c>
    </row>
    <row r="1827" hidden="1" ht="15.75" customHeight="1" s="48">
      <c r="A1827" t="inlineStr">
        <is>
          <t>whk_spez_weber_seidenweber</t>
        </is>
      </c>
      <c r="B1827" t="inlineStr">
        <is>
          <t>WHK</t>
        </is>
      </c>
      <c r="C1827" t="inlineStr">
        <is>
          <t>-&gt; Seidenweber</t>
        </is>
      </c>
      <c r="F1827" t="inlineStr">
        <is>
          <t>Weber</t>
        </is>
      </c>
      <c r="G1827" t="inlineStr">
        <is>
          <t>Wert</t>
        </is>
      </c>
      <c r="L1827" t="inlineStr">
        <is>
          <t>SVERWEIS(wert;'WHK-Spez-Kosten';3;1)</t>
        </is>
      </c>
    </row>
    <row r="1828" hidden="1" ht="15.75" customHeight="1" s="48">
      <c r="A1828" t="inlineStr">
        <is>
          <t>whk_spez_weber_leinweber</t>
        </is>
      </c>
      <c r="B1828" t="inlineStr">
        <is>
          <t>WHK</t>
        </is>
      </c>
      <c r="C1828" t="inlineStr">
        <is>
          <t>-&gt; Leinweber</t>
        </is>
      </c>
      <c r="F1828" t="inlineStr">
        <is>
          <t>Weber</t>
        </is>
      </c>
      <c r="G1828" t="inlineStr">
        <is>
          <t>Wert</t>
        </is>
      </c>
      <c r="L1828" t="inlineStr">
        <is>
          <t>SVERWEIS(wert;'WHK-Spez-Kosten';3;1)</t>
        </is>
      </c>
    </row>
    <row r="1829" hidden="1" ht="15.75" customHeight="1" s="48">
      <c r="A1829" t="inlineStr">
        <is>
          <t>whk_spez_weber_tuchmacher</t>
        </is>
      </c>
      <c r="B1829" t="inlineStr">
        <is>
          <t>WHK</t>
        </is>
      </c>
      <c r="C1829" t="inlineStr">
        <is>
          <t>-&gt; Tuchmacher</t>
        </is>
      </c>
      <c r="F1829" t="inlineStr">
        <is>
          <t>Weber</t>
        </is>
      </c>
      <c r="G1829" t="inlineStr">
        <is>
          <t>Wert</t>
        </is>
      </c>
      <c r="L1829" t="inlineStr">
        <is>
          <t>SVERWEIS(wert;'WHK-Spez-Kosten';3;1)</t>
        </is>
      </c>
    </row>
    <row r="1830" hidden="1" ht="15.75" customHeight="1" s="48">
      <c r="A1830" t="inlineStr">
        <is>
          <t>whk_spez_weber_faerber</t>
        </is>
      </c>
      <c r="B1830" t="inlineStr">
        <is>
          <t>WHK</t>
        </is>
      </c>
      <c r="C1830" t="inlineStr">
        <is>
          <t>-&gt; Färber</t>
        </is>
      </c>
      <c r="F1830" t="inlineStr">
        <is>
          <t>Weber</t>
        </is>
      </c>
      <c r="G1830" t="inlineStr">
        <is>
          <t>Wert</t>
        </is>
      </c>
      <c r="L1830" t="inlineStr">
        <is>
          <t>SVERWEIS(wert;'WHK-Spez-Kosten';3;1)</t>
        </is>
      </c>
    </row>
    <row r="1831" hidden="1" ht="15.75" customHeight="1" s="48">
      <c r="A1831" t="inlineStr">
        <is>
          <t>whk_spez_weber_stricker</t>
        </is>
      </c>
      <c r="B1831" t="inlineStr">
        <is>
          <t>WHK</t>
        </is>
      </c>
      <c r="C1831" t="inlineStr">
        <is>
          <t>-&gt; Stricker</t>
        </is>
      </c>
      <c r="F1831" t="inlineStr">
        <is>
          <t>Weber</t>
        </is>
      </c>
      <c r="G1831" t="inlineStr">
        <is>
          <t>Wert</t>
        </is>
      </c>
      <c r="L1831" t="inlineStr">
        <is>
          <t>SVERWEIS(wert;'WHK-Spez-Kosten';3;1)</t>
        </is>
      </c>
    </row>
    <row r="1832" hidden="1" ht="15.75" customHeight="1" s="48">
      <c r="A1832" t="inlineStr">
        <is>
          <t>whk_lederbearbeitung</t>
        </is>
      </c>
      <c r="B1832" t="inlineStr">
        <is>
          <t>WHK</t>
        </is>
      </c>
      <c r="C1832" t="inlineStr">
        <is>
          <t>Lederbearbeitung</t>
        </is>
      </c>
      <c r="F1832" t="inlineStr">
        <is>
          <t>Textil/Leder</t>
        </is>
      </c>
      <c r="G1832" t="inlineStr">
        <is>
          <t>Wert</t>
        </is>
      </c>
      <c r="L1832" t="inlineStr">
        <is>
          <t>WENN(wert=0;0;10+(wert-1)*wert/2)</t>
        </is>
      </c>
    </row>
    <row r="1833" hidden="1" ht="15.75" customHeight="1" s="48">
      <c r="A1833" t="inlineStr">
        <is>
          <t>whk_spez_lederbearbeitung_handschuhmacher</t>
        </is>
      </c>
      <c r="B1833" t="inlineStr">
        <is>
          <t>WHK</t>
        </is>
      </c>
      <c r="C1833" t="inlineStr">
        <is>
          <t>-&gt; Handschuhmacher</t>
        </is>
      </c>
      <c r="F1833" t="inlineStr">
        <is>
          <t>Lederbearbeitung</t>
        </is>
      </c>
      <c r="G1833" t="inlineStr">
        <is>
          <t>Wert</t>
        </is>
      </c>
      <c r="L1833" t="inlineStr">
        <is>
          <t>SVERWEIS(wert;'WHK-Spez-Kosten';3;1)</t>
        </is>
      </c>
    </row>
    <row r="1834" hidden="1" ht="15.75" customHeight="1" s="48">
      <c r="A1834" t="inlineStr">
        <is>
          <t>whk_spez_lederbearbeitung_oberbekleidung</t>
        </is>
      </c>
      <c r="B1834" t="inlineStr">
        <is>
          <t>WHK</t>
        </is>
      </c>
      <c r="C1834" t="inlineStr">
        <is>
          <t>-&gt; Oberbekleidung</t>
        </is>
      </c>
      <c r="F1834" t="inlineStr">
        <is>
          <t>Lederbearbeitung</t>
        </is>
      </c>
      <c r="G1834" t="inlineStr">
        <is>
          <t>Wert</t>
        </is>
      </c>
      <c r="L1834" t="inlineStr">
        <is>
          <t>SVERWEIS(wert;'WHK-Spez-Kosten';3;1)</t>
        </is>
      </c>
    </row>
    <row r="1835" hidden="1" ht="15.75" customHeight="1" s="48">
      <c r="A1835" t="inlineStr">
        <is>
          <t>whk_spez_lederbearbeitung_sattler</t>
        </is>
      </c>
      <c r="B1835" t="inlineStr">
        <is>
          <t>WHK</t>
        </is>
      </c>
      <c r="C1835" t="inlineStr">
        <is>
          <t>-&gt; Sattler</t>
        </is>
      </c>
      <c r="F1835" t="inlineStr">
        <is>
          <t>Lederbearbeitung</t>
        </is>
      </c>
      <c r="G1835" t="inlineStr">
        <is>
          <t>Wert</t>
        </is>
      </c>
      <c r="L1835" t="inlineStr">
        <is>
          <t>SVERWEIS(wert;'WHK-Spez-Kosten';3;1)</t>
        </is>
      </c>
    </row>
    <row r="1836" hidden="1" ht="15.75" customHeight="1" s="48">
      <c r="A1836" t="inlineStr">
        <is>
          <t>whk_spez_lederbearbeitung_schuster</t>
        </is>
      </c>
      <c r="B1836" t="inlineStr">
        <is>
          <t>WHK</t>
        </is>
      </c>
      <c r="C1836" t="inlineStr">
        <is>
          <t>-&gt; Schuster</t>
        </is>
      </c>
      <c r="F1836" t="inlineStr">
        <is>
          <t>Lederbearbeitung</t>
        </is>
      </c>
      <c r="G1836" t="inlineStr">
        <is>
          <t>Wert</t>
        </is>
      </c>
      <c r="L1836" t="inlineStr">
        <is>
          <t>SVERWEIS(wert;'WHK-Spez-Kosten';3;1)</t>
        </is>
      </c>
    </row>
    <row r="1837" hidden="1" ht="15.75" customHeight="1" s="48">
      <c r="A1837" t="inlineStr">
        <is>
          <t>whk_spez_lederbearbeitung_taeschner</t>
        </is>
      </c>
      <c r="B1837" t="inlineStr">
        <is>
          <t>WHK</t>
        </is>
      </c>
      <c r="C1837" t="inlineStr">
        <is>
          <t>-&gt; Täschner</t>
        </is>
      </c>
      <c r="F1837" t="inlineStr">
        <is>
          <t>Lederbearbeitung</t>
        </is>
      </c>
      <c r="G1837" t="inlineStr">
        <is>
          <t>Wert</t>
        </is>
      </c>
      <c r="L1837" t="inlineStr">
        <is>
          <t>SVERWEIS(wert;'WHK-Spez-Kosten';3;1)</t>
        </is>
      </c>
    </row>
    <row r="1838" hidden="1" ht="15.75" customHeight="1" s="48">
      <c r="A1838" t="inlineStr">
        <is>
          <t>whk_spez_lederbearbeitung_gerber</t>
        </is>
      </c>
      <c r="B1838" t="inlineStr">
        <is>
          <t>WHK</t>
        </is>
      </c>
      <c r="C1838" t="inlineStr">
        <is>
          <t>-&gt; Gerber</t>
        </is>
      </c>
      <c r="F1838" t="inlineStr">
        <is>
          <t>Lederbearbeitung</t>
        </is>
      </c>
      <c r="G1838" t="inlineStr">
        <is>
          <t>Wert</t>
        </is>
      </c>
      <c r="L1838" t="inlineStr">
        <is>
          <t>SVERWEIS(wert;'WHK-Spez-Kosten';3;1)</t>
        </is>
      </c>
    </row>
    <row r="1839" hidden="1" ht="15.75" customHeight="1" s="48">
      <c r="A1839" t="inlineStr">
        <is>
          <t>whk_spez_lederbearbeitung_kuerschner</t>
        </is>
      </c>
      <c r="B1839" t="inlineStr">
        <is>
          <t>WHK</t>
        </is>
      </c>
      <c r="C1839" t="inlineStr">
        <is>
          <t>-&gt; Kürschner</t>
        </is>
      </c>
      <c r="F1839" t="inlineStr">
        <is>
          <t>Lederbearbeitung</t>
        </is>
      </c>
      <c r="G1839" t="inlineStr">
        <is>
          <t>Wert</t>
        </is>
      </c>
      <c r="L1839" t="inlineStr">
        <is>
          <t>SVERWEIS(wert;'WHK-Spez-Kosten';3;1)</t>
        </is>
      </c>
    </row>
    <row r="1840" hidden="1" ht="15.75" customHeight="1" s="48">
      <c r="A1840" t="inlineStr">
        <is>
          <t>whk_spez_lederbearbeitung_lederruestungen</t>
        </is>
      </c>
      <c r="B1840" t="inlineStr">
        <is>
          <t>WHK</t>
        </is>
      </c>
      <c r="C1840" t="inlineStr">
        <is>
          <t>-&gt; Lederrüstungen</t>
        </is>
      </c>
      <c r="F1840" t="inlineStr">
        <is>
          <t>Lederbearbeitung</t>
        </is>
      </c>
      <c r="G1840" t="inlineStr">
        <is>
          <t>Wert</t>
        </is>
      </c>
      <c r="L1840" t="inlineStr">
        <is>
          <t>SVERWEIS(wert;'WHK-Spez-Kosten';3;1)</t>
        </is>
      </c>
    </row>
    <row r="1841" hidden="1" ht="15.75" customHeight="1" s="48">
      <c r="A1841" t="inlineStr">
        <is>
          <t>whk_seiler</t>
        </is>
      </c>
      <c r="B1841" t="inlineStr">
        <is>
          <t>WHK</t>
        </is>
      </c>
      <c r="C1841" t="inlineStr">
        <is>
          <t>Seiler</t>
        </is>
      </c>
      <c r="F1841" t="inlineStr">
        <is>
          <t>Textil/Leder</t>
        </is>
      </c>
      <c r="G1841" t="inlineStr">
        <is>
          <t>Wert</t>
        </is>
      </c>
      <c r="L1841" t="inlineStr">
        <is>
          <t>WENN(wert=0;0;10+(wert-1)*wert/2)</t>
        </is>
      </c>
    </row>
    <row r="1842" hidden="1" ht="15.75" customHeight="1" s="48">
      <c r="A1842" t="inlineStr">
        <is>
          <t>whk_spez_seiler_netzmacher</t>
        </is>
      </c>
      <c r="B1842" t="inlineStr">
        <is>
          <t>WHK</t>
        </is>
      </c>
      <c r="C1842" t="inlineStr">
        <is>
          <t>-&gt; Netzmacher</t>
        </is>
      </c>
      <c r="F1842" t="inlineStr">
        <is>
          <t>Seiler</t>
        </is>
      </c>
      <c r="G1842" t="inlineStr">
        <is>
          <t>Wert</t>
        </is>
      </c>
      <c r="L1842" t="inlineStr">
        <is>
          <t>SVERWEIS(wert;'WHK-Spez-Kosten';3;1)</t>
        </is>
      </c>
    </row>
    <row r="1843" hidden="1" ht="15.75" customHeight="1" s="48">
      <c r="A1843" t="inlineStr">
        <is>
          <t>whk_spez_seiler_reepschlaeger</t>
        </is>
      </c>
      <c r="B1843" t="inlineStr">
        <is>
          <t>WHK</t>
        </is>
      </c>
      <c r="C1843" t="inlineStr">
        <is>
          <t>-&gt; Reepschläger</t>
        </is>
      </c>
      <c r="F1843" t="inlineStr">
        <is>
          <t>Seiler</t>
        </is>
      </c>
      <c r="G1843" t="inlineStr">
        <is>
          <t>Wert</t>
        </is>
      </c>
      <c r="L1843" t="inlineStr">
        <is>
          <t>SVERWEIS(wert;'WHK-Spez-Kosten';3;1)</t>
        </is>
      </c>
    </row>
    <row r="1844" hidden="1" ht="15.75" customHeight="1" s="48">
      <c r="A1844" t="inlineStr">
        <is>
          <t>whk_baecker</t>
        </is>
      </c>
      <c r="B1844" t="inlineStr">
        <is>
          <t>WHK</t>
        </is>
      </c>
      <c r="C1844" t="inlineStr">
        <is>
          <t>Bäcker</t>
        </is>
      </c>
      <c r="F1844" t="inlineStr">
        <is>
          <t>Nahrung</t>
        </is>
      </c>
      <c r="G1844" t="inlineStr">
        <is>
          <t>Wert</t>
        </is>
      </c>
      <c r="L1844" t="inlineStr">
        <is>
          <t>WENN(wert=0;0;10+(wert-1)*wert/2)</t>
        </is>
      </c>
    </row>
    <row r="1845" hidden="1" ht="15.75" customHeight="1" s="48">
      <c r="A1845" t="inlineStr">
        <is>
          <t>whk_spez_baecker_brotbaecker</t>
        </is>
      </c>
      <c r="B1845" t="inlineStr">
        <is>
          <t>WHK</t>
        </is>
      </c>
      <c r="C1845" t="inlineStr">
        <is>
          <t>-&gt; Brotbäcker</t>
        </is>
      </c>
      <c r="F1845" t="inlineStr">
        <is>
          <t>Bäcker</t>
        </is>
      </c>
      <c r="G1845" t="inlineStr">
        <is>
          <t>Wert</t>
        </is>
      </c>
      <c r="L1845" t="inlineStr">
        <is>
          <t>SVERWEIS(wert;'WHK-Spez-Kosten';3;1)</t>
        </is>
      </c>
    </row>
    <row r="1846" hidden="1" ht="15.75" customHeight="1" s="48">
      <c r="A1846" t="inlineStr">
        <is>
          <t>whk_spez_baecker_konditor</t>
        </is>
      </c>
      <c r="B1846" t="inlineStr">
        <is>
          <t>WHK</t>
        </is>
      </c>
      <c r="C1846" t="inlineStr">
        <is>
          <t>-&gt; Konditor</t>
        </is>
      </c>
      <c r="F1846" t="inlineStr">
        <is>
          <t>Bäcker</t>
        </is>
      </c>
      <c r="G1846" t="inlineStr">
        <is>
          <t>Wert</t>
        </is>
      </c>
      <c r="L1846" t="inlineStr">
        <is>
          <t>SVERWEIS(wert;'WHK-Spez-Kosten';3;1)</t>
        </is>
      </c>
    </row>
    <row r="1847" hidden="1" ht="15.75" customHeight="1" s="48">
      <c r="A1847" t="inlineStr">
        <is>
          <t>whk_koch</t>
        </is>
      </c>
      <c r="B1847" t="inlineStr">
        <is>
          <t>WHK</t>
        </is>
      </c>
      <c r="C1847" t="inlineStr">
        <is>
          <t>Koch</t>
        </is>
      </c>
      <c r="F1847" t="inlineStr">
        <is>
          <t>Nahrung</t>
        </is>
      </c>
      <c r="G1847" t="inlineStr">
        <is>
          <t>Wert</t>
        </is>
      </c>
      <c r="L1847" t="inlineStr">
        <is>
          <t>WENN(wert=0;0;10+(wert-1)*wert/2)</t>
        </is>
      </c>
    </row>
    <row r="1848" hidden="1" ht="15.75" customHeight="1" s="48">
      <c r="A1848" t="inlineStr">
        <is>
          <t>whk_spez_koch_backen</t>
        </is>
      </c>
      <c r="B1848" t="inlineStr">
        <is>
          <t>WHK</t>
        </is>
      </c>
      <c r="C1848" t="inlineStr">
        <is>
          <t>-&gt; Backen</t>
        </is>
      </c>
      <c r="F1848" t="inlineStr">
        <is>
          <t>Koch</t>
        </is>
      </c>
      <c r="G1848" t="inlineStr">
        <is>
          <t>Wert</t>
        </is>
      </c>
      <c r="L1848" t="inlineStr">
        <is>
          <t>SVERWEIS(wert;'WHK-Spez-Kosten';3;1)</t>
        </is>
      </c>
    </row>
    <row r="1849" hidden="1" ht="15.75" customHeight="1" s="48">
      <c r="A1849" t="inlineStr">
        <is>
          <t>whk_spez_koch_braten</t>
        </is>
      </c>
      <c r="B1849" t="inlineStr">
        <is>
          <t>WHK</t>
        </is>
      </c>
      <c r="C1849" t="inlineStr">
        <is>
          <t>-&gt; Braten</t>
        </is>
      </c>
      <c r="F1849" t="inlineStr">
        <is>
          <t>Koch</t>
        </is>
      </c>
      <c r="G1849" t="inlineStr">
        <is>
          <t>Wert</t>
        </is>
      </c>
      <c r="L1849" t="inlineStr">
        <is>
          <t>SVERWEIS(wert;'WHK-Spez-Kosten';3;1)</t>
        </is>
      </c>
    </row>
    <row r="1850" hidden="1" ht="15.75" customHeight="1" s="48">
      <c r="A1850" t="inlineStr">
        <is>
          <t>whk_spez_koch_raeuchern</t>
        </is>
      </c>
      <c r="B1850" t="inlineStr">
        <is>
          <t>WHK</t>
        </is>
      </c>
      <c r="C1850" t="inlineStr">
        <is>
          <t>-&gt; Räuchern</t>
        </is>
      </c>
      <c r="F1850" t="inlineStr">
        <is>
          <t>Koch</t>
        </is>
      </c>
      <c r="G1850" t="inlineStr">
        <is>
          <t>Wert</t>
        </is>
      </c>
      <c r="L1850" t="inlineStr">
        <is>
          <t>SVERWEIS(wert;'WHK-Spez-Kosten';3;1)</t>
        </is>
      </c>
    </row>
    <row r="1851" hidden="1" ht="15.75" customHeight="1" s="48">
      <c r="A1851" t="inlineStr">
        <is>
          <t>whk_spez_koch_konservieren</t>
        </is>
      </c>
      <c r="B1851" t="inlineStr">
        <is>
          <t>WHK</t>
        </is>
      </c>
      <c r="C1851" t="inlineStr">
        <is>
          <t>-&gt; Konservieren</t>
        </is>
      </c>
      <c r="F1851" t="inlineStr">
        <is>
          <t>Koch</t>
        </is>
      </c>
      <c r="G1851" t="inlineStr">
        <is>
          <t>Wert</t>
        </is>
      </c>
      <c r="L1851" t="inlineStr">
        <is>
          <t>SVERWEIS(wert;'WHK-Spez-Kosten';3;1)</t>
        </is>
      </c>
    </row>
    <row r="1852" hidden="1" ht="15.75" customHeight="1" s="48">
      <c r="A1852" t="inlineStr">
        <is>
          <t>whk_metzger</t>
        </is>
      </c>
      <c r="B1852" t="inlineStr">
        <is>
          <t>WHK</t>
        </is>
      </c>
      <c r="C1852" t="inlineStr">
        <is>
          <t>Metzger</t>
        </is>
      </c>
      <c r="F1852" t="inlineStr">
        <is>
          <t>Nahrung</t>
        </is>
      </c>
      <c r="G1852" t="inlineStr">
        <is>
          <t>Wert</t>
        </is>
      </c>
      <c r="L1852" t="inlineStr">
        <is>
          <t>WENN(wert=0;0;10+(wert-1)*wert/2)</t>
        </is>
      </c>
    </row>
    <row r="1853" hidden="1" ht="15.75" customHeight="1" s="48">
      <c r="A1853" t="inlineStr">
        <is>
          <t>whk_spez_metzger_schlachtung</t>
        </is>
      </c>
      <c r="B1853" t="inlineStr">
        <is>
          <t>WHK</t>
        </is>
      </c>
      <c r="C1853" t="inlineStr">
        <is>
          <t>-&gt; Schlachtung</t>
        </is>
      </c>
      <c r="F1853" t="inlineStr">
        <is>
          <t>Metzger</t>
        </is>
      </c>
      <c r="G1853" t="inlineStr">
        <is>
          <t>Wert</t>
        </is>
      </c>
      <c r="L1853" t="inlineStr">
        <is>
          <t>SVERWEIS(wert;'WHK-Spez-Kosten';3;1)</t>
        </is>
      </c>
    </row>
    <row r="1854" hidden="1" ht="15.75" customHeight="1" s="48">
      <c r="A1854" t="inlineStr">
        <is>
          <t>whk_spez_metzger_poekeln</t>
        </is>
      </c>
      <c r="B1854" t="inlineStr">
        <is>
          <t>WHK</t>
        </is>
      </c>
      <c r="C1854" t="inlineStr">
        <is>
          <t>-&gt; Pökeln</t>
        </is>
      </c>
      <c r="F1854" t="inlineStr">
        <is>
          <t>Metzger</t>
        </is>
      </c>
      <c r="G1854" t="inlineStr">
        <is>
          <t>Wert</t>
        </is>
      </c>
      <c r="L1854" t="inlineStr">
        <is>
          <t>SVERWEIS(wert;'WHK-Spez-Kosten';3;1)</t>
        </is>
      </c>
    </row>
    <row r="1855" hidden="1" ht="15.75" customHeight="1" s="48">
      <c r="A1855" t="inlineStr">
        <is>
          <t>whk_spez_metzger_trocknen</t>
        </is>
      </c>
      <c r="B1855" t="inlineStr">
        <is>
          <t>WHK</t>
        </is>
      </c>
      <c r="C1855" t="inlineStr">
        <is>
          <t>-&gt; Trocknen</t>
        </is>
      </c>
      <c r="F1855" t="inlineStr">
        <is>
          <t>Metzger</t>
        </is>
      </c>
      <c r="G1855" t="inlineStr">
        <is>
          <t>Wert</t>
        </is>
      </c>
      <c r="L1855" t="inlineStr">
        <is>
          <t>SVERWEIS(wert;'WHK-Spez-Kosten';3;1)</t>
        </is>
      </c>
    </row>
    <row r="1856" hidden="1" ht="15.75" customHeight="1" s="48">
      <c r="A1856" t="inlineStr">
        <is>
          <t>whk_spez_metzger_wursterei</t>
        </is>
      </c>
      <c r="B1856" t="inlineStr">
        <is>
          <t>WHK</t>
        </is>
      </c>
      <c r="C1856" t="inlineStr">
        <is>
          <t>-&gt; Wursterei</t>
        </is>
      </c>
      <c r="F1856" t="inlineStr">
        <is>
          <t>Metzger</t>
        </is>
      </c>
      <c r="G1856" t="inlineStr">
        <is>
          <t>Wert</t>
        </is>
      </c>
      <c r="L1856" t="inlineStr">
        <is>
          <t>SVERWEIS(wert;'WHK-Spez-Kosten';3;1)</t>
        </is>
      </c>
    </row>
    <row r="1857" hidden="1" ht="15.75" customHeight="1" s="48">
      <c r="A1857" t="inlineStr">
        <is>
          <t>whk_spez_metzger_talgsieder</t>
        </is>
      </c>
      <c r="B1857" t="inlineStr">
        <is>
          <t>WHK</t>
        </is>
      </c>
      <c r="C1857" t="inlineStr">
        <is>
          <t>-&gt; Talgsieder</t>
        </is>
      </c>
      <c r="F1857" t="inlineStr">
        <is>
          <t>Metzger</t>
        </is>
      </c>
      <c r="G1857" t="inlineStr">
        <is>
          <t>Wert</t>
        </is>
      </c>
      <c r="L1857" t="inlineStr">
        <is>
          <t>SVERWEIS(wert;'WHK-Spez-Kosten';3;1)</t>
        </is>
      </c>
    </row>
    <row r="1858" hidden="1" ht="15.75" customHeight="1" s="48">
      <c r="A1858" t="inlineStr">
        <is>
          <t>whk_brenner</t>
        </is>
      </c>
      <c r="B1858" t="inlineStr">
        <is>
          <t>WHK</t>
        </is>
      </c>
      <c r="C1858" t="inlineStr">
        <is>
          <t>Brenner</t>
        </is>
      </c>
      <c r="F1858" t="inlineStr">
        <is>
          <t>Nahrung</t>
        </is>
      </c>
      <c r="G1858" t="inlineStr">
        <is>
          <t>Wert</t>
        </is>
      </c>
      <c r="L1858" t="inlineStr">
        <is>
          <t>WENN(wert=0;0;10+(wert-1)*wert/2)</t>
        </is>
      </c>
    </row>
    <row r="1859" hidden="1" ht="15.75" customHeight="1" s="48">
      <c r="A1859" t="inlineStr">
        <is>
          <t>whk_spez_brenner_alchemistische_zutaten</t>
        </is>
      </c>
      <c r="B1859" t="inlineStr">
        <is>
          <t>WHK</t>
        </is>
      </c>
      <c r="C1859" t="inlineStr">
        <is>
          <t>-&gt; Alchemistische Zutaten</t>
        </is>
      </c>
      <c r="F1859" t="inlineStr">
        <is>
          <t>Brenner</t>
        </is>
      </c>
      <c r="G1859" t="inlineStr">
        <is>
          <t>Wert</t>
        </is>
      </c>
      <c r="L1859" t="inlineStr">
        <is>
          <t>SVERWEIS(wert;'WHK-Spez-Kosten';3;1)</t>
        </is>
      </c>
    </row>
    <row r="1860" hidden="1" ht="15.75" customHeight="1" s="48">
      <c r="A1860" t="inlineStr">
        <is>
          <t>whk_spez_brenner_geist</t>
        </is>
      </c>
      <c r="B1860" t="inlineStr">
        <is>
          <t>WHK</t>
        </is>
      </c>
      <c r="C1860" t="inlineStr">
        <is>
          <t>-&gt; Geist</t>
        </is>
      </c>
      <c r="F1860" t="inlineStr">
        <is>
          <t>Brenner</t>
        </is>
      </c>
      <c r="G1860" t="inlineStr">
        <is>
          <t>Wert</t>
        </is>
      </c>
      <c r="L1860" t="inlineStr">
        <is>
          <t>SVERWEIS(wert;'WHK-Spez-Kosten';3;1)</t>
        </is>
      </c>
    </row>
    <row r="1861" hidden="1" ht="15.75" customHeight="1" s="48">
      <c r="A1861" t="inlineStr">
        <is>
          <t>whk_spez_brenner_kraeutergeist</t>
        </is>
      </c>
      <c r="B1861" t="inlineStr">
        <is>
          <t>WHK</t>
        </is>
      </c>
      <c r="C1861" t="inlineStr">
        <is>
          <t>-&gt; Kräutergeist</t>
        </is>
      </c>
      <c r="F1861" t="inlineStr">
        <is>
          <t>Brenner</t>
        </is>
      </c>
      <c r="G1861" t="inlineStr">
        <is>
          <t>Wert</t>
        </is>
      </c>
      <c r="L1861" t="inlineStr">
        <is>
          <t>SVERWEIS(wert;'WHK-Spez-Kosten';3;1)</t>
        </is>
      </c>
    </row>
    <row r="1862" hidden="1" ht="15.75" customHeight="1" s="48">
      <c r="A1862" t="inlineStr">
        <is>
          <t>whk_fischer</t>
        </is>
      </c>
      <c r="B1862" t="inlineStr">
        <is>
          <t>WHK</t>
        </is>
      </c>
      <c r="C1862" t="inlineStr">
        <is>
          <t>Fischer</t>
        </is>
      </c>
      <c r="F1862" t="inlineStr">
        <is>
          <t>Nahrung</t>
        </is>
      </c>
      <c r="G1862" t="inlineStr">
        <is>
          <t>Wert</t>
        </is>
      </c>
      <c r="L1862" t="inlineStr">
        <is>
          <t>WENN(wert=0;0;10+(wert-1)*wert/2)</t>
        </is>
      </c>
    </row>
    <row r="1863" hidden="1" ht="15.75" customHeight="1" s="48">
      <c r="A1863" t="inlineStr">
        <is>
          <t>whk_spez_fischer_angler</t>
        </is>
      </c>
      <c r="B1863" t="inlineStr">
        <is>
          <t>WHK</t>
        </is>
      </c>
      <c r="C1863" t="inlineStr">
        <is>
          <t>-&gt; Angler</t>
        </is>
      </c>
      <c r="F1863" t="inlineStr">
        <is>
          <t>Fischer</t>
        </is>
      </c>
      <c r="G1863" t="inlineStr">
        <is>
          <t>Wert</t>
        </is>
      </c>
      <c r="L1863" t="inlineStr">
        <is>
          <t>SVERWEIS(wert;'WHK-Spez-Kosten';3;1)</t>
        </is>
      </c>
    </row>
    <row r="1864" hidden="1" ht="15.75" customHeight="1" s="48">
      <c r="A1864" t="inlineStr">
        <is>
          <t>whk_spez_fischer_tranbrenner</t>
        </is>
      </c>
      <c r="B1864" t="inlineStr">
        <is>
          <t>WHK</t>
        </is>
      </c>
      <c r="C1864" t="inlineStr">
        <is>
          <t>-&gt; Tranbrenner</t>
        </is>
      </c>
      <c r="F1864" t="inlineStr">
        <is>
          <t>Fischer</t>
        </is>
      </c>
      <c r="G1864" t="inlineStr">
        <is>
          <t>Wert</t>
        </is>
      </c>
      <c r="L1864" t="inlineStr">
        <is>
          <t>SVERWEIS(wert;'WHK-Spez-Kosten';3;1)</t>
        </is>
      </c>
    </row>
    <row r="1865" hidden="1" ht="15.75" customHeight="1" s="48">
      <c r="A1865" t="inlineStr">
        <is>
          <t>whk_spez_fischer_netzfischer</t>
        </is>
      </c>
      <c r="B1865" t="inlineStr">
        <is>
          <t>WHK</t>
        </is>
      </c>
      <c r="C1865" t="inlineStr">
        <is>
          <t>-&gt; Netzfischer</t>
        </is>
      </c>
      <c r="F1865" t="inlineStr">
        <is>
          <t>Fischer</t>
        </is>
      </c>
      <c r="G1865" t="inlineStr">
        <is>
          <t>Wert</t>
        </is>
      </c>
      <c r="L1865" t="inlineStr">
        <is>
          <t>SVERWEIS(wert;'WHK-Spez-Kosten';3;1)</t>
        </is>
      </c>
    </row>
    <row r="1866" hidden="1" ht="15.75" customHeight="1" s="48">
      <c r="A1866" t="inlineStr">
        <is>
          <t>whk_spez_fischer_schwammtaucher</t>
        </is>
      </c>
      <c r="B1866" t="inlineStr">
        <is>
          <t>WHK</t>
        </is>
      </c>
      <c r="C1866" t="inlineStr">
        <is>
          <t>-&gt; Schwammtaucher</t>
        </is>
      </c>
      <c r="F1866" t="inlineStr">
        <is>
          <t>Fischer</t>
        </is>
      </c>
      <c r="G1866" t="inlineStr">
        <is>
          <t>Wert</t>
        </is>
      </c>
      <c r="L1866" t="inlineStr">
        <is>
          <t>SVERWEIS(wert;'WHK-Spez-Kosten';3;1)</t>
        </is>
      </c>
    </row>
    <row r="1867" hidden="1" ht="15.75" customHeight="1" s="48">
      <c r="A1867" t="inlineStr">
        <is>
          <t>whk_spez_fischer_walfaenger</t>
        </is>
      </c>
      <c r="B1867" t="inlineStr">
        <is>
          <t>WHK</t>
        </is>
      </c>
      <c r="C1867" t="inlineStr">
        <is>
          <t>-&gt; Walfänger</t>
        </is>
      </c>
      <c r="F1867" t="inlineStr">
        <is>
          <t>Fischer</t>
        </is>
      </c>
      <c r="G1867" t="inlineStr">
        <is>
          <t>Wert</t>
        </is>
      </c>
      <c r="L1867" t="inlineStr">
        <is>
          <t>SVERWEIS(wert;'WHK-Spez-Kosten';3;1)</t>
        </is>
      </c>
    </row>
    <row r="1868" hidden="1" ht="15.75" customHeight="1" s="48">
      <c r="A1868" t="inlineStr">
        <is>
          <t>whk_spez_fischer_austernfischer</t>
        </is>
      </c>
      <c r="B1868" t="inlineStr">
        <is>
          <t>WHK</t>
        </is>
      </c>
      <c r="C1868" t="inlineStr">
        <is>
          <t>-&gt; Austernfischer</t>
        </is>
      </c>
      <c r="F1868" t="inlineStr">
        <is>
          <t>Fischer</t>
        </is>
      </c>
      <c r="G1868" t="inlineStr">
        <is>
          <t>Wert</t>
        </is>
      </c>
      <c r="L1868" t="inlineStr">
        <is>
          <t>SVERWEIS(wert;'WHK-Spez-Kosten';3;1)</t>
        </is>
      </c>
    </row>
    <row r="1869" hidden="1" ht="15.75" customHeight="1" s="48">
      <c r="A1869" t="inlineStr">
        <is>
          <t>whk_toepfer</t>
        </is>
      </c>
      <c r="B1869" t="inlineStr">
        <is>
          <t>WHK</t>
        </is>
      </c>
      <c r="C1869" t="inlineStr">
        <is>
          <t>Töpfer</t>
        </is>
      </c>
      <c r="F1869" t="inlineStr">
        <is>
          <t>Sonstiges Handwerk</t>
        </is>
      </c>
      <c r="G1869" t="inlineStr">
        <is>
          <t>Wert</t>
        </is>
      </c>
      <c r="L1869" t="inlineStr">
        <is>
          <t>WENN(wert=0;0;10+(wert-1)*wert/2)</t>
        </is>
      </c>
    </row>
    <row r="1870" hidden="1" ht="15.75" customHeight="1" s="48">
      <c r="A1870" t="inlineStr">
        <is>
          <t>whk_spez_toepfer_emailleur</t>
        </is>
      </c>
      <c r="B1870" t="inlineStr">
        <is>
          <t>WHK</t>
        </is>
      </c>
      <c r="C1870" t="inlineStr">
        <is>
          <t>-&gt; Emailleur</t>
        </is>
      </c>
      <c r="F1870" t="inlineStr">
        <is>
          <t>Töpfer</t>
        </is>
      </c>
      <c r="G1870" t="inlineStr">
        <is>
          <t>Wert</t>
        </is>
      </c>
      <c r="L1870" t="inlineStr">
        <is>
          <t>SVERWEIS(wert;'WHK-Spez-Kosten';3;1)</t>
        </is>
      </c>
    </row>
    <row r="1871" hidden="1" ht="15.75" customHeight="1" s="48">
      <c r="A1871" t="inlineStr">
        <is>
          <t>whk_spez_toepfer_geschirr</t>
        </is>
      </c>
      <c r="B1871" t="inlineStr">
        <is>
          <t>WHK</t>
        </is>
      </c>
      <c r="C1871" t="inlineStr">
        <is>
          <t>-&gt; Geschirr</t>
        </is>
      </c>
      <c r="F1871" t="inlineStr">
        <is>
          <t>Töpfer</t>
        </is>
      </c>
      <c r="G1871" t="inlineStr">
        <is>
          <t>Wert</t>
        </is>
      </c>
      <c r="L1871" t="inlineStr">
        <is>
          <t>SVERWEIS(wert;'WHK-Spez-Kosten';3;1)</t>
        </is>
      </c>
    </row>
    <row r="1872" hidden="1" ht="15.75" customHeight="1" s="48">
      <c r="A1872" t="inlineStr">
        <is>
          <t>whk_kunsthandwerker</t>
        </is>
      </c>
      <c r="B1872" t="inlineStr">
        <is>
          <t>WHK</t>
        </is>
      </c>
      <c r="C1872" t="inlineStr">
        <is>
          <t>Kunsthandwerker</t>
        </is>
      </c>
      <c r="F1872" t="inlineStr">
        <is>
          <t>Sonstiges Handwerk</t>
        </is>
      </c>
      <c r="G1872" t="inlineStr">
        <is>
          <t>Wert</t>
        </is>
      </c>
      <c r="L1872" t="inlineStr">
        <is>
          <t>WENN(wert=0;0;10+(wert-1)*wert/2)</t>
        </is>
      </c>
    </row>
    <row r="1873" hidden="1" ht="15.75" customHeight="1" s="48">
      <c r="A1873" t="inlineStr">
        <is>
          <t>whk_spez_kunsthandwerker_bildhauer</t>
        </is>
      </c>
      <c r="B1873" t="inlineStr">
        <is>
          <t>WHK</t>
        </is>
      </c>
      <c r="C1873" t="inlineStr">
        <is>
          <t>-&gt; Bildhauer</t>
        </is>
      </c>
      <c r="F1873" t="inlineStr">
        <is>
          <t>Kunsthandwerker</t>
        </is>
      </c>
      <c r="G1873" t="inlineStr">
        <is>
          <t>Wert</t>
        </is>
      </c>
      <c r="L1873" t="inlineStr">
        <is>
          <t>SVERWEIS(wert;'WHK-Spez-Kosten';3;1)</t>
        </is>
      </c>
    </row>
    <row r="1874" hidden="1" ht="15.75" customHeight="1" s="48">
      <c r="A1874" t="inlineStr">
        <is>
          <t>whk_spez_kunsthandwerker_maler</t>
        </is>
      </c>
      <c r="B1874" t="inlineStr">
        <is>
          <t>WHK</t>
        </is>
      </c>
      <c r="C1874" t="inlineStr">
        <is>
          <t>-&gt; Maler</t>
        </is>
      </c>
      <c r="F1874" t="inlineStr">
        <is>
          <t>Kunsthandwerker</t>
        </is>
      </c>
      <c r="G1874" t="inlineStr">
        <is>
          <t>Wert</t>
        </is>
      </c>
      <c r="L1874" t="inlineStr">
        <is>
          <t>SVERWEIS(wert;'WHK-Spez-Kosten';3;1)</t>
        </is>
      </c>
    </row>
    <row r="1875" hidden="1" ht="15.75" customHeight="1" s="48">
      <c r="A1875" t="inlineStr">
        <is>
          <t>whk_spez_kunsthandwerker_taetowierer</t>
        </is>
      </c>
      <c r="B1875" t="inlineStr">
        <is>
          <t>WHK</t>
        </is>
      </c>
      <c r="C1875" t="inlineStr">
        <is>
          <t>-&gt; Tätowierer</t>
        </is>
      </c>
      <c r="F1875" t="inlineStr">
        <is>
          <t>Kunsthandwerker</t>
        </is>
      </c>
      <c r="G1875" t="inlineStr">
        <is>
          <t>Wert</t>
        </is>
      </c>
      <c r="L1875" t="inlineStr">
        <is>
          <t>SVERWEIS(wert;'WHK-Spez-Kosten';3;1)</t>
        </is>
      </c>
    </row>
    <row r="1876" hidden="1" ht="15.75" customHeight="1" s="48">
      <c r="A1876" t="inlineStr">
        <is>
          <t>whk_spez_kunsthandwerker_elfenbeinschnitzer</t>
        </is>
      </c>
      <c r="B1876" t="inlineStr">
        <is>
          <t>WHK</t>
        </is>
      </c>
      <c r="C1876" t="inlineStr">
        <is>
          <t>-&gt; Elfenbeinschnitzer</t>
        </is>
      </c>
      <c r="F1876" t="inlineStr">
        <is>
          <t>Kunsthandwerker</t>
        </is>
      </c>
      <c r="G1876" t="inlineStr">
        <is>
          <t>Wert</t>
        </is>
      </c>
      <c r="L1876" t="inlineStr">
        <is>
          <t>SVERWEIS(wert;'WHK-Spez-Kosten';3;1)</t>
        </is>
      </c>
    </row>
    <row r="1877" hidden="1" ht="15.75" customHeight="1" s="48">
      <c r="A1877" t="inlineStr">
        <is>
          <t>whk_instrumentenbauer</t>
        </is>
      </c>
      <c r="B1877" t="inlineStr">
        <is>
          <t>WHK</t>
        </is>
      </c>
      <c r="C1877" t="inlineStr">
        <is>
          <t>Instrumentenbauer</t>
        </is>
      </c>
      <c r="F1877" t="inlineStr">
        <is>
          <t>Sonstiges Handwerk</t>
        </is>
      </c>
      <c r="G1877" t="inlineStr">
        <is>
          <t>Wert</t>
        </is>
      </c>
      <c r="L1877" t="inlineStr">
        <is>
          <t>WENN(wert=0;0;10+(wert-1)*wert/2)</t>
        </is>
      </c>
    </row>
    <row r="1878" hidden="1" ht="15.75" customHeight="1" s="48">
      <c r="A1878" t="inlineStr">
        <is>
          <t>whk_spez_instrumentenbauer_blasinstrumente</t>
        </is>
      </c>
      <c r="B1878" t="inlineStr">
        <is>
          <t>WHK</t>
        </is>
      </c>
      <c r="C1878" t="inlineStr">
        <is>
          <t>-&gt; Blasinstrumente</t>
        </is>
      </c>
      <c r="F1878" t="inlineStr">
        <is>
          <t>Instrumentenbauer</t>
        </is>
      </c>
      <c r="G1878" t="inlineStr">
        <is>
          <t>Wert</t>
        </is>
      </c>
      <c r="L1878" t="inlineStr">
        <is>
          <t>SVERWEIS(wert;'WHK-Spez-Kosten';3;1)</t>
        </is>
      </c>
    </row>
    <row r="1879" hidden="1" ht="15.75" customHeight="1" s="48">
      <c r="A1879" t="inlineStr">
        <is>
          <t>whk_spez_instrumentenbauer_saiteninstrumente</t>
        </is>
      </c>
      <c r="B1879" t="inlineStr">
        <is>
          <t>WHK</t>
        </is>
      </c>
      <c r="C1879" t="inlineStr">
        <is>
          <t>-&gt; Saiteninstrumente</t>
        </is>
      </c>
      <c r="F1879" t="inlineStr">
        <is>
          <t>Instrumentenbauer</t>
        </is>
      </c>
      <c r="G1879" t="inlineStr">
        <is>
          <t>Wert</t>
        </is>
      </c>
      <c r="L1879" t="inlineStr">
        <is>
          <t>SVERWEIS(wert;'WHK-Spez-Kosten';3;1)</t>
        </is>
      </c>
    </row>
    <row r="1880" hidden="1" ht="15.75" customHeight="1" s="48">
      <c r="A1880" t="inlineStr">
        <is>
          <t>whk_spez_instrumentenbauer_schlaginstrumente</t>
        </is>
      </c>
      <c r="B1880" t="inlineStr">
        <is>
          <t>WHK</t>
        </is>
      </c>
      <c r="C1880" t="inlineStr">
        <is>
          <t>-&gt; Schlaginstrumente</t>
        </is>
      </c>
      <c r="F1880" t="inlineStr">
        <is>
          <t>Instrumentenbauer</t>
        </is>
      </c>
      <c r="G1880" t="inlineStr">
        <is>
          <t>Wert</t>
        </is>
      </c>
      <c r="L1880" t="inlineStr">
        <is>
          <t>SVERWEIS(wert;'WHK-Spez-Kosten';3;1)</t>
        </is>
      </c>
    </row>
    <row r="1881" hidden="1" ht="15.75" customHeight="1" s="48">
      <c r="A1881" t="inlineStr">
        <is>
          <t>whk_spez_instrumentenbauer_tasteninstrumente</t>
        </is>
      </c>
      <c r="B1881" t="inlineStr">
        <is>
          <t>WHK</t>
        </is>
      </c>
      <c r="C1881" t="inlineStr">
        <is>
          <t>-&gt; Tasteninstrumente</t>
        </is>
      </c>
      <c r="F1881" t="inlineStr">
        <is>
          <t>Instrumentenbauer</t>
        </is>
      </c>
      <c r="G1881" t="inlineStr">
        <is>
          <t>Wert</t>
        </is>
      </c>
      <c r="L1881" t="inlineStr">
        <is>
          <t>SVERWEIS(wert;'WHK-Spez-Kosten';3;1)</t>
        </is>
      </c>
    </row>
    <row r="1882" hidden="1" ht="15.75" customHeight="1" s="48">
      <c r="A1882" t="inlineStr">
        <is>
          <t>whk_mechanikus</t>
        </is>
      </c>
      <c r="B1882" t="inlineStr">
        <is>
          <t>WHK</t>
        </is>
      </c>
      <c r="C1882" t="inlineStr">
        <is>
          <t>Mechanikus</t>
        </is>
      </c>
      <c r="F1882" t="inlineStr">
        <is>
          <t>Sonstiges Handwerk</t>
        </is>
      </c>
      <c r="G1882" t="inlineStr">
        <is>
          <t>Wert</t>
        </is>
      </c>
      <c r="L1882" t="inlineStr">
        <is>
          <t>WENN(wert=0;0;10+(wert-1)*wert/2)</t>
        </is>
      </c>
    </row>
    <row r="1883" hidden="1" ht="15.75" customHeight="1" s="48">
      <c r="A1883" t="inlineStr">
        <is>
          <t>whk_spez_mechanikus_feinmechaniker</t>
        </is>
      </c>
      <c r="B1883" t="inlineStr">
        <is>
          <t>WHK</t>
        </is>
      </c>
      <c r="C1883" t="inlineStr">
        <is>
          <t>-&gt; Feinmechaniker</t>
        </is>
      </c>
      <c r="F1883" t="inlineStr">
        <is>
          <t>Mechanikus</t>
        </is>
      </c>
      <c r="G1883" t="inlineStr">
        <is>
          <t>Wert</t>
        </is>
      </c>
      <c r="L1883" t="inlineStr">
        <is>
          <t>SVERWEIS(wert;'WHK-Spez-Kosten';3;1)</t>
        </is>
      </c>
    </row>
    <row r="1884" hidden="1" ht="15.75" customHeight="1" s="48">
      <c r="A1884" t="inlineStr">
        <is>
          <t>whk_spez_mechanikus_rechenmaschinen</t>
        </is>
      </c>
      <c r="B1884" t="inlineStr">
        <is>
          <t>WHK</t>
        </is>
      </c>
      <c r="C1884" t="inlineStr">
        <is>
          <t>-&gt; Rechenmaschinen</t>
        </is>
      </c>
      <c r="F1884" t="inlineStr">
        <is>
          <t>Mechanikus</t>
        </is>
      </c>
      <c r="G1884" t="inlineStr">
        <is>
          <t>Wert</t>
        </is>
      </c>
      <c r="L1884" t="inlineStr">
        <is>
          <t>SVERWEIS(wert;'WHK-Spez-Kosten';3;1)</t>
        </is>
      </c>
    </row>
    <row r="1885" hidden="1" ht="15.75" customHeight="1" s="48">
      <c r="A1885" t="inlineStr">
        <is>
          <t>whk_spez_mechanikus_uhrmacher</t>
        </is>
      </c>
      <c r="B1885" t="inlineStr">
        <is>
          <t>WHK</t>
        </is>
      </c>
      <c r="C1885" t="inlineStr">
        <is>
          <t>-&gt; Uhrmacher</t>
        </is>
      </c>
      <c r="F1885" t="inlineStr">
        <is>
          <t>Mechanikus</t>
        </is>
      </c>
      <c r="G1885" t="inlineStr">
        <is>
          <t>Wert</t>
        </is>
      </c>
      <c r="L1885" t="inlineStr">
        <is>
          <t>SVERWEIS(wert;'WHK-Spez-Kosten';3;1)</t>
        </is>
      </c>
    </row>
    <row r="1886" hidden="1" ht="15.75" customHeight="1" s="48">
      <c r="A1886" t="inlineStr">
        <is>
          <t>whk_spez_mechanikus_maschinenbauer</t>
        </is>
      </c>
      <c r="B1886" t="inlineStr">
        <is>
          <t>WHK</t>
        </is>
      </c>
      <c r="C1886" t="inlineStr">
        <is>
          <t>-&gt; Maschinenbauer</t>
        </is>
      </c>
      <c r="F1886" t="inlineStr">
        <is>
          <t>Mechanikus</t>
        </is>
      </c>
      <c r="G1886" t="inlineStr">
        <is>
          <t>Wert</t>
        </is>
      </c>
      <c r="L1886" t="inlineStr">
        <is>
          <t>SVERWEIS(wert;'WHK-Spez-Kosten';3;1)</t>
        </is>
      </c>
    </row>
    <row r="1887" hidden="1" ht="15.75" customHeight="1" s="48">
      <c r="A1887" t="inlineStr">
        <is>
          <t>whk_spez_mechanikus_dampftechniker</t>
        </is>
      </c>
      <c r="B1887" t="inlineStr">
        <is>
          <t>WHK</t>
        </is>
      </c>
      <c r="C1887" t="inlineStr">
        <is>
          <t>-&gt; Dampftechniker</t>
        </is>
      </c>
      <c r="F1887" t="inlineStr">
        <is>
          <t>Mechanikus</t>
        </is>
      </c>
      <c r="G1887" t="inlineStr">
        <is>
          <t>Wert</t>
        </is>
      </c>
      <c r="L1887" t="inlineStr">
        <is>
          <t>SVERWEIS(wert;'WHK-Spez-Kosten';3;1)</t>
        </is>
      </c>
    </row>
    <row r="1888" hidden="1" ht="15.75" customHeight="1" s="48">
      <c r="A1888" t="inlineStr">
        <is>
          <t>whk_spez_mechanikus_pumpenbauer</t>
        </is>
      </c>
      <c r="B1888" t="inlineStr">
        <is>
          <t>WHK</t>
        </is>
      </c>
      <c r="C1888" t="inlineStr">
        <is>
          <t>-&gt; Pumpenbauer</t>
        </is>
      </c>
      <c r="F1888" t="inlineStr">
        <is>
          <t>Mechanikus</t>
        </is>
      </c>
      <c r="G1888" t="inlineStr">
        <is>
          <t>Wert</t>
        </is>
      </c>
      <c r="L1888" t="inlineStr">
        <is>
          <t>SVERWEIS(wert;'WHK-Spez-Kosten';3;1)</t>
        </is>
      </c>
    </row>
    <row r="1889" hidden="1" ht="15.75" customHeight="1" s="48">
      <c r="A1889" t="inlineStr">
        <is>
          <t>whk_barbier</t>
        </is>
      </c>
      <c r="B1889" t="inlineStr">
        <is>
          <t>WHK</t>
        </is>
      </c>
      <c r="C1889" t="inlineStr">
        <is>
          <t>Barbier</t>
        </is>
      </c>
      <c r="F1889" t="inlineStr">
        <is>
          <t>Sonstiges Handwerk</t>
        </is>
      </c>
      <c r="G1889" t="inlineStr">
        <is>
          <t>Wert</t>
        </is>
      </c>
      <c r="L1889" t="inlineStr">
        <is>
          <t>WENN(wert=0;0;10+(wert-1)*wert/2)</t>
        </is>
      </c>
    </row>
    <row r="1890" hidden="1" ht="15.75" customHeight="1" s="48">
      <c r="A1890" t="inlineStr">
        <is>
          <t>whk_spez_barbier_bader</t>
        </is>
      </c>
      <c r="B1890" t="inlineStr">
        <is>
          <t>WHK</t>
        </is>
      </c>
      <c r="C1890" t="inlineStr">
        <is>
          <t>-&gt; Bader</t>
        </is>
      </c>
      <c r="F1890" t="inlineStr">
        <is>
          <t>Barbier</t>
        </is>
      </c>
      <c r="G1890" t="inlineStr">
        <is>
          <t>Wert</t>
        </is>
      </c>
      <c r="L1890" t="inlineStr">
        <is>
          <t>SVERWEIS(wert;'WHK-Spez-Kosten';3;1)</t>
        </is>
      </c>
    </row>
    <row r="1891" hidden="1" ht="15.75" customHeight="1" s="48">
      <c r="A1891" t="inlineStr">
        <is>
          <t>whk_spez_barbier_frisoer</t>
        </is>
      </c>
      <c r="B1891" t="inlineStr">
        <is>
          <t>WHK</t>
        </is>
      </c>
      <c r="C1891" t="inlineStr">
        <is>
          <t>-&gt; Frisör</t>
        </is>
      </c>
      <c r="F1891" t="inlineStr">
        <is>
          <t>Barbier</t>
        </is>
      </c>
      <c r="G1891" t="inlineStr">
        <is>
          <t>Wert</t>
        </is>
      </c>
      <c r="L1891" t="inlineStr">
        <is>
          <t>SVERWEIS(wert;'WHK-Spez-Kosten';3;1)</t>
        </is>
      </c>
    </row>
    <row r="1892" hidden="1" ht="15.75" customHeight="1" s="48">
      <c r="A1892" t="inlineStr">
        <is>
          <t>whk_spez_barbier_kosmetiker</t>
        </is>
      </c>
      <c r="B1892" t="inlineStr">
        <is>
          <t>WHK</t>
        </is>
      </c>
      <c r="C1892" t="inlineStr">
        <is>
          <t>-&gt; Kosmetiker</t>
        </is>
      </c>
      <c r="F1892" t="inlineStr">
        <is>
          <t>Barbier</t>
        </is>
      </c>
      <c r="G1892" t="inlineStr">
        <is>
          <t>Wert</t>
        </is>
      </c>
      <c r="L1892" t="inlineStr">
        <is>
          <t>SVERWEIS(wert;'WHK-Spez-Kosten';3;1)</t>
        </is>
      </c>
    </row>
    <row r="1893" hidden="1" ht="15.75" customHeight="1" s="48">
      <c r="A1893" t="inlineStr">
        <is>
          <t>whk_drucker</t>
        </is>
      </c>
      <c r="B1893" t="inlineStr">
        <is>
          <t>WHK</t>
        </is>
      </c>
      <c r="C1893" t="inlineStr">
        <is>
          <t>Drucker</t>
        </is>
      </c>
      <c r="F1893" t="inlineStr">
        <is>
          <t>Sonstiges Handwerk</t>
        </is>
      </c>
      <c r="G1893" t="inlineStr">
        <is>
          <t>Wert</t>
        </is>
      </c>
      <c r="L1893" t="inlineStr">
        <is>
          <t>WENN(wert=0;0;10+(wert-1)*wert/2)</t>
        </is>
      </c>
    </row>
    <row r="1894" hidden="1" ht="15.75" customHeight="1" s="48">
      <c r="A1894" t="inlineStr">
        <is>
          <t>whk_spez_drucker_buchbinder</t>
        </is>
      </c>
      <c r="B1894" t="inlineStr">
        <is>
          <t>WHK</t>
        </is>
      </c>
      <c r="C1894" t="inlineStr">
        <is>
          <t>-&gt; Buchbinder</t>
        </is>
      </c>
      <c r="F1894" t="inlineStr">
        <is>
          <t>Drucker</t>
        </is>
      </c>
      <c r="G1894" t="inlineStr">
        <is>
          <t>Wert</t>
        </is>
      </c>
      <c r="L1894" t="inlineStr">
        <is>
          <t>SVERWEIS(wert;'WHK-Spez-Kosten';3;1)</t>
        </is>
      </c>
    </row>
    <row r="1895" hidden="1" ht="15.75" customHeight="1" s="48">
      <c r="A1895" t="inlineStr">
        <is>
          <t>whk_spez_drucker_papiermacher</t>
        </is>
      </c>
      <c r="B1895" t="inlineStr">
        <is>
          <t>WHK</t>
        </is>
      </c>
      <c r="C1895" t="inlineStr">
        <is>
          <t>-&gt; Papiermacher</t>
        </is>
      </c>
      <c r="F1895" t="inlineStr">
        <is>
          <t>Drucker</t>
        </is>
      </c>
      <c r="G1895" t="inlineStr">
        <is>
          <t>Wert</t>
        </is>
      </c>
      <c r="L1895" t="inlineStr">
        <is>
          <t>SVERWEIS(wert;'WHK-Spez-Kosten';3;1)</t>
        </is>
      </c>
    </row>
    <row r="1896" hidden="1" ht="15.75" customHeight="1" s="48">
      <c r="A1896" t="inlineStr">
        <is>
          <t>whk_spez_drucker_lithograf</t>
        </is>
      </c>
      <c r="B1896" t="inlineStr">
        <is>
          <t>WHK</t>
        </is>
      </c>
      <c r="C1896" t="inlineStr">
        <is>
          <t>-&gt; Lithograf</t>
        </is>
      </c>
      <c r="F1896" t="inlineStr">
        <is>
          <t>Drucker</t>
        </is>
      </c>
      <c r="G1896" t="inlineStr">
        <is>
          <t>Wert</t>
        </is>
      </c>
      <c r="L1896" t="inlineStr">
        <is>
          <t>SVERWEIS(wert;'WHK-Spez-Kosten';3;1)</t>
        </is>
      </c>
    </row>
    <row r="1897" hidden="1" ht="15.75" customHeight="1" s="48">
      <c r="A1897" t="inlineStr">
        <is>
          <t>whk_spez_drucker_stereotypeur</t>
        </is>
      </c>
      <c r="B1897" t="inlineStr">
        <is>
          <t>WHK</t>
        </is>
      </c>
      <c r="C1897" t="inlineStr">
        <is>
          <t>-&gt; Stereotypeur</t>
        </is>
      </c>
      <c r="F1897" t="inlineStr">
        <is>
          <t>Drucker</t>
        </is>
      </c>
      <c r="G1897" t="inlineStr">
        <is>
          <t>Wert</t>
        </is>
      </c>
      <c r="L1897" t="inlineStr">
        <is>
          <t>SVERWEIS(wert;'WHK-Spez-Kosten';3;1)</t>
        </is>
      </c>
    </row>
    <row r="1898" hidden="1" ht="15.75" customHeight="1" s="48">
      <c r="A1898" t="inlineStr">
        <is>
          <t>whk_luftschiffbauer</t>
        </is>
      </c>
      <c r="B1898" t="inlineStr">
        <is>
          <t>WHK</t>
        </is>
      </c>
      <c r="C1898" t="inlineStr">
        <is>
          <t>Luftschiffbauer</t>
        </is>
      </c>
      <c r="F1898" t="inlineStr">
        <is>
          <t>Sonstiges Handwerk</t>
        </is>
      </c>
      <c r="G1898" t="inlineStr">
        <is>
          <t>Wert</t>
        </is>
      </c>
      <c r="L1898" t="inlineStr">
        <is>
          <t>WENN(wert=0;0;10+(wert-1)*wert/2)</t>
        </is>
      </c>
    </row>
    <row r="1899" hidden="1" ht="15.75" customHeight="1" s="48">
      <c r="A1899" t="inlineStr">
        <is>
          <t>whk_spez_luftschiffbauer_militaerschiffbauer</t>
        </is>
      </c>
      <c r="B1899" t="inlineStr">
        <is>
          <t>WHK</t>
        </is>
      </c>
      <c r="C1899" t="inlineStr">
        <is>
          <t>-&gt; Militärschiffbauer</t>
        </is>
      </c>
      <c r="F1899" t="inlineStr">
        <is>
          <t>Luftschiffbauer</t>
        </is>
      </c>
      <c r="G1899" t="inlineStr">
        <is>
          <t>Wert</t>
        </is>
      </c>
      <c r="L1899" t="inlineStr">
        <is>
          <t>SVERWEIS(wert;'WHK-Spez-Kosten';3;1)</t>
        </is>
      </c>
    </row>
    <row r="1900" hidden="1" ht="15.75" customHeight="1" s="48">
      <c r="A1900" t="inlineStr">
        <is>
          <t>whk_spez_luftschiffbauer_reiseschiffbauer</t>
        </is>
      </c>
      <c r="B1900" t="inlineStr">
        <is>
          <t>WHK</t>
        </is>
      </c>
      <c r="C1900" t="inlineStr">
        <is>
          <t>-&gt; Reiseschiffbauer</t>
        </is>
      </c>
      <c r="F1900" t="inlineStr">
        <is>
          <t>Luftschiffbauer</t>
        </is>
      </c>
      <c r="G1900" t="inlineStr">
        <is>
          <t>Wert</t>
        </is>
      </c>
      <c r="L1900" t="inlineStr">
        <is>
          <t>SVERWEIS(wert;'WHK-Spez-Kosten';3;1)</t>
        </is>
      </c>
    </row>
    <row r="1901" hidden="1" ht="15.75" customHeight="1" s="48">
      <c r="A1901" t="inlineStr">
        <is>
          <t>whk_spez_luftschiffbauer_transportschiffbauer</t>
        </is>
      </c>
      <c r="B1901" t="inlineStr">
        <is>
          <t>WHK</t>
        </is>
      </c>
      <c r="C1901" t="inlineStr">
        <is>
          <t>-&gt; Transportschiffbauer</t>
        </is>
      </c>
      <c r="F1901" t="inlineStr">
        <is>
          <t>Luftschiffbauer</t>
        </is>
      </c>
      <c r="G1901" t="inlineStr">
        <is>
          <t>Wert</t>
        </is>
      </c>
      <c r="L1901" t="inlineStr">
        <is>
          <t>SVERWEIS(wert;'WHK-Spez-Kosten';3;1)</t>
        </is>
      </c>
    </row>
    <row r="1902" hidden="1" ht="15.75" customHeight="1" s="48">
      <c r="A1902" t="inlineStr">
        <is>
          <t>whk_landwirtschaft</t>
        </is>
      </c>
      <c r="B1902" t="inlineStr">
        <is>
          <t>WHK</t>
        </is>
      </c>
      <c r="C1902" t="inlineStr">
        <is>
          <t>Landwirtschaft</t>
        </is>
      </c>
      <c r="F1902" t="inlineStr">
        <is>
          <t>Natur/Landwirtschaft</t>
        </is>
      </c>
      <c r="G1902" t="inlineStr">
        <is>
          <t>Wert</t>
        </is>
      </c>
      <c r="L1902" t="inlineStr">
        <is>
          <t>WENN(wert=0;0;10+(wert-1)*wert/2)</t>
        </is>
      </c>
    </row>
    <row r="1903" hidden="1" ht="15.75" customHeight="1" s="48">
      <c r="A1903" t="inlineStr">
        <is>
          <t>whk_spez_landwirtschaft_gemuesebauer</t>
        </is>
      </c>
      <c r="B1903" t="inlineStr">
        <is>
          <t>WHK</t>
        </is>
      </c>
      <c r="C1903" t="inlineStr">
        <is>
          <t>-&gt; Gemüsebauer</t>
        </is>
      </c>
      <c r="F1903" t="inlineStr">
        <is>
          <t>Landwirtschaft</t>
        </is>
      </c>
      <c r="G1903" t="inlineStr">
        <is>
          <t>Wert</t>
        </is>
      </c>
      <c r="L1903" t="inlineStr">
        <is>
          <t>SVERWEIS(wert;'WHK-Spez-Kosten';3;1)</t>
        </is>
      </c>
    </row>
    <row r="1904" hidden="1" ht="15.75" customHeight="1" s="48">
      <c r="A1904" t="inlineStr">
        <is>
          <t>whk_spez_landwirtschaft_getreidebauer</t>
        </is>
      </c>
      <c r="B1904" t="inlineStr">
        <is>
          <t>WHK</t>
        </is>
      </c>
      <c r="C1904" t="inlineStr">
        <is>
          <t>-&gt; Getreidebauer</t>
        </is>
      </c>
      <c r="F1904" t="inlineStr">
        <is>
          <t>Landwirtschaft</t>
        </is>
      </c>
      <c r="G1904" t="inlineStr">
        <is>
          <t>Wert</t>
        </is>
      </c>
      <c r="L1904" t="inlineStr">
        <is>
          <t>SVERWEIS(wert;'WHK-Spez-Kosten';3;1)</t>
        </is>
      </c>
    </row>
    <row r="1905" hidden="1" ht="15.75" customHeight="1" s="48">
      <c r="A1905" t="inlineStr">
        <is>
          <t>whk_spez_landwirtschaft_obstbauer</t>
        </is>
      </c>
      <c r="B1905" t="inlineStr">
        <is>
          <t>WHK</t>
        </is>
      </c>
      <c r="C1905" t="inlineStr">
        <is>
          <t>-&gt; Obstbauer</t>
        </is>
      </c>
      <c r="F1905" t="inlineStr">
        <is>
          <t>Landwirtschaft</t>
        </is>
      </c>
      <c r="G1905" t="inlineStr">
        <is>
          <t>Wert</t>
        </is>
      </c>
      <c r="L1905" t="inlineStr">
        <is>
          <t>SVERWEIS(wert;'WHK-Spez-Kosten';3;1)</t>
        </is>
      </c>
    </row>
    <row r="1906" hidden="1" ht="15.75" customHeight="1" s="48">
      <c r="A1906" t="inlineStr">
        <is>
          <t>whk_spez_landwirtschaft_ruebenbauer</t>
        </is>
      </c>
      <c r="B1906" t="inlineStr">
        <is>
          <t>WHK</t>
        </is>
      </c>
      <c r="C1906" t="inlineStr">
        <is>
          <t>-&gt; Rübenbauer</t>
        </is>
      </c>
      <c r="F1906" t="inlineStr">
        <is>
          <t>Landwirtschaft</t>
        </is>
      </c>
      <c r="G1906" t="inlineStr">
        <is>
          <t>Wert</t>
        </is>
      </c>
      <c r="L1906" t="inlineStr">
        <is>
          <t>SVERWEIS(wert;'WHK-Spez-Kosten';3;1)</t>
        </is>
      </c>
    </row>
    <row r="1907" hidden="1" ht="15.75" customHeight="1" s="48">
      <c r="A1907" t="inlineStr">
        <is>
          <t>whk_spez_landwirtschaft_tabakpflanzer</t>
        </is>
      </c>
      <c r="B1907" t="inlineStr">
        <is>
          <t>WHK</t>
        </is>
      </c>
      <c r="C1907" t="inlineStr">
        <is>
          <t>-&gt; Tabakpflanzer</t>
        </is>
      </c>
      <c r="F1907" t="inlineStr">
        <is>
          <t>Landwirtschaft</t>
        </is>
      </c>
      <c r="G1907" t="inlineStr">
        <is>
          <t>Wert</t>
        </is>
      </c>
      <c r="L1907" t="inlineStr">
        <is>
          <t>SVERWEIS(wert;'WHK-Spez-Kosten';3;1)</t>
        </is>
      </c>
    </row>
    <row r="1908" hidden="1" ht="15.75" customHeight="1" s="48">
      <c r="A1908" t="inlineStr">
        <is>
          <t>whk_spez_landwirtschaft_winzer</t>
        </is>
      </c>
      <c r="B1908" t="inlineStr">
        <is>
          <t>WHK</t>
        </is>
      </c>
      <c r="C1908" t="inlineStr">
        <is>
          <t>-&gt; Winzer</t>
        </is>
      </c>
      <c r="F1908" t="inlineStr">
        <is>
          <t>Landwirtschaft</t>
        </is>
      </c>
      <c r="G1908" t="inlineStr">
        <is>
          <t>Wert</t>
        </is>
      </c>
      <c r="L1908" t="inlineStr">
        <is>
          <t>SVERWEIS(wert;'WHK-Spez-Kosten';3;1)</t>
        </is>
      </c>
    </row>
    <row r="1909" hidden="1" ht="15.75" customHeight="1" s="48">
      <c r="A1909" t="inlineStr">
        <is>
          <t>whk_spez_landwirtschaft_baumschulgaertner</t>
        </is>
      </c>
      <c r="B1909" t="inlineStr">
        <is>
          <t>WHK</t>
        </is>
      </c>
      <c r="C1909" t="inlineStr">
        <is>
          <t>-&gt; Baumschulgärtner</t>
        </is>
      </c>
      <c r="F1909" t="inlineStr">
        <is>
          <t>Landwirtschaft</t>
        </is>
      </c>
      <c r="G1909" t="inlineStr">
        <is>
          <t>Wert</t>
        </is>
      </c>
      <c r="L1909" t="inlineStr">
        <is>
          <t>SVERWEIS(wert;'WHK-Spez-Kosten';3;1)</t>
        </is>
      </c>
    </row>
    <row r="1910" hidden="1" ht="15.75" customHeight="1" s="48">
      <c r="A1910" t="inlineStr">
        <is>
          <t>whk_spez_landwirtschaft_gewuerze</t>
        </is>
      </c>
      <c r="B1910" t="inlineStr">
        <is>
          <t>WHK</t>
        </is>
      </c>
      <c r="C1910" t="inlineStr">
        <is>
          <t>-&gt; Gewürze</t>
        </is>
      </c>
      <c r="F1910" t="inlineStr">
        <is>
          <t>Landwirtschaft</t>
        </is>
      </c>
      <c r="G1910" t="inlineStr">
        <is>
          <t>Wert</t>
        </is>
      </c>
      <c r="L1910" t="inlineStr">
        <is>
          <t>SVERWEIS(wert;'WHK-Spez-Kosten';3;1)</t>
        </is>
      </c>
    </row>
    <row r="1911" hidden="1" ht="15.75" customHeight="1" s="48">
      <c r="A1911" t="inlineStr">
        <is>
          <t>whk_spez_landwirtschaft_baumwollpflanzer</t>
        </is>
      </c>
      <c r="B1911" t="inlineStr">
        <is>
          <t>WHK</t>
        </is>
      </c>
      <c r="C1911" t="inlineStr">
        <is>
          <t>-&gt; Baumwollpflanzer</t>
        </is>
      </c>
      <c r="F1911" t="inlineStr">
        <is>
          <t>Landwirtschaft</t>
        </is>
      </c>
      <c r="G1911" t="inlineStr">
        <is>
          <t>Wert</t>
        </is>
      </c>
      <c r="L1911" t="inlineStr">
        <is>
          <t>SVERWEIS(wert;'WHK-Spez-Kosten';3;1)</t>
        </is>
      </c>
    </row>
    <row r="1912" hidden="1" ht="15.75" customHeight="1" s="48">
      <c r="A1912" t="inlineStr">
        <is>
          <t>whk_spez_landwirtschaft_alchemistische_zutaten</t>
        </is>
      </c>
      <c r="B1912" t="inlineStr">
        <is>
          <t>WHK</t>
        </is>
      </c>
      <c r="C1912" t="inlineStr">
        <is>
          <t>-&gt; Alchemistische Zutaten</t>
        </is>
      </c>
      <c r="F1912" t="inlineStr">
        <is>
          <t>Landwirtschaft</t>
        </is>
      </c>
      <c r="G1912" t="inlineStr">
        <is>
          <t>Wert</t>
        </is>
      </c>
      <c r="L1912" t="inlineStr">
        <is>
          <t>SVERWEIS(wert;'WHK-Spez-Kosten';3;1)</t>
        </is>
      </c>
    </row>
    <row r="1913" hidden="1" ht="15.75" customHeight="1" s="48">
      <c r="A1913" t="inlineStr">
        <is>
          <t>whk_viehwirtschaft</t>
        </is>
      </c>
      <c r="B1913" t="inlineStr">
        <is>
          <t>WHK</t>
        </is>
      </c>
      <c r="C1913" t="inlineStr">
        <is>
          <t>Viehwirtschaft</t>
        </is>
      </c>
      <c r="F1913" t="inlineStr">
        <is>
          <t>Natur/Landwirtschaft</t>
        </is>
      </c>
      <c r="G1913" t="inlineStr">
        <is>
          <t>Wert</t>
        </is>
      </c>
      <c r="L1913" t="inlineStr">
        <is>
          <t>WENN(wert=0;0;10+(wert-1)*wert/2)</t>
        </is>
      </c>
    </row>
    <row r="1914" hidden="1" ht="15.75" customHeight="1" s="48">
      <c r="A1914" t="inlineStr">
        <is>
          <t>whk_spez_viehwirtschaft_gefluegelzuechter</t>
        </is>
      </c>
      <c r="B1914" t="inlineStr">
        <is>
          <t>WHK</t>
        </is>
      </c>
      <c r="C1914" t="inlineStr">
        <is>
          <t>-&gt; Geflügelzüchter</t>
        </is>
      </c>
      <c r="F1914" t="inlineStr">
        <is>
          <t>Viehwirtschaft</t>
        </is>
      </c>
      <c r="G1914" t="inlineStr">
        <is>
          <t>Wert</t>
        </is>
      </c>
      <c r="L1914" t="inlineStr">
        <is>
          <t>SVERWEIS(wert;'WHK-Spez-Kosten';3;1)</t>
        </is>
      </c>
    </row>
    <row r="1915" hidden="1" ht="15.75" customHeight="1" s="48">
      <c r="A1915" t="inlineStr">
        <is>
          <t>whk_spez_viehwirtschaft_imker</t>
        </is>
      </c>
      <c r="B1915" t="inlineStr">
        <is>
          <t>WHK</t>
        </is>
      </c>
      <c r="C1915" t="inlineStr">
        <is>
          <t>-&gt; Imker</t>
        </is>
      </c>
      <c r="F1915" t="inlineStr">
        <is>
          <t>Viehwirtschaft</t>
        </is>
      </c>
      <c r="G1915" t="inlineStr">
        <is>
          <t>Wert</t>
        </is>
      </c>
      <c r="L1915" t="inlineStr">
        <is>
          <t>SVERWEIS(wert;'WHK-Spez-Kosten';3;1)</t>
        </is>
      </c>
    </row>
    <row r="1916" hidden="1" ht="15.75" customHeight="1" s="48">
      <c r="A1916" t="inlineStr">
        <is>
          <t>whk_spez_viehwirtschaft_milchbauer</t>
        </is>
      </c>
      <c r="B1916" t="inlineStr">
        <is>
          <t>WHK</t>
        </is>
      </c>
      <c r="C1916" t="inlineStr">
        <is>
          <t>-&gt; Milchbauer</t>
        </is>
      </c>
      <c r="F1916" t="inlineStr">
        <is>
          <t>Viehwirtschaft</t>
        </is>
      </c>
      <c r="G1916" t="inlineStr">
        <is>
          <t>Wert</t>
        </is>
      </c>
      <c r="L1916" t="inlineStr">
        <is>
          <t>SVERWEIS(wert;'WHK-Spez-Kosten';3;1)</t>
        </is>
      </c>
    </row>
    <row r="1917" hidden="1" ht="15.75" customHeight="1" s="48">
      <c r="A1917" t="inlineStr">
        <is>
          <t>whk_spez_viehwirtschaft_weidehirte</t>
        </is>
      </c>
      <c r="B1917" t="inlineStr">
        <is>
          <t>WHK</t>
        </is>
      </c>
      <c r="C1917" t="inlineStr">
        <is>
          <t>-&gt; Weidehirte</t>
        </is>
      </c>
      <c r="F1917" t="inlineStr">
        <is>
          <t>Viehwirtschaft</t>
        </is>
      </c>
      <c r="G1917" t="inlineStr">
        <is>
          <t>Wert</t>
        </is>
      </c>
      <c r="L1917" t="inlineStr">
        <is>
          <t>SVERWEIS(wert;'WHK-Spez-Kosten';3;1)</t>
        </is>
      </c>
    </row>
    <row r="1918" hidden="1" ht="15.75" customHeight="1" s="48">
      <c r="A1918" t="inlineStr">
        <is>
          <t>whk_spez_viehwirtschaft_viehtreiber</t>
        </is>
      </c>
      <c r="B1918" t="inlineStr">
        <is>
          <t>WHK</t>
        </is>
      </c>
      <c r="C1918" t="inlineStr">
        <is>
          <t>-&gt; Viehtreiber</t>
        </is>
      </c>
      <c r="F1918" t="inlineStr">
        <is>
          <t>Viehwirtschaft</t>
        </is>
      </c>
      <c r="G1918" t="inlineStr">
        <is>
          <t>Wert</t>
        </is>
      </c>
      <c r="L1918" t="inlineStr">
        <is>
          <t>SVERWEIS(wert;'WHK-Spez-Kosten';3;1)</t>
        </is>
      </c>
    </row>
    <row r="1919" hidden="1" ht="15.75" customHeight="1" s="48">
      <c r="A1919" t="inlineStr">
        <is>
          <t>whk_spez_viehwirtschaft_grossechsenzuechter</t>
        </is>
      </c>
      <c r="B1919" t="inlineStr">
        <is>
          <t>WHK</t>
        </is>
      </c>
      <c r="C1919" t="inlineStr">
        <is>
          <t>-&gt; Großechsenzüchter</t>
        </is>
      </c>
      <c r="F1919" t="inlineStr">
        <is>
          <t>Viehwirtschaft</t>
        </is>
      </c>
      <c r="G1919" t="inlineStr">
        <is>
          <t>Wert</t>
        </is>
      </c>
      <c r="L1919" t="inlineStr">
        <is>
          <t>SVERWEIS(wert;'WHK-Spez-Kosten';3;1)</t>
        </is>
      </c>
    </row>
    <row r="1920" hidden="1" ht="15.75" customHeight="1" s="48">
      <c r="A1920" t="inlineStr">
        <is>
          <t>whk_spez_viehwirtschaft_riesenasselzuechter</t>
        </is>
      </c>
      <c r="B1920" t="inlineStr">
        <is>
          <t>WHK</t>
        </is>
      </c>
      <c r="C1920" t="inlineStr">
        <is>
          <t>-&gt; Riesenasselzüchter</t>
        </is>
      </c>
      <c r="F1920" t="inlineStr">
        <is>
          <t>Viehwirtschaft</t>
        </is>
      </c>
      <c r="G1920" t="inlineStr">
        <is>
          <t>Wert</t>
        </is>
      </c>
      <c r="L1920" t="inlineStr">
        <is>
          <t>SVERWEIS(wert;'WHK-Spez-Kosten';3;1)</t>
        </is>
      </c>
    </row>
    <row r="1921" hidden="1" ht="15.75" customHeight="1" s="48">
      <c r="A1921" t="inlineStr">
        <is>
          <t>whk_spez_viehwirtschaft_wargzuechter</t>
        </is>
      </c>
      <c r="B1921" t="inlineStr">
        <is>
          <t>WHK</t>
        </is>
      </c>
      <c r="C1921" t="inlineStr">
        <is>
          <t>-&gt; Wargzüchter</t>
        </is>
      </c>
      <c r="F1921" t="inlineStr">
        <is>
          <t>Viehwirtschaft</t>
        </is>
      </c>
      <c r="G1921" t="inlineStr">
        <is>
          <t>Wert</t>
        </is>
      </c>
      <c r="L1921" t="inlineStr">
        <is>
          <t>SVERWEIS(wert;'WHK-Spez-Kosten';3;1)</t>
        </is>
      </c>
    </row>
    <row r="1922" hidden="1" ht="15.75" customHeight="1" s="48">
      <c r="A1922" t="inlineStr">
        <is>
          <t>whk_jaeger</t>
        </is>
      </c>
      <c r="B1922" t="inlineStr">
        <is>
          <t>WHK</t>
        </is>
      </c>
      <c r="C1922" t="inlineStr">
        <is>
          <t>Jäger</t>
        </is>
      </c>
      <c r="F1922" t="inlineStr">
        <is>
          <t>Natur/Landwirtschaft</t>
        </is>
      </c>
      <c r="G1922" t="inlineStr">
        <is>
          <t>Wert</t>
        </is>
      </c>
      <c r="L1922" t="inlineStr">
        <is>
          <t>WENN(wert=0;0;10+(wert-1)*wert/2)</t>
        </is>
      </c>
    </row>
    <row r="1923" hidden="1" ht="15.75" customHeight="1" s="48">
      <c r="A1923" t="inlineStr">
        <is>
          <t>whk_spez_jaeger_fallensteller</t>
        </is>
      </c>
      <c r="B1923" t="inlineStr">
        <is>
          <t>WHK</t>
        </is>
      </c>
      <c r="C1923" t="inlineStr">
        <is>
          <t>-&gt; Fallensteller</t>
        </is>
      </c>
      <c r="F1923" t="inlineStr">
        <is>
          <t>Jäger</t>
        </is>
      </c>
      <c r="G1923" t="inlineStr">
        <is>
          <t>Wert</t>
        </is>
      </c>
      <c r="L1923" t="inlineStr">
        <is>
          <t>SVERWEIS(wert;'WHK-Spez-Kosten';3;1)</t>
        </is>
      </c>
    </row>
    <row r="1924" hidden="1" ht="15.75" customHeight="1" s="48">
      <c r="A1924" t="inlineStr">
        <is>
          <t>whk_spez_jaeger_grosswildjaeger</t>
        </is>
      </c>
      <c r="B1924" t="inlineStr">
        <is>
          <t>WHK</t>
        </is>
      </c>
      <c r="C1924" t="inlineStr">
        <is>
          <t>-&gt; Großwildjäger</t>
        </is>
      </c>
      <c r="F1924" t="inlineStr">
        <is>
          <t>Jäger</t>
        </is>
      </c>
      <c r="G1924" t="inlineStr">
        <is>
          <t>Wert</t>
        </is>
      </c>
      <c r="L1924" t="inlineStr">
        <is>
          <t>SVERWEIS(wert;'WHK-Spez-Kosten';3;1)</t>
        </is>
      </c>
    </row>
    <row r="1925" hidden="1" ht="15.75" customHeight="1" s="48">
      <c r="A1925" t="inlineStr">
        <is>
          <t>whk_spez_jaeger_treiber</t>
        </is>
      </c>
      <c r="B1925" t="inlineStr">
        <is>
          <t>WHK</t>
        </is>
      </c>
      <c r="C1925" t="inlineStr">
        <is>
          <t>-&gt; Treiber</t>
        </is>
      </c>
      <c r="F1925" t="inlineStr">
        <is>
          <t>Jäger</t>
        </is>
      </c>
      <c r="G1925" t="inlineStr">
        <is>
          <t>Wert</t>
        </is>
      </c>
      <c r="L1925" t="inlineStr">
        <is>
          <t>SVERWEIS(wert;'WHK-Spez-Kosten';3;1)</t>
        </is>
      </c>
    </row>
    <row r="1926" hidden="1" ht="15.75" customHeight="1" s="48">
      <c r="A1926" t="inlineStr">
        <is>
          <t>whk_spez_jaeger_rotwildjaeger</t>
        </is>
      </c>
      <c r="B1926" t="inlineStr">
        <is>
          <t>WHK</t>
        </is>
      </c>
      <c r="C1926" t="inlineStr">
        <is>
          <t>-&gt; Rotwildjäger</t>
        </is>
      </c>
      <c r="F1926" t="inlineStr">
        <is>
          <t>Jäger</t>
        </is>
      </c>
      <c r="G1926" t="inlineStr">
        <is>
          <t>Wert</t>
        </is>
      </c>
      <c r="L1926" t="inlineStr">
        <is>
          <t>SVERWEIS(wert;'WHK-Spez-Kosten';3;1)</t>
        </is>
      </c>
    </row>
    <row r="1927" hidden="1" ht="15.75" customHeight="1" s="48">
      <c r="A1927" t="inlineStr">
        <is>
          <t>whk_pflanzenkunde</t>
        </is>
      </c>
      <c r="B1927" t="inlineStr">
        <is>
          <t>WHK</t>
        </is>
      </c>
      <c r="C1927" t="inlineStr">
        <is>
          <t>Pflanzenkunde</t>
        </is>
      </c>
      <c r="F1927" t="inlineStr">
        <is>
          <t>Natur/Landwirtschaft</t>
        </is>
      </c>
      <c r="G1927" t="inlineStr">
        <is>
          <t>Wert</t>
        </is>
      </c>
      <c r="L1927" t="inlineStr">
        <is>
          <t>WENN(wert=0;0;10+(wert-1)*wert/2)</t>
        </is>
      </c>
    </row>
    <row r="1928" hidden="1" ht="15.75" customHeight="1" s="48">
      <c r="A1928" t="inlineStr">
        <is>
          <t>whk_spez_pflanzenkunde_foerster</t>
        </is>
      </c>
      <c r="B1928" t="inlineStr">
        <is>
          <t>WHK</t>
        </is>
      </c>
      <c r="C1928" t="inlineStr">
        <is>
          <t>-&gt; Förster</t>
        </is>
      </c>
      <c r="F1928" t="inlineStr">
        <is>
          <t>Pflanzenkunde</t>
        </is>
      </c>
      <c r="G1928" t="inlineStr">
        <is>
          <t>Wert</t>
        </is>
      </c>
      <c r="L1928" t="inlineStr">
        <is>
          <t>SVERWEIS(wert;'WHK-Spez-Kosten';3;1)</t>
        </is>
      </c>
    </row>
    <row r="1929" hidden="1" ht="15.75" customHeight="1" s="48">
      <c r="A1929" t="inlineStr">
        <is>
          <t>whk_spez_pflanzenkunde_farbstoffe</t>
        </is>
      </c>
      <c r="B1929" t="inlineStr">
        <is>
          <t>WHK</t>
        </is>
      </c>
      <c r="C1929" t="inlineStr">
        <is>
          <t>-&gt; Farbstoffe</t>
        </is>
      </c>
      <c r="F1929" t="inlineStr">
        <is>
          <t>Pflanzenkunde</t>
        </is>
      </c>
      <c r="G1929" t="inlineStr">
        <is>
          <t>Wert</t>
        </is>
      </c>
      <c r="L1929" t="inlineStr">
        <is>
          <t>SVERWEIS(wert;'WHK-Spez-Kosten';3;1)</t>
        </is>
      </c>
    </row>
    <row r="1930" hidden="1" ht="15.75" customHeight="1" s="48">
      <c r="A1930" t="inlineStr">
        <is>
          <t>whk_spez_pflanzenkunde_kraeuterkundler</t>
        </is>
      </c>
      <c r="B1930" t="inlineStr">
        <is>
          <t>WHK</t>
        </is>
      </c>
      <c r="C1930" t="inlineStr">
        <is>
          <t>-&gt; Kräuterkundler</t>
        </is>
      </c>
      <c r="F1930" t="inlineStr">
        <is>
          <t>Pflanzenkunde</t>
        </is>
      </c>
      <c r="G1930" t="inlineStr">
        <is>
          <t>Wert</t>
        </is>
      </c>
      <c r="L1930" t="inlineStr">
        <is>
          <t>SVERWEIS(wert;'WHK-Spez-Kosten';3;1)</t>
        </is>
      </c>
    </row>
    <row r="1931" hidden="1" ht="15.75" customHeight="1" s="48">
      <c r="A1931" t="inlineStr">
        <is>
          <t>whk_spez_pflanzenkunde_moose</t>
        </is>
      </c>
      <c r="B1931" t="inlineStr">
        <is>
          <t>WHK</t>
        </is>
      </c>
      <c r="C1931" t="inlineStr">
        <is>
          <t>-&gt; Moose</t>
        </is>
      </c>
      <c r="F1931" t="inlineStr">
        <is>
          <t>Pflanzenkunde</t>
        </is>
      </c>
      <c r="G1931" t="inlineStr">
        <is>
          <t>Wert</t>
        </is>
      </c>
      <c r="L1931" t="inlineStr">
        <is>
          <t>SVERWEIS(wert;'WHK-Spez-Kosten';3;1)</t>
        </is>
      </c>
    </row>
    <row r="1932" hidden="1" ht="15.75" customHeight="1" s="48">
      <c r="A1932" t="inlineStr">
        <is>
          <t>whk_spez_pflanzenkunde_pilzsammler</t>
        </is>
      </c>
      <c r="B1932" t="inlineStr">
        <is>
          <t>WHK</t>
        </is>
      </c>
      <c r="C1932" t="inlineStr">
        <is>
          <t>-&gt; Pilzsammler</t>
        </is>
      </c>
      <c r="F1932" t="inlineStr">
        <is>
          <t>Pflanzenkunde</t>
        </is>
      </c>
      <c r="G1932" t="inlineStr">
        <is>
          <t>Wert</t>
        </is>
      </c>
      <c r="L1932" t="inlineStr">
        <is>
          <t>SVERWEIS(wert;'WHK-Spez-Kosten';3;1)</t>
        </is>
      </c>
    </row>
    <row r="1933" hidden="1" ht="15.75" customHeight="1" s="48">
      <c r="A1933" t="inlineStr">
        <is>
          <t>whk_spez_pflanzenkunde_straeucher</t>
        </is>
      </c>
      <c r="B1933" t="inlineStr">
        <is>
          <t>WHK</t>
        </is>
      </c>
      <c r="C1933" t="inlineStr">
        <is>
          <t>-&gt; Sträucher</t>
        </is>
      </c>
      <c r="F1933" t="inlineStr">
        <is>
          <t>Pflanzenkunde</t>
        </is>
      </c>
      <c r="G1933" t="inlineStr">
        <is>
          <t>Wert</t>
        </is>
      </c>
      <c r="L1933" t="inlineStr">
        <is>
          <t>SVERWEIS(wert;'WHK-Spez-Kosten';3;1)</t>
        </is>
      </c>
    </row>
    <row r="1934" hidden="1" ht="15.75" customHeight="1" s="48">
      <c r="A1934" t="inlineStr">
        <is>
          <t>whk_spez_pflanzenkunde_alchemistische_zutaten</t>
        </is>
      </c>
      <c r="B1934" t="inlineStr">
        <is>
          <t>WHK</t>
        </is>
      </c>
      <c r="C1934" t="inlineStr">
        <is>
          <t>-&gt; Alchemistische Zutaten</t>
        </is>
      </c>
      <c r="F1934" t="inlineStr">
        <is>
          <t>Pflanzenkunde</t>
        </is>
      </c>
      <c r="G1934" t="inlineStr">
        <is>
          <t>Wert</t>
        </is>
      </c>
      <c r="L1934" t="inlineStr">
        <is>
          <t>SVERWEIS(wert;'WHK-Spez-Kosten';3;1)</t>
        </is>
      </c>
    </row>
    <row r="1935" hidden="1" ht="15.75" customHeight="1" s="48">
      <c r="A1935" t="inlineStr">
        <is>
          <t>whk_bergbau</t>
        </is>
      </c>
      <c r="B1935" t="inlineStr">
        <is>
          <t>WHK</t>
        </is>
      </c>
      <c r="C1935" t="inlineStr">
        <is>
          <t>Bergbau</t>
        </is>
      </c>
      <c r="F1935" t="inlineStr">
        <is>
          <t>Natur/Landwirtschaft</t>
        </is>
      </c>
      <c r="G1935" t="inlineStr">
        <is>
          <t>Wert</t>
        </is>
      </c>
      <c r="L1935" t="inlineStr">
        <is>
          <t>WENN(wert=0;0;10+(wert-1)*wert/2)</t>
        </is>
      </c>
    </row>
    <row r="1936" hidden="1" ht="15.75" customHeight="1" s="48">
      <c r="A1936" t="inlineStr">
        <is>
          <t>whk_spez_bergbau_edelsteinschuerfer</t>
        </is>
      </c>
      <c r="B1936" t="inlineStr">
        <is>
          <t>WHK</t>
        </is>
      </c>
      <c r="C1936" t="inlineStr">
        <is>
          <t>-&gt; Edelsteinschürfer</t>
        </is>
      </c>
      <c r="F1936" t="inlineStr">
        <is>
          <t>Bergbau</t>
        </is>
      </c>
      <c r="G1936" t="inlineStr">
        <is>
          <t>Wert</t>
        </is>
      </c>
      <c r="L1936" t="inlineStr">
        <is>
          <t>SVERWEIS(wert;'WHK-Spez-Kosten';3;1)</t>
        </is>
      </c>
    </row>
    <row r="1937" hidden="1" ht="15.75" customHeight="1" s="48">
      <c r="A1937" t="inlineStr">
        <is>
          <t>whk_spez_bergbau_steinbrecher</t>
        </is>
      </c>
      <c r="B1937" t="inlineStr">
        <is>
          <t>WHK</t>
        </is>
      </c>
      <c r="C1937" t="inlineStr">
        <is>
          <t>-&gt; Steinbrecher</t>
        </is>
      </c>
      <c r="F1937" t="inlineStr">
        <is>
          <t>Bergbau</t>
        </is>
      </c>
      <c r="G1937" t="inlineStr">
        <is>
          <t>Wert</t>
        </is>
      </c>
      <c r="L1937" t="inlineStr">
        <is>
          <t>SVERWEIS(wert;'WHK-Spez-Kosten';3;1)</t>
        </is>
      </c>
    </row>
    <row r="1938" hidden="1" ht="15.75" customHeight="1" s="48">
      <c r="A1938" t="inlineStr">
        <is>
          <t>whk_spez_bergbau_kohlenhauer</t>
        </is>
      </c>
      <c r="B1938" t="inlineStr">
        <is>
          <t>WHK</t>
        </is>
      </c>
      <c r="C1938" t="inlineStr">
        <is>
          <t>-&gt; Kohlenhauer</t>
        </is>
      </c>
      <c r="F1938" t="inlineStr">
        <is>
          <t>Bergbau</t>
        </is>
      </c>
      <c r="G1938" t="inlineStr">
        <is>
          <t>Wert</t>
        </is>
      </c>
      <c r="L1938" t="inlineStr">
        <is>
          <t>SVERWEIS(wert;'WHK-Spez-Kosten';3;1)</t>
        </is>
      </c>
    </row>
    <row r="1939" hidden="1" ht="15.75" customHeight="1" s="48">
      <c r="A1939" t="inlineStr">
        <is>
          <t>whk_spez_bergbau_salzbergmann</t>
        </is>
      </c>
      <c r="B1939" t="inlineStr">
        <is>
          <t>WHK</t>
        </is>
      </c>
      <c r="C1939" t="inlineStr">
        <is>
          <t>-&gt; Salzbergmann</t>
        </is>
      </c>
      <c r="F1939" t="inlineStr">
        <is>
          <t>Bergbau</t>
        </is>
      </c>
      <c r="G1939" t="inlineStr">
        <is>
          <t>Wert</t>
        </is>
      </c>
      <c r="L1939" t="inlineStr">
        <is>
          <t>SVERWEIS(wert;'WHK-Spez-Kosten';3;1)</t>
        </is>
      </c>
    </row>
    <row r="1940" hidden="1" ht="15.75" customHeight="1" s="48">
      <c r="A1940" t="inlineStr">
        <is>
          <t>whk_spez_bergbau_oelbohrer</t>
        </is>
      </c>
      <c r="B1940" t="inlineStr">
        <is>
          <t>WHK</t>
        </is>
      </c>
      <c r="C1940" t="inlineStr">
        <is>
          <t>-&gt; Ölbohrer</t>
        </is>
      </c>
      <c r="F1940" t="inlineStr">
        <is>
          <t>Bergbau</t>
        </is>
      </c>
      <c r="G1940" t="inlineStr">
        <is>
          <t>Wert</t>
        </is>
      </c>
      <c r="L1940" t="inlineStr">
        <is>
          <t>SVERWEIS(wert;'WHK-Spez-Kosten';3;1)</t>
        </is>
      </c>
    </row>
    <row r="1941" hidden="1" ht="15.75" customHeight="1" s="48">
      <c r="A1941" t="inlineStr">
        <is>
          <t>whk_spez_bergbau_prospektor</t>
        </is>
      </c>
      <c r="B1941" t="inlineStr">
        <is>
          <t>WHK</t>
        </is>
      </c>
      <c r="C1941" t="inlineStr">
        <is>
          <t>-&gt; Prospektor</t>
        </is>
      </c>
      <c r="F1941" t="inlineStr">
        <is>
          <t>Bergbau</t>
        </is>
      </c>
      <c r="G1941" t="inlineStr">
        <is>
          <t>Wert</t>
        </is>
      </c>
      <c r="L1941" t="inlineStr">
        <is>
          <t>SVERWEIS(wert;'WHK-Spez-Kosten';3;1)</t>
        </is>
      </c>
    </row>
    <row r="1942" hidden="1" ht="15.75" customHeight="1" s="48">
      <c r="A1942" t="inlineStr">
        <is>
          <t>whk_alchemie</t>
        </is>
      </c>
      <c r="B1942" t="inlineStr">
        <is>
          <t>WHK</t>
        </is>
      </c>
      <c r="C1942" t="inlineStr">
        <is>
          <t>Alchemie</t>
        </is>
      </c>
      <c r="F1942" t="inlineStr">
        <is>
          <t>Natur/Landwirtschaft</t>
        </is>
      </c>
      <c r="G1942" t="inlineStr">
        <is>
          <t>Wert</t>
        </is>
      </c>
      <c r="L1942" t="inlineStr">
        <is>
          <t>WENN(wert=0;0;10+(wert-1)*wert/2)</t>
        </is>
      </c>
    </row>
    <row r="1943" hidden="1" ht="15.75" customHeight="1" s="48">
      <c r="A1943" t="inlineStr">
        <is>
          <t>whk_spez_alchemie_feuerwerker</t>
        </is>
      </c>
      <c r="B1943" t="inlineStr">
        <is>
          <t>WHK</t>
        </is>
      </c>
      <c r="C1943" t="inlineStr">
        <is>
          <t>-&gt; Feuerwerker</t>
        </is>
      </c>
      <c r="F1943" t="inlineStr">
        <is>
          <t>Alchemie</t>
        </is>
      </c>
      <c r="G1943" t="inlineStr">
        <is>
          <t>Wert</t>
        </is>
      </c>
      <c r="L1943" t="inlineStr">
        <is>
          <t>SVERWEIS(wert;'WHK-Spez-Kosten';3;1)</t>
        </is>
      </c>
    </row>
    <row r="1944" hidden="1" ht="15.75" customHeight="1" s="48">
      <c r="A1944" t="inlineStr">
        <is>
          <t>whk_spez_alchemie_pigmentmacher</t>
        </is>
      </c>
      <c r="B1944" t="inlineStr">
        <is>
          <t>WHK</t>
        </is>
      </c>
      <c r="C1944" t="inlineStr">
        <is>
          <t>-&gt; Pigmentmacher</t>
        </is>
      </c>
      <c r="F1944" t="inlineStr">
        <is>
          <t>Alchemie</t>
        </is>
      </c>
      <c r="G1944" t="inlineStr">
        <is>
          <t>Wert</t>
        </is>
      </c>
      <c r="L1944" t="inlineStr">
        <is>
          <t>SVERWEIS(wert;'WHK-Spez-Kosten';3;1)</t>
        </is>
      </c>
    </row>
    <row r="1945" hidden="1" ht="15.75" customHeight="1" s="48">
      <c r="A1945" t="inlineStr">
        <is>
          <t>whk_spez_alchemie_leimsieder</t>
        </is>
      </c>
      <c r="B1945" t="inlineStr">
        <is>
          <t>WHK</t>
        </is>
      </c>
      <c r="C1945" t="inlineStr">
        <is>
          <t>-&gt; Leimsieder</t>
        </is>
      </c>
      <c r="F1945" t="inlineStr">
        <is>
          <t>Alchemie</t>
        </is>
      </c>
      <c r="G1945" t="inlineStr">
        <is>
          <t>Wert</t>
        </is>
      </c>
      <c r="L1945" t="inlineStr">
        <is>
          <t>SVERWEIS(wert;'WHK-Spez-Kosten';3;1)</t>
        </is>
      </c>
    </row>
    <row r="1946" hidden="1" ht="15.75" customHeight="1" s="48">
      <c r="A1946" t="inlineStr">
        <is>
          <t>whk_spez_alchemie_parfumeur</t>
        </is>
      </c>
      <c r="B1946" t="inlineStr">
        <is>
          <t>WHK</t>
        </is>
      </c>
      <c r="C1946" t="inlineStr">
        <is>
          <t>-&gt; Parfumeur</t>
        </is>
      </c>
      <c r="F1946" t="inlineStr">
        <is>
          <t>Alchemie</t>
        </is>
      </c>
      <c r="G1946" t="inlineStr">
        <is>
          <t>Wert</t>
        </is>
      </c>
      <c r="L1946" t="inlineStr">
        <is>
          <t>SVERWEIS(wert;'WHK-Spez-Kosten';3;1)</t>
        </is>
      </c>
    </row>
    <row r="1947" hidden="1" ht="15.75" customHeight="1" s="48">
      <c r="A1947" t="inlineStr">
        <is>
          <t>whk_spez_alchemie_pulvermacher</t>
        </is>
      </c>
      <c r="B1947" t="inlineStr">
        <is>
          <t>WHK</t>
        </is>
      </c>
      <c r="C1947" t="inlineStr">
        <is>
          <t>-&gt; Pulvermacher</t>
        </is>
      </c>
      <c r="F1947" t="inlineStr">
        <is>
          <t>Alchemie</t>
        </is>
      </c>
      <c r="G1947" t="inlineStr">
        <is>
          <t>Wert</t>
        </is>
      </c>
      <c r="L1947" t="inlineStr">
        <is>
          <t>SVERWEIS(wert;'WHK-Spez-Kosten';3;1)</t>
        </is>
      </c>
    </row>
    <row r="1948" hidden="1" ht="15.75" customHeight="1" s="48">
      <c r="A1948" t="inlineStr">
        <is>
          <t>whk_spez_alchemie_trankbrauer</t>
        </is>
      </c>
      <c r="B1948" t="inlineStr">
        <is>
          <t>WHK</t>
        </is>
      </c>
      <c r="C1948" t="inlineStr">
        <is>
          <t>-&gt; Trankbrauer</t>
        </is>
      </c>
      <c r="F1948" t="inlineStr">
        <is>
          <t>Alchemie</t>
        </is>
      </c>
      <c r="G1948" t="inlineStr">
        <is>
          <t>Wert</t>
        </is>
      </c>
      <c r="L1948" t="inlineStr">
        <is>
          <t>SVERWEIS(wert;'WHK-Spez-Kosten';3;1)</t>
        </is>
      </c>
    </row>
    <row r="1949" hidden="1" ht="15.75" customHeight="1" s="48">
      <c r="A1949" t="inlineStr">
        <is>
          <t>whk_spez_alchemie_giftmischer</t>
        </is>
      </c>
      <c r="B1949" t="inlineStr">
        <is>
          <t>WHK</t>
        </is>
      </c>
      <c r="C1949" t="inlineStr">
        <is>
          <t>-&gt; Giftmischer</t>
        </is>
      </c>
      <c r="F1949" t="inlineStr">
        <is>
          <t>Alchemie</t>
        </is>
      </c>
      <c r="G1949" t="inlineStr">
        <is>
          <t>Wert</t>
        </is>
      </c>
      <c r="L1949" t="inlineStr">
        <is>
          <t>SVERWEIS(wert;'WHK-Spez-Kosten';3;1)</t>
        </is>
      </c>
    </row>
    <row r="1950" hidden="1" ht="15.75" customHeight="1" s="48">
      <c r="A1950" t="inlineStr">
        <is>
          <t>whk_spez_alchemie_salbenmischer</t>
        </is>
      </c>
      <c r="B1950" t="inlineStr">
        <is>
          <t>WHK</t>
        </is>
      </c>
      <c r="C1950" t="inlineStr">
        <is>
          <t>-&gt; Salbenmischer</t>
        </is>
      </c>
      <c r="F1950" t="inlineStr">
        <is>
          <t>Alchemie</t>
        </is>
      </c>
      <c r="G1950" t="inlineStr">
        <is>
          <t>Wert</t>
        </is>
      </c>
      <c r="L1950" t="inlineStr">
        <is>
          <t>SVERWEIS(wert;'WHK-Spez-Kosten';3;1)</t>
        </is>
      </c>
    </row>
    <row r="1951" hidden="1" ht="15.75" customHeight="1" s="48">
      <c r="A1951" t="inlineStr">
        <is>
          <t>whk_spez_alchemie_seifensieder</t>
        </is>
      </c>
      <c r="B1951" t="inlineStr">
        <is>
          <t>WHK</t>
        </is>
      </c>
      <c r="C1951" t="inlineStr">
        <is>
          <t>-&gt; Seifensieder</t>
        </is>
      </c>
      <c r="F1951" t="inlineStr">
        <is>
          <t>Alchemie</t>
        </is>
      </c>
      <c r="G1951" t="inlineStr">
        <is>
          <t>Wert</t>
        </is>
      </c>
      <c r="L1951" t="inlineStr">
        <is>
          <t>SVERWEIS(wert;'WHK-Spez-Kosten';3;1)</t>
        </is>
      </c>
    </row>
    <row r="1952" hidden="1" ht="15.75" customHeight="1" s="48">
      <c r="A1952" t="inlineStr">
        <is>
          <t>whk_abrichten</t>
        </is>
      </c>
      <c r="B1952" t="inlineStr">
        <is>
          <t>WHK</t>
        </is>
      </c>
      <c r="C1952" t="inlineStr">
        <is>
          <t>Abrichten</t>
        </is>
      </c>
      <c r="F1952" t="inlineStr">
        <is>
          <t>Natur/Landwirtschaft</t>
        </is>
      </c>
      <c r="G1952" t="inlineStr">
        <is>
          <t>Wert</t>
        </is>
      </c>
      <c r="L1952" t="inlineStr">
        <is>
          <t>WENN(wert=0;0;10+(wert-1)*wert/2)</t>
        </is>
      </c>
    </row>
    <row r="1953" hidden="1" ht="15.75" customHeight="1" s="48">
      <c r="A1953" t="inlineStr">
        <is>
          <t>whk_spez_abrichten_drache</t>
        </is>
      </c>
      <c r="B1953" t="inlineStr">
        <is>
          <t>WHK</t>
        </is>
      </c>
      <c r="C1953" t="inlineStr">
        <is>
          <t>-&gt; Drache</t>
        </is>
      </c>
      <c r="F1953" t="inlineStr">
        <is>
          <t>Abrichten</t>
        </is>
      </c>
      <c r="G1953" t="inlineStr">
        <is>
          <t>Wert</t>
        </is>
      </c>
      <c r="L1953" t="inlineStr">
        <is>
          <t>SVERWEIS(wert;'WHK-Spez-Kosten';3;1)</t>
        </is>
      </c>
    </row>
    <row r="1954" hidden="1" ht="15.75" customHeight="1" s="48">
      <c r="A1954" t="inlineStr">
        <is>
          <t>whk_spez_abrichten_laufvogel</t>
        </is>
      </c>
      <c r="B1954" t="inlineStr">
        <is>
          <t>WHK</t>
        </is>
      </c>
      <c r="C1954" t="inlineStr">
        <is>
          <t>-&gt; Laufvogel</t>
        </is>
      </c>
      <c r="F1954" t="inlineStr">
        <is>
          <t>Abrichten</t>
        </is>
      </c>
      <c r="G1954" t="inlineStr">
        <is>
          <t>Wert</t>
        </is>
      </c>
      <c r="L1954" t="inlineStr">
        <is>
          <t>SVERWEIS(wert;'WHK-Spez-Kosten';3;1)</t>
        </is>
      </c>
    </row>
    <row r="1955" hidden="1" ht="15.75" customHeight="1" s="48">
      <c r="A1955" t="inlineStr">
        <is>
          <t>whk_spez_abrichten_reitkrebse</t>
        </is>
      </c>
      <c r="B1955" t="inlineStr">
        <is>
          <t>WHK</t>
        </is>
      </c>
      <c r="C1955" t="inlineStr">
        <is>
          <t>-&gt; Reitkrebse</t>
        </is>
      </c>
      <c r="F1955" t="inlineStr">
        <is>
          <t>Abrichten</t>
        </is>
      </c>
      <c r="G1955" t="inlineStr">
        <is>
          <t>Wert</t>
        </is>
      </c>
      <c r="L1955" t="inlineStr">
        <is>
          <t>SVERWEIS(wert;'WHK-Spez-Kosten';3;1)</t>
        </is>
      </c>
    </row>
    <row r="1956" hidden="1" ht="15.75" customHeight="1" s="48">
      <c r="A1956" t="inlineStr">
        <is>
          <t>whk_spez_abrichten_reitreptilien</t>
        </is>
      </c>
      <c r="B1956" t="inlineStr">
        <is>
          <t>WHK</t>
        </is>
      </c>
      <c r="C1956" t="inlineStr">
        <is>
          <t>-&gt; Reitreptilien</t>
        </is>
      </c>
      <c r="F1956" t="inlineStr">
        <is>
          <t>Abrichten</t>
        </is>
      </c>
      <c r="G1956" t="inlineStr">
        <is>
          <t>Wert</t>
        </is>
      </c>
      <c r="L1956" t="inlineStr">
        <is>
          <t>SVERWEIS(wert;'WHK-Spez-Kosten';3;1)</t>
        </is>
      </c>
    </row>
    <row r="1957" hidden="1" ht="15.75" customHeight="1" s="48">
      <c r="A1957" t="inlineStr">
        <is>
          <t>whk_spez_abrichten_rok</t>
        </is>
      </c>
      <c r="B1957" t="inlineStr">
        <is>
          <t>WHK</t>
        </is>
      </c>
      <c r="C1957" t="inlineStr">
        <is>
          <t>-&gt; Rok</t>
        </is>
      </c>
      <c r="F1957" t="inlineStr">
        <is>
          <t>Abrichten</t>
        </is>
      </c>
      <c r="G1957" t="inlineStr">
        <is>
          <t>Wert</t>
        </is>
      </c>
      <c r="L1957" t="inlineStr">
        <is>
          <t>SVERWEIS(wert;'WHK-Spez-Kosten';3;1)</t>
        </is>
      </c>
    </row>
    <row r="1958" hidden="1" ht="15.75" customHeight="1" s="48">
      <c r="A1958" t="inlineStr">
        <is>
          <t>whk_spez_abrichten_warg</t>
        </is>
      </c>
      <c r="B1958" t="inlineStr">
        <is>
          <t>WHK</t>
        </is>
      </c>
      <c r="C1958" t="inlineStr">
        <is>
          <t>-&gt; Warg</t>
        </is>
      </c>
      <c r="F1958" t="inlineStr">
        <is>
          <t>Abrichten</t>
        </is>
      </c>
      <c r="G1958" t="inlineStr">
        <is>
          <t>Wert</t>
        </is>
      </c>
      <c r="L1958" t="inlineStr">
        <is>
          <t>SVERWEIS(wert;'WHK-Spez-Kosten';3;1)</t>
        </is>
      </c>
    </row>
    <row r="1959" hidden="1" ht="15.75" customHeight="1" s="48">
      <c r="A1959" t="inlineStr">
        <is>
          <t>whk_spez_abrichten_asseln</t>
        </is>
      </c>
      <c r="B1959" t="inlineStr">
        <is>
          <t>WHK</t>
        </is>
      </c>
      <c r="C1959" t="inlineStr">
        <is>
          <t>-&gt; Asseln</t>
        </is>
      </c>
      <c r="F1959" t="inlineStr">
        <is>
          <t>Abrichten</t>
        </is>
      </c>
      <c r="G1959" t="inlineStr">
        <is>
          <t>Wert</t>
        </is>
      </c>
      <c r="L1959" t="inlineStr">
        <is>
          <t>SVERWEIS(wert;'WHK-Spez-Kosten';3;1)</t>
        </is>
      </c>
    </row>
    <row r="1960" hidden="1" ht="15.75" customHeight="1" s="48">
      <c r="A1960" t="inlineStr">
        <is>
          <t>whk_spez_abrichten_elefanten</t>
        </is>
      </c>
      <c r="B1960" t="inlineStr">
        <is>
          <t>WHK</t>
        </is>
      </c>
      <c r="C1960" t="inlineStr">
        <is>
          <t>-&gt; Elefanten</t>
        </is>
      </c>
      <c r="F1960" t="inlineStr">
        <is>
          <t>Abrichten</t>
        </is>
      </c>
      <c r="G1960" t="inlineStr">
        <is>
          <t>Wert</t>
        </is>
      </c>
      <c r="L1960" t="inlineStr">
        <is>
          <t>SVERWEIS(wert;'WHK-Spez-Kosten';3;1)</t>
        </is>
      </c>
    </row>
    <row r="1961" hidden="1" ht="15.75" customHeight="1" s="48">
      <c r="A1961" t="inlineStr">
        <is>
          <t>whk_spez_abrichten_flugechsen</t>
        </is>
      </c>
      <c r="B1961" t="inlineStr">
        <is>
          <t>WHK</t>
        </is>
      </c>
      <c r="C1961" t="inlineStr">
        <is>
          <t>-&gt; Flugechsen</t>
        </is>
      </c>
      <c r="F1961" t="inlineStr">
        <is>
          <t>Abrichten</t>
        </is>
      </c>
      <c r="G1961" t="inlineStr">
        <is>
          <t>Wert</t>
        </is>
      </c>
      <c r="L1961" t="inlineStr">
        <is>
          <t>SVERWEIS(wert;'WHK-Spez-Kosten';3;1)</t>
        </is>
      </c>
    </row>
    <row r="1962" hidden="1" ht="15.75" customHeight="1" s="48">
      <c r="A1962" t="inlineStr">
        <is>
          <t>whk_spez_abrichten_fledertiere</t>
        </is>
      </c>
      <c r="B1962" t="inlineStr">
        <is>
          <t>WHK</t>
        </is>
      </c>
      <c r="C1962" t="inlineStr">
        <is>
          <t>-&gt; Fledertiere</t>
        </is>
      </c>
      <c r="F1962" t="inlineStr">
        <is>
          <t>Abrichten</t>
        </is>
      </c>
      <c r="G1962" t="inlineStr">
        <is>
          <t>Wert</t>
        </is>
      </c>
      <c r="L1962" t="inlineStr">
        <is>
          <t>SVERWEIS(wert;'WHK-Spez-Kosten';3;1)</t>
        </is>
      </c>
    </row>
    <row r="1963" hidden="1" ht="15.75" customHeight="1" s="48">
      <c r="A1963" t="inlineStr">
        <is>
          <t>whk_spez_abrichten_greifen</t>
        </is>
      </c>
      <c r="B1963" t="inlineStr">
        <is>
          <t>WHK</t>
        </is>
      </c>
      <c r="C1963" t="inlineStr">
        <is>
          <t>-&gt; Greifen</t>
        </is>
      </c>
      <c r="F1963" t="inlineStr">
        <is>
          <t>Abrichten</t>
        </is>
      </c>
      <c r="G1963" t="inlineStr">
        <is>
          <t>Wert</t>
        </is>
      </c>
      <c r="L1963" t="inlineStr">
        <is>
          <t>SVERWEIS(wert;'WHK-Spez-Kosten';3;1)</t>
        </is>
      </c>
    </row>
    <row r="1964" hidden="1" ht="15.75" customHeight="1" s="48">
      <c r="A1964" t="inlineStr">
        <is>
          <t>whk_spez_abrichten_horntraeger</t>
        </is>
      </c>
      <c r="B1964" t="inlineStr">
        <is>
          <t>WHK</t>
        </is>
      </c>
      <c r="C1964" t="inlineStr">
        <is>
          <t>-&gt; Hornträger</t>
        </is>
      </c>
      <c r="F1964" t="inlineStr">
        <is>
          <t>Abrichten</t>
        </is>
      </c>
      <c r="G1964" t="inlineStr">
        <is>
          <t>Wert</t>
        </is>
      </c>
      <c r="L1964" t="inlineStr">
        <is>
          <t>SVERWEIS(wert;'WHK-Spez-Kosten';3;1)</t>
        </is>
      </c>
    </row>
    <row r="1965" hidden="1" ht="15.75" customHeight="1" s="48">
      <c r="A1965" t="inlineStr">
        <is>
          <t>whk_spez_abrichten_hundeartige</t>
        </is>
      </c>
      <c r="B1965" t="inlineStr">
        <is>
          <t>WHK</t>
        </is>
      </c>
      <c r="C1965" t="inlineStr">
        <is>
          <t>-&gt; Hundeartige</t>
        </is>
      </c>
      <c r="F1965" t="inlineStr">
        <is>
          <t>Abrichten</t>
        </is>
      </c>
      <c r="G1965" t="inlineStr">
        <is>
          <t>Wert</t>
        </is>
      </c>
      <c r="L1965" t="inlineStr">
        <is>
          <t>SVERWEIS(wert;'WHK-Spez-Kosten';3;1)</t>
        </is>
      </c>
    </row>
    <row r="1966" hidden="1" ht="15.75" customHeight="1" s="48">
      <c r="A1966" t="inlineStr">
        <is>
          <t>whk_spez_abrichten_katzenartige</t>
        </is>
      </c>
      <c r="B1966" t="inlineStr">
        <is>
          <t>WHK</t>
        </is>
      </c>
      <c r="C1966" t="inlineStr">
        <is>
          <t>-&gt; Katzenartige</t>
        </is>
      </c>
      <c r="F1966" t="inlineStr">
        <is>
          <t>Abrichten</t>
        </is>
      </c>
      <c r="G1966" t="inlineStr">
        <is>
          <t>Wert</t>
        </is>
      </c>
      <c r="L1966" t="inlineStr">
        <is>
          <t>SVERWEIS(wert;'WHK-Spez-Kosten';3;1)</t>
        </is>
      </c>
    </row>
    <row r="1967" hidden="1" ht="15.75" customHeight="1" s="48">
      <c r="A1967" t="inlineStr">
        <is>
          <t>whk_spez_abrichten_kamele</t>
        </is>
      </c>
      <c r="B1967" t="inlineStr">
        <is>
          <t>WHK</t>
        </is>
      </c>
      <c r="C1967" t="inlineStr">
        <is>
          <t>-&gt; Kamele</t>
        </is>
      </c>
      <c r="F1967" t="inlineStr">
        <is>
          <t>Abrichten</t>
        </is>
      </c>
      <c r="G1967" t="inlineStr">
        <is>
          <t>Wert</t>
        </is>
      </c>
      <c r="L1967" t="inlineStr">
        <is>
          <t>SVERWEIS(wert;'WHK-Spez-Kosten';3;1)</t>
        </is>
      </c>
    </row>
    <row r="1968" hidden="1" ht="15.75" customHeight="1" s="48">
      <c r="A1968" t="inlineStr">
        <is>
          <t>whk_spez_abrichten_pegasi</t>
        </is>
      </c>
      <c r="B1968" t="inlineStr">
        <is>
          <t>WHK</t>
        </is>
      </c>
      <c r="C1968" t="inlineStr">
        <is>
          <t>-&gt; Pegasi</t>
        </is>
      </c>
      <c r="F1968" t="inlineStr">
        <is>
          <t>Abrichten</t>
        </is>
      </c>
      <c r="G1968" t="inlineStr">
        <is>
          <t>Wert</t>
        </is>
      </c>
      <c r="L1968" t="inlineStr">
        <is>
          <t>SVERWEIS(wert;'WHK-Spez-Kosten';3;1)</t>
        </is>
      </c>
    </row>
    <row r="1969" hidden="1" ht="15.75" customHeight="1" s="48">
      <c r="A1969" t="inlineStr">
        <is>
          <t>whk_spez_abrichten_pferde</t>
        </is>
      </c>
      <c r="B1969" t="inlineStr">
        <is>
          <t>WHK</t>
        </is>
      </c>
      <c r="C1969" t="inlineStr">
        <is>
          <t>-&gt; Pferde</t>
        </is>
      </c>
      <c r="F1969" t="inlineStr">
        <is>
          <t>Abrichten</t>
        </is>
      </c>
      <c r="G1969" t="inlineStr">
        <is>
          <t>Wert</t>
        </is>
      </c>
      <c r="L1969" t="inlineStr">
        <is>
          <t>SVERWEIS(wert;'WHK-Spez-Kosten';3;1)</t>
        </is>
      </c>
    </row>
    <row r="1970" hidden="1" ht="15.75" customHeight="1" s="48">
      <c r="A1970" t="inlineStr">
        <is>
          <t>whk_spez_abrichten_primaten</t>
        </is>
      </c>
      <c r="B1970" t="inlineStr">
        <is>
          <t>WHK</t>
        </is>
      </c>
      <c r="C1970" t="inlineStr">
        <is>
          <t>-&gt; Primaten</t>
        </is>
      </c>
      <c r="F1970" t="inlineStr">
        <is>
          <t>Abrichten</t>
        </is>
      </c>
      <c r="G1970" t="inlineStr">
        <is>
          <t>Wert</t>
        </is>
      </c>
      <c r="L1970" t="inlineStr">
        <is>
          <t>SVERWEIS(wert;'WHK-Spez-Kosten';3;1)</t>
        </is>
      </c>
    </row>
    <row r="1971" hidden="1" ht="15.75" customHeight="1" s="48">
      <c r="A1971" t="inlineStr">
        <is>
          <t>whk_spez_abrichten_raptoren</t>
        </is>
      </c>
      <c r="B1971" t="inlineStr">
        <is>
          <t>WHK</t>
        </is>
      </c>
      <c r="C1971" t="inlineStr">
        <is>
          <t>-&gt; Raptoren</t>
        </is>
      </c>
      <c r="F1971" t="inlineStr">
        <is>
          <t>Abrichten</t>
        </is>
      </c>
      <c r="G1971" t="inlineStr">
        <is>
          <t>Wert</t>
        </is>
      </c>
      <c r="L1971" t="inlineStr">
        <is>
          <t>SVERWEIS(wert;'WHK-Spez-Kosten';3;1)</t>
        </is>
      </c>
    </row>
    <row r="1972" hidden="1" ht="15.75" customHeight="1" s="48">
      <c r="A1972" t="inlineStr">
        <is>
          <t>whk_spez_abrichten_rollocks</t>
        </is>
      </c>
      <c r="B1972" t="inlineStr">
        <is>
          <t>WHK</t>
        </is>
      </c>
      <c r="C1972" t="inlineStr">
        <is>
          <t>-&gt; Rollocks</t>
        </is>
      </c>
      <c r="F1972" t="inlineStr">
        <is>
          <t>Abrichten</t>
        </is>
      </c>
      <c r="G1972" t="inlineStr">
        <is>
          <t>Wert</t>
        </is>
      </c>
      <c r="L1972" t="inlineStr">
        <is>
          <t>SVERWEIS(wert;'WHK-Spez-Kosten';3;1)</t>
        </is>
      </c>
    </row>
    <row r="1973" hidden="1" ht="15.75" customHeight="1" s="48">
      <c r="A1973" t="inlineStr">
        <is>
          <t>whk_spez_abrichten_rattenartige</t>
        </is>
      </c>
      <c r="B1973" t="inlineStr">
        <is>
          <t>WHK</t>
        </is>
      </c>
      <c r="C1973" t="inlineStr">
        <is>
          <t>-&gt; Rattenartige</t>
        </is>
      </c>
      <c r="F1973" t="inlineStr">
        <is>
          <t>Abrichten</t>
        </is>
      </c>
      <c r="G1973" t="inlineStr">
        <is>
          <t>Wert</t>
        </is>
      </c>
      <c r="L1973" t="inlineStr">
        <is>
          <t>SVERWEIS(wert;'WHK-Spez-Kosten';3;1)</t>
        </is>
      </c>
    </row>
    <row r="1974" hidden="1" ht="15.75" customHeight="1" s="48">
      <c r="A1974" t="inlineStr">
        <is>
          <t>whk_spez_abrichten_schleichkatzen</t>
        </is>
      </c>
      <c r="B1974" t="inlineStr">
        <is>
          <t>WHK</t>
        </is>
      </c>
      <c r="C1974" t="inlineStr">
        <is>
          <t>-&gt; Schleichkatzen</t>
        </is>
      </c>
      <c r="F1974" t="inlineStr">
        <is>
          <t>Abrichten</t>
        </is>
      </c>
      <c r="G1974" t="inlineStr">
        <is>
          <t>Wert</t>
        </is>
      </c>
      <c r="L1974" t="inlineStr">
        <is>
          <t>SVERWEIS(wert;'WHK-Spez-Kosten';3;1)</t>
        </is>
      </c>
    </row>
    <row r="1975" hidden="1" ht="15.75" customHeight="1" s="48">
      <c r="A1975" t="inlineStr">
        <is>
          <t>whk_spez_abrichten_spinnen</t>
        </is>
      </c>
      <c r="B1975" t="inlineStr">
        <is>
          <t>WHK</t>
        </is>
      </c>
      <c r="C1975" t="inlineStr">
        <is>
          <t>-&gt; Spinnen</t>
        </is>
      </c>
      <c r="F1975" t="inlineStr">
        <is>
          <t>Abrichten</t>
        </is>
      </c>
      <c r="G1975" t="inlineStr">
        <is>
          <t>Wert</t>
        </is>
      </c>
      <c r="L1975" t="inlineStr">
        <is>
          <t>SVERWEIS(wert;'WHK-Spez-Kosten';3;1)</t>
        </is>
      </c>
    </row>
    <row r="1976" hidden="1" ht="15.75" customHeight="1" s="48">
      <c r="A1976" t="inlineStr">
        <is>
          <t>whk_spez_abrichten_schweine</t>
        </is>
      </c>
      <c r="B1976" t="inlineStr">
        <is>
          <t>WHK</t>
        </is>
      </c>
      <c r="C1976" t="inlineStr">
        <is>
          <t>-&gt; Schweine</t>
        </is>
      </c>
      <c r="F1976" t="inlineStr">
        <is>
          <t>Abrichten</t>
        </is>
      </c>
      <c r="G1976" t="inlineStr">
        <is>
          <t>Wert</t>
        </is>
      </c>
      <c r="L1976" t="inlineStr">
        <is>
          <t>SVERWEIS(wert;'WHK-Spez-Kosten';3;1)</t>
        </is>
      </c>
    </row>
    <row r="1977" hidden="1" ht="15.75" customHeight="1" s="48">
      <c r="A1977" t="inlineStr">
        <is>
          <t>whk_spez_abrichten_voegel</t>
        </is>
      </c>
      <c r="B1977" t="inlineStr">
        <is>
          <t>WHK</t>
        </is>
      </c>
      <c r="C1977" t="inlineStr">
        <is>
          <t>-&gt; Vögel</t>
        </is>
      </c>
      <c r="F1977" t="inlineStr">
        <is>
          <t>Abrichten</t>
        </is>
      </c>
      <c r="G1977" t="inlineStr">
        <is>
          <t>Wert</t>
        </is>
      </c>
      <c r="L1977" t="inlineStr">
        <is>
          <t>SVERWEIS(wert;'WHK-Spez-Kosten';3;1)</t>
        </is>
      </c>
    </row>
    <row r="1978" hidden="1" ht="15.75" customHeight="1" s="48">
      <c r="A1978" t="inlineStr">
        <is>
          <t>whk_kaufmann</t>
        </is>
      </c>
      <c r="B1978" t="inlineStr">
        <is>
          <t>WHK</t>
        </is>
      </c>
      <c r="C1978" t="inlineStr">
        <is>
          <t>Kaufmann</t>
        </is>
      </c>
      <c r="F1978" t="inlineStr">
        <is>
          <t>Handel/Verwaltung</t>
        </is>
      </c>
      <c r="G1978" t="inlineStr">
        <is>
          <t>Wert</t>
        </is>
      </c>
      <c r="L1978" t="inlineStr">
        <is>
          <t>WENN(wert=0;0;10+(wert-1)*wert/2)</t>
        </is>
      </c>
    </row>
    <row r="1979" hidden="1" ht="15.75" customHeight="1" s="48">
      <c r="A1979" t="inlineStr">
        <is>
          <t>whk_spez_kaufmann_gastwirt</t>
        </is>
      </c>
      <c r="B1979" t="inlineStr">
        <is>
          <t>WHK</t>
        </is>
      </c>
      <c r="C1979" t="inlineStr">
        <is>
          <t>-&gt; Gastwirt</t>
        </is>
      </c>
      <c r="F1979" t="inlineStr">
        <is>
          <t>Kaufmann</t>
        </is>
      </c>
      <c r="G1979" t="inlineStr">
        <is>
          <t>Wert</t>
        </is>
      </c>
      <c r="L1979" t="inlineStr">
        <is>
          <t>SVERWEIS(wert;'WHK-Spez-Kosten';3;1)</t>
        </is>
      </c>
    </row>
    <row r="1980" hidden="1" ht="15.75" customHeight="1" s="48">
      <c r="A1980" t="inlineStr">
        <is>
          <t>whk_spez_kaufmann_sklavenhaendler</t>
        </is>
      </c>
      <c r="B1980" t="inlineStr">
        <is>
          <t>WHK</t>
        </is>
      </c>
      <c r="C1980" t="inlineStr">
        <is>
          <t>-&gt; Sklavenhändler</t>
        </is>
      </c>
      <c r="F1980" t="inlineStr">
        <is>
          <t>Kaufmann</t>
        </is>
      </c>
      <c r="G1980" t="inlineStr">
        <is>
          <t>Wert</t>
        </is>
      </c>
      <c r="L1980" t="inlineStr">
        <is>
          <t>SVERWEIS(wert;'WHK-Spez-Kosten';3;1)</t>
        </is>
      </c>
    </row>
    <row r="1981" hidden="1" ht="15.75" customHeight="1" s="48">
      <c r="A1981" t="inlineStr">
        <is>
          <t>whk_spez_kaufmann_artefakthaendler</t>
        </is>
      </c>
      <c r="B1981" t="inlineStr">
        <is>
          <t>WHK</t>
        </is>
      </c>
      <c r="C1981" t="inlineStr">
        <is>
          <t>-&gt; Artefakthändler</t>
        </is>
      </c>
      <c r="F1981" t="inlineStr">
        <is>
          <t>Kaufmann</t>
        </is>
      </c>
      <c r="G1981" t="inlineStr">
        <is>
          <t>Wert</t>
        </is>
      </c>
      <c r="L1981" t="inlineStr">
        <is>
          <t>SVERWEIS(wert;'WHK-Spez-Kosten';3;1)</t>
        </is>
      </c>
    </row>
    <row r="1982" hidden="1" ht="15.75" customHeight="1" s="48">
      <c r="A1982" t="inlineStr">
        <is>
          <t>whk_spez_kaufmann_bogenhaendler</t>
        </is>
      </c>
      <c r="B1982" t="inlineStr">
        <is>
          <t>WHK</t>
        </is>
      </c>
      <c r="C1982" t="inlineStr">
        <is>
          <t>-&gt; Bogenhändler</t>
        </is>
      </c>
      <c r="F1982" t="inlineStr">
        <is>
          <t>Kaufmann</t>
        </is>
      </c>
      <c r="G1982" t="inlineStr">
        <is>
          <t>Wert</t>
        </is>
      </c>
      <c r="L1982" t="inlineStr">
        <is>
          <t>SVERWEIS(wert;'WHK-Spez-Kosten';3;1)</t>
        </is>
      </c>
    </row>
    <row r="1983" hidden="1" ht="15.75" customHeight="1" s="48">
      <c r="A1983" t="inlineStr">
        <is>
          <t>whk_spez_kaufmann_armbrusthaendler</t>
        </is>
      </c>
      <c r="B1983" t="inlineStr">
        <is>
          <t>WHK</t>
        </is>
      </c>
      <c r="C1983" t="inlineStr">
        <is>
          <t>-&gt; Armbrusthändler</t>
        </is>
      </c>
      <c r="F1983" t="inlineStr">
        <is>
          <t>Kaufmann</t>
        </is>
      </c>
      <c r="G1983" t="inlineStr">
        <is>
          <t>Wert</t>
        </is>
      </c>
      <c r="L1983" t="inlineStr">
        <is>
          <t>SVERWEIS(wert;'WHK-Spez-Kosten';3;1)</t>
        </is>
      </c>
    </row>
    <row r="1984" hidden="1" ht="15.75" customHeight="1" s="48">
      <c r="A1984" t="inlineStr">
        <is>
          <t>whk_spez_kaufmann_feuerwaffenhaendler</t>
        </is>
      </c>
      <c r="B1984" t="inlineStr">
        <is>
          <t>WHK</t>
        </is>
      </c>
      <c r="C1984" t="inlineStr">
        <is>
          <t>-&gt; Feuerwaffenhändler</t>
        </is>
      </c>
      <c r="F1984" t="inlineStr">
        <is>
          <t>Kaufmann</t>
        </is>
      </c>
      <c r="G1984" t="inlineStr">
        <is>
          <t>Wert</t>
        </is>
      </c>
      <c r="L1984" t="inlineStr">
        <is>
          <t>SVERWEIS(wert;'WHK-Spez-Kosten';3;1)</t>
        </is>
      </c>
    </row>
    <row r="1985" hidden="1" ht="15.75" customHeight="1" s="48">
      <c r="A1985" t="inlineStr">
        <is>
          <t>whk_spez_kaufmann_kraemer</t>
        </is>
      </c>
      <c r="B1985" t="inlineStr">
        <is>
          <t>WHK</t>
        </is>
      </c>
      <c r="C1985" t="inlineStr">
        <is>
          <t>-&gt; Krämer</t>
        </is>
      </c>
      <c r="F1985" t="inlineStr">
        <is>
          <t>Kaufmann</t>
        </is>
      </c>
      <c r="G1985" t="inlineStr">
        <is>
          <t>Wert</t>
        </is>
      </c>
      <c r="L1985" t="inlineStr">
        <is>
          <t>SVERWEIS(wert;'WHK-Spez-Kosten';3;1)</t>
        </is>
      </c>
    </row>
    <row r="1986" hidden="1" ht="15.75" customHeight="1" s="48">
      <c r="A1986" t="inlineStr">
        <is>
          <t>whk_spez_kaufmann_kutschenhaendler</t>
        </is>
      </c>
      <c r="B1986" t="inlineStr">
        <is>
          <t>WHK</t>
        </is>
      </c>
      <c r="C1986" t="inlineStr">
        <is>
          <t>-&gt; Kutschenhändler</t>
        </is>
      </c>
      <c r="F1986" t="inlineStr">
        <is>
          <t>Kaufmann</t>
        </is>
      </c>
      <c r="G1986" t="inlineStr">
        <is>
          <t>Wert</t>
        </is>
      </c>
      <c r="L1986" t="inlineStr">
        <is>
          <t>SVERWEIS(wert;'WHK-Spez-Kosten';3;1)</t>
        </is>
      </c>
    </row>
    <row r="1987" hidden="1" ht="15.75" customHeight="1" s="48">
      <c r="A1987" t="inlineStr">
        <is>
          <t>whk_spez_kaufmann_schiffsmakler</t>
        </is>
      </c>
      <c r="B1987" t="inlineStr">
        <is>
          <t>WHK</t>
        </is>
      </c>
      <c r="C1987" t="inlineStr">
        <is>
          <t>-&gt; Schiffsmakler</t>
        </is>
      </c>
      <c r="F1987" t="inlineStr">
        <is>
          <t>Kaufmann</t>
        </is>
      </c>
      <c r="G1987" t="inlineStr">
        <is>
          <t>Wert</t>
        </is>
      </c>
      <c r="L1987" t="inlineStr">
        <is>
          <t>SVERWEIS(wert;'WHK-Spez-Kosten';3;1)</t>
        </is>
      </c>
    </row>
    <row r="1988" hidden="1" ht="15.75" customHeight="1" s="48">
      <c r="A1988" t="inlineStr">
        <is>
          <t>whk_spez_kaufmann_blankwaffenhaendler</t>
        </is>
      </c>
      <c r="B1988" t="inlineStr">
        <is>
          <t>WHK</t>
        </is>
      </c>
      <c r="C1988" t="inlineStr">
        <is>
          <t>-&gt; Blankwaffenhändler</t>
        </is>
      </c>
      <c r="F1988" t="inlineStr">
        <is>
          <t>Kaufmann</t>
        </is>
      </c>
      <c r="G1988" t="inlineStr">
        <is>
          <t>Wert</t>
        </is>
      </c>
      <c r="L1988" t="inlineStr">
        <is>
          <t>SVERWEIS(wert;'WHK-Spez-Kosten';3;1)</t>
        </is>
      </c>
    </row>
    <row r="1989" hidden="1" ht="15.75" customHeight="1" s="48">
      <c r="A1989" t="inlineStr">
        <is>
          <t>whk_spez_kaufmann_ruestungshaendler</t>
        </is>
      </c>
      <c r="B1989" t="inlineStr">
        <is>
          <t>WHK</t>
        </is>
      </c>
      <c r="C1989" t="inlineStr">
        <is>
          <t>-&gt; Rüstungshändler</t>
        </is>
      </c>
      <c r="F1989" t="inlineStr">
        <is>
          <t>Kaufmann</t>
        </is>
      </c>
      <c r="G1989" t="inlineStr">
        <is>
          <t>Wert</t>
        </is>
      </c>
      <c r="L1989" t="inlineStr">
        <is>
          <t>SVERWEIS(wert;'WHK-Spez-Kosten';3;1)</t>
        </is>
      </c>
    </row>
    <row r="1990" hidden="1" ht="15.75" customHeight="1" s="48">
      <c r="A1990" t="inlineStr">
        <is>
          <t>whk_spez_kaufmann_schmuckhaendler</t>
        </is>
      </c>
      <c r="B1990" t="inlineStr">
        <is>
          <t>WHK</t>
        </is>
      </c>
      <c r="C1990" t="inlineStr">
        <is>
          <t>-&gt; Schmuckhändler</t>
        </is>
      </c>
      <c r="F1990" t="inlineStr">
        <is>
          <t>Kaufmann</t>
        </is>
      </c>
      <c r="G1990" t="inlineStr">
        <is>
          <t>Wert</t>
        </is>
      </c>
      <c r="L1990" t="inlineStr">
        <is>
          <t>SVERWEIS(wert;'WHK-Spez-Kosten';3;1)</t>
        </is>
      </c>
    </row>
    <row r="1991" hidden="1" ht="15.75" customHeight="1" s="48">
      <c r="A1991" t="inlineStr">
        <is>
          <t>whk_spez_kaufmann_baustoffhaendler</t>
        </is>
      </c>
      <c r="B1991" t="inlineStr">
        <is>
          <t>WHK</t>
        </is>
      </c>
      <c r="C1991" t="inlineStr">
        <is>
          <t>-&gt; Baustoffhändler</t>
        </is>
      </c>
      <c r="F1991" t="inlineStr">
        <is>
          <t>Kaufmann</t>
        </is>
      </c>
      <c r="G1991" t="inlineStr">
        <is>
          <t>Wert</t>
        </is>
      </c>
      <c r="L1991" t="inlineStr">
        <is>
          <t>SVERWEIS(wert;'WHK-Spez-Kosten';3;1)</t>
        </is>
      </c>
    </row>
    <row r="1992" hidden="1" ht="15.75" customHeight="1" s="48">
      <c r="A1992" t="inlineStr">
        <is>
          <t>whk_spez_kaufmann_textilhaendler</t>
        </is>
      </c>
      <c r="B1992" t="inlineStr">
        <is>
          <t>WHK</t>
        </is>
      </c>
      <c r="C1992" t="inlineStr">
        <is>
          <t>-&gt; Textilhändler</t>
        </is>
      </c>
      <c r="F1992" t="inlineStr">
        <is>
          <t>Kaufmann</t>
        </is>
      </c>
      <c r="G1992" t="inlineStr">
        <is>
          <t>Wert</t>
        </is>
      </c>
      <c r="L1992" t="inlineStr">
        <is>
          <t>SVERWEIS(wert;'WHK-Spez-Kosten';3;1)</t>
        </is>
      </c>
    </row>
    <row r="1993" hidden="1" ht="15.75" customHeight="1" s="48">
      <c r="A1993" t="inlineStr">
        <is>
          <t>whk_spez_kaufmann_haushaltswarenhaendler</t>
        </is>
      </c>
      <c r="B1993" t="inlineStr">
        <is>
          <t>WHK</t>
        </is>
      </c>
      <c r="C1993" t="inlineStr">
        <is>
          <t>-&gt; Haushaltswarenhändler</t>
        </is>
      </c>
      <c r="F1993" t="inlineStr">
        <is>
          <t>Kaufmann</t>
        </is>
      </c>
      <c r="G1993" t="inlineStr">
        <is>
          <t>Wert</t>
        </is>
      </c>
      <c r="L1993" t="inlineStr">
        <is>
          <t>SVERWEIS(wert;'WHK-Spez-Kosten';3;1)</t>
        </is>
      </c>
    </row>
    <row r="1994" hidden="1" ht="15.75" customHeight="1" s="48">
      <c r="A1994" t="inlineStr">
        <is>
          <t>whk_spez_kaufmann_metallwarenhaendler</t>
        </is>
      </c>
      <c r="B1994" t="inlineStr">
        <is>
          <t>WHK</t>
        </is>
      </c>
      <c r="C1994" t="inlineStr">
        <is>
          <t>-&gt; Metallwarenhändler</t>
        </is>
      </c>
      <c r="F1994" t="inlineStr">
        <is>
          <t>Kaufmann</t>
        </is>
      </c>
      <c r="G1994" t="inlineStr">
        <is>
          <t>Wert</t>
        </is>
      </c>
      <c r="L1994" t="inlineStr">
        <is>
          <t>SVERWEIS(wert;'WHK-Spez-Kosten';3;1)</t>
        </is>
      </c>
    </row>
    <row r="1995" hidden="1" ht="15.75" customHeight="1" s="48">
      <c r="A1995" t="inlineStr">
        <is>
          <t>whk_spez_kaufmann_provianthaendler</t>
        </is>
      </c>
      <c r="B1995" t="inlineStr">
        <is>
          <t>WHK</t>
        </is>
      </c>
      <c r="C1995" t="inlineStr">
        <is>
          <t>-&gt; Provianthändler</t>
        </is>
      </c>
      <c r="F1995" t="inlineStr">
        <is>
          <t>Kaufmann</t>
        </is>
      </c>
      <c r="G1995" t="inlineStr">
        <is>
          <t>Wert</t>
        </is>
      </c>
      <c r="L1995" t="inlineStr">
        <is>
          <t>SVERWEIS(wert;'WHK-Spez-Kosten';3;1)</t>
        </is>
      </c>
    </row>
    <row r="1996" hidden="1" ht="15.75" customHeight="1" s="48">
      <c r="A1996" t="inlineStr">
        <is>
          <t>whk_spez_kaufmann_papierwarenhaendler</t>
        </is>
      </c>
      <c r="B1996" t="inlineStr">
        <is>
          <t>WHK</t>
        </is>
      </c>
      <c r="C1996" t="inlineStr">
        <is>
          <t>-&gt; Papierwarenhändler</t>
        </is>
      </c>
      <c r="F1996" t="inlineStr">
        <is>
          <t>Kaufmann</t>
        </is>
      </c>
      <c r="G1996" t="inlineStr">
        <is>
          <t>Wert</t>
        </is>
      </c>
      <c r="L1996" t="inlineStr">
        <is>
          <t>SVERWEIS(wert;'WHK-Spez-Kosten';3;1)</t>
        </is>
      </c>
    </row>
    <row r="1997" hidden="1" ht="15.75" customHeight="1" s="48">
      <c r="A1997" t="inlineStr">
        <is>
          <t>whk_spez_kaufmann_immobilienmakler</t>
        </is>
      </c>
      <c r="B1997" t="inlineStr">
        <is>
          <t>WHK</t>
        </is>
      </c>
      <c r="C1997" t="inlineStr">
        <is>
          <t>-&gt; Immobilienmakler</t>
        </is>
      </c>
      <c r="F1997" t="inlineStr">
        <is>
          <t>Kaufmann</t>
        </is>
      </c>
      <c r="G1997" t="inlineStr">
        <is>
          <t>Wert</t>
        </is>
      </c>
      <c r="L1997" t="inlineStr">
        <is>
          <t>SVERWEIS(wert;'WHK-Spez-Kosten';3;1)</t>
        </is>
      </c>
    </row>
    <row r="1998" hidden="1" ht="15.75" customHeight="1" s="48">
      <c r="A1998" t="inlineStr">
        <is>
          <t>whk_spez_kaufmann_rohstoffhaendler</t>
        </is>
      </c>
      <c r="B1998" t="inlineStr">
        <is>
          <t>WHK</t>
        </is>
      </c>
      <c r="C1998" t="inlineStr">
        <is>
          <t>-&gt; Rohstoffhändler</t>
        </is>
      </c>
      <c r="F1998" t="inlineStr">
        <is>
          <t>Kaufmann</t>
        </is>
      </c>
      <c r="G1998" t="inlineStr">
        <is>
          <t>Wert</t>
        </is>
      </c>
      <c r="L1998" t="inlineStr">
        <is>
          <t>SVERWEIS(wert;'WHK-Spez-Kosten';3;1)</t>
        </is>
      </c>
    </row>
    <row r="1999" hidden="1" ht="15.75" customHeight="1" s="48">
      <c r="A1999" t="inlineStr">
        <is>
          <t>whk_spez_kaufmann_musikalienhaendler</t>
        </is>
      </c>
      <c r="B1999" t="inlineStr">
        <is>
          <t>WHK</t>
        </is>
      </c>
      <c r="C1999" t="inlineStr">
        <is>
          <t>-&gt; Musikalienhändler</t>
        </is>
      </c>
      <c r="F1999" t="inlineStr">
        <is>
          <t>Kaufmann</t>
        </is>
      </c>
      <c r="G1999" t="inlineStr">
        <is>
          <t>Wert</t>
        </is>
      </c>
      <c r="L1999" t="inlineStr">
        <is>
          <t>SVERWEIS(wert;'WHK-Spez-Kosten';3;1)</t>
        </is>
      </c>
    </row>
    <row r="2000" hidden="1" ht="15.75" customHeight="1" s="48">
      <c r="A2000" t="inlineStr">
        <is>
          <t>whk_bankwesen</t>
        </is>
      </c>
      <c r="B2000" t="inlineStr">
        <is>
          <t>WHK</t>
        </is>
      </c>
      <c r="C2000" t="inlineStr">
        <is>
          <t>Bankwesen</t>
        </is>
      </c>
      <c r="F2000" t="inlineStr">
        <is>
          <t>Handel/Verwaltung</t>
        </is>
      </c>
      <c r="G2000" t="inlineStr">
        <is>
          <t>Wert</t>
        </is>
      </c>
      <c r="L2000" t="inlineStr">
        <is>
          <t>WENN(wert=0;0;10+(wert-1)*wert/2)</t>
        </is>
      </c>
    </row>
    <row r="2001" hidden="1" ht="15.75" customHeight="1" s="48">
      <c r="A2001" t="inlineStr">
        <is>
          <t>whk_spez_bankwesen_kreditwesen</t>
        </is>
      </c>
      <c r="B2001" t="inlineStr">
        <is>
          <t>WHK</t>
        </is>
      </c>
      <c r="C2001" t="inlineStr">
        <is>
          <t>-&gt; Kreditwesen</t>
        </is>
      </c>
      <c r="F2001" t="inlineStr">
        <is>
          <t>Bankwesen</t>
        </is>
      </c>
      <c r="G2001" t="inlineStr">
        <is>
          <t>Wert</t>
        </is>
      </c>
      <c r="L2001" t="inlineStr">
        <is>
          <t>SVERWEIS(wert;'WHK-Spez-Kosten';3;1)</t>
        </is>
      </c>
    </row>
    <row r="2002" hidden="1" ht="15.75" customHeight="1" s="48">
      <c r="A2002" t="inlineStr">
        <is>
          <t>whk_spez_bankwesen_einlagengeschaeft</t>
        </is>
      </c>
      <c r="B2002" t="inlineStr">
        <is>
          <t>WHK</t>
        </is>
      </c>
      <c r="C2002" t="inlineStr">
        <is>
          <t>-&gt; Einlagengeschäft</t>
        </is>
      </c>
      <c r="F2002" t="inlineStr">
        <is>
          <t>Bankwesen</t>
        </is>
      </c>
      <c r="G2002" t="inlineStr">
        <is>
          <t>Wert</t>
        </is>
      </c>
      <c r="L2002" t="inlineStr">
        <is>
          <t>SVERWEIS(wert;'WHK-Spez-Kosten';3;1)</t>
        </is>
      </c>
    </row>
    <row r="2003" hidden="1" ht="15.75" customHeight="1" s="48">
      <c r="A2003" t="inlineStr">
        <is>
          <t>whk_spez_bankwesen_wechsler</t>
        </is>
      </c>
      <c r="B2003" t="inlineStr">
        <is>
          <t>WHK</t>
        </is>
      </c>
      <c r="C2003" t="inlineStr">
        <is>
          <t>-&gt; Wechsler</t>
        </is>
      </c>
      <c r="F2003" t="inlineStr">
        <is>
          <t>Bankwesen</t>
        </is>
      </c>
      <c r="G2003" t="inlineStr">
        <is>
          <t>Wert</t>
        </is>
      </c>
      <c r="L2003" t="inlineStr">
        <is>
          <t>SVERWEIS(wert;'WHK-Spez-Kosten';3;1)</t>
        </is>
      </c>
    </row>
    <row r="2004" hidden="1" ht="15.75" customHeight="1" s="48">
      <c r="A2004" t="inlineStr">
        <is>
          <t>whk_spez_bankwesen_hypothekenwesen</t>
        </is>
      </c>
      <c r="B2004" t="inlineStr">
        <is>
          <t>WHK</t>
        </is>
      </c>
      <c r="C2004" t="inlineStr">
        <is>
          <t>-&gt; Hypothekenwesen</t>
        </is>
      </c>
      <c r="F2004" t="inlineStr">
        <is>
          <t>Bankwesen</t>
        </is>
      </c>
      <c r="G2004" t="inlineStr">
        <is>
          <t>Wert</t>
        </is>
      </c>
      <c r="L2004" t="inlineStr">
        <is>
          <t>SVERWEIS(wert;'WHK-Spez-Kosten';3;1)</t>
        </is>
      </c>
    </row>
    <row r="2005" hidden="1" ht="15.75" customHeight="1" s="48">
      <c r="A2005" t="inlineStr">
        <is>
          <t>whk_versicherungswesen</t>
        </is>
      </c>
      <c r="B2005" t="inlineStr">
        <is>
          <t>WHK</t>
        </is>
      </c>
      <c r="C2005" t="inlineStr">
        <is>
          <t>Versicherungswesen</t>
        </is>
      </c>
      <c r="F2005" t="inlineStr">
        <is>
          <t>Handel/Verwaltung</t>
        </is>
      </c>
      <c r="G2005" t="inlineStr">
        <is>
          <t>Wert</t>
        </is>
      </c>
      <c r="L2005" t="inlineStr">
        <is>
          <t>WENN(wert=0;0;10+(wert-1)*wert/2)</t>
        </is>
      </c>
    </row>
    <row r="2006" hidden="1" ht="15.75" customHeight="1" s="48">
      <c r="A2006" t="inlineStr">
        <is>
          <t>whk_spez_versicherungswesen_feuerversicherung</t>
        </is>
      </c>
      <c r="B2006" t="inlineStr">
        <is>
          <t>WHK</t>
        </is>
      </c>
      <c r="C2006" t="inlineStr">
        <is>
          <t>-&gt; Feuerversicherung</t>
        </is>
      </c>
      <c r="F2006" t="inlineStr">
        <is>
          <t>Versicherungswesen</t>
        </is>
      </c>
      <c r="G2006" t="inlineStr">
        <is>
          <t>Wert</t>
        </is>
      </c>
      <c r="L2006" t="inlineStr">
        <is>
          <t>SVERWEIS(wert;'WHK-Spez-Kosten';3;1)</t>
        </is>
      </c>
    </row>
    <row r="2007" hidden="1" ht="15.75" customHeight="1" s="48">
      <c r="A2007" t="inlineStr">
        <is>
          <t>whk_spez_versicherungswesen_lebensversicherung</t>
        </is>
      </c>
      <c r="B2007" t="inlineStr">
        <is>
          <t>WHK</t>
        </is>
      </c>
      <c r="C2007" t="inlineStr">
        <is>
          <t>-&gt; Lebensversicherung</t>
        </is>
      </c>
      <c r="F2007" t="inlineStr">
        <is>
          <t>Versicherungswesen</t>
        </is>
      </c>
      <c r="G2007" t="inlineStr">
        <is>
          <t>Wert</t>
        </is>
      </c>
      <c r="L2007" t="inlineStr">
        <is>
          <t>SVERWEIS(wert;'WHK-Spez-Kosten';3;1)</t>
        </is>
      </c>
    </row>
    <row r="2008" hidden="1" ht="15.75" customHeight="1" s="48">
      <c r="A2008" t="inlineStr">
        <is>
          <t>whk_spez_versicherungswesen_transportversicherung</t>
        </is>
      </c>
      <c r="B2008" t="inlineStr">
        <is>
          <t>WHK</t>
        </is>
      </c>
      <c r="C2008" t="inlineStr">
        <is>
          <t>-&gt; Transportversicherung</t>
        </is>
      </c>
      <c r="F2008" t="inlineStr">
        <is>
          <t>Versicherungswesen</t>
        </is>
      </c>
      <c r="G2008" t="inlineStr">
        <is>
          <t>Wert</t>
        </is>
      </c>
      <c r="L2008" t="inlineStr">
        <is>
          <t>SVERWEIS(wert;'WHK-Spez-Kosten';3;1)</t>
        </is>
      </c>
    </row>
    <row r="2009" hidden="1" ht="15.75" customHeight="1" s="48">
      <c r="A2009" t="inlineStr">
        <is>
          <t>whk_spez_versicherungswesen_schiffsversicherung</t>
        </is>
      </c>
      <c r="B2009" t="inlineStr">
        <is>
          <t>WHK</t>
        </is>
      </c>
      <c r="C2009" t="inlineStr">
        <is>
          <t>-&gt; Schiffsversicherung</t>
        </is>
      </c>
      <c r="F2009" t="inlineStr">
        <is>
          <t>Versicherungswesen</t>
        </is>
      </c>
      <c r="G2009" t="inlineStr">
        <is>
          <t>Wert</t>
        </is>
      </c>
      <c r="L2009" t="inlineStr">
        <is>
          <t>SVERWEIS(wert;'WHK-Spez-Kosten';3;1)</t>
        </is>
      </c>
    </row>
    <row r="2010" hidden="1" ht="15.75" customHeight="1" s="48">
      <c r="A2010" t="inlineStr">
        <is>
          <t>whk_buchhaltung</t>
        </is>
      </c>
      <c r="B2010" t="inlineStr">
        <is>
          <t>WHK</t>
        </is>
      </c>
      <c r="C2010" t="inlineStr">
        <is>
          <t>Buchhaltung</t>
        </is>
      </c>
      <c r="F2010" t="inlineStr">
        <is>
          <t>Handel/Verwaltung</t>
        </is>
      </c>
      <c r="G2010" t="inlineStr">
        <is>
          <t>Wert</t>
        </is>
      </c>
      <c r="L2010" t="inlineStr">
        <is>
          <t>WENN(wert=0;0;10+(wert-1)*wert/2)</t>
        </is>
      </c>
    </row>
    <row r="2011" hidden="1" ht="15.75" customHeight="1" s="48">
      <c r="A2011" t="inlineStr">
        <is>
          <t>whk_spez_buchhaltung_bilanzbuchhalter</t>
        </is>
      </c>
      <c r="B2011" t="inlineStr">
        <is>
          <t>WHK</t>
        </is>
      </c>
      <c r="C2011" t="inlineStr">
        <is>
          <t>-&gt; Bilanzbuchhalter</t>
        </is>
      </c>
      <c r="F2011" t="inlineStr">
        <is>
          <t>Buchhaltung</t>
        </is>
      </c>
      <c r="G2011" t="inlineStr">
        <is>
          <t>Wert</t>
        </is>
      </c>
      <c r="L2011" t="inlineStr">
        <is>
          <t>SVERWEIS(wert;'WHK-Spez-Kosten';3;1)</t>
        </is>
      </c>
    </row>
    <row r="2012" hidden="1" ht="15.75" customHeight="1" s="48">
      <c r="A2012" t="inlineStr">
        <is>
          <t>whk_spez_buchhaltung_betriebspruefer</t>
        </is>
      </c>
      <c r="B2012" t="inlineStr">
        <is>
          <t>WHK</t>
        </is>
      </c>
      <c r="C2012" t="inlineStr">
        <is>
          <t>-&gt; Betriebsprüfer</t>
        </is>
      </c>
      <c r="F2012" t="inlineStr">
        <is>
          <t>Buchhaltung</t>
        </is>
      </c>
      <c r="G2012" t="inlineStr">
        <is>
          <t>Wert</t>
        </is>
      </c>
      <c r="L2012" t="inlineStr">
        <is>
          <t>SVERWEIS(wert;'WHK-Spez-Kosten';3;1)</t>
        </is>
      </c>
    </row>
    <row r="2013" hidden="1" ht="15.75" customHeight="1" s="48">
      <c r="A2013" t="inlineStr">
        <is>
          <t>whk_spez_buchhaltung_kostenrechnung</t>
        </is>
      </c>
      <c r="B2013" t="inlineStr">
        <is>
          <t>WHK</t>
        </is>
      </c>
      <c r="C2013" t="inlineStr">
        <is>
          <t>-&gt; Kostenrechnung</t>
        </is>
      </c>
      <c r="F2013" t="inlineStr">
        <is>
          <t>Buchhaltung</t>
        </is>
      </c>
      <c r="G2013" t="inlineStr">
        <is>
          <t>Wert</t>
        </is>
      </c>
      <c r="L2013" t="inlineStr">
        <is>
          <t>SVERWEIS(wert;'WHK-Spez-Kosten';3;1)</t>
        </is>
      </c>
    </row>
    <row r="2014" hidden="1" ht="15.75" customHeight="1" s="48">
      <c r="A2014" t="inlineStr">
        <is>
          <t>whk_administration</t>
        </is>
      </c>
      <c r="B2014" t="inlineStr">
        <is>
          <t>WHK</t>
        </is>
      </c>
      <c r="C2014" t="inlineStr">
        <is>
          <t>Administration</t>
        </is>
      </c>
      <c r="F2014" t="inlineStr">
        <is>
          <t>Handel/Verwaltung</t>
        </is>
      </c>
      <c r="G2014" t="inlineStr">
        <is>
          <t>Wert</t>
        </is>
      </c>
      <c r="L2014" t="inlineStr">
        <is>
          <t>WENN(wert=0;0;10+(wert-1)*wert/2)</t>
        </is>
      </c>
    </row>
    <row r="2015" hidden="1" ht="15.75" customHeight="1" s="48">
      <c r="A2015" t="inlineStr">
        <is>
          <t>whk_spez_administration_schreiber</t>
        </is>
      </c>
      <c r="B2015" t="inlineStr">
        <is>
          <t>WHK</t>
        </is>
      </c>
      <c r="C2015" t="inlineStr">
        <is>
          <t>-&gt; Schreiber</t>
        </is>
      </c>
      <c r="F2015" t="inlineStr">
        <is>
          <t>Administration</t>
        </is>
      </c>
      <c r="G2015" t="inlineStr">
        <is>
          <t>Wert</t>
        </is>
      </c>
      <c r="L2015" t="inlineStr">
        <is>
          <t>SVERWEIS(wert;'WHK-Spez-Kosten';3;1)</t>
        </is>
      </c>
    </row>
    <row r="2016" hidden="1" ht="15.75" customHeight="1" s="48">
      <c r="A2016" t="inlineStr">
        <is>
          <t>whk_spez_administration_landvermesser</t>
        </is>
      </c>
      <c r="B2016" t="inlineStr">
        <is>
          <t>WHK</t>
        </is>
      </c>
      <c r="C2016" t="inlineStr">
        <is>
          <t>-&gt; Landvermesser</t>
        </is>
      </c>
      <c r="F2016" t="inlineStr">
        <is>
          <t>Administration</t>
        </is>
      </c>
      <c r="G2016" t="inlineStr">
        <is>
          <t>Wert</t>
        </is>
      </c>
      <c r="L2016" t="inlineStr">
        <is>
          <t>SVERWEIS(wert;'WHK-Spez-Kosten';3;1)</t>
        </is>
      </c>
    </row>
    <row r="2017" hidden="1" ht="15.75" customHeight="1" s="48">
      <c r="A2017" t="inlineStr">
        <is>
          <t>whk_spez_administration_archivar</t>
        </is>
      </c>
      <c r="B2017" t="inlineStr">
        <is>
          <t>WHK</t>
        </is>
      </c>
      <c r="C2017" t="inlineStr">
        <is>
          <t>-&gt; Archivar</t>
        </is>
      </c>
      <c r="F2017" t="inlineStr">
        <is>
          <t>Administration</t>
        </is>
      </c>
      <c r="G2017" t="inlineStr">
        <is>
          <t>Wert</t>
        </is>
      </c>
      <c r="L2017" t="inlineStr">
        <is>
          <t>SVERWEIS(wert;'WHK-Spez-Kosten';3;1)</t>
        </is>
      </c>
    </row>
    <row r="2018" hidden="1" ht="15.75" customHeight="1" s="48">
      <c r="A2018" t="inlineStr">
        <is>
          <t>whk_spez_administration_verwaltungsbeamter</t>
        </is>
      </c>
      <c r="B2018" t="inlineStr">
        <is>
          <t>WHK</t>
        </is>
      </c>
      <c r="C2018" t="inlineStr">
        <is>
          <t>-&gt; Verwaltungsbeamter</t>
        </is>
      </c>
      <c r="F2018" t="inlineStr">
        <is>
          <t>Administration</t>
        </is>
      </c>
      <c r="G2018" t="inlineStr">
        <is>
          <t>Wert</t>
        </is>
      </c>
      <c r="L2018" t="inlineStr">
        <is>
          <t>SVERWEIS(wert;'WHK-Spez-Kosten';3;1)</t>
        </is>
      </c>
    </row>
    <row r="2019" hidden="1" ht="15.75" customHeight="1" s="48">
      <c r="A2019" t="inlineStr">
        <is>
          <t>whk_rechtskunde</t>
        </is>
      </c>
      <c r="B2019" t="inlineStr">
        <is>
          <t>WHK</t>
        </is>
      </c>
      <c r="C2019" t="inlineStr">
        <is>
          <t>Rechtskunde</t>
        </is>
      </c>
      <c r="F2019" t="inlineStr">
        <is>
          <t>Handel/Verwaltung</t>
        </is>
      </c>
      <c r="G2019" t="inlineStr">
        <is>
          <t>Wert</t>
        </is>
      </c>
      <c r="L2019" t="inlineStr">
        <is>
          <t>WENN(wert=0;0;10+(wert-1)*wert/2)</t>
        </is>
      </c>
    </row>
    <row r="2020" hidden="1" ht="15.75" customHeight="1" s="48">
      <c r="A2020" t="inlineStr">
        <is>
          <t>whk_spez_rechtskunde_vertragsrecht</t>
        </is>
      </c>
      <c r="B2020" t="inlineStr">
        <is>
          <t>WHK</t>
        </is>
      </c>
      <c r="C2020" t="inlineStr">
        <is>
          <t>-&gt; Vertragsrecht</t>
        </is>
      </c>
      <c r="F2020" t="inlineStr">
        <is>
          <t>Rechtskunde</t>
        </is>
      </c>
      <c r="G2020" t="inlineStr">
        <is>
          <t>Wert</t>
        </is>
      </c>
      <c r="L2020" t="inlineStr">
        <is>
          <t>SVERWEIS(wert;'WHK-Spez-Kosten';3;1)</t>
        </is>
      </c>
    </row>
    <row r="2021" hidden="1" ht="15.75" customHeight="1" s="48">
      <c r="A2021" t="inlineStr">
        <is>
          <t>whk_spez_rechtskunde_strafrecht</t>
        </is>
      </c>
      <c r="B2021" t="inlineStr">
        <is>
          <t>WHK</t>
        </is>
      </c>
      <c r="C2021" t="inlineStr">
        <is>
          <t>-&gt; Strafrecht</t>
        </is>
      </c>
      <c r="F2021" t="inlineStr">
        <is>
          <t>Rechtskunde</t>
        </is>
      </c>
      <c r="G2021" t="inlineStr">
        <is>
          <t>Wert</t>
        </is>
      </c>
      <c r="L2021" t="inlineStr">
        <is>
          <t>SVERWEIS(wert;'WHK-Spez-Kosten';3;1)</t>
        </is>
      </c>
    </row>
    <row r="2022" hidden="1" ht="15.75" customHeight="1" s="48">
      <c r="A2022" t="inlineStr">
        <is>
          <t>whk_spez_rechtskunde_bergrecht</t>
        </is>
      </c>
      <c r="B2022" t="inlineStr">
        <is>
          <t>WHK</t>
        </is>
      </c>
      <c r="C2022" t="inlineStr">
        <is>
          <t>-&gt; Bergrecht</t>
        </is>
      </c>
      <c r="F2022" t="inlineStr">
        <is>
          <t>Rechtskunde</t>
        </is>
      </c>
      <c r="G2022" t="inlineStr">
        <is>
          <t>Wert</t>
        </is>
      </c>
      <c r="L2022" t="inlineStr">
        <is>
          <t>SVERWEIS(wert;'WHK-Spez-Kosten';3;1)</t>
        </is>
      </c>
    </row>
    <row r="2023" hidden="1" ht="15.75" customHeight="1" s="48">
      <c r="A2023" t="inlineStr">
        <is>
          <t>whk_spez_rechtskunde_buergerrecht</t>
        </is>
      </c>
      <c r="B2023" t="inlineStr">
        <is>
          <t>WHK</t>
        </is>
      </c>
      <c r="C2023" t="inlineStr">
        <is>
          <t>-&gt; Bürgerrecht</t>
        </is>
      </c>
      <c r="F2023" t="inlineStr">
        <is>
          <t>Rechtskunde</t>
        </is>
      </c>
      <c r="G2023" t="inlineStr">
        <is>
          <t>Wert</t>
        </is>
      </c>
      <c r="L2023" t="inlineStr">
        <is>
          <t>SVERWEIS(wert;'WHK-Spez-Kosten';3;1)</t>
        </is>
      </c>
    </row>
    <row r="2024" hidden="1" ht="15.75" customHeight="1" s="48">
      <c r="A2024" t="inlineStr">
        <is>
          <t>whk_logistik</t>
        </is>
      </c>
      <c r="B2024" t="inlineStr">
        <is>
          <t>WHK</t>
        </is>
      </c>
      <c r="C2024" t="inlineStr">
        <is>
          <t>Logistik</t>
        </is>
      </c>
      <c r="F2024" t="inlineStr">
        <is>
          <t>Handel/Verwaltung</t>
        </is>
      </c>
      <c r="G2024" t="inlineStr">
        <is>
          <t>Wert</t>
        </is>
      </c>
      <c r="L2024" t="inlineStr">
        <is>
          <t>WENN(wert=0;0;10+(wert-1)*wert/2)</t>
        </is>
      </c>
    </row>
    <row r="2025" hidden="1" ht="15.75" customHeight="1" s="48">
      <c r="A2025" t="inlineStr">
        <is>
          <t>whk_spez_logistik_bahnspediteur</t>
        </is>
      </c>
      <c r="B2025" t="inlineStr">
        <is>
          <t>WHK</t>
        </is>
      </c>
      <c r="C2025" t="inlineStr">
        <is>
          <t>-&gt; Bahnspediteur</t>
        </is>
      </c>
      <c r="F2025" t="inlineStr">
        <is>
          <t>Logistik</t>
        </is>
      </c>
      <c r="G2025" t="inlineStr">
        <is>
          <t>Wert</t>
        </is>
      </c>
      <c r="L2025" t="inlineStr">
        <is>
          <t>SVERWEIS(wert;'WHK-Spez-Kosten';3;1)</t>
        </is>
      </c>
    </row>
    <row r="2026" hidden="1" ht="15.75" customHeight="1" s="48">
      <c r="A2026" t="inlineStr">
        <is>
          <t>whk_spez_logistik_fuhrspediteur</t>
        </is>
      </c>
      <c r="B2026" t="inlineStr">
        <is>
          <t>WHK</t>
        </is>
      </c>
      <c r="C2026" t="inlineStr">
        <is>
          <t>-&gt; Fuhrspediteur</t>
        </is>
      </c>
      <c r="F2026" t="inlineStr">
        <is>
          <t>Logistik</t>
        </is>
      </c>
      <c r="G2026" t="inlineStr">
        <is>
          <t>Wert</t>
        </is>
      </c>
      <c r="L2026" t="inlineStr">
        <is>
          <t>SVERWEIS(wert;'WHK-Spez-Kosten';3;1)</t>
        </is>
      </c>
    </row>
    <row r="2027" hidden="1" ht="15.75" customHeight="1" s="48">
      <c r="A2027" t="inlineStr">
        <is>
          <t>whk_spez_logistik_hafenspediteur</t>
        </is>
      </c>
      <c r="B2027" t="inlineStr">
        <is>
          <t>WHK</t>
        </is>
      </c>
      <c r="C2027" t="inlineStr">
        <is>
          <t>-&gt; Hafenspediteur</t>
        </is>
      </c>
      <c r="F2027" t="inlineStr">
        <is>
          <t>Logistik</t>
        </is>
      </c>
      <c r="G2027" t="inlineStr">
        <is>
          <t>Wert</t>
        </is>
      </c>
      <c r="L2027" t="inlineStr">
        <is>
          <t>SVERWEIS(wert;'WHK-Spez-Kosten';3;1)</t>
        </is>
      </c>
    </row>
    <row r="2028" hidden="1" ht="15.75" customHeight="1" s="48">
      <c r="A2028" t="inlineStr">
        <is>
          <t>whk_spez_logistik_schiffsspediteur</t>
        </is>
      </c>
      <c r="B2028" t="inlineStr">
        <is>
          <t>WHK</t>
        </is>
      </c>
      <c r="C2028" t="inlineStr">
        <is>
          <t>-&gt; Schiffsspediteur</t>
        </is>
      </c>
      <c r="F2028" t="inlineStr">
        <is>
          <t>Logistik</t>
        </is>
      </c>
      <c r="G2028" t="inlineStr">
        <is>
          <t>Wert</t>
        </is>
      </c>
      <c r="L2028" t="inlineStr">
        <is>
          <t>SVERWEIS(wert;'WHK-Spez-Kosten';3;1)</t>
        </is>
      </c>
    </row>
    <row r="2029" hidden="1" ht="15.75" customHeight="1" s="48">
      <c r="A2029" t="inlineStr">
        <is>
          <t>whk_fuhrmann</t>
        </is>
      </c>
      <c r="B2029" t="inlineStr">
        <is>
          <t>WHK</t>
        </is>
      </c>
      <c r="C2029" t="inlineStr">
        <is>
          <t>Fuhrmann</t>
        </is>
      </c>
      <c r="F2029" t="inlineStr">
        <is>
          <t>Handel/Verwaltung</t>
        </is>
      </c>
      <c r="G2029" t="inlineStr">
        <is>
          <t>Wert</t>
        </is>
      </c>
      <c r="L2029" t="inlineStr">
        <is>
          <t>WENN(wert=0;0;10+(wert-1)*wert/2)</t>
        </is>
      </c>
    </row>
    <row r="2030" hidden="1" ht="15.75" customHeight="1" s="48">
      <c r="A2030" t="inlineStr">
        <is>
          <t>whk_spez_fuhrmann_lastfuhrmann</t>
        </is>
      </c>
      <c r="B2030" t="inlineStr">
        <is>
          <t>WHK</t>
        </is>
      </c>
      <c r="C2030" t="inlineStr">
        <is>
          <t>-&gt; Lastfuhrmann</t>
        </is>
      </c>
      <c r="F2030" t="inlineStr">
        <is>
          <t>Fuhrmann</t>
        </is>
      </c>
      <c r="G2030" t="inlineStr">
        <is>
          <t>Wert</t>
        </is>
      </c>
      <c r="L2030" t="inlineStr">
        <is>
          <t>SVERWEIS(wert;'WHK-Spez-Kosten';3;1)</t>
        </is>
      </c>
    </row>
    <row r="2031" hidden="1" ht="15.75" customHeight="1" s="48">
      <c r="A2031" t="inlineStr">
        <is>
          <t>whk_spez_fuhrmann_postkutscher</t>
        </is>
      </c>
      <c r="B2031" t="inlineStr">
        <is>
          <t>WHK</t>
        </is>
      </c>
      <c r="C2031" t="inlineStr">
        <is>
          <t>-&gt; Postkutscher</t>
        </is>
      </c>
      <c r="F2031" t="inlineStr">
        <is>
          <t>Fuhrmann</t>
        </is>
      </c>
      <c r="G2031" t="inlineStr">
        <is>
          <t>Wert</t>
        </is>
      </c>
      <c r="L2031" t="inlineStr">
        <is>
          <t>SVERWEIS(wert;'WHK-Spez-Kosten';3;1)</t>
        </is>
      </c>
    </row>
    <row r="2032" hidden="1" ht="15.75" customHeight="1" s="48">
      <c r="A2032" t="inlineStr">
        <is>
          <t>whk_spez_fuhrmann_reisekutscher</t>
        </is>
      </c>
      <c r="B2032" t="inlineStr">
        <is>
          <t>WHK</t>
        </is>
      </c>
      <c r="C2032" t="inlineStr">
        <is>
          <t>-&gt; Reisekutscher</t>
        </is>
      </c>
      <c r="F2032" t="inlineStr">
        <is>
          <t>Fuhrmann</t>
        </is>
      </c>
      <c r="G2032" t="inlineStr">
        <is>
          <t>Wert</t>
        </is>
      </c>
      <c r="L2032" t="inlineStr">
        <is>
          <t>SVERWEIS(wert;'WHK-Spez-Kosten';3;1)</t>
        </is>
      </c>
    </row>
    <row r="2033" hidden="1" ht="15.75" customHeight="1" s="48">
      <c r="A2033" t="inlineStr">
        <is>
          <t>whk_eisenbahner</t>
        </is>
      </c>
      <c r="B2033" t="inlineStr">
        <is>
          <t>WHK</t>
        </is>
      </c>
      <c r="C2033" t="inlineStr">
        <is>
          <t>Eisenbahner</t>
        </is>
      </c>
      <c r="F2033" t="inlineStr">
        <is>
          <t>Handel/Verwaltung</t>
        </is>
      </c>
      <c r="G2033" t="inlineStr">
        <is>
          <t>Wert</t>
        </is>
      </c>
      <c r="L2033" t="inlineStr">
        <is>
          <t>WENN(wert=0;0;10+(wert-1)*wert/2)</t>
        </is>
      </c>
    </row>
    <row r="2034" hidden="1" ht="15.75" customHeight="1" s="48">
      <c r="A2034" t="inlineStr">
        <is>
          <t>whk_spez_eisenbahner_lokfuehrer</t>
        </is>
      </c>
      <c r="B2034" t="inlineStr">
        <is>
          <t>WHK</t>
        </is>
      </c>
      <c r="C2034" t="inlineStr">
        <is>
          <t>-&gt; Lokführer</t>
        </is>
      </c>
      <c r="F2034" t="inlineStr">
        <is>
          <t>Eisenbahner</t>
        </is>
      </c>
      <c r="G2034" t="inlineStr">
        <is>
          <t>Wert</t>
        </is>
      </c>
      <c r="L2034" t="inlineStr">
        <is>
          <t>SVERWEIS(wert;'WHK-Spez-Kosten';3;1)</t>
        </is>
      </c>
    </row>
    <row r="2035" hidden="1" ht="15.75" customHeight="1" s="48">
      <c r="A2035" t="inlineStr">
        <is>
          <t>whk_spez_eisenbahner_signaler</t>
        </is>
      </c>
      <c r="B2035" t="inlineStr">
        <is>
          <t>WHK</t>
        </is>
      </c>
      <c r="C2035" t="inlineStr">
        <is>
          <t>-&gt; Signaler</t>
        </is>
      </c>
      <c r="F2035" t="inlineStr">
        <is>
          <t>Eisenbahner</t>
        </is>
      </c>
      <c r="G2035" t="inlineStr">
        <is>
          <t>Wert</t>
        </is>
      </c>
      <c r="L2035" t="inlineStr">
        <is>
          <t>SVERWEIS(wert;'WHK-Spez-Kosten';3;1)</t>
        </is>
      </c>
    </row>
    <row r="2036" hidden="1" ht="15.75" customHeight="1" s="48">
      <c r="A2036" t="inlineStr">
        <is>
          <t>whk_fuehrung</t>
        </is>
      </c>
      <c r="B2036" t="inlineStr">
        <is>
          <t>WHK</t>
        </is>
      </c>
      <c r="C2036" t="inlineStr">
        <is>
          <t>Führung</t>
        </is>
      </c>
      <c r="F2036" t="inlineStr">
        <is>
          <t>Führung/Reise</t>
        </is>
      </c>
      <c r="G2036" t="inlineStr">
        <is>
          <t>Wert</t>
        </is>
      </c>
      <c r="L2036" t="inlineStr">
        <is>
          <t>WENN(wert=0;0;10+(wert-1)*wert/2)</t>
        </is>
      </c>
    </row>
    <row r="2037" hidden="1" ht="15.75" customHeight="1" s="48">
      <c r="A2037" t="inlineStr">
        <is>
          <t>whk_spez_fuehrung_dampferkapitaen</t>
        </is>
      </c>
      <c r="B2037" t="inlineStr">
        <is>
          <t>WHK</t>
        </is>
      </c>
      <c r="C2037" t="inlineStr">
        <is>
          <t>-&gt; Dampferkapitän</t>
        </is>
      </c>
      <c r="F2037" t="inlineStr">
        <is>
          <t>Führung</t>
        </is>
      </c>
      <c r="G2037" t="inlineStr">
        <is>
          <t>Wert</t>
        </is>
      </c>
      <c r="L2037" t="inlineStr">
        <is>
          <t>SVERWEIS(wert;'WHK-Spez-Kosten';3;1)</t>
        </is>
      </c>
    </row>
    <row r="2038" hidden="1" ht="15.75" customHeight="1" s="48">
      <c r="A2038" t="inlineStr">
        <is>
          <t>whk_spez_fuehrung_karawanenfuehrer</t>
        </is>
      </c>
      <c r="B2038" t="inlineStr">
        <is>
          <t>WHK</t>
        </is>
      </c>
      <c r="C2038" t="inlineStr">
        <is>
          <t>-&gt; Karawanenführer</t>
        </is>
      </c>
      <c r="F2038" t="inlineStr">
        <is>
          <t>Führung</t>
        </is>
      </c>
      <c r="G2038" t="inlineStr">
        <is>
          <t>Wert</t>
        </is>
      </c>
      <c r="L2038" t="inlineStr">
        <is>
          <t>SVERWEIS(wert;'WHK-Spez-Kosten';3;1)</t>
        </is>
      </c>
    </row>
    <row r="2039" hidden="1" ht="15.75" customHeight="1" s="48">
      <c r="A2039" t="inlineStr">
        <is>
          <t>whk_spez_fuehrung_luftschiffkapitaen</t>
        </is>
      </c>
      <c r="B2039" t="inlineStr">
        <is>
          <t>WHK</t>
        </is>
      </c>
      <c r="C2039" t="inlineStr">
        <is>
          <t>-&gt; Luftschiffkapitän</t>
        </is>
      </c>
      <c r="F2039" t="inlineStr">
        <is>
          <t>Führung</t>
        </is>
      </c>
      <c r="G2039" t="inlineStr">
        <is>
          <t>Wert</t>
        </is>
      </c>
      <c r="L2039" t="inlineStr">
        <is>
          <t>SVERWEIS(wert;'WHK-Spez-Kosten';3;1)</t>
        </is>
      </c>
    </row>
    <row r="2040" hidden="1" ht="15.75" customHeight="1" s="48">
      <c r="A2040" t="inlineStr">
        <is>
          <t>whk_spez_fuehrung_schiffskapitaen</t>
        </is>
      </c>
      <c r="B2040" t="inlineStr">
        <is>
          <t>WHK</t>
        </is>
      </c>
      <c r="C2040" t="inlineStr">
        <is>
          <t>-&gt; Schiffskapitän</t>
        </is>
      </c>
      <c r="F2040" t="inlineStr">
        <is>
          <t>Führung</t>
        </is>
      </c>
      <c r="G2040" t="inlineStr">
        <is>
          <t>Wert</t>
        </is>
      </c>
      <c r="L2040" t="inlineStr">
        <is>
          <t>SVERWEIS(wert;'WHK-Spez-Kosten';3;1)</t>
        </is>
      </c>
    </row>
    <row r="2041" hidden="1" ht="15.75" customHeight="1" s="48">
      <c r="A2041" t="inlineStr">
        <is>
          <t>whk_spez_fuehrung_zoellner</t>
        </is>
      </c>
      <c r="B2041" t="inlineStr">
        <is>
          <t>WHK</t>
        </is>
      </c>
      <c r="C2041" t="inlineStr">
        <is>
          <t>-&gt; Zöllner</t>
        </is>
      </c>
      <c r="F2041" t="inlineStr">
        <is>
          <t>Führung</t>
        </is>
      </c>
      <c r="G2041" t="inlineStr">
        <is>
          <t>Wert</t>
        </is>
      </c>
      <c r="L2041" t="inlineStr">
        <is>
          <t>SVERWEIS(wert;'WHK-Spez-Kosten';3;1)</t>
        </is>
      </c>
    </row>
    <row r="2042" hidden="1" ht="15.75" customHeight="1" s="48">
      <c r="A2042" t="inlineStr">
        <is>
          <t>whk_spez_fuehrung_gutsverwalter</t>
        </is>
      </c>
      <c r="B2042" t="inlineStr">
        <is>
          <t>WHK</t>
        </is>
      </c>
      <c r="C2042" t="inlineStr">
        <is>
          <t>-&gt; Gutsverwalter</t>
        </is>
      </c>
      <c r="F2042" t="inlineStr">
        <is>
          <t>Führung</t>
        </is>
      </c>
      <c r="G2042" t="inlineStr">
        <is>
          <t>Wert</t>
        </is>
      </c>
      <c r="L2042" t="inlineStr">
        <is>
          <t>SVERWEIS(wert;'WHK-Spez-Kosten';3;1)</t>
        </is>
      </c>
    </row>
    <row r="2043" hidden="1" ht="15.75" customHeight="1" s="48">
      <c r="A2043" t="inlineStr">
        <is>
          <t>whk_spez_fuehrung_lotse</t>
        </is>
      </c>
      <c r="B2043" t="inlineStr">
        <is>
          <t>WHK</t>
        </is>
      </c>
      <c r="C2043" t="inlineStr">
        <is>
          <t>-&gt; Lotse</t>
        </is>
      </c>
      <c r="F2043" t="inlineStr">
        <is>
          <t>Führung</t>
        </is>
      </c>
      <c r="G2043" t="inlineStr">
        <is>
          <t>Wert</t>
        </is>
      </c>
      <c r="L2043" t="inlineStr">
        <is>
          <t>SVERWEIS(wert;'WHK-Spez-Kosten';3;1)</t>
        </is>
      </c>
    </row>
    <row r="2044" hidden="1" ht="15.75" customHeight="1" s="48">
      <c r="A2044" t="inlineStr">
        <is>
          <t>whk_spez_fuehrung_werksleiter</t>
        </is>
      </c>
      <c r="B2044" t="inlineStr">
        <is>
          <t>WHK</t>
        </is>
      </c>
      <c r="C2044" t="inlineStr">
        <is>
          <t>-&gt; Werksleiter</t>
        </is>
      </c>
      <c r="F2044" t="inlineStr">
        <is>
          <t>Führung</t>
        </is>
      </c>
      <c r="G2044" t="inlineStr">
        <is>
          <t>Wert</t>
        </is>
      </c>
      <c r="L2044" t="inlineStr">
        <is>
          <t>SVERWEIS(wert;'WHK-Spez-Kosten';3;1)</t>
        </is>
      </c>
    </row>
    <row r="2045" hidden="1" ht="15.75" customHeight="1" s="48">
      <c r="A2045" t="inlineStr">
        <is>
          <t>whk_spez_fuehrung_kavallerieoffizier</t>
        </is>
      </c>
      <c r="B2045" t="inlineStr">
        <is>
          <t>WHK</t>
        </is>
      </c>
      <c r="C2045" t="inlineStr">
        <is>
          <t>-&gt; Kavallerieoffizier</t>
        </is>
      </c>
      <c r="F2045" t="inlineStr">
        <is>
          <t>Führung</t>
        </is>
      </c>
      <c r="G2045" t="inlineStr">
        <is>
          <t>Wert</t>
        </is>
      </c>
      <c r="L2045" t="inlineStr">
        <is>
          <t>SVERWEIS(wert;'WHK-Spez-Kosten';3;1)</t>
        </is>
      </c>
    </row>
    <row r="2046" hidden="1" ht="15.75" customHeight="1" s="48">
      <c r="A2046" t="inlineStr">
        <is>
          <t>whk_spez_fuehrung_artillerieoffizier</t>
        </is>
      </c>
      <c r="B2046" t="inlineStr">
        <is>
          <t>WHK</t>
        </is>
      </c>
      <c r="C2046" t="inlineStr">
        <is>
          <t>-&gt; Artillerieoffizier</t>
        </is>
      </c>
      <c r="F2046" t="inlineStr">
        <is>
          <t>Führung</t>
        </is>
      </c>
      <c r="G2046" t="inlineStr">
        <is>
          <t>Wert</t>
        </is>
      </c>
      <c r="L2046" t="inlineStr">
        <is>
          <t>SVERWEIS(wert;'WHK-Spez-Kosten';3;1)</t>
        </is>
      </c>
    </row>
    <row r="2047" hidden="1" ht="15.75" customHeight="1" s="48">
      <c r="A2047" t="inlineStr">
        <is>
          <t>whk_spez_fuehrung_infanterieoffizier</t>
        </is>
      </c>
      <c r="B2047" t="inlineStr">
        <is>
          <t>WHK</t>
        </is>
      </c>
      <c r="C2047" t="inlineStr">
        <is>
          <t>-&gt; Infanterieoffizier</t>
        </is>
      </c>
      <c r="F2047" t="inlineStr">
        <is>
          <t>Führung</t>
        </is>
      </c>
      <c r="G2047" t="inlineStr">
        <is>
          <t>Wert</t>
        </is>
      </c>
      <c r="L2047" t="inlineStr">
        <is>
          <t>SVERWEIS(wert;'WHK-Spez-Kosten';3;1)</t>
        </is>
      </c>
    </row>
    <row r="2048" hidden="1" ht="15.75" customHeight="1" s="48">
      <c r="A2048" t="inlineStr">
        <is>
          <t>whk_seefahrt</t>
        </is>
      </c>
      <c r="B2048" t="inlineStr">
        <is>
          <t>WHK</t>
        </is>
      </c>
      <c r="C2048" t="inlineStr">
        <is>
          <t>Seefahrt</t>
        </is>
      </c>
      <c r="F2048" t="inlineStr">
        <is>
          <t>Führung/Reise</t>
        </is>
      </c>
      <c r="G2048" t="inlineStr">
        <is>
          <t>Wert</t>
        </is>
      </c>
      <c r="L2048" t="inlineStr">
        <is>
          <t>WENN(wert=0;0;10+(wert-1)*wert/2)</t>
        </is>
      </c>
    </row>
    <row r="2049" hidden="1" ht="15.75" customHeight="1" s="48">
      <c r="A2049" t="inlineStr">
        <is>
          <t>whk_spez_seefahrt_kuestenschifffahrt</t>
        </is>
      </c>
      <c r="B2049" t="inlineStr">
        <is>
          <t>WHK</t>
        </is>
      </c>
      <c r="C2049" t="inlineStr">
        <is>
          <t>-&gt; Küstenschifffahrt</t>
        </is>
      </c>
      <c r="F2049" t="inlineStr">
        <is>
          <t>Seefahrt</t>
        </is>
      </c>
      <c r="G2049" t="inlineStr">
        <is>
          <t>Wert</t>
        </is>
      </c>
      <c r="L2049" t="inlineStr">
        <is>
          <t>SVERWEIS(wert;'WHK-Spez-Kosten';3;1)</t>
        </is>
      </c>
    </row>
    <row r="2050" hidden="1" ht="15.75" customHeight="1" s="48">
      <c r="A2050" t="inlineStr">
        <is>
          <t>whk_spez_seefahrt_hochseeschifffahrt</t>
        </is>
      </c>
      <c r="B2050" t="inlineStr">
        <is>
          <t>WHK</t>
        </is>
      </c>
      <c r="C2050" t="inlineStr">
        <is>
          <t>-&gt; Hochseeschifffahrt</t>
        </is>
      </c>
      <c r="F2050" t="inlineStr">
        <is>
          <t>Seefahrt</t>
        </is>
      </c>
      <c r="G2050" t="inlineStr">
        <is>
          <t>Wert</t>
        </is>
      </c>
      <c r="L2050" t="inlineStr">
        <is>
          <t>SVERWEIS(wert;'WHK-Spez-Kosten';3;1)</t>
        </is>
      </c>
    </row>
    <row r="2051" hidden="1" ht="15.75" customHeight="1" s="48">
      <c r="A2051" t="inlineStr">
        <is>
          <t>whk_spez_seefahrt_ruderschifffahrt</t>
        </is>
      </c>
      <c r="B2051" t="inlineStr">
        <is>
          <t>WHK</t>
        </is>
      </c>
      <c r="C2051" t="inlineStr">
        <is>
          <t>-&gt; Ruderschifffahrt</t>
        </is>
      </c>
      <c r="F2051" t="inlineStr">
        <is>
          <t>Seefahrt</t>
        </is>
      </c>
      <c r="G2051" t="inlineStr">
        <is>
          <t>Wert</t>
        </is>
      </c>
      <c r="L2051" t="inlineStr">
        <is>
          <t>SVERWEIS(wert;'WHK-Spez-Kosten';3;1)</t>
        </is>
      </c>
    </row>
    <row r="2052" hidden="1" ht="15.75" customHeight="1" s="48">
      <c r="A2052" t="inlineStr">
        <is>
          <t>whk_spez_seefahrt_flussschifffahrt</t>
        </is>
      </c>
      <c r="B2052" t="inlineStr">
        <is>
          <t>WHK</t>
        </is>
      </c>
      <c r="C2052" t="inlineStr">
        <is>
          <t>-&gt; Flussschifffahrt</t>
        </is>
      </c>
      <c r="F2052" t="inlineStr">
        <is>
          <t>Seefahrt</t>
        </is>
      </c>
      <c r="G2052" t="inlineStr">
        <is>
          <t>Wert</t>
        </is>
      </c>
      <c r="L2052" t="inlineStr">
        <is>
          <t>SVERWEIS(wert;'WHK-Spez-Kosten';3;1)</t>
        </is>
      </c>
    </row>
    <row r="2053" hidden="1" ht="15.75" customHeight="1" s="48">
      <c r="A2053" t="inlineStr">
        <is>
          <t>whk_luftschifffahrt</t>
        </is>
      </c>
      <c r="B2053" t="inlineStr">
        <is>
          <t>WHK</t>
        </is>
      </c>
      <c r="C2053" t="inlineStr">
        <is>
          <t>Luftschifffahrt</t>
        </is>
      </c>
      <c r="F2053" t="inlineStr">
        <is>
          <t>Führung/Reise</t>
        </is>
      </c>
      <c r="G2053" t="inlineStr">
        <is>
          <t>Wert</t>
        </is>
      </c>
      <c r="L2053" t="inlineStr">
        <is>
          <t>WENN(wert=0;0;10+(wert-1)*wert/2)</t>
        </is>
      </c>
    </row>
    <row r="2054" hidden="1" ht="15.75" customHeight="1" s="48">
      <c r="A2054" t="inlineStr">
        <is>
          <t>whk_spez_luftschifffahrt_hoehenfahrt</t>
        </is>
      </c>
      <c r="B2054" t="inlineStr">
        <is>
          <t>WHK</t>
        </is>
      </c>
      <c r="C2054" t="inlineStr">
        <is>
          <t>-&gt; Höhenfahrt</t>
        </is>
      </c>
      <c r="F2054" t="inlineStr">
        <is>
          <t>Luftschifffahrt</t>
        </is>
      </c>
      <c r="G2054" t="inlineStr">
        <is>
          <t>Wert</t>
        </is>
      </c>
      <c r="L2054" t="inlineStr">
        <is>
          <t>SVERWEIS(wert;'WHK-Spez-Kosten';3;1)</t>
        </is>
      </c>
    </row>
    <row r="2055" hidden="1" ht="15.75" customHeight="1" s="48">
      <c r="A2055" t="inlineStr">
        <is>
          <t>whk_spez_luftschifffahrt_sturmfahrt</t>
        </is>
      </c>
      <c r="B2055" t="inlineStr">
        <is>
          <t>WHK</t>
        </is>
      </c>
      <c r="C2055" t="inlineStr">
        <is>
          <t>-&gt; Sturmfahrt</t>
        </is>
      </c>
      <c r="F2055" t="inlineStr">
        <is>
          <t>Luftschifffahrt</t>
        </is>
      </c>
      <c r="G2055" t="inlineStr">
        <is>
          <t>Wert</t>
        </is>
      </c>
      <c r="L2055" t="inlineStr">
        <is>
          <t>SVERWEIS(wert;'WHK-Spez-Kosten';3;1)</t>
        </is>
      </c>
    </row>
    <row r="2056" hidden="1" ht="15.75" customHeight="1" s="48">
      <c r="A2056" t="inlineStr">
        <is>
          <t>whk_spez_luftschifffahrt_langstreckenfahrt</t>
        </is>
      </c>
      <c r="B2056" t="inlineStr">
        <is>
          <t>WHK</t>
        </is>
      </c>
      <c r="C2056" t="inlineStr">
        <is>
          <t>-&gt; Langstreckenfahrt</t>
        </is>
      </c>
      <c r="F2056" t="inlineStr">
        <is>
          <t>Luftschifffahrt</t>
        </is>
      </c>
      <c r="G2056" t="inlineStr">
        <is>
          <t>Wert</t>
        </is>
      </c>
      <c r="L2056" t="inlineStr">
        <is>
          <t>SVERWEIS(wert;'WHK-Spez-Kosten';3;1)</t>
        </is>
      </c>
    </row>
    <row r="2057" hidden="1" ht="15.75" customHeight="1" s="48">
      <c r="A2057" t="inlineStr">
        <is>
          <t>whk_ueberleben</t>
        </is>
      </c>
      <c r="B2057" t="inlineStr">
        <is>
          <t>WHK</t>
        </is>
      </c>
      <c r="C2057" t="inlineStr">
        <is>
          <t>Überleben</t>
        </is>
      </c>
      <c r="F2057" t="inlineStr">
        <is>
          <t>Führung/Reise</t>
        </is>
      </c>
      <c r="G2057" t="inlineStr">
        <is>
          <t>Wert</t>
        </is>
      </c>
      <c r="L2057" t="inlineStr">
        <is>
          <t>WENN(wert=0;0;10+(wert-1)*wert/2)</t>
        </is>
      </c>
    </row>
    <row r="2058" hidden="1" ht="15.75" customHeight="1" s="48">
      <c r="A2058" t="inlineStr">
        <is>
          <t>whk_spez_ueberleben_berge</t>
        </is>
      </c>
      <c r="B2058" t="inlineStr">
        <is>
          <t>WHK</t>
        </is>
      </c>
      <c r="C2058" t="inlineStr">
        <is>
          <t>-&gt; Berge</t>
        </is>
      </c>
      <c r="F2058" t="inlineStr">
        <is>
          <t>Überleben</t>
        </is>
      </c>
      <c r="G2058" t="inlineStr">
        <is>
          <t>Wert</t>
        </is>
      </c>
      <c r="L2058" t="inlineStr">
        <is>
          <t>SVERWEIS(wert;'WHK-Spez-Kosten';3;1)</t>
        </is>
      </c>
    </row>
    <row r="2059" hidden="1" ht="15.75" customHeight="1" s="48">
      <c r="A2059" t="inlineStr">
        <is>
          <t>whk_spez_ueberleben_dschungel</t>
        </is>
      </c>
      <c r="B2059" t="inlineStr">
        <is>
          <t>WHK</t>
        </is>
      </c>
      <c r="C2059" t="inlineStr">
        <is>
          <t>-&gt; Dschungel</t>
        </is>
      </c>
      <c r="F2059" t="inlineStr">
        <is>
          <t>Überleben</t>
        </is>
      </c>
      <c r="G2059" t="inlineStr">
        <is>
          <t>Wert</t>
        </is>
      </c>
      <c r="L2059" t="inlineStr">
        <is>
          <t>SVERWEIS(wert;'WHK-Spez-Kosten';3;1)</t>
        </is>
      </c>
    </row>
    <row r="2060" hidden="1" ht="15.75" customHeight="1" s="48">
      <c xmlns="http://schemas.openxmlformats.org/spreadsheetml/2006/main" r="A2060" t="str">
        <v>whk_spez_ueberleben_steppe</v>
      </c>
      <c r="B2060" t="inlineStr">
        <is>
          <t>WHK</t>
        </is>
      </c>
      <c xmlns="http://schemas.openxmlformats.org/spreadsheetml/2006/main" r="C2060" t="str">
        <v>-&gt; Steppe</v>
      </c>
      <c r="F2060" t="inlineStr">
        <is>
          <t>Überleben</t>
        </is>
      </c>
      <c r="G2060" t="inlineStr">
        <is>
          <t>Wert</t>
        </is>
      </c>
      <c r="L2060" t="inlineStr">
        <is>
          <t>SVERWEIS(wert;'WHK-Spez-Kosten';3;1)</t>
        </is>
      </c>
    </row>
    <row r="2061" hidden="1" ht="15.75" customHeight="1" s="48">
      <c r="A2061" t="inlineStr">
        <is>
          <t>whk_spez_ueberleben_eis</t>
        </is>
      </c>
      <c r="B2061" t="inlineStr">
        <is>
          <t>WHK</t>
        </is>
      </c>
      <c r="C2061" t="inlineStr">
        <is>
          <t>-&gt; Eis</t>
        </is>
      </c>
      <c r="F2061" t="inlineStr">
        <is>
          <t>Überleben</t>
        </is>
      </c>
      <c r="G2061" t="inlineStr">
        <is>
          <t>Wert</t>
        </is>
      </c>
      <c r="L2061" t="inlineStr">
        <is>
          <t>SVERWEIS(wert;'WHK-Spez-Kosten';3;1)</t>
        </is>
      </c>
    </row>
    <row r="2062" hidden="1" ht="15.75" customHeight="1" s="48">
      <c r="A2062" t="inlineStr">
        <is>
          <t>whk_spez_ueberleben_stadt</t>
        </is>
      </c>
      <c r="B2062" t="inlineStr">
        <is>
          <t>WHK</t>
        </is>
      </c>
      <c r="C2062" t="inlineStr">
        <is>
          <t>-&gt; Stadt</t>
        </is>
      </c>
      <c r="F2062" t="inlineStr">
        <is>
          <t>Überleben</t>
        </is>
      </c>
      <c r="G2062" t="inlineStr">
        <is>
          <t>Wert</t>
        </is>
      </c>
      <c r="L2062" t="inlineStr">
        <is>
          <t>SVERWEIS(wert;'WHK-Spez-Kosten';3;1)</t>
        </is>
      </c>
    </row>
    <row r="2063" hidden="1" ht="15.75" customHeight="1" s="48">
      <c r="A2063" t="inlineStr">
        <is>
          <t>whk_spez_ueberleben_unterirdisch</t>
        </is>
      </c>
      <c r="B2063" t="inlineStr">
        <is>
          <t>WHK</t>
        </is>
      </c>
      <c r="C2063" t="inlineStr">
        <is>
          <t>-&gt; Unterirdisch</t>
        </is>
      </c>
      <c r="F2063" t="inlineStr">
        <is>
          <t>Überleben</t>
        </is>
      </c>
      <c r="G2063" t="inlineStr">
        <is>
          <t>Wert</t>
        </is>
      </c>
      <c r="L2063" t="inlineStr">
        <is>
          <t>SVERWEIS(wert;'WHK-Spez-Kosten';3;1)</t>
        </is>
      </c>
    </row>
    <row r="2064" hidden="1" ht="15.75" customHeight="1" s="48">
      <c r="A2064" t="inlineStr">
        <is>
          <t>whk_spez_ueberleben_wald</t>
        </is>
      </c>
      <c r="B2064" t="inlineStr">
        <is>
          <t>WHK</t>
        </is>
      </c>
      <c r="C2064" t="inlineStr">
        <is>
          <t>-&gt; Wald</t>
        </is>
      </c>
      <c r="F2064" t="inlineStr">
        <is>
          <t>Überleben</t>
        </is>
      </c>
      <c r="G2064" t="inlineStr">
        <is>
          <t>Wert</t>
        </is>
      </c>
      <c r="L2064" t="inlineStr">
        <is>
          <t>SVERWEIS(wert;'WHK-Spez-Kosten';3;1)</t>
        </is>
      </c>
    </row>
    <row r="2065" hidden="1" ht="15.75" customHeight="1" s="48">
      <c r="A2065" t="inlineStr">
        <is>
          <t>whk_spez_ueberleben_wueste</t>
        </is>
      </c>
      <c r="B2065" t="inlineStr">
        <is>
          <t>WHK</t>
        </is>
      </c>
      <c r="C2065" t="inlineStr">
        <is>
          <t>-&gt; Wüste</t>
        </is>
      </c>
      <c r="F2065" t="inlineStr">
        <is>
          <t>Überleben</t>
        </is>
      </c>
      <c r="G2065" t="inlineStr">
        <is>
          <t>Wert</t>
        </is>
      </c>
      <c r="L2065" t="inlineStr">
        <is>
          <t>SVERWEIS(wert;'WHK-Spez-Kosten';3;1)</t>
        </is>
      </c>
    </row>
    <row r="2066" hidden="1" ht="15.75" customHeight="1" s="48">
      <c r="A2066" t="inlineStr">
        <is>
          <t>whk_telegrafie</t>
        </is>
      </c>
      <c r="B2066" t="inlineStr">
        <is>
          <t>WHK</t>
        </is>
      </c>
      <c r="C2066" t="inlineStr">
        <is>
          <t>Telegrafie</t>
        </is>
      </c>
      <c r="F2066" t="inlineStr">
        <is>
          <t>Führung/Reise</t>
        </is>
      </c>
      <c r="G2066" t="inlineStr">
        <is>
          <t>Wert</t>
        </is>
      </c>
      <c r="L2066" t="inlineStr">
        <is>
          <t>WENN(wert=0;0;10+(wert-1)*wert/2)</t>
        </is>
      </c>
    </row>
    <row r="2067" hidden="1" ht="15.75" customHeight="1" s="48">
      <c r="A2067" t="inlineStr">
        <is>
          <t>whk_spez_telegrafie_telegrafist</t>
        </is>
      </c>
      <c r="B2067" t="inlineStr">
        <is>
          <t>WHK</t>
        </is>
      </c>
      <c r="C2067" t="inlineStr">
        <is>
          <t>-&gt; Telegrafist</t>
        </is>
      </c>
      <c r="F2067" t="inlineStr">
        <is>
          <t>Telegrafie</t>
        </is>
      </c>
      <c r="G2067" t="inlineStr">
        <is>
          <t>Wert</t>
        </is>
      </c>
      <c r="L2067" t="inlineStr">
        <is>
          <t>SVERWEIS(wert;'WHK-Spez-Kosten';3;1)</t>
        </is>
      </c>
    </row>
    <row r="2068" hidden="1" ht="15.75" customHeight="1" s="48">
      <c r="A2068" t="inlineStr">
        <is>
          <t>whk_spez_telegrafie_leitungsbauer</t>
        </is>
      </c>
      <c r="B2068" t="inlineStr">
        <is>
          <t>WHK</t>
        </is>
      </c>
      <c r="C2068" t="inlineStr">
        <is>
          <t>-&gt; Leitungsbauer</t>
        </is>
      </c>
      <c r="F2068" t="inlineStr">
        <is>
          <t>Telegrafie</t>
        </is>
      </c>
      <c r="G2068" t="inlineStr">
        <is>
          <t>Wert</t>
        </is>
      </c>
      <c r="L2068" t="inlineStr">
        <is>
          <t>SVERWEIS(wert;'WHK-Spez-Kosten';3;1)</t>
        </is>
      </c>
    </row>
    <row r="2069" hidden="1" ht="15.75" customHeight="1" s="48">
      <c r="A2069" t="inlineStr">
        <is>
          <t>whk_spez_telegrafie_kryptografie</t>
        </is>
      </c>
      <c r="B2069" t="inlineStr">
        <is>
          <t>WHK</t>
        </is>
      </c>
      <c r="C2069" t="inlineStr">
        <is>
          <t>-&gt; Kryptografie</t>
        </is>
      </c>
      <c r="F2069" t="inlineStr">
        <is>
          <t>Telegrafie</t>
        </is>
      </c>
      <c r="G2069" t="inlineStr">
        <is>
          <t>Wert</t>
        </is>
      </c>
      <c r="L2069" t="inlineStr">
        <is>
          <t>SVERWEIS(wert;'WHK-Spez-Kosten';3;1)</t>
        </is>
      </c>
    </row>
    <row r="2070" hidden="1" ht="15.75" customHeight="1" s="48">
      <c r="A2070" t="inlineStr">
        <is>
          <t>whk_chemie</t>
        </is>
      </c>
      <c r="B2070" t="inlineStr">
        <is>
          <t>WHK</t>
        </is>
      </c>
      <c r="C2070" t="inlineStr">
        <is>
          <t>Chemie</t>
        </is>
      </c>
      <c r="F2070" t="inlineStr">
        <is>
          <t>Wissenschaft</t>
        </is>
      </c>
      <c r="G2070" t="inlineStr">
        <is>
          <t>Wert</t>
        </is>
      </c>
      <c r="L2070" t="inlineStr">
        <is>
          <t>WENN(wert=0;0;10+(wert-1)*wert/2)</t>
        </is>
      </c>
    </row>
    <row r="2071" hidden="1" ht="15.75" customHeight="1" s="48">
      <c r="A2071" t="inlineStr">
        <is>
          <t>whk_spez_chemie_anorganische_chemie</t>
        </is>
      </c>
      <c r="B2071" t="inlineStr">
        <is>
          <t>WHK</t>
        </is>
      </c>
      <c r="C2071" t="inlineStr">
        <is>
          <t>-&gt; Anorganische Chemie</t>
        </is>
      </c>
      <c r="F2071" t="inlineStr">
        <is>
          <t>Chemie</t>
        </is>
      </c>
      <c r="G2071" t="inlineStr">
        <is>
          <t>Wert</t>
        </is>
      </c>
      <c r="L2071" t="inlineStr">
        <is>
          <t>SVERWEIS(wert;'WHK-Spez-Kosten';3;1)</t>
        </is>
      </c>
    </row>
    <row r="2072" hidden="1" ht="15.75" customHeight="1" s="48">
      <c r="A2072" t="inlineStr">
        <is>
          <t>whk_spez_chemie_organische_chemie</t>
        </is>
      </c>
      <c r="B2072" t="inlineStr">
        <is>
          <t>WHK</t>
        </is>
      </c>
      <c r="C2072" t="inlineStr">
        <is>
          <t>-&gt; Organische Chemie</t>
        </is>
      </c>
      <c r="F2072" t="inlineStr">
        <is>
          <t>Chemie</t>
        </is>
      </c>
      <c r="G2072" t="inlineStr">
        <is>
          <t>Wert</t>
        </is>
      </c>
      <c r="L2072" t="inlineStr">
        <is>
          <t>SVERWEIS(wert;'WHK-Spez-Kosten';3;1)</t>
        </is>
      </c>
    </row>
    <row r="2073" hidden="1" ht="15.75" customHeight="1" s="48">
      <c r="A2073" t="inlineStr">
        <is>
          <t>whk_spez_chemie_thermochemie</t>
        </is>
      </c>
      <c r="B2073" t="inlineStr">
        <is>
          <t>WHK</t>
        </is>
      </c>
      <c r="C2073" t="inlineStr">
        <is>
          <t>-&gt; Thermochemie</t>
        </is>
      </c>
      <c r="F2073" t="inlineStr">
        <is>
          <t>Chemie</t>
        </is>
      </c>
      <c r="G2073" t="inlineStr">
        <is>
          <t>Wert</t>
        </is>
      </c>
      <c r="L2073" t="inlineStr">
        <is>
          <t>SVERWEIS(wert;'WHK-Spez-Kosten';3;1)</t>
        </is>
      </c>
    </row>
    <row r="2074" hidden="1" ht="15.75" customHeight="1" s="48">
      <c r="A2074" t="inlineStr">
        <is>
          <t>whk_physik</t>
        </is>
      </c>
      <c r="B2074" t="inlineStr">
        <is>
          <t>WHK</t>
        </is>
      </c>
      <c r="C2074" t="inlineStr">
        <is>
          <t>Physik</t>
        </is>
      </c>
      <c r="F2074" t="inlineStr">
        <is>
          <t>Wissenschaft</t>
        </is>
      </c>
      <c r="G2074" t="inlineStr">
        <is>
          <t>Wert</t>
        </is>
      </c>
      <c r="L2074" t="inlineStr">
        <is>
          <t>WENN(wert=0;0;10+(wert-1)*wert/2)</t>
        </is>
      </c>
    </row>
    <row r="2075" hidden="1" ht="15.75" customHeight="1" s="48">
      <c r="A2075" t="inlineStr">
        <is>
          <t>whk_spez_physik_mechanik</t>
        </is>
      </c>
      <c r="B2075" t="inlineStr">
        <is>
          <t>WHK</t>
        </is>
      </c>
      <c r="C2075" t="inlineStr">
        <is>
          <t>-&gt; Mechanik</t>
        </is>
      </c>
      <c r="F2075" t="inlineStr">
        <is>
          <t>Physik</t>
        </is>
      </c>
      <c r="G2075" t="inlineStr">
        <is>
          <t>Wert</t>
        </is>
      </c>
      <c r="L2075" t="inlineStr">
        <is>
          <t>SVERWEIS(wert;'WHK-Spez-Kosten';3;1)</t>
        </is>
      </c>
    </row>
    <row r="2076" hidden="1" ht="15.75" customHeight="1" s="48">
      <c r="A2076" t="inlineStr">
        <is>
          <t>whk_spez_physik_optik</t>
        </is>
      </c>
      <c r="B2076" t="inlineStr">
        <is>
          <t>WHK</t>
        </is>
      </c>
      <c r="C2076" t="inlineStr">
        <is>
          <t>-&gt; Optik</t>
        </is>
      </c>
      <c r="F2076" t="inlineStr">
        <is>
          <t>Physik</t>
        </is>
      </c>
      <c r="G2076" t="inlineStr">
        <is>
          <t>Wert</t>
        </is>
      </c>
      <c r="L2076" t="inlineStr">
        <is>
          <t>SVERWEIS(wert;'WHK-Spez-Kosten';3;1)</t>
        </is>
      </c>
    </row>
    <row r="2077" hidden="1" ht="15.75" customHeight="1" s="48">
      <c r="A2077" t="inlineStr">
        <is>
          <t>whk_spez_physik_thermodynamik</t>
        </is>
      </c>
      <c r="B2077" t="inlineStr">
        <is>
          <t>WHK</t>
        </is>
      </c>
      <c r="C2077" t="inlineStr">
        <is>
          <t>-&gt; Thermodynamik</t>
        </is>
      </c>
      <c r="F2077" t="inlineStr">
        <is>
          <t>Physik</t>
        </is>
      </c>
      <c r="G2077" t="inlineStr">
        <is>
          <t>Wert</t>
        </is>
      </c>
      <c r="L2077" t="inlineStr">
        <is>
          <t>SVERWEIS(wert;'WHK-Spez-Kosten';3;1)</t>
        </is>
      </c>
    </row>
    <row r="2078" hidden="1" ht="15.75" customHeight="1" s="48">
      <c r="A2078" t="inlineStr">
        <is>
          <t>whk_mathematik</t>
        </is>
      </c>
      <c r="B2078" t="inlineStr">
        <is>
          <t>WHK</t>
        </is>
      </c>
      <c r="C2078" t="inlineStr">
        <is>
          <t>Mathematik</t>
        </is>
      </c>
      <c r="F2078" t="inlineStr">
        <is>
          <t>Wissenschaft</t>
        </is>
      </c>
      <c r="G2078" t="inlineStr">
        <is>
          <t>Wert</t>
        </is>
      </c>
      <c r="L2078" t="inlineStr">
        <is>
          <t>WENN(wert=0;0;10+(wert-1)*wert/2)</t>
        </is>
      </c>
    </row>
    <row r="2079" hidden="1" ht="15.75" customHeight="1" s="48">
      <c r="A2079" t="inlineStr">
        <is>
          <t>whk_spez_mathematik_arithmetik</t>
        </is>
      </c>
      <c r="B2079" t="inlineStr">
        <is>
          <t>WHK</t>
        </is>
      </c>
      <c r="C2079" t="inlineStr">
        <is>
          <t>-&gt; Arithmetik</t>
        </is>
      </c>
      <c r="F2079" t="inlineStr">
        <is>
          <t>Mathematik</t>
        </is>
      </c>
      <c r="G2079" t="inlineStr">
        <is>
          <t>Wert</t>
        </is>
      </c>
      <c r="L2079" t="inlineStr">
        <is>
          <t>SVERWEIS(wert;'WHK-Spez-Kosten';3;1)</t>
        </is>
      </c>
    </row>
    <row r="2080" hidden="1" ht="15.75" customHeight="1" s="48">
      <c r="A2080" t="inlineStr">
        <is>
          <t>whk_spez_mathematik_geometrie</t>
        </is>
      </c>
      <c r="B2080" t="inlineStr">
        <is>
          <t>WHK</t>
        </is>
      </c>
      <c r="C2080" t="inlineStr">
        <is>
          <t>-&gt; Geometrie</t>
        </is>
      </c>
      <c r="F2080" t="inlineStr">
        <is>
          <t>Mathematik</t>
        </is>
      </c>
      <c r="G2080" t="inlineStr">
        <is>
          <t>Wert</t>
        </is>
      </c>
      <c r="L2080" t="inlineStr">
        <is>
          <t>SVERWEIS(wert;'WHK-Spez-Kosten';3;1)</t>
        </is>
      </c>
    </row>
    <row r="2081" hidden="1" ht="15.75" customHeight="1" s="48">
      <c r="A2081" t="inlineStr">
        <is>
          <t>whk_spez_mathematik_statistik</t>
        </is>
      </c>
      <c r="B2081" t="inlineStr">
        <is>
          <t>WHK</t>
        </is>
      </c>
      <c r="C2081" t="inlineStr">
        <is>
          <t>-&gt; Statistik</t>
        </is>
      </c>
      <c r="F2081" t="inlineStr">
        <is>
          <t>Mathematik</t>
        </is>
      </c>
      <c r="G2081" t="inlineStr">
        <is>
          <t>Wert</t>
        </is>
      </c>
      <c r="L2081" t="inlineStr">
        <is>
          <t>SVERWEIS(wert;'WHK-Spez-Kosten';3;1)</t>
        </is>
      </c>
    </row>
    <row r="2082" hidden="1" ht="15.75" customHeight="1" s="48">
      <c r="A2082" t="inlineStr">
        <is>
          <t>whk_philosophie</t>
        </is>
      </c>
      <c r="B2082" t="inlineStr">
        <is>
          <t>WHK</t>
        </is>
      </c>
      <c r="C2082" t="inlineStr">
        <is>
          <t>Philosophie</t>
        </is>
      </c>
      <c r="F2082" t="inlineStr">
        <is>
          <t>Wissenschaft</t>
        </is>
      </c>
      <c r="G2082" t="inlineStr">
        <is>
          <t>Wert</t>
        </is>
      </c>
      <c r="L2082" t="inlineStr">
        <is>
          <t>WENN(wert=0;0;10+(wert-1)*wert/2)</t>
        </is>
      </c>
    </row>
    <row r="2083" hidden="1" ht="15.75" customHeight="1" s="48">
      <c r="A2083" t="inlineStr">
        <is>
          <t>whk_spez_philosophie_ethik</t>
        </is>
      </c>
      <c r="B2083" t="inlineStr">
        <is>
          <t>WHK</t>
        </is>
      </c>
      <c r="C2083" t="inlineStr">
        <is>
          <t>-&gt; Ethik</t>
        </is>
      </c>
      <c r="F2083" t="inlineStr">
        <is>
          <t>Philosophie</t>
        </is>
      </c>
      <c r="G2083" t="inlineStr">
        <is>
          <t>Wert</t>
        </is>
      </c>
      <c r="L2083" t="inlineStr">
        <is>
          <t>SVERWEIS(wert;'WHK-Spez-Kosten';3;1)</t>
        </is>
      </c>
    </row>
    <row r="2084" hidden="1" ht="15.75" customHeight="1" s="48">
      <c r="A2084" t="inlineStr">
        <is>
          <t>whk_spez_philosophie_logik</t>
        </is>
      </c>
      <c r="B2084" t="inlineStr">
        <is>
          <t>WHK</t>
        </is>
      </c>
      <c r="C2084" t="inlineStr">
        <is>
          <t>-&gt; Logik</t>
        </is>
      </c>
      <c r="F2084" t="inlineStr">
        <is>
          <t>Philosophie</t>
        </is>
      </c>
      <c r="G2084" t="inlineStr">
        <is>
          <t>Wert</t>
        </is>
      </c>
      <c r="L2084" t="inlineStr">
        <is>
          <t>SVERWEIS(wert;'WHK-Spez-Kosten';3;1)</t>
        </is>
      </c>
    </row>
    <row r="2085" hidden="1" ht="15.75" customHeight="1" s="48">
      <c r="A2085" t="inlineStr">
        <is>
          <t>whk_spez_philosophie_naturphilosophie</t>
        </is>
      </c>
      <c r="B2085" t="inlineStr">
        <is>
          <t>WHK</t>
        </is>
      </c>
      <c r="C2085" t="inlineStr">
        <is>
          <t>-&gt; Naturphilosophie</t>
        </is>
      </c>
      <c r="F2085" t="inlineStr">
        <is>
          <t>Philosophie</t>
        </is>
      </c>
      <c r="G2085" t="inlineStr">
        <is>
          <t>Wert</t>
        </is>
      </c>
      <c r="L2085" t="inlineStr">
        <is>
          <t>SVERWEIS(wert;'WHK-Spez-Kosten';3;1)</t>
        </is>
      </c>
    </row>
    <row r="2086" hidden="1" ht="15.75" customHeight="1" s="48">
      <c r="A2086" t="inlineStr">
        <is>
          <t>whk_wirtschaftslehre</t>
        </is>
      </c>
      <c r="B2086" t="inlineStr">
        <is>
          <t>WHK</t>
        </is>
      </c>
      <c r="C2086" t="inlineStr">
        <is>
          <t>Wirtschaftslehre</t>
        </is>
      </c>
      <c r="F2086" t="inlineStr">
        <is>
          <t>Wissenschaft</t>
        </is>
      </c>
      <c r="G2086" t="inlineStr">
        <is>
          <t>Wert</t>
        </is>
      </c>
      <c r="L2086" t="inlineStr">
        <is>
          <t>WENN(wert=0;0;10+(wert-1)*wert/2)</t>
        </is>
      </c>
    </row>
    <row r="2087" hidden="1" ht="15.75" customHeight="1" s="48">
      <c r="A2087" t="inlineStr">
        <is>
          <t>whk_spez_wirtschaftslehre_volkswirtschaftslehre</t>
        </is>
      </c>
      <c r="B2087" t="inlineStr">
        <is>
          <t>WHK</t>
        </is>
      </c>
      <c r="C2087" t="inlineStr">
        <is>
          <t>-&gt; Volkswirtschaftslehre</t>
        </is>
      </c>
      <c r="F2087" t="inlineStr">
        <is>
          <t>Wirtschaftslehre</t>
        </is>
      </c>
      <c r="G2087" t="inlineStr">
        <is>
          <t>Wert</t>
        </is>
      </c>
      <c r="L2087" t="inlineStr">
        <is>
          <t>SVERWEIS(wert;'WHK-Spez-Kosten';3;1)</t>
        </is>
      </c>
    </row>
    <row r="2088" hidden="1" ht="15.75" customHeight="1" s="48">
      <c r="A2088" t="inlineStr">
        <is>
          <t>whk_spez_wirtschaftslehre_betriebswirtschaftslehre</t>
        </is>
      </c>
      <c r="B2088" t="inlineStr">
        <is>
          <t>WHK</t>
        </is>
      </c>
      <c r="C2088" t="inlineStr">
        <is>
          <t>-&gt; Betriebswirtschaftslehre</t>
        </is>
      </c>
      <c r="F2088" t="inlineStr">
        <is>
          <t>Wirtschaftslehre</t>
        </is>
      </c>
      <c r="G2088" t="inlineStr">
        <is>
          <t>Wert</t>
        </is>
      </c>
      <c r="L2088" t="inlineStr">
        <is>
          <t>SVERWEIS(wert;'WHK-Spez-Kosten';3;1)</t>
        </is>
      </c>
    </row>
    <row r="2089" hidden="1" ht="15.75" customHeight="1" s="48">
      <c r="A2089" t="inlineStr">
        <is>
          <t>whk_spez_wirtschaftslehre_aussenhandel</t>
        </is>
      </c>
      <c r="B2089" t="inlineStr">
        <is>
          <t>WHK</t>
        </is>
      </c>
      <c r="C2089" t="inlineStr">
        <is>
          <t>-&gt; Außenhandel</t>
        </is>
      </c>
      <c r="F2089" t="inlineStr">
        <is>
          <t>Wirtschaftslehre</t>
        </is>
      </c>
      <c r="G2089" t="inlineStr">
        <is>
          <t>Wert</t>
        </is>
      </c>
      <c r="L2089" t="inlineStr">
        <is>
          <t>SVERWEIS(wert;'WHK-Spez-Kosten';3;1)</t>
        </is>
      </c>
    </row>
    <row r="2090" hidden="1" ht="15.75" customHeight="1" s="48">
      <c r="A2090" t="inlineStr">
        <is>
          <t>whk_soziologie</t>
        </is>
      </c>
      <c r="B2090" t="inlineStr">
        <is>
          <t>WHK</t>
        </is>
      </c>
      <c r="C2090" t="inlineStr">
        <is>
          <t>Soziologie</t>
        </is>
      </c>
      <c r="F2090" t="inlineStr">
        <is>
          <t>Wissenschaft</t>
        </is>
      </c>
      <c r="G2090" t="inlineStr">
        <is>
          <t>Wert</t>
        </is>
      </c>
      <c r="L2090" t="inlineStr">
        <is>
          <t>WENN(wert=0;0;10+(wert-1)*wert/2)</t>
        </is>
      </c>
    </row>
    <row r="2091" hidden="1" ht="15.75" customHeight="1" s="48">
      <c r="A2091" t="inlineStr">
        <is>
          <t>whk_spez_soziologie_vergleichende_kulturkunde</t>
        </is>
      </c>
      <c r="B2091" t="inlineStr">
        <is>
          <t>WHK</t>
        </is>
      </c>
      <c r="C2091" t="inlineStr">
        <is>
          <t>-&gt; Vergleichende Kulturkunde</t>
        </is>
      </c>
      <c r="F2091" t="inlineStr">
        <is>
          <t>Soziologie</t>
        </is>
      </c>
      <c r="G2091" t="inlineStr">
        <is>
          <t>Wert</t>
        </is>
      </c>
      <c r="L2091" t="inlineStr">
        <is>
          <t>SVERWEIS(wert;'WHK-Spez-Kosten';3;1)</t>
        </is>
      </c>
    </row>
    <row r="2092" hidden="1" ht="15.75" customHeight="1" s="48">
      <c r="A2092" t="inlineStr">
        <is>
          <t>whk_spez_soziologie_gesellschaftsstruktur</t>
        </is>
      </c>
      <c r="B2092" t="inlineStr">
        <is>
          <t>WHK</t>
        </is>
      </c>
      <c r="C2092" t="inlineStr">
        <is>
          <t>-&gt; Gesellschaftsstruktur</t>
        </is>
      </c>
      <c r="F2092" t="inlineStr">
        <is>
          <t>Soziologie</t>
        </is>
      </c>
      <c r="G2092" t="inlineStr">
        <is>
          <t>Wert</t>
        </is>
      </c>
      <c r="L2092" t="inlineStr">
        <is>
          <t>SVERWEIS(wert;'WHK-Spez-Kosten';3;1)</t>
        </is>
      </c>
    </row>
    <row r="2093" hidden="1" ht="15.75" customHeight="1" s="48">
      <c r="A2093" t="inlineStr">
        <is>
          <t>whk_spez_soziologie_migrationsforschung</t>
        </is>
      </c>
      <c r="B2093" t="inlineStr">
        <is>
          <t>WHK</t>
        </is>
      </c>
      <c r="C2093" t="inlineStr">
        <is>
          <t>-&gt; Migrationsforschung</t>
        </is>
      </c>
      <c r="F2093" t="inlineStr">
        <is>
          <t>Soziologie</t>
        </is>
      </c>
      <c r="G2093" t="inlineStr">
        <is>
          <t>Wert</t>
        </is>
      </c>
      <c r="L2093" t="inlineStr">
        <is>
          <t>SVERWEIS(wert;'WHK-Spez-Kosten';3;1)</t>
        </is>
      </c>
    </row>
    <row r="2094" hidden="1" ht="15.75" customHeight="1" s="48">
      <c r="A2094" t="inlineStr">
        <is>
          <t>whk_astronomie</t>
        </is>
      </c>
      <c r="B2094" t="inlineStr">
        <is>
          <t>WHK</t>
        </is>
      </c>
      <c r="C2094" t="inlineStr">
        <is>
          <t>Astronomie</t>
        </is>
      </c>
      <c r="F2094" t="inlineStr">
        <is>
          <t>Wissenschaft</t>
        </is>
      </c>
      <c r="G2094" t="inlineStr">
        <is>
          <t>Wert</t>
        </is>
      </c>
      <c r="L2094" t="inlineStr">
        <is>
          <t>WENN(wert=0;0;10+(wert-1)*wert/2)</t>
        </is>
      </c>
    </row>
    <row r="2095" hidden="1" ht="15.75" customHeight="1" s="48">
      <c r="A2095" t="inlineStr">
        <is>
          <t>whk_spez_astronomie_navigationsastronomie</t>
        </is>
      </c>
      <c r="B2095" t="inlineStr">
        <is>
          <t>WHK</t>
        </is>
      </c>
      <c r="C2095" t="inlineStr">
        <is>
          <t>-&gt; Navigationsastronomie</t>
        </is>
      </c>
      <c r="F2095" t="inlineStr">
        <is>
          <t>Astronomie</t>
        </is>
      </c>
      <c r="G2095" t="inlineStr">
        <is>
          <t>Wert</t>
        </is>
      </c>
      <c r="L2095" t="inlineStr">
        <is>
          <t>SVERWEIS(wert;'WHK-Spez-Kosten';3;1)</t>
        </is>
      </c>
    </row>
    <row r="2096" hidden="1" ht="15.75" customHeight="1" s="48">
      <c r="A2096" t="inlineStr">
        <is>
          <t>whk_spez_astronomie_kalenderkunde</t>
        </is>
      </c>
      <c r="B2096" t="inlineStr">
        <is>
          <t>WHK</t>
        </is>
      </c>
      <c r="C2096" t="inlineStr">
        <is>
          <t>-&gt; Kalenderkunde</t>
        </is>
      </c>
      <c r="F2096" t="inlineStr">
        <is>
          <t>Astronomie</t>
        </is>
      </c>
      <c r="G2096" t="inlineStr">
        <is>
          <t>Wert</t>
        </is>
      </c>
      <c r="L2096" t="inlineStr">
        <is>
          <t>SVERWEIS(wert;'WHK-Spez-Kosten';3;1)</t>
        </is>
      </c>
    </row>
    <row r="2097" hidden="1" ht="15.75" customHeight="1" s="48">
      <c r="A2097" t="inlineStr">
        <is>
          <t>whk_spez_astronomie_kosmologie</t>
        </is>
      </c>
      <c r="B2097" t="inlineStr">
        <is>
          <t>WHK</t>
        </is>
      </c>
      <c r="C2097" t="inlineStr">
        <is>
          <t>-&gt; Kosmologie</t>
        </is>
      </c>
      <c r="F2097" t="inlineStr">
        <is>
          <t>Astronomie</t>
        </is>
      </c>
      <c r="G2097" t="inlineStr">
        <is>
          <t>Wert</t>
        </is>
      </c>
      <c r="L2097" t="inlineStr">
        <is>
          <t>SVERWEIS(wert;'WHK-Spez-Kosten';3;1)</t>
        </is>
      </c>
    </row>
    <row r="2098" hidden="1" ht="15.75" customHeight="1" s="48">
      <c r="A2098" t="inlineStr">
        <is>
          <t>whk_geschichte</t>
        </is>
      </c>
      <c r="B2098" t="inlineStr">
        <is>
          <t>WHK</t>
        </is>
      </c>
      <c r="C2098" t="inlineStr">
        <is>
          <t>Geschichte</t>
        </is>
      </c>
      <c r="F2098" t="inlineStr">
        <is>
          <t>Wissenschaft</t>
        </is>
      </c>
      <c r="G2098" t="inlineStr">
        <is>
          <t>Wert</t>
        </is>
      </c>
      <c r="L2098" t="inlineStr">
        <is>
          <t>WENN(wert=0;0;10+(wert-1)*wert/2)</t>
        </is>
      </c>
    </row>
    <row r="2099" hidden="1" ht="15.75" customHeight="1" s="48">
      <c r="A2099" t="inlineStr">
        <is>
          <t>whk_sprachwissenschaft</t>
        </is>
      </c>
      <c r="B2099" t="inlineStr">
        <is>
          <t>WHK</t>
        </is>
      </c>
      <c r="C2099" t="inlineStr">
        <is>
          <t>Sprachwissenschaft</t>
        </is>
      </c>
      <c r="F2099" t="inlineStr">
        <is>
          <t>Wissenschaft</t>
        </is>
      </c>
      <c r="G2099" t="inlineStr">
        <is>
          <t>Wert</t>
        </is>
      </c>
      <c r="L2099" t="inlineStr">
        <is>
          <t>WENN(wert=0;0;10+(wert-1)*wert/2)</t>
        </is>
      </c>
    </row>
    <row r="2100" hidden="1" ht="15.75" customHeight="1" s="48">
      <c r="A2100" t="inlineStr">
        <is>
          <t>whk_spez_sprachwissenschaft_vergleichende_grammatik</t>
        </is>
      </c>
      <c r="B2100" t="inlineStr">
        <is>
          <t>WHK</t>
        </is>
      </c>
      <c r="C2100" t="inlineStr">
        <is>
          <t>-&gt; Vergleichende Grammatik</t>
        </is>
      </c>
      <c r="F2100" t="inlineStr">
        <is>
          <t>Sprachwissenschaft</t>
        </is>
      </c>
      <c r="G2100" t="inlineStr">
        <is>
          <t>Wert</t>
        </is>
      </c>
      <c r="L2100" t="inlineStr">
        <is>
          <t>SVERWEIS(wert;'WHK-Spez-Kosten';3;1)</t>
        </is>
      </c>
    </row>
    <row r="2101" hidden="1" ht="15.75" customHeight="1" s="48">
      <c r="A2101" t="inlineStr">
        <is>
          <t>whk_spez_sprachwissenschaft_etymologie</t>
        </is>
      </c>
      <c r="B2101" t="inlineStr">
        <is>
          <t>WHK</t>
        </is>
      </c>
      <c r="C2101" t="inlineStr">
        <is>
          <t>-&gt; Etymologie</t>
        </is>
      </c>
      <c r="F2101" t="inlineStr">
        <is>
          <t>Sprachwissenschaft</t>
        </is>
      </c>
      <c r="G2101" t="inlineStr">
        <is>
          <t>Wert</t>
        </is>
      </c>
      <c r="L2101" t="inlineStr">
        <is>
          <t>SVERWEIS(wert;'WHK-Spez-Kosten';3;1)</t>
        </is>
      </c>
    </row>
    <row r="2102" hidden="1" ht="15.75" customHeight="1" s="48">
      <c r="A2102" t="inlineStr">
        <is>
          <t>whk_spez_sprachwissenschaft_dialektologie</t>
        </is>
      </c>
      <c r="B2102" t="inlineStr">
        <is>
          <t>WHK</t>
        </is>
      </c>
      <c r="C2102" t="inlineStr">
        <is>
          <t>-&gt; Dialektologie</t>
        </is>
      </c>
      <c r="F2102" t="inlineStr">
        <is>
          <t>Sprachwissenschaft</t>
        </is>
      </c>
      <c r="G2102" t="inlineStr">
        <is>
          <t>Wert</t>
        </is>
      </c>
      <c r="L2102" t="inlineStr">
        <is>
          <t>SVERWEIS(wert;'WHK-Spez-Kosten';3;1)</t>
        </is>
      </c>
    </row>
    <row r="2103" hidden="1" ht="15.75" customHeight="1" s="48">
      <c r="A2103" t="inlineStr">
        <is>
          <t>whk_altzwergisch</t>
        </is>
      </c>
      <c r="B2103" t="inlineStr">
        <is>
          <t>WHK</t>
        </is>
      </c>
      <c r="C2103" t="inlineStr">
        <is>
          <t>Altzwergisch</t>
        </is>
      </c>
      <c r="F2103" t="inlineStr">
        <is>
          <t>Wissenschaft</t>
        </is>
      </c>
      <c r="G2103" t="inlineStr">
        <is>
          <t>Wert</t>
        </is>
      </c>
      <c r="L2103" t="inlineStr">
        <is>
          <t>WENN(wert=0;0;10+(wert-1)*wert/2)</t>
        </is>
      </c>
    </row>
    <row r="2104" hidden="1" ht="15.75" customHeight="1" s="48">
      <c r="A2104" t="inlineStr">
        <is>
          <t>whk_altelfisch</t>
        </is>
      </c>
      <c r="B2104" t="inlineStr">
        <is>
          <t>WHK</t>
        </is>
      </c>
      <c r="C2104" t="inlineStr">
        <is>
          <t>Altelfisch</t>
        </is>
      </c>
      <c r="F2104" t="inlineStr">
        <is>
          <t>Wissenschaft</t>
        </is>
      </c>
      <c r="G2104" t="inlineStr">
        <is>
          <t>Wert</t>
        </is>
      </c>
      <c r="L2104" t="inlineStr">
        <is>
          <t>WENN(wert=0;0;10+(wert-1)*wert/2)</t>
        </is>
      </c>
    </row>
    <row r="2105" hidden="1" ht="15.75" customHeight="1" s="48">
      <c r="A2105" t="inlineStr">
        <is>
          <t>whk_biologie</t>
        </is>
      </c>
      <c r="B2105" t="inlineStr">
        <is>
          <t>WHK</t>
        </is>
      </c>
      <c r="C2105" t="inlineStr">
        <is>
          <t>Biologie</t>
        </is>
      </c>
      <c r="F2105" t="inlineStr">
        <is>
          <t>Wissenschaft</t>
        </is>
      </c>
      <c r="G2105" t="inlineStr">
        <is>
          <t>Wert</t>
        </is>
      </c>
      <c r="L2105" t="inlineStr">
        <is>
          <t>WENN(wert=0;0;10+(wert-1)*wert/2)</t>
        </is>
      </c>
    </row>
    <row r="2106" hidden="1" ht="15.75" customHeight="1" s="48">
      <c r="A2106" t="inlineStr">
        <is>
          <t>whk_spez_biologie_zoologie</t>
        </is>
      </c>
      <c r="B2106" t="inlineStr">
        <is>
          <t>WHK</t>
        </is>
      </c>
      <c r="C2106" t="inlineStr">
        <is>
          <t>-&gt; Zoologie</t>
        </is>
      </c>
      <c r="F2106" t="inlineStr">
        <is>
          <t>Biologie</t>
        </is>
      </c>
      <c r="G2106" t="inlineStr">
        <is>
          <t>Wert</t>
        </is>
      </c>
      <c r="L2106" t="inlineStr">
        <is>
          <t>SVERWEIS(wert;'WHK-Spez-Kosten';3;1)</t>
        </is>
      </c>
    </row>
    <row r="2107" hidden="1" ht="15.75" customHeight="1" s="48">
      <c r="A2107" t="inlineStr">
        <is>
          <t>whk_spez_biologie_botanik</t>
        </is>
      </c>
      <c r="B2107" t="inlineStr">
        <is>
          <t>WHK</t>
        </is>
      </c>
      <c r="C2107" t="inlineStr">
        <is>
          <t>-&gt; Botanik</t>
        </is>
      </c>
      <c r="F2107" t="inlineStr">
        <is>
          <t>Biologie</t>
        </is>
      </c>
      <c r="G2107" t="inlineStr">
        <is>
          <t>Wert</t>
        </is>
      </c>
      <c r="L2107" t="inlineStr">
        <is>
          <t>SVERWEIS(wert;'WHK-Spez-Kosten';3;1)</t>
        </is>
      </c>
    </row>
    <row r="2108" hidden="1" ht="15.75" customHeight="1" s="48">
      <c r="A2108" t="inlineStr">
        <is>
          <t>whk_spez_biologie_anatomie</t>
        </is>
      </c>
      <c r="B2108" t="inlineStr">
        <is>
          <t>WHK</t>
        </is>
      </c>
      <c r="C2108" t="inlineStr">
        <is>
          <t>-&gt; Anatomie</t>
        </is>
      </c>
      <c r="F2108" t="inlineStr">
        <is>
          <t>Biologie</t>
        </is>
      </c>
      <c r="G2108" t="inlineStr">
        <is>
          <t>Wert</t>
        </is>
      </c>
      <c r="L2108" t="inlineStr">
        <is>
          <t>SVERWEIS(wert;'WHK-Spez-Kosten';3;1)</t>
        </is>
      </c>
    </row>
    <row r="2109" hidden="1" ht="15.75" customHeight="1" s="48">
      <c r="A2109" t="inlineStr">
        <is>
          <t>whk_theologie</t>
        </is>
      </c>
      <c r="B2109" t="inlineStr">
        <is>
          <t>WHK</t>
        </is>
      </c>
      <c r="C2109" t="inlineStr">
        <is>
          <t>Theologie</t>
        </is>
      </c>
      <c r="F2109" t="inlineStr">
        <is>
          <t>Wissenschaft</t>
        </is>
      </c>
      <c r="G2109" t="inlineStr">
        <is>
          <t>Wert</t>
        </is>
      </c>
      <c r="L2109" t="inlineStr">
        <is>
          <t>WENN(wert=0;0;10+(wert-1)*wert/2)</t>
        </is>
      </c>
    </row>
    <row r="2110" hidden="1" ht="15.75" customHeight="1" s="48">
      <c r="A2110" t="inlineStr">
        <is>
          <t>whk_spez_theologie_religionswissenschaft</t>
        </is>
      </c>
      <c r="B2110" t="inlineStr">
        <is>
          <t>WHK</t>
        </is>
      </c>
      <c r="C2110" t="inlineStr">
        <is>
          <t>-&gt; Religionswissenschaft</t>
        </is>
      </c>
      <c r="F2110" t="inlineStr">
        <is>
          <t>Theologie</t>
        </is>
      </c>
      <c r="G2110" t="inlineStr">
        <is>
          <t>Wert</t>
        </is>
      </c>
      <c r="L2110" t="inlineStr">
        <is>
          <t>SVERWEIS(wert;'WHK-Spez-Kosten';3;1)</t>
        </is>
      </c>
    </row>
    <row r="2111" hidden="1" ht="15.75" customHeight="1" s="48">
      <c r="A2111" t="inlineStr">
        <is>
          <t>whk_spez_theologie_kirchengeschichte</t>
        </is>
      </c>
      <c r="B2111" t="inlineStr">
        <is>
          <t>WHK</t>
        </is>
      </c>
      <c r="C2111" t="inlineStr">
        <is>
          <t>-&gt; Kirchengeschichte</t>
        </is>
      </c>
      <c r="F2111" t="inlineStr">
        <is>
          <t>Theologie</t>
        </is>
      </c>
      <c r="G2111" t="inlineStr">
        <is>
          <t>Wert</t>
        </is>
      </c>
      <c r="L2111" t="inlineStr">
        <is>
          <t>SVERWEIS(wert;'WHK-Spez-Kosten';3;1)</t>
        </is>
      </c>
    </row>
    <row r="2112" hidden="1" ht="15.75" customHeight="1" s="48">
      <c r="A2112" t="inlineStr">
        <is>
          <t>whk_spez_theologie_mythologie</t>
        </is>
      </c>
      <c r="B2112" t="inlineStr">
        <is>
          <t>WHK</t>
        </is>
      </c>
      <c r="C2112" t="inlineStr">
        <is>
          <t>-&gt; Mythologie</t>
        </is>
      </c>
      <c r="F2112" t="inlineStr">
        <is>
          <t>Theologie</t>
        </is>
      </c>
      <c r="G2112" t="inlineStr">
        <is>
          <t>Wert</t>
        </is>
      </c>
      <c r="L2112" t="inlineStr">
        <is>
          <t>SVERWEIS(wert;'WHK-Spez-Kosten';3;1)</t>
        </is>
      </c>
    </row>
    <row r="2113" hidden="1" ht="15.75" customHeight="1" s="48">
      <c r="A2113" t="inlineStr">
        <is>
          <t>whk_geologie</t>
        </is>
      </c>
      <c r="B2113" t="inlineStr">
        <is>
          <t>WHK</t>
        </is>
      </c>
      <c r="C2113" t="inlineStr">
        <is>
          <t>Geologie</t>
        </is>
      </c>
      <c r="F2113" t="inlineStr">
        <is>
          <t>Wissenschaft</t>
        </is>
      </c>
      <c r="G2113" t="inlineStr">
        <is>
          <t>Wert</t>
        </is>
      </c>
      <c r="L2113" t="inlineStr">
        <is>
          <t>WENN(wert=0;0;10+(wert-1)*wert/2)</t>
        </is>
      </c>
    </row>
    <row r="2114" hidden="1" ht="15.75" customHeight="1" s="48">
      <c r="A2114" t="inlineStr">
        <is>
          <t>whk_spez_geologie_lagerstaettenkunde</t>
        </is>
      </c>
      <c r="B2114" t="inlineStr">
        <is>
          <t>WHK</t>
        </is>
      </c>
      <c r="C2114" t="inlineStr">
        <is>
          <t>-&gt; Lagerstättenkunde</t>
        </is>
      </c>
      <c r="F2114" t="inlineStr">
        <is>
          <t>Geologie</t>
        </is>
      </c>
      <c r="G2114" t="inlineStr">
        <is>
          <t>Wert</t>
        </is>
      </c>
      <c r="L2114" t="inlineStr">
        <is>
          <t>SVERWEIS(wert;'WHK-Spez-Kosten';3;1)</t>
        </is>
      </c>
    </row>
    <row r="2115" hidden="1" ht="15.75" customHeight="1" s="48">
      <c r="A2115" t="inlineStr">
        <is>
          <t>whk_spez_geologie_mineralogie</t>
        </is>
      </c>
      <c r="B2115" t="inlineStr">
        <is>
          <t>WHK</t>
        </is>
      </c>
      <c r="C2115" t="inlineStr">
        <is>
          <t>-&gt; Mineralogie</t>
        </is>
      </c>
      <c r="F2115" t="inlineStr">
        <is>
          <t>Geologie</t>
        </is>
      </c>
      <c r="G2115" t="inlineStr">
        <is>
          <t>Wert</t>
        </is>
      </c>
      <c r="L2115" t="inlineStr">
        <is>
          <t>SVERWEIS(wert;'WHK-Spez-Kosten';3;1)</t>
        </is>
      </c>
    </row>
    <row r="2116" hidden="1" ht="15.75" customHeight="1" s="48">
      <c r="A2116" t="inlineStr">
        <is>
          <t>whk_spez_geologie_tektonik</t>
        </is>
      </c>
      <c r="B2116" t="inlineStr">
        <is>
          <t>WHK</t>
        </is>
      </c>
      <c r="C2116" t="inlineStr">
        <is>
          <t>-&gt; Tektonik</t>
        </is>
      </c>
      <c r="F2116" t="inlineStr">
        <is>
          <t>Geologie</t>
        </is>
      </c>
      <c r="G2116" t="inlineStr">
        <is>
          <t>Wert</t>
        </is>
      </c>
      <c r="L2116" t="inlineStr">
        <is>
          <t>SVERWEIS(wert;'WHK-Spez-Kosten';3;1)</t>
        </is>
      </c>
    </row>
    <row r="2117" hidden="1" ht="15.75" customHeight="1" s="48">
      <c r="A2117" t="inlineStr">
        <is>
          <t>whk_geografie</t>
        </is>
      </c>
      <c r="B2117" t="inlineStr">
        <is>
          <t>WHK</t>
        </is>
      </c>
      <c r="C2117" t="inlineStr">
        <is>
          <t>Geografie</t>
        </is>
      </c>
      <c r="F2117" t="inlineStr">
        <is>
          <t>Wissenschaft</t>
        </is>
      </c>
      <c r="G2117" t="inlineStr">
        <is>
          <t>Wert</t>
        </is>
      </c>
      <c r="L2117" t="inlineStr">
        <is>
          <t>WENN(wert=0;0;10+(wert-1)*wert/2)</t>
        </is>
      </c>
    </row>
    <row r="2118" hidden="1" ht="15.75" customHeight="1" s="48">
      <c r="A2118" t="inlineStr">
        <is>
          <t>whk_spez_geografie_kartografie</t>
        </is>
      </c>
      <c r="B2118" t="inlineStr">
        <is>
          <t>WHK</t>
        </is>
      </c>
      <c r="C2118" t="inlineStr">
        <is>
          <t>-&gt; Kartografie</t>
        </is>
      </c>
      <c r="F2118" t="inlineStr">
        <is>
          <t>Geografie</t>
        </is>
      </c>
      <c r="G2118" t="inlineStr">
        <is>
          <t>Wert</t>
        </is>
      </c>
      <c r="L2118" t="inlineStr">
        <is>
          <t>SVERWEIS(wert;'WHK-Spez-Kosten';3;1)</t>
        </is>
      </c>
    </row>
    <row r="2119" hidden="1" ht="15.75" customHeight="1" s="48">
      <c r="A2119" t="inlineStr">
        <is>
          <t>whk_spez_geografie_laenderkunde</t>
        </is>
      </c>
      <c r="B2119" t="inlineStr">
        <is>
          <t>WHK</t>
        </is>
      </c>
      <c r="C2119" t="inlineStr">
        <is>
          <t>-&gt; Länderkunde</t>
        </is>
      </c>
      <c r="F2119" t="inlineStr">
        <is>
          <t>Geografie</t>
        </is>
      </c>
      <c r="G2119" t="inlineStr">
        <is>
          <t>Wert</t>
        </is>
      </c>
      <c r="L2119" t="inlineStr">
        <is>
          <t>SVERWEIS(wert;'WHK-Spez-Kosten';3;1)</t>
        </is>
      </c>
    </row>
    <row r="2120" hidden="1" ht="15.75" customHeight="1" s="48">
      <c r="A2120" t="inlineStr">
        <is>
          <t>whk_spez_geografie_klimakunde</t>
        </is>
      </c>
      <c r="B2120" t="inlineStr">
        <is>
          <t>WHK</t>
        </is>
      </c>
      <c r="C2120" t="inlineStr">
        <is>
          <t>-&gt; Klimakunde</t>
        </is>
      </c>
      <c r="F2120" t="inlineStr">
        <is>
          <t>Geografie</t>
        </is>
      </c>
      <c r="G2120" t="inlineStr">
        <is>
          <t>Wert</t>
        </is>
      </c>
      <c r="L2120" t="inlineStr">
        <is>
          <t>SVERWEIS(wert;'WHK-Spez-Kosten';3;1)</t>
        </is>
      </c>
    </row>
    <row r="2121" hidden="1" ht="15.75" customHeight="1" s="48">
      <c r="A2121" t="inlineStr">
        <is>
          <t>whk_militaertheorie</t>
        </is>
      </c>
      <c r="B2121" t="inlineStr">
        <is>
          <t>WHK</t>
        </is>
      </c>
      <c r="C2121" t="inlineStr">
        <is>
          <t>Militärtheorie</t>
        </is>
      </c>
      <c r="F2121" t="inlineStr">
        <is>
          <t>Wissenschaft</t>
        </is>
      </c>
      <c r="G2121" t="inlineStr">
        <is>
          <t>Wert</t>
        </is>
      </c>
      <c r="L2121" t="inlineStr">
        <is>
          <t>WENN(wert=0;0;10+(wert-1)*wert/2)</t>
        </is>
      </c>
    </row>
    <row r="2122" hidden="1" ht="15.75" customHeight="1" s="48">
      <c r="A2122" t="inlineStr">
        <is>
          <t>whk_spez_militaertheorie_strategie</t>
        </is>
      </c>
      <c r="B2122" t="inlineStr">
        <is>
          <t>WHK</t>
        </is>
      </c>
      <c r="C2122" t="inlineStr">
        <is>
          <t>-&gt; Strategie</t>
        </is>
      </c>
      <c r="F2122" t="inlineStr">
        <is>
          <t>Militärtheorie</t>
        </is>
      </c>
      <c r="G2122" t="inlineStr">
        <is>
          <t>Wert</t>
        </is>
      </c>
      <c r="L2122" t="inlineStr">
        <is>
          <t>SVERWEIS(wert;'WHK-Spez-Kosten';3;1)</t>
        </is>
      </c>
    </row>
    <row r="2123" hidden="1" ht="15.75" customHeight="1" s="48">
      <c r="A2123" t="inlineStr">
        <is>
          <t>whk_spez_militaertheorie_taktik</t>
        </is>
      </c>
      <c r="B2123" t="inlineStr">
        <is>
          <t>WHK</t>
        </is>
      </c>
      <c r="C2123" t="inlineStr">
        <is>
          <t>-&gt; Taktik</t>
        </is>
      </c>
      <c r="F2123" t="inlineStr">
        <is>
          <t>Militärtheorie</t>
        </is>
      </c>
      <c r="G2123" t="inlineStr">
        <is>
          <t>Wert</t>
        </is>
      </c>
      <c r="L2123" t="inlineStr">
        <is>
          <t>SVERWEIS(wert;'WHK-Spez-Kosten';3;1)</t>
        </is>
      </c>
    </row>
    <row r="2124" hidden="1" ht="15.75" customHeight="1" s="48">
      <c r="A2124" t="inlineStr">
        <is>
          <t>whk_magietheorie</t>
        </is>
      </c>
      <c r="B2124" t="inlineStr">
        <is>
          <t>WHK</t>
        </is>
      </c>
      <c r="C2124" t="inlineStr">
        <is>
          <t>Magietheorie</t>
        </is>
      </c>
      <c r="F2124" t="inlineStr">
        <is>
          <t>Wissenschaft</t>
        </is>
      </c>
      <c r="G2124" t="inlineStr">
        <is>
          <t>Wert</t>
        </is>
      </c>
      <c r="L2124" t="inlineStr">
        <is>
          <t>WENN(wert=0;0;10+(wert-1)*wert/2)</t>
        </is>
      </c>
    </row>
    <row r="2125" hidden="1" ht="15.75" customHeight="1" s="48">
      <c r="A2125" t="inlineStr">
        <is>
          <t>whk_spez_magietheorie_antimagie</t>
        </is>
      </c>
      <c r="B2125" t="inlineStr">
        <is>
          <t>WHK</t>
        </is>
      </c>
      <c r="C2125" t="inlineStr">
        <is>
          <t>-&gt; Antimagie</t>
        </is>
      </c>
      <c r="F2125" t="inlineStr">
        <is>
          <t>Magietheorie</t>
        </is>
      </c>
      <c r="G2125" t="inlineStr">
        <is>
          <t>Wert</t>
        </is>
      </c>
      <c r="L2125" t="inlineStr">
        <is>
          <t>SVERWEIS(wert;'WHK-Spez-Kosten';3;1)</t>
        </is>
      </c>
    </row>
    <row r="2126" hidden="1" ht="15.75" customHeight="1" s="48">
      <c r="A2126" t="inlineStr">
        <is>
          <t>whk_spez_magietheorie_beherrschung</t>
        </is>
      </c>
      <c r="B2126" t="inlineStr">
        <is>
          <t>WHK</t>
        </is>
      </c>
      <c r="C2126" t="inlineStr">
        <is>
          <t>-&gt; Beherrschung</t>
        </is>
      </c>
      <c r="F2126" t="inlineStr">
        <is>
          <t>Magietheorie</t>
        </is>
      </c>
      <c r="G2126" t="inlineStr">
        <is>
          <t>Wert</t>
        </is>
      </c>
      <c r="L2126" t="inlineStr">
        <is>
          <t>SVERWEIS(wert;'WHK-Spez-Kosten';3;1)</t>
        </is>
      </c>
    </row>
    <row r="2127" hidden="1" ht="15.75" customHeight="1" s="48">
      <c r="A2127" t="inlineStr">
        <is>
          <t>whk_spez_magietheorie_erdbeschwoerung</t>
        </is>
      </c>
      <c r="B2127" t="inlineStr">
        <is>
          <t>WHK</t>
        </is>
      </c>
      <c r="C2127" t="inlineStr">
        <is>
          <t>-&gt; Erdbeschwörung</t>
        </is>
      </c>
      <c r="F2127" t="inlineStr">
        <is>
          <t>Magietheorie</t>
        </is>
      </c>
      <c r="G2127" t="inlineStr">
        <is>
          <t>Wert</t>
        </is>
      </c>
      <c r="L2127" t="inlineStr">
        <is>
          <t>SVERWEIS(wert;'WHK-Spez-Kosten';3;1)</t>
        </is>
      </c>
    </row>
    <row r="2128" hidden="1" ht="15.75" customHeight="1" s="48">
      <c r="A2128" t="inlineStr">
        <is>
          <t>whk_spez_magietheorie_feuerbeschwoerung</t>
        </is>
      </c>
      <c r="B2128" t="inlineStr">
        <is>
          <t>WHK</t>
        </is>
      </c>
      <c r="C2128" t="inlineStr">
        <is>
          <t>-&gt; Feuerbeschwörung</t>
        </is>
      </c>
      <c r="F2128" t="inlineStr">
        <is>
          <t>Magietheorie</t>
        </is>
      </c>
      <c r="G2128" t="inlineStr">
        <is>
          <t>Wert</t>
        </is>
      </c>
      <c r="L2128" t="inlineStr">
        <is>
          <t>SVERWEIS(wert;'WHK-Spez-Kosten';3;1)</t>
        </is>
      </c>
    </row>
    <row r="2129" hidden="1" ht="15.75" customHeight="1" s="48">
      <c r="A2129" t="inlineStr">
        <is>
          <t>whk_spez_magietheorie_heilung</t>
        </is>
      </c>
      <c r="B2129" t="inlineStr">
        <is>
          <t>WHK</t>
        </is>
      </c>
      <c r="C2129" t="inlineStr">
        <is>
          <t>-&gt; Heilung</t>
        </is>
      </c>
      <c r="F2129" t="inlineStr">
        <is>
          <t>Magietheorie</t>
        </is>
      </c>
      <c r="G2129" t="inlineStr">
        <is>
          <t>Wert</t>
        </is>
      </c>
      <c r="L2129" t="inlineStr">
        <is>
          <t>SVERWEIS(wert;'WHK-Spez-Kosten';3;1)</t>
        </is>
      </c>
    </row>
    <row r="2130" hidden="1" ht="15.75" customHeight="1" s="48">
      <c r="A2130" t="inlineStr">
        <is>
          <t>whk_spez_magietheorie_hellsicht</t>
        </is>
      </c>
      <c r="B2130" t="inlineStr">
        <is>
          <t>WHK</t>
        </is>
      </c>
      <c r="C2130" t="inlineStr">
        <is>
          <t>-&gt; Hellsicht</t>
        </is>
      </c>
      <c r="F2130" t="inlineStr">
        <is>
          <t>Magietheorie</t>
        </is>
      </c>
      <c r="G2130" t="inlineStr">
        <is>
          <t>Wert</t>
        </is>
      </c>
      <c r="L2130" t="inlineStr">
        <is>
          <t>SVERWEIS(wert;'WHK-Spez-Kosten';3;1)</t>
        </is>
      </c>
    </row>
    <row r="2131" hidden="1" ht="15.75" customHeight="1" s="48">
      <c r="A2131" t="inlineStr">
        <is>
          <t>whk_spez_magietheorie_illusion</t>
        </is>
      </c>
      <c r="B2131" t="inlineStr">
        <is>
          <t>WHK</t>
        </is>
      </c>
      <c r="C2131" t="inlineStr">
        <is>
          <t>-&gt; Illusion</t>
        </is>
      </c>
      <c r="F2131" t="inlineStr">
        <is>
          <t>Magietheorie</t>
        </is>
      </c>
      <c r="G2131" t="inlineStr">
        <is>
          <t>Wert</t>
        </is>
      </c>
      <c r="L2131" t="inlineStr">
        <is>
          <t>SVERWEIS(wert;'WHK-Spez-Kosten';3;1)</t>
        </is>
      </c>
    </row>
    <row r="2132" hidden="1" ht="15.75" customHeight="1" s="48">
      <c r="A2132" t="inlineStr">
        <is>
          <t>whk_spez_magietheorie_luftbeschwoerung</t>
        </is>
      </c>
      <c r="B2132" t="inlineStr">
        <is>
          <t>WHK</t>
        </is>
      </c>
      <c r="C2132" t="inlineStr">
        <is>
          <t>-&gt; Luftbeschwörung</t>
        </is>
      </c>
      <c r="F2132" t="inlineStr">
        <is>
          <t>Magietheorie</t>
        </is>
      </c>
      <c r="G2132" t="inlineStr">
        <is>
          <t>Wert</t>
        </is>
      </c>
      <c r="L2132" t="inlineStr">
        <is>
          <t>SVERWEIS(wert;'WHK-Spez-Kosten';3;1)</t>
        </is>
      </c>
    </row>
    <row r="2133" hidden="1" ht="15.75" customHeight="1" s="48">
      <c r="A2133" t="inlineStr">
        <is>
          <t>whk_spez_magietheorie_magiebeschwoerung</t>
        </is>
      </c>
      <c r="B2133" t="inlineStr">
        <is>
          <t>WHK</t>
        </is>
      </c>
      <c r="C2133" t="inlineStr">
        <is>
          <t>-&gt; Magiebeschwörung</t>
        </is>
      </c>
      <c r="F2133" t="inlineStr">
        <is>
          <t>Magietheorie</t>
        </is>
      </c>
      <c r="G2133" t="inlineStr">
        <is>
          <t>Wert</t>
        </is>
      </c>
      <c r="L2133" t="inlineStr">
        <is>
          <t>SVERWEIS(wert;'WHK-Spez-Kosten';3;1)</t>
        </is>
      </c>
    </row>
    <row r="2134" hidden="1" ht="15.75" customHeight="1" s="48">
      <c r="A2134" t="inlineStr">
        <is>
          <t>whk_spez_magietheorie_veraenderung</t>
        </is>
      </c>
      <c r="B2134" t="inlineStr">
        <is>
          <t>WHK</t>
        </is>
      </c>
      <c r="C2134" t="inlineStr">
        <is>
          <t>-&gt; Veränderung</t>
        </is>
      </c>
      <c r="F2134" t="inlineStr">
        <is>
          <t>Magietheorie</t>
        </is>
      </c>
      <c r="G2134" t="inlineStr">
        <is>
          <t>Wert</t>
        </is>
      </c>
      <c r="L2134" t="inlineStr">
        <is>
          <t>SVERWEIS(wert;'WHK-Spez-Kosten';3;1)</t>
        </is>
      </c>
    </row>
    <row r="2135" hidden="1" ht="15.75" customHeight="1" s="48">
      <c r="A2135" t="inlineStr">
        <is>
          <t>whk_spez_magietheorie_verzauberung</t>
        </is>
      </c>
      <c r="B2135" t="inlineStr">
        <is>
          <t>WHK</t>
        </is>
      </c>
      <c r="C2135" t="inlineStr">
        <is>
          <t>-&gt; Verzauberung</t>
        </is>
      </c>
      <c r="F2135" t="inlineStr">
        <is>
          <t>Magietheorie</t>
        </is>
      </c>
      <c r="G2135" t="inlineStr">
        <is>
          <t>Wert</t>
        </is>
      </c>
      <c r="L2135" t="inlineStr">
        <is>
          <t>SVERWEIS(wert;'WHK-Spez-Kosten';3;1)</t>
        </is>
      </c>
    </row>
    <row r="2136" hidden="1" ht="15.75" customHeight="1" s="48">
      <c r="A2136" t="inlineStr">
        <is>
          <t>whk_spez_magietheorie_wasserbeschwoerung</t>
        </is>
      </c>
      <c r="B2136" t="inlineStr">
        <is>
          <t>WHK</t>
        </is>
      </c>
      <c r="C2136" t="inlineStr">
        <is>
          <t>-&gt; Wasserbeschwörung</t>
        </is>
      </c>
      <c r="F2136" t="inlineStr">
        <is>
          <t>Magietheorie</t>
        </is>
      </c>
      <c r="G2136" t="inlineStr">
        <is>
          <t>Wert</t>
        </is>
      </c>
      <c r="L2136" t="inlineStr">
        <is>
          <t>SVERWEIS(wert;'WHK-Spez-Kosten';3;1)</t>
        </is>
      </c>
    </row>
    <row r="2137" hidden="1" ht="15.75" customHeight="1" s="48">
      <c r="A2137" t="inlineStr">
        <is>
          <t>whk_spez_magietheorie_daemonologie</t>
        </is>
      </c>
      <c r="B2137" t="inlineStr">
        <is>
          <t>WHK</t>
        </is>
      </c>
      <c r="C2137" t="inlineStr">
        <is>
          <t>-&gt; Dämonologie</t>
        </is>
      </c>
      <c r="F2137" t="inlineStr">
        <is>
          <t>Magietheorie</t>
        </is>
      </c>
      <c r="G2137" t="inlineStr">
        <is>
          <t>Wert</t>
        </is>
      </c>
      <c r="L2137" t="inlineStr">
        <is>
          <t>SVERWEIS(wert;'WHK-Spez-Kosten';3;1)</t>
        </is>
      </c>
    </row>
    <row r="2138" hidden="1" ht="15.75" customHeight="1" s="48">
      <c r="A2138" t="inlineStr">
        <is>
          <t>whk_spez_magietheorie_nekromantie</t>
        </is>
      </c>
      <c r="B2138" t="inlineStr">
        <is>
          <t>WHK</t>
        </is>
      </c>
      <c r="C2138" t="inlineStr">
        <is>
          <t>-&gt; Nekromantie</t>
        </is>
      </c>
      <c r="F2138" t="inlineStr">
        <is>
          <t>Magietheorie</t>
        </is>
      </c>
      <c r="G2138" t="inlineStr">
        <is>
          <t>Wert</t>
        </is>
      </c>
      <c r="L2138" t="inlineStr">
        <is>
          <t>SVERWEIS(wert;'WHK-Spez-Kosten';3;1)</t>
        </is>
      </c>
    </row>
    <row r="2139" hidden="1" ht="15.75" customHeight="1" s="48">
      <c r="A2139" t="inlineStr">
        <is>
          <t>whk_spez_magietheorie_psi_theorie</t>
        </is>
      </c>
      <c r="B2139" t="inlineStr">
        <is>
          <t>WHK</t>
        </is>
      </c>
      <c r="C2139" t="inlineStr">
        <is>
          <t>-&gt; PSI-Theorie</t>
        </is>
      </c>
      <c r="F2139" t="inlineStr">
        <is>
          <t>Magietheorie</t>
        </is>
      </c>
      <c r="G2139" t="inlineStr">
        <is>
          <t>Wert</t>
        </is>
      </c>
      <c r="L2139" t="inlineStr">
        <is>
          <t>SVERWEIS(wert;'WHK-Spez-Kosten';3;1)</t>
        </is>
      </c>
    </row>
    <row r="2140" hidden="1" ht="15.75" customHeight="1" s="48">
      <c r="A2140" t="inlineStr">
        <is>
          <t>whk_medizin</t>
        </is>
      </c>
      <c r="B2140" t="inlineStr">
        <is>
          <t>WHK</t>
        </is>
      </c>
      <c r="C2140" t="inlineStr">
        <is>
          <t>Medizin</t>
        </is>
      </c>
      <c r="F2140" t="inlineStr">
        <is>
          <t>Wissenschaft</t>
        </is>
      </c>
      <c r="G2140" t="inlineStr">
        <is>
          <t>Wert</t>
        </is>
      </c>
      <c r="L2140" t="inlineStr">
        <is>
          <t>WENN(wert=0;0;10+(wert-1)*wert/2)</t>
        </is>
      </c>
    </row>
    <row r="2141" hidden="1" ht="15.75" customHeight="1" s="48">
      <c r="A2141" t="inlineStr">
        <is>
          <t>whk_spez_medizin_veterinaer</t>
        </is>
      </c>
      <c r="B2141" t="inlineStr">
        <is>
          <t>WHK</t>
        </is>
      </c>
      <c r="C2141" t="inlineStr">
        <is>
          <t>-&gt; Veterinär</t>
        </is>
      </c>
      <c r="F2141" t="inlineStr">
        <is>
          <t>Medizin</t>
        </is>
      </c>
      <c r="G2141" t="inlineStr">
        <is>
          <t>Wert</t>
        </is>
      </c>
      <c r="L2141" t="inlineStr">
        <is>
          <t>SVERWEIS(wert;'WHK-Spez-Kosten';3;1)</t>
        </is>
      </c>
    </row>
    <row r="2142" hidden="1" ht="15.75" customHeight="1" s="48">
      <c r="A2142" t="inlineStr">
        <is>
          <t>whk_spez_medizin_chirurg</t>
        </is>
      </c>
      <c r="B2142" t="inlineStr">
        <is>
          <t>WHK</t>
        </is>
      </c>
      <c r="C2142" t="inlineStr">
        <is>
          <t>-&gt; Chirurg</t>
        </is>
      </c>
      <c r="F2142" t="inlineStr">
        <is>
          <t>Medizin</t>
        </is>
      </c>
      <c r="G2142" t="inlineStr">
        <is>
          <t>Wert</t>
        </is>
      </c>
      <c r="L2142" t="inlineStr">
        <is>
          <t>SVERWEIS(wert;'WHK-Spez-Kosten';3;1)</t>
        </is>
      </c>
    </row>
    <row r="2143" hidden="1" ht="15.75" customHeight="1" s="48">
      <c r="A2143" t="inlineStr">
        <is>
          <t>whk_spez_medizin_zahnarzt</t>
        </is>
      </c>
      <c r="B2143" t="inlineStr">
        <is>
          <t>WHK</t>
        </is>
      </c>
      <c r="C2143" t="inlineStr">
        <is>
          <t>-&gt; Zahnarzt</t>
        </is>
      </c>
      <c r="F2143" t="inlineStr">
        <is>
          <t>Medizin</t>
        </is>
      </c>
      <c r="G2143" t="inlineStr">
        <is>
          <t>Wert</t>
        </is>
      </c>
      <c r="L2143" t="inlineStr">
        <is>
          <t>SVERWEIS(wert;'WHK-Spez-Kosten';3;1)</t>
        </is>
      </c>
    </row>
    <row r="2144" hidden="1" ht="15.75" customHeight="1" s="48">
      <c r="A2144" t="inlineStr">
        <is>
          <t>whk_spez_medizin_geburtshelfer</t>
        </is>
      </c>
      <c r="B2144" t="inlineStr">
        <is>
          <t>WHK</t>
        </is>
      </c>
      <c r="C2144" t="inlineStr">
        <is>
          <t>-&gt; Geburtshelfer</t>
        </is>
      </c>
      <c r="F2144" t="inlineStr">
        <is>
          <t>Medizin</t>
        </is>
      </c>
      <c r="G2144" t="inlineStr">
        <is>
          <t>Wert</t>
        </is>
      </c>
      <c r="L2144" t="inlineStr">
        <is>
          <t>SVERWEIS(wert;'WHK-Spez-Kosten';3;1)</t>
        </is>
      </c>
    </row>
    <row r="2145" hidden="1" ht="15.75" customHeight="1" s="48">
      <c r="A2145" t="inlineStr">
        <is>
          <t>whk_spez_medizin_erste_hilfe</t>
        </is>
      </c>
      <c r="B2145" t="inlineStr">
        <is>
          <t>WHK</t>
        </is>
      </c>
      <c r="C2145" t="inlineStr">
        <is>
          <t>-&gt; Erste Hilfe</t>
        </is>
      </c>
      <c r="F2145" t="inlineStr">
        <is>
          <t>Medizin</t>
        </is>
      </c>
      <c r="G2145" t="inlineStr">
        <is>
          <t>Wert</t>
        </is>
      </c>
      <c r="L2145" t="inlineStr">
        <is>
          <t>SVERWEIS(wert;'WHK-Spez-Kosten';3;1)</t>
        </is>
      </c>
    </row>
    <row r="2146" hidden="1" ht="15.75" customHeight="1" s="48">
      <c r="A2146" t="inlineStr">
        <is>
          <t>whk_geweihte_stossgebet</t>
        </is>
      </c>
      <c r="B2146" t="inlineStr">
        <is>
          <t>WHK</t>
        </is>
      </c>
      <c r="C2146" t="inlineStr">
        <is>
          <t>Geweihte: Stoßgebet</t>
        </is>
      </c>
      <c r="E2146" t="inlineStr">
        <is>
          <t>Bestimmt die Probe fuer Wunder vom Typ 'Stoß' (kurze, sofortige Anrufungen).</t>
        </is>
      </c>
      <c r="F2146" t="inlineStr">
        <is>
          <t>Magie/Klerus</t>
        </is>
      </c>
      <c r="G2146" t="inlineStr">
        <is>
          <t>Wert</t>
        </is>
      </c>
      <c r="L2146" t="inlineStr">
        <is>
          <t>WENN(wert=0;0;10+(wert-1)*wert/2)</t>
        </is>
      </c>
    </row>
    <row r="2147" hidden="1" ht="15.75" customHeight="1" s="48">
      <c r="A2147" t="inlineStr">
        <is>
          <t>whk_geweihte_wunder</t>
        </is>
      </c>
      <c r="B2147" t="inlineStr">
        <is>
          <t>WHK</t>
        </is>
      </c>
      <c r="C2147" t="inlineStr">
        <is>
          <t>Geweihte: Wunder</t>
        </is>
      </c>
      <c r="E2147" t="inlineStr">
        <is>
          <t>Bestimmt die Probe fuer Wunder vom Typ 'Wunder' (laenger wirkende Anrufungen).</t>
        </is>
      </c>
      <c r="F2147" t="inlineStr">
        <is>
          <t>Magie/Klerus</t>
        </is>
      </c>
      <c r="G2147" t="inlineStr">
        <is>
          <t>Wert</t>
        </is>
      </c>
      <c r="L2147" t="inlineStr">
        <is>
          <t>WENN(wert=0;0;10+(wert-1)*wert/2)</t>
        </is>
      </c>
    </row>
    <row r="2148" hidden="1" ht="15.75" customHeight="1" s="48">
      <c r="A2148" t="inlineStr">
        <is>
          <t>whk_geweihte_ritual</t>
        </is>
      </c>
      <c r="B2148" t="inlineStr">
        <is>
          <t>WHK</t>
        </is>
      </c>
      <c r="C2148" t="inlineStr">
        <is>
          <t>Geweihte: Ritual</t>
        </is>
      </c>
      <c r="E2148" t="inlineStr">
        <is>
          <t>Bestimmt die Probe fuer Wunder vom Typ 'Ritual' (aufwendige, lange Zeremonien).</t>
        </is>
      </c>
      <c r="F2148" t="inlineStr">
        <is>
          <t>Magie/Klerus</t>
        </is>
      </c>
      <c r="G2148" t="inlineStr">
        <is>
          <t>Wert</t>
        </is>
      </c>
      <c r="L2148" t="inlineStr">
        <is>
          <t>WENN(wert=0;0;10+(wert-1)*wert/2)</t>
        </is>
      </c>
    </row>
    <row r="2149" hidden="1" ht="15.75" customHeight="1" s="48">
      <c r="A2149" t="inlineStr">
        <is>
          <t>whk_ermittlung</t>
        </is>
      </c>
      <c r="B2149" t="inlineStr">
        <is>
          <t>WHK</t>
        </is>
      </c>
      <c r="C2149" t="inlineStr">
        <is>
          <t>Ermittlung</t>
        </is>
      </c>
      <c r="F2149" t="inlineStr">
        <is>
          <t>Sozial/Kunst</t>
        </is>
      </c>
      <c r="G2149" t="inlineStr">
        <is>
          <t>Wert</t>
        </is>
      </c>
      <c r="L2149" t="inlineStr">
        <is>
          <t>WENN(wert=0;0;10+(wert-1)*wert/2)</t>
        </is>
      </c>
    </row>
    <row r="2150" hidden="1" ht="15.75" customHeight="1" s="48">
      <c r="A2150" t="inlineStr">
        <is>
          <t>whk_spez_ermittlung_spurenlesen</t>
        </is>
      </c>
      <c r="B2150" t="inlineStr">
        <is>
          <t>WHK</t>
        </is>
      </c>
      <c r="C2150" t="inlineStr">
        <is>
          <t>-&gt; Spurenlesen</t>
        </is>
      </c>
      <c r="F2150" t="inlineStr">
        <is>
          <t>Ermittlung</t>
        </is>
      </c>
      <c r="G2150" t="inlineStr">
        <is>
          <t>Wert</t>
        </is>
      </c>
      <c r="L2150" t="inlineStr">
        <is>
          <t>SVERWEIS(wert;'WHK-Spez-Kosten';3;1)</t>
        </is>
      </c>
    </row>
    <row r="2151" hidden="1" ht="15.75" customHeight="1" s="48">
      <c r="A2151" t="inlineStr">
        <is>
          <t>whk_spez_ermittlung_verhoer</t>
        </is>
      </c>
      <c r="B2151" t="inlineStr">
        <is>
          <t>WHK</t>
        </is>
      </c>
      <c r="C2151" t="inlineStr">
        <is>
          <t>-&gt; Verhör</t>
        </is>
      </c>
      <c r="F2151" t="inlineStr">
        <is>
          <t>Ermittlung</t>
        </is>
      </c>
      <c r="G2151" t="inlineStr">
        <is>
          <t>Wert</t>
        </is>
      </c>
      <c r="L2151" t="inlineStr">
        <is>
          <t>SVERWEIS(wert;'WHK-Spez-Kosten';3;1)</t>
        </is>
      </c>
    </row>
    <row r="2152" hidden="1" ht="15.75" customHeight="1" s="48">
      <c r="A2152" t="inlineStr">
        <is>
          <t>whk_spez_ermittlung_observation</t>
        </is>
      </c>
      <c r="B2152" t="inlineStr">
        <is>
          <t>WHK</t>
        </is>
      </c>
      <c r="C2152" t="inlineStr">
        <is>
          <t>-&gt; Observation</t>
        </is>
      </c>
      <c r="F2152" t="inlineStr">
        <is>
          <t>Ermittlung</t>
        </is>
      </c>
      <c r="G2152" t="inlineStr">
        <is>
          <t>Wert</t>
        </is>
      </c>
      <c r="L2152" t="inlineStr">
        <is>
          <t>SVERWEIS(wert;'WHK-Spez-Kosten';3;1)</t>
        </is>
      </c>
    </row>
    <row r="2153" hidden="1" ht="15.75" customHeight="1" s="48">
      <c r="A2153" t="inlineStr">
        <is>
          <t>whk_diebeskunst</t>
        </is>
      </c>
      <c r="B2153" t="inlineStr">
        <is>
          <t>WHK</t>
        </is>
      </c>
      <c r="C2153" t="inlineStr">
        <is>
          <t>Diebeskunst</t>
        </is>
      </c>
      <c r="F2153" t="inlineStr">
        <is>
          <t>Sozial/Kunst</t>
        </is>
      </c>
      <c r="G2153" t="inlineStr">
        <is>
          <t>Wert</t>
        </is>
      </c>
      <c r="L2153" t="inlineStr">
        <is>
          <t>WENN(wert=0;0;10+(wert-1)*wert/2)</t>
        </is>
      </c>
    </row>
    <row r="2154" hidden="1" ht="15.75" customHeight="1" s="48">
      <c r="A2154" t="inlineStr">
        <is>
          <t>whk_spez_diebeskunst_taschendieb</t>
        </is>
      </c>
      <c r="B2154" t="inlineStr">
        <is>
          <t>WHK</t>
        </is>
      </c>
      <c r="C2154" t="inlineStr">
        <is>
          <t>-&gt; Taschendieb</t>
        </is>
      </c>
      <c r="F2154" t="inlineStr">
        <is>
          <t>Diebeskunst</t>
        </is>
      </c>
      <c r="G2154" t="inlineStr">
        <is>
          <t>Wert</t>
        </is>
      </c>
      <c r="L2154" t="inlineStr">
        <is>
          <t>SVERWEIS(wert;'WHK-Spez-Kosten';3;1)</t>
        </is>
      </c>
    </row>
    <row r="2155" hidden="1" ht="15.75" customHeight="1" s="48">
      <c r="A2155" t="inlineStr">
        <is>
          <t>whk_spez_diebeskunst_schlossknacker</t>
        </is>
      </c>
      <c r="B2155" t="inlineStr">
        <is>
          <t>WHK</t>
        </is>
      </c>
      <c r="C2155" t="inlineStr">
        <is>
          <t>-&gt; Schlossknacker</t>
        </is>
      </c>
      <c r="F2155" t="inlineStr">
        <is>
          <t>Diebeskunst</t>
        </is>
      </c>
      <c r="G2155" t="inlineStr">
        <is>
          <t>Wert</t>
        </is>
      </c>
      <c r="L2155" t="inlineStr">
        <is>
          <t>SVERWEIS(wert;'WHK-Spez-Kosten';3;1)</t>
        </is>
      </c>
    </row>
    <row r="2156" hidden="1" ht="15.75" customHeight="1" s="48">
      <c r="A2156" t="inlineStr">
        <is>
          <t>whk_spez_diebeskunst_taschenspieler</t>
        </is>
      </c>
      <c r="B2156" t="inlineStr">
        <is>
          <t>WHK</t>
        </is>
      </c>
      <c r="C2156" t="inlineStr">
        <is>
          <t>-&gt; Taschenspieler</t>
        </is>
      </c>
      <c r="F2156" t="inlineStr">
        <is>
          <t>Diebeskunst</t>
        </is>
      </c>
      <c r="G2156" t="inlineStr">
        <is>
          <t>Wert</t>
        </is>
      </c>
      <c r="L2156" t="inlineStr">
        <is>
          <t>SVERWEIS(wert;'WHK-Spez-Kosten';3;1)</t>
        </is>
      </c>
    </row>
    <row r="2157" hidden="1" ht="15.75" customHeight="1" s="48">
      <c r="A2157" t="inlineStr">
        <is>
          <t>whk_spez_diebeskunst_betrueger</t>
        </is>
      </c>
      <c r="B2157" t="inlineStr">
        <is>
          <t>WHK</t>
        </is>
      </c>
      <c r="C2157" t="inlineStr">
        <is>
          <t>-&gt; Betrüger</t>
        </is>
      </c>
      <c r="F2157" t="inlineStr">
        <is>
          <t>Diebeskunst</t>
        </is>
      </c>
      <c r="G2157" t="inlineStr">
        <is>
          <t>Wert</t>
        </is>
      </c>
      <c r="L2157" t="inlineStr">
        <is>
          <t>SVERWEIS(wert;'WHK-Spez-Kosten';3;1)</t>
        </is>
      </c>
    </row>
    <row r="2158" hidden="1" ht="15.75" customHeight="1" s="48">
      <c r="A2158" t="inlineStr">
        <is>
          <t>whk_etikette</t>
        </is>
      </c>
      <c r="B2158" t="inlineStr">
        <is>
          <t>WHK</t>
        </is>
      </c>
      <c r="C2158" t="inlineStr">
        <is>
          <t>Etikette</t>
        </is>
      </c>
      <c r="F2158" t="inlineStr">
        <is>
          <t>Sozial/Kunst</t>
        </is>
      </c>
      <c r="G2158" t="inlineStr">
        <is>
          <t>Wert</t>
        </is>
      </c>
      <c r="L2158" t="inlineStr">
        <is>
          <t>WENN(wert=0;0;10+(wert-1)*wert/2)</t>
        </is>
      </c>
    </row>
    <row r="2159" hidden="1" ht="15.75" customHeight="1" s="48">
      <c r="A2159" t="inlineStr">
        <is>
          <t>whk_spez_etikette_gemeinvolk</t>
        </is>
      </c>
      <c r="B2159" t="inlineStr">
        <is>
          <t>WHK</t>
        </is>
      </c>
      <c r="C2159" t="inlineStr">
        <is>
          <t>-&gt; Gemeinvolk</t>
        </is>
      </c>
      <c r="F2159" t="inlineStr">
        <is>
          <t>Etikette</t>
        </is>
      </c>
      <c r="G2159" t="inlineStr">
        <is>
          <t>Wert</t>
        </is>
      </c>
      <c r="L2159" t="inlineStr">
        <is>
          <t>SVERWEIS(wert;'WHK-Spez-Kosten';3;1)</t>
        </is>
      </c>
    </row>
    <row r="2160" hidden="1" ht="15.75" customHeight="1" s="48">
      <c r="A2160" t="inlineStr">
        <is>
          <t>whk_spez_etikette_buergertum</t>
        </is>
      </c>
      <c r="B2160" t="inlineStr">
        <is>
          <t>WHK</t>
        </is>
      </c>
      <c r="C2160" t="inlineStr">
        <is>
          <t>-&gt; Bürgertum</t>
        </is>
      </c>
      <c r="F2160" t="inlineStr">
        <is>
          <t>Etikette</t>
        </is>
      </c>
      <c r="G2160" t="inlineStr">
        <is>
          <t>Wert</t>
        </is>
      </c>
      <c r="L2160" t="inlineStr">
        <is>
          <t>SVERWEIS(wert;'WHK-Spez-Kosten';3;1)</t>
        </is>
      </c>
    </row>
    <row r="2161" hidden="1" ht="15.75" customHeight="1" s="48">
      <c r="A2161" t="inlineStr">
        <is>
          <t>whk_spez_etikette_hochfinanz</t>
        </is>
      </c>
      <c r="B2161" t="inlineStr">
        <is>
          <t>WHK</t>
        </is>
      </c>
      <c r="C2161" t="inlineStr">
        <is>
          <t>-&gt; Hochfinanz</t>
        </is>
      </c>
      <c r="F2161" t="inlineStr">
        <is>
          <t>Etikette</t>
        </is>
      </c>
      <c r="G2161" t="inlineStr">
        <is>
          <t>Wert</t>
        </is>
      </c>
      <c r="L2161" t="inlineStr">
        <is>
          <t>SVERWEIS(wert;'WHK-Spez-Kosten';3;1)</t>
        </is>
      </c>
    </row>
    <row r="2162" hidden="1" ht="15.75" customHeight="1" s="48">
      <c r="A2162" t="inlineStr">
        <is>
          <t>whk_paedagoge</t>
        </is>
      </c>
      <c r="B2162" t="inlineStr">
        <is>
          <t>WHK</t>
        </is>
      </c>
      <c r="C2162" t="inlineStr">
        <is>
          <t>Pädagoge</t>
        </is>
      </c>
      <c r="F2162" t="inlineStr">
        <is>
          <t>Sozial/Kunst</t>
        </is>
      </c>
      <c r="G2162" t="inlineStr">
        <is>
          <t>Wert</t>
        </is>
      </c>
      <c r="L2162" t="inlineStr">
        <is>
          <t>WENN(wert=0;0;10+(wert-1)*wert/2)</t>
        </is>
      </c>
    </row>
    <row r="2163" hidden="1" ht="15.75" customHeight="1" s="48">
      <c r="A2163" t="inlineStr">
        <is>
          <t>whk_musizieren</t>
        </is>
      </c>
      <c r="B2163" t="inlineStr">
        <is>
          <t>WHK</t>
        </is>
      </c>
      <c r="C2163" t="inlineStr">
        <is>
          <t>Musizieren</t>
        </is>
      </c>
      <c r="F2163" t="inlineStr">
        <is>
          <t>Sozial/Kunst</t>
        </is>
      </c>
      <c r="G2163" t="inlineStr">
        <is>
          <t>Wert</t>
        </is>
      </c>
      <c r="L2163" t="inlineStr">
        <is>
          <t>WENN(wert=0;0;10+(wert-1)*wert/2)</t>
        </is>
      </c>
    </row>
    <row r="2164" hidden="1" ht="15.75" customHeight="1" s="48">
      <c r="A2164" t="inlineStr">
        <is>
          <t>whk_spez_musizieren_blasinstrumente</t>
        </is>
      </c>
      <c r="B2164" t="inlineStr">
        <is>
          <t>WHK</t>
        </is>
      </c>
      <c r="C2164" t="inlineStr">
        <is>
          <t>-&gt; Blasinstrumente</t>
        </is>
      </c>
      <c r="F2164" t="inlineStr">
        <is>
          <t>Musizieren</t>
        </is>
      </c>
      <c r="G2164" t="inlineStr">
        <is>
          <t>Wert</t>
        </is>
      </c>
      <c r="L2164" t="inlineStr">
        <is>
          <t>SVERWEIS(wert;'WHK-Spez-Kosten';3;1)</t>
        </is>
      </c>
    </row>
    <row r="2165" hidden="1" ht="15.75" customHeight="1" s="48">
      <c r="A2165" t="inlineStr">
        <is>
          <t>whk_spez_musizieren_saiteninstrumente</t>
        </is>
      </c>
      <c r="B2165" t="inlineStr">
        <is>
          <t>WHK</t>
        </is>
      </c>
      <c r="C2165" t="inlineStr">
        <is>
          <t>-&gt; Saiteninstrumente</t>
        </is>
      </c>
      <c r="F2165" t="inlineStr">
        <is>
          <t>Musizieren</t>
        </is>
      </c>
      <c r="G2165" t="inlineStr">
        <is>
          <t>Wert</t>
        </is>
      </c>
      <c r="L2165" t="inlineStr">
        <is>
          <t>SVERWEIS(wert;'WHK-Spez-Kosten';3;1)</t>
        </is>
      </c>
    </row>
    <row r="2166" hidden="1" ht="15.75" customHeight="1" s="48">
      <c r="A2166" t="inlineStr">
        <is>
          <t>whk_spez_musizieren_schlaginstrumente</t>
        </is>
      </c>
      <c r="B2166" t="inlineStr">
        <is>
          <t>WHK</t>
        </is>
      </c>
      <c r="C2166" t="inlineStr">
        <is>
          <t>-&gt; Schlaginstrumente</t>
        </is>
      </c>
      <c r="F2166" t="inlineStr">
        <is>
          <t>Musizieren</t>
        </is>
      </c>
      <c r="G2166" t="inlineStr">
        <is>
          <t>Wert</t>
        </is>
      </c>
      <c r="L2166" t="inlineStr">
        <is>
          <t>SVERWEIS(wert;'WHK-Spez-Kosten';3;1)</t>
        </is>
      </c>
    </row>
    <row r="2167" hidden="1" ht="15.75" customHeight="1" s="48">
      <c r="A2167" t="inlineStr">
        <is>
          <t>whk_schriftstellerei</t>
        </is>
      </c>
      <c r="B2167" t="inlineStr">
        <is>
          <t>WHK</t>
        </is>
      </c>
      <c r="C2167" t="inlineStr">
        <is>
          <t>Schriftstellerei</t>
        </is>
      </c>
      <c r="F2167" t="inlineStr">
        <is>
          <t>Sozial/Kunst</t>
        </is>
      </c>
      <c r="G2167" t="inlineStr">
        <is>
          <t>Wert</t>
        </is>
      </c>
      <c r="L2167" t="inlineStr">
        <is>
          <t>WENN(wert=0;0;10+(wert-1)*wert/2)</t>
        </is>
      </c>
    </row>
    <row r="2168" hidden="1" ht="15.75" customHeight="1" s="48">
      <c r="A2168" t="inlineStr">
        <is>
          <t>whk_spez_schriftstellerei_journalismus</t>
        </is>
      </c>
      <c r="B2168" t="inlineStr">
        <is>
          <t>WHK</t>
        </is>
      </c>
      <c r="C2168" t="inlineStr">
        <is>
          <t>-&gt; Journalismus</t>
        </is>
      </c>
      <c r="F2168" t="inlineStr">
        <is>
          <t>Schriftstellerei</t>
        </is>
      </c>
      <c r="G2168" t="inlineStr">
        <is>
          <t>Wert</t>
        </is>
      </c>
      <c r="L2168" t="inlineStr">
        <is>
          <t>SVERWEIS(wert;'WHK-Spez-Kosten';3;1)</t>
        </is>
      </c>
    </row>
    <row r="2169" hidden="1" ht="15.75" customHeight="1" s="48">
      <c r="A2169" t="inlineStr">
        <is>
          <t>whk_spez_schriftstellerei_belletristik</t>
        </is>
      </c>
      <c r="B2169" t="inlineStr">
        <is>
          <t>WHK</t>
        </is>
      </c>
      <c r="C2169" t="inlineStr">
        <is>
          <t>-&gt; Belletristik</t>
        </is>
      </c>
      <c r="F2169" t="inlineStr">
        <is>
          <t>Schriftstellerei</t>
        </is>
      </c>
      <c r="G2169" t="inlineStr">
        <is>
          <t>Wert</t>
        </is>
      </c>
      <c r="L2169" t="inlineStr">
        <is>
          <t>SVERWEIS(wert;'WHK-Spez-Kosten';3;1)</t>
        </is>
      </c>
    </row>
    <row r="2170" hidden="1" ht="15.75" customHeight="1" s="48">
      <c r="A2170" t="inlineStr">
        <is>
          <t>whk_spez_schriftstellerei_fachliteratur</t>
        </is>
      </c>
      <c r="B2170" t="inlineStr">
        <is>
          <t>WHK</t>
        </is>
      </c>
      <c r="C2170" t="inlineStr">
        <is>
          <t>-&gt; Fachliteratur</t>
        </is>
      </c>
      <c r="F2170" t="inlineStr">
        <is>
          <t>Schriftstellerei</t>
        </is>
      </c>
      <c r="G2170" t="inlineStr">
        <is>
          <t>Wert</t>
        </is>
      </c>
      <c r="L2170" t="inlineStr">
        <is>
          <t>SVERWEIS(wert;'WHK-Spez-Kosten';3;1)</t>
        </is>
      </c>
    </row>
    <row r="2171" hidden="1" ht="15.75" customHeight="1" s="48">
      <c r="A2171" t="inlineStr">
        <is>
          <t>whk_fotografie</t>
        </is>
      </c>
      <c r="B2171" t="inlineStr">
        <is>
          <t>WHK</t>
        </is>
      </c>
      <c r="C2171" t="inlineStr">
        <is>
          <t>Fotografie</t>
        </is>
      </c>
      <c r="F2171" t="inlineStr">
        <is>
          <t>Sozial/Kunst</t>
        </is>
      </c>
      <c r="G2171" t="inlineStr">
        <is>
          <t>Wert</t>
        </is>
      </c>
      <c r="L2171" t="inlineStr">
        <is>
          <t>WENN(wert=0;0;10+(wert-1)*wert/2)</t>
        </is>
      </c>
    </row>
    <row r="2172" hidden="1" ht="15.75" customHeight="1" s="48">
      <c r="A2172" t="inlineStr">
        <is>
          <t>whk_spez_fotografie_studioaufnahmen</t>
        </is>
      </c>
      <c r="B2172" t="inlineStr">
        <is>
          <t>WHK</t>
        </is>
      </c>
      <c r="C2172" t="inlineStr">
        <is>
          <t>-&gt; Studioaufnahmen</t>
        </is>
      </c>
      <c r="F2172" t="inlineStr">
        <is>
          <t>Fotografie</t>
        </is>
      </c>
      <c r="G2172" t="inlineStr">
        <is>
          <t>Wert</t>
        </is>
      </c>
      <c r="L2172" t="inlineStr">
        <is>
          <t>SVERWEIS(wert;'WHK-Spez-Kosten';3;1)</t>
        </is>
      </c>
    </row>
    <row r="2173" hidden="1" ht="15.75" customHeight="1" s="48">
      <c r="A2173" t="inlineStr">
        <is>
          <t>whk_spez_fotografie_aussenaufnahmen</t>
        </is>
      </c>
      <c r="B2173" t="inlineStr">
        <is>
          <t>WHK</t>
        </is>
      </c>
      <c r="C2173" t="inlineStr">
        <is>
          <t>-&gt; Außenaufnahmen</t>
        </is>
      </c>
      <c r="F2173" t="inlineStr">
        <is>
          <t>Fotografie</t>
        </is>
      </c>
      <c r="G2173" t="inlineStr">
        <is>
          <t>Wert</t>
        </is>
      </c>
      <c r="L2173" t="inlineStr">
        <is>
          <t>SVERWEIS(wert;'WHK-Spez-Kosten';3;1)</t>
        </is>
      </c>
    </row>
    <row r="2174" hidden="1" ht="15.75" customHeight="1" s="48">
      <c r="A2174" t="inlineStr">
        <is>
          <t>whk_spez_fotografie_bewegtbild</t>
        </is>
      </c>
      <c r="B2174" t="inlineStr">
        <is>
          <t>WHK</t>
        </is>
      </c>
      <c r="C2174" t="inlineStr">
        <is>
          <t>-&gt; Bewegtbild</t>
        </is>
      </c>
      <c r="F2174" t="inlineStr">
        <is>
          <t>Fotografie</t>
        </is>
      </c>
      <c r="G2174" t="inlineStr">
        <is>
          <t>Wert</t>
        </is>
      </c>
      <c r="L2174" t="inlineStr">
        <is>
          <t>SVERWEIS(wert;'WHK-Spez-Kosten';3;1)</t>
        </is>
      </c>
    </row>
    <row r="2175" hidden="1" ht="15.75" customHeight="1" s="48">
      <c r="A2175" t="inlineStr">
        <is>
          <t>whk_schauspielkunst</t>
        </is>
      </c>
      <c r="B2175" t="inlineStr">
        <is>
          <t>WHK</t>
        </is>
      </c>
      <c r="C2175" t="inlineStr">
        <is>
          <t>Schauspielkunst</t>
        </is>
      </c>
      <c r="F2175" t="inlineStr">
        <is>
          <t>Sozial/Kunst</t>
        </is>
      </c>
      <c r="G2175" t="inlineStr">
        <is>
          <t>Wert</t>
        </is>
      </c>
      <c r="L2175" t="inlineStr">
        <is>
          <t>WENN(wert=0;0;10+(wert-1)*wert/2)</t>
        </is>
      </c>
    </row>
    <row r="2176" hidden="1" ht="15.75" customHeight="1" s="48">
      <c r="A2176" t="inlineStr">
        <is>
          <t>whk_spez_schauspielkunst_schauspieler</t>
        </is>
      </c>
      <c r="B2176" t="inlineStr">
        <is>
          <t>WHK</t>
        </is>
      </c>
      <c r="C2176" t="inlineStr">
        <is>
          <t>-&gt; Schauspieler</t>
        </is>
      </c>
      <c r="F2176" t="inlineStr">
        <is>
          <t>Schauspielkunst</t>
        </is>
      </c>
      <c r="G2176" t="inlineStr">
        <is>
          <t>Wert</t>
        </is>
      </c>
      <c r="L2176" t="inlineStr">
        <is>
          <t>SVERWEIS(wert;'WHK-Spez-Kosten';3;1)</t>
        </is>
      </c>
    </row>
    <row r="2177" hidden="1" ht="15.75" customHeight="1" s="48">
      <c r="A2177" t="inlineStr">
        <is>
          <t>whk_spez_schauspielkunst_redner</t>
        </is>
      </c>
      <c r="B2177" t="inlineStr">
        <is>
          <t>WHK</t>
        </is>
      </c>
      <c r="C2177" t="inlineStr">
        <is>
          <t>-&gt; Redner</t>
        </is>
      </c>
      <c r="F2177" t="inlineStr">
        <is>
          <t>Schauspielkunst</t>
        </is>
      </c>
      <c r="G2177" t="inlineStr">
        <is>
          <t>Wert</t>
        </is>
      </c>
      <c r="L2177" t="inlineStr">
        <is>
          <t>SVERWEIS(wert;'WHK-Spez-Kosten';3;1)</t>
        </is>
      </c>
    </row>
    <row r="2178" hidden="1" ht="15.75" customHeight="1" s="48">
      <c r="A2178" t="inlineStr">
        <is>
          <t>whk_spez_schauspielkunst_schausteller</t>
        </is>
      </c>
      <c r="B2178" t="inlineStr">
        <is>
          <t>WHK</t>
        </is>
      </c>
      <c r="C2178" t="inlineStr">
        <is>
          <t>-&gt; Schausteller</t>
        </is>
      </c>
      <c r="F2178" t="inlineStr">
        <is>
          <t>Schauspielkunst</t>
        </is>
      </c>
      <c r="G2178" t="inlineStr">
        <is>
          <t>Wert</t>
        </is>
      </c>
      <c r="L2178" t="inlineStr">
        <is>
          <t>SVERWEIS(wert;'WHK-Spez-Kosten';3;1)</t>
        </is>
      </c>
    </row>
    <row r="2179" hidden="1" ht="15.75" customHeight="1" s="48">
      <c r="A2179" t="inlineStr">
        <is>
          <t>whk_taenzer</t>
        </is>
      </c>
      <c r="B2179" t="inlineStr">
        <is>
          <t>WHK</t>
        </is>
      </c>
      <c r="C2179" t="inlineStr">
        <is>
          <t>Tänzer</t>
        </is>
      </c>
      <c r="F2179" t="inlineStr">
        <is>
          <t>Sozial/Kunst</t>
        </is>
      </c>
      <c r="G2179" t="inlineStr">
        <is>
          <t>Wert</t>
        </is>
      </c>
      <c r="L2179" t="inlineStr">
        <is>
          <t>WENN(wert=0;0;10+(wert-1)*wert/2)</t>
        </is>
      </c>
    </row>
    <row r="2180" hidden="1" ht="15.75" customHeight="1" s="48">
      <c r="A2180" t="inlineStr">
        <is>
          <t>whk_gastgewerbe</t>
        </is>
      </c>
      <c r="B2180" t="inlineStr">
        <is>
          <t>WHK</t>
        </is>
      </c>
      <c r="C2180" t="inlineStr">
        <is>
          <t>Gastgewerbe</t>
        </is>
      </c>
      <c r="F2180" t="inlineStr">
        <is>
          <t>Sozial/Kunst</t>
        </is>
      </c>
      <c r="G2180" t="inlineStr">
        <is>
          <t>Wert</t>
        </is>
      </c>
      <c r="L2180" t="inlineStr">
        <is>
          <t>WENN(wert=0;0;10+(wert-1)*wert/2)</t>
        </is>
      </c>
    </row>
    <row r="2181" hidden="1" ht="15.75" customHeight="1" s="48">
      <c r="A2181" t="inlineStr">
        <is>
          <t>whk_spez_gastgewerbe_kellner</t>
        </is>
      </c>
      <c r="B2181" t="inlineStr">
        <is>
          <t>WHK</t>
        </is>
      </c>
      <c r="C2181" t="inlineStr">
        <is>
          <t>-&gt; Kellner</t>
        </is>
      </c>
      <c r="F2181" t="inlineStr">
        <is>
          <t>Gastgewerbe</t>
        </is>
      </c>
      <c r="G2181" t="inlineStr">
        <is>
          <t>Wert</t>
        </is>
      </c>
      <c r="L2181" t="inlineStr">
        <is>
          <t>SVERWEIS(wert;'WHK-Spez-Kosten';3;1)</t>
        </is>
      </c>
    </row>
    <row r="2182" hidden="1" ht="15.75" customHeight="1" s="48">
      <c r="A2182" t="inlineStr">
        <is>
          <t>whk_spez_gastgewerbe_barkeeper</t>
        </is>
      </c>
      <c r="B2182" t="inlineStr">
        <is>
          <t>WHK</t>
        </is>
      </c>
      <c r="C2182" t="inlineStr">
        <is>
          <t>-&gt; Barkeeper</t>
        </is>
      </c>
      <c r="F2182" t="inlineStr">
        <is>
          <t>Gastgewerbe</t>
        </is>
      </c>
      <c r="G2182" t="inlineStr">
        <is>
          <t>Wert</t>
        </is>
      </c>
      <c r="L2182" t="inlineStr">
        <is>
          <t>SVERWEIS(wert;'WHK-Spez-Kosten';3;1)</t>
        </is>
      </c>
    </row>
    <row r="2183" hidden="1" ht="15.75" customHeight="1" s="48">
      <c r="A2183" t="inlineStr">
        <is>
          <t>whk_spez_gastgewerbe_sommelier</t>
        </is>
      </c>
      <c r="B2183" t="inlineStr">
        <is>
          <t>WHK</t>
        </is>
      </c>
      <c r="C2183" t="inlineStr">
        <is>
          <t>-&gt; Sommelier</t>
        </is>
      </c>
      <c r="F2183" t="inlineStr">
        <is>
          <t>Gastgewerbe</t>
        </is>
      </c>
      <c r="G2183" t="inlineStr">
        <is>
          <t>Wert</t>
        </is>
      </c>
      <c r="L2183" t="inlineStr">
        <is>
          <t>SVERWEIS(wert;'WHK-Spez-Kosten';3;1)</t>
        </is>
      </c>
    </row>
    <row r="2184" hidden="1" ht="15.75" customHeight="1" s="48">
      <c r="A2184" t="inlineStr">
        <is>
          <t>whk_hauswirtschaft</t>
        </is>
      </c>
      <c r="B2184" t="inlineStr">
        <is>
          <t>WHK</t>
        </is>
      </c>
      <c r="C2184" t="inlineStr">
        <is>
          <t>Hauswirtschaft</t>
        </is>
      </c>
      <c r="F2184" t="inlineStr">
        <is>
          <t>Sozial/Kunst</t>
        </is>
      </c>
      <c r="G2184" t="inlineStr">
        <is>
          <t>Wert</t>
        </is>
      </c>
      <c r="L2184" t="inlineStr">
        <is>
          <t>WENN(wert=0;0;10+(wert-1)*wert/2)</t>
        </is>
      </c>
    </row>
    <row r="2185" hidden="1" ht="15.75" customHeight="1" s="48">
      <c r="A2185" t="inlineStr">
        <is>
          <t>whk_spez_hauswirtschaft_haushaelter</t>
        </is>
      </c>
      <c r="B2185" t="inlineStr">
        <is>
          <t>WHK</t>
        </is>
      </c>
      <c r="C2185" t="inlineStr">
        <is>
          <t>-&gt; Haushälter</t>
        </is>
      </c>
      <c r="F2185" t="inlineStr">
        <is>
          <t>Hauswirtschaft</t>
        </is>
      </c>
      <c r="G2185" t="inlineStr">
        <is>
          <t>Wert</t>
        </is>
      </c>
      <c r="L2185" t="inlineStr">
        <is>
          <t>SVERWEIS(wert;'WHK-Spez-Kosten';3;1)</t>
        </is>
      </c>
    </row>
    <row r="2186" hidden="1" ht="15.75" customHeight="1" s="48">
      <c r="A2186" t="inlineStr">
        <is>
          <t>whk_spez_hauswirtschaft_waescher</t>
        </is>
      </c>
      <c r="B2186" t="inlineStr">
        <is>
          <t>WHK</t>
        </is>
      </c>
      <c r="C2186" t="inlineStr">
        <is>
          <t>-&gt; Wäscher</t>
        </is>
      </c>
      <c r="F2186" t="inlineStr">
        <is>
          <t>Hauswirtschaft</t>
        </is>
      </c>
      <c r="G2186" t="inlineStr">
        <is>
          <t>Wert</t>
        </is>
      </c>
      <c r="L2186" t="inlineStr">
        <is>
          <t>SVERWEIS(wert;'WHK-Spez-Kosten';3;1)</t>
        </is>
      </c>
    </row>
    <row r="2187" hidden="1" ht="15.75" customHeight="1" s="48">
      <c r="A2187" t="inlineStr">
        <is>
          <t>whk_spez_hauswirtschaft_hausmeister</t>
        </is>
      </c>
      <c r="B2187" t="inlineStr">
        <is>
          <t>WHK</t>
        </is>
      </c>
      <c r="C2187" t="inlineStr">
        <is>
          <t>-&gt; Hausmeister</t>
        </is>
      </c>
      <c r="F2187" t="inlineStr">
        <is>
          <t>Hauswirtschaft</t>
        </is>
      </c>
      <c r="G2187" t="inlineStr">
        <is>
          <t>Wert</t>
        </is>
      </c>
      <c r="L2187" t="inlineStr">
        <is>
          <t>SVERWEIS(wert;'WHK-Spez-Kosten';3;1)</t>
        </is>
      </c>
    </row>
    <row r="2188" hidden="1" ht="15.75" customHeight="1" s="48">
      <c r="A2188" t="inlineStr">
        <is>
          <t>whk_bestattungswesen</t>
        </is>
      </c>
      <c r="B2188" t="inlineStr">
        <is>
          <t>WHK</t>
        </is>
      </c>
      <c r="C2188" t="inlineStr">
        <is>
          <t>Bestattungswesen</t>
        </is>
      </c>
      <c r="F2188" t="inlineStr">
        <is>
          <t>Sozial/Kunst</t>
        </is>
      </c>
      <c r="G2188" t="inlineStr">
        <is>
          <t>Wert</t>
        </is>
      </c>
      <c r="L2188" t="inlineStr">
        <is>
          <t>WENN(wert=0;0;10+(wert-1)*wert/2)</t>
        </is>
      </c>
    </row>
    <row r="2189" hidden="1" ht="15.75" customHeight="1" s="48">
      <c r="A2189" t="inlineStr">
        <is>
          <t>whk_spez_bestattungswesen_einbalsamierer</t>
        </is>
      </c>
      <c r="B2189" t="inlineStr">
        <is>
          <t>WHK</t>
        </is>
      </c>
      <c r="C2189" t="inlineStr">
        <is>
          <t>-&gt; Einbalsamierer</t>
        </is>
      </c>
      <c r="F2189" t="inlineStr">
        <is>
          <t>Bestattungswesen</t>
        </is>
      </c>
      <c r="G2189" t="inlineStr">
        <is>
          <t>Wert</t>
        </is>
      </c>
      <c r="L2189" t="inlineStr">
        <is>
          <t>SVERWEIS(wert;'WHK-Spez-Kosten';3;1)</t>
        </is>
      </c>
    </row>
    <row r="2190" hidden="1" ht="15.75" customHeight="1" s="48">
      <c r="A2190" t="inlineStr">
        <is>
          <t>whk_spez_bestattungswesen_rekonstruktion</t>
        </is>
      </c>
      <c r="B2190" t="inlineStr">
        <is>
          <t>WHK</t>
        </is>
      </c>
      <c r="C2190" t="inlineStr">
        <is>
          <t>-&gt; Rekonstruktion</t>
        </is>
      </c>
      <c r="F2190" t="inlineStr">
        <is>
          <t>Bestattungswesen</t>
        </is>
      </c>
      <c r="G2190" t="inlineStr">
        <is>
          <t>Wert</t>
        </is>
      </c>
      <c r="L2190" t="inlineStr">
        <is>
          <t>SVERWEIS(wert;'WHK-Spez-Kosten';3;1)</t>
        </is>
      </c>
    </row>
    <row r="2191" hidden="1" ht="15.75" customHeight="1" s="48">
      <c r="A2191" t="inlineStr">
        <is>
          <t>whk_spez_bestattungswesen_praesentation</t>
        </is>
      </c>
      <c r="B2191" t="inlineStr">
        <is>
          <t>WHK</t>
        </is>
      </c>
      <c r="C2191" t="inlineStr">
        <is>
          <t>-&gt; Präsentation</t>
        </is>
      </c>
      <c r="F2191" t="inlineStr">
        <is>
          <t>Bestattungswesen</t>
        </is>
      </c>
      <c r="G2191" t="inlineStr">
        <is>
          <t>Wert</t>
        </is>
      </c>
      <c r="L2191" t="inlineStr">
        <is>
          <t>SVERWEIS(wert;'WHK-Spez-Kosten';3;1)</t>
        </is>
      </c>
    </row>
    <row r="2192" hidden="1" ht="15.75" customHeight="1" s="48">
      <c r="A2192" t="inlineStr">
        <is>
          <t>whk_stimmen_imitieren</t>
        </is>
      </c>
      <c r="B2192" t="inlineStr">
        <is>
          <t>WHK</t>
        </is>
      </c>
      <c r="C2192" t="inlineStr">
        <is>
          <t>Stimmen imitieren</t>
        </is>
      </c>
      <c r="F2192" t="inlineStr">
        <is>
          <t>Sozial/Kunst</t>
        </is>
      </c>
      <c r="G2192" t="inlineStr">
        <is>
          <t>Wert</t>
        </is>
      </c>
      <c r="L2192" t="inlineStr">
        <is>
          <t>WENN(wert=0;0;10+(wert-1)*wert/2)</t>
        </is>
      </c>
    </row>
    <row r="2193" hidden="1" ht="15.75" customHeight="1" s="48">
      <c r="A2193" t="inlineStr">
        <is>
          <t>whk_spez_stimmen_imitieren_dalkini</t>
        </is>
      </c>
      <c r="B2193" t="inlineStr">
        <is>
          <t>WHK</t>
        </is>
      </c>
      <c r="C2193" t="inlineStr">
        <is>
          <t>-&gt; Dalkini</t>
        </is>
      </c>
      <c r="F2193" t="inlineStr">
        <is>
          <t>Stimmen imitieren</t>
        </is>
      </c>
      <c r="G2193" t="inlineStr">
        <is>
          <t>Wert</t>
        </is>
      </c>
      <c r="L2193" t="inlineStr">
        <is>
          <t>SVERWEIS(wert;'WHK-Spez-Kosten';3;1)</t>
        </is>
      </c>
    </row>
    <row r="2194" hidden="1" ht="15.75" customHeight="1" s="48">
      <c r="A2194" t="inlineStr">
        <is>
          <t>whk_spez_stimmen_imitieren_drow</t>
        </is>
      </c>
      <c r="B2194" t="inlineStr">
        <is>
          <t>WHK</t>
        </is>
      </c>
      <c r="C2194" t="inlineStr">
        <is>
          <t>-&gt; Drow</t>
        </is>
      </c>
      <c r="F2194" t="inlineStr">
        <is>
          <t>Stimmen imitieren</t>
        </is>
      </c>
      <c r="G2194" t="inlineStr">
        <is>
          <t>Wert</t>
        </is>
      </c>
      <c r="L2194" t="inlineStr">
        <is>
          <t>SVERWEIS(wert;'WHK-Spez-Kosten';3;1)</t>
        </is>
      </c>
    </row>
    <row r="2195" hidden="1" ht="15.75" customHeight="1" s="48">
      <c r="A2195" t="inlineStr">
        <is>
          <t>whk_spez_stimmen_imitieren_elf</t>
        </is>
      </c>
      <c r="B2195" t="inlineStr">
        <is>
          <t>WHK</t>
        </is>
      </c>
      <c r="C2195" t="inlineStr">
        <is>
          <t>-&gt; Elf</t>
        </is>
      </c>
      <c r="F2195" t="inlineStr">
        <is>
          <t>Stimmen imitieren</t>
        </is>
      </c>
      <c r="G2195" t="inlineStr">
        <is>
          <t>Wert</t>
        </is>
      </c>
      <c r="L2195" t="inlineStr">
        <is>
          <t>SVERWEIS(wert;'WHK-Spez-Kosten';3;1)</t>
        </is>
      </c>
    </row>
    <row r="2196" hidden="1" ht="15.75" customHeight="1" s="48">
      <c r="A2196" t="inlineStr">
        <is>
          <t>whk_spez_stimmen_imitieren_goblin</t>
        </is>
      </c>
      <c r="B2196" t="inlineStr">
        <is>
          <t>WHK</t>
        </is>
      </c>
      <c r="C2196" t="inlineStr">
        <is>
          <t>-&gt; Goblin</t>
        </is>
      </c>
      <c r="F2196" t="inlineStr">
        <is>
          <t>Stimmen imitieren</t>
        </is>
      </c>
      <c r="G2196" t="inlineStr">
        <is>
          <t>Wert</t>
        </is>
      </c>
      <c r="L2196" t="inlineStr">
        <is>
          <t>SVERWEIS(wert;'WHK-Spez-Kosten';3;1)</t>
        </is>
      </c>
    </row>
    <row r="2197" hidden="1" ht="15.75" customHeight="1" s="48">
      <c r="A2197" t="inlineStr">
        <is>
          <t>whk_spez_stimmen_imitieren_indianer</t>
        </is>
      </c>
      <c r="B2197" t="inlineStr">
        <is>
          <t>WHK</t>
        </is>
      </c>
      <c r="C2197" t="inlineStr">
        <is>
          <t>-&gt; Indianer</t>
        </is>
      </c>
      <c r="F2197" t="inlineStr">
        <is>
          <t>Stimmen imitieren</t>
        </is>
      </c>
      <c r="G2197" t="inlineStr">
        <is>
          <t>Wert</t>
        </is>
      </c>
      <c r="L2197" t="inlineStr">
        <is>
          <t>SVERWEIS(wert;'WHK-Spez-Kosten';3;1)</t>
        </is>
      </c>
    </row>
    <row r="2198" hidden="1" ht="15.75" customHeight="1" s="48">
      <c r="A2198" t="inlineStr">
        <is>
          <t>whk_spez_stimmen_imitieren_katzenmenschen</t>
        </is>
      </c>
      <c r="B2198" t="inlineStr">
        <is>
          <t>WHK</t>
        </is>
      </c>
      <c r="C2198" t="inlineStr">
        <is>
          <t>-&gt; Katzenmenschen</t>
        </is>
      </c>
      <c r="F2198" t="inlineStr">
        <is>
          <t>Stimmen imitieren</t>
        </is>
      </c>
      <c r="G2198" t="inlineStr">
        <is>
          <t>Wert</t>
        </is>
      </c>
      <c r="L2198" t="inlineStr">
        <is>
          <t>SVERWEIS(wert;'WHK-Spez-Kosten';3;1)</t>
        </is>
      </c>
    </row>
    <row r="2199" hidden="1" ht="15.75" customHeight="1" s="48">
      <c r="A2199" t="inlineStr">
        <is>
          <t>whk_spez_stimmen_imitieren_ork</t>
        </is>
      </c>
      <c r="B2199" t="inlineStr">
        <is>
          <t>WHK</t>
        </is>
      </c>
      <c r="C2199" t="inlineStr">
        <is>
          <t>-&gt; Ork</t>
        </is>
      </c>
      <c r="F2199" t="inlineStr">
        <is>
          <t>Stimmen imitieren</t>
        </is>
      </c>
      <c r="G2199" t="inlineStr">
        <is>
          <t>Wert</t>
        </is>
      </c>
      <c r="L2199" t="inlineStr">
        <is>
          <t>SVERWEIS(wert;'WHK-Spez-Kosten';3;1)</t>
        </is>
      </c>
    </row>
    <row r="2200" hidden="1" ht="15.75" customHeight="1" s="48">
      <c r="A2200" t="inlineStr">
        <is>
          <t>whk_spez_stimmen_imitieren_troll</t>
        </is>
      </c>
      <c r="B2200" t="inlineStr">
        <is>
          <t>WHK</t>
        </is>
      </c>
      <c r="C2200" t="inlineStr">
        <is>
          <t>-&gt; Troll</t>
        </is>
      </c>
      <c r="F2200" t="inlineStr">
        <is>
          <t>Stimmen imitieren</t>
        </is>
      </c>
      <c r="G2200" t="inlineStr">
        <is>
          <t>Wert</t>
        </is>
      </c>
      <c r="L2200" t="inlineStr">
        <is>
          <t>SVERWEIS(wert;'WHK-Spez-Kosten';3;1)</t>
        </is>
      </c>
    </row>
    <row r="2201" hidden="1" ht="15.75" customHeight="1" s="48">
      <c r="A2201" t="inlineStr">
        <is>
          <t>whk_spez_stimmen_imitieren_zentauren</t>
        </is>
      </c>
      <c r="B2201" t="inlineStr">
        <is>
          <t>WHK</t>
        </is>
      </c>
      <c r="C2201" t="inlineStr">
        <is>
          <t>-&gt; Zentauren</t>
        </is>
      </c>
      <c r="F2201" t="inlineStr">
        <is>
          <t>Stimmen imitieren</t>
        </is>
      </c>
      <c r="G2201" t="inlineStr">
        <is>
          <t>Wert</t>
        </is>
      </c>
      <c r="L2201" t="inlineStr">
        <is>
          <t>SVERWEIS(wert;'WHK-Spez-Kosten';3;1)</t>
        </is>
      </c>
    </row>
    <row r="2202" hidden="1" ht="15.75" customHeight="1" s="48">
      <c r="A2202" t="inlineStr">
        <is>
          <t>whk_spez_stimmen_imitieren_zwerg</t>
        </is>
      </c>
      <c r="B2202" t="inlineStr">
        <is>
          <t>WHK</t>
        </is>
      </c>
      <c r="C2202" t="inlineStr">
        <is>
          <t>-&gt; Zwerg</t>
        </is>
      </c>
      <c r="F2202" t="inlineStr">
        <is>
          <t>Stimmen imitieren</t>
        </is>
      </c>
      <c r="G2202" t="inlineStr">
        <is>
          <t>Wert</t>
        </is>
      </c>
      <c r="L2202" t="inlineStr">
        <is>
          <t>SVERWEIS(wert;'WHK-Spez-Kosten';3;1)</t>
        </is>
      </c>
    </row>
    <row r="2203" hidden="1" ht="15.75" customHeight="1" s="48">
      <c r="A2203" t="inlineStr">
        <is>
          <t>whk_spez_stimmen_imitieren_tiere</t>
        </is>
      </c>
      <c r="B2203" t="inlineStr">
        <is>
          <t>WHK</t>
        </is>
      </c>
      <c r="C2203" t="inlineStr">
        <is>
          <t>-&gt; Tiere</t>
        </is>
      </c>
      <c r="F2203" t="inlineStr">
        <is>
          <t>Stimmen imitieren</t>
        </is>
      </c>
      <c r="G2203" t="inlineStr">
        <is>
          <t>Wert</t>
        </is>
      </c>
      <c r="L2203" t="inlineStr">
        <is>
          <t>SVERWEIS(wert;'WHK-Spez-Kosten';3;1)</t>
        </is>
      </c>
    </row>
    <row r="2204" hidden="1" ht="15.75" customHeight="1" s="48">
      <c r="A2204" t="inlineStr">
        <is>
          <t>talente_geweihter_lloth_stufe_2_orthodox</t>
        </is>
      </c>
      <c r="B2204" t="inlineStr">
        <is>
          <t>Talente</t>
        </is>
      </c>
      <c r="C2204" t="inlineStr">
        <is>
          <t>Geweihter von Lloth, Orthodox – Minderer</t>
        </is>
      </c>
      <c r="F2204" t="inlineStr">
        <is>
          <t>Geweihte</t>
        </is>
      </c>
      <c r="G2204" t="inlineStr">
        <is>
          <t>Auswahl</t>
        </is>
      </c>
      <c r="L2204" t="n">
        <v>5</v>
      </c>
      <c r="Q2204" t="inlineStr">
        <is>
          <t>Dieser Charakter ist Geweihter von Lloth, Orthodox (Geweihtengrad 2: Minderer).</t>
        </is>
      </c>
    </row>
    <row r="2205" hidden="1" ht="15.75" customHeight="1" s="48">
      <c r="A2205" t="inlineStr">
        <is>
          <t>talente_geweihter_lloth_stufe_3_orthodox</t>
        </is>
      </c>
      <c r="B2205" t="inlineStr">
        <is>
          <t>Talente</t>
        </is>
      </c>
      <c r="C2205" t="inlineStr">
        <is>
          <t>Geweihter von Lloth, Orthodox – Konfirmierter</t>
        </is>
      </c>
      <c r="F2205" t="inlineStr">
        <is>
          <t>Geweihte</t>
        </is>
      </c>
      <c r="G2205" t="inlineStr">
        <is>
          <t>Auswahl</t>
        </is>
      </c>
      <c r="L2205" t="n">
        <v>5</v>
      </c>
      <c r="Q2205" t="inlineStr">
        <is>
          <t>Dieser Charakter ist Geweihter von Lloth, Orthodox (Geweihtengrad 3: Konfirmierter).</t>
        </is>
      </c>
    </row>
    <row r="2206" hidden="1" ht="15.75" customHeight="1" s="48">
      <c r="A2206" t="inlineStr">
        <is>
          <t>talente_geweihter_lloth_stufe_4_orthodox</t>
        </is>
      </c>
      <c r="B2206" t="inlineStr">
        <is>
          <t>Talente</t>
        </is>
      </c>
      <c r="C2206" t="inlineStr">
        <is>
          <t>Geweihter von Lloth, Orthodox – Etablierter</t>
        </is>
      </c>
      <c r="F2206" t="inlineStr">
        <is>
          <t>Geweihte</t>
        </is>
      </c>
      <c r="G2206" t="inlineStr">
        <is>
          <t>Auswahl</t>
        </is>
      </c>
      <c r="L2206" t="n">
        <v>5</v>
      </c>
      <c r="Q2206" t="inlineStr">
        <is>
          <t>Dieser Charakter ist Geweihter von Lloth, Orthodox (Geweihtengrad 4: Etablierter).</t>
        </is>
      </c>
    </row>
    <row r="2207" hidden="1" ht="15.75" customHeight="1" s="48">
      <c r="A2207" t="inlineStr">
        <is>
          <t>talente_geweihter_lloth_stufe_5_orthodox</t>
        </is>
      </c>
      <c r="B2207" t="inlineStr">
        <is>
          <t>Talente</t>
        </is>
      </c>
      <c r="C2207" t="inlineStr">
        <is>
          <t>Geweihter von Lloth, Orthodox – Angesehener</t>
        </is>
      </c>
      <c r="F2207" t="inlineStr">
        <is>
          <t>Geweihte</t>
        </is>
      </c>
      <c r="G2207" t="inlineStr">
        <is>
          <t>Auswahl</t>
        </is>
      </c>
      <c r="L2207" t="n">
        <v>5</v>
      </c>
      <c r="Q2207" t="inlineStr">
        <is>
          <t>Dieser Charakter ist Geweihter von Lloth, Orthodox (Geweihtengrad 5: Angesehener).</t>
        </is>
      </c>
    </row>
    <row r="2208" hidden="1" ht="15.75" customHeight="1" s="48">
      <c r="A2208" t="inlineStr">
        <is>
          <t>talente_geweihter_lloth_stufe_6_orthodox</t>
        </is>
      </c>
      <c r="B2208" t="inlineStr">
        <is>
          <t>Talente</t>
        </is>
      </c>
      <c r="C2208" t="inlineStr">
        <is>
          <t>Geweihter von Lloth, Orthodox – Gesalbter</t>
        </is>
      </c>
      <c r="F2208" t="inlineStr">
        <is>
          <t>Geweihte</t>
        </is>
      </c>
      <c r="G2208" t="inlineStr">
        <is>
          <t>Auswahl</t>
        </is>
      </c>
      <c r="L2208" t="n">
        <v>5</v>
      </c>
      <c r="Q2208" t="inlineStr">
        <is>
          <t>Dieser Charakter ist Geweihter von Lloth, Orthodox (Geweihtengrad 6: Gesalbter).</t>
        </is>
      </c>
    </row>
    <row r="2209" hidden="1" ht="15.75" customHeight="1" s="48">
      <c r="A2209" t="inlineStr">
        <is>
          <t>talente_geweihter_lloth_stufe_7_orthodox</t>
        </is>
      </c>
      <c r="B2209" t="inlineStr">
        <is>
          <t>Talente</t>
        </is>
      </c>
      <c r="C2209" t="inlineStr">
        <is>
          <t>Geweihter von Lloth, Orthodox – Heiliger</t>
        </is>
      </c>
      <c r="F2209" t="inlineStr">
        <is>
          <t>Geweihte</t>
        </is>
      </c>
      <c r="G2209" t="inlineStr">
        <is>
          <t>Auswahl</t>
        </is>
      </c>
      <c r="L2209" t="n">
        <v>5</v>
      </c>
      <c r="Q2209" t="inlineStr">
        <is>
          <t>Dieser Charakter ist Geweihter von Lloth, Orthodox (Geweihtengrad 7: Heiliger).</t>
        </is>
      </c>
    </row>
    <row r="2210" hidden="1" ht="15.75" customHeight="1" s="48">
      <c r="A2210" t="inlineStr">
        <is>
          <t>talente_geweihter_khartazh_stufe_2_orthodox</t>
        </is>
      </c>
      <c r="B2210" t="inlineStr">
        <is>
          <t>Talente</t>
        </is>
      </c>
      <c r="C2210" t="inlineStr">
        <is>
          <t>Geweihter von Khartazh, Orthodox – Minderer</t>
        </is>
      </c>
      <c r="F2210" t="inlineStr">
        <is>
          <t>Geweihte</t>
        </is>
      </c>
      <c r="G2210" t="inlineStr">
        <is>
          <t>Auswahl</t>
        </is>
      </c>
      <c r="L2210" t="n">
        <v>5</v>
      </c>
      <c r="Q2210" t="inlineStr">
        <is>
          <t>Dieser Charakter ist Geweihter von Khartazh, Orthodox (Geweihtengrad 2: Minderer).</t>
        </is>
      </c>
    </row>
    <row r="2211" hidden="1" ht="15.75" customHeight="1" s="48">
      <c r="A2211" t="inlineStr">
        <is>
          <t>talente_geweihter_khartazh_stufe_3_orthodox</t>
        </is>
      </c>
      <c r="B2211" t="inlineStr">
        <is>
          <t>Talente</t>
        </is>
      </c>
      <c r="C2211" t="inlineStr">
        <is>
          <t>Geweihter von Khartazh, Orthodox – Konfirmierter</t>
        </is>
      </c>
      <c r="F2211" t="inlineStr">
        <is>
          <t>Geweihte</t>
        </is>
      </c>
      <c r="G2211" t="inlineStr">
        <is>
          <t>Auswahl</t>
        </is>
      </c>
      <c r="L2211" t="n">
        <v>5</v>
      </c>
      <c r="Q2211" t="inlineStr">
        <is>
          <t>Dieser Charakter ist Geweihter von Khartazh, Orthodox (Geweihtengrad 3: Konfirmierter).</t>
        </is>
      </c>
    </row>
    <row r="2212" hidden="1" ht="15.75" customHeight="1" s="48">
      <c r="A2212" t="inlineStr">
        <is>
          <t>talente_geweihter_khartazh_stufe_4_orthodox</t>
        </is>
      </c>
      <c r="B2212" t="inlineStr">
        <is>
          <t>Talente</t>
        </is>
      </c>
      <c r="C2212" t="inlineStr">
        <is>
          <t>Geweihter von Khartazh, Orthodox – Etablierter</t>
        </is>
      </c>
      <c r="F2212" t="inlineStr">
        <is>
          <t>Geweihte</t>
        </is>
      </c>
      <c r="G2212" t="inlineStr">
        <is>
          <t>Auswahl</t>
        </is>
      </c>
      <c r="L2212" t="n">
        <v>5</v>
      </c>
      <c r="Q2212" t="inlineStr">
        <is>
          <t>Dieser Charakter ist Geweihter von Khartazh, Orthodox (Geweihtengrad 4: Etablierter).</t>
        </is>
      </c>
    </row>
    <row r="2213" hidden="1" ht="15.75" customHeight="1" s="48">
      <c r="A2213" t="inlineStr">
        <is>
          <t>talente_geweihter_khartazh_stufe_5_orthodox</t>
        </is>
      </c>
      <c r="B2213" t="inlineStr">
        <is>
          <t>Talente</t>
        </is>
      </c>
      <c r="C2213" t="inlineStr">
        <is>
          <t>Geweihter von Khartazh, Orthodox – Angesehener</t>
        </is>
      </c>
      <c r="F2213" t="inlineStr">
        <is>
          <t>Geweihte</t>
        </is>
      </c>
      <c r="G2213" t="inlineStr">
        <is>
          <t>Auswahl</t>
        </is>
      </c>
      <c r="L2213" t="n">
        <v>5</v>
      </c>
      <c r="Q2213" t="inlineStr">
        <is>
          <t>Dieser Charakter ist Geweihter von Khartazh, Orthodox (Geweihtengrad 5: Angesehener).</t>
        </is>
      </c>
    </row>
    <row r="2214" hidden="1" ht="15.75" customHeight="1" s="48">
      <c r="A2214" t="inlineStr">
        <is>
          <t>talente_geweihter_khartazh_stufe_6_orthodox</t>
        </is>
      </c>
      <c r="B2214" t="inlineStr">
        <is>
          <t>Talente</t>
        </is>
      </c>
      <c r="C2214" t="inlineStr">
        <is>
          <t>Geweihter von Khartazh, Orthodox – Gesalbter</t>
        </is>
      </c>
      <c r="F2214" t="inlineStr">
        <is>
          <t>Geweihte</t>
        </is>
      </c>
      <c r="G2214" t="inlineStr">
        <is>
          <t>Auswahl</t>
        </is>
      </c>
      <c r="L2214" t="n">
        <v>5</v>
      </c>
      <c r="Q2214" t="inlineStr">
        <is>
          <t>Dieser Charakter ist Geweihter von Khartazh, Orthodox (Geweihtengrad 6: Gesalbter).</t>
        </is>
      </c>
    </row>
    <row r="2215" hidden="1" ht="15.75" customHeight="1" s="48">
      <c r="A2215" t="inlineStr">
        <is>
          <t>talente_geweihter_khartazh_stufe_7_orthodox</t>
        </is>
      </c>
      <c r="B2215" t="inlineStr">
        <is>
          <t>Talente</t>
        </is>
      </c>
      <c r="C2215" t="inlineStr">
        <is>
          <t>Geweihter von Khartazh, Orthodox – Heiliger</t>
        </is>
      </c>
      <c r="F2215" t="inlineStr">
        <is>
          <t>Geweihte</t>
        </is>
      </c>
      <c r="G2215" t="inlineStr">
        <is>
          <t>Auswahl</t>
        </is>
      </c>
      <c r="L2215" t="n">
        <v>5</v>
      </c>
      <c r="Q2215" t="inlineStr">
        <is>
          <t>Dieser Charakter ist Geweihter von Khartazh, Orthodox (Geweihtengrad 7: Heiliger).</t>
        </is>
      </c>
    </row>
    <row r="2216" hidden="1" ht="15.75" customHeight="1" s="48">
      <c r="A2216" t="inlineStr">
        <is>
          <t>talente_geweihter_nomna_stufe_2_orthodox</t>
        </is>
      </c>
      <c r="B2216" t="inlineStr">
        <is>
          <t>Talente</t>
        </is>
      </c>
      <c r="C2216" t="inlineStr">
        <is>
          <t>Geweihter von Nomna, Orthodox – Minderer</t>
        </is>
      </c>
      <c r="F2216" t="inlineStr">
        <is>
          <t>Geweihte</t>
        </is>
      </c>
      <c r="G2216" t="inlineStr">
        <is>
          <t>Auswahl</t>
        </is>
      </c>
      <c r="L2216" t="n">
        <v>5</v>
      </c>
      <c r="Q2216" t="inlineStr">
        <is>
          <t>Dieser Charakter ist Geweihter von Nomna, Orthodox (Geweihtengrad 2: Minderer).</t>
        </is>
      </c>
    </row>
    <row r="2217" hidden="1" ht="15.75" customHeight="1" s="48">
      <c r="A2217" t="inlineStr">
        <is>
          <t>talente_geweihter_nomna_stufe_3_orthodox</t>
        </is>
      </c>
      <c r="B2217" t="inlineStr">
        <is>
          <t>Talente</t>
        </is>
      </c>
      <c r="C2217" t="inlineStr">
        <is>
          <t>Geweihter von Nomna, Orthodox – Konfirmierter</t>
        </is>
      </c>
      <c r="F2217" t="inlineStr">
        <is>
          <t>Geweihte</t>
        </is>
      </c>
      <c r="G2217" t="inlineStr">
        <is>
          <t>Auswahl</t>
        </is>
      </c>
      <c r="L2217" t="n">
        <v>5</v>
      </c>
      <c r="Q2217" t="inlineStr">
        <is>
          <t>Dieser Charakter ist Geweihter von Nomna, Orthodox (Geweihtengrad 3: Konfirmierter).</t>
        </is>
      </c>
    </row>
    <row r="2218" hidden="1" ht="15.75" customHeight="1" s="48">
      <c r="A2218" t="inlineStr">
        <is>
          <t>talente_geweihter_nomna_stufe_4_orthodox</t>
        </is>
      </c>
      <c r="B2218" t="inlineStr">
        <is>
          <t>Talente</t>
        </is>
      </c>
      <c r="C2218" t="inlineStr">
        <is>
          <t>Geweihter von Nomna, Orthodox – Etablierter</t>
        </is>
      </c>
      <c r="F2218" t="inlineStr">
        <is>
          <t>Geweihte</t>
        </is>
      </c>
      <c r="G2218" t="inlineStr">
        <is>
          <t>Auswahl</t>
        </is>
      </c>
      <c r="L2218" t="n">
        <v>5</v>
      </c>
      <c r="Q2218" t="inlineStr">
        <is>
          <t>Dieser Charakter ist Geweihter von Nomna, Orthodox (Geweihtengrad 4: Etablierter).</t>
        </is>
      </c>
    </row>
    <row r="2219" hidden="1" ht="15.75" customHeight="1" s="48">
      <c r="A2219" t="inlineStr">
        <is>
          <t>talente_geweihter_nomna_stufe_5_orthodox</t>
        </is>
      </c>
      <c r="B2219" t="inlineStr">
        <is>
          <t>Talente</t>
        </is>
      </c>
      <c r="C2219" t="inlineStr">
        <is>
          <t>Geweihter von Nomna, Orthodox – Angesehener</t>
        </is>
      </c>
      <c r="F2219" t="inlineStr">
        <is>
          <t>Geweihte</t>
        </is>
      </c>
      <c r="G2219" t="inlineStr">
        <is>
          <t>Auswahl</t>
        </is>
      </c>
      <c r="L2219" t="n">
        <v>5</v>
      </c>
      <c r="Q2219" t="inlineStr">
        <is>
          <t>Dieser Charakter ist Geweihter von Nomna, Orthodox (Geweihtengrad 5: Angesehener).</t>
        </is>
      </c>
    </row>
    <row r="2220" hidden="1" ht="15.75" customHeight="1" s="48">
      <c r="A2220" t="inlineStr">
        <is>
          <t>talente_geweihter_nomna_stufe_6_orthodox</t>
        </is>
      </c>
      <c r="B2220" t="inlineStr">
        <is>
          <t>Talente</t>
        </is>
      </c>
      <c r="C2220" t="inlineStr">
        <is>
          <t>Geweihter von Nomna, Orthodox – Gesalbter</t>
        </is>
      </c>
      <c r="F2220" t="inlineStr">
        <is>
          <t>Geweihte</t>
        </is>
      </c>
      <c r="G2220" t="inlineStr">
        <is>
          <t>Auswahl</t>
        </is>
      </c>
      <c r="L2220" t="n">
        <v>5</v>
      </c>
      <c r="Q2220" t="inlineStr">
        <is>
          <t>Dieser Charakter ist Geweihter von Nomna, Orthodox (Geweihtengrad 6: Gesalbter).</t>
        </is>
      </c>
    </row>
    <row r="2221" hidden="1" ht="15.75" customHeight="1" s="48">
      <c r="A2221" t="inlineStr">
        <is>
          <t>talente_geweihter_nomna_stufe_7_orthodox</t>
        </is>
      </c>
      <c r="B2221" t="inlineStr">
        <is>
          <t>Talente</t>
        </is>
      </c>
      <c r="C2221" t="inlineStr">
        <is>
          <t>Geweihter von Nomna, Orthodox – Heiliger</t>
        </is>
      </c>
      <c r="F2221" t="inlineStr">
        <is>
          <t>Geweihte</t>
        </is>
      </c>
      <c r="G2221" t="inlineStr">
        <is>
          <t>Auswahl</t>
        </is>
      </c>
      <c r="L2221" t="n">
        <v>5</v>
      </c>
      <c r="Q2221" t="inlineStr">
        <is>
          <t>Dieser Charakter ist Geweihter von Nomna, Orthodox (Geweihtengrad 7: Heiliger).</t>
        </is>
      </c>
    </row>
    <row r="2222" hidden="1" ht="15.75" customHeight="1" s="48">
      <c r="A2222" t="inlineStr">
        <is>
          <t>talente_geweihter_tepod_stufe_2_orthodox</t>
        </is>
      </c>
      <c r="B2222" t="inlineStr">
        <is>
          <t>Talente</t>
        </is>
      </c>
      <c r="C2222" t="inlineStr">
        <is>
          <t>Geweihter von Tepod, Orthodox – Minderer</t>
        </is>
      </c>
      <c r="F2222" t="inlineStr">
        <is>
          <t>Geweihte</t>
        </is>
      </c>
      <c r="G2222" t="inlineStr">
        <is>
          <t>Auswahl</t>
        </is>
      </c>
      <c r="L2222" t="n">
        <v>5</v>
      </c>
      <c r="Q2222" t="inlineStr">
        <is>
          <t>Dieser Charakter ist Geweihter von Tepod, Orthodox (Geweihtengrad 2: Minderer).</t>
        </is>
      </c>
    </row>
    <row r="2223" hidden="1" ht="15.75" customHeight="1" s="48">
      <c r="A2223" t="inlineStr">
        <is>
          <t>talente_geweihter_tepod_stufe_3_orthodox</t>
        </is>
      </c>
      <c r="B2223" t="inlineStr">
        <is>
          <t>Talente</t>
        </is>
      </c>
      <c r="C2223" t="inlineStr">
        <is>
          <t>Geweihter von Tepod, Orthodox – Konfirmierter</t>
        </is>
      </c>
      <c r="F2223" t="inlineStr">
        <is>
          <t>Geweihte</t>
        </is>
      </c>
      <c r="G2223" t="inlineStr">
        <is>
          <t>Auswahl</t>
        </is>
      </c>
      <c r="L2223" t="n">
        <v>5</v>
      </c>
      <c r="Q2223" t="inlineStr">
        <is>
          <t>Dieser Charakter ist Geweihter von Tepod, Orthodox (Geweihtengrad 3: Konfirmierter).</t>
        </is>
      </c>
    </row>
    <row r="2224" hidden="1" ht="15.75" customHeight="1" s="48">
      <c r="A2224" t="inlineStr">
        <is>
          <t>talente_geweihter_tepod_stufe_4_orthodox</t>
        </is>
      </c>
      <c r="B2224" t="inlineStr">
        <is>
          <t>Talente</t>
        </is>
      </c>
      <c r="C2224" t="inlineStr">
        <is>
          <t>Geweihter von Tepod, Orthodox – Etablierter</t>
        </is>
      </c>
      <c r="F2224" t="inlineStr">
        <is>
          <t>Geweihte</t>
        </is>
      </c>
      <c r="G2224" t="inlineStr">
        <is>
          <t>Auswahl</t>
        </is>
      </c>
      <c r="L2224" t="n">
        <v>5</v>
      </c>
      <c r="Q2224" t="inlineStr">
        <is>
          <t>Dieser Charakter ist Geweihter von Tepod, Orthodox (Geweihtengrad 4: Etablierter).</t>
        </is>
      </c>
    </row>
    <row r="2225" hidden="1" ht="15.75" customHeight="1" s="48">
      <c r="A2225" t="inlineStr">
        <is>
          <t>talente_geweihter_tepod_stufe_5_orthodox</t>
        </is>
      </c>
      <c r="B2225" t="inlineStr">
        <is>
          <t>Talente</t>
        </is>
      </c>
      <c r="C2225" t="inlineStr">
        <is>
          <t>Geweihter von Tepod, Orthodox – Angesehener</t>
        </is>
      </c>
      <c r="F2225" t="inlineStr">
        <is>
          <t>Geweihte</t>
        </is>
      </c>
      <c r="G2225" t="inlineStr">
        <is>
          <t>Auswahl</t>
        </is>
      </c>
      <c r="L2225" t="n">
        <v>5</v>
      </c>
      <c r="Q2225" t="inlineStr">
        <is>
          <t>Dieser Charakter ist Geweihter von Tepod, Orthodox (Geweihtengrad 5: Angesehener).</t>
        </is>
      </c>
    </row>
    <row r="2226" hidden="1" ht="15.75" customHeight="1" s="48">
      <c r="A2226" t="inlineStr">
        <is>
          <t>talente_geweihter_tepod_stufe_6_orthodox</t>
        </is>
      </c>
      <c r="B2226" t="inlineStr">
        <is>
          <t>Talente</t>
        </is>
      </c>
      <c r="C2226" t="inlineStr">
        <is>
          <t>Geweihter von Tepod, Orthodox – Gesalbter</t>
        </is>
      </c>
      <c r="F2226" t="inlineStr">
        <is>
          <t>Geweihte</t>
        </is>
      </c>
      <c r="G2226" t="inlineStr">
        <is>
          <t>Auswahl</t>
        </is>
      </c>
      <c r="L2226" t="n">
        <v>5</v>
      </c>
      <c r="Q2226" t="inlineStr">
        <is>
          <t>Dieser Charakter ist Geweihter von Tepod, Orthodox (Geweihtengrad 6: Gesalbter).</t>
        </is>
      </c>
    </row>
    <row r="2227" hidden="1" ht="15.75" customHeight="1" s="48">
      <c r="A2227" t="inlineStr">
        <is>
          <t>talente_geweihter_tepod_stufe_7_orthodox</t>
        </is>
      </c>
      <c r="B2227" t="inlineStr">
        <is>
          <t>Talente</t>
        </is>
      </c>
      <c r="C2227" t="inlineStr">
        <is>
          <t>Geweihter von Tepod, Orthodox – Heiliger</t>
        </is>
      </c>
      <c r="F2227" t="inlineStr">
        <is>
          <t>Geweihte</t>
        </is>
      </c>
      <c r="G2227" t="inlineStr">
        <is>
          <t>Auswahl</t>
        </is>
      </c>
      <c r="L2227" t="n">
        <v>5</v>
      </c>
      <c r="Q2227" t="inlineStr">
        <is>
          <t>Dieser Charakter ist Geweihter von Tepod, Orthodox (Geweihtengrad 7: Heiliger).</t>
        </is>
      </c>
    </row>
    <row r="2228" hidden="1" ht="15.75" customHeight="1" s="48">
      <c r="A2228" t="inlineStr">
        <is>
          <t>talente_geweihter_isch_stufe_2_orthodox</t>
        </is>
      </c>
      <c r="B2228" t="inlineStr">
        <is>
          <t>Talente</t>
        </is>
      </c>
      <c r="C2228" t="inlineStr">
        <is>
          <t>Geweihter von Isch, Orthodox – Minderer</t>
        </is>
      </c>
      <c r="F2228" t="inlineStr">
        <is>
          <t>Geweihte</t>
        </is>
      </c>
      <c r="G2228" t="inlineStr">
        <is>
          <t>Auswahl</t>
        </is>
      </c>
      <c r="L2228" t="n">
        <v>5</v>
      </c>
      <c r="Q2228" t="inlineStr">
        <is>
          <t>Dieser Charakter ist Geweihter von Isch, Orthodox (Geweihtengrad 2: Minderer).</t>
        </is>
      </c>
    </row>
    <row r="2229" hidden="1" ht="15.75" customHeight="1" s="48">
      <c r="A2229" t="inlineStr">
        <is>
          <t>talente_geweihter_isch_stufe_3_orthodox</t>
        </is>
      </c>
      <c r="B2229" t="inlineStr">
        <is>
          <t>Talente</t>
        </is>
      </c>
      <c r="C2229" t="inlineStr">
        <is>
          <t>Geweihter von Isch, Orthodox – Konfirmierter</t>
        </is>
      </c>
      <c r="F2229" t="inlineStr">
        <is>
          <t>Geweihte</t>
        </is>
      </c>
      <c r="G2229" t="inlineStr">
        <is>
          <t>Auswahl</t>
        </is>
      </c>
      <c r="L2229" t="n">
        <v>5</v>
      </c>
      <c r="Q2229" t="inlineStr">
        <is>
          <t>Dieser Charakter ist Geweihter von Isch, Orthodox (Geweihtengrad 3: Konfirmierter).</t>
        </is>
      </c>
    </row>
    <row r="2230" hidden="1" ht="15.75" customHeight="1" s="48">
      <c r="A2230" t="inlineStr">
        <is>
          <t>talente_geweihter_isch_stufe_4_orthodox</t>
        </is>
      </c>
      <c r="B2230" t="inlineStr">
        <is>
          <t>Talente</t>
        </is>
      </c>
      <c r="C2230" t="inlineStr">
        <is>
          <t>Geweihter von Isch, Orthodox – Etablierter</t>
        </is>
      </c>
      <c r="F2230" t="inlineStr">
        <is>
          <t>Geweihte</t>
        </is>
      </c>
      <c r="G2230" t="inlineStr">
        <is>
          <t>Auswahl</t>
        </is>
      </c>
      <c r="L2230" t="n">
        <v>5</v>
      </c>
      <c r="Q2230" t="inlineStr">
        <is>
          <t>Dieser Charakter ist Geweihter von Isch, Orthodox (Geweihtengrad 4: Etablierter).</t>
        </is>
      </c>
    </row>
    <row r="2231" hidden="1" ht="15.75" customHeight="1" s="48">
      <c r="A2231" t="inlineStr">
        <is>
          <t>talente_geweihter_isch_stufe_5_orthodox</t>
        </is>
      </c>
      <c r="B2231" t="inlineStr">
        <is>
          <t>Talente</t>
        </is>
      </c>
      <c r="C2231" t="inlineStr">
        <is>
          <t>Geweihter von Isch, Orthodox – Angesehener</t>
        </is>
      </c>
      <c r="F2231" t="inlineStr">
        <is>
          <t>Geweihte</t>
        </is>
      </c>
      <c r="G2231" t="inlineStr">
        <is>
          <t>Auswahl</t>
        </is>
      </c>
      <c r="L2231" t="n">
        <v>5</v>
      </c>
      <c r="Q2231" t="inlineStr">
        <is>
          <t>Dieser Charakter ist Geweihter von Isch, Orthodox (Geweihtengrad 5: Angesehener).</t>
        </is>
      </c>
    </row>
    <row r="2232" hidden="1" ht="15.75" customHeight="1" s="48">
      <c r="A2232" t="inlineStr">
        <is>
          <t>talente_geweihter_isch_stufe_6_orthodox</t>
        </is>
      </c>
      <c r="B2232" t="inlineStr">
        <is>
          <t>Talente</t>
        </is>
      </c>
      <c r="C2232" t="inlineStr">
        <is>
          <t>Geweihter von Isch, Orthodox – Gesalbter</t>
        </is>
      </c>
      <c r="F2232" t="inlineStr">
        <is>
          <t>Geweihte</t>
        </is>
      </c>
      <c r="G2232" t="inlineStr">
        <is>
          <t>Auswahl</t>
        </is>
      </c>
      <c r="L2232" t="n">
        <v>5</v>
      </c>
      <c r="Q2232" t="inlineStr">
        <is>
          <t>Dieser Charakter ist Geweihter von Isch, Orthodox (Geweihtengrad 6: Gesalbter).</t>
        </is>
      </c>
    </row>
    <row r="2233" hidden="1" ht="15.75" customHeight="1" s="48">
      <c r="A2233" t="inlineStr">
        <is>
          <t>talente_geweihter_isch_stufe_7_orthodox</t>
        </is>
      </c>
      <c r="B2233" t="inlineStr">
        <is>
          <t>Talente</t>
        </is>
      </c>
      <c r="C2233" t="inlineStr">
        <is>
          <t>Geweihter von Isch, Orthodox – Heiliger</t>
        </is>
      </c>
      <c r="F2233" t="inlineStr">
        <is>
          <t>Geweihte</t>
        </is>
      </c>
      <c r="G2233" t="inlineStr">
        <is>
          <t>Auswahl</t>
        </is>
      </c>
      <c r="L2233" t="n">
        <v>5</v>
      </c>
      <c r="Q2233" t="inlineStr">
        <is>
          <t>Dieser Charakter ist Geweihter von Isch, Orthodox (Geweihtengrad 7: Heiliger).</t>
        </is>
      </c>
    </row>
    <row r="2234" hidden="1" ht="15.75" customHeight="1" s="48">
      <c r="A2234" t="inlineStr">
        <is>
          <t>talente_geweihte_gute_wunder_stufe_1</t>
        </is>
      </c>
      <c r="B2234" t="inlineStr">
        <is>
          <t>Talente</t>
        </is>
      </c>
      <c r="C2234" t="inlineStr">
        <is>
          <t>Gute Wunder Stufe 1</t>
        </is>
      </c>
      <c r="F2234" t="inlineStr">
        <is>
          <t>Geweihte</t>
        </is>
      </c>
      <c r="G2234" t="inlineStr">
        <is>
          <t>Auswahl</t>
        </is>
      </c>
      <c r="L2234" t="n">
        <v>15</v>
      </c>
      <c r="Q2234" t="inlineStr">
        <is>
          <t>Ersetzt die gute Wunder-Probe durch Karma. Die höchstmögliche Gute ist Normale : 2.</t>
        </is>
      </c>
    </row>
    <row r="2235" hidden="1" ht="15.75" customHeight="1" s="48">
      <c r="A2235" t="inlineStr">
        <is>
          <t>talente_geweihte_gute_wunder_stufe_2</t>
        </is>
      </c>
      <c r="B2235" t="inlineStr">
        <is>
          <t>Talente</t>
        </is>
      </c>
      <c r="C2235" t="inlineStr">
        <is>
          <t>Gute Wunder Stufe 2</t>
        </is>
      </c>
      <c r="F2235" t="inlineStr">
        <is>
          <t>Geweihte</t>
        </is>
      </c>
      <c r="G2235" t="inlineStr">
        <is>
          <t>Auswahl</t>
        </is>
      </c>
      <c r="L2235" t="n">
        <v>20</v>
      </c>
      <c r="Q2235" t="inlineStr">
        <is>
          <t>Ersetzt die gute Wunder-Probe durch Karma + Aura. Die höchstmögliche Gute ist Normale : 2.</t>
        </is>
      </c>
    </row>
    <row r="2236">
      <c r="A2236" t="inlineStr">
        <is>
          <t>gr_krankheitsresistenz</t>
        </is>
      </c>
      <c r="B2236" t="inlineStr">
        <is>
          <t>Grundfertigkeit</t>
        </is>
      </c>
      <c r="C2236" t="inlineStr">
        <is>
          <t>Krankheitsresistenz</t>
        </is>
      </c>
      <c r="E2236" t="inlineStr">
        <is>
          <t>Nur mit dem Vorteil „GF: Krankheitsresistenz“ verfügbar. Maximum 12.</t>
        </is>
      </c>
      <c r="G2236" t="inlineStr">
        <is>
          <t>Wert</t>
        </is>
      </c>
      <c r="J2236" t="inlineStr">
        <is>
          <t>VORAUSSETZUNG_VORTEIL=vn_gf_krankheitsresistenz | MAXIMUM=12</t>
        </is>
      </c>
      <c r="L2236" t="inlineStr">
        <is>
          <t>wert*9</t>
        </is>
      </c>
    </row>
    <row r="2237">
      <c r="A2237" t="inlineStr">
        <is>
          <t>vn_sicht_blinder_kampf_2</t>
        </is>
      </c>
      <c r="B2237" t="inlineStr">
        <is>
          <t>Vor- und Nachteile</t>
        </is>
      </c>
      <c r="C2237" t="inlineStr">
        <is>
          <t>Sicht: Blinder Kampf II</t>
        </is>
      </c>
      <c r="E2237" t="inlineStr">
        <is>
          <t>Zwölfstufige Vorteilskette; kein Blindheitsrabatt auf diese Stufe.</t>
        </is>
      </c>
      <c r="F2237" t="inlineStr">
        <is>
          <t>Blinder Kampf</t>
        </is>
      </c>
      <c r="G2237" t="inlineStr">
        <is>
          <t>Auswahl</t>
        </is>
      </c>
      <c r="J2237" t="inlineStr">
        <is>
          <t>VORAUSSETZUNG=vn_sicht_blinder_kampf_i | BLINDER_KAMPF_STUFE=2</t>
        </is>
      </c>
      <c r="K2237" t="n">
        <v>2</v>
      </c>
      <c r="L2237" t="n">
        <v>25</v>
      </c>
      <c r="M2237" t="inlineStr">
        <is>
          <t>E</t>
        </is>
      </c>
      <c r="Q2237" t="inlineStr">
        <is>
          <t>Voraussetzung Blinder Kampf I. Durch Blindheit und Lichtverhältnisse verursachte Sichterschwerungen werden um insgesamt 2 reduziert, höchstens bis 0. Andere Sichterschwerungen gelten unverändert.</t>
        </is>
      </c>
    </row>
    <row r="2238">
      <c r="A2238" t="inlineStr">
        <is>
          <t>vn_sicht_blinder_kampf_3</t>
        </is>
      </c>
      <c r="B2238" t="inlineStr">
        <is>
          <t>Vor- und Nachteile</t>
        </is>
      </c>
      <c r="C2238" t="inlineStr">
        <is>
          <t>Sicht: Blinder Kampf III</t>
        </is>
      </c>
      <c r="E2238" t="inlineStr">
        <is>
          <t>Zwölfstufige Vorteilskette; kein Blindheitsrabatt auf diese Stufe.</t>
        </is>
      </c>
      <c r="F2238" t="inlineStr">
        <is>
          <t>Blinder Kampf</t>
        </is>
      </c>
      <c r="G2238" t="inlineStr">
        <is>
          <t>Auswahl</t>
        </is>
      </c>
      <c r="J2238" t="inlineStr">
        <is>
          <t>VORAUSSETZUNG=vn_sicht_blinder_kampf_2 | BLINDER_KAMPF_STUFE=3</t>
        </is>
      </c>
      <c r="K2238" t="n">
        <v>3</v>
      </c>
      <c r="L2238" t="n">
        <v>25</v>
      </c>
      <c r="M2238" t="inlineStr">
        <is>
          <t>E</t>
        </is>
      </c>
      <c r="Q2238" t="inlineStr">
        <is>
          <t>Voraussetzung Blinder Kampf II. Durch Blindheit und Lichtverhältnisse verursachte Sichterschwerungen werden um insgesamt 3 reduziert, höchstens bis 0. Andere Sichterschwerungen gelten unverändert.</t>
        </is>
      </c>
    </row>
    <row r="2239">
      <c r="A2239" t="inlineStr">
        <is>
          <t>vn_sicht_blinder_kampf_4</t>
        </is>
      </c>
      <c r="B2239" t="inlineStr">
        <is>
          <t>Vor- und Nachteile</t>
        </is>
      </c>
      <c r="C2239" t="inlineStr">
        <is>
          <t>Sicht: Blinder Kampf IV</t>
        </is>
      </c>
      <c r="E2239" t="inlineStr">
        <is>
          <t>Zwölfstufige Vorteilskette; kein Blindheitsrabatt auf diese Stufe.</t>
        </is>
      </c>
      <c r="F2239" t="inlineStr">
        <is>
          <t>Blinder Kampf</t>
        </is>
      </c>
      <c r="G2239" t="inlineStr">
        <is>
          <t>Auswahl</t>
        </is>
      </c>
      <c r="J2239" t="inlineStr">
        <is>
          <t>VORAUSSETZUNG=vn_sicht_blinder_kampf_3 | BLINDER_KAMPF_STUFE=4</t>
        </is>
      </c>
      <c r="K2239" t="n">
        <v>4</v>
      </c>
      <c r="L2239" t="n">
        <v>25</v>
      </c>
      <c r="M2239" t="inlineStr">
        <is>
          <t>E</t>
        </is>
      </c>
      <c r="Q2239" t="inlineStr">
        <is>
          <t>Voraussetzung Blinder Kampf III. Durch Blindheit und Lichtverhältnisse verursachte Sichterschwerungen werden um insgesamt 4 reduziert, höchstens bis 0. Andere Sichterschwerungen gelten unverändert.</t>
        </is>
      </c>
    </row>
    <row r="2240">
      <c r="A2240" t="inlineStr">
        <is>
          <t>vn_sicht_blinder_kampf_5</t>
        </is>
      </c>
      <c r="B2240" t="inlineStr">
        <is>
          <t>Vor- und Nachteile</t>
        </is>
      </c>
      <c r="C2240" t="inlineStr">
        <is>
          <t>Sicht: Blinder Kampf V</t>
        </is>
      </c>
      <c r="E2240" t="inlineStr">
        <is>
          <t>Zwölfstufige Vorteilskette; kein Blindheitsrabatt auf diese Stufe.</t>
        </is>
      </c>
      <c r="F2240" t="inlineStr">
        <is>
          <t>Blinder Kampf</t>
        </is>
      </c>
      <c r="G2240" t="inlineStr">
        <is>
          <t>Auswahl</t>
        </is>
      </c>
      <c r="J2240" t="inlineStr">
        <is>
          <t>VORAUSSETZUNG=vn_sicht_blinder_kampf_4 | BLINDER_KAMPF_STUFE=5</t>
        </is>
      </c>
      <c r="K2240" t="n">
        <v>5</v>
      </c>
      <c r="L2240" t="n">
        <v>25</v>
      </c>
      <c r="M2240" t="inlineStr">
        <is>
          <t>E</t>
        </is>
      </c>
      <c r="Q2240" t="inlineStr">
        <is>
          <t>Voraussetzung Blinder Kampf IV. Durch Blindheit und Lichtverhältnisse verursachte Sichterschwerungen werden um insgesamt 5 reduziert, höchstens bis 0. Andere Sichterschwerungen gelten unverändert.</t>
        </is>
      </c>
    </row>
    <row r="2241">
      <c r="A2241" t="inlineStr">
        <is>
          <t>vn_sicht_blinder_kampf_6</t>
        </is>
      </c>
      <c r="B2241" t="inlineStr">
        <is>
          <t>Vor- und Nachteile</t>
        </is>
      </c>
      <c r="C2241" t="inlineStr">
        <is>
          <t>Sicht: Blinder Kampf VI</t>
        </is>
      </c>
      <c r="E2241" t="inlineStr">
        <is>
          <t>Zwölfstufige Vorteilskette; kein Blindheitsrabatt auf diese Stufe.</t>
        </is>
      </c>
      <c r="F2241" t="inlineStr">
        <is>
          <t>Blinder Kampf</t>
        </is>
      </c>
      <c r="G2241" t="inlineStr">
        <is>
          <t>Auswahl</t>
        </is>
      </c>
      <c r="J2241" t="inlineStr">
        <is>
          <t>VORAUSSETZUNG=vn_sicht_blinder_kampf_5 | BLINDER_KAMPF_STUFE=6</t>
        </is>
      </c>
      <c r="K2241" t="n">
        <v>6</v>
      </c>
      <c r="L2241" t="n">
        <v>25</v>
      </c>
      <c r="M2241" t="inlineStr">
        <is>
          <t>E</t>
        </is>
      </c>
      <c r="Q2241" t="inlineStr">
        <is>
          <t>Voraussetzung Blinder Kampf V. Durch Blindheit und Lichtverhältnisse verursachte Sichterschwerungen werden um insgesamt 6 reduziert, höchstens bis 0. Andere Sichterschwerungen gelten unverändert.</t>
        </is>
      </c>
    </row>
    <row r="2242">
      <c r="A2242" t="inlineStr">
        <is>
          <t>vn_sicht_blinder_kampf_7</t>
        </is>
      </c>
      <c r="B2242" t="inlineStr">
        <is>
          <t>Vor- und Nachteile</t>
        </is>
      </c>
      <c r="C2242" t="inlineStr">
        <is>
          <t>Sicht: Blinder Kampf VII</t>
        </is>
      </c>
      <c r="E2242" t="inlineStr">
        <is>
          <t>Zwölfstufige Vorteilskette; kein Blindheitsrabatt auf diese Stufe.</t>
        </is>
      </c>
      <c r="F2242" t="inlineStr">
        <is>
          <t>Blinder Kampf</t>
        </is>
      </c>
      <c r="G2242" t="inlineStr">
        <is>
          <t>Auswahl</t>
        </is>
      </c>
      <c r="J2242" t="inlineStr">
        <is>
          <t>VORAUSSETZUNG=vn_sicht_blinder_kampf_6 | BLINDER_KAMPF_STUFE=7</t>
        </is>
      </c>
      <c r="K2242" t="n">
        <v>7</v>
      </c>
      <c r="L2242" t="n">
        <v>25</v>
      </c>
      <c r="M2242" t="inlineStr">
        <is>
          <t>E</t>
        </is>
      </c>
      <c r="Q2242" t="inlineStr">
        <is>
          <t>Voraussetzung Blinder Kampf VI. Durch Blindheit und Lichtverhältnisse verursachte Sichterschwerungen werden um insgesamt 7 reduziert, höchstens bis 0. Andere Sichterschwerungen gelten unverändert.</t>
        </is>
      </c>
    </row>
    <row r="2243">
      <c r="A2243" t="inlineStr">
        <is>
          <t>vn_sicht_blinder_kampf_8</t>
        </is>
      </c>
      <c r="B2243" t="inlineStr">
        <is>
          <t>Vor- und Nachteile</t>
        </is>
      </c>
      <c r="C2243" t="inlineStr">
        <is>
          <t>Sicht: Blinder Kampf VIII</t>
        </is>
      </c>
      <c r="E2243" t="inlineStr">
        <is>
          <t>Zwölfstufige Vorteilskette; kein Blindheitsrabatt auf diese Stufe.</t>
        </is>
      </c>
      <c r="F2243" t="inlineStr">
        <is>
          <t>Blinder Kampf</t>
        </is>
      </c>
      <c r="G2243" t="inlineStr">
        <is>
          <t>Auswahl</t>
        </is>
      </c>
      <c r="J2243" t="inlineStr">
        <is>
          <t>VORAUSSETZUNG=vn_sicht_blinder_kampf_7 | BLINDER_KAMPF_STUFE=8</t>
        </is>
      </c>
      <c r="K2243" t="n">
        <v>8</v>
      </c>
      <c r="L2243" t="n">
        <v>25</v>
      </c>
      <c r="M2243" t="inlineStr">
        <is>
          <t>E</t>
        </is>
      </c>
      <c r="Q2243" t="inlineStr">
        <is>
          <t>Voraussetzung Blinder Kampf VII. Durch Blindheit und Lichtverhältnisse verursachte Sichterschwerungen werden um insgesamt 8 reduziert, höchstens bis 0. Andere Sichterschwerungen gelten unverändert.</t>
        </is>
      </c>
    </row>
    <row r="2244">
      <c r="A2244" t="inlineStr">
        <is>
          <t>vn_sicht_blinder_kampf_9</t>
        </is>
      </c>
      <c r="B2244" t="inlineStr">
        <is>
          <t>Vor- und Nachteile</t>
        </is>
      </c>
      <c r="C2244" t="inlineStr">
        <is>
          <t>Sicht: Blinder Kampf IX</t>
        </is>
      </c>
      <c r="E2244" t="inlineStr">
        <is>
          <t>Zwölfstufige Vorteilskette; kein Blindheitsrabatt auf diese Stufe.</t>
        </is>
      </c>
      <c r="F2244" t="inlineStr">
        <is>
          <t>Blinder Kampf</t>
        </is>
      </c>
      <c r="G2244" t="inlineStr">
        <is>
          <t>Auswahl</t>
        </is>
      </c>
      <c r="J2244" t="inlineStr">
        <is>
          <t>VORAUSSETZUNG=vn_sicht_blinder_kampf_8 | BLINDER_KAMPF_STUFE=9</t>
        </is>
      </c>
      <c r="K2244" t="n">
        <v>9</v>
      </c>
      <c r="L2244" t="n">
        <v>25</v>
      </c>
      <c r="M2244" t="inlineStr">
        <is>
          <t>E</t>
        </is>
      </c>
      <c r="Q2244" t="inlineStr">
        <is>
          <t>Voraussetzung Blinder Kampf VIII. Durch Blindheit und Lichtverhältnisse verursachte Sichterschwerungen werden um insgesamt 9 reduziert, höchstens bis 0. Andere Sichterschwerungen gelten unverändert.</t>
        </is>
      </c>
    </row>
    <row r="2245">
      <c r="A2245" t="inlineStr">
        <is>
          <t>vn_sicht_blinder_kampf_10</t>
        </is>
      </c>
      <c r="B2245" t="inlineStr">
        <is>
          <t>Vor- und Nachteile</t>
        </is>
      </c>
      <c r="C2245" t="inlineStr">
        <is>
          <t>Sicht: Blinder Kampf X</t>
        </is>
      </c>
      <c r="E2245" t="inlineStr">
        <is>
          <t>Zwölfstufige Vorteilskette; kein Blindheitsrabatt auf diese Stufe.</t>
        </is>
      </c>
      <c r="F2245" t="inlineStr">
        <is>
          <t>Blinder Kampf</t>
        </is>
      </c>
      <c r="G2245" t="inlineStr">
        <is>
          <t>Auswahl</t>
        </is>
      </c>
      <c r="J2245" t="inlineStr">
        <is>
          <t>VORAUSSETZUNG=vn_sicht_blinder_kampf_9 | BLINDER_KAMPF_STUFE=10</t>
        </is>
      </c>
      <c r="K2245" t="n">
        <v>10</v>
      </c>
      <c r="L2245" t="n">
        <v>25</v>
      </c>
      <c r="M2245" t="inlineStr">
        <is>
          <t>E</t>
        </is>
      </c>
      <c r="Q2245" t="inlineStr">
        <is>
          <t>Voraussetzung Blinder Kampf IX. Durch Blindheit und Lichtverhältnisse verursachte Sichterschwerungen werden um insgesamt 10 reduziert, höchstens bis 0. Andere Sichterschwerungen gelten unverändert.</t>
        </is>
      </c>
    </row>
    <row r="2246">
      <c r="A2246" t="inlineStr">
        <is>
          <t>vn_sicht_blinder_kampf_11</t>
        </is>
      </c>
      <c r="B2246" t="inlineStr">
        <is>
          <t>Vor- und Nachteile</t>
        </is>
      </c>
      <c r="C2246" t="inlineStr">
        <is>
          <t>Sicht: Blinder Kampf XI</t>
        </is>
      </c>
      <c r="E2246" t="inlineStr">
        <is>
          <t>Zwölfstufige Vorteilskette; kein Blindheitsrabatt auf diese Stufe.</t>
        </is>
      </c>
      <c r="F2246" t="inlineStr">
        <is>
          <t>Blinder Kampf</t>
        </is>
      </c>
      <c r="G2246" t="inlineStr">
        <is>
          <t>Auswahl</t>
        </is>
      </c>
      <c r="J2246" t="inlineStr">
        <is>
          <t>VORAUSSETZUNG=vn_sicht_blinder_kampf_10 | BLINDER_KAMPF_STUFE=11</t>
        </is>
      </c>
      <c r="K2246" t="n">
        <v>11</v>
      </c>
      <c r="L2246" t="n">
        <v>25</v>
      </c>
      <c r="M2246" t="inlineStr">
        <is>
          <t>E</t>
        </is>
      </c>
      <c r="Q2246" t="inlineStr">
        <is>
          <t>Voraussetzung Blinder Kampf X. Durch Blindheit und Lichtverhältnisse verursachte Sichterschwerungen werden um insgesamt 11 reduziert, höchstens bis 0. Andere Sichterschwerungen gelten unverändert.</t>
        </is>
      </c>
    </row>
    <row r="2247">
      <c r="A2247" t="inlineStr">
        <is>
          <t>vn_sicht_blinder_kampf_12</t>
        </is>
      </c>
      <c r="B2247" t="inlineStr">
        <is>
          <t>Vor- und Nachteile</t>
        </is>
      </c>
      <c r="C2247" t="inlineStr">
        <is>
          <t>Sicht: Blinder Kampf XII</t>
        </is>
      </c>
      <c r="E2247" t="inlineStr">
        <is>
          <t>Zwölfstufige Vorteilskette; kein Blindheitsrabatt auf diese Stufe.</t>
        </is>
      </c>
      <c r="F2247" t="inlineStr">
        <is>
          <t>Blinder Kampf</t>
        </is>
      </c>
      <c r="G2247" t="inlineStr">
        <is>
          <t>Auswahl</t>
        </is>
      </c>
      <c r="J2247" t="inlineStr">
        <is>
          <t>VORAUSSETZUNG=vn_sicht_blinder_kampf_11 | BLINDER_KAMPF_STUFE=12</t>
        </is>
      </c>
      <c r="K2247" t="n">
        <v>12</v>
      </c>
      <c r="L2247" t="n">
        <v>25</v>
      </c>
      <c r="M2247" t="inlineStr">
        <is>
          <t>E</t>
        </is>
      </c>
      <c r="Q2247" t="inlineStr">
        <is>
          <t>Voraussetzung Blinder Kampf XI. Durch Blindheit und Lichtverhältnisse verursachte Sichterschwerungen werden um insgesamt 12 reduziert, höchstens bis 0. Andere Sichterschwerungen gelten unverändert.</t>
        </is>
      </c>
    </row>
    <row r="2248">
      <c r="A2248" s="29" t="inlineStr">
        <is>
          <t>vn_sf_alchemieresistenz</t>
        </is>
      </c>
      <c r="B2248" s="11" t="inlineStr">
        <is>
          <t>Vor- und Nachteile</t>
        </is>
      </c>
      <c r="C2248" s="7" t="inlineStr">
        <is>
          <t>SF: Alchemieresistenz</t>
        </is>
      </c>
      <c r="G2248" s="11" t="inlineStr">
        <is>
          <t>Auswahl</t>
        </is>
      </c>
      <c r="J2248" t="inlineStr">
        <is>
          <t>SCHALTET_SONDERFERTIGKEIT_FREI=sf_alchemieresistenz</t>
        </is>
      </c>
      <c r="L2248" s="75" t="n">
        <v>120</v>
      </c>
      <c r="M2248" t="inlineStr">
        <is>
          <t>E</t>
        </is>
      </c>
      <c r="Q2248" t="inlineStr">
        <is>
          <t>Der Charakter erhält die Sonderfertigkeit Alchemieresistenz mit Max 12.</t>
        </is>
      </c>
    </row>
    <row r="2249">
      <c r="A2249" t="inlineStr">
        <is>
          <t>talente_gezielter_schlag</t>
        </is>
      </c>
      <c r="B2249" t="inlineStr">
        <is>
          <t>Talente</t>
        </is>
      </c>
      <c r="C2249" t="inlineStr">
        <is>
          <t>Gezielter Schlag</t>
        </is>
      </c>
      <c r="F2249" t="inlineStr">
        <is>
          <t>Krieger</t>
        </is>
      </c>
      <c r="G2249" t="inlineStr">
        <is>
          <t>Auswahl</t>
        </is>
      </c>
      <c r="L2249" t="n">
        <v>75</v>
      </c>
      <c r="Q2249" t="inlineStr">
        <is>
          <t>Ermöglicht es dem Krieger, sich die NK-AT-Probe um 3 zu erschweren, und dafür 2 TZ-Rerolls auf kritische TZ zu erhalten.</t>
        </is>
      </c>
    </row>
    <row xmlns="http://schemas.openxmlformats.org/spreadsheetml/2006/main" r="2250">
      <c xmlns="http://schemas.openxmlformats.org/spreadsheetml/2006/main" r="A2250" t="str">
        <v>whk_spez_ueberleben_kueste</v>
      </c>
      <c xmlns="http://schemas.openxmlformats.org/spreadsheetml/2006/main" r="B2250" t="str">
        <v>WHK</v>
      </c>
      <c xmlns="http://schemas.openxmlformats.org/spreadsheetml/2006/main" r="C2250" t="str">
        <v>-&gt; Küste</v>
      </c>
      <c xmlns="http://schemas.openxmlformats.org/spreadsheetml/2006/main" r="F2250" t="str">
        <v>Überleben</v>
      </c>
      <c xmlns="http://schemas.openxmlformats.org/spreadsheetml/2006/main" r="G2250" t="str">
        <v>Wert</v>
      </c>
      <c xmlns="http://schemas.openxmlformats.org/spreadsheetml/2006/main" r="L2250" t="str">
        <v>SVERWEIS(wert;'WHK-Spez-Kosten';3;1)</v>
      </c>
    </row>
    <row xmlns="http://schemas.openxmlformats.org/spreadsheetml/2006/main" r="2251">
      <c xmlns="http://schemas.openxmlformats.org/spreadsheetml/2006/main" r="A2251" t="str">
        <v>whk_spez_ueberleben_feuchtgebiete</v>
      </c>
      <c xmlns="http://schemas.openxmlformats.org/spreadsheetml/2006/main" r="B2251" t="str">
        <v>WHK</v>
      </c>
      <c xmlns="http://schemas.openxmlformats.org/spreadsheetml/2006/main" r="C2251" t="str">
        <v>-&gt; Feuchtgebiete</v>
      </c>
      <c xmlns="http://schemas.openxmlformats.org/spreadsheetml/2006/main" r="F2251" t="str">
        <v>Überleben</v>
      </c>
      <c xmlns="http://schemas.openxmlformats.org/spreadsheetml/2006/main" r="G2251" t="str">
        <v>Wert</v>
      </c>
      <c xmlns="http://schemas.openxmlformats.org/spreadsheetml/2006/main" r="L2251" t="str">
        <v>SVERWEIS(wert;'WHK-Spez-Kosten';3;1)</v>
      </c>
    </row>
    <row xmlns="http://schemas.openxmlformats.org/spreadsheetml/2006/main" r="2252">
      <c xmlns="http://schemas.openxmlformats.org/spreadsheetml/2006/main" r="A2252" t="str">
        <v>whk_spez_ueberleben_tundra</v>
      </c>
      <c xmlns="http://schemas.openxmlformats.org/spreadsheetml/2006/main" r="B2252" t="str">
        <v>WHK</v>
      </c>
      <c xmlns="http://schemas.openxmlformats.org/spreadsheetml/2006/main" r="C2252" t="str">
        <v>-&gt; Tundra</v>
      </c>
      <c xmlns="http://schemas.openxmlformats.org/spreadsheetml/2006/main" r="F2252" t="str">
        <v>Überleben</v>
      </c>
      <c xmlns="http://schemas.openxmlformats.org/spreadsheetml/2006/main" r="G2252" t="str">
        <v>Wert</v>
      </c>
      <c xmlns="http://schemas.openxmlformats.org/spreadsheetml/2006/main" r="L2252" t="str">
        <v>SVERWEIS(wert;'WHK-Spez-Kosten';3;1)</v>
      </c>
    </row>
  </sheetData>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106"/>
  <sheetViews>
    <sheetView showGridLines="0" workbookViewId="0">
      <selection activeCell="A1" sqref="A1"/>
    </sheetView>
  </sheetViews>
  <sheetFormatPr baseColWidth="10" defaultColWidth="9.140625" defaultRowHeight="15"/>
  <cols>
    <col width="31" customWidth="1" style="48" min="1" max="1"/>
    <col width="8" customWidth="1" style="48" min="2" max="2"/>
    <col width="14" customWidth="1" style="48" min="3" max="4"/>
    <col width="28" customWidth="1" style="48" min="5" max="6"/>
    <col width="68" customWidth="1" style="48" min="7" max="7"/>
    <col width="18" customWidth="1" style="48" min="8" max="9"/>
    <col width="9" customWidth="1" style="48" min="10" max="10"/>
    <col width="15" customWidth="1" style="48" min="11" max="14"/>
    <col width="22" customWidth="1" style="48" min="15" max="15"/>
    <col width="10" customWidth="1" style="48" min="16" max="16"/>
    <col width="36" customWidth="1" style="48" min="17" max="17"/>
  </cols>
  <sheetData>
    <row r="1" ht="30" customHeight="1" s="48">
      <c r="A1" s="72" t="inlineStr">
        <is>
          <t>Referenz</t>
        </is>
      </c>
      <c r="B1" s="73" t="inlineStr">
        <is>
          <t>Stufe</t>
        </is>
      </c>
      <c r="C1" s="73" t="inlineStr">
        <is>
          <t>Erschwerung</t>
        </is>
      </c>
      <c r="D1" s="73" t="inlineStr">
        <is>
          <t>MbS</t>
        </is>
      </c>
      <c r="E1" s="73" t="inlineStr">
        <is>
          <t>Wirkung</t>
        </is>
      </c>
      <c r="F1" s="73" t="inlineStr">
        <is>
          <t>Name</t>
        </is>
      </c>
      <c r="G1" s="73" t="inlineStr">
        <is>
          <t>Regeltext</t>
        </is>
      </c>
      <c r="H1" s="73" t="inlineStr">
        <is>
          <t>Aurabann</t>
        </is>
      </c>
      <c r="I1" s="73" t="inlineStr">
        <is>
          <t>Ziel</t>
        </is>
      </c>
      <c r="J1" s="73" t="inlineStr">
        <is>
          <t>Eig.</t>
        </is>
      </c>
      <c r="K1" s="73" t="inlineStr">
        <is>
          <t>RW</t>
        </is>
      </c>
      <c r="L1" s="73" t="inlineStr">
        <is>
          <t>VD</t>
        </is>
      </c>
      <c r="M1" s="73" t="inlineStr">
        <is>
          <t>ED</t>
        </is>
      </c>
      <c r="N1" s="73" t="inlineStr">
        <is>
          <t>W.dauer</t>
        </is>
      </c>
      <c r="O1" s="73" t="inlineStr">
        <is>
          <t>Erholungszeit EZ in KR</t>
        </is>
      </c>
      <c r="P1" s="73" t="inlineStr">
        <is>
          <t>MpZ</t>
        </is>
      </c>
      <c r="Q1" s="74" t="inlineStr">
        <is>
          <t>Quelle</t>
        </is>
      </c>
    </row>
    <row r="2" ht="39.59999847412109" customHeight="1" s="48">
      <c r="A2" s="60" t="inlineStr">
        <is>
          <t>psi_telekinetisches_geschoss</t>
        </is>
      </c>
      <c r="B2" s="69" t="n">
        <v>1</v>
      </c>
      <c r="C2" s="69" t="n">
        <v>3</v>
      </c>
      <c r="D2" s="69" t="n">
        <v>10</v>
      </c>
      <c r="E2" s="63" t="inlineStr">
        <is>
          <t>W4</t>
        </is>
      </c>
      <c r="F2" s="63" t="inlineStr">
        <is>
          <t>Telekinetisches Geschoss</t>
        </is>
      </c>
      <c r="G2" s="63" t="inlineStr">
        <is>
          <t xml:space="preserve">SP verteilt auf 3 TZ, Opfer wird um SP/2m zurückgeworfen. Körperbeherrschung+Athletik-Probe, um nicht zu stürzen. Auch Gegenstände werden zurückgeworfen. </t>
        </is>
      </c>
      <c r="H2" s="63" t="inlineStr">
        <is>
          <t>Kein Aurabann</t>
        </is>
      </c>
      <c r="I2" s="63" t="inlineStr">
        <is>
          <t>Aura</t>
        </is>
      </c>
      <c r="J2" s="69" t="inlineStr">
        <is>
          <t>Will</t>
        </is>
      </c>
      <c r="K2" s="69" t="inlineStr">
        <is>
          <t>(M)*2m</t>
        </is>
      </c>
      <c r="L2" s="69" t="inlineStr">
        <is>
          <t>ST sec</t>
        </is>
      </c>
      <c r="M2" s="69" t="inlineStr">
        <is>
          <t>sofort</t>
        </is>
      </c>
      <c r="N2" s="63" t="inlineStr">
        <is>
          <t>permanent</t>
        </is>
      </c>
      <c r="O2" s="63" t="n">
        <v>5</v>
      </c>
      <c r="P2" s="63" t="inlineStr">
        <is>
          <t>St</t>
        </is>
      </c>
      <c r="Q2" s="66" t="inlineStr">
        <is>
          <t>PSI_Magie_Zaubertabelle_1_421.xlsx</t>
        </is>
      </c>
    </row>
    <row r="3" ht="39.59999847412109" customHeight="1" s="48">
      <c r="A3" s="61" t="inlineStr">
        <is>
          <t>psi_telekinetisches_geschoss</t>
        </is>
      </c>
      <c r="B3" s="70" t="n">
        <v>2</v>
      </c>
      <c r="C3" s="70" t="n">
        <v>6</v>
      </c>
      <c r="D3" s="70" t="n">
        <v>20</v>
      </c>
      <c r="E3" s="64" t="inlineStr">
        <is>
          <t>W6</t>
        </is>
      </c>
      <c r="F3" s="64" t="inlineStr">
        <is>
          <t>Telekinetisches Geschoss</t>
        </is>
      </c>
      <c r="G3" s="64" t="inlineStr">
        <is>
          <t xml:space="preserve">SP verteilt auf 3 TZ, Opfer wird um SP/2m zurückgeworfen. Körperbeherrschung+Athletik-Probe, um nicht zu stürzen. Auch Gegenstände werden zurückgeworfen. </t>
        </is>
      </c>
      <c r="H3" s="64" t="inlineStr">
        <is>
          <t>Kein Aurabann</t>
        </is>
      </c>
      <c r="I3" s="64" t="inlineStr">
        <is>
          <t>Aura</t>
        </is>
      </c>
      <c r="J3" s="70" t="inlineStr">
        <is>
          <t>Will</t>
        </is>
      </c>
      <c r="K3" s="70" t="inlineStr">
        <is>
          <t>(M)*2m</t>
        </is>
      </c>
      <c r="L3" s="70" t="inlineStr">
        <is>
          <t>ST sec</t>
        </is>
      </c>
      <c r="M3" s="70" t="inlineStr">
        <is>
          <t>sofort</t>
        </is>
      </c>
      <c r="N3" s="64" t="inlineStr">
        <is>
          <t>permanent</t>
        </is>
      </c>
      <c r="O3" s="64" t="n">
        <v>5</v>
      </c>
      <c r="P3" s="64" t="inlineStr">
        <is>
          <t>St</t>
        </is>
      </c>
      <c r="Q3" s="67" t="inlineStr">
        <is>
          <t>PSI_Magie_Zaubertabelle_1_421.xlsx</t>
        </is>
      </c>
    </row>
    <row r="4" ht="39.59999847412109" customHeight="1" s="48">
      <c r="A4" s="61" t="inlineStr">
        <is>
          <t>psi_telekinetisches_geschoss</t>
        </is>
      </c>
      <c r="B4" s="70" t="n">
        <v>3</v>
      </c>
      <c r="C4" s="70" t="n">
        <v>9</v>
      </c>
      <c r="D4" s="70" t="n">
        <v>30</v>
      </c>
      <c r="E4" s="64" t="inlineStr">
        <is>
          <t>W8</t>
        </is>
      </c>
      <c r="F4" s="64" t="inlineStr">
        <is>
          <t>Telekinetisches Geschoss</t>
        </is>
      </c>
      <c r="G4" s="64" t="inlineStr">
        <is>
          <t xml:space="preserve">SP verteilt auf 3 TZ, Opfer wird um SP/2m zurückgeworfen. Körperbeherrschung+Athletik-Probe, um nicht zu stürzen. Auch Gegenstände werden zurückgeworfen. </t>
        </is>
      </c>
      <c r="H4" s="64" t="inlineStr">
        <is>
          <t>Kein Aurabann</t>
        </is>
      </c>
      <c r="I4" s="64" t="inlineStr">
        <is>
          <t>Aura</t>
        </is>
      </c>
      <c r="J4" s="70" t="inlineStr">
        <is>
          <t>Will</t>
        </is>
      </c>
      <c r="K4" s="70" t="inlineStr">
        <is>
          <t>(M)*2m</t>
        </is>
      </c>
      <c r="L4" s="70" t="inlineStr">
        <is>
          <t>ST sec</t>
        </is>
      </c>
      <c r="M4" s="70" t="inlineStr">
        <is>
          <t>sofort</t>
        </is>
      </c>
      <c r="N4" s="64" t="inlineStr">
        <is>
          <t>permanent</t>
        </is>
      </c>
      <c r="O4" s="64" t="n">
        <v>5</v>
      </c>
      <c r="P4" s="64" t="inlineStr">
        <is>
          <t>St</t>
        </is>
      </c>
      <c r="Q4" s="67" t="inlineStr">
        <is>
          <t>PSI_Magie_Zaubertabelle_1_421.xlsx</t>
        </is>
      </c>
    </row>
    <row r="5" ht="39.59999847412109" customHeight="1" s="48">
      <c r="A5" s="61" t="inlineStr">
        <is>
          <t>psi_telekinetisches_geschoss</t>
        </is>
      </c>
      <c r="B5" s="70" t="n">
        <v>4</v>
      </c>
      <c r="C5" s="70" t="n">
        <v>12</v>
      </c>
      <c r="D5" s="70" t="n">
        <v>40</v>
      </c>
      <c r="E5" s="64" t="inlineStr">
        <is>
          <t>W10</t>
        </is>
      </c>
      <c r="F5" s="64" t="inlineStr">
        <is>
          <t>Telekinetisches Geschoss</t>
        </is>
      </c>
      <c r="G5" s="64" t="inlineStr">
        <is>
          <t xml:space="preserve">SP verteilt auf 3 TZ, Opfer wird um SP/2m zurückgeworfen. Körperbeherrschung+Athletik-Probe, um nicht zu stürzen. Auch Gegenstände werden zurückgeworfen. </t>
        </is>
      </c>
      <c r="H5" s="64" t="inlineStr">
        <is>
          <t>Kein Aurabann</t>
        </is>
      </c>
      <c r="I5" s="64" t="inlineStr">
        <is>
          <t>Aura</t>
        </is>
      </c>
      <c r="J5" s="70" t="inlineStr">
        <is>
          <t>Will</t>
        </is>
      </c>
      <c r="K5" s="70" t="inlineStr">
        <is>
          <t>(M)*2m</t>
        </is>
      </c>
      <c r="L5" s="70" t="inlineStr">
        <is>
          <t>ST sec</t>
        </is>
      </c>
      <c r="M5" s="70" t="inlineStr">
        <is>
          <t>sofort</t>
        </is>
      </c>
      <c r="N5" s="64" t="inlineStr">
        <is>
          <t>permanent</t>
        </is>
      </c>
      <c r="O5" s="64" t="n">
        <v>5</v>
      </c>
      <c r="P5" s="64" t="inlineStr">
        <is>
          <t>St</t>
        </is>
      </c>
      <c r="Q5" s="67" t="inlineStr">
        <is>
          <t>PSI_Magie_Zaubertabelle_1_421.xlsx</t>
        </is>
      </c>
    </row>
    <row r="6" ht="39.59999847412109" customHeight="1" s="48">
      <c r="A6" s="61" t="inlineStr">
        <is>
          <t>psi_telekinetisches_geschoss</t>
        </is>
      </c>
      <c r="B6" s="70" t="n">
        <v>5</v>
      </c>
      <c r="C6" s="70" t="n">
        <v>15</v>
      </c>
      <c r="D6" s="70" t="n">
        <v>55</v>
      </c>
      <c r="E6" s="64" t="inlineStr">
        <is>
          <t>W12</t>
        </is>
      </c>
      <c r="F6" s="64" t="inlineStr">
        <is>
          <t>Telekinetisches Geschoss</t>
        </is>
      </c>
      <c r="G6" s="64" t="inlineStr">
        <is>
          <t xml:space="preserve">SP verteilt auf 3 TZ, Opfer wird um SP/2m zurückgeworfen. Körperbeherrschung+Athletik-Probe, um nicht zu stürzen. Auch Gegenstände werden zurückgeworfen. </t>
        </is>
      </c>
      <c r="H6" s="64" t="inlineStr">
        <is>
          <t>Kein Aurabann</t>
        </is>
      </c>
      <c r="I6" s="64" t="inlineStr">
        <is>
          <t>Aura</t>
        </is>
      </c>
      <c r="J6" s="70" t="inlineStr">
        <is>
          <t>Will</t>
        </is>
      </c>
      <c r="K6" s="70" t="inlineStr">
        <is>
          <t>(M)*2m</t>
        </is>
      </c>
      <c r="L6" s="70" t="inlineStr">
        <is>
          <t>ST sec</t>
        </is>
      </c>
      <c r="M6" s="70" t="inlineStr">
        <is>
          <t>sofort</t>
        </is>
      </c>
      <c r="N6" s="64" t="inlineStr">
        <is>
          <t>permanent</t>
        </is>
      </c>
      <c r="O6" s="64" t="n">
        <v>5</v>
      </c>
      <c r="P6" s="64" t="inlineStr">
        <is>
          <t>St</t>
        </is>
      </c>
      <c r="Q6" s="67" t="inlineStr">
        <is>
          <t>PSI_Magie_Zaubertabelle_1_421.xlsx</t>
        </is>
      </c>
    </row>
    <row r="7" ht="39.59999847412109" customHeight="1" s="48">
      <c r="A7" s="61" t="inlineStr">
        <is>
          <t>psi_telekinetisches_geschoss</t>
        </is>
      </c>
      <c r="B7" s="70" t="n">
        <v>6</v>
      </c>
      <c r="C7" s="70" t="n">
        <v>20</v>
      </c>
      <c r="D7" s="70" t="n">
        <v>75</v>
      </c>
      <c r="E7" s="64" t="inlineStr">
        <is>
          <t>W20</t>
        </is>
      </c>
      <c r="F7" s="64" t="inlineStr">
        <is>
          <t>Telekinetisches Geschoss</t>
        </is>
      </c>
      <c r="G7" s="64" t="inlineStr">
        <is>
          <t xml:space="preserve">SP verteilt auf 3 TZ, Opfer wird um SP/2m zurückgeworfen. Körperbeherrschung+Athletik-Probe, um nicht zu stürzen. Auch Gegenstände werden zurückgeworfen. </t>
        </is>
      </c>
      <c r="H7" s="64" t="inlineStr">
        <is>
          <t>Kein Aurabann</t>
        </is>
      </c>
      <c r="I7" s="64" t="inlineStr">
        <is>
          <t>Aura</t>
        </is>
      </c>
      <c r="J7" s="70" t="inlineStr">
        <is>
          <t>Will</t>
        </is>
      </c>
      <c r="K7" s="70" t="inlineStr">
        <is>
          <t>(M)*2m</t>
        </is>
      </c>
      <c r="L7" s="70" t="inlineStr">
        <is>
          <t>ST sec</t>
        </is>
      </c>
      <c r="M7" s="70" t="inlineStr">
        <is>
          <t>sofort</t>
        </is>
      </c>
      <c r="N7" s="64" t="inlineStr">
        <is>
          <t>permanent</t>
        </is>
      </c>
      <c r="O7" s="64" t="n">
        <v>5</v>
      </c>
      <c r="P7" s="64" t="inlineStr">
        <is>
          <t>St</t>
        </is>
      </c>
      <c r="Q7" s="67" t="inlineStr">
        <is>
          <t>PSI_Magie_Zaubertabelle_1_421.xlsx</t>
        </is>
      </c>
    </row>
    <row r="8" ht="39.59999847412109" customHeight="1" s="48">
      <c r="A8" s="61" t="inlineStr">
        <is>
          <t>psi_telekinetisches_geschoss</t>
        </is>
      </c>
      <c r="B8" s="70" t="n">
        <v>7</v>
      </c>
      <c r="C8" s="70" t="n">
        <v>30</v>
      </c>
      <c r="D8" s="70" t="n">
        <v>100</v>
      </c>
      <c r="E8" s="64" t="inlineStr">
        <is>
          <t>W30</t>
        </is>
      </c>
      <c r="F8" s="64" t="inlineStr">
        <is>
          <t>Telekinetisches Geschoss</t>
        </is>
      </c>
      <c r="G8" s="64" t="inlineStr">
        <is>
          <t xml:space="preserve">SP verteilt auf 3 TZ, Opfer wird um SP/2m zurückgeworfen. Körperbeherrschung+Athletik-Probe, um nicht zu stürzen. Auch Gegenstände werden zurückgeworfen. </t>
        </is>
      </c>
      <c r="H8" s="64" t="inlineStr">
        <is>
          <t>Kein Aurabann</t>
        </is>
      </c>
      <c r="I8" s="64" t="inlineStr">
        <is>
          <t>Aura</t>
        </is>
      </c>
      <c r="J8" s="70" t="inlineStr">
        <is>
          <t>Will</t>
        </is>
      </c>
      <c r="K8" s="70" t="inlineStr">
        <is>
          <t>(M)*2m</t>
        </is>
      </c>
      <c r="L8" s="70" t="inlineStr">
        <is>
          <t>ST sec</t>
        </is>
      </c>
      <c r="M8" s="70" t="inlineStr">
        <is>
          <t>sofort</t>
        </is>
      </c>
      <c r="N8" s="64" t="inlineStr">
        <is>
          <t>permanent</t>
        </is>
      </c>
      <c r="O8" s="64" t="n">
        <v>5</v>
      </c>
      <c r="P8" s="64" t="inlineStr">
        <is>
          <t>St</t>
        </is>
      </c>
      <c r="Q8" s="67" t="inlineStr">
        <is>
          <t>PSI_Magie_Zaubertabelle_1_421.xlsx</t>
        </is>
      </c>
    </row>
    <row r="9" ht="26.45000076293945" customHeight="1" s="48">
      <c r="A9" s="61" t="inlineStr">
        <is>
          <t>psi_pyrokinese</t>
        </is>
      </c>
      <c r="B9" s="70" t="n">
        <v>1</v>
      </c>
      <c r="C9" s="70" t="n">
        <v>4</v>
      </c>
      <c r="D9" s="70" t="n">
        <v>10</v>
      </c>
      <c r="E9" s="64" t="inlineStr">
        <is>
          <t>200° | Watte | +200°/s</t>
        </is>
      </c>
      <c r="F9" s="64" t="inlineStr">
        <is>
          <t>Pyrokinese</t>
        </is>
      </c>
      <c r="G9" s="64" t="inlineStr">
        <is>
          <t xml:space="preserve">Der Zauber erhitzt eine Kugel mit Radius (M) x 2 mm³. Gegenstände innerhalb der Kugel brennen nur weiter, wenn sie auch natürlich brennen würden. </t>
        </is>
      </c>
      <c r="H9" s="64" t="inlineStr">
        <is>
          <t>Aurabann</t>
        </is>
      </c>
      <c r="I9" s="64" t="inlineStr">
        <is>
          <t>Gegenstand</t>
        </is>
      </c>
      <c r="J9" s="70" t="inlineStr">
        <is>
          <t>Int</t>
        </is>
      </c>
      <c r="K9" s="70" t="inlineStr">
        <is>
          <t>(M) x m</t>
        </is>
      </c>
      <c r="L9" s="70" t="n">
        <v>1</v>
      </c>
      <c r="M9" s="70" t="inlineStr">
        <is>
          <t>ST sec</t>
        </is>
      </c>
      <c r="N9" s="64" t="inlineStr">
        <is>
          <t>ST sec</t>
        </is>
      </c>
      <c r="O9" s="64" t="n">
        <v>15</v>
      </c>
      <c r="P9" s="64" t="inlineStr">
        <is>
          <t>St</t>
        </is>
      </c>
      <c r="Q9" s="67" t="inlineStr">
        <is>
          <t>PSI_Magie_Zaubertabelle_1_421.xlsx</t>
        </is>
      </c>
    </row>
    <row r="10" ht="26.45000076293945" customHeight="1" s="48">
      <c r="A10" s="61" t="inlineStr">
        <is>
          <t>psi_pyrokinese</t>
        </is>
      </c>
      <c r="B10" s="70" t="n">
        <v>2</v>
      </c>
      <c r="C10" s="70" t="n">
        <v>7</v>
      </c>
      <c r="D10" s="70" t="n">
        <v>20</v>
      </c>
      <c r="E10" s="64" t="inlineStr">
        <is>
          <t>400° | Stoff | +200°/s</t>
        </is>
      </c>
      <c r="F10" s="64" t="inlineStr">
        <is>
          <t>Pyrokinese</t>
        </is>
      </c>
      <c r="G10" s="64" t="inlineStr">
        <is>
          <t xml:space="preserve">Der Zauber erhitzt eine Kugel mit Radius (M) x 2 mm³. Gegenstände innerhalb der Kugel brennen nur weiter, wenn sie auch natürlich brennen würden. </t>
        </is>
      </c>
      <c r="H10" s="64" t="inlineStr">
        <is>
          <t>Aurabann</t>
        </is>
      </c>
      <c r="I10" s="64" t="inlineStr">
        <is>
          <t>Gegenstand</t>
        </is>
      </c>
      <c r="J10" s="70" t="inlineStr">
        <is>
          <t>Int</t>
        </is>
      </c>
      <c r="K10" s="70" t="inlineStr">
        <is>
          <t>(M) x m</t>
        </is>
      </c>
      <c r="L10" s="70" t="n">
        <v>1</v>
      </c>
      <c r="M10" s="70" t="inlineStr">
        <is>
          <t>ST sec</t>
        </is>
      </c>
      <c r="N10" s="64" t="inlineStr">
        <is>
          <t>ST sec</t>
        </is>
      </c>
      <c r="O10" s="64" t="n">
        <v>15</v>
      </c>
      <c r="P10" s="64" t="inlineStr">
        <is>
          <t>St</t>
        </is>
      </c>
      <c r="Q10" s="67" t="inlineStr">
        <is>
          <t>PSI_Magie_Zaubertabelle_1_421.xlsx</t>
        </is>
      </c>
    </row>
    <row r="11" ht="26.45000076293945" customHeight="1" s="48">
      <c r="A11" s="61" t="inlineStr">
        <is>
          <t>psi_pyrokinese</t>
        </is>
      </c>
      <c r="B11" s="70" t="n">
        <v>3</v>
      </c>
      <c r="C11" s="70" t="n">
        <v>10</v>
      </c>
      <c r="D11" s="70" t="n">
        <v>30</v>
      </c>
      <c r="E11" s="64" t="inlineStr">
        <is>
          <t>800° | Holz | +266°/s</t>
        </is>
      </c>
      <c r="F11" s="64" t="inlineStr">
        <is>
          <t>Pyrokinese</t>
        </is>
      </c>
      <c r="G11" s="64" t="inlineStr">
        <is>
          <t xml:space="preserve">Der Zauber erhitzt eine Kugel mit Radius (M) x 2 mm³. Gegenstände innerhalb der Kugel brennen nur weiter, wenn sie auch natürlich brennen würden. </t>
        </is>
      </c>
      <c r="H11" s="64" t="inlineStr">
        <is>
          <t>Aurabann</t>
        </is>
      </c>
      <c r="I11" s="64" t="inlineStr">
        <is>
          <t>Gegenstand</t>
        </is>
      </c>
      <c r="J11" s="70" t="inlineStr">
        <is>
          <t>Int</t>
        </is>
      </c>
      <c r="K11" s="70" t="inlineStr">
        <is>
          <t>(M) x m</t>
        </is>
      </c>
      <c r="L11" s="70" t="n">
        <v>1</v>
      </c>
      <c r="M11" s="70" t="inlineStr">
        <is>
          <t>ST sec</t>
        </is>
      </c>
      <c r="N11" s="64" t="inlineStr">
        <is>
          <t>ST sec</t>
        </is>
      </c>
      <c r="O11" s="64" t="n">
        <v>15</v>
      </c>
      <c r="P11" s="64" t="inlineStr">
        <is>
          <t>St</t>
        </is>
      </c>
      <c r="Q11" s="67" t="inlineStr">
        <is>
          <t>PSI_Magie_Zaubertabelle_1_421.xlsx</t>
        </is>
      </c>
    </row>
    <row r="12" ht="26.45000076293945" customHeight="1" s="48">
      <c r="A12" s="61" t="inlineStr">
        <is>
          <t>psi_pyrokinese</t>
        </is>
      </c>
      <c r="B12" s="70" t="n">
        <v>4</v>
      </c>
      <c r="C12" s="70" t="n">
        <v>14</v>
      </c>
      <c r="D12" s="70" t="n">
        <v>45</v>
      </c>
      <c r="E12" s="64" t="inlineStr">
        <is>
          <t>1000° | Leder | +250°/s</t>
        </is>
      </c>
      <c r="F12" s="64" t="inlineStr">
        <is>
          <t>Pyrokinese</t>
        </is>
      </c>
      <c r="G12" s="64" t="inlineStr">
        <is>
          <t xml:space="preserve">Der Zauber erhitzt eine Kugel mit Radius (M) x 2 mm³. Gegenstände innerhalb der Kugel brennen nur weiter, wenn sie auch natürlich brennen würden. </t>
        </is>
      </c>
      <c r="H12" s="64" t="inlineStr">
        <is>
          <t>Aurabann</t>
        </is>
      </c>
      <c r="I12" s="64" t="inlineStr">
        <is>
          <t>Gegenstand</t>
        </is>
      </c>
      <c r="J12" s="70" t="inlineStr">
        <is>
          <t>Int</t>
        </is>
      </c>
      <c r="K12" s="70" t="inlineStr">
        <is>
          <t>(M) x m</t>
        </is>
      </c>
      <c r="L12" s="70" t="n">
        <v>1</v>
      </c>
      <c r="M12" s="70" t="inlineStr">
        <is>
          <t>ST sec</t>
        </is>
      </c>
      <c r="N12" s="64" t="inlineStr">
        <is>
          <t>ST sec</t>
        </is>
      </c>
      <c r="O12" s="64" t="n">
        <v>15</v>
      </c>
      <c r="P12" s="64" t="inlineStr">
        <is>
          <t>St</t>
        </is>
      </c>
      <c r="Q12" s="67" t="inlineStr">
        <is>
          <t>PSI_Magie_Zaubertabelle_1_421.xlsx</t>
        </is>
      </c>
    </row>
    <row r="13" ht="26.45000076293945" customHeight="1" s="48">
      <c r="A13" s="61" t="inlineStr">
        <is>
          <t>psi_pyrokinese</t>
        </is>
      </c>
      <c r="B13" s="70" t="n">
        <v>5</v>
      </c>
      <c r="C13" s="70" t="n">
        <v>18</v>
      </c>
      <c r="D13" s="70" t="n">
        <v>60</v>
      </c>
      <c r="E13" s="64" t="inlineStr">
        <is>
          <t>1200° | Guss | +240°/s</t>
        </is>
      </c>
      <c r="F13" s="64" t="inlineStr">
        <is>
          <t>Pyrokinese</t>
        </is>
      </c>
      <c r="G13" s="64" t="inlineStr">
        <is>
          <t xml:space="preserve">Der Zauber erhitzt eine Kugel mit Radius (M) x 2 mm³. Gegenstände innerhalb der Kugel brennen nur weiter, wenn sie auch natürlich brennen würden. </t>
        </is>
      </c>
      <c r="H13" s="64" t="inlineStr">
        <is>
          <t>Aurabann</t>
        </is>
      </c>
      <c r="I13" s="64" t="inlineStr">
        <is>
          <t>Gegenstand</t>
        </is>
      </c>
      <c r="J13" s="70" t="inlineStr">
        <is>
          <t>Int</t>
        </is>
      </c>
      <c r="K13" s="70" t="inlineStr">
        <is>
          <t>(M) x m</t>
        </is>
      </c>
      <c r="L13" s="70" t="n">
        <v>1</v>
      </c>
      <c r="M13" s="70" t="inlineStr">
        <is>
          <t>ST sec</t>
        </is>
      </c>
      <c r="N13" s="64" t="inlineStr">
        <is>
          <t>ST sec</t>
        </is>
      </c>
      <c r="O13" s="64" t="n">
        <v>15</v>
      </c>
      <c r="P13" s="64" t="inlineStr">
        <is>
          <t>St</t>
        </is>
      </c>
      <c r="Q13" s="67" t="inlineStr">
        <is>
          <t>PSI_Magie_Zaubertabelle_1_421.xlsx</t>
        </is>
      </c>
    </row>
    <row r="14" ht="26.45000076293945" customHeight="1" s="48">
      <c r="A14" s="61" t="inlineStr">
        <is>
          <t>psi_pyrokinese</t>
        </is>
      </c>
      <c r="B14" s="70" t="n">
        <v>6</v>
      </c>
      <c r="C14" s="70" t="n">
        <v>22</v>
      </c>
      <c r="D14" s="70" t="n">
        <v>80</v>
      </c>
      <c r="E14" s="64" t="inlineStr">
        <is>
          <t>2200° | Stahl | +366°/s</t>
        </is>
      </c>
      <c r="F14" s="64" t="inlineStr">
        <is>
          <t>Pyrokinese</t>
        </is>
      </c>
      <c r="G14" s="64" t="inlineStr">
        <is>
          <t xml:space="preserve">Der Zauber erhitzt eine Kugel mit Radius (M) x 2 mm³. Gegenstände innerhalb der Kugel brennen nur weiter, wenn sie auch natürlich brennen würden. </t>
        </is>
      </c>
      <c r="H14" s="64" t="inlineStr">
        <is>
          <t>Aurabann</t>
        </is>
      </c>
      <c r="I14" s="64" t="inlineStr">
        <is>
          <t>Gegenstand</t>
        </is>
      </c>
      <c r="J14" s="70" t="inlineStr">
        <is>
          <t>Int</t>
        </is>
      </c>
      <c r="K14" s="70" t="inlineStr">
        <is>
          <t>(M) x m</t>
        </is>
      </c>
      <c r="L14" s="70" t="n">
        <v>1</v>
      </c>
      <c r="M14" s="70" t="inlineStr">
        <is>
          <t>ST sec</t>
        </is>
      </c>
      <c r="N14" s="64" t="inlineStr">
        <is>
          <t>ST sec</t>
        </is>
      </c>
      <c r="O14" s="64" t="n">
        <v>15</v>
      </c>
      <c r="P14" s="64" t="inlineStr">
        <is>
          <t>St</t>
        </is>
      </c>
      <c r="Q14" s="67" t="inlineStr">
        <is>
          <t>PSI_Magie_Zaubertabelle_1_421.xlsx</t>
        </is>
      </c>
    </row>
    <row r="15" ht="26.45000076293945" customHeight="1" s="48">
      <c r="A15" s="61" t="inlineStr">
        <is>
          <t>psi_pyrokinese</t>
        </is>
      </c>
      <c r="B15" s="70" t="n">
        <v>7</v>
      </c>
      <c r="C15" s="70" t="n">
        <v>29</v>
      </c>
      <c r="D15" s="70" t="n">
        <v>100</v>
      </c>
      <c r="E15" s="64" t="inlineStr">
        <is>
          <t>3390° | Wolfram | +484°/s</t>
        </is>
      </c>
      <c r="F15" s="64" t="inlineStr">
        <is>
          <t>Pyrokinese</t>
        </is>
      </c>
      <c r="G15" s="64" t="inlineStr">
        <is>
          <t xml:space="preserve">Der Zauber erhitzt eine Kugel mit Radius (M) x 2 mm³. Gegenstände innerhalb der Kugel brennen nur weiter, wenn sie auch natürlich brennen würden. </t>
        </is>
      </c>
      <c r="H15" s="64" t="inlineStr">
        <is>
          <t>Aurabann</t>
        </is>
      </c>
      <c r="I15" s="64" t="inlineStr">
        <is>
          <t>Gegenstand</t>
        </is>
      </c>
      <c r="J15" s="70" t="inlineStr">
        <is>
          <t>Int</t>
        </is>
      </c>
      <c r="K15" s="70" t="inlineStr">
        <is>
          <t>(M) x m</t>
        </is>
      </c>
      <c r="L15" s="70" t="n">
        <v>1</v>
      </c>
      <c r="M15" s="70" t="inlineStr">
        <is>
          <t>ST sec</t>
        </is>
      </c>
      <c r="N15" s="64" t="inlineStr">
        <is>
          <t>ST sec</t>
        </is>
      </c>
      <c r="O15" s="64" t="n">
        <v>15</v>
      </c>
      <c r="P15" s="64" t="inlineStr">
        <is>
          <t>St</t>
        </is>
      </c>
      <c r="Q15" s="67" t="inlineStr">
        <is>
          <t>PSI_Magie_Zaubertabelle_1_421.xlsx</t>
        </is>
      </c>
    </row>
    <row r="16" ht="26.45000076293945" customHeight="1" s="48">
      <c r="A16" s="61" t="inlineStr">
        <is>
          <t>psi_kryokinese</t>
        </is>
      </c>
      <c r="B16" s="70" t="n">
        <v>1</v>
      </c>
      <c r="C16" s="70" t="n">
        <v>4</v>
      </c>
      <c r="D16" s="70" t="n">
        <v>10</v>
      </c>
      <c r="E16" s="64" t="inlineStr">
        <is>
          <t>-15° | -15°/s</t>
        </is>
      </c>
      <c r="F16" s="64" t="inlineStr">
        <is>
          <t>Kryokinese</t>
        </is>
      </c>
      <c r="G16" s="64" t="inlineStr">
        <is>
          <t>Der Zauber erhitzt eine Kugel mit Radius (M) x 2 mm³. Gegenstände innerhalb der Kugel bleiben gefroren, tauen aber natürlich auf.</t>
        </is>
      </c>
      <c r="H16" s="64" t="inlineStr">
        <is>
          <t>Aurabann</t>
        </is>
      </c>
      <c r="I16" s="64" t="inlineStr">
        <is>
          <t>Gegenstand</t>
        </is>
      </c>
      <c r="J16" s="70" t="inlineStr">
        <is>
          <t>Int</t>
        </is>
      </c>
      <c r="K16" s="70" t="inlineStr">
        <is>
          <t>(M) x m</t>
        </is>
      </c>
      <c r="L16" s="70" t="n">
        <v>1</v>
      </c>
      <c r="M16" s="70" t="inlineStr">
        <is>
          <t>ST sec</t>
        </is>
      </c>
      <c r="N16" s="64" t="inlineStr">
        <is>
          <t>ST sec</t>
        </is>
      </c>
      <c r="O16" s="64" t="n">
        <v>10</v>
      </c>
      <c r="P16" s="64" t="inlineStr">
        <is>
          <t>St</t>
        </is>
      </c>
      <c r="Q16" s="67" t="inlineStr">
        <is>
          <t>PSI_Magie_Zaubertabelle_1_421.xlsx</t>
        </is>
      </c>
    </row>
    <row r="17" ht="26.45000076293945" customHeight="1" s="48">
      <c r="A17" s="61" t="inlineStr">
        <is>
          <t>psi_kryokinese</t>
        </is>
      </c>
      <c r="B17" s="70" t="n">
        <v>2</v>
      </c>
      <c r="C17" s="70" t="n">
        <v>7</v>
      </c>
      <c r="D17" s="70" t="n">
        <v>20</v>
      </c>
      <c r="E17" s="64" t="inlineStr">
        <is>
          <t>-40° | -20°/s</t>
        </is>
      </c>
      <c r="F17" s="64" t="inlineStr">
        <is>
          <t>Kryokinese</t>
        </is>
      </c>
      <c r="G17" s="64" t="inlineStr">
        <is>
          <t>Der Zauber erhitzt eine Kugel mit Radius (M) x 2 mm³. Gegenstände innerhalb der Kugel bleiben gefroren, tauen aber natürlich auf.</t>
        </is>
      </c>
      <c r="H17" s="64" t="inlineStr">
        <is>
          <t>Aurabann</t>
        </is>
      </c>
      <c r="I17" s="64" t="inlineStr">
        <is>
          <t>Gegenstand</t>
        </is>
      </c>
      <c r="J17" s="70" t="inlineStr">
        <is>
          <t>Int</t>
        </is>
      </c>
      <c r="K17" s="70" t="inlineStr">
        <is>
          <t>(M) x m</t>
        </is>
      </c>
      <c r="L17" s="70" t="n">
        <v>1</v>
      </c>
      <c r="M17" s="70" t="inlineStr">
        <is>
          <t>ST sec</t>
        </is>
      </c>
      <c r="N17" s="64" t="inlineStr">
        <is>
          <t>ST sec</t>
        </is>
      </c>
      <c r="O17" s="64" t="n">
        <v>10</v>
      </c>
      <c r="P17" s="64" t="inlineStr">
        <is>
          <t>St</t>
        </is>
      </c>
      <c r="Q17" s="67" t="inlineStr">
        <is>
          <t>PSI_Magie_Zaubertabelle_1_421.xlsx</t>
        </is>
      </c>
    </row>
    <row r="18" ht="26.45000076293945" customHeight="1" s="48">
      <c r="A18" s="61" t="inlineStr">
        <is>
          <t>psi_kryokinese</t>
        </is>
      </c>
      <c r="B18" s="70" t="n">
        <v>3</v>
      </c>
      <c r="C18" s="70" t="n">
        <v>10</v>
      </c>
      <c r="D18" s="70" t="n">
        <v>30</v>
      </c>
      <c r="E18" s="64" t="inlineStr">
        <is>
          <t>-60° | -20°/s</t>
        </is>
      </c>
      <c r="F18" s="64" t="inlineStr">
        <is>
          <t>Kryokinese</t>
        </is>
      </c>
      <c r="G18" s="64" t="inlineStr">
        <is>
          <t>Der Zauber erhitzt eine Kugel mit Radius (M) x 2 mm³. Gegenstände innerhalb der Kugel bleiben gefroren, tauen aber natürlich auf.</t>
        </is>
      </c>
      <c r="H18" s="64" t="inlineStr">
        <is>
          <t>Aurabann</t>
        </is>
      </c>
      <c r="I18" s="64" t="inlineStr">
        <is>
          <t>Gegenstand</t>
        </is>
      </c>
      <c r="J18" s="70" t="inlineStr">
        <is>
          <t>Int</t>
        </is>
      </c>
      <c r="K18" s="70" t="inlineStr">
        <is>
          <t>(M) x m</t>
        </is>
      </c>
      <c r="L18" s="70" t="n">
        <v>1</v>
      </c>
      <c r="M18" s="70" t="inlineStr">
        <is>
          <t>ST sec</t>
        </is>
      </c>
      <c r="N18" s="64" t="inlineStr">
        <is>
          <t>ST sec</t>
        </is>
      </c>
      <c r="O18" s="64" t="n">
        <v>10</v>
      </c>
      <c r="P18" s="64" t="inlineStr">
        <is>
          <t>St</t>
        </is>
      </c>
      <c r="Q18" s="67" t="inlineStr">
        <is>
          <t>PSI_Magie_Zaubertabelle_1_421.xlsx</t>
        </is>
      </c>
    </row>
    <row r="19" ht="26.45000076293945" customHeight="1" s="48">
      <c r="A19" s="61" t="inlineStr">
        <is>
          <t>psi_kryokinese</t>
        </is>
      </c>
      <c r="B19" s="70" t="n">
        <v>4</v>
      </c>
      <c r="C19" s="70" t="n">
        <v>14</v>
      </c>
      <c r="D19" s="70" t="n">
        <v>45</v>
      </c>
      <c r="E19" s="64" t="inlineStr">
        <is>
          <t>-85° | -21°/s</t>
        </is>
      </c>
      <c r="F19" s="64" t="inlineStr">
        <is>
          <t>Kryokinese</t>
        </is>
      </c>
      <c r="G19" s="64" t="inlineStr">
        <is>
          <t>Der Zauber erhitzt eine Kugel mit Radius (M) x 2 mm³. Gegenstände innerhalb der Kugel bleiben gefroren, tauen aber natürlich auf.</t>
        </is>
      </c>
      <c r="H19" s="64" t="inlineStr">
        <is>
          <t>Aurabann</t>
        </is>
      </c>
      <c r="I19" s="64" t="inlineStr">
        <is>
          <t>Gegenstand</t>
        </is>
      </c>
      <c r="J19" s="70" t="inlineStr">
        <is>
          <t>Int</t>
        </is>
      </c>
      <c r="K19" s="70" t="inlineStr">
        <is>
          <t>(M) x m</t>
        </is>
      </c>
      <c r="L19" s="70" t="n">
        <v>1</v>
      </c>
      <c r="M19" s="70" t="inlineStr">
        <is>
          <t>ST sec</t>
        </is>
      </c>
      <c r="N19" s="64" t="inlineStr">
        <is>
          <t>ST sec</t>
        </is>
      </c>
      <c r="O19" s="64" t="n">
        <v>10</v>
      </c>
      <c r="P19" s="64" t="inlineStr">
        <is>
          <t>St</t>
        </is>
      </c>
      <c r="Q19" s="67" t="inlineStr">
        <is>
          <t>PSI_Magie_Zaubertabelle_1_421.xlsx</t>
        </is>
      </c>
    </row>
    <row r="20" ht="26.45000076293945" customHeight="1" s="48">
      <c r="A20" s="61" t="inlineStr">
        <is>
          <t>psi_kryokinese</t>
        </is>
      </c>
      <c r="B20" s="70" t="n">
        <v>5</v>
      </c>
      <c r="C20" s="70" t="n">
        <v>18</v>
      </c>
      <c r="D20" s="70" t="n">
        <v>60</v>
      </c>
      <c r="E20" s="64" t="inlineStr">
        <is>
          <t>-110° | -22°/s</t>
        </is>
      </c>
      <c r="F20" s="64" t="inlineStr">
        <is>
          <t>Kryokinese</t>
        </is>
      </c>
      <c r="G20" s="64" t="inlineStr">
        <is>
          <t>Der Zauber erhitzt eine Kugel mit Radius (M) x 2 mm³. Gegenstände innerhalb der Kugel bleiben gefroren, tauen aber natürlich auf.</t>
        </is>
      </c>
      <c r="H20" s="64" t="inlineStr">
        <is>
          <t>Aurabann</t>
        </is>
      </c>
      <c r="I20" s="64" t="inlineStr">
        <is>
          <t>Gegenstand</t>
        </is>
      </c>
      <c r="J20" s="70" t="inlineStr">
        <is>
          <t>Int</t>
        </is>
      </c>
      <c r="K20" s="70" t="inlineStr">
        <is>
          <t>(M) x m</t>
        </is>
      </c>
      <c r="L20" s="70" t="n">
        <v>1</v>
      </c>
      <c r="M20" s="70" t="inlineStr">
        <is>
          <t>ST sec</t>
        </is>
      </c>
      <c r="N20" s="64" t="inlineStr">
        <is>
          <t>ST sec</t>
        </is>
      </c>
      <c r="O20" s="64" t="n">
        <v>10</v>
      </c>
      <c r="P20" s="64" t="inlineStr">
        <is>
          <t>St</t>
        </is>
      </c>
      <c r="Q20" s="67" t="inlineStr">
        <is>
          <t>PSI_Magie_Zaubertabelle_1_421.xlsx</t>
        </is>
      </c>
    </row>
    <row r="21" ht="26.45000076293945" customHeight="1" s="48">
      <c r="A21" s="61" t="inlineStr">
        <is>
          <t>psi_kryokinese</t>
        </is>
      </c>
      <c r="B21" s="70" t="n">
        <v>6</v>
      </c>
      <c r="C21" s="70" t="n">
        <v>22</v>
      </c>
      <c r="D21" s="70" t="n">
        <v>80</v>
      </c>
      <c r="E21" s="64" t="inlineStr">
        <is>
          <t>-200° | -33°/s</t>
        </is>
      </c>
      <c r="F21" s="64" t="inlineStr">
        <is>
          <t>Kryokinese</t>
        </is>
      </c>
      <c r="G21" s="64" t="inlineStr">
        <is>
          <t>Der Zauber erhitzt eine Kugel mit Radius (M) x 2 mm³. Gegenstände innerhalb der Kugel bleiben gefroren, tauen aber natürlich auf.</t>
        </is>
      </c>
      <c r="H21" s="64" t="inlineStr">
        <is>
          <t>Aurabann</t>
        </is>
      </c>
      <c r="I21" s="64" t="inlineStr">
        <is>
          <t>Gegenstand</t>
        </is>
      </c>
      <c r="J21" s="70" t="inlineStr">
        <is>
          <t>Int</t>
        </is>
      </c>
      <c r="K21" s="70" t="inlineStr">
        <is>
          <t>(M) x m</t>
        </is>
      </c>
      <c r="L21" s="70" t="n">
        <v>1</v>
      </c>
      <c r="M21" s="70" t="inlineStr">
        <is>
          <t>ST sec</t>
        </is>
      </c>
      <c r="N21" s="64" t="inlineStr">
        <is>
          <t>ST sec</t>
        </is>
      </c>
      <c r="O21" s="64" t="n">
        <v>10</v>
      </c>
      <c r="P21" s="64" t="inlineStr">
        <is>
          <t>St</t>
        </is>
      </c>
      <c r="Q21" s="67" t="inlineStr">
        <is>
          <t>PSI_Magie_Zaubertabelle_1_421.xlsx</t>
        </is>
      </c>
    </row>
    <row r="22" ht="26.45000076293945" customHeight="1" s="48">
      <c r="A22" s="61" t="inlineStr">
        <is>
          <t>psi_kryokinese</t>
        </is>
      </c>
      <c r="B22" s="70" t="n">
        <v>7</v>
      </c>
      <c r="C22" s="70" t="n">
        <v>29</v>
      </c>
      <c r="D22" s="70" t="n">
        <v>100</v>
      </c>
      <c r="E22" s="64" t="inlineStr">
        <is>
          <t>-279° | -40°/s</t>
        </is>
      </c>
      <c r="F22" s="64" t="inlineStr">
        <is>
          <t>Kryokinese</t>
        </is>
      </c>
      <c r="G22" s="64" t="inlineStr">
        <is>
          <t>Der Zauber erhitzt eine Kugel mit Radius (M) x 2 mm³. Gegenstände innerhalb der Kugel bleiben gefroren, tauen aber natürlich auf.</t>
        </is>
      </c>
      <c r="H22" s="64" t="inlineStr">
        <is>
          <t>Aurabann</t>
        </is>
      </c>
      <c r="I22" s="64" t="inlineStr">
        <is>
          <t>Gegenstand</t>
        </is>
      </c>
      <c r="J22" s="70" t="inlineStr">
        <is>
          <t>Int</t>
        </is>
      </c>
      <c r="K22" s="70" t="inlineStr">
        <is>
          <t>(M) x m</t>
        </is>
      </c>
      <c r="L22" s="70" t="n">
        <v>1</v>
      </c>
      <c r="M22" s="70" t="inlineStr">
        <is>
          <t>ST sec</t>
        </is>
      </c>
      <c r="N22" s="64" t="inlineStr">
        <is>
          <t>ST sec</t>
        </is>
      </c>
      <c r="O22" s="64" t="n">
        <v>10</v>
      </c>
      <c r="P22" s="64" t="inlineStr">
        <is>
          <t>St</t>
        </is>
      </c>
      <c r="Q22" s="67" t="inlineStr">
        <is>
          <t>PSI_Magie_Zaubertabelle_1_421.xlsx</t>
        </is>
      </c>
    </row>
    <row r="23" ht="15" customHeight="1" s="48">
      <c r="A23" s="61" t="inlineStr">
        <is>
          <t>psi_destruktion</t>
        </is>
      </c>
      <c r="B23" s="70" t="n">
        <v>1</v>
      </c>
      <c r="C23" s="70" t="n">
        <v>4</v>
      </c>
      <c r="D23" s="70" t="n">
        <v>15</v>
      </c>
      <c r="E23" s="64" t="inlineStr">
        <is>
          <t>Glas</t>
        </is>
      </c>
      <c r="F23" s="64" t="inlineStr">
        <is>
          <t>Destruktion</t>
        </is>
      </c>
      <c r="G23" s="64" t="inlineStr">
        <is>
          <t>Auf 1 Unbel. Geg/ nur kleinere Dinge, Bei großen =ST+1. Bei Fremdaura FK-TZW</t>
        </is>
      </c>
      <c r="H23" s="64" t="inlineStr">
        <is>
          <t>Kein Aurabann</t>
        </is>
      </c>
      <c r="I23" s="64" t="inlineStr">
        <is>
          <t>Aura</t>
        </is>
      </c>
      <c r="J23" s="70" t="inlineStr">
        <is>
          <t>Will</t>
        </is>
      </c>
      <c r="K23" s="70" t="inlineStr">
        <is>
          <t>(M)*m</t>
        </is>
      </c>
      <c r="L23" s="70" t="n">
        <v>1</v>
      </c>
      <c r="M23" s="70" t="inlineStr">
        <is>
          <t>sofort</t>
        </is>
      </c>
      <c r="N23" s="64" t="inlineStr">
        <is>
          <t>permanent</t>
        </is>
      </c>
      <c r="O23" s="64" t="n">
        <v>20</v>
      </c>
      <c r="P23" s="64" t="inlineStr">
        <is>
          <t>St*5</t>
        </is>
      </c>
      <c r="Q23" s="67" t="inlineStr">
        <is>
          <t>PSI_Magie_Zaubertabelle_1_421.xlsx</t>
        </is>
      </c>
    </row>
    <row r="24" ht="15" customHeight="1" s="48">
      <c r="A24" s="61" t="inlineStr">
        <is>
          <t>psi_destruktion</t>
        </is>
      </c>
      <c r="B24" s="70" t="n">
        <v>2</v>
      </c>
      <c r="C24" s="70" t="n">
        <v>8</v>
      </c>
      <c r="D24" s="70" t="n">
        <v>25</v>
      </c>
      <c r="E24" s="64" t="inlineStr">
        <is>
          <t>Holz</t>
        </is>
      </c>
      <c r="F24" s="64" t="inlineStr">
        <is>
          <t>Destruktion</t>
        </is>
      </c>
      <c r="G24" s="64" t="inlineStr">
        <is>
          <t>Auf 1 Unbel. Geg/ nur kleinere Dinge, Bei großen =ST+1. Bei Fremdaura FK-TZW</t>
        </is>
      </c>
      <c r="H24" s="64" t="inlineStr">
        <is>
          <t>Kein Aurabann</t>
        </is>
      </c>
      <c r="I24" s="64" t="inlineStr">
        <is>
          <t>Aura</t>
        </is>
      </c>
      <c r="J24" s="70" t="inlineStr">
        <is>
          <t>Will</t>
        </is>
      </c>
      <c r="K24" s="70" t="inlineStr">
        <is>
          <t>(M)*m</t>
        </is>
      </c>
      <c r="L24" s="70" t="n">
        <v>1</v>
      </c>
      <c r="M24" s="70" t="inlineStr">
        <is>
          <t>sofort</t>
        </is>
      </c>
      <c r="N24" s="64" t="inlineStr">
        <is>
          <t>permanent</t>
        </is>
      </c>
      <c r="O24" s="64" t="n">
        <v>20</v>
      </c>
      <c r="P24" s="64" t="inlineStr">
        <is>
          <t>St*5</t>
        </is>
      </c>
      <c r="Q24" s="67" t="inlineStr">
        <is>
          <t>PSI_Magie_Zaubertabelle_1_421.xlsx</t>
        </is>
      </c>
    </row>
    <row r="25" ht="15" customHeight="1" s="48">
      <c r="A25" s="61" t="inlineStr">
        <is>
          <t>psi_destruktion</t>
        </is>
      </c>
      <c r="B25" s="70" t="n">
        <v>3</v>
      </c>
      <c r="C25" s="70" t="n">
        <v>11</v>
      </c>
      <c r="D25" s="70" t="n">
        <v>35</v>
      </c>
      <c r="E25" s="64" t="inlineStr">
        <is>
          <t>Stein</t>
        </is>
      </c>
      <c r="F25" s="64" t="inlineStr">
        <is>
          <t>Destruktion</t>
        </is>
      </c>
      <c r="G25" s="64" t="inlineStr">
        <is>
          <t>Auf 1 Unbel. Geg/ nur kleinere Dinge, Bei großen =ST+1. Bei Fremdaura FK-TZW</t>
        </is>
      </c>
      <c r="H25" s="64" t="inlineStr">
        <is>
          <t>Kein Aurabann</t>
        </is>
      </c>
      <c r="I25" s="64" t="inlineStr">
        <is>
          <t>Aura</t>
        </is>
      </c>
      <c r="J25" s="70" t="inlineStr">
        <is>
          <t>Will</t>
        </is>
      </c>
      <c r="K25" s="70" t="inlineStr">
        <is>
          <t>(M)*m</t>
        </is>
      </c>
      <c r="L25" s="70" t="n">
        <v>1</v>
      </c>
      <c r="M25" s="70" t="inlineStr">
        <is>
          <t>sofort</t>
        </is>
      </c>
      <c r="N25" s="64" t="inlineStr">
        <is>
          <t>permanent</t>
        </is>
      </c>
      <c r="O25" s="64" t="n">
        <v>20</v>
      </c>
      <c r="P25" s="64" t="inlineStr">
        <is>
          <t>St*5</t>
        </is>
      </c>
      <c r="Q25" s="67" t="inlineStr">
        <is>
          <t>PSI_Magie_Zaubertabelle_1_421.xlsx</t>
        </is>
      </c>
    </row>
    <row r="26" ht="15" customHeight="1" s="48">
      <c r="A26" s="61" t="inlineStr">
        <is>
          <t>psi_destruktion</t>
        </is>
      </c>
      <c r="B26" s="70" t="n">
        <v>4</v>
      </c>
      <c r="C26" s="70" t="n">
        <v>14</v>
      </c>
      <c r="D26" s="70" t="n">
        <v>50</v>
      </c>
      <c r="E26" s="64" t="inlineStr">
        <is>
          <t>Metall</t>
        </is>
      </c>
      <c r="F26" s="64" t="inlineStr">
        <is>
          <t>Destruktion</t>
        </is>
      </c>
      <c r="G26" s="64" t="inlineStr">
        <is>
          <t>Auf 1 Unbel. Geg/ nur kleinere Dinge, Bei großen =ST+1. Bei Fremdaura FK-TZW</t>
        </is>
      </c>
      <c r="H26" s="64" t="inlineStr">
        <is>
          <t>Kein Aurabann</t>
        </is>
      </c>
      <c r="I26" s="64" t="inlineStr">
        <is>
          <t>Aura</t>
        </is>
      </c>
      <c r="J26" s="70" t="inlineStr">
        <is>
          <t>Will</t>
        </is>
      </c>
      <c r="K26" s="70" t="inlineStr">
        <is>
          <t>(M)*m</t>
        </is>
      </c>
      <c r="L26" s="70" t="n">
        <v>1</v>
      </c>
      <c r="M26" s="70" t="inlineStr">
        <is>
          <t>sofort</t>
        </is>
      </c>
      <c r="N26" s="64" t="inlineStr">
        <is>
          <t>permanent</t>
        </is>
      </c>
      <c r="O26" s="64" t="n">
        <v>20</v>
      </c>
      <c r="P26" s="64" t="inlineStr">
        <is>
          <t>St*5</t>
        </is>
      </c>
      <c r="Q26" s="67" t="inlineStr">
        <is>
          <t>PSI_Magie_Zaubertabelle_1_421.xlsx</t>
        </is>
      </c>
    </row>
    <row r="27" ht="15" customHeight="1" s="48">
      <c r="A27" s="61" t="inlineStr">
        <is>
          <t>psi_destruktion</t>
        </is>
      </c>
      <c r="B27" s="70" t="n">
        <v>5</v>
      </c>
      <c r="C27" s="70" t="n">
        <v>17</v>
      </c>
      <c r="D27" s="70" t="n">
        <v>70</v>
      </c>
      <c r="E27" s="64" t="inlineStr">
        <is>
          <t>Guss</t>
        </is>
      </c>
      <c r="F27" s="64" t="inlineStr">
        <is>
          <t>Destruktion</t>
        </is>
      </c>
      <c r="G27" s="64" t="inlineStr">
        <is>
          <t>Auf 1 Unbel. Geg/ nur kleinere Dinge, Bei großen =ST+1. Bei Fremdaura FK-TZW</t>
        </is>
      </c>
      <c r="H27" s="64" t="inlineStr">
        <is>
          <t>Kein Aurabann</t>
        </is>
      </c>
      <c r="I27" s="64" t="inlineStr">
        <is>
          <t>Aura</t>
        </is>
      </c>
      <c r="J27" s="70" t="inlineStr">
        <is>
          <t>Will</t>
        </is>
      </c>
      <c r="K27" s="70" t="inlineStr">
        <is>
          <t>(M)*m</t>
        </is>
      </c>
      <c r="L27" s="70" t="n">
        <v>1</v>
      </c>
      <c r="M27" s="70" t="inlineStr">
        <is>
          <t>sofort</t>
        </is>
      </c>
      <c r="N27" s="64" t="inlineStr">
        <is>
          <t>permanent</t>
        </is>
      </c>
      <c r="O27" s="64" t="n">
        <v>20</v>
      </c>
      <c r="P27" s="64" t="inlineStr">
        <is>
          <t>St*5</t>
        </is>
      </c>
      <c r="Q27" s="67" t="inlineStr">
        <is>
          <t>PSI_Magie_Zaubertabelle_1_421.xlsx</t>
        </is>
      </c>
    </row>
    <row r="28" ht="15" customHeight="1" s="48">
      <c r="A28" s="61" t="inlineStr">
        <is>
          <t>psi_destruktion</t>
        </is>
      </c>
      <c r="B28" s="70" t="n">
        <v>6</v>
      </c>
      <c r="C28" s="70" t="n">
        <v>20</v>
      </c>
      <c r="D28" s="70" t="n">
        <v>90</v>
      </c>
      <c r="E28" s="64" t="inlineStr">
        <is>
          <t>Panzer</t>
        </is>
      </c>
      <c r="F28" s="64" t="inlineStr">
        <is>
          <t>Destruktion</t>
        </is>
      </c>
      <c r="G28" s="64" t="inlineStr">
        <is>
          <t>Auf 1 Unbel. Geg/ nur kleinere Dinge, Bei großen =ST+1. Bei Fremdaura FK-TZW</t>
        </is>
      </c>
      <c r="H28" s="64" t="inlineStr">
        <is>
          <t>Kein Aurabann</t>
        </is>
      </c>
      <c r="I28" s="64" t="inlineStr">
        <is>
          <t>Aura</t>
        </is>
      </c>
      <c r="J28" s="70" t="inlineStr">
        <is>
          <t>Will</t>
        </is>
      </c>
      <c r="K28" s="70" t="inlineStr">
        <is>
          <t>(M)*m</t>
        </is>
      </c>
      <c r="L28" s="70" t="n">
        <v>1</v>
      </c>
      <c r="M28" s="70" t="inlineStr">
        <is>
          <t>sofort</t>
        </is>
      </c>
      <c r="N28" s="64" t="inlineStr">
        <is>
          <t>permanent</t>
        </is>
      </c>
      <c r="O28" s="64" t="n">
        <v>20</v>
      </c>
      <c r="P28" s="64" t="inlineStr">
        <is>
          <t>St*5</t>
        </is>
      </c>
      <c r="Q28" s="67" t="inlineStr">
        <is>
          <t>PSI_Magie_Zaubertabelle_1_421.xlsx</t>
        </is>
      </c>
    </row>
    <row r="29" ht="15" customHeight="1" s="48">
      <c r="A29" s="61" t="inlineStr">
        <is>
          <t>psi_destruktion</t>
        </is>
      </c>
      <c r="B29" s="70" t="n">
        <v>7</v>
      </c>
      <c r="C29" s="70" t="n">
        <v>23</v>
      </c>
      <c r="D29" s="70" t="n">
        <v>115</v>
      </c>
      <c r="E29" s="64" t="inlineStr">
        <is>
          <t>Diamant</t>
        </is>
      </c>
      <c r="F29" s="64" t="inlineStr">
        <is>
          <t>Destruktion</t>
        </is>
      </c>
      <c r="G29" s="64" t="inlineStr">
        <is>
          <t>Auf 1 Unbel. Geg/ nur kleinere Dinge, Bei großen =ST+1. Bei Fremdaura FK-TZW</t>
        </is>
      </c>
      <c r="H29" s="64" t="inlineStr">
        <is>
          <t>Kein Aurabann</t>
        </is>
      </c>
      <c r="I29" s="64" t="inlineStr">
        <is>
          <t>Aura</t>
        </is>
      </c>
      <c r="J29" s="70" t="inlineStr">
        <is>
          <t>Will</t>
        </is>
      </c>
      <c r="K29" s="70" t="inlineStr">
        <is>
          <t>(M)*m</t>
        </is>
      </c>
      <c r="L29" s="70" t="n">
        <v>1</v>
      </c>
      <c r="M29" s="70" t="inlineStr">
        <is>
          <t>sofort</t>
        </is>
      </c>
      <c r="N29" s="64" t="inlineStr">
        <is>
          <t>permanent</t>
        </is>
      </c>
      <c r="O29" s="64" t="n">
        <v>20</v>
      </c>
      <c r="P29" s="64" t="inlineStr">
        <is>
          <t>St*5</t>
        </is>
      </c>
      <c r="Q29" s="67" t="inlineStr">
        <is>
          <t>PSI_Magie_Zaubertabelle_1_421.xlsx</t>
        </is>
      </c>
    </row>
    <row r="30" ht="39.59999847412109" customHeight="1" s="48">
      <c r="A30" s="61" t="inlineStr">
        <is>
          <t>psi_geschosse_ablenken</t>
        </is>
      </c>
      <c r="B30" s="70" t="n">
        <v>1</v>
      </c>
      <c r="C30" s="70" t="n">
        <v>2</v>
      </c>
      <c r="D30" s="70" t="n">
        <v>7</v>
      </c>
      <c r="E30" s="64" t="n"/>
      <c r="F30" s="64" t="inlineStr">
        <is>
          <t>Geschosse ablenken</t>
        </is>
      </c>
      <c r="G30" s="64" t="inlineStr">
        <is>
          <t>Der Magus kann Geschosse ablenken, die er sieht oder deren Abwurf/Abschuss/Mündungsfeuer er gesehen hat. Die AW oder Glück-Probe ist um ST x 3 erleichtert.</t>
        </is>
      </c>
      <c r="H30" s="64" t="inlineStr">
        <is>
          <t>Kein Aurabann</t>
        </is>
      </c>
      <c r="I30" s="64" t="inlineStr">
        <is>
          <t>Selbst</t>
        </is>
      </c>
      <c r="J30" s="70" t="inlineStr">
        <is>
          <t>Sch</t>
        </is>
      </c>
      <c r="K30" s="70" t="inlineStr">
        <is>
          <t>Selbst</t>
        </is>
      </c>
      <c r="L30" s="70" t="n">
        <v>1</v>
      </c>
      <c r="M30" s="70" t="inlineStr">
        <is>
          <t>sofort</t>
        </is>
      </c>
      <c r="N30" s="64" t="inlineStr">
        <is>
          <t>permanent</t>
        </is>
      </c>
      <c r="O30" s="64" t="n">
        <v>2</v>
      </c>
      <c r="P30" s="64" t="inlineStr">
        <is>
          <t>St*5</t>
        </is>
      </c>
      <c r="Q30" s="67" t="inlineStr">
        <is>
          <t>PSI_Magie_Zaubertabelle_1_421.xlsx</t>
        </is>
      </c>
    </row>
    <row r="31" ht="39.59999847412109" customHeight="1" s="48">
      <c r="A31" s="61" t="inlineStr">
        <is>
          <t>psi_geschosse_ablenken</t>
        </is>
      </c>
      <c r="B31" s="70" t="n">
        <v>2</v>
      </c>
      <c r="C31" s="70" t="n">
        <v>5</v>
      </c>
      <c r="D31" s="70" t="n">
        <v>14</v>
      </c>
      <c r="E31" s="64" t="n"/>
      <c r="F31" s="64" t="inlineStr">
        <is>
          <t>Geschosse ablenken</t>
        </is>
      </c>
      <c r="G31" s="64" t="inlineStr">
        <is>
          <t>Der Magus kann Geschosse ablenken, die er sieht oder deren Abwurf/Abschuss/Mündungsfeuer er gesehen hat. Die AW oder Glück-Probe ist um ST x 3 erleichtert.</t>
        </is>
      </c>
      <c r="H31" s="64" t="inlineStr">
        <is>
          <t>Kein Aurabann</t>
        </is>
      </c>
      <c r="I31" s="64" t="inlineStr">
        <is>
          <t>Selbst</t>
        </is>
      </c>
      <c r="J31" s="70" t="inlineStr">
        <is>
          <t>Sch</t>
        </is>
      </c>
      <c r="K31" s="70" t="inlineStr">
        <is>
          <t>Selbst</t>
        </is>
      </c>
      <c r="L31" s="70" t="n">
        <v>1</v>
      </c>
      <c r="M31" s="70" t="inlineStr">
        <is>
          <t>sofort</t>
        </is>
      </c>
      <c r="N31" s="64" t="inlineStr">
        <is>
          <t>permanent</t>
        </is>
      </c>
      <c r="O31" s="64" t="n">
        <v>2</v>
      </c>
      <c r="P31" s="64" t="inlineStr">
        <is>
          <t>St*5</t>
        </is>
      </c>
      <c r="Q31" s="67" t="inlineStr">
        <is>
          <t>PSI_Magie_Zaubertabelle_1_421.xlsx</t>
        </is>
      </c>
    </row>
    <row r="32" ht="39.59999847412109" customHeight="1" s="48">
      <c r="A32" s="61" t="inlineStr">
        <is>
          <t>psi_geschosse_ablenken</t>
        </is>
      </c>
      <c r="B32" s="70" t="n">
        <v>3</v>
      </c>
      <c r="C32" s="70" t="n">
        <v>8</v>
      </c>
      <c r="D32" s="70" t="n">
        <v>21</v>
      </c>
      <c r="E32" s="64" t="n"/>
      <c r="F32" s="64" t="inlineStr">
        <is>
          <t>Geschosse ablenken</t>
        </is>
      </c>
      <c r="G32" s="64" t="inlineStr">
        <is>
          <t>Der Magus kann Geschosse ablenken, die er sieht oder deren Abwurf/Abschuss/Mündungsfeuer er gesehen hat. Die AW oder Glück-Probe ist um ST x 3 erleichtert.</t>
        </is>
      </c>
      <c r="H32" s="64" t="inlineStr">
        <is>
          <t>Kein Aurabann</t>
        </is>
      </c>
      <c r="I32" s="64" t="inlineStr">
        <is>
          <t>Selbst</t>
        </is>
      </c>
      <c r="J32" s="70" t="inlineStr">
        <is>
          <t>Sch</t>
        </is>
      </c>
      <c r="K32" s="70" t="inlineStr">
        <is>
          <t>Selbst</t>
        </is>
      </c>
      <c r="L32" s="70" t="n">
        <v>1</v>
      </c>
      <c r="M32" s="70" t="inlineStr">
        <is>
          <t>sofort</t>
        </is>
      </c>
      <c r="N32" s="64" t="inlineStr">
        <is>
          <t>permanent</t>
        </is>
      </c>
      <c r="O32" s="64" t="n">
        <v>2</v>
      </c>
      <c r="P32" s="64" t="inlineStr">
        <is>
          <t>St*5</t>
        </is>
      </c>
      <c r="Q32" s="67" t="inlineStr">
        <is>
          <t>PSI_Magie_Zaubertabelle_1_421.xlsx</t>
        </is>
      </c>
    </row>
    <row r="33" ht="39.59999847412109" customHeight="1" s="48">
      <c r="A33" s="61" t="inlineStr">
        <is>
          <t>psi_geschosse_ablenken</t>
        </is>
      </c>
      <c r="B33" s="70" t="n">
        <v>4</v>
      </c>
      <c r="C33" s="70" t="n">
        <v>11</v>
      </c>
      <c r="D33" s="70" t="n">
        <v>28</v>
      </c>
      <c r="E33" s="64" t="n"/>
      <c r="F33" s="64" t="inlineStr">
        <is>
          <t>Geschosse ablenken</t>
        </is>
      </c>
      <c r="G33" s="64" t="inlineStr">
        <is>
          <t>Der Magus kann Geschosse ablenken, die er sieht oder deren Abwurf/Abschuss/Mündungsfeuer er gesehen hat. Die AW oder Glück-Probe ist um ST x 3 erleichtert.</t>
        </is>
      </c>
      <c r="H33" s="64" t="inlineStr">
        <is>
          <t>Kein Aurabann</t>
        </is>
      </c>
      <c r="I33" s="64" t="inlineStr">
        <is>
          <t>Selbst</t>
        </is>
      </c>
      <c r="J33" s="70" t="inlineStr">
        <is>
          <t>Sch</t>
        </is>
      </c>
      <c r="K33" s="70" t="inlineStr">
        <is>
          <t>Selbst</t>
        </is>
      </c>
      <c r="L33" s="70" t="n">
        <v>1</v>
      </c>
      <c r="M33" s="70" t="inlineStr">
        <is>
          <t>sofort</t>
        </is>
      </c>
      <c r="N33" s="64" t="inlineStr">
        <is>
          <t>permanent</t>
        </is>
      </c>
      <c r="O33" s="64" t="n">
        <v>2</v>
      </c>
      <c r="P33" s="64" t="inlineStr">
        <is>
          <t>St*5</t>
        </is>
      </c>
      <c r="Q33" s="67" t="inlineStr">
        <is>
          <t>PSI_Magie_Zaubertabelle_1_421.xlsx</t>
        </is>
      </c>
    </row>
    <row r="34" ht="39.59999847412109" customHeight="1" s="48">
      <c r="A34" s="61" t="inlineStr">
        <is>
          <t>psi_geschosse_ablenken</t>
        </is>
      </c>
      <c r="B34" s="70" t="n">
        <v>5</v>
      </c>
      <c r="C34" s="70" t="n">
        <v>14</v>
      </c>
      <c r="D34" s="70" t="n">
        <v>35</v>
      </c>
      <c r="E34" s="64" t="n"/>
      <c r="F34" s="64" t="inlineStr">
        <is>
          <t>Geschosse ablenken</t>
        </is>
      </c>
      <c r="G34" s="64" t="inlineStr">
        <is>
          <t>Der Magus kann Geschosse ablenken, die er sieht oder deren Abwurf/Abschuss/Mündungsfeuer er gesehen hat. Die AW oder Glück-Probe ist um ST x 3 erleichtert.</t>
        </is>
      </c>
      <c r="H34" s="64" t="inlineStr">
        <is>
          <t>Kein Aurabann</t>
        </is>
      </c>
      <c r="I34" s="64" t="inlineStr">
        <is>
          <t>Selbst</t>
        </is>
      </c>
      <c r="J34" s="70" t="inlineStr">
        <is>
          <t>Sch</t>
        </is>
      </c>
      <c r="K34" s="70" t="inlineStr">
        <is>
          <t>Selbst</t>
        </is>
      </c>
      <c r="L34" s="70" t="n">
        <v>1</v>
      </c>
      <c r="M34" s="70" t="inlineStr">
        <is>
          <t>sofort</t>
        </is>
      </c>
      <c r="N34" s="64" t="inlineStr">
        <is>
          <t>permanent</t>
        </is>
      </c>
      <c r="O34" s="64" t="n">
        <v>2</v>
      </c>
      <c r="P34" s="64" t="inlineStr">
        <is>
          <t>St*5</t>
        </is>
      </c>
      <c r="Q34" s="67" t="inlineStr">
        <is>
          <t>PSI_Magie_Zaubertabelle_1_421.xlsx</t>
        </is>
      </c>
    </row>
    <row r="35" ht="39.59999847412109" customHeight="1" s="48">
      <c r="A35" s="61" t="inlineStr">
        <is>
          <t>psi_geschosse_ablenken</t>
        </is>
      </c>
      <c r="B35" s="70" t="n">
        <v>6</v>
      </c>
      <c r="C35" s="70" t="n">
        <v>17</v>
      </c>
      <c r="D35" s="70" t="n">
        <v>92</v>
      </c>
      <c r="E35" s="64" t="n"/>
      <c r="F35" s="64" t="inlineStr">
        <is>
          <t>Geschosse ablenken</t>
        </is>
      </c>
      <c r="G35" s="64" t="inlineStr">
        <is>
          <t>Der Magus kann Geschosse ablenken, die er sieht oder deren Abwurf/Abschuss/Mündungsfeuer er gesehen hat. Die AW oder Glück-Probe ist um ST x 3 erleichtert.</t>
        </is>
      </c>
      <c r="H35" s="64" t="inlineStr">
        <is>
          <t>Kein Aurabann</t>
        </is>
      </c>
      <c r="I35" s="64" t="inlineStr">
        <is>
          <t>Selbst</t>
        </is>
      </c>
      <c r="J35" s="70" t="inlineStr">
        <is>
          <t>Sch</t>
        </is>
      </c>
      <c r="K35" s="70" t="inlineStr">
        <is>
          <t>Selbst</t>
        </is>
      </c>
      <c r="L35" s="70" t="n">
        <v>1</v>
      </c>
      <c r="M35" s="70" t="inlineStr">
        <is>
          <t>sofort</t>
        </is>
      </c>
      <c r="N35" s="64" t="inlineStr">
        <is>
          <t>permanent</t>
        </is>
      </c>
      <c r="O35" s="64" t="n">
        <v>2</v>
      </c>
      <c r="P35" s="64" t="inlineStr">
        <is>
          <t>St*5</t>
        </is>
      </c>
      <c r="Q35" s="67" t="inlineStr">
        <is>
          <t>PSI_Magie_Zaubertabelle_1_421.xlsx</t>
        </is>
      </c>
    </row>
    <row r="36" ht="39.59999847412109" customHeight="1" s="48">
      <c r="A36" s="61" t="inlineStr">
        <is>
          <t>psi_geschosse_ablenken</t>
        </is>
      </c>
      <c r="B36" s="70" t="n">
        <v>7</v>
      </c>
      <c r="C36" s="70" t="n">
        <v>20</v>
      </c>
      <c r="D36" s="70" t="n">
        <v>145</v>
      </c>
      <c r="E36" s="64" t="n"/>
      <c r="F36" s="64" t="inlineStr">
        <is>
          <t>Geschosse ablenken</t>
        </is>
      </c>
      <c r="G36" s="64" t="inlineStr">
        <is>
          <t>Der Magus kann Geschosse ablenken, die er sieht oder deren Abwurf/Abschuss/Mündungsfeuer er gesehen hat. Die AW oder Glück-Probe ist um ST x 3 erleichtert.</t>
        </is>
      </c>
      <c r="H36" s="64" t="inlineStr">
        <is>
          <t>Kein Aurabann</t>
        </is>
      </c>
      <c r="I36" s="64" t="inlineStr">
        <is>
          <t>Selbst</t>
        </is>
      </c>
      <c r="J36" s="70" t="inlineStr">
        <is>
          <t>Sch</t>
        </is>
      </c>
      <c r="K36" s="70" t="inlineStr">
        <is>
          <t>Selbst</t>
        </is>
      </c>
      <c r="L36" s="70" t="n">
        <v>1</v>
      </c>
      <c r="M36" s="70" t="inlineStr">
        <is>
          <t>sofort</t>
        </is>
      </c>
      <c r="N36" s="64" t="inlineStr">
        <is>
          <t>permanent</t>
        </is>
      </c>
      <c r="O36" s="64" t="n">
        <v>2</v>
      </c>
      <c r="P36" s="64" t="inlineStr">
        <is>
          <t>St*5</t>
        </is>
      </c>
      <c r="Q36" s="67" t="inlineStr">
        <is>
          <t>PSI_Magie_Zaubertabelle_1_421.xlsx</t>
        </is>
      </c>
    </row>
    <row r="37" ht="158.4499969482422" customHeight="1" s="48">
      <c r="A37" s="61" t="inlineStr">
        <is>
          <t>psi_empathie</t>
        </is>
      </c>
      <c r="B37" s="70" t="n">
        <v>1</v>
      </c>
      <c r="C37" s="70" t="n">
        <v>1</v>
      </c>
      <c r="D37" s="70" t="n">
        <v>5</v>
      </c>
      <c r="E37" s="64" t="n"/>
      <c r="F37" s="64" t="inlineStr">
        <is>
          <t>Empathie</t>
        </is>
      </c>
      <c r="G37"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7" s="64" t="inlineStr">
        <is>
          <t>Kein Aurabann</t>
        </is>
      </c>
      <c r="I37" s="64" t="inlineStr">
        <is>
          <t>Aura</t>
        </is>
      </c>
      <c r="J37" s="70" t="inlineStr">
        <is>
          <t>Will</t>
        </is>
      </c>
      <c r="K37" s="70" t="inlineStr">
        <is>
          <t>(M)*2m</t>
        </is>
      </c>
      <c r="L37" s="70" t="n">
        <v>1</v>
      </c>
      <c r="M37" s="70" t="inlineStr">
        <is>
          <t>sofort</t>
        </is>
      </c>
      <c r="N37" s="64" t="inlineStr">
        <is>
          <t>(M) sec</t>
        </is>
      </c>
      <c r="O37" s="64" t="n">
        <v>5</v>
      </c>
      <c r="P37" s="64" t="inlineStr">
        <is>
          <t>St</t>
        </is>
      </c>
      <c r="Q37" s="67" t="inlineStr">
        <is>
          <t>PSI_Magie_Zaubertabelle_1_421.xlsx</t>
        </is>
      </c>
    </row>
    <row r="38" ht="158.4499969482422" customHeight="1" s="48">
      <c r="A38" s="61" t="inlineStr">
        <is>
          <t>psi_empathie</t>
        </is>
      </c>
      <c r="B38" s="70" t="n">
        <v>2</v>
      </c>
      <c r="C38" s="70" t="n">
        <v>4</v>
      </c>
      <c r="D38" s="70" t="n">
        <v>10</v>
      </c>
      <c r="E38" s="64" t="n"/>
      <c r="F38" s="64" t="inlineStr">
        <is>
          <t>Empathie</t>
        </is>
      </c>
      <c r="G38"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8" s="64" t="inlineStr">
        <is>
          <t>Kein Aurabann</t>
        </is>
      </c>
      <c r="I38" s="64" t="inlineStr">
        <is>
          <t>Aura</t>
        </is>
      </c>
      <c r="J38" s="70" t="inlineStr">
        <is>
          <t>Will</t>
        </is>
      </c>
      <c r="K38" s="70" t="inlineStr">
        <is>
          <t>(M)*2m</t>
        </is>
      </c>
      <c r="L38" s="70" t="n">
        <v>1</v>
      </c>
      <c r="M38" s="70" t="inlineStr">
        <is>
          <t>sofort</t>
        </is>
      </c>
      <c r="N38" s="64" t="inlineStr">
        <is>
          <t>(M) sec</t>
        </is>
      </c>
      <c r="O38" s="64" t="n">
        <v>5</v>
      </c>
      <c r="P38" s="64" t="inlineStr">
        <is>
          <t>St</t>
        </is>
      </c>
      <c r="Q38" s="67" t="inlineStr">
        <is>
          <t>PSI_Magie_Zaubertabelle_1_421.xlsx</t>
        </is>
      </c>
    </row>
    <row r="39" ht="158.4499969482422" customHeight="1" s="48">
      <c r="A39" s="61" t="inlineStr">
        <is>
          <t>psi_empathie</t>
        </is>
      </c>
      <c r="B39" s="70" t="n">
        <v>3</v>
      </c>
      <c r="C39" s="70" t="n">
        <v>7</v>
      </c>
      <c r="D39" s="70" t="n">
        <v>20</v>
      </c>
      <c r="E39" s="64" t="n"/>
      <c r="F39" s="64" t="inlineStr">
        <is>
          <t>Empathie</t>
        </is>
      </c>
      <c r="G39"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9" s="64" t="inlineStr">
        <is>
          <t>Kein Aurabann</t>
        </is>
      </c>
      <c r="I39" s="64" t="inlineStr">
        <is>
          <t>Aura</t>
        </is>
      </c>
      <c r="J39" s="70" t="inlineStr">
        <is>
          <t>Will</t>
        </is>
      </c>
      <c r="K39" s="70" t="inlineStr">
        <is>
          <t>(M)*2m</t>
        </is>
      </c>
      <c r="L39" s="70" t="n">
        <v>1</v>
      </c>
      <c r="M39" s="70" t="inlineStr">
        <is>
          <t>sofort</t>
        </is>
      </c>
      <c r="N39" s="64" t="inlineStr">
        <is>
          <t>(M) sec</t>
        </is>
      </c>
      <c r="O39" s="64" t="n">
        <v>5</v>
      </c>
      <c r="P39" s="64" t="inlineStr">
        <is>
          <t>St</t>
        </is>
      </c>
      <c r="Q39" s="67" t="inlineStr">
        <is>
          <t>PSI_Magie_Zaubertabelle_1_421.xlsx</t>
        </is>
      </c>
    </row>
    <row r="40" ht="158.4499969482422" customHeight="1" s="48">
      <c r="A40" s="61" t="inlineStr">
        <is>
          <t>psi_empathie</t>
        </is>
      </c>
      <c r="B40" s="70" t="n">
        <v>4</v>
      </c>
      <c r="C40" s="70" t="n">
        <v>10</v>
      </c>
      <c r="D40" s="70" t="n">
        <v>30</v>
      </c>
      <c r="E40" s="64" t="n"/>
      <c r="F40" s="64" t="inlineStr">
        <is>
          <t>Empathie</t>
        </is>
      </c>
      <c r="G40"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0" s="64" t="inlineStr">
        <is>
          <t>Kein Aurabann</t>
        </is>
      </c>
      <c r="I40" s="64" t="inlineStr">
        <is>
          <t>Aura</t>
        </is>
      </c>
      <c r="J40" s="70" t="inlineStr">
        <is>
          <t>Will</t>
        </is>
      </c>
      <c r="K40" s="70" t="inlineStr">
        <is>
          <t>(M)*2m</t>
        </is>
      </c>
      <c r="L40" s="70" t="n">
        <v>1</v>
      </c>
      <c r="M40" s="70" t="inlineStr">
        <is>
          <t>sofort</t>
        </is>
      </c>
      <c r="N40" s="64" t="inlineStr">
        <is>
          <t>(M) sec</t>
        </is>
      </c>
      <c r="O40" s="64" t="n">
        <v>5</v>
      </c>
      <c r="P40" s="64" t="inlineStr">
        <is>
          <t>St</t>
        </is>
      </c>
      <c r="Q40" s="67" t="inlineStr">
        <is>
          <t>PSI_Magie_Zaubertabelle_1_421.xlsx</t>
        </is>
      </c>
    </row>
    <row r="41" ht="158.4499969482422" customHeight="1" s="48">
      <c r="A41" s="61" t="inlineStr">
        <is>
          <t>psi_empathie</t>
        </is>
      </c>
      <c r="B41" s="70" t="n">
        <v>5</v>
      </c>
      <c r="C41" s="70" t="n">
        <v>13</v>
      </c>
      <c r="D41" s="70" t="n">
        <v>35</v>
      </c>
      <c r="E41" s="64" t="n"/>
      <c r="F41" s="64" t="inlineStr">
        <is>
          <t>Empathie</t>
        </is>
      </c>
      <c r="G41"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1" s="64" t="inlineStr">
        <is>
          <t>Kein Aurabann</t>
        </is>
      </c>
      <c r="I41" s="64" t="inlineStr">
        <is>
          <t>Aura</t>
        </is>
      </c>
      <c r="J41" s="70" t="inlineStr">
        <is>
          <t>Will</t>
        </is>
      </c>
      <c r="K41" s="70" t="inlineStr">
        <is>
          <t>(M)*2m</t>
        </is>
      </c>
      <c r="L41" s="70" t="n">
        <v>1</v>
      </c>
      <c r="M41" s="70" t="inlineStr">
        <is>
          <t>sofort</t>
        </is>
      </c>
      <c r="N41" s="64" t="inlineStr">
        <is>
          <t>(M) sec</t>
        </is>
      </c>
      <c r="O41" s="64" t="n">
        <v>5</v>
      </c>
      <c r="P41" s="64" t="inlineStr">
        <is>
          <t>St</t>
        </is>
      </c>
      <c r="Q41" s="67" t="inlineStr">
        <is>
          <t>PSI_Magie_Zaubertabelle_1_421.xlsx</t>
        </is>
      </c>
    </row>
    <row r="42" ht="158.4499969482422" customHeight="1" s="48">
      <c r="A42" s="61" t="inlineStr">
        <is>
          <t>psi_empathie</t>
        </is>
      </c>
      <c r="B42" s="70" t="n">
        <v>6</v>
      </c>
      <c r="C42" s="70" t="n">
        <v>16</v>
      </c>
      <c r="D42" s="70" t="n">
        <v>40</v>
      </c>
      <c r="E42" s="64" t="n"/>
      <c r="F42" s="64" t="inlineStr">
        <is>
          <t>Empathie</t>
        </is>
      </c>
      <c r="G42"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2" s="64" t="inlineStr">
        <is>
          <t>Kein Aurabann</t>
        </is>
      </c>
      <c r="I42" s="64" t="inlineStr">
        <is>
          <t>Aura</t>
        </is>
      </c>
      <c r="J42" s="70" t="inlineStr">
        <is>
          <t>Will</t>
        </is>
      </c>
      <c r="K42" s="70" t="inlineStr">
        <is>
          <t>(M)*2m</t>
        </is>
      </c>
      <c r="L42" s="70" t="n">
        <v>1</v>
      </c>
      <c r="M42" s="70" t="inlineStr">
        <is>
          <t>sofort</t>
        </is>
      </c>
      <c r="N42" s="64" t="inlineStr">
        <is>
          <t>(M) sec</t>
        </is>
      </c>
      <c r="O42" s="64" t="n">
        <v>5</v>
      </c>
      <c r="P42" s="64" t="inlineStr">
        <is>
          <t>St</t>
        </is>
      </c>
      <c r="Q42" s="67" t="inlineStr">
        <is>
          <t>PSI_Magie_Zaubertabelle_1_421.xlsx</t>
        </is>
      </c>
    </row>
    <row r="43" ht="158.4499969482422" customHeight="1" s="48">
      <c r="A43" s="61" t="inlineStr">
        <is>
          <t>psi_empathie</t>
        </is>
      </c>
      <c r="B43" s="70" t="n">
        <v>7</v>
      </c>
      <c r="C43" s="70" t="n">
        <v>19</v>
      </c>
      <c r="D43" s="70" t="n">
        <v>50</v>
      </c>
      <c r="E43" s="64" t="n"/>
      <c r="F43" s="64" t="inlineStr">
        <is>
          <t>Empathie</t>
        </is>
      </c>
      <c r="G43"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3" s="64" t="inlineStr">
        <is>
          <t>Kein Aurabann</t>
        </is>
      </c>
      <c r="I43" s="64" t="inlineStr">
        <is>
          <t>Aura</t>
        </is>
      </c>
      <c r="J43" s="70" t="inlineStr">
        <is>
          <t>Will</t>
        </is>
      </c>
      <c r="K43" s="70" t="inlineStr">
        <is>
          <t>(M)*2m</t>
        </is>
      </c>
      <c r="L43" s="70" t="n">
        <v>1</v>
      </c>
      <c r="M43" s="70" t="inlineStr">
        <is>
          <t>sofort</t>
        </is>
      </c>
      <c r="N43" s="64" t="inlineStr">
        <is>
          <t>(M) sec</t>
        </is>
      </c>
      <c r="O43" s="64" t="n">
        <v>5</v>
      </c>
      <c r="P43" s="64" t="inlineStr">
        <is>
          <t>St</t>
        </is>
      </c>
      <c r="Q43" s="67" t="inlineStr">
        <is>
          <t>PSI_Magie_Zaubertabelle_1_421.xlsx</t>
        </is>
      </c>
    </row>
    <row r="44" ht="52.70000076293945" customHeight="1" s="48">
      <c r="A44" s="61" t="inlineStr">
        <is>
          <t>psi_suggestion</t>
        </is>
      </c>
      <c r="B44" s="70" t="n">
        <v>1</v>
      </c>
      <c r="C44" s="70" t="n">
        <v>4</v>
      </c>
      <c r="D44" s="70" t="n">
        <v>10</v>
      </c>
      <c r="E44" s="64" t="n"/>
      <c r="F44" s="64" t="inlineStr">
        <is>
          <t>Suggestion</t>
        </is>
      </c>
      <c r="G44" s="64" t="inlineStr">
        <is>
          <t>(Subjektiv) Das Opfer macht eine Intelligenz Probe um ST x 3 erschwert. Bei Gelingen: keine Wirkung und das Opfer bemerkt den Verzauberungsversuch sofort.
Bei Misslingen: Der Magus darf einen Gesinnungsaspekt des Opfers um St. Punkte verschieben.</t>
        </is>
      </c>
      <c r="H44" s="64" t="inlineStr">
        <is>
          <t>Kein Aurabann</t>
        </is>
      </c>
      <c r="I44" s="64" t="inlineStr">
        <is>
          <t>Aura</t>
        </is>
      </c>
      <c r="J44" s="70" t="inlineStr">
        <is>
          <t>Aus</t>
        </is>
      </c>
      <c r="K44" s="70" t="inlineStr">
        <is>
          <t>(M)* 0,5m</t>
        </is>
      </c>
      <c r="L44" s="70" t="n">
        <v>1</v>
      </c>
      <c r="M44" s="70" t="inlineStr">
        <is>
          <t>sofort</t>
        </is>
      </c>
      <c r="N44" s="64" t="inlineStr">
        <is>
          <t>(M) min</t>
        </is>
      </c>
      <c r="O44" s="64" t="n">
        <v>5</v>
      </c>
      <c r="P44" s="64" t="inlineStr">
        <is>
          <t>St*3</t>
        </is>
      </c>
      <c r="Q44" s="67" t="inlineStr">
        <is>
          <t>PSI_Magie_Zaubertabelle_1_421.xlsx</t>
        </is>
      </c>
    </row>
    <row r="45" ht="52.70000076293945" customHeight="1" s="48">
      <c r="A45" s="61" t="inlineStr">
        <is>
          <t>psi_suggestion</t>
        </is>
      </c>
      <c r="B45" s="70" t="n">
        <v>2</v>
      </c>
      <c r="C45" s="70" t="n">
        <v>8</v>
      </c>
      <c r="D45" s="70" t="n">
        <v>15</v>
      </c>
      <c r="E45" s="64" t="n"/>
      <c r="F45" s="64" t="inlineStr">
        <is>
          <t>Suggestion</t>
        </is>
      </c>
      <c r="G45" s="64" t="inlineStr">
        <is>
          <t>(Subjektiv) Das Opfer macht eine Intelligenz Probe um ST x 3 erschwert. Bei Gelingen: keine Wirkung und das Opfer bemerkt den Verzauberungsversuch sofort.
Bei Misslingen: Der Magus darf einen Gesinnungsaspekt des Opfers um St. Punkte verschieben.</t>
        </is>
      </c>
      <c r="H45" s="64" t="inlineStr">
        <is>
          <t>Kein Aurabann</t>
        </is>
      </c>
      <c r="I45" s="64" t="inlineStr">
        <is>
          <t>Aura</t>
        </is>
      </c>
      <c r="J45" s="70" t="inlineStr">
        <is>
          <t>Aus</t>
        </is>
      </c>
      <c r="K45" s="70" t="inlineStr">
        <is>
          <t>(M)* 0,5m</t>
        </is>
      </c>
      <c r="L45" s="70" t="n">
        <v>1</v>
      </c>
      <c r="M45" s="70" t="inlineStr">
        <is>
          <t>sofort</t>
        </is>
      </c>
      <c r="N45" s="64" t="inlineStr">
        <is>
          <t>(M) min</t>
        </is>
      </c>
      <c r="O45" s="64" t="n">
        <v>5</v>
      </c>
      <c r="P45" s="64" t="inlineStr">
        <is>
          <t>St*3</t>
        </is>
      </c>
      <c r="Q45" s="67" t="inlineStr">
        <is>
          <t>PSI_Magie_Zaubertabelle_1_421.xlsx</t>
        </is>
      </c>
    </row>
    <row r="46" ht="52.70000076293945" customHeight="1" s="48">
      <c r="A46" s="61" t="inlineStr">
        <is>
          <t>psi_suggestion</t>
        </is>
      </c>
      <c r="B46" s="70" t="n">
        <v>3</v>
      </c>
      <c r="C46" s="70" t="n">
        <v>12</v>
      </c>
      <c r="D46" s="70" t="n">
        <v>25</v>
      </c>
      <c r="E46" s="64" t="n"/>
      <c r="F46" s="64" t="inlineStr">
        <is>
          <t>Suggestion</t>
        </is>
      </c>
      <c r="G46" s="64" t="inlineStr">
        <is>
          <t>(Subjektiv) Das Opfer macht eine Intelligenz Probe um ST x 3 erschwert. Bei Gelingen: keine Wirkung und das Opfer bemerkt den Verzauberungsversuch sofort.
Bei Misslingen: Der Magus darf einen Gesinnungsaspekt des Opfers um St. Punkte verschieben.</t>
        </is>
      </c>
      <c r="H46" s="64" t="inlineStr">
        <is>
          <t>Kein Aurabann</t>
        </is>
      </c>
      <c r="I46" s="64" t="inlineStr">
        <is>
          <t>Aura</t>
        </is>
      </c>
      <c r="J46" s="70" t="inlineStr">
        <is>
          <t>Aus</t>
        </is>
      </c>
      <c r="K46" s="70" t="inlineStr">
        <is>
          <t>(M)* 0,5m</t>
        </is>
      </c>
      <c r="L46" s="70" t="n">
        <v>1</v>
      </c>
      <c r="M46" s="70" t="inlineStr">
        <is>
          <t>sofort</t>
        </is>
      </c>
      <c r="N46" s="64" t="inlineStr">
        <is>
          <t>(M) min</t>
        </is>
      </c>
      <c r="O46" s="64" t="n">
        <v>5</v>
      </c>
      <c r="P46" s="64" t="inlineStr">
        <is>
          <t>St*3</t>
        </is>
      </c>
      <c r="Q46" s="67" t="inlineStr">
        <is>
          <t>PSI_Magie_Zaubertabelle_1_421.xlsx</t>
        </is>
      </c>
    </row>
    <row r="47" ht="52.70000076293945" customHeight="1" s="48">
      <c r="A47" s="61" t="inlineStr">
        <is>
          <t>psi_suggestion</t>
        </is>
      </c>
      <c r="B47" s="70" t="n">
        <v>4</v>
      </c>
      <c r="C47" s="70" t="n">
        <v>16</v>
      </c>
      <c r="D47" s="70" t="n">
        <v>35</v>
      </c>
      <c r="E47" s="64" t="n"/>
      <c r="F47" s="64" t="inlineStr">
        <is>
          <t>Suggestion</t>
        </is>
      </c>
      <c r="G47" s="64" t="inlineStr">
        <is>
          <t>(Subjektiv) Das Opfer macht eine Intelligenz Probe um ST x 3 erschwert. Bei Gelingen: keine Wirkung und das Opfer bemerkt den Verzauberungsversuch sofort.
Bei Misslingen: Der Magus darf einen Gesinnungsaspekt des Opfers um St. Punkte verschieben.</t>
        </is>
      </c>
      <c r="H47" s="64" t="inlineStr">
        <is>
          <t>Kein Aurabann</t>
        </is>
      </c>
      <c r="I47" s="64" t="inlineStr">
        <is>
          <t>Aura</t>
        </is>
      </c>
      <c r="J47" s="70" t="inlineStr">
        <is>
          <t>Aus</t>
        </is>
      </c>
      <c r="K47" s="70" t="inlineStr">
        <is>
          <t>(M)* 0,5m</t>
        </is>
      </c>
      <c r="L47" s="70" t="n">
        <v>1</v>
      </c>
      <c r="M47" s="70" t="inlineStr">
        <is>
          <t>sofort</t>
        </is>
      </c>
      <c r="N47" s="64" t="inlineStr">
        <is>
          <t>(M) min</t>
        </is>
      </c>
      <c r="O47" s="64" t="n">
        <v>5</v>
      </c>
      <c r="P47" s="64" t="inlineStr">
        <is>
          <t>St*3</t>
        </is>
      </c>
      <c r="Q47" s="67" t="inlineStr">
        <is>
          <t>PSI_Magie_Zaubertabelle_1_421.xlsx</t>
        </is>
      </c>
    </row>
    <row r="48" ht="52.70000076293945" customHeight="1" s="48">
      <c r="A48" s="61" t="inlineStr">
        <is>
          <t>psi_suggestion</t>
        </is>
      </c>
      <c r="B48" s="70" t="n">
        <v>5</v>
      </c>
      <c r="C48" s="70" t="n">
        <v>20</v>
      </c>
      <c r="D48" s="70" t="n">
        <v>45</v>
      </c>
      <c r="E48" s="64" t="n"/>
      <c r="F48" s="64" t="inlineStr">
        <is>
          <t>Suggestion</t>
        </is>
      </c>
      <c r="G48" s="64" t="inlineStr">
        <is>
          <t>(Subjektiv) Das Opfer macht eine Intelligenz Probe um ST x 3 erschwert. Bei Gelingen: keine Wirkung und das Opfer bemerkt den Verzauberungsversuch sofort.
Bei Misslingen: Der Magus darf einen Gesinnungsaspekt des Opfers um St. Punkte verschieben.</t>
        </is>
      </c>
      <c r="H48" s="64" t="inlineStr">
        <is>
          <t>Kein Aurabann</t>
        </is>
      </c>
      <c r="I48" s="64" t="inlineStr">
        <is>
          <t>Aura</t>
        </is>
      </c>
      <c r="J48" s="70" t="inlineStr">
        <is>
          <t>Aus</t>
        </is>
      </c>
      <c r="K48" s="70" t="inlineStr">
        <is>
          <t>(M)* 0,5m</t>
        </is>
      </c>
      <c r="L48" s="70" t="n">
        <v>1</v>
      </c>
      <c r="M48" s="70" t="inlineStr">
        <is>
          <t>sofort</t>
        </is>
      </c>
      <c r="N48" s="64" t="inlineStr">
        <is>
          <t>(M) min</t>
        </is>
      </c>
      <c r="O48" s="64" t="n">
        <v>5</v>
      </c>
      <c r="P48" s="64" t="inlineStr">
        <is>
          <t>St*3</t>
        </is>
      </c>
      <c r="Q48" s="67" t="inlineStr">
        <is>
          <t>PSI_Magie_Zaubertabelle_1_421.xlsx</t>
        </is>
      </c>
    </row>
    <row r="49" ht="52.70000076293945" customHeight="1" s="48">
      <c r="A49" s="61" t="inlineStr">
        <is>
          <t>psi_suggestion</t>
        </is>
      </c>
      <c r="B49" s="70" t="n">
        <v>6</v>
      </c>
      <c r="C49" s="70" t="n">
        <v>24</v>
      </c>
      <c r="D49" s="70" t="n">
        <v>60</v>
      </c>
      <c r="E49" s="64" t="n"/>
      <c r="F49" s="64" t="inlineStr">
        <is>
          <t>Suggestion</t>
        </is>
      </c>
      <c r="G49" s="64" t="inlineStr">
        <is>
          <t>(Subjektiv) Das Opfer macht eine Intelligenz Probe um ST x 3 erschwert. Bei Gelingen: keine Wirkung und das Opfer bemerkt den Verzauberungsversuch sofort.
Bei Misslingen: Der Magus darf einen Gesinnungsaspekt des Opfers um St. Punkte verschieben.</t>
        </is>
      </c>
      <c r="H49" s="64" t="inlineStr">
        <is>
          <t>Kein Aurabann</t>
        </is>
      </c>
      <c r="I49" s="64" t="inlineStr">
        <is>
          <t>Aura</t>
        </is>
      </c>
      <c r="J49" s="70" t="inlineStr">
        <is>
          <t>Aus</t>
        </is>
      </c>
      <c r="K49" s="70" t="inlineStr">
        <is>
          <t>(M)* 0,5m</t>
        </is>
      </c>
      <c r="L49" s="70" t="n">
        <v>1</v>
      </c>
      <c r="M49" s="70" t="inlineStr">
        <is>
          <t>sofort</t>
        </is>
      </c>
      <c r="N49" s="64" t="inlineStr">
        <is>
          <t>(M) min</t>
        </is>
      </c>
      <c r="O49" s="64" t="n">
        <v>5</v>
      </c>
      <c r="P49" s="64" t="inlineStr">
        <is>
          <t>St*3</t>
        </is>
      </c>
      <c r="Q49" s="67" t="inlineStr">
        <is>
          <t>PSI_Magie_Zaubertabelle_1_421.xlsx</t>
        </is>
      </c>
    </row>
    <row r="50" ht="52.70000076293945" customHeight="1" s="48">
      <c r="A50" s="61" t="inlineStr">
        <is>
          <t>psi_suggestion</t>
        </is>
      </c>
      <c r="B50" s="70" t="n">
        <v>7</v>
      </c>
      <c r="C50" s="70" t="n">
        <v>28</v>
      </c>
      <c r="D50" s="70" t="n">
        <v>80</v>
      </c>
      <c r="E50" s="64" t="n"/>
      <c r="F50" s="64" t="inlineStr">
        <is>
          <t>Suggestion</t>
        </is>
      </c>
      <c r="G50" s="64" t="inlineStr">
        <is>
          <t>(Subjektiv) Das Opfer macht eine Intelligenz Probe um ST x 3 erschwert. Bei Gelingen: keine Wirkung und das Opfer bemerkt den Verzauberungsversuch sofort.
Bei Misslingen: Der Magus darf einen Gesinnungsaspekt des Opfers um St. Punkte verschieben.</t>
        </is>
      </c>
      <c r="H50" s="64" t="inlineStr">
        <is>
          <t>Kein Aurabann</t>
        </is>
      </c>
      <c r="I50" s="64" t="inlineStr">
        <is>
          <t>Aura</t>
        </is>
      </c>
      <c r="J50" s="70" t="inlineStr">
        <is>
          <t>Aus</t>
        </is>
      </c>
      <c r="K50" s="70" t="inlineStr">
        <is>
          <t>(M)* 0,5m</t>
        </is>
      </c>
      <c r="L50" s="70" t="n">
        <v>1</v>
      </c>
      <c r="M50" s="70" t="inlineStr">
        <is>
          <t>sofort</t>
        </is>
      </c>
      <c r="N50" s="64" t="inlineStr">
        <is>
          <t>(M) min</t>
        </is>
      </c>
      <c r="O50" s="64" t="n">
        <v>5</v>
      </c>
      <c r="P50" s="64" t="inlineStr">
        <is>
          <t>St*3</t>
        </is>
      </c>
      <c r="Q50" s="67" t="inlineStr">
        <is>
          <t>PSI_Magie_Zaubertabelle_1_421.xlsx</t>
        </is>
      </c>
    </row>
    <row r="51" ht="52.70000076293945" customHeight="1" s="48">
      <c r="A51" s="61" t="inlineStr">
        <is>
          <t>psi_im_schatten_verstecken</t>
        </is>
      </c>
      <c r="B51" s="70" t="n">
        <v>1</v>
      </c>
      <c r="C51" s="70" t="n">
        <v>2</v>
      </c>
      <c r="D51" s="70" t="n">
        <v>5</v>
      </c>
      <c r="E51" s="64" t="n"/>
      <c r="F51" s="64" t="inlineStr">
        <is>
          <t>Im Schatten verstecken</t>
        </is>
      </c>
      <c r="G51"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1" s="64" t="inlineStr">
        <is>
          <t>Kein Aurabann</t>
        </is>
      </c>
      <c r="I51" s="64" t="inlineStr">
        <is>
          <t>Aura</t>
        </is>
      </c>
      <c r="J51" s="70" t="inlineStr">
        <is>
          <t>Aus</t>
        </is>
      </c>
      <c r="K51" s="70" t="inlineStr">
        <is>
          <t>Selbst</t>
        </is>
      </c>
      <c r="L51" s="70" t="n">
        <v>1</v>
      </c>
      <c r="M51" s="70" t="inlineStr">
        <is>
          <t>sofort</t>
        </is>
      </c>
      <c r="N51" s="64" t="inlineStr">
        <is>
          <t>(M)*3Min</t>
        </is>
      </c>
      <c r="O51" s="64" t="n">
        <v>10</v>
      </c>
      <c r="P51" s="64" t="inlineStr">
        <is>
          <t>St*6</t>
        </is>
      </c>
      <c r="Q51" s="67" t="inlineStr">
        <is>
          <t>PSI_Magie_Zaubertabelle_1_421.xlsx</t>
        </is>
      </c>
    </row>
    <row r="52" ht="52.70000076293945" customHeight="1" s="48">
      <c r="A52" s="61" t="inlineStr">
        <is>
          <t>psi_im_schatten_verstecken</t>
        </is>
      </c>
      <c r="B52" s="70" t="n">
        <v>2</v>
      </c>
      <c r="C52" s="70" t="n">
        <v>5</v>
      </c>
      <c r="D52" s="70" t="n">
        <v>10</v>
      </c>
      <c r="E52" s="64" t="n"/>
      <c r="F52" s="64" t="inlineStr">
        <is>
          <t>Im Schatten verstecken</t>
        </is>
      </c>
      <c r="G52"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2" s="64" t="inlineStr">
        <is>
          <t>Kein Aurabann</t>
        </is>
      </c>
      <c r="I52" s="64" t="inlineStr">
        <is>
          <t>Aura</t>
        </is>
      </c>
      <c r="J52" s="70" t="inlineStr">
        <is>
          <t>Aus</t>
        </is>
      </c>
      <c r="K52" s="70" t="inlineStr">
        <is>
          <t>Selbst</t>
        </is>
      </c>
      <c r="L52" s="70" t="n">
        <v>1</v>
      </c>
      <c r="M52" s="70" t="inlineStr">
        <is>
          <t>sofort</t>
        </is>
      </c>
      <c r="N52" s="64" t="inlineStr">
        <is>
          <t>(M)*3Min</t>
        </is>
      </c>
      <c r="O52" s="64" t="n">
        <v>10</v>
      </c>
      <c r="P52" s="64" t="inlineStr">
        <is>
          <t>St*6</t>
        </is>
      </c>
      <c r="Q52" s="67" t="inlineStr">
        <is>
          <t>PSI_Magie_Zaubertabelle_1_421.xlsx</t>
        </is>
      </c>
    </row>
    <row r="53" ht="52.70000076293945" customHeight="1" s="48">
      <c r="A53" s="61" t="inlineStr">
        <is>
          <t>psi_im_schatten_verstecken</t>
        </is>
      </c>
      <c r="B53" s="70" t="n">
        <v>3</v>
      </c>
      <c r="C53" s="70" t="n">
        <v>8</v>
      </c>
      <c r="D53" s="70" t="n">
        <v>20</v>
      </c>
      <c r="E53" s="64" t="n"/>
      <c r="F53" s="64" t="inlineStr">
        <is>
          <t>Im Schatten verstecken</t>
        </is>
      </c>
      <c r="G53"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3" s="64" t="inlineStr">
        <is>
          <t>Kein Aurabann</t>
        </is>
      </c>
      <c r="I53" s="64" t="inlineStr">
        <is>
          <t>Aura</t>
        </is>
      </c>
      <c r="J53" s="70" t="inlineStr">
        <is>
          <t>Aus</t>
        </is>
      </c>
      <c r="K53" s="70" t="inlineStr">
        <is>
          <t>Selbst</t>
        </is>
      </c>
      <c r="L53" s="70" t="n">
        <v>1</v>
      </c>
      <c r="M53" s="70" t="inlineStr">
        <is>
          <t>sofort</t>
        </is>
      </c>
      <c r="N53" s="64" t="inlineStr">
        <is>
          <t>(M)*3Min</t>
        </is>
      </c>
      <c r="O53" s="64" t="n">
        <v>10</v>
      </c>
      <c r="P53" s="64" t="inlineStr">
        <is>
          <t>St*6</t>
        </is>
      </c>
      <c r="Q53" s="67" t="inlineStr">
        <is>
          <t>PSI_Magie_Zaubertabelle_1_421.xlsx</t>
        </is>
      </c>
    </row>
    <row r="54" ht="52.70000076293945" customHeight="1" s="48">
      <c r="A54" s="61" t="inlineStr">
        <is>
          <t>psi_im_schatten_verstecken</t>
        </is>
      </c>
      <c r="B54" s="70" t="n">
        <v>4</v>
      </c>
      <c r="C54" s="70" t="n">
        <v>11</v>
      </c>
      <c r="D54" s="70" t="n">
        <v>35</v>
      </c>
      <c r="E54" s="64" t="n"/>
      <c r="F54" s="64" t="inlineStr">
        <is>
          <t>Im Schatten verstecken</t>
        </is>
      </c>
      <c r="G54"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4" s="64" t="inlineStr">
        <is>
          <t>Kein Aurabann</t>
        </is>
      </c>
      <c r="I54" s="64" t="inlineStr">
        <is>
          <t>Aura</t>
        </is>
      </c>
      <c r="J54" s="70" t="inlineStr">
        <is>
          <t>Aus</t>
        </is>
      </c>
      <c r="K54" s="70" t="inlineStr">
        <is>
          <t>Selbst</t>
        </is>
      </c>
      <c r="L54" s="70" t="n">
        <v>1</v>
      </c>
      <c r="M54" s="70" t="inlineStr">
        <is>
          <t>sofort</t>
        </is>
      </c>
      <c r="N54" s="64" t="inlineStr">
        <is>
          <t>(M)*3Min</t>
        </is>
      </c>
      <c r="O54" s="64" t="n">
        <v>10</v>
      </c>
      <c r="P54" s="64" t="inlineStr">
        <is>
          <t>St*6</t>
        </is>
      </c>
      <c r="Q54" s="67" t="inlineStr">
        <is>
          <t>PSI_Magie_Zaubertabelle_1_421.xlsx</t>
        </is>
      </c>
    </row>
    <row r="55" ht="52.70000076293945" customHeight="1" s="48">
      <c r="A55" s="61" t="inlineStr">
        <is>
          <t>psi_im_schatten_verstecken</t>
        </is>
      </c>
      <c r="B55" s="70" t="n">
        <v>5</v>
      </c>
      <c r="C55" s="70" t="n">
        <v>14</v>
      </c>
      <c r="D55" s="70" t="n">
        <v>55</v>
      </c>
      <c r="E55" s="64" t="n"/>
      <c r="F55" s="64" t="inlineStr">
        <is>
          <t>Im Schatten verstecken</t>
        </is>
      </c>
      <c r="G55"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5" s="64" t="inlineStr">
        <is>
          <t>Kein Aurabann</t>
        </is>
      </c>
      <c r="I55" s="64" t="inlineStr">
        <is>
          <t>Aura</t>
        </is>
      </c>
      <c r="J55" s="70" t="inlineStr">
        <is>
          <t>Aus</t>
        </is>
      </c>
      <c r="K55" s="70" t="inlineStr">
        <is>
          <t>Selbst</t>
        </is>
      </c>
      <c r="L55" s="70" t="n">
        <v>1</v>
      </c>
      <c r="M55" s="70" t="inlineStr">
        <is>
          <t>sofort</t>
        </is>
      </c>
      <c r="N55" s="64" t="inlineStr">
        <is>
          <t>(M)*3Min</t>
        </is>
      </c>
      <c r="O55" s="64" t="n">
        <v>10</v>
      </c>
      <c r="P55" s="64" t="inlineStr">
        <is>
          <t>St*6</t>
        </is>
      </c>
      <c r="Q55" s="67" t="inlineStr">
        <is>
          <t>PSI_Magie_Zaubertabelle_1_421.xlsx</t>
        </is>
      </c>
    </row>
    <row r="56" ht="52.70000076293945" customHeight="1" s="48">
      <c r="A56" s="61" t="inlineStr">
        <is>
          <t>psi_im_schatten_verstecken</t>
        </is>
      </c>
      <c r="B56" s="70" t="n">
        <v>6</v>
      </c>
      <c r="C56" s="70" t="n">
        <v>17</v>
      </c>
      <c r="D56" s="70" t="n">
        <v>70</v>
      </c>
      <c r="E56" s="64" t="n"/>
      <c r="F56" s="64" t="inlineStr">
        <is>
          <t>Im Schatten verstecken</t>
        </is>
      </c>
      <c r="G56"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6" s="64" t="inlineStr">
        <is>
          <t>Kein Aurabann</t>
        </is>
      </c>
      <c r="I56" s="64" t="inlineStr">
        <is>
          <t>Aura</t>
        </is>
      </c>
      <c r="J56" s="70" t="inlineStr">
        <is>
          <t>Aus</t>
        </is>
      </c>
      <c r="K56" s="70" t="inlineStr">
        <is>
          <t>Selbst</t>
        </is>
      </c>
      <c r="L56" s="70" t="n">
        <v>1</v>
      </c>
      <c r="M56" s="70" t="inlineStr">
        <is>
          <t>sofort</t>
        </is>
      </c>
      <c r="N56" s="64" t="inlineStr">
        <is>
          <t>(M)*3Min</t>
        </is>
      </c>
      <c r="O56" s="64" t="n">
        <v>10</v>
      </c>
      <c r="P56" s="64" t="inlineStr">
        <is>
          <t>St*6</t>
        </is>
      </c>
      <c r="Q56" s="67" t="inlineStr">
        <is>
          <t>PSI_Magie_Zaubertabelle_1_421.xlsx</t>
        </is>
      </c>
    </row>
    <row r="57" ht="52.70000076293945" customHeight="1" s="48">
      <c r="A57" s="61" t="inlineStr">
        <is>
          <t>psi_im_schatten_verstecken</t>
        </is>
      </c>
      <c r="B57" s="70" t="n">
        <v>7</v>
      </c>
      <c r="C57" s="70" t="n">
        <v>20</v>
      </c>
      <c r="D57" s="70" t="n">
        <v>90</v>
      </c>
      <c r="E57" s="64" t="n"/>
      <c r="F57" s="64" t="inlineStr">
        <is>
          <t>Im Schatten verstecken</t>
        </is>
      </c>
      <c r="G57"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7" s="64" t="inlineStr">
        <is>
          <t>Kein Aurabann</t>
        </is>
      </c>
      <c r="I57" s="64" t="inlineStr">
        <is>
          <t>Aura</t>
        </is>
      </c>
      <c r="J57" s="70" t="inlineStr">
        <is>
          <t>Aus</t>
        </is>
      </c>
      <c r="K57" s="70" t="inlineStr">
        <is>
          <t>Selbst</t>
        </is>
      </c>
      <c r="L57" s="70" t="n">
        <v>1</v>
      </c>
      <c r="M57" s="70" t="inlineStr">
        <is>
          <t>sofort</t>
        </is>
      </c>
      <c r="N57" s="64" t="inlineStr">
        <is>
          <t>(M)*3Min</t>
        </is>
      </c>
      <c r="O57" s="64" t="n">
        <v>10</v>
      </c>
      <c r="P57" s="64" t="inlineStr">
        <is>
          <t>St*6</t>
        </is>
      </c>
      <c r="Q57" s="67" t="inlineStr">
        <is>
          <t>PSI_Magie_Zaubertabelle_1_421.xlsx</t>
        </is>
      </c>
    </row>
    <row r="58" ht="39.59999847412109" customHeight="1" s="48">
      <c r="A58" s="61" t="inlineStr">
        <is>
          <t>psi_im_wald_verstecken</t>
        </is>
      </c>
      <c r="B58" s="70" t="n">
        <v>1</v>
      </c>
      <c r="C58" s="70" t="n">
        <v>2</v>
      </c>
      <c r="D58" s="70" t="n">
        <v>5</v>
      </c>
      <c r="E58" s="64" t="n"/>
      <c r="F58" s="64" t="inlineStr">
        <is>
          <t>Im Wald verstecken</t>
        </is>
      </c>
      <c r="G5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8" s="64" t="inlineStr">
        <is>
          <t>Kein Aurabann</t>
        </is>
      </c>
      <c r="I58" s="64" t="inlineStr">
        <is>
          <t>Aura</t>
        </is>
      </c>
      <c r="J58" s="70" t="inlineStr">
        <is>
          <t>Aus</t>
        </is>
      </c>
      <c r="K58" s="70" t="inlineStr">
        <is>
          <t>Selbst</t>
        </is>
      </c>
      <c r="L58" s="70" t="n">
        <v>1</v>
      </c>
      <c r="M58" s="70" t="inlineStr">
        <is>
          <t>sofort</t>
        </is>
      </c>
      <c r="N58" s="64" t="inlineStr">
        <is>
          <t>(M)*3Min</t>
        </is>
      </c>
      <c r="O58" s="64" t="n">
        <v>10</v>
      </c>
      <c r="P58" s="64" t="inlineStr">
        <is>
          <t>St*6</t>
        </is>
      </c>
      <c r="Q58" s="67" t="inlineStr">
        <is>
          <t>PSI_Magie_Zaubertabelle_1_421.xlsx</t>
        </is>
      </c>
    </row>
    <row r="59" ht="39.59999847412109" customHeight="1" s="48">
      <c r="A59" s="61" t="inlineStr">
        <is>
          <t>psi_im_wald_verstecken</t>
        </is>
      </c>
      <c r="B59" s="70" t="n">
        <v>2</v>
      </c>
      <c r="C59" s="70" t="n">
        <v>5</v>
      </c>
      <c r="D59" s="70" t="n">
        <v>10</v>
      </c>
      <c r="E59" s="64" t="n"/>
      <c r="F59" s="64" t="inlineStr">
        <is>
          <t>Im Wald verstecken</t>
        </is>
      </c>
      <c r="G5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9" s="64" t="inlineStr">
        <is>
          <t>Kein Aurabann</t>
        </is>
      </c>
      <c r="I59" s="64" t="inlineStr">
        <is>
          <t>Aura</t>
        </is>
      </c>
      <c r="J59" s="70" t="inlineStr">
        <is>
          <t>Aus</t>
        </is>
      </c>
      <c r="K59" s="70" t="inlineStr">
        <is>
          <t>Selbst</t>
        </is>
      </c>
      <c r="L59" s="70" t="n">
        <v>1</v>
      </c>
      <c r="M59" s="70" t="inlineStr">
        <is>
          <t>sofort</t>
        </is>
      </c>
      <c r="N59" s="64" t="inlineStr">
        <is>
          <t>(M)*3Min</t>
        </is>
      </c>
      <c r="O59" s="64" t="n">
        <v>10</v>
      </c>
      <c r="P59" s="64" t="inlineStr">
        <is>
          <t>St*6</t>
        </is>
      </c>
      <c r="Q59" s="67" t="inlineStr">
        <is>
          <t>PSI_Magie_Zaubertabelle_1_421.xlsx</t>
        </is>
      </c>
    </row>
    <row r="60" ht="39.59999847412109" customHeight="1" s="48">
      <c r="A60" s="61" t="inlineStr">
        <is>
          <t>psi_im_wald_verstecken</t>
        </is>
      </c>
      <c r="B60" s="70" t="n">
        <v>3</v>
      </c>
      <c r="C60" s="70" t="n">
        <v>8</v>
      </c>
      <c r="D60" s="70" t="n">
        <v>20</v>
      </c>
      <c r="E60" s="64" t="n"/>
      <c r="F60" s="64" t="inlineStr">
        <is>
          <t>Im Wald verstecken</t>
        </is>
      </c>
      <c r="G6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0" s="64" t="inlineStr">
        <is>
          <t>Kein Aurabann</t>
        </is>
      </c>
      <c r="I60" s="64" t="inlineStr">
        <is>
          <t>Aura</t>
        </is>
      </c>
      <c r="J60" s="70" t="inlineStr">
        <is>
          <t>Aus</t>
        </is>
      </c>
      <c r="K60" s="70" t="inlineStr">
        <is>
          <t>Selbst</t>
        </is>
      </c>
      <c r="L60" s="70" t="n">
        <v>1</v>
      </c>
      <c r="M60" s="70" t="inlineStr">
        <is>
          <t>sofort</t>
        </is>
      </c>
      <c r="N60" s="64" t="inlineStr">
        <is>
          <t>(M)*3Min</t>
        </is>
      </c>
      <c r="O60" s="64" t="n">
        <v>10</v>
      </c>
      <c r="P60" s="64" t="inlineStr">
        <is>
          <t>St*6</t>
        </is>
      </c>
      <c r="Q60" s="67" t="inlineStr">
        <is>
          <t>PSI_Magie_Zaubertabelle_1_421.xlsx</t>
        </is>
      </c>
    </row>
    <row r="61" ht="39.59999847412109" customHeight="1" s="48">
      <c r="A61" s="61" t="inlineStr">
        <is>
          <t>psi_im_wald_verstecken</t>
        </is>
      </c>
      <c r="B61" s="70" t="n">
        <v>4</v>
      </c>
      <c r="C61" s="70" t="n">
        <v>11</v>
      </c>
      <c r="D61" s="70" t="n">
        <v>35</v>
      </c>
      <c r="E61" s="64" t="n"/>
      <c r="F61" s="64" t="inlineStr">
        <is>
          <t>Im Wald verstecken</t>
        </is>
      </c>
      <c r="G6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1" s="64" t="inlineStr">
        <is>
          <t>Kein Aurabann</t>
        </is>
      </c>
      <c r="I61" s="64" t="inlineStr">
        <is>
          <t>Aura</t>
        </is>
      </c>
      <c r="J61" s="70" t="inlineStr">
        <is>
          <t>Aus</t>
        </is>
      </c>
      <c r="K61" s="70" t="inlineStr">
        <is>
          <t>Selbst</t>
        </is>
      </c>
      <c r="L61" s="70" t="n">
        <v>1</v>
      </c>
      <c r="M61" s="70" t="inlineStr">
        <is>
          <t>sofort</t>
        </is>
      </c>
      <c r="N61" s="64" t="inlineStr">
        <is>
          <t>(M)*3Min</t>
        </is>
      </c>
      <c r="O61" s="64" t="n">
        <v>10</v>
      </c>
      <c r="P61" s="64" t="inlineStr">
        <is>
          <t>St*6</t>
        </is>
      </c>
      <c r="Q61" s="67" t="inlineStr">
        <is>
          <t>PSI_Magie_Zaubertabelle_1_421.xlsx</t>
        </is>
      </c>
    </row>
    <row r="62" ht="39.59999847412109" customHeight="1" s="48">
      <c r="A62" s="61" t="inlineStr">
        <is>
          <t>psi_im_wald_verstecken</t>
        </is>
      </c>
      <c r="B62" s="70" t="n">
        <v>5</v>
      </c>
      <c r="C62" s="70" t="n">
        <v>14</v>
      </c>
      <c r="D62" s="70" t="n">
        <v>55</v>
      </c>
      <c r="E62" s="64" t="n"/>
      <c r="F62" s="64" t="inlineStr">
        <is>
          <t>Im Wald verstecken</t>
        </is>
      </c>
      <c r="G6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2" s="64" t="inlineStr">
        <is>
          <t>Kein Aurabann</t>
        </is>
      </c>
      <c r="I62" s="64" t="inlineStr">
        <is>
          <t>Aura</t>
        </is>
      </c>
      <c r="J62" s="70" t="inlineStr">
        <is>
          <t>Aus</t>
        </is>
      </c>
      <c r="K62" s="70" t="inlineStr">
        <is>
          <t>Selbst</t>
        </is>
      </c>
      <c r="L62" s="70" t="n">
        <v>1</v>
      </c>
      <c r="M62" s="70" t="inlineStr">
        <is>
          <t>sofort</t>
        </is>
      </c>
      <c r="N62" s="64" t="inlineStr">
        <is>
          <t>(M)*3Min</t>
        </is>
      </c>
      <c r="O62" s="64" t="n">
        <v>10</v>
      </c>
      <c r="P62" s="64" t="inlineStr">
        <is>
          <t>St*6</t>
        </is>
      </c>
      <c r="Q62" s="67" t="inlineStr">
        <is>
          <t>PSI_Magie_Zaubertabelle_1_421.xlsx</t>
        </is>
      </c>
    </row>
    <row r="63" ht="39.59999847412109" customHeight="1" s="48">
      <c r="A63" s="61" t="inlineStr">
        <is>
          <t>psi_im_wald_verstecken</t>
        </is>
      </c>
      <c r="B63" s="70" t="n">
        <v>6</v>
      </c>
      <c r="C63" s="70" t="n">
        <v>17</v>
      </c>
      <c r="D63" s="70" t="n">
        <v>70</v>
      </c>
      <c r="E63" s="64" t="n"/>
      <c r="F63" s="64" t="inlineStr">
        <is>
          <t>Im Wald verstecken</t>
        </is>
      </c>
      <c r="G6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3" s="64" t="inlineStr">
        <is>
          <t>Kein Aurabann</t>
        </is>
      </c>
      <c r="I63" s="64" t="inlineStr">
        <is>
          <t>Aura</t>
        </is>
      </c>
      <c r="J63" s="70" t="inlineStr">
        <is>
          <t>Aus</t>
        </is>
      </c>
      <c r="K63" s="70" t="inlineStr">
        <is>
          <t>Selbst</t>
        </is>
      </c>
      <c r="L63" s="70" t="n">
        <v>1</v>
      </c>
      <c r="M63" s="70" t="inlineStr">
        <is>
          <t>sofort</t>
        </is>
      </c>
      <c r="N63" s="64" t="inlineStr">
        <is>
          <t>(M)*3Min</t>
        </is>
      </c>
      <c r="O63" s="64" t="n">
        <v>10</v>
      </c>
      <c r="P63" s="64" t="inlineStr">
        <is>
          <t>St*6</t>
        </is>
      </c>
      <c r="Q63" s="67" t="inlineStr">
        <is>
          <t>PSI_Magie_Zaubertabelle_1_421.xlsx</t>
        </is>
      </c>
    </row>
    <row r="64" ht="39.59999847412109" customHeight="1" s="48">
      <c r="A64" s="61" t="inlineStr">
        <is>
          <t>psi_im_wald_verstecken</t>
        </is>
      </c>
      <c r="B64" s="70" t="n">
        <v>7</v>
      </c>
      <c r="C64" s="70" t="n">
        <v>20</v>
      </c>
      <c r="D64" s="70" t="n">
        <v>90</v>
      </c>
      <c r="E64" s="64" t="n"/>
      <c r="F64" s="64" t="inlineStr">
        <is>
          <t>Im Wald verstecken</t>
        </is>
      </c>
      <c r="G6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4" s="64" t="inlineStr">
        <is>
          <t>Kein Aurabann</t>
        </is>
      </c>
      <c r="I64" s="64" t="inlineStr">
        <is>
          <t>Aura</t>
        </is>
      </c>
      <c r="J64" s="70" t="inlineStr">
        <is>
          <t>Aus</t>
        </is>
      </c>
      <c r="K64" s="70" t="inlineStr">
        <is>
          <t>Selbst</t>
        </is>
      </c>
      <c r="L64" s="70" t="n">
        <v>1</v>
      </c>
      <c r="M64" s="70" t="inlineStr">
        <is>
          <t>sofort</t>
        </is>
      </c>
      <c r="N64" s="64" t="inlineStr">
        <is>
          <t>(M)*3Min</t>
        </is>
      </c>
      <c r="O64" s="64" t="n">
        <v>10</v>
      </c>
      <c r="P64" s="64" t="inlineStr">
        <is>
          <t>St*6</t>
        </is>
      </c>
      <c r="Q64" s="67" t="inlineStr">
        <is>
          <t>PSI_Magie_Zaubertabelle_1_421.xlsx</t>
        </is>
      </c>
    </row>
    <row r="65" ht="39.59999847412109" customHeight="1" s="48">
      <c r="A65" s="61" t="inlineStr">
        <is>
          <t>psi_in_der_menge_verstecken</t>
        </is>
      </c>
      <c r="B65" s="70" t="n">
        <v>1</v>
      </c>
      <c r="C65" s="70" t="n">
        <v>2</v>
      </c>
      <c r="D65" s="70" t="n">
        <v>5</v>
      </c>
      <c r="E65" s="64" t="n"/>
      <c r="F65" s="64" t="inlineStr">
        <is>
          <t>In der Menge verstecken</t>
        </is>
      </c>
      <c r="G6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5" s="64" t="inlineStr">
        <is>
          <t>Kein Aurabann</t>
        </is>
      </c>
      <c r="I65" s="64" t="inlineStr">
        <is>
          <t>Aura</t>
        </is>
      </c>
      <c r="J65" s="70" t="inlineStr">
        <is>
          <t>Aus</t>
        </is>
      </c>
      <c r="K65" s="70" t="inlineStr">
        <is>
          <t>Selbst</t>
        </is>
      </c>
      <c r="L65" s="70" t="n">
        <v>1</v>
      </c>
      <c r="M65" s="70" t="inlineStr">
        <is>
          <t>sofort</t>
        </is>
      </c>
      <c r="N65" s="64" t="inlineStr">
        <is>
          <t>(M)*3Min</t>
        </is>
      </c>
      <c r="O65" s="64" t="n">
        <v>10</v>
      </c>
      <c r="P65" s="64" t="inlineStr">
        <is>
          <t>St*6</t>
        </is>
      </c>
      <c r="Q65" s="67" t="inlineStr">
        <is>
          <t>PSI_Magie_Zaubertabelle_1_421.xlsx</t>
        </is>
      </c>
    </row>
    <row r="66" ht="39.59999847412109" customHeight="1" s="48">
      <c r="A66" s="61" t="inlineStr">
        <is>
          <t>psi_in_der_menge_verstecken</t>
        </is>
      </c>
      <c r="B66" s="70" t="n">
        <v>2</v>
      </c>
      <c r="C66" s="70" t="n">
        <v>5</v>
      </c>
      <c r="D66" s="70" t="n">
        <v>10</v>
      </c>
      <c r="E66" s="64" t="n"/>
      <c r="F66" s="64" t="inlineStr">
        <is>
          <t>In der Menge verstecken</t>
        </is>
      </c>
      <c r="G6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6" s="64" t="inlineStr">
        <is>
          <t>Kein Aurabann</t>
        </is>
      </c>
      <c r="I66" s="64" t="inlineStr">
        <is>
          <t>Aura</t>
        </is>
      </c>
      <c r="J66" s="70" t="inlineStr">
        <is>
          <t>Aus</t>
        </is>
      </c>
      <c r="K66" s="70" t="inlineStr">
        <is>
          <t>Selbst</t>
        </is>
      </c>
      <c r="L66" s="70" t="n">
        <v>1</v>
      </c>
      <c r="M66" s="70" t="inlineStr">
        <is>
          <t>sofort</t>
        </is>
      </c>
      <c r="N66" s="64" t="inlineStr">
        <is>
          <t>(M)*3Min</t>
        </is>
      </c>
      <c r="O66" s="64" t="n">
        <v>10</v>
      </c>
      <c r="P66" s="64" t="inlineStr">
        <is>
          <t>St*6</t>
        </is>
      </c>
      <c r="Q66" s="67" t="inlineStr">
        <is>
          <t>PSI_Magie_Zaubertabelle_1_421.xlsx</t>
        </is>
      </c>
    </row>
    <row r="67" ht="39.59999847412109" customHeight="1" s="48">
      <c r="A67" s="61" t="inlineStr">
        <is>
          <t>psi_in_der_menge_verstecken</t>
        </is>
      </c>
      <c r="B67" s="70" t="n">
        <v>3</v>
      </c>
      <c r="C67" s="70" t="n">
        <v>8</v>
      </c>
      <c r="D67" s="70" t="n">
        <v>20</v>
      </c>
      <c r="E67" s="64" t="n"/>
      <c r="F67" s="64" t="inlineStr">
        <is>
          <t>In der Menge verstecken</t>
        </is>
      </c>
      <c r="G6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7" s="64" t="inlineStr">
        <is>
          <t>Kein Aurabann</t>
        </is>
      </c>
      <c r="I67" s="64" t="inlineStr">
        <is>
          <t>Aura</t>
        </is>
      </c>
      <c r="J67" s="70" t="inlineStr">
        <is>
          <t>Aus</t>
        </is>
      </c>
      <c r="K67" s="70" t="inlineStr">
        <is>
          <t>Selbst</t>
        </is>
      </c>
      <c r="L67" s="70" t="n">
        <v>1</v>
      </c>
      <c r="M67" s="70" t="inlineStr">
        <is>
          <t>sofort</t>
        </is>
      </c>
      <c r="N67" s="64" t="inlineStr">
        <is>
          <t>(M)*3Min</t>
        </is>
      </c>
      <c r="O67" s="64" t="n">
        <v>10</v>
      </c>
      <c r="P67" s="64" t="inlineStr">
        <is>
          <t>St*6</t>
        </is>
      </c>
      <c r="Q67" s="67" t="inlineStr">
        <is>
          <t>PSI_Magie_Zaubertabelle_1_421.xlsx</t>
        </is>
      </c>
    </row>
    <row r="68" ht="39.59999847412109" customHeight="1" s="48">
      <c r="A68" s="61" t="inlineStr">
        <is>
          <t>psi_in_der_menge_verstecken</t>
        </is>
      </c>
      <c r="B68" s="70" t="n">
        <v>4</v>
      </c>
      <c r="C68" s="70" t="n">
        <v>11</v>
      </c>
      <c r="D68" s="70" t="n">
        <v>35</v>
      </c>
      <c r="E68" s="64" t="n"/>
      <c r="F68" s="64" t="inlineStr">
        <is>
          <t>In der Menge verstecken</t>
        </is>
      </c>
      <c r="G6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8" s="64" t="inlineStr">
        <is>
          <t>Kein Aurabann</t>
        </is>
      </c>
      <c r="I68" s="64" t="inlineStr">
        <is>
          <t>Aura</t>
        </is>
      </c>
      <c r="J68" s="70" t="inlineStr">
        <is>
          <t>Aus</t>
        </is>
      </c>
      <c r="K68" s="70" t="inlineStr">
        <is>
          <t>Selbst</t>
        </is>
      </c>
      <c r="L68" s="70" t="n">
        <v>1</v>
      </c>
      <c r="M68" s="70" t="inlineStr">
        <is>
          <t>sofort</t>
        </is>
      </c>
      <c r="N68" s="64" t="inlineStr">
        <is>
          <t>(M)*3Min</t>
        </is>
      </c>
      <c r="O68" s="64" t="n">
        <v>10</v>
      </c>
      <c r="P68" s="64" t="inlineStr">
        <is>
          <t>St*6</t>
        </is>
      </c>
      <c r="Q68" s="67" t="inlineStr">
        <is>
          <t>PSI_Magie_Zaubertabelle_1_421.xlsx</t>
        </is>
      </c>
    </row>
    <row r="69" ht="39.59999847412109" customHeight="1" s="48">
      <c r="A69" s="61" t="inlineStr">
        <is>
          <t>psi_in_der_menge_verstecken</t>
        </is>
      </c>
      <c r="B69" s="70" t="n">
        <v>5</v>
      </c>
      <c r="C69" s="70" t="n">
        <v>14</v>
      </c>
      <c r="D69" s="70" t="n">
        <v>55</v>
      </c>
      <c r="E69" s="64" t="n"/>
      <c r="F69" s="64" t="inlineStr">
        <is>
          <t>In der Menge verstecken</t>
        </is>
      </c>
      <c r="G6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9" s="64" t="inlineStr">
        <is>
          <t>Kein Aurabann</t>
        </is>
      </c>
      <c r="I69" s="64" t="inlineStr">
        <is>
          <t>Aura</t>
        </is>
      </c>
      <c r="J69" s="70" t="inlineStr">
        <is>
          <t>Aus</t>
        </is>
      </c>
      <c r="K69" s="70" t="inlineStr">
        <is>
          <t>Selbst</t>
        </is>
      </c>
      <c r="L69" s="70" t="n">
        <v>1</v>
      </c>
      <c r="M69" s="70" t="inlineStr">
        <is>
          <t>sofort</t>
        </is>
      </c>
      <c r="N69" s="64" t="inlineStr">
        <is>
          <t>(M)*3Min</t>
        </is>
      </c>
      <c r="O69" s="64" t="n">
        <v>10</v>
      </c>
      <c r="P69" s="64" t="inlineStr">
        <is>
          <t>St*6</t>
        </is>
      </c>
      <c r="Q69" s="67" t="inlineStr">
        <is>
          <t>PSI_Magie_Zaubertabelle_1_421.xlsx</t>
        </is>
      </c>
    </row>
    <row r="70" ht="39.59999847412109" customHeight="1" s="48">
      <c r="A70" s="61" t="inlineStr">
        <is>
          <t>psi_in_der_menge_verstecken</t>
        </is>
      </c>
      <c r="B70" s="70" t="n">
        <v>6</v>
      </c>
      <c r="C70" s="70" t="n">
        <v>17</v>
      </c>
      <c r="D70" s="70" t="n">
        <v>70</v>
      </c>
      <c r="E70" s="64" t="n"/>
      <c r="F70" s="64" t="inlineStr">
        <is>
          <t>In der Menge verstecken</t>
        </is>
      </c>
      <c r="G7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0" s="64" t="inlineStr">
        <is>
          <t>Kein Aurabann</t>
        </is>
      </c>
      <c r="I70" s="64" t="inlineStr">
        <is>
          <t>Aura</t>
        </is>
      </c>
      <c r="J70" s="70" t="inlineStr">
        <is>
          <t>Aus</t>
        </is>
      </c>
      <c r="K70" s="70" t="inlineStr">
        <is>
          <t>Selbst</t>
        </is>
      </c>
      <c r="L70" s="70" t="n">
        <v>1</v>
      </c>
      <c r="M70" s="70" t="inlineStr">
        <is>
          <t>sofort</t>
        </is>
      </c>
      <c r="N70" s="64" t="inlineStr">
        <is>
          <t>(M)*3Min</t>
        </is>
      </c>
      <c r="O70" s="64" t="n">
        <v>10</v>
      </c>
      <c r="P70" s="64" t="inlineStr">
        <is>
          <t>St*6</t>
        </is>
      </c>
      <c r="Q70" s="67" t="inlineStr">
        <is>
          <t>PSI_Magie_Zaubertabelle_1_421.xlsx</t>
        </is>
      </c>
    </row>
    <row r="71" ht="39.59999847412109" customHeight="1" s="48">
      <c r="A71" s="61" t="inlineStr">
        <is>
          <t>psi_in_der_menge_verstecken</t>
        </is>
      </c>
      <c r="B71" s="70" t="n">
        <v>7</v>
      </c>
      <c r="C71" s="70" t="n">
        <v>20</v>
      </c>
      <c r="D71" s="70" t="n">
        <v>90</v>
      </c>
      <c r="E71" s="64" t="n"/>
      <c r="F71" s="64" t="inlineStr">
        <is>
          <t>In der Menge verstecken</t>
        </is>
      </c>
      <c r="G7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1" s="64" t="inlineStr">
        <is>
          <t>Kein Aurabann</t>
        </is>
      </c>
      <c r="I71" s="64" t="inlineStr">
        <is>
          <t>Aura</t>
        </is>
      </c>
      <c r="J71" s="70" t="inlineStr">
        <is>
          <t>Aus</t>
        </is>
      </c>
      <c r="K71" s="70" t="inlineStr">
        <is>
          <t>Selbst</t>
        </is>
      </c>
      <c r="L71" s="70" t="n">
        <v>1</v>
      </c>
      <c r="M71" s="70" t="inlineStr">
        <is>
          <t>sofort</t>
        </is>
      </c>
      <c r="N71" s="64" t="inlineStr">
        <is>
          <t>(M)*3Min</t>
        </is>
      </c>
      <c r="O71" s="64" t="n">
        <v>10</v>
      </c>
      <c r="P71" s="64" t="inlineStr">
        <is>
          <t>St*6</t>
        </is>
      </c>
      <c r="Q71" s="67" t="inlineStr">
        <is>
          <t>PSI_Magie_Zaubertabelle_1_421.xlsx</t>
        </is>
      </c>
    </row>
    <row r="72" ht="39.59999847412109" customHeight="1" s="48">
      <c r="A72" s="61" t="inlineStr">
        <is>
          <t>psi_in_der_ferne_verstecken</t>
        </is>
      </c>
      <c r="B72" s="70" t="n">
        <v>1</v>
      </c>
      <c r="C72" s="70" t="n">
        <v>2</v>
      </c>
      <c r="D72" s="70" t="n">
        <v>5</v>
      </c>
      <c r="E72" s="64" t="n"/>
      <c r="F72" s="64" t="inlineStr">
        <is>
          <t>In der Ferne verstecken</t>
        </is>
      </c>
      <c r="G7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2" s="64" t="inlineStr">
        <is>
          <t>Kein Aurabann</t>
        </is>
      </c>
      <c r="I72" s="64" t="inlineStr">
        <is>
          <t>Aura</t>
        </is>
      </c>
      <c r="J72" s="70" t="inlineStr">
        <is>
          <t>Aus</t>
        </is>
      </c>
      <c r="K72" s="70" t="inlineStr">
        <is>
          <t>Selbst</t>
        </is>
      </c>
      <c r="L72" s="70" t="n">
        <v>1</v>
      </c>
      <c r="M72" s="70" t="inlineStr">
        <is>
          <t>sofort</t>
        </is>
      </c>
      <c r="N72" s="64" t="inlineStr">
        <is>
          <t>(M)*3Min</t>
        </is>
      </c>
      <c r="O72" s="64" t="n">
        <v>10</v>
      </c>
      <c r="P72" s="64" t="inlineStr">
        <is>
          <t>St*6</t>
        </is>
      </c>
      <c r="Q72" s="67" t="inlineStr">
        <is>
          <t>PSI_Magie_Zaubertabelle_1_421.xlsx</t>
        </is>
      </c>
    </row>
    <row r="73" ht="39.59999847412109" customHeight="1" s="48">
      <c r="A73" s="61" t="inlineStr">
        <is>
          <t>psi_in_der_ferne_verstecken</t>
        </is>
      </c>
      <c r="B73" s="70" t="n">
        <v>2</v>
      </c>
      <c r="C73" s="70" t="n">
        <v>5</v>
      </c>
      <c r="D73" s="70" t="n">
        <v>10</v>
      </c>
      <c r="E73" s="64" t="n"/>
      <c r="F73" s="64" t="inlineStr">
        <is>
          <t>In der Ferne verstecken</t>
        </is>
      </c>
      <c r="G7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3" s="64" t="inlineStr">
        <is>
          <t>Kein Aurabann</t>
        </is>
      </c>
      <c r="I73" s="64" t="inlineStr">
        <is>
          <t>Aura</t>
        </is>
      </c>
      <c r="J73" s="70" t="inlineStr">
        <is>
          <t>Aus</t>
        </is>
      </c>
      <c r="K73" s="70" t="inlineStr">
        <is>
          <t>Selbst</t>
        </is>
      </c>
      <c r="L73" s="70" t="n">
        <v>1</v>
      </c>
      <c r="M73" s="70" t="inlineStr">
        <is>
          <t>sofort</t>
        </is>
      </c>
      <c r="N73" s="64" t="inlineStr">
        <is>
          <t>(M)*3Min</t>
        </is>
      </c>
      <c r="O73" s="64" t="n">
        <v>10</v>
      </c>
      <c r="P73" s="64" t="inlineStr">
        <is>
          <t>St*6</t>
        </is>
      </c>
      <c r="Q73" s="67" t="inlineStr">
        <is>
          <t>PSI_Magie_Zaubertabelle_1_421.xlsx</t>
        </is>
      </c>
    </row>
    <row r="74" ht="39.59999847412109" customHeight="1" s="48">
      <c r="A74" s="61" t="inlineStr">
        <is>
          <t>psi_in_der_ferne_verstecken</t>
        </is>
      </c>
      <c r="B74" s="70" t="n">
        <v>3</v>
      </c>
      <c r="C74" s="70" t="n">
        <v>8</v>
      </c>
      <c r="D74" s="70" t="n">
        <v>20</v>
      </c>
      <c r="E74" s="64" t="n"/>
      <c r="F74" s="64" t="inlineStr">
        <is>
          <t>In der Ferne verstecken</t>
        </is>
      </c>
      <c r="G7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4" s="64" t="inlineStr">
        <is>
          <t>Kein Aurabann</t>
        </is>
      </c>
      <c r="I74" s="64" t="inlineStr">
        <is>
          <t>Aura</t>
        </is>
      </c>
      <c r="J74" s="70" t="inlineStr">
        <is>
          <t>Aus</t>
        </is>
      </c>
      <c r="K74" s="70" t="inlineStr">
        <is>
          <t>Selbst</t>
        </is>
      </c>
      <c r="L74" s="70" t="n">
        <v>1</v>
      </c>
      <c r="M74" s="70" t="inlineStr">
        <is>
          <t>sofort</t>
        </is>
      </c>
      <c r="N74" s="64" t="inlineStr">
        <is>
          <t>(M)*3Min</t>
        </is>
      </c>
      <c r="O74" s="64" t="n">
        <v>10</v>
      </c>
      <c r="P74" s="64" t="inlineStr">
        <is>
          <t>St*6</t>
        </is>
      </c>
      <c r="Q74" s="67" t="inlineStr">
        <is>
          <t>PSI_Magie_Zaubertabelle_1_421.xlsx</t>
        </is>
      </c>
    </row>
    <row r="75" ht="39.59999847412109" customHeight="1" s="48">
      <c r="A75" s="61" t="inlineStr">
        <is>
          <t>psi_in_der_ferne_verstecken</t>
        </is>
      </c>
      <c r="B75" s="70" t="n">
        <v>4</v>
      </c>
      <c r="C75" s="70" t="n">
        <v>11</v>
      </c>
      <c r="D75" s="70" t="n">
        <v>35</v>
      </c>
      <c r="E75" s="64" t="n"/>
      <c r="F75" s="64" t="inlineStr">
        <is>
          <t>In der Ferne verstecken</t>
        </is>
      </c>
      <c r="G7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5" s="64" t="inlineStr">
        <is>
          <t>Kein Aurabann</t>
        </is>
      </c>
      <c r="I75" s="64" t="inlineStr">
        <is>
          <t>Aura</t>
        </is>
      </c>
      <c r="J75" s="70" t="inlineStr">
        <is>
          <t>Aus</t>
        </is>
      </c>
      <c r="K75" s="70" t="inlineStr">
        <is>
          <t>Selbst</t>
        </is>
      </c>
      <c r="L75" s="70" t="n">
        <v>1</v>
      </c>
      <c r="M75" s="70" t="inlineStr">
        <is>
          <t>sofort</t>
        </is>
      </c>
      <c r="N75" s="64" t="inlineStr">
        <is>
          <t>(M)*3Min</t>
        </is>
      </c>
      <c r="O75" s="64" t="n">
        <v>10</v>
      </c>
      <c r="P75" s="64" t="inlineStr">
        <is>
          <t>St*6</t>
        </is>
      </c>
      <c r="Q75" s="67" t="inlineStr">
        <is>
          <t>PSI_Magie_Zaubertabelle_1_421.xlsx</t>
        </is>
      </c>
    </row>
    <row r="76" ht="39.59999847412109" customHeight="1" s="48">
      <c r="A76" s="61" t="inlineStr">
        <is>
          <t>psi_in_der_ferne_verstecken</t>
        </is>
      </c>
      <c r="B76" s="70" t="n">
        <v>5</v>
      </c>
      <c r="C76" s="70" t="n">
        <v>14</v>
      </c>
      <c r="D76" s="70" t="n">
        <v>55</v>
      </c>
      <c r="E76" s="64" t="n"/>
      <c r="F76" s="64" t="inlineStr">
        <is>
          <t>In der Ferne verstecken</t>
        </is>
      </c>
      <c r="G7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6" s="64" t="inlineStr">
        <is>
          <t>Kein Aurabann</t>
        </is>
      </c>
      <c r="I76" s="64" t="inlineStr">
        <is>
          <t>Aura</t>
        </is>
      </c>
      <c r="J76" s="70" t="inlineStr">
        <is>
          <t>Aus</t>
        </is>
      </c>
      <c r="K76" s="70" t="inlineStr">
        <is>
          <t>Selbst</t>
        </is>
      </c>
      <c r="L76" s="70" t="n">
        <v>1</v>
      </c>
      <c r="M76" s="70" t="inlineStr">
        <is>
          <t>sofort</t>
        </is>
      </c>
      <c r="N76" s="64" t="inlineStr">
        <is>
          <t>(M)*3Min</t>
        </is>
      </c>
      <c r="O76" s="64" t="n">
        <v>10</v>
      </c>
      <c r="P76" s="64" t="inlineStr">
        <is>
          <t>St*6</t>
        </is>
      </c>
      <c r="Q76" s="67" t="inlineStr">
        <is>
          <t>PSI_Magie_Zaubertabelle_1_421.xlsx</t>
        </is>
      </c>
    </row>
    <row r="77" ht="39.59999847412109" customHeight="1" s="48">
      <c r="A77" s="61" t="inlineStr">
        <is>
          <t>psi_in_der_ferne_verstecken</t>
        </is>
      </c>
      <c r="B77" s="70" t="n">
        <v>6</v>
      </c>
      <c r="C77" s="70" t="n">
        <v>17</v>
      </c>
      <c r="D77" s="70" t="n">
        <v>70</v>
      </c>
      <c r="E77" s="64" t="n"/>
      <c r="F77" s="64" t="inlineStr">
        <is>
          <t>In der Ferne verstecken</t>
        </is>
      </c>
      <c r="G7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7" s="64" t="inlineStr">
        <is>
          <t>Kein Aurabann</t>
        </is>
      </c>
      <c r="I77" s="64" t="inlineStr">
        <is>
          <t>Aura</t>
        </is>
      </c>
      <c r="J77" s="70" t="inlineStr">
        <is>
          <t>Aus</t>
        </is>
      </c>
      <c r="K77" s="70" t="inlineStr">
        <is>
          <t>Selbst</t>
        </is>
      </c>
      <c r="L77" s="70" t="n">
        <v>1</v>
      </c>
      <c r="M77" s="70" t="inlineStr">
        <is>
          <t>sofort</t>
        </is>
      </c>
      <c r="N77" s="64" t="inlineStr">
        <is>
          <t>(M)*3Min</t>
        </is>
      </c>
      <c r="O77" s="64" t="n">
        <v>10</v>
      </c>
      <c r="P77" s="64" t="inlineStr">
        <is>
          <t>St*6</t>
        </is>
      </c>
      <c r="Q77" s="67" t="inlineStr">
        <is>
          <t>PSI_Magie_Zaubertabelle_1_421.xlsx</t>
        </is>
      </c>
    </row>
    <row r="78" ht="39.59999847412109" customHeight="1" s="48">
      <c r="A78" s="61" t="inlineStr">
        <is>
          <t>psi_in_der_ferne_verstecken</t>
        </is>
      </c>
      <c r="B78" s="70" t="n">
        <v>7</v>
      </c>
      <c r="C78" s="70" t="n">
        <v>20</v>
      </c>
      <c r="D78" s="70" t="n">
        <v>90</v>
      </c>
      <c r="E78" s="64" t="n"/>
      <c r="F78" s="64" t="inlineStr">
        <is>
          <t>In der Ferne verstecken</t>
        </is>
      </c>
      <c r="G7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8" s="64" t="inlineStr">
        <is>
          <t>Kein Aurabann</t>
        </is>
      </c>
      <c r="I78" s="64" t="inlineStr">
        <is>
          <t>Aura</t>
        </is>
      </c>
      <c r="J78" s="70" t="inlineStr">
        <is>
          <t>Aus</t>
        </is>
      </c>
      <c r="K78" s="70" t="inlineStr">
        <is>
          <t>Selbst</t>
        </is>
      </c>
      <c r="L78" s="70" t="n">
        <v>1</v>
      </c>
      <c r="M78" s="70" t="inlineStr">
        <is>
          <t>sofort</t>
        </is>
      </c>
      <c r="N78" s="64" t="inlineStr">
        <is>
          <t>(M)*3Min</t>
        </is>
      </c>
      <c r="O78" s="64" t="n">
        <v>10</v>
      </c>
      <c r="P78" s="64" t="inlineStr">
        <is>
          <t>St*6</t>
        </is>
      </c>
      <c r="Q78" s="67" t="inlineStr">
        <is>
          <t>PSI_Magie_Zaubertabelle_1_421.xlsx</t>
        </is>
      </c>
    </row>
    <row r="79" ht="15" customHeight="1" s="48">
      <c r="A79" s="61" t="inlineStr">
        <is>
          <t>psi_telekinese</t>
        </is>
      </c>
      <c r="B79" s="70" t="n">
        <v>1</v>
      </c>
      <c r="C79" s="70" t="n">
        <v>3</v>
      </c>
      <c r="D79" s="70" t="n">
        <v>10</v>
      </c>
      <c r="E79" s="64" t="n"/>
      <c r="F79" s="64" t="inlineStr">
        <is>
          <t>Telekinese</t>
        </is>
      </c>
      <c r="G79" s="64" t="inlineStr">
        <is>
          <t>1 Gegenstand / Nur Unbelebtes/ Aurabann / St² x kg oder Liter /max. 20m/sec.</t>
        </is>
      </c>
      <c r="H79" s="64" t="inlineStr">
        <is>
          <t>Aurabann</t>
        </is>
      </c>
      <c r="I79" s="64" t="inlineStr">
        <is>
          <t>Gegenstand</t>
        </is>
      </c>
      <c r="J79" s="70" t="inlineStr">
        <is>
          <t>Wil</t>
        </is>
      </c>
      <c r="K79" s="70" t="inlineStr">
        <is>
          <t>(M)*m</t>
        </is>
      </c>
      <c r="L79" s="70" t="n">
        <v>1</v>
      </c>
      <c r="M79" s="70" t="inlineStr">
        <is>
          <t>sofort</t>
        </is>
      </c>
      <c r="N79" s="64" t="inlineStr">
        <is>
          <t>(M) min</t>
        </is>
      </c>
      <c r="O79" s="64" t="n">
        <v>5</v>
      </c>
      <c r="P79" s="64" t="inlineStr">
        <is>
          <t>St</t>
        </is>
      </c>
      <c r="Q79" s="67" t="inlineStr">
        <is>
          <t>PSI_Magie_Zaubertabelle_1_421.xlsx</t>
        </is>
      </c>
    </row>
    <row r="80" ht="15" customHeight="1" s="48">
      <c r="A80" s="61" t="inlineStr">
        <is>
          <t>psi_telekinese</t>
        </is>
      </c>
      <c r="B80" s="70" t="n">
        <v>2</v>
      </c>
      <c r="C80" s="70" t="n">
        <v>6</v>
      </c>
      <c r="D80" s="70" t="n">
        <v>15</v>
      </c>
      <c r="E80" s="64" t="n"/>
      <c r="F80" s="64" t="inlineStr">
        <is>
          <t>Telekinese</t>
        </is>
      </c>
      <c r="G80" s="64" t="inlineStr">
        <is>
          <t>1 Gegenstand / Nur Unbelebtes/ Aurabann / St² x kg oder Liter /max. 20m/sec.</t>
        </is>
      </c>
      <c r="H80" s="64" t="inlineStr">
        <is>
          <t>Aurabann</t>
        </is>
      </c>
      <c r="I80" s="64" t="inlineStr">
        <is>
          <t>Gegenstand</t>
        </is>
      </c>
      <c r="J80" s="70" t="inlineStr">
        <is>
          <t>Wil</t>
        </is>
      </c>
      <c r="K80" s="70" t="inlineStr">
        <is>
          <t>(M)*m</t>
        </is>
      </c>
      <c r="L80" s="70" t="n">
        <v>1</v>
      </c>
      <c r="M80" s="70" t="inlineStr">
        <is>
          <t>sofort</t>
        </is>
      </c>
      <c r="N80" s="64" t="inlineStr">
        <is>
          <t>(M) min</t>
        </is>
      </c>
      <c r="O80" s="64" t="n">
        <v>5</v>
      </c>
      <c r="P80" s="64" t="inlineStr">
        <is>
          <t>St</t>
        </is>
      </c>
      <c r="Q80" s="67" t="inlineStr">
        <is>
          <t>PSI_Magie_Zaubertabelle_1_421.xlsx</t>
        </is>
      </c>
    </row>
    <row r="81" ht="15" customHeight="1" s="48">
      <c r="A81" s="61" t="inlineStr">
        <is>
          <t>psi_telekinese</t>
        </is>
      </c>
      <c r="B81" s="70" t="n">
        <v>3</v>
      </c>
      <c r="C81" s="70" t="n">
        <v>9</v>
      </c>
      <c r="D81" s="70" t="n">
        <v>25</v>
      </c>
      <c r="E81" s="64" t="n"/>
      <c r="F81" s="64" t="inlineStr">
        <is>
          <t>Telekinese</t>
        </is>
      </c>
      <c r="G81" s="64" t="inlineStr">
        <is>
          <t>1 Gegenstand / Nur Unbelebtes/ Aurabann / St² x kg oder Liter /max. 20m/sec.</t>
        </is>
      </c>
      <c r="H81" s="64" t="inlineStr">
        <is>
          <t>Aurabann</t>
        </is>
      </c>
      <c r="I81" s="64" t="inlineStr">
        <is>
          <t>Gegenstand</t>
        </is>
      </c>
      <c r="J81" s="70" t="inlineStr">
        <is>
          <t>Wil</t>
        </is>
      </c>
      <c r="K81" s="70" t="inlineStr">
        <is>
          <t>(M)*m</t>
        </is>
      </c>
      <c r="L81" s="70" t="n">
        <v>1</v>
      </c>
      <c r="M81" s="70" t="inlineStr">
        <is>
          <t>sofort</t>
        </is>
      </c>
      <c r="N81" s="64" t="inlineStr">
        <is>
          <t>(M) min</t>
        </is>
      </c>
      <c r="O81" s="64" t="n">
        <v>5</v>
      </c>
      <c r="P81" s="64" t="inlineStr">
        <is>
          <t>St</t>
        </is>
      </c>
      <c r="Q81" s="67" t="inlineStr">
        <is>
          <t>PSI_Magie_Zaubertabelle_1_421.xlsx</t>
        </is>
      </c>
    </row>
    <row r="82" ht="15" customHeight="1" s="48">
      <c r="A82" s="61" t="inlineStr">
        <is>
          <t>psi_telekinese</t>
        </is>
      </c>
      <c r="B82" s="70" t="n">
        <v>4</v>
      </c>
      <c r="C82" s="70" t="n">
        <v>12</v>
      </c>
      <c r="D82" s="70" t="n">
        <v>40</v>
      </c>
      <c r="E82" s="64" t="n"/>
      <c r="F82" s="64" t="inlineStr">
        <is>
          <t>Telekinese</t>
        </is>
      </c>
      <c r="G82" s="64" t="inlineStr">
        <is>
          <t>1 Gegenstand / Nur Unbelebtes/ Aurabann / St² x kg oder Liter /max. 20m/sec.</t>
        </is>
      </c>
      <c r="H82" s="64" t="inlineStr">
        <is>
          <t>Aurabann</t>
        </is>
      </c>
      <c r="I82" s="64" t="inlineStr">
        <is>
          <t>Gegenstand</t>
        </is>
      </c>
      <c r="J82" s="70" t="inlineStr">
        <is>
          <t>Wil</t>
        </is>
      </c>
      <c r="K82" s="70" t="inlineStr">
        <is>
          <t>(M)*m</t>
        </is>
      </c>
      <c r="L82" s="70" t="n">
        <v>1</v>
      </c>
      <c r="M82" s="70" t="inlineStr">
        <is>
          <t>sofort</t>
        </is>
      </c>
      <c r="N82" s="64" t="inlineStr">
        <is>
          <t>(M) min</t>
        </is>
      </c>
      <c r="O82" s="64" t="n">
        <v>5</v>
      </c>
      <c r="P82" s="64" t="inlineStr">
        <is>
          <t>St</t>
        </is>
      </c>
      <c r="Q82" s="67" t="inlineStr">
        <is>
          <t>PSI_Magie_Zaubertabelle_1_421.xlsx</t>
        </is>
      </c>
    </row>
    <row r="83" ht="15" customHeight="1" s="48">
      <c r="A83" s="61" t="inlineStr">
        <is>
          <t>psi_telekinese</t>
        </is>
      </c>
      <c r="B83" s="70" t="n">
        <v>5</v>
      </c>
      <c r="C83" s="70" t="n">
        <v>15</v>
      </c>
      <c r="D83" s="70" t="n">
        <v>60</v>
      </c>
      <c r="E83" s="64" t="n"/>
      <c r="F83" s="64" t="inlineStr">
        <is>
          <t>Telekinese</t>
        </is>
      </c>
      <c r="G83" s="64" t="inlineStr">
        <is>
          <t>1 Gegenstand / Nur Unbelebtes/ Aurabann / St² x kg oder Liter /max. 20m/sec.</t>
        </is>
      </c>
      <c r="H83" s="64" t="inlineStr">
        <is>
          <t>Aurabann</t>
        </is>
      </c>
      <c r="I83" s="64" t="inlineStr">
        <is>
          <t>Gegenstand</t>
        </is>
      </c>
      <c r="J83" s="70" t="inlineStr">
        <is>
          <t>Wil</t>
        </is>
      </c>
      <c r="K83" s="70" t="inlineStr">
        <is>
          <t>(M)*m</t>
        </is>
      </c>
      <c r="L83" s="70" t="n">
        <v>1</v>
      </c>
      <c r="M83" s="70" t="inlineStr">
        <is>
          <t>sofort</t>
        </is>
      </c>
      <c r="N83" s="64" t="inlineStr">
        <is>
          <t>(M) min</t>
        </is>
      </c>
      <c r="O83" s="64" t="n">
        <v>5</v>
      </c>
      <c r="P83" s="64" t="inlineStr">
        <is>
          <t>St</t>
        </is>
      </c>
      <c r="Q83" s="67" t="inlineStr">
        <is>
          <t>PSI_Magie_Zaubertabelle_1_421.xlsx</t>
        </is>
      </c>
    </row>
    <row r="84" ht="15" customHeight="1" s="48">
      <c r="A84" s="61" t="inlineStr">
        <is>
          <t>psi_telekinese</t>
        </is>
      </c>
      <c r="B84" s="70" t="n">
        <v>6</v>
      </c>
      <c r="C84" s="70" t="n">
        <v>18</v>
      </c>
      <c r="D84" s="70" t="n">
        <v>80</v>
      </c>
      <c r="E84" s="64" t="n"/>
      <c r="F84" s="64" t="inlineStr">
        <is>
          <t>Telekinese</t>
        </is>
      </c>
      <c r="G84" s="64" t="inlineStr">
        <is>
          <t>1 Gegenstand / Nur Unbelebtes/ Aurabann / St² x kg oder Liter /max. 20m/sec.</t>
        </is>
      </c>
      <c r="H84" s="64" t="inlineStr">
        <is>
          <t>Aurabann</t>
        </is>
      </c>
      <c r="I84" s="64" t="inlineStr">
        <is>
          <t>Gegenstand</t>
        </is>
      </c>
      <c r="J84" s="70" t="inlineStr">
        <is>
          <t>Wil</t>
        </is>
      </c>
      <c r="K84" s="70" t="inlineStr">
        <is>
          <t>(M)*m</t>
        </is>
      </c>
      <c r="L84" s="70" t="n">
        <v>1</v>
      </c>
      <c r="M84" s="70" t="inlineStr">
        <is>
          <t>sofort</t>
        </is>
      </c>
      <c r="N84" s="64" t="inlineStr">
        <is>
          <t>(M) min</t>
        </is>
      </c>
      <c r="O84" s="64" t="n">
        <v>5</v>
      </c>
      <c r="P84" s="64" t="inlineStr">
        <is>
          <t>St</t>
        </is>
      </c>
      <c r="Q84" s="67" t="inlineStr">
        <is>
          <t>PSI_Magie_Zaubertabelle_1_421.xlsx</t>
        </is>
      </c>
    </row>
    <row r="85" ht="15" customHeight="1" s="48">
      <c r="A85" s="61" t="inlineStr">
        <is>
          <t>psi_telekinese</t>
        </is>
      </c>
      <c r="B85" s="70" t="n">
        <v>7</v>
      </c>
      <c r="C85" s="70" t="n">
        <v>21</v>
      </c>
      <c r="D85" s="70" t="n">
        <v>105</v>
      </c>
      <c r="E85" s="64" t="n"/>
      <c r="F85" s="64" t="inlineStr">
        <is>
          <t>Telekinese</t>
        </is>
      </c>
      <c r="G85" s="64" t="inlineStr">
        <is>
          <t>1 Gegenstand / Nur Unbelebtes/ Aurabann / St² x kg oder Liter /max. 20m/sec.</t>
        </is>
      </c>
      <c r="H85" s="64" t="inlineStr">
        <is>
          <t>Aurabann</t>
        </is>
      </c>
      <c r="I85" s="64" t="inlineStr">
        <is>
          <t>Gegenstand</t>
        </is>
      </c>
      <c r="J85" s="70" t="inlineStr">
        <is>
          <t>Wil</t>
        </is>
      </c>
      <c r="K85" s="70" t="inlineStr">
        <is>
          <t>(M)*m</t>
        </is>
      </c>
      <c r="L85" s="70" t="n">
        <v>1</v>
      </c>
      <c r="M85" s="70" t="inlineStr">
        <is>
          <t>sofort</t>
        </is>
      </c>
      <c r="N85" s="64" t="inlineStr">
        <is>
          <t>(M) min</t>
        </is>
      </c>
      <c r="O85" s="64" t="n">
        <v>5</v>
      </c>
      <c r="P85" s="64" t="inlineStr">
        <is>
          <t>St</t>
        </is>
      </c>
      <c r="Q85" s="67" t="inlineStr">
        <is>
          <t>PSI_Magie_Zaubertabelle_1_421.xlsx</t>
        </is>
      </c>
    </row>
    <row r="86" ht="26.45000076293945" customHeight="1" s="48">
      <c r="A86" s="61" t="inlineStr">
        <is>
          <t>psi_deformation</t>
        </is>
      </c>
      <c r="B86" s="70" t="n">
        <v>1</v>
      </c>
      <c r="C86" s="70" t="n">
        <v>5</v>
      </c>
      <c r="D86" s="70" t="n">
        <v>15</v>
      </c>
      <c r="E86" s="64" t="n"/>
      <c r="F86" s="64" t="inlineStr">
        <is>
          <t>Deformation</t>
        </is>
      </c>
      <c r="G86" s="64" t="inlineStr">
        <is>
          <t>Auf 1 Unbel. Geg/ max Druck = (Aura+ST)³ in Kg pro cm³. Ziel darf sich absolut nicht Bewegen! Aurabann</t>
        </is>
      </c>
      <c r="H86" s="64" t="inlineStr">
        <is>
          <t>Aurabann</t>
        </is>
      </c>
      <c r="I86" s="64" t="inlineStr">
        <is>
          <t>Gegenstand</t>
        </is>
      </c>
      <c r="J86" s="70" t="inlineStr">
        <is>
          <t>Stä</t>
        </is>
      </c>
      <c r="K86" s="70" t="inlineStr">
        <is>
          <t>(M)*m</t>
        </is>
      </c>
      <c r="L86" s="70" t="n">
        <v>1</v>
      </c>
      <c r="M86" s="70" t="inlineStr">
        <is>
          <t>sofort</t>
        </is>
      </c>
      <c r="N86" s="64" t="inlineStr">
        <is>
          <t>(M) sec</t>
        </is>
      </c>
      <c r="O86" s="64" t="n">
        <v>15</v>
      </c>
      <c r="P86" s="64" t="inlineStr">
        <is>
          <t>St*4</t>
        </is>
      </c>
      <c r="Q86" s="67" t="inlineStr">
        <is>
          <t>PSI_Magie_Zaubertabelle_1_421.xlsx</t>
        </is>
      </c>
    </row>
    <row r="87" ht="26.45000076293945" customHeight="1" s="48">
      <c r="A87" s="61" t="inlineStr">
        <is>
          <t>psi_deformation</t>
        </is>
      </c>
      <c r="B87" s="70" t="n">
        <v>2</v>
      </c>
      <c r="C87" s="70" t="n">
        <v>10</v>
      </c>
      <c r="D87" s="70" t="n">
        <v>25</v>
      </c>
      <c r="E87" s="64" t="n"/>
      <c r="F87" s="64" t="inlineStr">
        <is>
          <t>Deformation</t>
        </is>
      </c>
      <c r="G87" s="64" t="inlineStr">
        <is>
          <t>Auf 1 Unbel. Geg/ max Druck = (Aura+ST)³ in Kg pro cm³. Ziel darf sich absolut nicht Bewegen! Aurabann</t>
        </is>
      </c>
      <c r="H87" s="64" t="inlineStr">
        <is>
          <t>Aurabann</t>
        </is>
      </c>
      <c r="I87" s="64" t="inlineStr">
        <is>
          <t>Gegenstand</t>
        </is>
      </c>
      <c r="J87" s="70" t="inlineStr">
        <is>
          <t>Stä</t>
        </is>
      </c>
      <c r="K87" s="70" t="inlineStr">
        <is>
          <t>(M)*m</t>
        </is>
      </c>
      <c r="L87" s="70" t="n">
        <v>1</v>
      </c>
      <c r="M87" s="70" t="inlineStr">
        <is>
          <t>sofort</t>
        </is>
      </c>
      <c r="N87" s="64" t="inlineStr">
        <is>
          <t>(M) sec</t>
        </is>
      </c>
      <c r="O87" s="64" t="n">
        <v>15</v>
      </c>
      <c r="P87" s="64" t="inlineStr">
        <is>
          <t>St*4</t>
        </is>
      </c>
      <c r="Q87" s="67" t="inlineStr">
        <is>
          <t>PSI_Magie_Zaubertabelle_1_421.xlsx</t>
        </is>
      </c>
    </row>
    <row r="88" ht="26.45000076293945" customHeight="1" s="48">
      <c r="A88" s="61" t="inlineStr">
        <is>
          <t>psi_deformation</t>
        </is>
      </c>
      <c r="B88" s="70" t="n">
        <v>3</v>
      </c>
      <c r="C88" s="70" t="n">
        <v>14</v>
      </c>
      <c r="D88" s="70" t="n">
        <v>35</v>
      </c>
      <c r="E88" s="64" t="n"/>
      <c r="F88" s="64" t="inlineStr">
        <is>
          <t>Deformation</t>
        </is>
      </c>
      <c r="G88" s="64" t="inlineStr">
        <is>
          <t>Auf 1 Unbel. Geg/ max Druck = (Aura+ST)³ in Kg pro cm³. Ziel darf sich absolut nicht Bewegen! Aurabann</t>
        </is>
      </c>
      <c r="H88" s="64" t="inlineStr">
        <is>
          <t>Aurabann</t>
        </is>
      </c>
      <c r="I88" s="64" t="inlineStr">
        <is>
          <t>Gegenstand</t>
        </is>
      </c>
      <c r="J88" s="70" t="inlineStr">
        <is>
          <t>Stä</t>
        </is>
      </c>
      <c r="K88" s="70" t="inlineStr">
        <is>
          <t>(M)*m</t>
        </is>
      </c>
      <c r="L88" s="70" t="n">
        <v>1</v>
      </c>
      <c r="M88" s="70" t="inlineStr">
        <is>
          <t>sofort</t>
        </is>
      </c>
      <c r="N88" s="64" t="inlineStr">
        <is>
          <t>(M) sec</t>
        </is>
      </c>
      <c r="O88" s="64" t="n">
        <v>15</v>
      </c>
      <c r="P88" s="64" t="inlineStr">
        <is>
          <t>St*4</t>
        </is>
      </c>
      <c r="Q88" s="67" t="inlineStr">
        <is>
          <t>PSI_Magie_Zaubertabelle_1_421.xlsx</t>
        </is>
      </c>
    </row>
    <row r="89" ht="26.45000076293945" customHeight="1" s="48">
      <c r="A89" s="61" t="inlineStr">
        <is>
          <t>psi_deformation</t>
        </is>
      </c>
      <c r="B89" s="70" t="n">
        <v>4</v>
      </c>
      <c r="C89" s="70" t="n">
        <v>18</v>
      </c>
      <c r="D89" s="70" t="n">
        <v>50</v>
      </c>
      <c r="E89" s="64" t="n"/>
      <c r="F89" s="64" t="inlineStr">
        <is>
          <t>Deformation</t>
        </is>
      </c>
      <c r="G89" s="64" t="inlineStr">
        <is>
          <t>Auf 1 Unbel. Geg/ max Druck = (Aura+ST)³ in Kg pro cm³. Ziel darf sich absolut nicht Bewegen! Aurabann</t>
        </is>
      </c>
      <c r="H89" s="64" t="inlineStr">
        <is>
          <t>Aurabann</t>
        </is>
      </c>
      <c r="I89" s="64" t="inlineStr">
        <is>
          <t>Gegenstand</t>
        </is>
      </c>
      <c r="J89" s="70" t="inlineStr">
        <is>
          <t>Stä</t>
        </is>
      </c>
      <c r="K89" s="70" t="inlineStr">
        <is>
          <t>(M)*m</t>
        </is>
      </c>
      <c r="L89" s="70" t="n">
        <v>1</v>
      </c>
      <c r="M89" s="70" t="inlineStr">
        <is>
          <t>sofort</t>
        </is>
      </c>
      <c r="N89" s="64" t="inlineStr">
        <is>
          <t>(M) sec</t>
        </is>
      </c>
      <c r="O89" s="64" t="n">
        <v>15</v>
      </c>
      <c r="P89" s="64" t="inlineStr">
        <is>
          <t>St*4</t>
        </is>
      </c>
      <c r="Q89" s="67" t="inlineStr">
        <is>
          <t>PSI_Magie_Zaubertabelle_1_421.xlsx</t>
        </is>
      </c>
    </row>
    <row r="90" ht="26.45000076293945" customHeight="1" s="48">
      <c r="A90" s="61" t="inlineStr">
        <is>
          <t>psi_deformation</t>
        </is>
      </c>
      <c r="B90" s="70" t="n">
        <v>5</v>
      </c>
      <c r="C90" s="70" t="n">
        <v>21</v>
      </c>
      <c r="D90" s="70" t="n">
        <v>70</v>
      </c>
      <c r="E90" s="64" t="n"/>
      <c r="F90" s="64" t="inlineStr">
        <is>
          <t>Deformation</t>
        </is>
      </c>
      <c r="G90" s="64" t="inlineStr">
        <is>
          <t>Auf 1 Unbel. Geg/ max Druck = (Aura+ST)³ in Kg pro cm³. Ziel darf sich absolut nicht Bewegen! Aurabann</t>
        </is>
      </c>
      <c r="H90" s="64" t="inlineStr">
        <is>
          <t>Aurabann</t>
        </is>
      </c>
      <c r="I90" s="64" t="inlineStr">
        <is>
          <t>Gegenstand</t>
        </is>
      </c>
      <c r="J90" s="70" t="inlineStr">
        <is>
          <t>Stä</t>
        </is>
      </c>
      <c r="K90" s="70" t="inlineStr">
        <is>
          <t>(M)*m</t>
        </is>
      </c>
      <c r="L90" s="70" t="n">
        <v>1</v>
      </c>
      <c r="M90" s="70" t="inlineStr">
        <is>
          <t>sofort</t>
        </is>
      </c>
      <c r="N90" s="64" t="inlineStr">
        <is>
          <t>(M) sec</t>
        </is>
      </c>
      <c r="O90" s="64" t="n">
        <v>15</v>
      </c>
      <c r="P90" s="64" t="inlineStr">
        <is>
          <t>St*4</t>
        </is>
      </c>
      <c r="Q90" s="67" t="inlineStr">
        <is>
          <t>PSI_Magie_Zaubertabelle_1_421.xlsx</t>
        </is>
      </c>
    </row>
    <row r="91" ht="26.45000076293945" customHeight="1" s="48">
      <c r="A91" s="61" t="inlineStr">
        <is>
          <t>psi_deformation</t>
        </is>
      </c>
      <c r="B91" s="70" t="n">
        <v>6</v>
      </c>
      <c r="C91" s="70" t="n">
        <v>24</v>
      </c>
      <c r="D91" s="70" t="n">
        <v>90</v>
      </c>
      <c r="E91" s="64" t="n"/>
      <c r="F91" s="64" t="inlineStr">
        <is>
          <t>Deformation</t>
        </is>
      </c>
      <c r="G91" s="64" t="inlineStr">
        <is>
          <t>Auf 1 Unbel. Geg/ max Druck = (Aura+ST)³ in Kg pro cm³. Ziel darf sich absolut nicht Bewegen! Aurabann</t>
        </is>
      </c>
      <c r="H91" s="64" t="inlineStr">
        <is>
          <t>Aurabann</t>
        </is>
      </c>
      <c r="I91" s="64" t="inlineStr">
        <is>
          <t>Gegenstand</t>
        </is>
      </c>
      <c r="J91" s="70" t="inlineStr">
        <is>
          <t>Stä</t>
        </is>
      </c>
      <c r="K91" s="70" t="inlineStr">
        <is>
          <t>(M)*m</t>
        </is>
      </c>
      <c r="L91" s="70" t="n">
        <v>1</v>
      </c>
      <c r="M91" s="70" t="inlineStr">
        <is>
          <t>sofort</t>
        </is>
      </c>
      <c r="N91" s="64" t="inlineStr">
        <is>
          <t>(M) sec</t>
        </is>
      </c>
      <c r="O91" s="64" t="n">
        <v>15</v>
      </c>
      <c r="P91" s="64" t="inlineStr">
        <is>
          <t>St*4</t>
        </is>
      </c>
      <c r="Q91" s="67" t="inlineStr">
        <is>
          <t>PSI_Magie_Zaubertabelle_1_421.xlsx</t>
        </is>
      </c>
    </row>
    <row r="92" ht="26.45000076293945" customHeight="1" s="48">
      <c r="A92" s="61" t="inlineStr">
        <is>
          <t>psi_deformation</t>
        </is>
      </c>
      <c r="B92" s="70" t="n">
        <v>7</v>
      </c>
      <c r="C92" s="70" t="n">
        <v>27</v>
      </c>
      <c r="D92" s="70" t="n">
        <v>115</v>
      </c>
      <c r="E92" s="64" t="n"/>
      <c r="F92" s="64" t="inlineStr">
        <is>
          <t>Deformation</t>
        </is>
      </c>
      <c r="G92" s="64" t="inlineStr">
        <is>
          <t>Auf 1 Unbel. Geg/ max Druck = (Aura+ST)³ in Kg pro cm³. Ziel darf sich absolut nicht Bewegen! Aurabann</t>
        </is>
      </c>
      <c r="H92" s="64" t="inlineStr">
        <is>
          <t>Aurabann</t>
        </is>
      </c>
      <c r="I92" s="64" t="inlineStr">
        <is>
          <t>Gegenstand</t>
        </is>
      </c>
      <c r="J92" s="70" t="inlineStr">
        <is>
          <t>Stä</t>
        </is>
      </c>
      <c r="K92" s="70" t="inlineStr">
        <is>
          <t>(M)*m</t>
        </is>
      </c>
      <c r="L92" s="70" t="n">
        <v>1</v>
      </c>
      <c r="M92" s="70" t="inlineStr">
        <is>
          <t>sofort</t>
        </is>
      </c>
      <c r="N92" s="64" t="inlineStr">
        <is>
          <t>(M) sec</t>
        </is>
      </c>
      <c r="O92" s="64" t="n">
        <v>15</v>
      </c>
      <c r="P92" s="64" t="inlineStr">
        <is>
          <t>St*4</t>
        </is>
      </c>
      <c r="Q92" s="67" t="inlineStr">
        <is>
          <t>PSI_Magie_Zaubertabelle_1_421.xlsx</t>
        </is>
      </c>
    </row>
    <row r="93" ht="15" customHeight="1" s="48">
      <c r="A93" s="61" t="inlineStr">
        <is>
          <t>psi_telekinese_griff</t>
        </is>
      </c>
      <c r="B93" s="70" t="n">
        <v>1</v>
      </c>
      <c r="C93" s="70" t="n">
        <v>4</v>
      </c>
      <c r="D93" s="70" t="n">
        <v>20</v>
      </c>
      <c r="E93" s="64" t="n"/>
      <c r="F93" s="64" t="inlineStr">
        <is>
          <t>Telekinese Griff</t>
        </is>
      </c>
      <c r="G93" s="64" t="inlineStr">
        <is>
          <t>Nur Greifbares / Auch Lebendiges/ ST³ x kg oder Stärke = ST x 5/ max. 0,5m/sec.</t>
        </is>
      </c>
      <c r="H93" s="64" t="inlineStr">
        <is>
          <t>Kein Aurabann</t>
        </is>
      </c>
      <c r="I93" s="64" t="inlineStr">
        <is>
          <t>Aura</t>
        </is>
      </c>
      <c r="J93" s="70" t="inlineStr">
        <is>
          <t>Stä</t>
        </is>
      </c>
      <c r="K93" s="70" t="inlineStr">
        <is>
          <t>(M)*m</t>
        </is>
      </c>
      <c r="L93" s="70" t="n">
        <v>1</v>
      </c>
      <c r="M93" s="70" t="inlineStr">
        <is>
          <t>sofort</t>
        </is>
      </c>
      <c r="N93" s="64" t="inlineStr">
        <is>
          <t>(M) min</t>
        </is>
      </c>
      <c r="O93" s="64" t="n">
        <v>10</v>
      </c>
      <c r="P93" s="64" t="inlineStr">
        <is>
          <t>St*3</t>
        </is>
      </c>
      <c r="Q93" s="67" t="inlineStr">
        <is>
          <t>PSI_Magie_Zaubertabelle_1_421.xlsx</t>
        </is>
      </c>
    </row>
    <row r="94" ht="15" customHeight="1" s="48">
      <c r="A94" s="61" t="inlineStr">
        <is>
          <t>psi_telekinese_griff</t>
        </is>
      </c>
      <c r="B94" s="70" t="n">
        <v>2</v>
      </c>
      <c r="C94" s="70" t="n">
        <v>7</v>
      </c>
      <c r="D94" s="70" t="n">
        <v>30</v>
      </c>
      <c r="E94" s="64" t="n"/>
      <c r="F94" s="64" t="inlineStr">
        <is>
          <t>Telekinese Griff</t>
        </is>
      </c>
      <c r="G94" s="64" t="inlineStr">
        <is>
          <t>Nur Greifbares / Auch Lebendiges/ ST³ x kg oder Stärke = ST x 5/ max. 0,5m/sec.</t>
        </is>
      </c>
      <c r="H94" s="64" t="inlineStr">
        <is>
          <t>Kein Aurabann</t>
        </is>
      </c>
      <c r="I94" s="64" t="inlineStr">
        <is>
          <t>Aura</t>
        </is>
      </c>
      <c r="J94" s="70" t="inlineStr">
        <is>
          <t>Stä</t>
        </is>
      </c>
      <c r="K94" s="70" t="inlineStr">
        <is>
          <t>(M)*m</t>
        </is>
      </c>
      <c r="L94" s="70" t="n">
        <v>1</v>
      </c>
      <c r="M94" s="70" t="inlineStr">
        <is>
          <t>sofort</t>
        </is>
      </c>
      <c r="N94" s="64" t="inlineStr">
        <is>
          <t>(M) min</t>
        </is>
      </c>
      <c r="O94" s="64" t="n">
        <v>10</v>
      </c>
      <c r="P94" s="64" t="inlineStr">
        <is>
          <t>St*3</t>
        </is>
      </c>
      <c r="Q94" s="67" t="inlineStr">
        <is>
          <t>PSI_Magie_Zaubertabelle_1_421.xlsx</t>
        </is>
      </c>
    </row>
    <row r="95" ht="15" customHeight="1" s="48">
      <c r="A95" s="61" t="inlineStr">
        <is>
          <t>psi_telekinese_griff</t>
        </is>
      </c>
      <c r="B95" s="70" t="n">
        <v>3</v>
      </c>
      <c r="C95" s="70" t="n">
        <v>10</v>
      </c>
      <c r="D95" s="70" t="n">
        <v>40</v>
      </c>
      <c r="E95" s="64" t="n"/>
      <c r="F95" s="64" t="inlineStr">
        <is>
          <t>Telekinese Griff</t>
        </is>
      </c>
      <c r="G95" s="64" t="inlineStr">
        <is>
          <t>Nur Greifbares / Auch Lebendiges/ ST³ x kg oder Stärke = ST x 5/ max. 0,5m/sec.</t>
        </is>
      </c>
      <c r="H95" s="64" t="inlineStr">
        <is>
          <t>Kein Aurabann</t>
        </is>
      </c>
      <c r="I95" s="64" t="inlineStr">
        <is>
          <t>Aura</t>
        </is>
      </c>
      <c r="J95" s="70" t="inlineStr">
        <is>
          <t>Stä</t>
        </is>
      </c>
      <c r="K95" s="70" t="inlineStr">
        <is>
          <t>(M)*m</t>
        </is>
      </c>
      <c r="L95" s="70" t="n">
        <v>1</v>
      </c>
      <c r="M95" s="70" t="inlineStr">
        <is>
          <t>sofort</t>
        </is>
      </c>
      <c r="N95" s="64" t="inlineStr">
        <is>
          <t>(M) min</t>
        </is>
      </c>
      <c r="O95" s="64" t="n">
        <v>10</v>
      </c>
      <c r="P95" s="64" t="inlineStr">
        <is>
          <t>St*3</t>
        </is>
      </c>
      <c r="Q95" s="67" t="inlineStr">
        <is>
          <t>PSI_Magie_Zaubertabelle_1_421.xlsx</t>
        </is>
      </c>
    </row>
    <row r="96" ht="15" customHeight="1" s="48">
      <c r="A96" s="61" t="inlineStr">
        <is>
          <t>psi_telekinese_griff</t>
        </is>
      </c>
      <c r="B96" s="70" t="n">
        <v>4</v>
      </c>
      <c r="C96" s="70" t="n">
        <v>14</v>
      </c>
      <c r="D96" s="70" t="n">
        <v>55</v>
      </c>
      <c r="E96" s="64" t="n"/>
      <c r="F96" s="64" t="inlineStr">
        <is>
          <t>Telekinese Griff</t>
        </is>
      </c>
      <c r="G96" s="64" t="inlineStr">
        <is>
          <t>Nur Greifbares / Auch Lebendiges/ ST³ x kg oder Stärke = ST x 5/ max. 0,5m/sec.</t>
        </is>
      </c>
      <c r="H96" s="64" t="inlineStr">
        <is>
          <t>Kein Aurabann</t>
        </is>
      </c>
      <c r="I96" s="64" t="inlineStr">
        <is>
          <t>Aura</t>
        </is>
      </c>
      <c r="J96" s="70" t="inlineStr">
        <is>
          <t>Stä</t>
        </is>
      </c>
      <c r="K96" s="70" t="inlineStr">
        <is>
          <t>(M)*m</t>
        </is>
      </c>
      <c r="L96" s="70" t="n">
        <v>1</v>
      </c>
      <c r="M96" s="70" t="inlineStr">
        <is>
          <t>sofort</t>
        </is>
      </c>
      <c r="N96" s="64" t="inlineStr">
        <is>
          <t>(M) min</t>
        </is>
      </c>
      <c r="O96" s="64" t="n">
        <v>10</v>
      </c>
      <c r="P96" s="64" t="inlineStr">
        <is>
          <t>St*3</t>
        </is>
      </c>
      <c r="Q96" s="67" t="inlineStr">
        <is>
          <t>PSI_Magie_Zaubertabelle_1_421.xlsx</t>
        </is>
      </c>
    </row>
    <row r="97" ht="15" customHeight="1" s="48">
      <c r="A97" s="61" t="inlineStr">
        <is>
          <t>psi_telekinese_griff</t>
        </is>
      </c>
      <c r="B97" s="70" t="n">
        <v>5</v>
      </c>
      <c r="C97" s="70" t="n">
        <v>18</v>
      </c>
      <c r="D97" s="70" t="n">
        <v>75</v>
      </c>
      <c r="E97" s="64" t="n"/>
      <c r="F97" s="64" t="inlineStr">
        <is>
          <t>Telekinese Griff</t>
        </is>
      </c>
      <c r="G97" s="64" t="inlineStr">
        <is>
          <t>Nur Greifbares / Auch Lebendiges/ ST³ x kg oder Stärke = ST x 5/ max. 0,5m/sec.</t>
        </is>
      </c>
      <c r="H97" s="64" t="inlineStr">
        <is>
          <t>Kein Aurabann</t>
        </is>
      </c>
      <c r="I97" s="64" t="inlineStr">
        <is>
          <t>Aura</t>
        </is>
      </c>
      <c r="J97" s="70" t="inlineStr">
        <is>
          <t>Stä</t>
        </is>
      </c>
      <c r="K97" s="70" t="inlineStr">
        <is>
          <t>(M)*m</t>
        </is>
      </c>
      <c r="L97" s="70" t="n">
        <v>1</v>
      </c>
      <c r="M97" s="70" t="inlineStr">
        <is>
          <t>sofort</t>
        </is>
      </c>
      <c r="N97" s="64" t="inlineStr">
        <is>
          <t>(M) min</t>
        </is>
      </c>
      <c r="O97" s="64" t="n">
        <v>10</v>
      </c>
      <c r="P97" s="64" t="inlineStr">
        <is>
          <t>St*3</t>
        </is>
      </c>
      <c r="Q97" s="67" t="inlineStr">
        <is>
          <t>PSI_Magie_Zaubertabelle_1_421.xlsx</t>
        </is>
      </c>
    </row>
    <row r="98" ht="15" customHeight="1" s="48">
      <c r="A98" s="61" t="inlineStr">
        <is>
          <t>psi_telekinese_griff</t>
        </is>
      </c>
      <c r="B98" s="70" t="n">
        <v>6</v>
      </c>
      <c r="C98" s="70" t="n">
        <v>22</v>
      </c>
      <c r="D98" s="70" t="n">
        <v>95</v>
      </c>
      <c r="E98" s="64" t="n"/>
      <c r="F98" s="64" t="inlineStr">
        <is>
          <t>Telekinese Griff</t>
        </is>
      </c>
      <c r="G98" s="64" t="inlineStr">
        <is>
          <t>Nur Greifbares / Auch Lebendiges/ ST³ x kg oder Stärke = ST x 5/ max. 0,5m/sec.</t>
        </is>
      </c>
      <c r="H98" s="64" t="inlineStr">
        <is>
          <t>Kein Aurabann</t>
        </is>
      </c>
      <c r="I98" s="64" t="inlineStr">
        <is>
          <t>Aura</t>
        </is>
      </c>
      <c r="J98" s="70" t="inlineStr">
        <is>
          <t>Stä</t>
        </is>
      </c>
      <c r="K98" s="70" t="inlineStr">
        <is>
          <t>(M)*m</t>
        </is>
      </c>
      <c r="L98" s="70" t="n">
        <v>1</v>
      </c>
      <c r="M98" s="70" t="inlineStr">
        <is>
          <t>sofort</t>
        </is>
      </c>
      <c r="N98" s="64" t="inlineStr">
        <is>
          <t>(M) min</t>
        </is>
      </c>
      <c r="O98" s="64" t="n">
        <v>10</v>
      </c>
      <c r="P98" s="64" t="inlineStr">
        <is>
          <t>St*3</t>
        </is>
      </c>
      <c r="Q98" s="67" t="inlineStr">
        <is>
          <t>PSI_Magie_Zaubertabelle_1_421.xlsx</t>
        </is>
      </c>
    </row>
    <row r="99" ht="15" customHeight="1" s="48">
      <c r="A99" s="61" t="inlineStr">
        <is>
          <t>psi_telekinese_griff</t>
        </is>
      </c>
      <c r="B99" s="70" t="n">
        <v>7</v>
      </c>
      <c r="C99" s="70" t="n">
        <v>29</v>
      </c>
      <c r="D99" s="70" t="n">
        <v>150</v>
      </c>
      <c r="E99" s="64" t="n"/>
      <c r="F99" s="64" t="inlineStr">
        <is>
          <t>Telekinese Griff</t>
        </is>
      </c>
      <c r="G99" s="64" t="inlineStr">
        <is>
          <t>Nur Greifbares / Auch Lebendiges/ ST³ x kg oder Stärke = ST x 5/ max. 0,5m/sec.</t>
        </is>
      </c>
      <c r="H99" s="64" t="inlineStr">
        <is>
          <t>Kein Aurabann</t>
        </is>
      </c>
      <c r="I99" s="64" t="inlineStr">
        <is>
          <t>Aura</t>
        </is>
      </c>
      <c r="J99" s="70" t="inlineStr">
        <is>
          <t>Stä</t>
        </is>
      </c>
      <c r="K99" s="70" t="inlineStr">
        <is>
          <t>(M)*m</t>
        </is>
      </c>
      <c r="L99" s="70" t="n">
        <v>1</v>
      </c>
      <c r="M99" s="70" t="inlineStr">
        <is>
          <t>sofort</t>
        </is>
      </c>
      <c r="N99" s="64" t="inlineStr">
        <is>
          <t>(M) min</t>
        </is>
      </c>
      <c r="O99" s="64" t="n">
        <v>10</v>
      </c>
      <c r="P99" s="64" t="inlineStr">
        <is>
          <t>St*3</t>
        </is>
      </c>
      <c r="Q99" s="67" t="inlineStr">
        <is>
          <t>PSI_Magie_Zaubertabelle_1_421.xlsx</t>
        </is>
      </c>
    </row>
    <row r="100" ht="15" customHeight="1" s="48">
      <c r="A100" s="61" t="inlineStr">
        <is>
          <t>psi_hoehere_telekinese</t>
        </is>
      </c>
      <c r="B100" s="70" t="n">
        <v>1</v>
      </c>
      <c r="C100" s="70" t="n">
        <v>4</v>
      </c>
      <c r="D100" s="70" t="n">
        <v>20</v>
      </c>
      <c r="E100" s="64" t="n"/>
      <c r="F100" s="64" t="inlineStr">
        <is>
          <t>Höhere Telekinese</t>
        </is>
      </c>
      <c r="G100" s="64" t="inlineStr">
        <is>
          <t>1 Gegenstand / Nur Unbelebtes/ Aurabann St³ x kg oder Liter/ max. 10m/sec.</t>
        </is>
      </c>
      <c r="H100" s="64" t="inlineStr">
        <is>
          <t>Aurabann</t>
        </is>
      </c>
      <c r="I100" s="64" t="inlineStr">
        <is>
          <t>Gegenstand</t>
        </is>
      </c>
      <c r="J100" s="70" t="inlineStr">
        <is>
          <t>Will</t>
        </is>
      </c>
      <c r="K100" s="70" t="inlineStr">
        <is>
          <t>(M)*m</t>
        </is>
      </c>
      <c r="L100" s="70" t="n">
        <v>1</v>
      </c>
      <c r="M100" s="70" t="inlineStr">
        <is>
          <t>sofort</t>
        </is>
      </c>
      <c r="N100" s="64" t="inlineStr">
        <is>
          <t>(M) min</t>
        </is>
      </c>
      <c r="O100" s="64" t="n">
        <v>20</v>
      </c>
      <c r="P100" s="64" t="inlineStr">
        <is>
          <t>St*2</t>
        </is>
      </c>
      <c r="Q100" s="67" t="inlineStr">
        <is>
          <t>PSI_Magie_Zaubertabelle_1_421.xlsx</t>
        </is>
      </c>
    </row>
    <row r="101" ht="15" customHeight="1" s="48">
      <c r="A101" s="61" t="inlineStr">
        <is>
          <t>psi_hoehere_telekinese</t>
        </is>
      </c>
      <c r="B101" s="70" t="n">
        <v>2</v>
      </c>
      <c r="C101" s="70" t="n">
        <v>7</v>
      </c>
      <c r="D101" s="70" t="n">
        <v>30</v>
      </c>
      <c r="E101" s="64" t="n"/>
      <c r="F101" s="64" t="inlineStr">
        <is>
          <t>Höhere Telekinese</t>
        </is>
      </c>
      <c r="G101" s="64" t="inlineStr">
        <is>
          <t>1 Gegenstand / Nur Unbelebtes/ Aurabann St³ x kg oder Liter/ max. 10m/sec.</t>
        </is>
      </c>
      <c r="H101" s="64" t="inlineStr">
        <is>
          <t>Aurabann</t>
        </is>
      </c>
      <c r="I101" s="64" t="inlineStr">
        <is>
          <t>Gegenstand</t>
        </is>
      </c>
      <c r="J101" s="70" t="inlineStr">
        <is>
          <t>Will</t>
        </is>
      </c>
      <c r="K101" s="70" t="inlineStr">
        <is>
          <t>(M)*m</t>
        </is>
      </c>
      <c r="L101" s="70" t="n">
        <v>1</v>
      </c>
      <c r="M101" s="70" t="inlineStr">
        <is>
          <t>sofort</t>
        </is>
      </c>
      <c r="N101" s="64" t="inlineStr">
        <is>
          <t>(M) min</t>
        </is>
      </c>
      <c r="O101" s="64" t="n">
        <v>20</v>
      </c>
      <c r="P101" s="64" t="inlineStr">
        <is>
          <t>St*2</t>
        </is>
      </c>
      <c r="Q101" s="67" t="inlineStr">
        <is>
          <t>PSI_Magie_Zaubertabelle_1_421.xlsx</t>
        </is>
      </c>
    </row>
    <row r="102" ht="15" customHeight="1" s="48">
      <c r="A102" s="61" t="inlineStr">
        <is>
          <t>psi_hoehere_telekinese</t>
        </is>
      </c>
      <c r="B102" s="70" t="n">
        <v>3</v>
      </c>
      <c r="C102" s="70" t="n">
        <v>10</v>
      </c>
      <c r="D102" s="70" t="n">
        <v>40</v>
      </c>
      <c r="E102" s="64" t="n"/>
      <c r="F102" s="64" t="inlineStr">
        <is>
          <t>Höhere Telekinese</t>
        </is>
      </c>
      <c r="G102" s="64" t="inlineStr">
        <is>
          <t>1 Gegenstand / Nur Unbelebtes/ Aurabann St³ x kg oder Liter/ max. 10m/sec.</t>
        </is>
      </c>
      <c r="H102" s="64" t="inlineStr">
        <is>
          <t>Aurabann</t>
        </is>
      </c>
      <c r="I102" s="64" t="inlineStr">
        <is>
          <t>Gegenstand</t>
        </is>
      </c>
      <c r="J102" s="70" t="inlineStr">
        <is>
          <t>Will</t>
        </is>
      </c>
      <c r="K102" s="70" t="inlineStr">
        <is>
          <t>(M)*m</t>
        </is>
      </c>
      <c r="L102" s="70" t="n">
        <v>1</v>
      </c>
      <c r="M102" s="70" t="inlineStr">
        <is>
          <t>sofort</t>
        </is>
      </c>
      <c r="N102" s="64" t="inlineStr">
        <is>
          <t>(M) min</t>
        </is>
      </c>
      <c r="O102" s="64" t="n">
        <v>20</v>
      </c>
      <c r="P102" s="64" t="inlineStr">
        <is>
          <t>St*2</t>
        </is>
      </c>
      <c r="Q102" s="67" t="inlineStr">
        <is>
          <t>PSI_Magie_Zaubertabelle_1_421.xlsx</t>
        </is>
      </c>
    </row>
    <row r="103" ht="15" customHeight="1" s="48">
      <c r="A103" s="61" t="inlineStr">
        <is>
          <t>psi_hoehere_telekinese</t>
        </is>
      </c>
      <c r="B103" s="70" t="n">
        <v>4</v>
      </c>
      <c r="C103" s="70" t="n">
        <v>14</v>
      </c>
      <c r="D103" s="70" t="n">
        <v>55</v>
      </c>
      <c r="E103" s="64" t="n"/>
      <c r="F103" s="64" t="inlineStr">
        <is>
          <t>Höhere Telekinese</t>
        </is>
      </c>
      <c r="G103" s="64" t="inlineStr">
        <is>
          <t>1 Gegenstand / Nur Unbelebtes/ Aurabann St³ x kg oder Liter/ max. 10m/sec.</t>
        </is>
      </c>
      <c r="H103" s="64" t="inlineStr">
        <is>
          <t>Aurabann</t>
        </is>
      </c>
      <c r="I103" s="64" t="inlineStr">
        <is>
          <t>Gegenstand</t>
        </is>
      </c>
      <c r="J103" s="70" t="inlineStr">
        <is>
          <t>Will</t>
        </is>
      </c>
      <c r="K103" s="70" t="inlineStr">
        <is>
          <t>(M)*m</t>
        </is>
      </c>
      <c r="L103" s="70" t="n">
        <v>1</v>
      </c>
      <c r="M103" s="70" t="inlineStr">
        <is>
          <t>sofort</t>
        </is>
      </c>
      <c r="N103" s="64" t="inlineStr">
        <is>
          <t>(M) min</t>
        </is>
      </c>
      <c r="O103" s="64" t="n">
        <v>20</v>
      </c>
      <c r="P103" s="64" t="inlineStr">
        <is>
          <t>St*2</t>
        </is>
      </c>
      <c r="Q103" s="67" t="inlineStr">
        <is>
          <t>PSI_Magie_Zaubertabelle_1_421.xlsx</t>
        </is>
      </c>
    </row>
    <row r="104" ht="15" customHeight="1" s="48">
      <c r="A104" s="61" t="inlineStr">
        <is>
          <t>psi_hoehere_telekinese</t>
        </is>
      </c>
      <c r="B104" s="70" t="n">
        <v>5</v>
      </c>
      <c r="C104" s="70" t="n">
        <v>18</v>
      </c>
      <c r="D104" s="70" t="n">
        <v>75</v>
      </c>
      <c r="E104" s="64" t="n"/>
      <c r="F104" s="64" t="inlineStr">
        <is>
          <t>Höhere Telekinese</t>
        </is>
      </c>
      <c r="G104" s="64" t="inlineStr">
        <is>
          <t>1 Gegenstand / Nur Unbelebtes/ Aurabann St³ x kg oder Liter/ max. 10m/sec.</t>
        </is>
      </c>
      <c r="H104" s="64" t="inlineStr">
        <is>
          <t>Aurabann</t>
        </is>
      </c>
      <c r="I104" s="64" t="inlineStr">
        <is>
          <t>Gegenstand</t>
        </is>
      </c>
      <c r="J104" s="70" t="inlineStr">
        <is>
          <t>Will</t>
        </is>
      </c>
      <c r="K104" s="70" t="inlineStr">
        <is>
          <t>(M)*m</t>
        </is>
      </c>
      <c r="L104" s="70" t="n">
        <v>1</v>
      </c>
      <c r="M104" s="70" t="inlineStr">
        <is>
          <t>sofort</t>
        </is>
      </c>
      <c r="N104" s="64" t="inlineStr">
        <is>
          <t>(M) min</t>
        </is>
      </c>
      <c r="O104" s="64" t="n">
        <v>20</v>
      </c>
      <c r="P104" s="64" t="inlineStr">
        <is>
          <t>St*2</t>
        </is>
      </c>
      <c r="Q104" s="67" t="inlineStr">
        <is>
          <t>PSI_Magie_Zaubertabelle_1_421.xlsx</t>
        </is>
      </c>
    </row>
    <row r="105" ht="15" customHeight="1" s="48">
      <c r="A105" s="61" t="inlineStr">
        <is>
          <t>psi_hoehere_telekinese</t>
        </is>
      </c>
      <c r="B105" s="70" t="n">
        <v>6</v>
      </c>
      <c r="C105" s="70" t="n">
        <v>22</v>
      </c>
      <c r="D105" s="70" t="n">
        <v>95</v>
      </c>
      <c r="E105" s="64" t="n"/>
      <c r="F105" s="64" t="inlineStr">
        <is>
          <t>Höhere Telekinese</t>
        </is>
      </c>
      <c r="G105" s="64" t="inlineStr">
        <is>
          <t>1 Gegenstand / Nur Unbelebtes/ Aurabann St³ x kg oder Liter/ max. 10m/sec.</t>
        </is>
      </c>
      <c r="H105" s="64" t="inlineStr">
        <is>
          <t>Aurabann</t>
        </is>
      </c>
      <c r="I105" s="64" t="inlineStr">
        <is>
          <t>Gegenstand</t>
        </is>
      </c>
      <c r="J105" s="70" t="inlineStr">
        <is>
          <t>Will</t>
        </is>
      </c>
      <c r="K105" s="70" t="inlineStr">
        <is>
          <t>(M)*m</t>
        </is>
      </c>
      <c r="L105" s="70" t="n">
        <v>1</v>
      </c>
      <c r="M105" s="70" t="inlineStr">
        <is>
          <t>sofort</t>
        </is>
      </c>
      <c r="N105" s="64" t="inlineStr">
        <is>
          <t>(M) min</t>
        </is>
      </c>
      <c r="O105" s="64" t="n">
        <v>20</v>
      </c>
      <c r="P105" s="64" t="inlineStr">
        <is>
          <t>St*2</t>
        </is>
      </c>
      <c r="Q105" s="67" t="inlineStr">
        <is>
          <t>PSI_Magie_Zaubertabelle_1_421.xlsx</t>
        </is>
      </c>
    </row>
    <row r="106" ht="15" customHeight="1" s="48">
      <c r="A106" s="62" t="inlineStr">
        <is>
          <t>psi_hoehere_telekinese</t>
        </is>
      </c>
      <c r="B106" s="71" t="n">
        <v>7</v>
      </c>
      <c r="C106" s="71" t="n">
        <v>29</v>
      </c>
      <c r="D106" s="71" t="n">
        <v>150</v>
      </c>
      <c r="E106" s="65" t="n"/>
      <c r="F106" s="65" t="inlineStr">
        <is>
          <t>Höhere Telekinese</t>
        </is>
      </c>
      <c r="G106" s="65" t="inlineStr">
        <is>
          <t>1 Gegenstand / Nur Unbelebtes/ Aurabann St³ x kg oder Liter/ max. 10m/sec.</t>
        </is>
      </c>
      <c r="H106" s="65" t="inlineStr">
        <is>
          <t>Aurabann</t>
        </is>
      </c>
      <c r="I106" s="65" t="inlineStr">
        <is>
          <t>Gegenstand</t>
        </is>
      </c>
      <c r="J106" s="71" t="inlineStr">
        <is>
          <t>Will</t>
        </is>
      </c>
      <c r="K106" s="71" t="inlineStr">
        <is>
          <t>(M)*m</t>
        </is>
      </c>
      <c r="L106" s="71" t="n">
        <v>1</v>
      </c>
      <c r="M106" s="71" t="inlineStr">
        <is>
          <t>sofort</t>
        </is>
      </c>
      <c r="N106" s="65" t="inlineStr">
        <is>
          <t>(M) min</t>
        </is>
      </c>
      <c r="O106" s="65" t="n">
        <v>20</v>
      </c>
      <c r="P106" s="65" t="inlineStr">
        <is>
          <t>St*2</t>
        </is>
      </c>
      <c r="Q106" s="68" t="inlineStr">
        <is>
          <t>PSI_Magie_Zaubertabelle_1_421.xlsx</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10" defaultColWidth="9.140625" defaultRowHeight="15"/>
  <cols>
    <col width="30.140625" customWidth="1" style="48" min="1" max="1"/>
    <col width="31.7109375" customWidth="1" style="48" min="2" max="2"/>
  </cols>
  <sheetData>
    <row r="1">
      <c r="A1" t="inlineStr">
        <is>
          <t>Faehigkeit</t>
        </is>
      </c>
      <c r="B1" t="inlineStr">
        <is>
          <t>Vorbedingung</t>
        </is>
      </c>
      <c r="C1" t="inlineStr">
        <is>
          <t>Mindest-TaW</t>
        </is>
      </c>
    </row>
    <row r="2">
      <c r="A2" t="inlineStr">
        <is>
          <t>ki_abhaertung</t>
        </is>
      </c>
      <c r="B2" t="inlineStr">
        <is>
          <t>ki_konzentration</t>
        </is>
      </c>
      <c r="C2" t="n">
        <v>10</v>
      </c>
    </row>
    <row r="3">
      <c r="A3" t="inlineStr">
        <is>
          <t>ki_dauerlauf</t>
        </is>
      </c>
      <c r="B3" t="inlineStr">
        <is>
          <t>ki_konzentration</t>
        </is>
      </c>
      <c r="C3" t="n">
        <v>10</v>
      </c>
    </row>
    <row r="4">
      <c r="A4" t="inlineStr">
        <is>
          <t>ki_ewige_erinnerung</t>
        </is>
      </c>
      <c r="B4" t="inlineStr">
        <is>
          <t>ki_konzentration</t>
        </is>
      </c>
      <c r="C4" t="n">
        <v>10</v>
      </c>
    </row>
    <row r="5">
      <c r="A5" t="inlineStr">
        <is>
          <t>ki_froschlunge</t>
        </is>
      </c>
      <c r="B5" t="inlineStr">
        <is>
          <t>ki_konzentration</t>
        </is>
      </c>
      <c r="C5" t="n">
        <v>10</v>
      </c>
    </row>
    <row r="6">
      <c r="A6" t="inlineStr">
        <is>
          <t>ki_katzenauge</t>
        </is>
      </c>
      <c r="B6" t="inlineStr">
        <is>
          <t>ki_konzentration</t>
        </is>
      </c>
      <c r="C6" t="n">
        <v>10</v>
      </c>
    </row>
    <row r="7">
      <c r="A7" t="inlineStr">
        <is>
          <t>ki_heilender_schlaf</t>
        </is>
      </c>
      <c r="B7" t="inlineStr">
        <is>
          <t>ki_konzentration</t>
        </is>
      </c>
      <c r="C7" t="n">
        <v>10</v>
      </c>
    </row>
    <row r="8">
      <c r="A8" t="inlineStr">
        <is>
          <t>ki_ki_schutz</t>
        </is>
      </c>
      <c r="B8" t="inlineStr">
        <is>
          <t>ki_abhaertung</t>
        </is>
      </c>
      <c r="C8" t="n">
        <v>10</v>
      </c>
    </row>
    <row r="9">
      <c r="A9" t="inlineStr">
        <is>
          <t>ki_sprint</t>
        </is>
      </c>
      <c r="B9" t="inlineStr">
        <is>
          <t>ki_dauerlauf</t>
        </is>
      </c>
      <c r="C9" t="n">
        <v>10</v>
      </c>
    </row>
    <row r="10">
      <c r="A10" t="inlineStr">
        <is>
          <t>ki_kraftakt</t>
        </is>
      </c>
      <c r="B10" t="inlineStr">
        <is>
          <t>ki_froschlunge</t>
        </is>
      </c>
      <c r="C10" t="n">
        <v>10</v>
      </c>
    </row>
    <row r="11">
      <c r="A11" t="inlineStr">
        <is>
          <t>ki_fledermausohr_aalnase</t>
        </is>
      </c>
      <c r="B11" t="inlineStr">
        <is>
          <t>ki_katzenauge</t>
        </is>
      </c>
      <c r="C11" t="n">
        <v>10</v>
      </c>
    </row>
    <row r="12">
      <c r="A12" t="inlineStr">
        <is>
          <t>ki_erleuchtung</t>
        </is>
      </c>
      <c r="B12" t="inlineStr">
        <is>
          <t>ki_ewige_erinnerung</t>
        </is>
      </c>
      <c r="C12" t="n">
        <v>10</v>
      </c>
    </row>
    <row r="13">
      <c r="A13" t="inlineStr">
        <is>
          <t>ki_abwehr</t>
        </is>
      </c>
      <c r="B13" t="inlineStr">
        <is>
          <t>ki_ki_schutz</t>
        </is>
      </c>
      <c r="C13" t="n">
        <v>15</v>
      </c>
    </row>
    <row r="14">
      <c r="A14" t="inlineStr">
        <is>
          <t>ki_steinhaut</t>
        </is>
      </c>
      <c r="B14" t="inlineStr">
        <is>
          <t>ki_ki_schutz</t>
        </is>
      </c>
      <c r="C14" t="n">
        <v>15</v>
      </c>
    </row>
    <row r="15">
      <c r="A15" t="inlineStr">
        <is>
          <t>ki_sprung</t>
        </is>
      </c>
      <c r="B15" t="inlineStr">
        <is>
          <t>ki_sprint</t>
        </is>
      </c>
      <c r="C15" t="n">
        <v>15</v>
      </c>
    </row>
    <row r="16">
      <c r="A16" t="inlineStr">
        <is>
          <t>ki_wuchtschlag</t>
        </is>
      </c>
      <c r="B16" t="inlineStr">
        <is>
          <t>ki_kraftakt</t>
        </is>
      </c>
      <c r="C16" t="n">
        <v>15</v>
      </c>
    </row>
    <row r="17">
      <c r="A17" t="inlineStr">
        <is>
          <t>ki_adlerauge</t>
        </is>
      </c>
      <c r="B17" t="inlineStr">
        <is>
          <t>ki_fledermausohr_aalnase</t>
        </is>
      </c>
      <c r="C17" t="n">
        <v>15</v>
      </c>
    </row>
    <row r="18">
      <c r="A18" t="inlineStr">
        <is>
          <t>ki_selbstheilung</t>
        </is>
      </c>
      <c r="B18" t="inlineStr">
        <is>
          <t>ki_erleuchtung</t>
        </is>
      </c>
      <c r="C18" t="n">
        <v>30</v>
      </c>
    </row>
    <row r="19">
      <c r="A19" t="inlineStr">
        <is>
          <t>ki_selbstheilung</t>
        </is>
      </c>
      <c r="B19" t="inlineStr">
        <is>
          <t>ki_heilender_schlaf</t>
        </is>
      </c>
      <c r="C19" t="n">
        <v>10</v>
      </c>
    </row>
    <row r="20">
      <c r="A20" t="inlineStr">
        <is>
          <t>ki_charisma</t>
        </is>
      </c>
      <c r="B20" t="inlineStr">
        <is>
          <t>ki_erleuchtung</t>
        </is>
      </c>
      <c r="C20" t="n">
        <v>15</v>
      </c>
    </row>
    <row r="21">
      <c r="A21" t="inlineStr">
        <is>
          <t>ki_geschossen_ausweichen</t>
        </is>
      </c>
      <c r="B21" t="inlineStr">
        <is>
          <t>ki_abwehr</t>
        </is>
      </c>
      <c r="C21" t="n">
        <v>15</v>
      </c>
    </row>
    <row r="22">
      <c r="A22" t="inlineStr">
        <is>
          <t>ki_geschossen_ausweichen</t>
        </is>
      </c>
      <c r="B22" t="inlineStr">
        <is>
          <t>ki_adlerauge</t>
        </is>
      </c>
      <c r="C22" t="n">
        <v>30</v>
      </c>
    </row>
    <row r="23">
      <c r="A23" t="inlineStr">
        <is>
          <t>ki_geschossen_ausweichen</t>
        </is>
      </c>
      <c r="B23" t="inlineStr">
        <is>
          <t>ki_gleichgewicht_&amp;_feingefuehl</t>
        </is>
      </c>
      <c r="C23" t="n">
        <v>30</v>
      </c>
    </row>
    <row r="24">
      <c r="A24" t="inlineStr">
        <is>
          <t>ki_gleichgewicht_&amp;_feingefuehl</t>
        </is>
      </c>
      <c r="B24" t="inlineStr">
        <is>
          <t>ki_sprung</t>
        </is>
      </c>
      <c r="C24" t="n">
        <v>15</v>
      </c>
    </row>
    <row r="25">
      <c r="A25" t="inlineStr">
        <is>
          <t>ki_eigenanziehung_verringern</t>
        </is>
      </c>
      <c r="B25" t="inlineStr">
        <is>
          <t>ki_sprung</t>
        </is>
      </c>
      <c r="C25" t="n">
        <v>20</v>
      </c>
    </row>
    <row r="26">
      <c r="A26" t="inlineStr">
        <is>
          <t>ki_kampfrausch</t>
        </is>
      </c>
      <c r="B26" t="inlineStr">
        <is>
          <t>ki_wuchtschlag</t>
        </is>
      </c>
      <c r="C26" t="n">
        <v>15</v>
      </c>
    </row>
    <row r="27">
      <c r="A27" t="inlineStr">
        <is>
          <t>ki_magie_aufspueren</t>
        </is>
      </c>
      <c r="B27" t="inlineStr">
        <is>
          <t>ki_adlerauge</t>
        </is>
      </c>
      <c r="C27" t="n">
        <v>20</v>
      </c>
    </row>
    <row r="28">
      <c r="A28" t="inlineStr">
        <is>
          <t>ki_meister_der_grundfertigkeiten</t>
        </is>
      </c>
      <c r="B28" t="inlineStr">
        <is>
          <t>ki_charisma</t>
        </is>
      </c>
      <c r="C28" t="n">
        <v>15</v>
      </c>
    </row>
    <row r="29">
      <c r="A29" t="inlineStr">
        <is>
          <t>ki_regeneration</t>
        </is>
      </c>
      <c r="B29" t="inlineStr">
        <is>
          <t>ki_selbstheilung</t>
        </is>
      </c>
      <c r="C29" t="n">
        <v>30</v>
      </c>
    </row>
    <row r="30">
      <c r="A30" t="inlineStr">
        <is>
          <t>ki_paradeserie</t>
        </is>
      </c>
      <c r="B30" t="inlineStr">
        <is>
          <t>ki_geschossen_ausweichen</t>
        </is>
      </c>
      <c r="C30" t="n">
        <v>25</v>
      </c>
    </row>
    <row r="31">
      <c r="A31" t="inlineStr">
        <is>
          <t>ki_konterattacke</t>
        </is>
      </c>
      <c r="B31" t="inlineStr">
        <is>
          <t>ki_paradeserie</t>
        </is>
      </c>
      <c r="C31" t="n">
        <v>30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40"/>
  <sheetViews>
    <sheetView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row xmlns="http://schemas.openxmlformats.org/spreadsheetml/2006/main" r="974" ht="36" hidden="0" customHeight="1">
      <c r="A974" s="76" t="inlineStr">
        <is>
          <t>Dienstmittel</t>
        </is>
      </c>
      <c r="B974" s="76" t="inlineStr">
        <is>
          <t>Handschellen mit zwei Schlüsseln</t>
        </is>
      </c>
      <c r="C974" s="77" t="n">
        <v>1</v>
      </c>
      <c r="D974" s="76" t="inlineStr">
        <is>
          <t>Satz</t>
        </is>
      </c>
      <c r="E974" s="78" t="n">
        <v>0.7</v>
      </c>
      <c r="F974" s="78" t="n">
        <v>60</v>
      </c>
      <c r="G974" s="76" t="inlineStr">
        <is>
          <t>NPC D001</t>
        </is>
      </c>
      <c r="H974" s="76" t="inlineStr">
        <is>
          <t>Schmied</t>
        </is>
      </c>
      <c r="I974" s="76" t="inlineStr">
        <is>
          <t>Feinschmied</t>
        </is>
      </c>
    </row>
    <row xmlns="http://schemas.openxmlformats.org/spreadsheetml/2006/main" r="975" ht="36" hidden="0" customHeight="1">
      <c r="A975" s="76" t="inlineStr">
        <is>
          <t>Dienstmittel</t>
        </is>
      </c>
      <c r="B975" s="76" t="inlineStr">
        <is>
          <t>Dienstabzeichen, geprägt</t>
        </is>
      </c>
      <c r="C975" s="77" t="n">
        <v>1</v>
      </c>
      <c r="D975" s="76" t="inlineStr">
        <is>
          <t>Stück</t>
        </is>
      </c>
      <c r="E975" s="78" t="n">
        <v>0.03</v>
      </c>
      <c r="F975" s="78" t="n">
        <v>4</v>
      </c>
      <c r="G975" s="76" t="inlineStr">
        <is>
          <t>NPC D002</t>
        </is>
      </c>
      <c r="H975" s="76" t="inlineStr">
        <is>
          <t>Schmied</t>
        </is>
      </c>
      <c r="I975" s="76" t="inlineStr">
        <is>
          <t>Feinschmied</t>
        </is>
      </c>
    </row>
    <row xmlns="http://schemas.openxmlformats.org/spreadsheetml/2006/main" r="976" ht="36" hidden="0" customHeight="1">
      <c r="A976" s="76" t="inlineStr">
        <is>
          <t>Schreibwaren</t>
        </is>
      </c>
      <c r="B976" s="76" t="inlineStr">
        <is>
          <t>Fahndungsblatt, gedruckt</t>
        </is>
      </c>
      <c r="C976" s="77" t="n">
        <v>1</v>
      </c>
      <c r="D976" s="76" t="inlineStr">
        <is>
          <t>Blatt</t>
        </is>
      </c>
      <c r="E976" s="78" t="n">
        <v>0.01</v>
      </c>
      <c r="F976" s="78" t="n">
        <v>0.3</v>
      </c>
      <c r="G976" s="76" t="inlineStr">
        <is>
          <t>NPC D003</t>
        </is>
      </c>
      <c r="H976" s="76" t="inlineStr">
        <is>
          <t>Drucker</t>
        </is>
      </c>
      <c r="I976" s="76" t="inlineStr">
        <is>
          <t>Lithograf</t>
        </is>
      </c>
    </row>
    <row xmlns="http://schemas.openxmlformats.org/spreadsheetml/2006/main" r="977" ht="48" hidden="0" customHeight="1">
      <c r="A977" s="76" t="inlineStr">
        <is>
          <t>Waffenzubehör</t>
        </is>
      </c>
      <c r="B977" s="76" t="inlineStr">
        <is>
          <t>Revolverholster, Gürtelmontage</t>
        </is>
      </c>
      <c r="C977" s="77" t="n">
        <v>1</v>
      </c>
      <c r="D977" s="76" t="inlineStr">
        <is>
          <t>Stück</t>
        </is>
      </c>
      <c r="E977" s="78" t="n">
        <v>0.25</v>
      </c>
      <c r="F977" s="78" t="n">
        <v>3</v>
      </c>
      <c r="G977" s="76" t="inlineStr">
        <is>
          <t>NPC D004</t>
        </is>
      </c>
      <c r="H977" s="76" t="inlineStr">
        <is>
          <t>Lederbearbeitung</t>
        </is>
      </c>
      <c r="I977" s="76" t="inlineStr">
        <is>
          <t>Sattler</t>
        </is>
      </c>
    </row>
    <row xmlns="http://schemas.openxmlformats.org/spreadsheetml/2006/main" r="978" ht="24" hidden="0" customHeight="1">
      <c r="A978" s="76" t="inlineStr">
        <is>
          <t>Schreibwaren</t>
        </is>
      </c>
      <c r="B978" s="76" t="inlineStr">
        <is>
          <t>Landkarte, Region</t>
        </is>
      </c>
      <c r="C978" s="77" t="n">
        <v>1</v>
      </c>
      <c r="D978" s="76" t="inlineStr">
        <is>
          <t>Blatt</t>
        </is>
      </c>
      <c r="E978" s="78" t="n">
        <v>0.04</v>
      </c>
      <c r="F978" s="78" t="n">
        <v>12</v>
      </c>
      <c r="G978" s="76" t="inlineStr">
        <is>
          <t>NPC D005</t>
        </is>
      </c>
      <c r="H978" s="76" t="inlineStr">
        <is>
          <t>Geografie</t>
        </is>
      </c>
      <c r="I978" s="76" t="inlineStr">
        <is>
          <t>Kartografie</t>
        </is>
      </c>
    </row>
    <row xmlns="http://schemas.openxmlformats.org/spreadsheetml/2006/main" r="979" ht="36" hidden="0" customHeight="1">
      <c r="A979" s="76" t="inlineStr">
        <is>
          <t>Schreibwaren</t>
        </is>
      </c>
      <c r="B979" s="76" t="inlineStr">
        <is>
          <t>Seekarte, Küstenabschnitt</t>
        </is>
      </c>
      <c r="C979" s="77" t="n">
        <v>1</v>
      </c>
      <c r="D979" s="76" t="inlineStr">
        <is>
          <t>Blatt</t>
        </is>
      </c>
      <c r="E979" s="78" t="n">
        <v>0.05</v>
      </c>
      <c r="F979" s="78" t="n">
        <v>20</v>
      </c>
      <c r="G979" s="76" t="inlineStr">
        <is>
          <t>NPC D006</t>
        </is>
      </c>
      <c r="H979" s="76" t="inlineStr">
        <is>
          <t>Geografie</t>
        </is>
      </c>
      <c r="I979" s="76" t="inlineStr">
        <is>
          <t>Kartografie</t>
        </is>
      </c>
    </row>
    <row xmlns="http://schemas.openxmlformats.org/spreadsheetml/2006/main" r="980" ht="36" hidden="0" customHeight="1">
      <c r="A980" s="76" t="inlineStr">
        <is>
          <t>Werkzeug</t>
        </is>
      </c>
      <c r="B980" s="76" t="inlineStr">
        <is>
          <t>Jagdfalle, kleine Kastenfalle</t>
        </is>
      </c>
      <c r="C980" s="77" t="n">
        <v>1</v>
      </c>
      <c r="D980" s="76" t="inlineStr">
        <is>
          <t>Stück</t>
        </is>
      </c>
      <c r="E980" s="78" t="n">
        <v>2</v>
      </c>
      <c r="F980" s="78" t="n">
        <v>12</v>
      </c>
      <c r="G980" s="76" t="inlineStr">
        <is>
          <t>NPC D007</t>
        </is>
      </c>
      <c r="H980" s="76" t="inlineStr">
        <is>
          <t>Holzbearbeitung</t>
        </is>
      </c>
      <c r="I980" s="76" t="inlineStr">
        <is>
          <t>Tischler</t>
        </is>
      </c>
    </row>
    <row xmlns="http://schemas.openxmlformats.org/spreadsheetml/2006/main" r="981" ht="24" hidden="0" customHeight="1">
      <c r="A981" s="76" t="inlineStr">
        <is>
          <t>Werkzeug</t>
        </is>
      </c>
      <c r="B981" s="76" t="inlineStr">
        <is>
          <t>Jagdfalle, Federbügel</t>
        </is>
      </c>
      <c r="C981" s="77" t="n">
        <v>1</v>
      </c>
      <c r="D981" s="76" t="inlineStr">
        <is>
          <t>Stück</t>
        </is>
      </c>
      <c r="E981" s="78" t="n">
        <v>2.5</v>
      </c>
      <c r="F981" s="78" t="n">
        <v>35</v>
      </c>
      <c r="G981" s="76" t="inlineStr">
        <is>
          <t>NPC D008</t>
        </is>
      </c>
      <c r="H981" s="76" t="inlineStr">
        <is>
          <t>Schmied</t>
        </is>
      </c>
      <c r="I981" s="76" t="inlineStr">
        <is>
          <t>Feinschmied</t>
        </is>
      </c>
    </row>
    <row xmlns="http://schemas.openxmlformats.org/spreadsheetml/2006/main" r="982" ht="24" hidden="0" customHeight="1">
      <c r="A982" s="76" t="inlineStr">
        <is>
          <t>Saatgut</t>
        </is>
      </c>
      <c r="B982" s="76" t="inlineStr">
        <is>
          <t>Saatgetreide, gereinigt</t>
        </is>
      </c>
      <c r="C982" s="77" t="n">
        <v>1</v>
      </c>
      <c r="D982" s="76" t="inlineStr">
        <is>
          <t>Sack, 1 kg</t>
        </is>
      </c>
      <c r="E982" s="78" t="n">
        <v>1</v>
      </c>
      <c r="F982" s="78" t="n">
        <v>0.15</v>
      </c>
      <c r="G982" s="76" t="inlineStr">
        <is>
          <t>NPC D009</t>
        </is>
      </c>
      <c r="H982" s="76" t="inlineStr">
        <is>
          <t>Landwirtschaft</t>
        </is>
      </c>
      <c r="I982" s="76" t="inlineStr">
        <is>
          <t>Getreidebauer</t>
        </is>
      </c>
    </row>
    <row xmlns="http://schemas.openxmlformats.org/spreadsheetml/2006/main" r="983" ht="36" hidden="0" customHeight="1">
      <c r="A983" s="76" t="inlineStr">
        <is>
          <t>Saatgut</t>
        </is>
      </c>
      <c r="B983" s="76" t="inlineStr">
        <is>
          <t>Gemüsesaat, sortenrein</t>
        </is>
      </c>
      <c r="C983" s="77" t="n">
        <v>1</v>
      </c>
      <c r="D983" s="76" t="inlineStr">
        <is>
          <t>Beutel, 50 g</t>
        </is>
      </c>
      <c r="E983" s="78" t="n">
        <v>0.05</v>
      </c>
      <c r="F983" s="78" t="n">
        <v>0.25</v>
      </c>
      <c r="G983" s="76" t="inlineStr">
        <is>
          <t>NPC D010</t>
        </is>
      </c>
      <c r="H983" s="76" t="inlineStr">
        <is>
          <t>Landwirtschaft</t>
        </is>
      </c>
      <c r="I983" s="76" t="inlineStr">
        <is>
          <t>Gemüsebauer</t>
        </is>
      </c>
    </row>
    <row xmlns="http://schemas.openxmlformats.org/spreadsheetml/2006/main" r="984" ht="24" hidden="0" customHeight="1">
      <c r="A984" s="76" t="inlineStr">
        <is>
          <t>Werkzeug</t>
        </is>
      </c>
      <c r="B984" s="76" t="inlineStr">
        <is>
          <t>Goldwaschpfanne</t>
        </is>
      </c>
      <c r="C984" s="77" t="n">
        <v>1</v>
      </c>
      <c r="D984" s="76" t="inlineStr">
        <is>
          <t>Stück</t>
        </is>
      </c>
      <c r="E984" s="78" t="n">
        <v>0.7</v>
      </c>
      <c r="F984" s="78" t="n">
        <v>5</v>
      </c>
      <c r="G984" s="76" t="inlineStr">
        <is>
          <t>NPC D011</t>
        </is>
      </c>
      <c r="H984" s="76" t="inlineStr">
        <is>
          <t>Schmied</t>
        </is>
      </c>
      <c r="I984" s="76" t="inlineStr">
        <is>
          <t>Grobschmied</t>
        </is>
      </c>
    </row>
    <row xmlns="http://schemas.openxmlformats.org/spreadsheetml/2006/main" r="985" ht="36" hidden="0" customHeight="1">
      <c r="A985" s="76" t="inlineStr">
        <is>
          <t>Werkzeug</t>
        </is>
      </c>
      <c r="B985" s="76" t="inlineStr">
        <is>
          <t>Feinwaage mit Gewichten</t>
        </is>
      </c>
      <c r="C985" s="77" t="n">
        <v>1</v>
      </c>
      <c r="D985" s="76" t="inlineStr">
        <is>
          <t>Satz</t>
        </is>
      </c>
      <c r="E985" s="78" t="n">
        <v>0.8</v>
      </c>
      <c r="F985" s="78" t="n">
        <v>90</v>
      </c>
      <c r="G985" s="76" t="inlineStr">
        <is>
          <t>NPC D012</t>
        </is>
      </c>
      <c r="H985" s="76" t="inlineStr">
        <is>
          <t>Mechanikus</t>
        </is>
      </c>
      <c r="I985" s="76" t="inlineStr">
        <is>
          <t>Feinmechaniker</t>
        </is>
      </c>
    </row>
    <row xmlns="http://schemas.openxmlformats.org/spreadsheetml/2006/main" r="986" ht="36" hidden="0" customHeight="1">
      <c r="A986" s="76" t="inlineStr">
        <is>
          <t>Werkzeug</t>
        </is>
      </c>
      <c r="B986" s="76" t="inlineStr">
        <is>
          <t>Handelswaage mit Gewichten</t>
        </is>
      </c>
      <c r="C986" s="77" t="n">
        <v>1</v>
      </c>
      <c r="D986" s="76" t="inlineStr">
        <is>
          <t>Satz</t>
        </is>
      </c>
      <c r="E986" s="78" t="n">
        <v>3</v>
      </c>
      <c r="F986" s="78" t="n">
        <v>40</v>
      </c>
      <c r="G986" s="76" t="inlineStr">
        <is>
          <t>NPC D013</t>
        </is>
      </c>
      <c r="H986" s="76" t="inlineStr">
        <is>
          <t>Schmied</t>
        </is>
      </c>
      <c r="I986" s="76" t="inlineStr">
        <is>
          <t>Feinschmied</t>
        </is>
      </c>
    </row>
    <row xmlns="http://schemas.openxmlformats.org/spreadsheetml/2006/main" r="987" ht="60" hidden="0" customHeight="1">
      <c r="A987" s="76" t="inlineStr">
        <is>
          <t>Arbeitskleidung</t>
        </is>
      </c>
      <c r="B987" s="76" t="inlineStr">
        <is>
          <t>Grubenhelm, Leder mit Verstärkung</t>
        </is>
      </c>
      <c r="C987" s="77" t="n">
        <v>1</v>
      </c>
      <c r="D987" s="76" t="inlineStr">
        <is>
          <t>Stück</t>
        </is>
      </c>
      <c r="E987" s="78" t="n">
        <v>0.6</v>
      </c>
      <c r="F987" s="78" t="n">
        <v>6</v>
      </c>
      <c r="G987" s="76" t="inlineStr">
        <is>
          <t>NPC D014</t>
        </is>
      </c>
      <c r="H987" s="76" t="inlineStr">
        <is>
          <t>Lederbearbeitung</t>
        </is>
      </c>
      <c r="I987" s="76" t="inlineStr">
        <is>
          <t>Oberbekleidung</t>
        </is>
      </c>
    </row>
    <row xmlns="http://schemas.openxmlformats.org/spreadsheetml/2006/main" r="988" ht="48" hidden="0" customHeight="1">
      <c r="A988" s="76" t="inlineStr">
        <is>
          <t>Beleuchtung</t>
        </is>
      </c>
      <c r="B988" s="76" t="inlineStr">
        <is>
          <t>Grubenlampe, abgeschirmt</t>
        </is>
      </c>
      <c r="C988" s="77" t="n">
        <v>1</v>
      </c>
      <c r="D988" s="76" t="inlineStr">
        <is>
          <t>Stück</t>
        </is>
      </c>
      <c r="E988" s="78" t="n">
        <v>1</v>
      </c>
      <c r="F988" s="78" t="n">
        <v>18</v>
      </c>
      <c r="G988" s="76" t="inlineStr">
        <is>
          <t>NPC D015</t>
        </is>
      </c>
      <c r="H988" s="76" t="inlineStr">
        <is>
          <t>Schmied</t>
        </is>
      </c>
      <c r="I988" s="76" t="inlineStr">
        <is>
          <t>Feinschmied</t>
        </is>
      </c>
    </row>
    <row xmlns="http://schemas.openxmlformats.org/spreadsheetml/2006/main" r="989" ht="48" hidden="0" customHeight="1">
      <c r="A989" s="76" t="inlineStr">
        <is>
          <t>Werkzeug</t>
        </is>
      </c>
      <c r="B989" s="76" t="inlineStr">
        <is>
          <t>Sicherungsgurt mit Anschlagringen</t>
        </is>
      </c>
      <c r="C989" s="77" t="n">
        <v>1</v>
      </c>
      <c r="D989" s="76" t="inlineStr">
        <is>
          <t>Stück</t>
        </is>
      </c>
      <c r="E989" s="78" t="n">
        <v>1.5</v>
      </c>
      <c r="F989" s="78" t="n">
        <v>18</v>
      </c>
      <c r="G989" s="76" t="inlineStr">
        <is>
          <t>NPC D016</t>
        </is>
      </c>
      <c r="H989" s="76" t="inlineStr">
        <is>
          <t>Lederbearbeitung</t>
        </is>
      </c>
      <c r="I989" s="76" t="inlineStr">
        <is>
          <t>Sattler</t>
        </is>
      </c>
    </row>
    <row xmlns="http://schemas.openxmlformats.org/spreadsheetml/2006/main" r="990" ht="36" hidden="0" customHeight="1">
      <c r="A990" s="76" t="inlineStr">
        <is>
          <t>Schiffszubehör</t>
        </is>
      </c>
      <c r="B990" s="76" t="inlineStr">
        <is>
          <t>Rettungsring, Kork und Segeltuch</t>
        </is>
      </c>
      <c r="C990" s="77" t="n">
        <v>1</v>
      </c>
      <c r="D990" s="76" t="inlineStr">
        <is>
          <t>Stück</t>
        </is>
      </c>
      <c r="E990" s="78" t="n">
        <v>2</v>
      </c>
      <c r="F990" s="78" t="n">
        <v>8</v>
      </c>
      <c r="G990" s="76" t="inlineStr">
        <is>
          <t>NPC D017</t>
        </is>
      </c>
      <c r="H990" s="76" t="inlineStr">
        <is>
          <t>Schneider</t>
        </is>
      </c>
      <c r="I990" s="76" t="inlineStr">
        <is>
          <t>Segelmacher</t>
        </is>
      </c>
    </row>
    <row xmlns="http://schemas.openxmlformats.org/spreadsheetml/2006/main" r="991" ht="48" hidden="0" customHeight="1">
      <c r="A991" s="76" t="inlineStr">
        <is>
          <t>Fahrzeugzubehör</t>
        </is>
      </c>
      <c r="B991" s="76" t="inlineStr">
        <is>
          <t>Geheimfach für Transportkiste</t>
        </is>
      </c>
      <c r="C991" s="77" t="n">
        <v>1</v>
      </c>
      <c r="D991" s="76" t="inlineStr">
        <is>
          <t>Einbau</t>
        </is>
      </c>
      <c r="E991" s="78" t="n">
        <v>0.5</v>
      </c>
      <c r="F991" s="78" t="n">
        <v>10</v>
      </c>
      <c r="G991" s="76" t="inlineStr">
        <is>
          <t>NPC D018</t>
        </is>
      </c>
      <c r="H991" s="76" t="inlineStr">
        <is>
          <t>Holzbearbeitung</t>
        </is>
      </c>
      <c r="I991" s="76" t="inlineStr">
        <is>
          <t>Tischler</t>
        </is>
      </c>
    </row>
    <row xmlns="http://schemas.openxmlformats.org/spreadsheetml/2006/main" r="992" ht="36" hidden="0" customHeight="1">
      <c r="A992" s="76" t="inlineStr">
        <is>
          <t>Schreibwaren</t>
        </is>
      </c>
      <c r="B992" s="76" t="inlineStr">
        <is>
          <t>Gefälschter Passierschein</t>
        </is>
      </c>
      <c r="C992" s="77" t="n">
        <v>1</v>
      </c>
      <c r="D992" s="76" t="inlineStr">
        <is>
          <t>Dokument</t>
        </is>
      </c>
      <c r="E992" s="78" t="n">
        <v>0.02</v>
      </c>
      <c r="F992" s="78" t="n">
        <v>25</v>
      </c>
      <c r="G992" s="76" t="inlineStr">
        <is>
          <t>NPC D019</t>
        </is>
      </c>
      <c r="H992" s="76" t="inlineStr">
        <is>
          <t>Drucker</t>
        </is>
      </c>
      <c r="I992" s="76" t="inlineStr">
        <is>
          <t>Lithograf</t>
        </is>
      </c>
    </row>
    <row xmlns="http://schemas.openxmlformats.org/spreadsheetml/2006/main" r="993" ht="48" hidden="0" customHeight="1">
      <c r="A993" s="76" t="inlineStr">
        <is>
          <t>Optik</t>
        </is>
      </c>
      <c r="B993" s="76" t="inlineStr">
        <is>
          <t>Kamera, Plattenapparat mit Objektiv</t>
        </is>
      </c>
      <c r="C993" s="77" t="n">
        <v>1</v>
      </c>
      <c r="D993" s="76" t="inlineStr">
        <is>
          <t>Stück</t>
        </is>
      </c>
      <c r="E993" s="78" t="n">
        <v>5</v>
      </c>
      <c r="F993" s="78" t="n">
        <v>600</v>
      </c>
      <c r="G993" s="76" t="inlineStr">
        <is>
          <t>NPC D020</t>
        </is>
      </c>
      <c r="H993" s="76" t="inlineStr">
        <is>
          <t>Mechanikus</t>
        </is>
      </c>
      <c r="I993" s="76" t="inlineStr">
        <is>
          <t>Feinmechaniker</t>
        </is>
      </c>
    </row>
    <row xmlns="http://schemas.openxmlformats.org/spreadsheetml/2006/main" r="994" ht="24" hidden="0" customHeight="1">
      <c r="A994" s="76" t="inlineStr">
        <is>
          <t>Optik</t>
        </is>
      </c>
      <c r="B994" s="76" t="inlineStr">
        <is>
          <t>Kamerastativ, Holz</t>
        </is>
      </c>
      <c r="C994" s="77" t="n">
        <v>1</v>
      </c>
      <c r="D994" s="76" t="inlineStr">
        <is>
          <t>Stück</t>
        </is>
      </c>
      <c r="E994" s="78" t="n">
        <v>3</v>
      </c>
      <c r="F994" s="78" t="n">
        <v>20</v>
      </c>
      <c r="G994" s="76" t="inlineStr">
        <is>
          <t>NPC D021</t>
        </is>
      </c>
      <c r="H994" s="76" t="inlineStr">
        <is>
          <t>Holzbearbeitung</t>
        </is>
      </c>
      <c r="I994" s="76" t="inlineStr">
        <is>
          <t>Tischler</t>
        </is>
      </c>
    </row>
    <row xmlns="http://schemas.openxmlformats.org/spreadsheetml/2006/main" r="995" ht="60" hidden="0" customHeight="1">
      <c r="A995" s="76" t="inlineStr">
        <is>
          <t>Fotomaterial</t>
        </is>
      </c>
      <c r="B995" s="76" t="inlineStr">
        <is>
          <t>Fotoplatten, vorbereitet, sechs Stück</t>
        </is>
      </c>
      <c r="C995" s="77" t="n">
        <v>1</v>
      </c>
      <c r="D995" s="76" t="inlineStr">
        <is>
          <t>Schachtel</t>
        </is>
      </c>
      <c r="E995" s="78" t="n">
        <v>1</v>
      </c>
      <c r="F995" s="78" t="n">
        <v>12</v>
      </c>
      <c r="G995" s="76" t="inlineStr">
        <is>
          <t>NPC D022</t>
        </is>
      </c>
      <c r="H995" s="76" t="inlineStr">
        <is>
          <t>Glaser</t>
        </is>
      </c>
      <c r="I995" s="76" t="inlineStr">
        <is>
          <t>Apparateglaser</t>
        </is>
      </c>
    </row>
    <row xmlns="http://schemas.openxmlformats.org/spreadsheetml/2006/main" r="996" ht="48" hidden="0" customHeight="1">
      <c r="A996" s="76" t="inlineStr">
        <is>
          <t>Fotomaterial</t>
        </is>
      </c>
      <c r="B996" s="76" t="inlineStr">
        <is>
          <t>Fotochemie, Entwicklungssatz</t>
        </is>
      </c>
      <c r="C996" s="77" t="n">
        <v>1</v>
      </c>
      <c r="D996" s="76" t="inlineStr">
        <is>
          <t>Satz für sechs Platten</t>
        </is>
      </c>
      <c r="E996" s="78" t="n">
        <v>0.5</v>
      </c>
      <c r="F996" s="78" t="n">
        <v>8</v>
      </c>
      <c r="G996" s="76" t="inlineStr">
        <is>
          <t>NPC D023</t>
        </is>
      </c>
      <c r="H996" s="76" t="inlineStr">
        <is>
          <t>Alchemie</t>
        </is>
      </c>
      <c r="I996" s="76" t="inlineStr">
        <is>
          <t>Pigmentmacher</t>
        </is>
      </c>
    </row>
    <row xmlns="http://schemas.openxmlformats.org/spreadsheetml/2006/main" r="997" ht="48" hidden="0" customHeight="1">
      <c r="A997" s="76" t="inlineStr">
        <is>
          <t>Werkstattausstattung</t>
        </is>
      </c>
      <c r="B997" s="76" t="inlineStr">
        <is>
          <t>Druckerpresse, Handbetrieb</t>
        </is>
      </c>
      <c r="C997" s="77" t="n">
        <v>1</v>
      </c>
      <c r="D997" s="76" t="inlineStr">
        <is>
          <t>Stück</t>
        </is>
      </c>
      <c r="E997" s="78" t="n">
        <v>180</v>
      </c>
      <c r="F997" s="78" t="n">
        <v>1200</v>
      </c>
      <c r="G997" s="76" t="inlineStr">
        <is>
          <t>NPC D024</t>
        </is>
      </c>
      <c r="H997" s="76" t="inlineStr">
        <is>
          <t>Mechanikus</t>
        </is>
      </c>
      <c r="I997" s="76" t="inlineStr">
        <is>
          <t>Maschinenbauer</t>
        </is>
      </c>
    </row>
    <row xmlns="http://schemas.openxmlformats.org/spreadsheetml/2006/main" r="998" ht="60" hidden="0" customHeight="1">
      <c r="A998" s="76" t="inlineStr">
        <is>
          <t>Werkstattausstattung</t>
        </is>
      </c>
      <c r="B998" s="76" t="inlineStr">
        <is>
          <t>Drucklettern, Grundsatz mit Setzkasten</t>
        </is>
      </c>
      <c r="C998" s="77" t="n">
        <v>1</v>
      </c>
      <c r="D998" s="76" t="inlineStr">
        <is>
          <t>Satz</t>
        </is>
      </c>
      <c r="E998" s="78" t="n">
        <v>12</v>
      </c>
      <c r="F998" s="78" t="n">
        <v>180</v>
      </c>
      <c r="G998" s="76" t="inlineStr">
        <is>
          <t>NPC D025</t>
        </is>
      </c>
      <c r="H998" s="76" t="inlineStr">
        <is>
          <t>Drucker</t>
        </is>
      </c>
      <c r="I998" s="76" t="inlineStr">
        <is>
          <t>Stereotypeur</t>
        </is>
      </c>
    </row>
    <row xmlns="http://schemas.openxmlformats.org/spreadsheetml/2006/main" r="999" ht="24" hidden="0" customHeight="1">
      <c r="A999" s="76" t="inlineStr">
        <is>
          <t>Fotomaterial</t>
        </is>
      </c>
      <c r="B999" s="76" t="inlineStr">
        <is>
          <t>Druckfarbe, schwarz</t>
        </is>
      </c>
      <c r="C999" s="77" t="n">
        <v>1</v>
      </c>
      <c r="D999" s="76" t="inlineStr">
        <is>
          <t>Dose</t>
        </is>
      </c>
      <c r="E999" s="78" t="n">
        <v>0.5</v>
      </c>
      <c r="F999" s="78" t="n">
        <v>4</v>
      </c>
      <c r="G999" s="76" t="inlineStr">
        <is>
          <t>NPC D026</t>
        </is>
      </c>
      <c r="H999" s="76" t="inlineStr">
        <is>
          <t>Alchemie</t>
        </is>
      </c>
      <c r="I999" s="76" t="inlineStr">
        <is>
          <t>Pigmentmacher</t>
        </is>
      </c>
    </row>
    <row xmlns="http://schemas.openxmlformats.org/spreadsheetml/2006/main" r="1000" ht="48" hidden="0" customHeight="1">
      <c r="A1000" s="76" t="inlineStr">
        <is>
          <t>Spielwaren</t>
        </is>
      </c>
      <c r="B1000" s="76" t="inlineStr">
        <is>
          <t>Spielkarten, vollständiges Blatt</t>
        </is>
      </c>
      <c r="C1000" s="77" t="n">
        <v>1</v>
      </c>
      <c r="D1000" s="76" t="inlineStr">
        <is>
          <t>Satz</t>
        </is>
      </c>
      <c r="E1000" s="78" t="n">
        <v>0.08</v>
      </c>
      <c r="F1000" s="78" t="n">
        <v>2</v>
      </c>
      <c r="G1000" s="76" t="inlineStr">
        <is>
          <t>NPC D027</t>
        </is>
      </c>
      <c r="H1000" s="76" t="inlineStr">
        <is>
          <t>Drucker</t>
        </is>
      </c>
      <c r="I1000" s="76" t="inlineStr">
        <is>
          <t>Lithograf</t>
        </is>
      </c>
    </row>
    <row xmlns="http://schemas.openxmlformats.org/spreadsheetml/2006/main" r="1001" ht="48" hidden="0" customHeight="1">
      <c r="A1001" s="76" t="inlineStr">
        <is>
          <t>Spielwaren</t>
        </is>
      </c>
      <c r="B1001" s="76" t="inlineStr">
        <is>
          <t>Spielkarten, markiertes Blatt</t>
        </is>
      </c>
      <c r="C1001" s="77" t="n">
        <v>1</v>
      </c>
      <c r="D1001" s="76" t="inlineStr">
        <is>
          <t>Satz</t>
        </is>
      </c>
      <c r="E1001" s="78" t="n">
        <v>0.08</v>
      </c>
      <c r="F1001" s="78" t="n">
        <v>8</v>
      </c>
      <c r="G1001" s="76" t="inlineStr">
        <is>
          <t>NPC D028</t>
        </is>
      </c>
      <c r="H1001" s="76" t="inlineStr">
        <is>
          <t>Drucker</t>
        </is>
      </c>
      <c r="I1001" s="76" t="inlineStr">
        <is>
          <t>Lithograf</t>
        </is>
      </c>
    </row>
    <row xmlns="http://schemas.openxmlformats.org/spreadsheetml/2006/main" r="1002" ht="36" hidden="0" customHeight="1">
      <c r="A1002" s="76" t="inlineStr">
        <is>
          <t>Spielwaren</t>
        </is>
      </c>
      <c r="B1002" s="76" t="inlineStr">
        <is>
          <t>Würfel, präpariert, drei Stück</t>
        </is>
      </c>
      <c r="C1002" s="77" t="n">
        <v>1</v>
      </c>
      <c r="D1002" s="76" t="inlineStr">
        <is>
          <t>Satz</t>
        </is>
      </c>
      <c r="E1002" s="78" t="n">
        <v>0.02</v>
      </c>
      <c r="F1002" s="78" t="n">
        <v>5</v>
      </c>
      <c r="G1002" s="76" t="inlineStr">
        <is>
          <t>NPC D029</t>
        </is>
      </c>
      <c r="H1002" s="76" t="inlineStr">
        <is>
          <t>Holzbearbeitung</t>
        </is>
      </c>
      <c r="I1002" s="76" t="inlineStr">
        <is>
          <t>Schnitzer</t>
        </is>
      </c>
    </row>
    <row xmlns="http://schemas.openxmlformats.org/spreadsheetml/2006/main" r="1003" ht="24" hidden="0" customHeight="1">
      <c r="A1003" s="76" t="inlineStr">
        <is>
          <t>Werkstattausstattung</t>
        </is>
      </c>
      <c r="B1003" s="76" t="inlineStr">
        <is>
          <t>Amboss, Werkstatt</t>
        </is>
      </c>
      <c r="C1003" s="77" t="n">
        <v>1</v>
      </c>
      <c r="D1003" s="76" t="inlineStr">
        <is>
          <t>Stück</t>
        </is>
      </c>
      <c r="E1003" s="78" t="n">
        <v>60</v>
      </c>
      <c r="F1003" s="78" t="n">
        <v>180</v>
      </c>
      <c r="G1003" s="76" t="inlineStr">
        <is>
          <t>NPC D030</t>
        </is>
      </c>
      <c r="H1003" s="76" t="inlineStr">
        <is>
          <t>Schmied</t>
        </is>
      </c>
      <c r="I1003" s="76" t="inlineStr">
        <is>
          <t>Grobschmied</t>
        </is>
      </c>
    </row>
    <row xmlns="http://schemas.openxmlformats.org/spreadsheetml/2006/main" r="1004" ht="36" hidden="0" customHeight="1">
      <c r="A1004" s="76" t="inlineStr">
        <is>
          <t>Werkstattausstattung</t>
        </is>
      </c>
      <c r="B1004" s="76" t="inlineStr">
        <is>
          <t>Esse, fest, mit Feuerbett</t>
        </is>
      </c>
      <c r="C1004" s="77" t="n">
        <v>1</v>
      </c>
      <c r="D1004" s="76" t="inlineStr">
        <is>
          <t>Stück</t>
        </is>
      </c>
      <c r="E1004" s="78" t="n">
        <v>80</v>
      </c>
      <c r="F1004" s="78" t="n">
        <v>120</v>
      </c>
      <c r="G1004" s="76" t="inlineStr">
        <is>
          <t>NPC D031</t>
        </is>
      </c>
      <c r="H1004" s="76" t="inlineStr">
        <is>
          <t>Schmied</t>
        </is>
      </c>
      <c r="I1004" s="76" t="inlineStr">
        <is>
          <t>Grobschmied</t>
        </is>
      </c>
    </row>
    <row xmlns="http://schemas.openxmlformats.org/spreadsheetml/2006/main" r="1005" ht="24" hidden="0" customHeight="1">
      <c r="A1005" s="76" t="inlineStr">
        <is>
          <t>Werkstattausstattung</t>
        </is>
      </c>
      <c r="B1005" s="76" t="inlineStr">
        <is>
          <t>Blasebalg, Schmiede</t>
        </is>
      </c>
      <c r="C1005" s="77" t="n">
        <v>1</v>
      </c>
      <c r="D1005" s="76" t="inlineStr">
        <is>
          <t>Stück</t>
        </is>
      </c>
      <c r="E1005" s="78" t="n">
        <v>8</v>
      </c>
      <c r="F1005" s="78" t="n">
        <v>45</v>
      </c>
      <c r="G1005" s="76" t="inlineStr">
        <is>
          <t>NPC D032</t>
        </is>
      </c>
      <c r="H1005" s="76" t="inlineStr">
        <is>
          <t>Lederbearbeitung</t>
        </is>
      </c>
      <c r="I1005" s="76" t="inlineStr">
        <is>
          <t>Sattler</t>
        </is>
      </c>
    </row>
    <row xmlns="http://schemas.openxmlformats.org/spreadsheetml/2006/main" r="1006" ht="48" hidden="0" customHeight="1">
      <c r="A1006" s="76" t="inlineStr">
        <is>
          <t>Werkstattausstattung</t>
        </is>
      </c>
      <c r="B1006" s="76" t="inlineStr">
        <is>
          <t>Werkbank mit Schraubstock</t>
        </is>
      </c>
      <c r="C1006" s="77" t="n">
        <v>1</v>
      </c>
      <c r="D1006" s="76" t="inlineStr">
        <is>
          <t>Stück</t>
        </is>
      </c>
      <c r="E1006" s="78" t="n">
        <v>35</v>
      </c>
      <c r="F1006" s="78" t="n">
        <v>100</v>
      </c>
      <c r="G1006" s="76" t="inlineStr">
        <is>
          <t>NPC D033</t>
        </is>
      </c>
      <c r="H1006" s="76" t="inlineStr">
        <is>
          <t>Holzbearbeitung</t>
        </is>
      </c>
      <c r="I1006" s="76" t="inlineStr">
        <is>
          <t>Tischler</t>
        </is>
      </c>
    </row>
    <row xmlns="http://schemas.openxmlformats.org/spreadsheetml/2006/main" r="1007" ht="36" hidden="0" customHeight="1">
      <c r="A1007" s="76" t="inlineStr">
        <is>
          <t>Werkzeug</t>
        </is>
      </c>
      <c r="B1007" s="76" t="inlineStr">
        <is>
          <t>Präzisionswerkzeug, Waffenbau</t>
        </is>
      </c>
      <c r="C1007" s="77" t="n">
        <v>1</v>
      </c>
      <c r="D1007" s="76" t="inlineStr">
        <is>
          <t>Satz</t>
        </is>
      </c>
      <c r="E1007" s="78" t="n">
        <v>1.2</v>
      </c>
      <c r="F1007" s="78" t="n">
        <v>65</v>
      </c>
      <c r="G1007" s="76" t="inlineStr">
        <is>
          <t>NPC D034</t>
        </is>
      </c>
      <c r="H1007" s="76" t="inlineStr">
        <is>
          <t>Schmied</t>
        </is>
      </c>
      <c r="I1007" s="76" t="inlineStr">
        <is>
          <t>Feinschmied</t>
        </is>
      </c>
    </row>
    <row xmlns="http://schemas.openxmlformats.org/spreadsheetml/2006/main" r="1008" ht="48" hidden="0" customHeight="1">
      <c r="A1008" s="76" t="inlineStr">
        <is>
          <t>Werkzeug</t>
        </is>
      </c>
      <c r="B1008" s="76" t="inlineStr">
        <is>
          <t>Formwerkzeuge, Rüstungsbau</t>
        </is>
      </c>
      <c r="C1008" s="77" t="n">
        <v>1</v>
      </c>
      <c r="D1008" s="76" t="inlineStr">
        <is>
          <t>Satz</t>
        </is>
      </c>
      <c r="E1008" s="78" t="n">
        <v>5</v>
      </c>
      <c r="F1008" s="78" t="n">
        <v>55</v>
      </c>
      <c r="G1008" s="76" t="inlineStr">
        <is>
          <t>NPC D035</t>
        </is>
      </c>
      <c r="H1008" s="76" t="inlineStr">
        <is>
          <t>Schmied</t>
        </is>
      </c>
      <c r="I1008" s="76" t="inlineStr">
        <is>
          <t>Grobschmied</t>
        </is>
      </c>
    </row>
    <row xmlns="http://schemas.openxmlformats.org/spreadsheetml/2006/main" r="1009" ht="48" hidden="0" customHeight="1">
      <c r="A1009" s="76" t="inlineStr">
        <is>
          <t>Werkstattmaterial</t>
        </is>
      </c>
      <c r="B1009" s="76" t="inlineStr">
        <is>
          <t>Rüstungsnieten, fünfzig Stück</t>
        </is>
      </c>
      <c r="C1009" s="77" t="n">
        <v>1</v>
      </c>
      <c r="D1009" s="76" t="inlineStr">
        <is>
          <t>Schachtel</t>
        </is>
      </c>
      <c r="E1009" s="78" t="n">
        <v>0.3</v>
      </c>
      <c r="F1009" s="78" t="n">
        <v>5</v>
      </c>
      <c r="G1009" s="76" t="inlineStr">
        <is>
          <t>NPC D036</t>
        </is>
      </c>
      <c r="H1009" s="76" t="inlineStr">
        <is>
          <t>Schmied</t>
        </is>
      </c>
      <c r="I1009" s="76" t="inlineStr">
        <is>
          <t>Feinschmied</t>
        </is>
      </c>
    </row>
    <row xmlns="http://schemas.openxmlformats.org/spreadsheetml/2006/main" r="1010" ht="36" hidden="0" customHeight="1">
      <c r="A1010" s="76" t="inlineStr">
        <is>
          <t>Werkzeug</t>
        </is>
      </c>
      <c r="B1010" s="76" t="inlineStr">
        <is>
          <t>Schraubendreher, drei Größen</t>
        </is>
      </c>
      <c r="C1010" s="77" t="n">
        <v>1</v>
      </c>
      <c r="D1010" s="76" t="inlineStr">
        <is>
          <t>Satz</t>
        </is>
      </c>
      <c r="E1010" s="78" t="n">
        <v>0.4</v>
      </c>
      <c r="F1010" s="78" t="n">
        <v>9</v>
      </c>
      <c r="G1010" s="76" t="inlineStr">
        <is>
          <t>NPC D037</t>
        </is>
      </c>
      <c r="H1010" s="76" t="inlineStr">
        <is>
          <t>Schmied</t>
        </is>
      </c>
      <c r="I1010" s="76" t="inlineStr">
        <is>
          <t>Feinschmied</t>
        </is>
      </c>
    </row>
    <row xmlns="http://schemas.openxmlformats.org/spreadsheetml/2006/main" r="1011" ht="48" hidden="0" customHeight="1">
      <c r="A1011" s="76" t="inlineStr">
        <is>
          <t>Werkzeug</t>
        </is>
      </c>
      <c r="B1011" s="76" t="inlineStr">
        <is>
          <t>Schraubenschlüssel, vier Größen</t>
        </is>
      </c>
      <c r="C1011" s="77" t="n">
        <v>1</v>
      </c>
      <c r="D1011" s="76" t="inlineStr">
        <is>
          <t>Satz</t>
        </is>
      </c>
      <c r="E1011" s="78" t="n">
        <v>1.2</v>
      </c>
      <c r="F1011" s="78" t="n">
        <v>16</v>
      </c>
      <c r="G1011" s="76" t="inlineStr">
        <is>
          <t>NPC D038</t>
        </is>
      </c>
      <c r="H1011" s="76" t="inlineStr">
        <is>
          <t>Schmied</t>
        </is>
      </c>
      <c r="I1011" s="76" t="inlineStr">
        <is>
          <t>Grobschmied</t>
        </is>
      </c>
    </row>
    <row xmlns="http://schemas.openxmlformats.org/spreadsheetml/2006/main" r="1012" ht="60" hidden="0" customHeight="1">
      <c r="A1012" s="76" t="inlineStr">
        <is>
          <t>Werkstattmaterial</t>
        </is>
      </c>
      <c r="B1012" s="76" t="inlineStr">
        <is>
          <t>Schrauben und Muttern, zwanzig Paare</t>
        </is>
      </c>
      <c r="C1012" s="77" t="n">
        <v>1</v>
      </c>
      <c r="D1012" s="76" t="inlineStr">
        <is>
          <t>Schachtel</t>
        </is>
      </c>
      <c r="E1012" s="78" t="n">
        <v>0.3</v>
      </c>
      <c r="F1012" s="78" t="n">
        <v>6</v>
      </c>
      <c r="G1012" s="76" t="inlineStr">
        <is>
          <t>NPC D039</t>
        </is>
      </c>
      <c r="H1012" s="76" t="inlineStr">
        <is>
          <t>Schmied</t>
        </is>
      </c>
      <c r="I1012" s="76" t="inlineStr">
        <is>
          <t>Feinschmied</t>
        </is>
      </c>
    </row>
    <row xmlns="http://schemas.openxmlformats.org/spreadsheetml/2006/main" r="1013" ht="48" hidden="0" customHeight="1">
      <c r="A1013" s="76" t="inlineStr">
        <is>
          <t>Werkstattmaterial</t>
        </is>
      </c>
      <c r="B1013" s="76" t="inlineStr">
        <is>
          <t>Maschinenersatzteile, einfache Auswahl</t>
        </is>
      </c>
      <c r="C1013" s="77" t="n">
        <v>1</v>
      </c>
      <c r="D1013" s="76" t="inlineStr">
        <is>
          <t>Satz</t>
        </is>
      </c>
      <c r="E1013" s="78" t="n">
        <v>2</v>
      </c>
      <c r="F1013" s="78" t="n">
        <v>30</v>
      </c>
      <c r="G1013" s="76" t="inlineStr">
        <is>
          <t>NPC D040</t>
        </is>
      </c>
      <c r="H1013" s="76" t="inlineStr">
        <is>
          <t>Mechanikus</t>
        </is>
      </c>
      <c r="I1013" s="76" t="inlineStr">
        <is>
          <t>Maschinenbauer</t>
        </is>
      </c>
    </row>
    <row xmlns="http://schemas.openxmlformats.org/spreadsheetml/2006/main" r="1014" ht="36" hidden="0" customHeight="1">
      <c r="A1014" s="76" t="inlineStr">
        <is>
          <t>Baumaterial</t>
        </is>
      </c>
      <c r="B1014" s="76" t="inlineStr">
        <is>
          <t>Bauholz, Bretter, trocken</t>
        </is>
      </c>
      <c r="C1014" s="77" t="n">
        <v>1</v>
      </c>
      <c r="D1014" s="76" t="inlineStr">
        <is>
          <t>Bündel</t>
        </is>
      </c>
      <c r="E1014" s="78" t="n">
        <v>10</v>
      </c>
      <c r="F1014" s="78" t="n">
        <v>4</v>
      </c>
      <c r="G1014" s="76" t="inlineStr">
        <is>
          <t>NPC D041</t>
        </is>
      </c>
      <c r="H1014" s="76" t="inlineStr">
        <is>
          <t>Holzbearbeitung</t>
        </is>
      </c>
      <c r="I1014" s="76" t="inlineStr">
        <is>
          <t>Holzfäller</t>
        </is>
      </c>
    </row>
    <row xmlns="http://schemas.openxmlformats.org/spreadsheetml/2006/main" r="1015" ht="36" hidden="0" customHeight="1">
      <c r="A1015" s="76" t="inlineStr">
        <is>
          <t>Baumaterial</t>
        </is>
      </c>
      <c r="B1015" s="76" t="inlineStr">
        <is>
          <t>Bauholz, Stützbalken</t>
        </is>
      </c>
      <c r="C1015" s="77" t="n">
        <v>1</v>
      </c>
      <c r="D1015" s="76" t="inlineStr">
        <is>
          <t>Stück</t>
        </is>
      </c>
      <c r="E1015" s="78" t="n">
        <v>15</v>
      </c>
      <c r="F1015" s="78" t="n">
        <v>6</v>
      </c>
      <c r="G1015" s="76" t="inlineStr">
        <is>
          <t>NPC D042</t>
        </is>
      </c>
      <c r="H1015" s="76" t="inlineStr">
        <is>
          <t>Holzbearbeitung</t>
        </is>
      </c>
      <c r="I1015" s="76" t="inlineStr">
        <is>
          <t>Holzfäller</t>
        </is>
      </c>
    </row>
    <row xmlns="http://schemas.openxmlformats.org/spreadsheetml/2006/main" r="1016" ht="48" hidden="0" customHeight="1">
      <c r="A1016" s="76" t="inlineStr">
        <is>
          <t>Behälter</t>
        </is>
      </c>
      <c r="B1016" s="76" t="inlineStr">
        <is>
          <t>Arzttasche, leer mit Innenfächern</t>
        </is>
      </c>
      <c r="C1016" s="77" t="n">
        <v>1</v>
      </c>
      <c r="D1016" s="76" t="inlineStr">
        <is>
          <t>Stück</t>
        </is>
      </c>
      <c r="E1016" s="78" t="n">
        <v>1</v>
      </c>
      <c r="F1016" s="78" t="n">
        <v>5</v>
      </c>
      <c r="G1016" s="76" t="inlineStr">
        <is>
          <t>NPC D043</t>
        </is>
      </c>
      <c r="H1016" s="76" t="inlineStr">
        <is>
          <t>Lederbearbeitung</t>
        </is>
      </c>
      <c r="I1016" s="76" t="inlineStr">
        <is>
          <t>Täschner</t>
        </is>
      </c>
    </row>
    <row xmlns="http://schemas.openxmlformats.org/spreadsheetml/2006/main" r="1017" ht="36" hidden="0" customHeight="1">
      <c r="A1017" s="76" t="inlineStr">
        <is>
          <t>Medizinischer Bedarf</t>
        </is>
      </c>
      <c r="B1017" s="76" t="inlineStr">
        <is>
          <t>Verbände, sauber verpackt</t>
        </is>
      </c>
      <c r="C1017" s="77" t="n">
        <v>1</v>
      </c>
      <c r="D1017" s="76" t="inlineStr">
        <is>
          <t>Satz mit fünf Binden</t>
        </is>
      </c>
      <c r="E1017" s="78" t="n">
        <v>0.15</v>
      </c>
      <c r="F1017" s="78" t="n">
        <v>1.5</v>
      </c>
      <c r="G1017" s="76" t="inlineStr">
        <is>
          <t>NPC D044</t>
        </is>
      </c>
      <c r="H1017" s="76" t="inlineStr">
        <is>
          <t>Weber</t>
        </is>
      </c>
      <c r="I1017" s="76" t="inlineStr">
        <is>
          <t>Leinweber</t>
        </is>
      </c>
    </row>
    <row xmlns="http://schemas.openxmlformats.org/spreadsheetml/2006/main" r="1018" ht="48" hidden="0" customHeight="1">
      <c r="A1018" s="76" t="inlineStr">
        <is>
          <t>Medizinischer Bedarf</t>
        </is>
      </c>
      <c r="B1018" s="76" t="inlineStr">
        <is>
          <t>Verbände, sterilisiert und versiegelt</t>
        </is>
      </c>
      <c r="C1018" s="77" t="n">
        <v>1</v>
      </c>
      <c r="D1018" s="76" t="inlineStr">
        <is>
          <t>Satz mit fünf Binden</t>
        </is>
      </c>
      <c r="E1018" s="78" t="n">
        <v>0.15</v>
      </c>
      <c r="F1018" s="78" t="n">
        <v>3</v>
      </c>
      <c r="G1018" s="76" t="inlineStr">
        <is>
          <t>NPC D045</t>
        </is>
      </c>
      <c r="H1018" s="76" t="inlineStr">
        <is>
          <t>Weber</t>
        </is>
      </c>
      <c r="I1018" s="76" t="inlineStr">
        <is>
          <t>Leinweber</t>
        </is>
      </c>
    </row>
    <row xmlns="http://schemas.openxmlformats.org/spreadsheetml/2006/main" r="1019" ht="60" hidden="0" customHeight="1">
      <c r="A1019" s="76" t="inlineStr">
        <is>
          <t>Medizinischer Bedarf</t>
        </is>
      </c>
      <c r="B1019" s="76" t="inlineStr">
        <is>
          <t>Chirurgische Instrumente, Grundsatz</t>
        </is>
      </c>
      <c r="C1019" s="77" t="n">
        <v>1</v>
      </c>
      <c r="D1019" s="76" t="inlineStr">
        <is>
          <t>Satz</t>
        </is>
      </c>
      <c r="E1019" s="78" t="n">
        <v>0.8</v>
      </c>
      <c r="F1019" s="78" t="n">
        <v>75</v>
      </c>
      <c r="G1019" s="76" t="inlineStr">
        <is>
          <t>NPC D046</t>
        </is>
      </c>
      <c r="H1019" s="76" t="inlineStr">
        <is>
          <t>Schmied</t>
        </is>
      </c>
      <c r="I1019" s="76" t="inlineStr">
        <is>
          <t>Feinschmied</t>
        </is>
      </c>
    </row>
    <row xmlns="http://schemas.openxmlformats.org/spreadsheetml/2006/main" r="1020" ht="48" hidden="0" customHeight="1">
      <c r="A1020" s="76" t="inlineStr">
        <is>
          <t>Medizinischer Bedarf</t>
        </is>
      </c>
      <c r="B1020" s="76" t="inlineStr">
        <is>
          <t>Nahtmaterial, medizinisch</t>
        </is>
      </c>
      <c r="C1020" s="77" t="n">
        <v>1</v>
      </c>
      <c r="D1020" s="76" t="inlineStr">
        <is>
          <t>Packung für fünf Versorgungen</t>
        </is>
      </c>
      <c r="E1020" s="78" t="n">
        <v>0.05</v>
      </c>
      <c r="F1020" s="78" t="n">
        <v>4</v>
      </c>
      <c r="G1020" s="76" t="inlineStr">
        <is>
          <t>NPC D047</t>
        </is>
      </c>
      <c r="H1020" s="76" t="inlineStr">
        <is>
          <t>Schmied</t>
        </is>
      </c>
      <c r="I1020" s="76" t="inlineStr">
        <is>
          <t>Feinschmied</t>
        </is>
      </c>
    </row>
    <row xmlns="http://schemas.openxmlformats.org/spreadsheetml/2006/main" r="1021" ht="48" hidden="0" customHeight="1">
      <c r="A1021" s="76" t="inlineStr">
        <is>
          <t>Medizinischer Bedarf</t>
        </is>
      </c>
      <c r="B1021" s="76" t="inlineStr">
        <is>
          <t>Reinigungsmittel, medizinisch</t>
        </is>
      </c>
      <c r="C1021" s="77" t="n">
        <v>1</v>
      </c>
      <c r="D1021" s="76" t="inlineStr">
        <is>
          <t>Flasche, 0,2 l</t>
        </is>
      </c>
      <c r="E1021" s="78" t="n">
        <v>0.25</v>
      </c>
      <c r="F1021" s="78" t="n">
        <v>4</v>
      </c>
      <c r="G1021" s="76" t="inlineStr">
        <is>
          <t>NPC D048</t>
        </is>
      </c>
      <c r="H1021" s="76" t="inlineStr">
        <is>
          <t>Alchemie</t>
        </is>
      </c>
      <c r="I1021" s="76" t="inlineStr">
        <is>
          <t>Seifensieder</t>
        </is>
      </c>
    </row>
    <row xmlns="http://schemas.openxmlformats.org/spreadsheetml/2006/main" r="1022" ht="36" hidden="0" customHeight="1">
      <c r="A1022" s="76" t="inlineStr">
        <is>
          <t>Medizinischer Bedarf</t>
        </is>
      </c>
      <c r="B1022" s="76" t="inlineStr">
        <is>
          <t>Instrumentenkessel mit Einsatz</t>
        </is>
      </c>
      <c r="C1022" s="77" t="n">
        <v>1</v>
      </c>
      <c r="D1022" s="76" t="inlineStr">
        <is>
          <t>Satz</t>
        </is>
      </c>
      <c r="E1022" s="78" t="n">
        <v>2</v>
      </c>
      <c r="F1022" s="78" t="n">
        <v>18</v>
      </c>
      <c r="G1022" s="76" t="inlineStr">
        <is>
          <t>NPC D049</t>
        </is>
      </c>
      <c r="H1022" s="76" t="inlineStr">
        <is>
          <t>Schmied</t>
        </is>
      </c>
      <c r="I1022" s="76" t="inlineStr">
        <is>
          <t>Feinschmied</t>
        </is>
      </c>
    </row>
    <row xmlns="http://schemas.openxmlformats.org/spreadsheetml/2006/main" r="1023" ht="36" hidden="0" customHeight="1">
      <c r="A1023" s="76" t="inlineStr">
        <is>
          <t>Werkzeug</t>
        </is>
      </c>
      <c r="B1023" s="76" t="inlineStr">
        <is>
          <t>Mörser mit Stößel, Keramik</t>
        </is>
      </c>
      <c r="C1023" s="77" t="n">
        <v>1</v>
      </c>
      <c r="D1023" s="76" t="inlineStr">
        <is>
          <t>Satz</t>
        </is>
      </c>
      <c r="E1023" s="78" t="n">
        <v>1</v>
      </c>
      <c r="F1023" s="78" t="n">
        <v>4</v>
      </c>
      <c r="G1023" s="76" t="inlineStr">
        <is>
          <t>NPC D050</t>
        </is>
      </c>
      <c r="H1023" s="76" t="inlineStr">
        <is>
          <t>Töpfer</t>
        </is>
      </c>
      <c r="I1023" s="76" t="inlineStr">
        <is>
          <t>Geschirr</t>
        </is>
      </c>
    </row>
    <row xmlns="http://schemas.openxmlformats.org/spreadsheetml/2006/main" r="1024" ht="48" hidden="0" customHeight="1">
      <c r="A1024" s="76" t="inlineStr">
        <is>
          <t>Kräuter</t>
        </is>
      </c>
      <c r="B1024" s="76" t="inlineStr">
        <is>
          <t>Heilkräuter, getrocknet und beschriftet</t>
        </is>
      </c>
      <c r="C1024" s="77" t="n">
        <v>1</v>
      </c>
      <c r="D1024" s="76" t="inlineStr">
        <is>
          <t>Beutel</t>
        </is>
      </c>
      <c r="E1024" s="78" t="n">
        <v>0.1</v>
      </c>
      <c r="F1024" s="78" t="n">
        <v>2</v>
      </c>
      <c r="G1024" s="76" t="inlineStr">
        <is>
          <t>NPC D051</t>
        </is>
      </c>
      <c r="H1024" s="76" t="inlineStr">
        <is>
          <t>Pflanzenkunde</t>
        </is>
      </c>
      <c r="I1024" s="76" t="inlineStr">
        <is>
          <t>Kräuterkundler</t>
        </is>
      </c>
    </row>
    <row xmlns="http://schemas.openxmlformats.org/spreadsheetml/2006/main" r="1025" ht="48" hidden="0" customHeight="1">
      <c r="A1025" s="76" t="inlineStr">
        <is>
          <t>Behälter</t>
        </is>
      </c>
      <c r="B1025" s="76" t="inlineStr">
        <is>
          <t>Kräuterkasten mit sechs Dosen</t>
        </is>
      </c>
      <c r="C1025" s="77" t="n">
        <v>1</v>
      </c>
      <c r="D1025" s="76" t="inlineStr">
        <is>
          <t>Satz</t>
        </is>
      </c>
      <c r="E1025" s="78" t="n">
        <v>1</v>
      </c>
      <c r="F1025" s="78" t="n">
        <v>6</v>
      </c>
      <c r="G1025" s="76" t="inlineStr">
        <is>
          <t>NPC D052</t>
        </is>
      </c>
      <c r="H1025" s="76" t="inlineStr">
        <is>
          <t>Holzbearbeitung</t>
        </is>
      </c>
      <c r="I1025" s="76" t="inlineStr">
        <is>
          <t>Tischler</t>
        </is>
      </c>
    </row>
    <row xmlns="http://schemas.openxmlformats.org/spreadsheetml/2006/main" r="1026" ht="36" hidden="0" customHeight="1">
      <c r="A1026" s="76" t="inlineStr">
        <is>
          <t>Laborbedarf</t>
        </is>
      </c>
      <c r="B1026" s="76" t="inlineStr">
        <is>
          <t>Retorte mit Stopfen, Glas</t>
        </is>
      </c>
      <c r="C1026" s="77" t="n">
        <v>1</v>
      </c>
      <c r="D1026" s="76" t="inlineStr">
        <is>
          <t>Stück</t>
        </is>
      </c>
      <c r="E1026" s="78" t="n">
        <v>0.5</v>
      </c>
      <c r="F1026" s="78" t="n">
        <v>12</v>
      </c>
      <c r="G1026" s="76" t="inlineStr">
        <is>
          <t>NPC D053</t>
        </is>
      </c>
      <c r="H1026" s="76" t="inlineStr">
        <is>
          <t>Glaser</t>
        </is>
      </c>
      <c r="I1026" s="76" t="inlineStr">
        <is>
          <t>Apparateglaser</t>
        </is>
      </c>
    </row>
    <row xmlns="http://schemas.openxmlformats.org/spreadsheetml/2006/main" r="1027" ht="60" hidden="0" customHeight="1">
      <c r="A1027" s="76" t="inlineStr">
        <is>
          <t>Laborbedarf</t>
        </is>
      </c>
      <c r="B1027" s="76" t="inlineStr">
        <is>
          <t>Destillierapparat, kleiner Tischaufbau</t>
        </is>
      </c>
      <c r="C1027" s="77" t="n">
        <v>1</v>
      </c>
      <c r="D1027" s="76" t="inlineStr">
        <is>
          <t>Satz</t>
        </is>
      </c>
      <c r="E1027" s="78" t="n">
        <v>5</v>
      </c>
      <c r="F1027" s="78" t="n">
        <v>80</v>
      </c>
      <c r="G1027" s="76" t="inlineStr">
        <is>
          <t>NPC D054</t>
        </is>
      </c>
      <c r="H1027" s="76" t="inlineStr">
        <is>
          <t>Glaser</t>
        </is>
      </c>
      <c r="I1027" s="76" t="inlineStr">
        <is>
          <t>Apparateglaser</t>
        </is>
      </c>
    </row>
    <row xmlns="http://schemas.openxmlformats.org/spreadsheetml/2006/main" r="1028" ht="24" hidden="0" customHeight="1">
      <c r="A1028" s="76" t="inlineStr">
        <is>
          <t>Laborbedarf</t>
        </is>
      </c>
      <c r="B1028" s="76" t="inlineStr">
        <is>
          <t>Laborbrenner, Spiritus</t>
        </is>
      </c>
      <c r="C1028" s="77" t="n">
        <v>1</v>
      </c>
      <c r="D1028" s="76" t="inlineStr">
        <is>
          <t>Stück</t>
        </is>
      </c>
      <c r="E1028" s="78" t="n">
        <v>0.4</v>
      </c>
      <c r="F1028" s="78" t="n">
        <v>8</v>
      </c>
      <c r="G1028" s="76" t="inlineStr">
        <is>
          <t>NPC D055</t>
        </is>
      </c>
      <c r="H1028" s="76" t="inlineStr">
        <is>
          <t>Schmied</t>
        </is>
      </c>
      <c r="I1028" s="76" t="inlineStr">
        <is>
          <t>Feinschmied</t>
        </is>
      </c>
    </row>
    <row xmlns="http://schemas.openxmlformats.org/spreadsheetml/2006/main" r="1029" ht="48" hidden="0" customHeight="1">
      <c r="A1029" s="76" t="inlineStr">
        <is>
          <t>Magiebedarf</t>
        </is>
      </c>
      <c r="B1029" s="76" t="inlineStr">
        <is>
          <t>Fokusrohling, geschnitztes Holz</t>
        </is>
      </c>
      <c r="C1029" s="77" t="n">
        <v>1</v>
      </c>
      <c r="D1029" s="76" t="inlineStr">
        <is>
          <t>Stück</t>
        </is>
      </c>
      <c r="E1029" s="78" t="n">
        <v>0.2</v>
      </c>
      <c r="F1029" s="78" t="n">
        <v>4</v>
      </c>
      <c r="G1029" s="76" t="inlineStr">
        <is>
          <t>NPC D056</t>
        </is>
      </c>
      <c r="H1029" s="76" t="inlineStr">
        <is>
          <t>Holzbearbeitung</t>
        </is>
      </c>
      <c r="I1029" s="76" t="inlineStr">
        <is>
          <t>Schnitzer</t>
        </is>
      </c>
    </row>
    <row xmlns="http://schemas.openxmlformats.org/spreadsheetml/2006/main" r="1030" ht="24" hidden="0" customHeight="1">
      <c r="A1030" s="76" t="inlineStr">
        <is>
          <t>Magiebedarf</t>
        </is>
      </c>
      <c r="B1030" s="76" t="inlineStr">
        <is>
          <t>Ritualkreide, Farbsatz</t>
        </is>
      </c>
      <c r="C1030" s="77" t="n">
        <v>1</v>
      </c>
      <c r="D1030" s="76" t="inlineStr">
        <is>
          <t>Schachtel</t>
        </is>
      </c>
      <c r="E1030" s="78" t="n">
        <v>0.1</v>
      </c>
      <c r="F1030" s="78" t="n">
        <v>0.5</v>
      </c>
      <c r="G1030" s="76" t="inlineStr">
        <is>
          <t>NPC D057</t>
        </is>
      </c>
      <c r="H1030" s="76" t="inlineStr">
        <is>
          <t>Alchemie</t>
        </is>
      </c>
      <c r="I1030" s="76" t="inlineStr">
        <is>
          <t>Pigmentmacher</t>
        </is>
      </c>
    </row>
    <row xmlns="http://schemas.openxmlformats.org/spreadsheetml/2006/main" r="1031" ht="36" hidden="0" customHeight="1">
      <c r="A1031" s="76" t="inlineStr">
        <is>
          <t>Magiebedarf</t>
        </is>
      </c>
      <c r="B1031" s="76" t="inlineStr">
        <is>
          <t>Räucherwerk, schlicht</t>
        </is>
      </c>
      <c r="C1031" s="77" t="n">
        <v>1</v>
      </c>
      <c r="D1031" s="76" t="inlineStr">
        <is>
          <t>Beutel</t>
        </is>
      </c>
      <c r="E1031" s="78" t="n">
        <v>0.05</v>
      </c>
      <c r="F1031" s="78" t="n">
        <v>1</v>
      </c>
      <c r="G1031" s="76" t="inlineStr">
        <is>
          <t>NPC D058</t>
        </is>
      </c>
      <c r="H1031" s="76" t="inlineStr">
        <is>
          <t>Pflanzenkunde</t>
        </is>
      </c>
      <c r="I1031" s="76" t="inlineStr">
        <is>
          <t>Alchemistische Zutaten</t>
        </is>
      </c>
    </row>
    <row xmlns="http://schemas.openxmlformats.org/spreadsheetml/2006/main" r="1032" ht="24" hidden="0" customHeight="1">
      <c r="A1032" s="76" t="inlineStr">
        <is>
          <t>Bücher</t>
        </is>
      </c>
      <c r="B1032" s="76" t="inlineStr">
        <is>
          <t>Fachbuch, gedruckt</t>
        </is>
      </c>
      <c r="C1032" s="77" t="n">
        <v>1</v>
      </c>
      <c r="D1032" s="76" t="inlineStr">
        <is>
          <t>Band</t>
        </is>
      </c>
      <c r="E1032" s="78" t="n">
        <v>0.8</v>
      </c>
      <c r="F1032" s="78" t="n">
        <v>30</v>
      </c>
      <c r="G1032" s="76" t="inlineStr">
        <is>
          <t>NPC D059</t>
        </is>
      </c>
      <c r="H1032" s="76" t="inlineStr">
        <is>
          <t>Drucker</t>
        </is>
      </c>
      <c r="I1032" s="76" t="inlineStr">
        <is>
          <t>Buchbinder</t>
        </is>
      </c>
    </row>
    <row xmlns="http://schemas.openxmlformats.org/spreadsheetml/2006/main" r="1033" ht="36" hidden="0" customHeight="1">
      <c r="A1033" s="76" t="inlineStr">
        <is>
          <t>Bücher</t>
        </is>
      </c>
      <c r="B1033" s="76" t="inlineStr">
        <is>
          <t>Magisches Lehrbuch, gedruckt</t>
        </is>
      </c>
      <c r="C1033" s="77" t="n">
        <v>1</v>
      </c>
      <c r="D1033" s="76" t="inlineStr">
        <is>
          <t>Band</t>
        </is>
      </c>
      <c r="E1033" s="78" t="n">
        <v>1</v>
      </c>
      <c r="F1033" s="78" t="n">
        <v>60</v>
      </c>
      <c r="G1033" s="76" t="inlineStr">
        <is>
          <t>NPC D060</t>
        </is>
      </c>
      <c r="H1033" s="76" t="inlineStr">
        <is>
          <t>Drucker</t>
        </is>
      </c>
      <c r="I1033" s="76" t="inlineStr">
        <is>
          <t>Buchbinder</t>
        </is>
      </c>
    </row>
    <row xmlns="http://schemas.openxmlformats.org/spreadsheetml/2006/main" r="1034" ht="36" hidden="0" customHeight="1">
      <c r="A1034" s="76" t="inlineStr">
        <is>
          <t>Forschungsbedarf</t>
        </is>
      </c>
      <c r="B1034" s="76" t="inlineStr">
        <is>
          <t>Probenausrüstung, Feldsatz</t>
        </is>
      </c>
      <c r="C1034" s="77" t="n">
        <v>1</v>
      </c>
      <c r="D1034" s="76" t="inlineStr">
        <is>
          <t>Satz</t>
        </is>
      </c>
      <c r="E1034" s="78" t="n">
        <v>1.2</v>
      </c>
      <c r="F1034" s="78" t="n">
        <v>12</v>
      </c>
      <c r="G1034" s="76" t="inlineStr">
        <is>
          <t>NPC D061</t>
        </is>
      </c>
      <c r="H1034" s="76" t="inlineStr">
        <is>
          <t>Holzbearbeitung</t>
        </is>
      </c>
      <c r="I1034" s="76" t="inlineStr">
        <is>
          <t>Tischler</t>
        </is>
      </c>
    </row>
    <row xmlns="http://schemas.openxmlformats.org/spreadsheetml/2006/main" r="1035" ht="48" hidden="0" customHeight="1">
      <c r="A1035" s="76" t="inlineStr">
        <is>
          <t>Schreibwaren</t>
        </is>
      </c>
      <c r="B1035" s="76" t="inlineStr">
        <is>
          <t>Siegelstempel, persönliche Gravur</t>
        </is>
      </c>
      <c r="C1035" s="77" t="n">
        <v>1</v>
      </c>
      <c r="D1035" s="76" t="inlineStr">
        <is>
          <t>Stück</t>
        </is>
      </c>
      <c r="E1035" s="78" t="n">
        <v>0.1</v>
      </c>
      <c r="F1035" s="78" t="n">
        <v>12</v>
      </c>
      <c r="G1035" s="76" t="inlineStr">
        <is>
          <t>NPC D062</t>
        </is>
      </c>
      <c r="H1035" s="76" t="inlineStr">
        <is>
          <t>Schmied</t>
        </is>
      </c>
      <c r="I1035" s="76" t="inlineStr">
        <is>
          <t>Feinschmied</t>
        </is>
      </c>
    </row>
    <row xmlns="http://schemas.openxmlformats.org/spreadsheetml/2006/main" r="1036" ht="24" hidden="0" customHeight="1">
      <c r="A1036" s="76" t="inlineStr">
        <is>
          <t>Schreibwaren</t>
        </is>
      </c>
      <c r="B1036" s="76" t="inlineStr">
        <is>
          <t>Stempel, Schriftzug</t>
        </is>
      </c>
      <c r="C1036" s="77" t="n">
        <v>1</v>
      </c>
      <c r="D1036" s="76" t="inlineStr">
        <is>
          <t>Stück</t>
        </is>
      </c>
      <c r="E1036" s="78" t="n">
        <v>0.08</v>
      </c>
      <c r="F1036" s="78" t="n">
        <v>4</v>
      </c>
      <c r="G1036" s="76" t="inlineStr">
        <is>
          <t>NPC D063</t>
        </is>
      </c>
      <c r="H1036" s="76" t="inlineStr">
        <is>
          <t>Holzbearbeitung</t>
        </is>
      </c>
      <c r="I1036" s="76" t="inlineStr">
        <is>
          <t>Schnitzer</t>
        </is>
      </c>
    </row>
    <row xmlns="http://schemas.openxmlformats.org/spreadsheetml/2006/main" r="1037" ht="24" hidden="0" customHeight="1">
      <c r="A1037" s="76" t="inlineStr">
        <is>
          <t>Schreibwaren</t>
        </is>
      </c>
      <c r="B1037" s="76" t="inlineStr">
        <is>
          <t>Siegellack</t>
        </is>
      </c>
      <c r="C1037" s="77" t="n">
        <v>1</v>
      </c>
      <c r="D1037" s="76" t="inlineStr">
        <is>
          <t>Stange</t>
        </is>
      </c>
      <c r="E1037" s="78" t="n">
        <v>0.05</v>
      </c>
      <c r="F1037" s="78" t="n">
        <v>0.5</v>
      </c>
      <c r="G1037" s="76" t="inlineStr">
        <is>
          <t>NPC D064</t>
        </is>
      </c>
      <c r="H1037" s="76" t="inlineStr">
        <is>
          <t>Alchemie</t>
        </is>
      </c>
      <c r="I1037" s="76" t="inlineStr">
        <is>
          <t>Leimsieder</t>
        </is>
      </c>
    </row>
    <row xmlns="http://schemas.openxmlformats.org/spreadsheetml/2006/main" r="1038" ht="48" hidden="0" customHeight="1">
      <c r="A1038" s="76" t="inlineStr">
        <is>
          <t>Schreibwaren</t>
        </is>
      </c>
      <c r="B1038" s="76" t="inlineStr">
        <is>
          <t>Formulare, unbeschrieben, zehn Stück</t>
        </is>
      </c>
      <c r="C1038" s="77" t="n">
        <v>1</v>
      </c>
      <c r="D1038" s="76" t="inlineStr">
        <is>
          <t>Schachtel</t>
        </is>
      </c>
      <c r="E1038" s="78" t="n">
        <v>0.08</v>
      </c>
      <c r="F1038" s="78" t="n">
        <v>2</v>
      </c>
      <c r="G1038" s="76" t="inlineStr">
        <is>
          <t>NPC D065</t>
        </is>
      </c>
      <c r="H1038" s="76" t="inlineStr">
        <is>
          <t>Drucker</t>
        </is>
      </c>
      <c r="I1038" s="76" t="inlineStr">
        <is>
          <t>Lithograf</t>
        </is>
      </c>
    </row>
    <row xmlns="http://schemas.openxmlformats.org/spreadsheetml/2006/main" r="1039" ht="24" hidden="0" customHeight="1">
      <c r="A1039" s="76" t="inlineStr">
        <is>
          <t>Arbeitskleidung</t>
        </is>
      </c>
      <c r="B1039" s="76" t="inlineStr">
        <is>
          <t>Arbeitsschürze, Leder</t>
        </is>
      </c>
      <c r="C1039" s="77" t="n">
        <v>1</v>
      </c>
      <c r="D1039" s="76" t="inlineStr">
        <is>
          <t>Stück</t>
        </is>
      </c>
      <c r="E1039" s="78" t="n">
        <v>0.7</v>
      </c>
      <c r="F1039" s="78" t="n">
        <v>2.5</v>
      </c>
      <c r="G1039" s="76" t="inlineStr">
        <is>
          <t>NPC D066</t>
        </is>
      </c>
      <c r="H1039" s="76" t="inlineStr">
        <is>
          <t>Lederbearbeitung</t>
        </is>
      </c>
      <c r="I1039" s="76" t="inlineStr">
        <is>
          <t>Oberbekleidung</t>
        </is>
      </c>
    </row>
    <row xmlns="http://schemas.openxmlformats.org/spreadsheetml/2006/main" r="1040" ht="36" hidden="0" customHeight="1">
      <c r="A1040" s="76" t="inlineStr">
        <is>
          <t>Arbeitskleidung</t>
        </is>
      </c>
      <c r="B1040" s="76" t="inlineStr">
        <is>
          <t>Arbeitsschürze, Leinen</t>
        </is>
      </c>
      <c r="C1040" s="77" t="n">
        <v>1</v>
      </c>
      <c r="D1040" s="76" t="inlineStr">
        <is>
          <t>Stück</t>
        </is>
      </c>
      <c r="E1040" s="78" t="n">
        <v>0.2</v>
      </c>
      <c r="F1040" s="78" t="n">
        <v>0.4</v>
      </c>
      <c r="G1040" s="76" t="inlineStr">
        <is>
          <t>NPC D067</t>
        </is>
      </c>
      <c r="H1040" s="76" t="inlineStr">
        <is>
          <t>Schneider</t>
        </is>
      </c>
      <c r="I1040" s="76" t="inlineStr">
        <is>
          <t>Konfektionsschneider</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10" defaultColWidth="9.140625" defaultRowHeight="15"/>
  <cols>
    <col width="21.85546875" customWidth="1" style="48" min="3" max="3"/>
    <col width="39.5703125" customWidth="1" style="48" min="10" max="10"/>
    <col width="9.140625" customWidth="1" style="48" min="12" max="12"/>
  </cols>
  <sheetData>
    <row r="1">
      <c r="A1" s="30" t="inlineStr">
        <is>
          <t>Kategorie</t>
        </is>
      </c>
      <c r="B1" s="31" t="inlineStr">
        <is>
          <t>magisch_y_n</t>
        </is>
      </c>
      <c r="C1" s="31" t="inlineStr">
        <is>
          <t>Name</t>
        </is>
      </c>
      <c r="D1" s="32" t="inlineStr">
        <is>
          <t>Potenz</t>
        </is>
      </c>
      <c r="E1" s="32" t="inlineStr">
        <is>
          <t>Dosierbar</t>
        </is>
      </c>
      <c r="F1" s="31" t="inlineStr">
        <is>
          <t>Zufuhr</t>
        </is>
      </c>
      <c r="G1" s="31" t="inlineStr">
        <is>
          <t>ZbS (Zeit bis Symptom)</t>
        </is>
      </c>
      <c r="H1" s="31" t="inlineStr">
        <is>
          <t>ZbW (Zeit bis Wirkung)</t>
        </is>
      </c>
      <c r="I1" s="31" t="inlineStr">
        <is>
          <t>Wirkungsdauer</t>
        </is>
      </c>
      <c r="J1" s="31" t="inlineStr">
        <is>
          <t>Wirkung</t>
        </is>
      </c>
      <c r="K1" s="31" t="inlineStr">
        <is>
          <t>Legalität</t>
        </is>
      </c>
      <c r="L1" s="31" t="inlineStr">
        <is>
          <t>Char_Unterwelt_Mod</t>
        </is>
      </c>
      <c r="M1" s="31" t="inlineStr">
        <is>
          <t>Verfügb</t>
        </is>
      </c>
      <c r="N1" s="33" t="inlineStr">
        <is>
          <t>Zutaten_Preis_in_D</t>
        </is>
      </c>
      <c r="O1" s="33" t="inlineStr">
        <is>
          <t>Kaufpreis_in_D</t>
        </is>
      </c>
      <c r="P1" s="31" t="inlineStr">
        <is>
          <t>Rezept-Erschwerung</t>
        </is>
      </c>
    </row>
    <row r="2">
      <c r="A2" s="30" t="inlineStr">
        <is>
          <t>Gifte</t>
        </is>
      </c>
      <c r="B2" s="34" t="inlineStr">
        <is>
          <t>profan</t>
        </is>
      </c>
      <c r="C2" s="35" t="inlineStr">
        <is>
          <t>Leichtes Regigift</t>
        </is>
      </c>
      <c r="D2" s="36" t="n">
        <v>5</v>
      </c>
      <c r="E2" s="36" t="inlineStr">
        <is>
          <t>J</t>
        </is>
      </c>
      <c r="F2" s="34" t="inlineStr">
        <is>
          <t>Körper</t>
        </is>
      </c>
      <c r="G2" s="34" t="inlineStr">
        <is>
          <t>Sofort</t>
        </is>
      </c>
      <c r="H2" s="34" t="inlineStr">
        <is>
          <t>Sofort</t>
        </is>
      </c>
      <c r="I2" s="34" t="inlineStr">
        <is>
          <t>12h</t>
        </is>
      </c>
      <c r="J2" s="34" t="inlineStr">
        <is>
          <t>Regenerationsklasse -2, leichter Schlaf</t>
        </is>
      </c>
      <c r="K2" s="36" t="n">
        <v>3</v>
      </c>
      <c r="L2" s="44" t="n">
        <v>0</v>
      </c>
      <c r="M2" t="n">
        <v>1</v>
      </c>
      <c r="N2" s="38" t="n">
        <v>0.25</v>
      </c>
      <c r="O2" s="38">
        <f>N2*(K2+L2)</f>
        <v/>
      </c>
      <c r="P2" s="30" t="n">
        <v>4</v>
      </c>
    </row>
    <row r="3">
      <c r="A3" s="30" t="inlineStr">
        <is>
          <t>Gifte</t>
        </is>
      </c>
      <c r="B3" s="34" t="inlineStr">
        <is>
          <t>profan</t>
        </is>
      </c>
      <c r="C3" s="35" t="inlineStr">
        <is>
          <t>Regigift</t>
        </is>
      </c>
      <c r="D3" s="36" t="n">
        <v>15</v>
      </c>
      <c r="E3" s="36" t="inlineStr">
        <is>
          <t>J</t>
        </is>
      </c>
      <c r="F3" s="34" t="inlineStr">
        <is>
          <t>Körper</t>
        </is>
      </c>
      <c r="G3" s="34" t="inlineStr">
        <is>
          <t>Sofort</t>
        </is>
      </c>
      <c r="H3" s="34" t="inlineStr">
        <is>
          <t>Sofort</t>
        </is>
      </c>
      <c r="I3" s="34" t="inlineStr">
        <is>
          <t>12h</t>
        </is>
      </c>
      <c r="J3" s="34" t="inlineStr">
        <is>
          <t>Regenerationsklasse -4, leichter Schlaf</t>
        </is>
      </c>
      <c r="K3" s="36" t="n">
        <v>4</v>
      </c>
      <c r="L3" s="44" t="n">
        <v>0</v>
      </c>
      <c r="M3" t="n">
        <v>2</v>
      </c>
      <c r="N3" s="38" t="n">
        <v>0.5</v>
      </c>
      <c r="O3" s="38">
        <f>N3*(K3+L3)</f>
        <v/>
      </c>
      <c r="P3" s="30" t="n">
        <v>6</v>
      </c>
    </row>
    <row r="4">
      <c r="A4" s="30" t="inlineStr">
        <is>
          <t>Gifte</t>
        </is>
      </c>
      <c r="B4" s="34" t="inlineStr">
        <is>
          <t>profan</t>
        </is>
      </c>
      <c r="C4" s="35" t="inlineStr">
        <is>
          <t>Starkes Regigift</t>
        </is>
      </c>
      <c r="D4" s="36" t="n">
        <v>30</v>
      </c>
      <c r="E4" s="36" t="inlineStr">
        <is>
          <t>J</t>
        </is>
      </c>
      <c r="F4" s="34" t="inlineStr">
        <is>
          <t>Körper</t>
        </is>
      </c>
      <c r="G4" s="34" t="inlineStr">
        <is>
          <t>Sofort</t>
        </is>
      </c>
      <c r="H4" s="34" t="inlineStr">
        <is>
          <t>Sofort</t>
        </is>
      </c>
      <c r="I4" s="34" t="inlineStr">
        <is>
          <t>12h</t>
        </is>
      </c>
      <c r="J4" s="34" t="inlineStr">
        <is>
          <t>Regenerationsklasse -7, leichter Schlaf</t>
        </is>
      </c>
      <c r="K4" s="36" t="n">
        <v>5</v>
      </c>
      <c r="L4" s="44" t="n">
        <v>0</v>
      </c>
      <c r="M4" t="n">
        <v>3</v>
      </c>
      <c r="N4" s="38" t="n">
        <v>1</v>
      </c>
      <c r="O4" s="38">
        <f>N4*(K4+L4)</f>
        <v/>
      </c>
      <c r="P4" s="30" t="n">
        <v>10</v>
      </c>
    </row>
    <row r="5">
      <c r="A5" s="30" t="inlineStr">
        <is>
          <t>Gifte</t>
        </is>
      </c>
      <c r="B5" s="34" t="inlineStr">
        <is>
          <t>profan</t>
        </is>
      </c>
      <c r="C5" s="40" t="inlineStr">
        <is>
          <t>Hässlichkeitsgift</t>
        </is>
      </c>
      <c r="D5" s="36" t="n">
        <v>15</v>
      </c>
      <c r="E5" s="36" t="inlineStr">
        <is>
          <t>J</t>
        </is>
      </c>
      <c r="F5" s="34" t="inlineStr">
        <is>
          <t>Körper</t>
        </is>
      </c>
      <c r="G5" s="34" t="inlineStr">
        <is>
          <t>Sofort</t>
        </is>
      </c>
      <c r="H5" s="34" t="inlineStr">
        <is>
          <t>Sofort</t>
        </is>
      </c>
      <c r="I5" s="34" t="inlineStr">
        <is>
          <t>1d</t>
        </is>
      </c>
      <c r="J5" s="34" t="inlineStr">
        <is>
          <t>Alle Grundfertigkeits-, Sprach-, Kulur- und WHK-Proben auf Ausstrahlung um 10 erschwert</t>
        </is>
      </c>
      <c r="K5" s="36" t="n">
        <v>4</v>
      </c>
      <c r="L5" s="44" t="n">
        <v>0</v>
      </c>
      <c r="M5" t="n">
        <v>5</v>
      </c>
      <c r="N5" s="38" t="n">
        <v>50</v>
      </c>
      <c r="O5" s="38">
        <f>N5*(K5+L5)</f>
        <v/>
      </c>
      <c r="P5" s="30" t="n">
        <v>30</v>
      </c>
    </row>
    <row r="6">
      <c r="A6" s="30" t="inlineStr">
        <is>
          <t>Gifte</t>
        </is>
      </c>
      <c r="B6" s="34" t="inlineStr">
        <is>
          <t>profan</t>
        </is>
      </c>
      <c r="C6" s="35" t="inlineStr">
        <is>
          <t>Starkes Hässlichkeitsgift</t>
        </is>
      </c>
      <c r="D6" s="36" t="n">
        <v>30</v>
      </c>
      <c r="E6" s="36" t="inlineStr">
        <is>
          <t>J</t>
        </is>
      </c>
      <c r="F6" s="34" t="inlineStr">
        <is>
          <t>Körper</t>
        </is>
      </c>
      <c r="G6" s="34" t="inlineStr">
        <is>
          <t>Sofort</t>
        </is>
      </c>
      <c r="H6" s="34" t="inlineStr">
        <is>
          <t>Sofort</t>
        </is>
      </c>
      <c r="I6" s="34" t="inlineStr">
        <is>
          <t>1d</t>
        </is>
      </c>
      <c r="J6" s="34" t="inlineStr">
        <is>
          <t>Alle Grundfertigkeits-, Sprach-, Kulur- und WHK-Proben auf Ausstrahlung um 15 erschwert</t>
        </is>
      </c>
      <c r="K6" s="36" t="n">
        <v>5</v>
      </c>
      <c r="L6" s="44" t="n">
        <v>0</v>
      </c>
      <c r="M6" t="n">
        <v>6</v>
      </c>
      <c r="N6" s="38" t="n">
        <v>150</v>
      </c>
      <c r="O6" s="38">
        <f>N6*(K6+L6)</f>
        <v/>
      </c>
      <c r="P6" s="30" t="n">
        <v>48</v>
      </c>
    </row>
    <row r="7">
      <c r="A7" s="30" t="inlineStr">
        <is>
          <t>Gifte</t>
        </is>
      </c>
      <c r="B7" s="34" t="inlineStr">
        <is>
          <t>profan</t>
        </is>
      </c>
      <c r="C7" s="35" t="inlineStr">
        <is>
          <t>Leichtes Hässlichkeitsgift</t>
        </is>
      </c>
      <c r="D7" s="36" t="n">
        <v>5</v>
      </c>
      <c r="E7" s="36" t="inlineStr">
        <is>
          <t>J</t>
        </is>
      </c>
      <c r="F7" s="34" t="inlineStr">
        <is>
          <t>Körper</t>
        </is>
      </c>
      <c r="G7" s="34" t="inlineStr">
        <is>
          <t>Sofort</t>
        </is>
      </c>
      <c r="H7" s="34" t="inlineStr">
        <is>
          <t>Sofort</t>
        </is>
      </c>
      <c r="I7" s="34" t="inlineStr">
        <is>
          <t>1d</t>
        </is>
      </c>
      <c r="J7" s="34" t="inlineStr">
        <is>
          <t>Alle Grundfertigkeits-, Sprach-, Kulur- und WHK-Proben auf Ausstrahlung um 5 erschwert</t>
        </is>
      </c>
      <c r="K7" s="36" t="n">
        <v>3</v>
      </c>
      <c r="L7" s="44" t="n">
        <v>0</v>
      </c>
      <c r="M7" t="n">
        <v>4</v>
      </c>
      <c r="N7" s="38" t="n">
        <v>25</v>
      </c>
      <c r="O7" s="38">
        <f>N7*(K7+L7)</f>
        <v/>
      </c>
      <c r="P7" s="30" t="n">
        <v>18</v>
      </c>
    </row>
    <row r="8">
      <c r="A8" s="30" t="inlineStr">
        <is>
          <t>Gifte</t>
        </is>
      </c>
      <c r="B8" s="34" t="inlineStr">
        <is>
          <t>profan</t>
        </is>
      </c>
      <c r="C8" s="35" t="inlineStr">
        <is>
          <t>Leichtes Zungengift</t>
        </is>
      </c>
      <c r="D8" s="36" t="n">
        <v>5</v>
      </c>
      <c r="E8" s="36" t="inlineStr">
        <is>
          <t>J</t>
        </is>
      </c>
      <c r="F8" s="34" t="inlineStr">
        <is>
          <t>Körper</t>
        </is>
      </c>
      <c r="G8" s="34" t="inlineStr">
        <is>
          <t>1  KR</t>
        </is>
      </c>
      <c r="H8" s="34" t="inlineStr">
        <is>
          <t>3  KR</t>
        </is>
      </c>
      <c r="I8" s="34" t="inlineStr">
        <is>
          <t>1h</t>
        </is>
      </c>
      <c r="J8" s="34" t="inlineStr">
        <is>
          <t>Artikuliertes Sprechen unmöglich</t>
        </is>
      </c>
      <c r="K8" s="36" t="n">
        <v>2</v>
      </c>
      <c r="L8" s="44" t="n">
        <v>0</v>
      </c>
      <c r="M8" t="n">
        <v>2</v>
      </c>
      <c r="N8" s="38" t="n">
        <v>1</v>
      </c>
      <c r="O8" s="38">
        <f>N8*(K8+L8)</f>
        <v/>
      </c>
      <c r="P8" s="30" t="n">
        <v>12</v>
      </c>
    </row>
    <row r="9">
      <c r="A9" s="30" t="inlineStr">
        <is>
          <t>Gifte</t>
        </is>
      </c>
      <c r="B9" s="34" t="inlineStr">
        <is>
          <t>profan</t>
        </is>
      </c>
      <c r="C9" s="35" t="inlineStr">
        <is>
          <t>Zungengift</t>
        </is>
      </c>
      <c r="D9" s="36" t="n">
        <v>15</v>
      </c>
      <c r="E9" s="36" t="inlineStr">
        <is>
          <t>J</t>
        </is>
      </c>
      <c r="F9" s="34" t="inlineStr">
        <is>
          <t>Körper</t>
        </is>
      </c>
      <c r="G9" s="34" t="inlineStr">
        <is>
          <t>1  KR</t>
        </is>
      </c>
      <c r="H9" s="34" t="inlineStr">
        <is>
          <t>3  KR</t>
        </is>
      </c>
      <c r="I9" s="34" t="inlineStr">
        <is>
          <t>1h</t>
        </is>
      </c>
      <c r="J9" s="34" t="inlineStr">
        <is>
          <t>Artikuliertes Sprechen unmöglich</t>
        </is>
      </c>
      <c r="K9" s="36" t="n">
        <v>3</v>
      </c>
      <c r="L9" s="44" t="n">
        <v>0</v>
      </c>
      <c r="M9" t="n">
        <v>3</v>
      </c>
      <c r="N9" s="38" t="n">
        <v>2</v>
      </c>
      <c r="O9" s="38">
        <f>N9*(K9+L9)</f>
        <v/>
      </c>
      <c r="P9" s="30" t="n">
        <v>18</v>
      </c>
    </row>
    <row r="10">
      <c r="A10" s="30" t="inlineStr">
        <is>
          <t>Gifte</t>
        </is>
      </c>
      <c r="B10" s="34" t="inlineStr">
        <is>
          <t>profan</t>
        </is>
      </c>
      <c r="C10" s="35" t="inlineStr">
        <is>
          <t>Starkes Zungengift</t>
        </is>
      </c>
      <c r="D10" s="36" t="n">
        <v>30</v>
      </c>
      <c r="E10" s="36" t="inlineStr">
        <is>
          <t>J</t>
        </is>
      </c>
      <c r="F10" s="34" t="inlineStr">
        <is>
          <t>Körper</t>
        </is>
      </c>
      <c r="G10" s="34" t="inlineStr">
        <is>
          <t>1  KR</t>
        </is>
      </c>
      <c r="H10" s="34" t="inlineStr">
        <is>
          <t>3  KR</t>
        </is>
      </c>
      <c r="I10" s="34" t="inlineStr">
        <is>
          <t>1h</t>
        </is>
      </c>
      <c r="J10" s="34" t="inlineStr">
        <is>
          <t>Artikuliertes Sprechen unmöglich</t>
        </is>
      </c>
      <c r="K10" s="36" t="n">
        <v>4</v>
      </c>
      <c r="L10" s="44" t="n">
        <v>0</v>
      </c>
      <c r="M10" t="n">
        <v>4</v>
      </c>
      <c r="N10" s="38" t="n">
        <v>4</v>
      </c>
      <c r="O10" s="38">
        <f>N10*(K10+L10)</f>
        <v/>
      </c>
      <c r="P10" s="30" t="n">
        <v>30</v>
      </c>
    </row>
    <row r="11">
      <c r="A11" s="30" t="inlineStr">
        <is>
          <t>Gifte</t>
        </is>
      </c>
      <c r="B11" s="34" t="inlineStr">
        <is>
          <t>profan</t>
        </is>
      </c>
      <c r="C11" s="35" t="inlineStr">
        <is>
          <t>Leichtes Taubheitsgift</t>
        </is>
      </c>
      <c r="D11" s="36" t="n">
        <v>5</v>
      </c>
      <c r="E11" s="36" t="inlineStr">
        <is>
          <t>J</t>
        </is>
      </c>
      <c r="F11" s="34" t="inlineStr">
        <is>
          <t>Körper</t>
        </is>
      </c>
      <c r="G11" s="34" t="inlineStr">
        <is>
          <t>1  KR</t>
        </is>
      </c>
      <c r="H11" s="34" t="inlineStr">
        <is>
          <t>3  KR</t>
        </is>
      </c>
      <c r="I11" s="34" t="inlineStr">
        <is>
          <t>1h</t>
        </is>
      </c>
      <c r="J11" s="34" t="inlineStr">
        <is>
          <t>BE 2, Gefahrensinn -12</t>
        </is>
      </c>
      <c r="K11" s="36" t="n">
        <v>2</v>
      </c>
      <c r="L11" s="44" t="n">
        <v>0</v>
      </c>
      <c r="M11" t="n">
        <v>2</v>
      </c>
      <c r="N11" s="38" t="n">
        <v>1</v>
      </c>
      <c r="O11" s="38">
        <f>N11*(K11+L11)</f>
        <v/>
      </c>
      <c r="P11" s="30" t="n">
        <v>12</v>
      </c>
    </row>
    <row r="12">
      <c r="A12" s="30" t="inlineStr">
        <is>
          <t>Gifte</t>
        </is>
      </c>
      <c r="B12" s="34" t="inlineStr">
        <is>
          <t>profan</t>
        </is>
      </c>
      <c r="C12" s="35" t="inlineStr">
        <is>
          <t>Taubheitsgift</t>
        </is>
      </c>
      <c r="D12" s="36" t="n">
        <v>15</v>
      </c>
      <c r="E12" s="36" t="inlineStr">
        <is>
          <t>J</t>
        </is>
      </c>
      <c r="F12" s="34" t="inlineStr">
        <is>
          <t>Körper</t>
        </is>
      </c>
      <c r="G12" s="34" t="inlineStr">
        <is>
          <t>1  KR</t>
        </is>
      </c>
      <c r="H12" s="34" t="inlineStr">
        <is>
          <t>3  KR</t>
        </is>
      </c>
      <c r="I12" s="34" t="inlineStr">
        <is>
          <t>1h</t>
        </is>
      </c>
      <c r="J12" s="34" t="inlineStr">
        <is>
          <t>BE 2, Gefahrensinn -12</t>
        </is>
      </c>
      <c r="K12" s="36" t="n">
        <v>3</v>
      </c>
      <c r="L12" s="44" t="n">
        <v>0</v>
      </c>
      <c r="M12" t="n">
        <v>3</v>
      </c>
      <c r="N12" s="38" t="n">
        <v>2</v>
      </c>
      <c r="O12" s="38">
        <f>N12*(K12+L12)</f>
        <v/>
      </c>
      <c r="P12" s="30" t="n">
        <v>18</v>
      </c>
    </row>
    <row r="13">
      <c r="A13" s="30" t="inlineStr">
        <is>
          <t>Gifte</t>
        </is>
      </c>
      <c r="B13" s="34" t="inlineStr">
        <is>
          <t>profan</t>
        </is>
      </c>
      <c r="C13" s="35" t="inlineStr">
        <is>
          <t>Starkes Taubheitsgift</t>
        </is>
      </c>
      <c r="D13" s="36" t="n">
        <v>30</v>
      </c>
      <c r="E13" s="36" t="inlineStr">
        <is>
          <t>J</t>
        </is>
      </c>
      <c r="F13" s="34" t="inlineStr">
        <is>
          <t>Körper</t>
        </is>
      </c>
      <c r="G13" s="34" t="inlineStr">
        <is>
          <t>1  KR</t>
        </is>
      </c>
      <c r="H13" s="34" t="inlineStr">
        <is>
          <t>3  KR</t>
        </is>
      </c>
      <c r="I13" s="34" t="inlineStr">
        <is>
          <t>1h</t>
        </is>
      </c>
      <c r="J13" s="34" t="inlineStr">
        <is>
          <t>BE 2, Gefahrensinn -12</t>
        </is>
      </c>
      <c r="K13" s="36" t="n">
        <v>4</v>
      </c>
      <c r="L13" s="44" t="n">
        <v>0</v>
      </c>
      <c r="M13" t="n">
        <v>4</v>
      </c>
      <c r="N13" s="38" t="n">
        <v>4</v>
      </c>
      <c r="O13" s="38">
        <f>N13*(K13+L13)</f>
        <v/>
      </c>
      <c r="P13" s="30" t="n">
        <v>30</v>
      </c>
    </row>
    <row r="14">
      <c r="A14" s="30" t="inlineStr">
        <is>
          <t>Gifte</t>
        </is>
      </c>
      <c r="B14" s="34" t="inlineStr">
        <is>
          <t>profan</t>
        </is>
      </c>
      <c r="C14" s="35" t="inlineStr">
        <is>
          <t>Leichtes Lähmungsgift</t>
        </is>
      </c>
      <c r="D14" s="36" t="n">
        <v>5</v>
      </c>
      <c r="E14" s="36" t="inlineStr">
        <is>
          <t>J</t>
        </is>
      </c>
      <c r="F14" s="34" t="inlineStr">
        <is>
          <t>Blut</t>
        </is>
      </c>
      <c r="G14" s="34" t="inlineStr">
        <is>
          <t>1  KR</t>
        </is>
      </c>
      <c r="H14" s="34" t="inlineStr">
        <is>
          <t>2  KR</t>
        </is>
      </c>
      <c r="I14" s="34" t="inlineStr">
        <is>
          <t>1h</t>
        </is>
      </c>
      <c r="J14" s="34" t="inlineStr">
        <is>
          <t>Die betroffene TZ gilt als mit einem Treffer auf 0</t>
        </is>
      </c>
      <c r="K14" s="36" t="n">
        <v>2</v>
      </c>
      <c r="L14" s="44" t="n">
        <v>0</v>
      </c>
      <c r="M14" t="n">
        <v>2</v>
      </c>
      <c r="N14" s="38" t="n">
        <v>0.5</v>
      </c>
      <c r="O14" s="38">
        <f>N14*(K14+L14)</f>
        <v/>
      </c>
      <c r="P14" s="30" t="n">
        <v>12</v>
      </c>
    </row>
    <row r="15">
      <c r="A15" s="30" t="inlineStr">
        <is>
          <t>Gifte</t>
        </is>
      </c>
      <c r="B15" s="34" t="inlineStr">
        <is>
          <t>profan</t>
        </is>
      </c>
      <c r="C15" s="35" t="inlineStr">
        <is>
          <t>Lähmungsgift</t>
        </is>
      </c>
      <c r="D15" s="36" t="n">
        <v>15</v>
      </c>
      <c r="E15" s="36" t="inlineStr">
        <is>
          <t>J</t>
        </is>
      </c>
      <c r="F15" s="34" t="inlineStr">
        <is>
          <t>Blut</t>
        </is>
      </c>
      <c r="G15" s="34" t="inlineStr">
        <is>
          <t>1  KR</t>
        </is>
      </c>
      <c r="H15" s="34" t="inlineStr">
        <is>
          <t>2  KR</t>
        </is>
      </c>
      <c r="I15" s="34" t="inlineStr">
        <is>
          <t>1h</t>
        </is>
      </c>
      <c r="J15" s="34" t="inlineStr">
        <is>
          <t>Die betroffene TZ gilt als mit einem Treffer auf 0</t>
        </is>
      </c>
      <c r="K15" s="36" t="n">
        <v>3</v>
      </c>
      <c r="L15" s="44" t="n">
        <v>0</v>
      </c>
      <c r="M15" t="n">
        <v>3</v>
      </c>
      <c r="N15" s="38" t="n">
        <v>1</v>
      </c>
      <c r="O15" s="38">
        <f>N15*(K15+L15)</f>
        <v/>
      </c>
      <c r="P15" s="30" t="n">
        <v>18</v>
      </c>
    </row>
    <row r="16">
      <c r="A16" s="30" t="inlineStr">
        <is>
          <t>Gifte</t>
        </is>
      </c>
      <c r="B16" s="34" t="inlineStr">
        <is>
          <t>profan</t>
        </is>
      </c>
      <c r="C16" s="35" t="inlineStr">
        <is>
          <t>Starkes Lähmungsgift</t>
        </is>
      </c>
      <c r="D16" s="36" t="n">
        <v>30</v>
      </c>
      <c r="E16" s="36" t="inlineStr">
        <is>
          <t>J</t>
        </is>
      </c>
      <c r="F16" s="34" t="inlineStr">
        <is>
          <t>Blut</t>
        </is>
      </c>
      <c r="G16" s="34" t="inlineStr">
        <is>
          <t>1  KR</t>
        </is>
      </c>
      <c r="H16" s="34" t="inlineStr">
        <is>
          <t>2  KR</t>
        </is>
      </c>
      <c r="I16" s="34" t="inlineStr">
        <is>
          <t>1h</t>
        </is>
      </c>
      <c r="J16" s="34" t="inlineStr">
        <is>
          <t>Die betroffene TZ gilt als mit einem Treffer auf 0</t>
        </is>
      </c>
      <c r="K16" s="36" t="n">
        <v>4</v>
      </c>
      <c r="L16" s="44" t="n">
        <v>0</v>
      </c>
      <c r="M16" t="n">
        <v>4</v>
      </c>
      <c r="N16" s="38" t="n">
        <v>3</v>
      </c>
      <c r="O16" s="38">
        <f>N16*(K16+L16)</f>
        <v/>
      </c>
      <c r="P16" s="30" t="n">
        <v>30</v>
      </c>
    </row>
    <row r="17">
      <c r="A17" s="30" t="inlineStr">
        <is>
          <t>Gifte</t>
        </is>
      </c>
      <c r="B17" s="34" t="inlineStr">
        <is>
          <t>profan</t>
        </is>
      </c>
      <c r="C17" s="35" t="inlineStr">
        <is>
          <t>Leichtes Verwirrungsgift</t>
        </is>
      </c>
      <c r="D17" s="36" t="n">
        <v>5</v>
      </c>
      <c r="E17" s="36" t="inlineStr">
        <is>
          <t>J</t>
        </is>
      </c>
      <c r="F17" s="34" t="inlineStr">
        <is>
          <t>Körper</t>
        </is>
      </c>
      <c r="G17" s="34" t="inlineStr">
        <is>
          <t>1  KR</t>
        </is>
      </c>
      <c r="H17" s="34" t="inlineStr">
        <is>
          <t>3  KR</t>
        </is>
      </c>
      <c r="I17" s="34" t="inlineStr">
        <is>
          <t>1h</t>
        </is>
      </c>
      <c r="J17" s="34" t="inlineStr">
        <is>
          <t>Alle Proben, die Intelligenz enthalten, sowie KI-, PSI-, und Spruchmagie werden um W10 erschwert.</t>
        </is>
      </c>
      <c r="K17" s="36" t="n">
        <v>2</v>
      </c>
      <c r="L17" s="44" t="n">
        <v>0</v>
      </c>
      <c r="M17" t="n">
        <v>2</v>
      </c>
      <c r="N17" s="38" t="n">
        <v>1</v>
      </c>
      <c r="O17" s="38">
        <f>N17*(K17+L17)</f>
        <v/>
      </c>
      <c r="P17" s="30" t="n">
        <v>12</v>
      </c>
    </row>
    <row r="18">
      <c r="A18" s="30" t="inlineStr">
        <is>
          <t>Gifte</t>
        </is>
      </c>
      <c r="B18" s="34" t="inlineStr">
        <is>
          <t>profan</t>
        </is>
      </c>
      <c r="C18" s="40" t="inlineStr">
        <is>
          <t>Verwirrungsgift</t>
        </is>
      </c>
      <c r="D18" s="36" t="n">
        <v>15</v>
      </c>
      <c r="E18" s="36" t="inlineStr">
        <is>
          <t>J</t>
        </is>
      </c>
      <c r="F18" s="34" t="inlineStr">
        <is>
          <t>Körper</t>
        </is>
      </c>
      <c r="G18" s="34" t="inlineStr">
        <is>
          <t>1  KR</t>
        </is>
      </c>
      <c r="H18" s="34" t="inlineStr">
        <is>
          <t>3  KR</t>
        </is>
      </c>
      <c r="I18" s="34" t="inlineStr">
        <is>
          <t>1h</t>
        </is>
      </c>
      <c r="J18" s="34" t="inlineStr">
        <is>
          <t>Alle Grundfertigkeits-, Sprach-, Kulur- und WHK-Proben auf intelligenz, sowie alle KI-, PSI- und Spruchmagie werden um W15 erschwert.</t>
        </is>
      </c>
      <c r="K18" s="36" t="n">
        <v>3</v>
      </c>
      <c r="L18" s="44" t="n">
        <v>0</v>
      </c>
      <c r="M18" t="n">
        <v>3</v>
      </c>
      <c r="N18" s="38" t="n">
        <v>2</v>
      </c>
      <c r="O18" s="38">
        <f>N18*(K18+L18)</f>
        <v/>
      </c>
      <c r="P18" s="30" t="n">
        <v>18</v>
      </c>
    </row>
    <row r="19">
      <c r="A19" s="30" t="inlineStr">
        <is>
          <t>Gifte</t>
        </is>
      </c>
      <c r="B19" s="34" t="inlineStr">
        <is>
          <t>profan</t>
        </is>
      </c>
      <c r="C19" s="35" t="inlineStr">
        <is>
          <t>Starkes Verwirrungsgift</t>
        </is>
      </c>
      <c r="D19" s="36" t="n">
        <v>30</v>
      </c>
      <c r="E19" s="36" t="inlineStr">
        <is>
          <t>J</t>
        </is>
      </c>
      <c r="F19" s="34" t="inlineStr">
        <is>
          <t>Körper</t>
        </is>
      </c>
      <c r="G19" s="34" t="inlineStr">
        <is>
          <t>1  KR</t>
        </is>
      </c>
      <c r="H19" s="34" t="inlineStr">
        <is>
          <t>3  KR</t>
        </is>
      </c>
      <c r="I19" s="34" t="inlineStr">
        <is>
          <t>1h</t>
        </is>
      </c>
      <c r="J19" s="34" t="inlineStr">
        <is>
          <t>Alle Grundfertigkeits-, Sprach-, Kulur- und WHK-Proben auf intelligenz, sowie alle KI-, PSI- und Spruchmagie werden um W20 erschwert.</t>
        </is>
      </c>
      <c r="K19" s="36" t="n">
        <v>4</v>
      </c>
      <c r="L19" s="44" t="n">
        <v>0</v>
      </c>
      <c r="M19" t="n">
        <v>4</v>
      </c>
      <c r="N19" s="38" t="n">
        <v>4</v>
      </c>
      <c r="O19" s="38">
        <f>N19*(K19+L19)</f>
        <v/>
      </c>
      <c r="P19" s="30" t="n">
        <v>30</v>
      </c>
    </row>
    <row r="20">
      <c r="A20" s="30" t="inlineStr">
        <is>
          <t>Gifte</t>
        </is>
      </c>
      <c r="B20" s="34" t="inlineStr">
        <is>
          <t>profan</t>
        </is>
      </c>
      <c r="C20" s="35" t="inlineStr">
        <is>
          <t>Leichtes Blendgift</t>
        </is>
      </c>
      <c r="D20" s="36" t="n">
        <v>5</v>
      </c>
      <c r="E20" s="36" t="inlineStr">
        <is>
          <t>J</t>
        </is>
      </c>
      <c r="F20" s="34" t="inlineStr">
        <is>
          <t>Körper</t>
        </is>
      </c>
      <c r="G20" s="34" t="inlineStr">
        <is>
          <t>1  KR</t>
        </is>
      </c>
      <c r="H20" s="34" t="inlineStr">
        <is>
          <t>3  KR</t>
        </is>
      </c>
      <c r="I20" s="34" t="inlineStr">
        <is>
          <t>1h</t>
        </is>
      </c>
      <c r="J20" s="34" t="inlineStr">
        <is>
          <t>Der Charakter erblindet. Jede Sicht außer magischer Sicht erlischt. BE 18</t>
        </is>
      </c>
      <c r="K20" s="36" t="n">
        <v>2</v>
      </c>
      <c r="L20" s="44" t="n">
        <v>0</v>
      </c>
      <c r="M20" t="n">
        <v>2</v>
      </c>
      <c r="N20" s="38" t="n">
        <v>1</v>
      </c>
      <c r="O20" s="38">
        <f>N20*(K20+L20)</f>
        <v/>
      </c>
      <c r="P20" s="30" t="n">
        <v>18</v>
      </c>
    </row>
    <row r="21">
      <c r="A21" s="30" t="inlineStr">
        <is>
          <t>Gifte</t>
        </is>
      </c>
      <c r="B21" s="34" t="inlineStr">
        <is>
          <t>profan</t>
        </is>
      </c>
      <c r="C21" s="35" t="inlineStr">
        <is>
          <t>Blendgift</t>
        </is>
      </c>
      <c r="D21" s="36" t="n">
        <v>15</v>
      </c>
      <c r="E21" s="36" t="inlineStr">
        <is>
          <t>J</t>
        </is>
      </c>
      <c r="F21" s="34" t="inlineStr">
        <is>
          <t>Körper</t>
        </is>
      </c>
      <c r="G21" s="34" t="inlineStr">
        <is>
          <t>1  KR</t>
        </is>
      </c>
      <c r="H21" s="34" t="inlineStr">
        <is>
          <t>3  KR</t>
        </is>
      </c>
      <c r="I21" s="34" t="inlineStr">
        <is>
          <t>1h</t>
        </is>
      </c>
      <c r="J21" s="34" t="inlineStr">
        <is>
          <t>Der Charakter erblindet. Jede Sicht außer magischer Sicht erlischt. BE 18</t>
        </is>
      </c>
      <c r="K21" s="36" t="n">
        <v>3</v>
      </c>
      <c r="L21" s="44" t="n">
        <v>0</v>
      </c>
      <c r="M21" t="n">
        <v>3</v>
      </c>
      <c r="N21" s="38" t="n">
        <v>2</v>
      </c>
      <c r="O21" s="38">
        <f>N21*(K21+L21)</f>
        <v/>
      </c>
      <c r="P21" s="30" t="n">
        <v>27</v>
      </c>
    </row>
    <row r="22">
      <c r="A22" s="30" t="inlineStr">
        <is>
          <t>Gifte</t>
        </is>
      </c>
      <c r="B22" s="34" t="inlineStr">
        <is>
          <t>profan</t>
        </is>
      </c>
      <c r="C22" s="35" t="inlineStr">
        <is>
          <t>Starke Blendgift</t>
        </is>
      </c>
      <c r="D22" s="36" t="n">
        <v>30</v>
      </c>
      <c r="E22" s="36" t="inlineStr">
        <is>
          <t>J</t>
        </is>
      </c>
      <c r="F22" s="34" t="inlineStr">
        <is>
          <t>Körper</t>
        </is>
      </c>
      <c r="G22" s="34" t="inlineStr">
        <is>
          <t>1  KR</t>
        </is>
      </c>
      <c r="H22" s="34" t="inlineStr">
        <is>
          <t>3  KR</t>
        </is>
      </c>
      <c r="I22" s="34" t="inlineStr">
        <is>
          <t>1h</t>
        </is>
      </c>
      <c r="J22" s="34" t="inlineStr">
        <is>
          <t>Der Charakter erblindet. Jede Sicht außer magischer Sicht erlischt. BE 18</t>
        </is>
      </c>
      <c r="K22" s="36" t="n">
        <v>4</v>
      </c>
      <c r="L22" s="44" t="n">
        <v>0</v>
      </c>
      <c r="M22" t="n">
        <v>4</v>
      </c>
      <c r="N22" s="38" t="n">
        <v>4</v>
      </c>
      <c r="O22" s="38">
        <f>N22*(K22+L22)</f>
        <v/>
      </c>
      <c r="P22" s="30" t="n">
        <v>45</v>
      </c>
    </row>
    <row r="23">
      <c r="A23" s="30" t="inlineStr">
        <is>
          <t>Gifte</t>
        </is>
      </c>
      <c r="B23" s="34" t="inlineStr">
        <is>
          <t>profan</t>
        </is>
      </c>
      <c r="C23" s="35" t="inlineStr">
        <is>
          <t>Leichtes Schwächegift</t>
        </is>
      </c>
      <c r="D23" s="36" t="n">
        <v>5</v>
      </c>
      <c r="E23" s="36" t="inlineStr">
        <is>
          <t>J</t>
        </is>
      </c>
      <c r="F23" s="34" t="inlineStr">
        <is>
          <t>Körper</t>
        </is>
      </c>
      <c r="G23" s="34" t="inlineStr">
        <is>
          <t>Sofort</t>
        </is>
      </c>
      <c r="H23" s="34" t="inlineStr">
        <is>
          <t>Sofort</t>
        </is>
      </c>
      <c r="I23" s="34" t="inlineStr">
        <is>
          <t>1h</t>
        </is>
      </c>
      <c r="J23" s="34" t="inlineStr">
        <is>
          <t>TS -1</t>
        </is>
      </c>
      <c r="K23" s="36" t="n">
        <v>3</v>
      </c>
      <c r="L23" s="44" t="n">
        <v>0</v>
      </c>
      <c r="M23" t="n">
        <v>4</v>
      </c>
      <c r="N23" s="38" t="n">
        <v>50</v>
      </c>
      <c r="O23" s="38">
        <f>N23*(K23+L23)</f>
        <v/>
      </c>
      <c r="P23" s="30" t="n">
        <v>12</v>
      </c>
    </row>
    <row r="24">
      <c r="A24" s="30" t="inlineStr">
        <is>
          <t>Gifte</t>
        </is>
      </c>
      <c r="B24" s="34" t="inlineStr">
        <is>
          <t>profan</t>
        </is>
      </c>
      <c r="C24" s="35" t="inlineStr">
        <is>
          <t>Schwächegift</t>
        </is>
      </c>
      <c r="D24" s="36" t="n">
        <v>15</v>
      </c>
      <c r="E24" s="36" t="inlineStr">
        <is>
          <t>J</t>
        </is>
      </c>
      <c r="F24" s="34" t="inlineStr">
        <is>
          <t>Körper</t>
        </is>
      </c>
      <c r="G24" s="34" t="inlineStr">
        <is>
          <t>Sofort</t>
        </is>
      </c>
      <c r="H24" s="34" t="inlineStr">
        <is>
          <t>Sofort</t>
        </is>
      </c>
      <c r="I24" s="34" t="inlineStr">
        <is>
          <t>1h</t>
        </is>
      </c>
      <c r="J24" s="34" t="inlineStr">
        <is>
          <t>TS -2</t>
        </is>
      </c>
      <c r="K24" s="36" t="n">
        <v>4</v>
      </c>
      <c r="L24" s="44" t="n">
        <v>0</v>
      </c>
      <c r="M24" t="n">
        <v>5</v>
      </c>
      <c r="N24" s="38" t="n">
        <v>150</v>
      </c>
      <c r="O24" s="38">
        <f>N24*(K24+L24)</f>
        <v/>
      </c>
      <c r="P24" s="30" t="n">
        <v>18</v>
      </c>
    </row>
    <row r="25">
      <c r="A25" s="30" t="inlineStr">
        <is>
          <t>Gifte</t>
        </is>
      </c>
      <c r="B25" s="34" t="inlineStr">
        <is>
          <t>profan</t>
        </is>
      </c>
      <c r="C25" s="35" t="inlineStr">
        <is>
          <t>Starkes Schwächegift</t>
        </is>
      </c>
      <c r="D25" s="36" t="n">
        <v>30</v>
      </c>
      <c r="E25" s="36" t="inlineStr">
        <is>
          <t>J</t>
        </is>
      </c>
      <c r="F25" s="34" t="inlineStr">
        <is>
          <t>Körper</t>
        </is>
      </c>
      <c r="G25" s="34" t="inlineStr">
        <is>
          <t>Sofort</t>
        </is>
      </c>
      <c r="H25" s="34" t="inlineStr">
        <is>
          <t>Sofort</t>
        </is>
      </c>
      <c r="I25" s="34" t="inlineStr">
        <is>
          <t>1h</t>
        </is>
      </c>
      <c r="J25" s="34" t="inlineStr">
        <is>
          <t>TS -3</t>
        </is>
      </c>
      <c r="K25" s="36" t="n">
        <v>5</v>
      </c>
      <c r="L25" s="44" t="n">
        <v>0</v>
      </c>
      <c r="M25" t="n">
        <v>6</v>
      </c>
      <c r="N25" s="38" t="n">
        <v>500</v>
      </c>
      <c r="O25" s="38">
        <f>N25*(K25+L25)</f>
        <v/>
      </c>
      <c r="P25" s="30" t="n">
        <v>30</v>
      </c>
    </row>
    <row r="26">
      <c r="A26" s="30" t="inlineStr">
        <is>
          <t>Gifte</t>
        </is>
      </c>
      <c r="B26" s="34" t="inlineStr">
        <is>
          <t>profan</t>
        </is>
      </c>
      <c r="C26" s="40" t="inlineStr">
        <is>
          <t>Leichtes Behinderungsgift</t>
        </is>
      </c>
      <c r="D26" s="36" t="n">
        <v>5</v>
      </c>
      <c r="E26" s="36" t="inlineStr">
        <is>
          <t>J</t>
        </is>
      </c>
      <c r="F26" s="34" t="inlineStr">
        <is>
          <t>Körper</t>
        </is>
      </c>
      <c r="G26" s="34" t="inlineStr">
        <is>
          <t>1  KR</t>
        </is>
      </c>
      <c r="H26" s="34" t="inlineStr">
        <is>
          <t>2  KR</t>
        </is>
      </c>
      <c r="I26" s="34" t="inlineStr">
        <is>
          <t>1h</t>
        </is>
      </c>
      <c r="J26" s="34" t="inlineStr">
        <is>
          <t>Verursacht BE von W4</t>
        </is>
      </c>
      <c r="K26" s="36" t="n">
        <v>2</v>
      </c>
      <c r="L26" s="44" t="n">
        <v>0</v>
      </c>
      <c r="M26" t="n">
        <v>2</v>
      </c>
      <c r="N26" s="38" t="n">
        <v>0.5</v>
      </c>
      <c r="O26" s="38">
        <f>N26*(K26+L26)</f>
        <v/>
      </c>
      <c r="P26" s="30" t="n">
        <v>12</v>
      </c>
    </row>
    <row r="27">
      <c r="A27" s="30" t="inlineStr">
        <is>
          <t>Gifte</t>
        </is>
      </c>
      <c r="B27" s="34" t="inlineStr">
        <is>
          <t>profan</t>
        </is>
      </c>
      <c r="C27" s="40" t="inlineStr">
        <is>
          <t>Behinderungsgift</t>
        </is>
      </c>
      <c r="D27" s="36" t="n">
        <v>15</v>
      </c>
      <c r="E27" s="36" t="inlineStr">
        <is>
          <t>J</t>
        </is>
      </c>
      <c r="F27" s="34" t="inlineStr">
        <is>
          <t>Körper</t>
        </is>
      </c>
      <c r="G27" s="34" t="inlineStr">
        <is>
          <t>1  KR</t>
        </is>
      </c>
      <c r="H27" s="34" t="inlineStr">
        <is>
          <t>2  KR</t>
        </is>
      </c>
      <c r="I27" s="34" t="inlineStr">
        <is>
          <t>1h</t>
        </is>
      </c>
      <c r="J27" s="34" t="inlineStr">
        <is>
          <t>Verursacht BE von W6</t>
        </is>
      </c>
      <c r="K27" s="36" t="n">
        <v>3</v>
      </c>
      <c r="L27" s="44" t="n">
        <v>0</v>
      </c>
      <c r="M27" t="n">
        <v>3</v>
      </c>
      <c r="N27" s="38" t="n">
        <v>1</v>
      </c>
      <c r="O27" s="38">
        <f>N27*(K27+L27)</f>
        <v/>
      </c>
      <c r="P27" s="30" t="n">
        <v>18</v>
      </c>
    </row>
    <row r="28">
      <c r="A28" s="30" t="inlineStr">
        <is>
          <t>Gifte</t>
        </is>
      </c>
      <c r="B28" s="34" t="inlineStr">
        <is>
          <t>profan</t>
        </is>
      </c>
      <c r="C28" s="40" t="inlineStr">
        <is>
          <t>Starkes Behinderungsgift</t>
        </is>
      </c>
      <c r="D28" s="36" t="n">
        <v>30</v>
      </c>
      <c r="E28" s="36" t="inlineStr">
        <is>
          <t>J</t>
        </is>
      </c>
      <c r="F28" s="34" t="inlineStr">
        <is>
          <t>Körper</t>
        </is>
      </c>
      <c r="G28" s="34" t="inlineStr">
        <is>
          <t>1  KR</t>
        </is>
      </c>
      <c r="H28" s="34" t="inlineStr">
        <is>
          <t>2  KR</t>
        </is>
      </c>
      <c r="I28" s="34" t="inlineStr">
        <is>
          <t>1h</t>
        </is>
      </c>
      <c r="J28" s="34" t="inlineStr">
        <is>
          <t>Verursacht BE von W8</t>
        </is>
      </c>
      <c r="K28" s="36" t="n">
        <v>4</v>
      </c>
      <c r="L28" s="44" t="n">
        <v>0</v>
      </c>
      <c r="M28" t="n">
        <v>4</v>
      </c>
      <c r="N28" s="38" t="n">
        <v>3</v>
      </c>
      <c r="O28" s="38">
        <f>N28*(K28+L28)</f>
        <v/>
      </c>
      <c r="P28" s="30" t="n">
        <v>30</v>
      </c>
    </row>
    <row r="29">
      <c r="A29" s="30" t="inlineStr">
        <is>
          <t>Gifte</t>
        </is>
      </c>
      <c r="B29" s="34" t="inlineStr">
        <is>
          <t>profan</t>
        </is>
      </c>
      <c r="C29" s="35" t="inlineStr">
        <is>
          <t>Leichtes Nahrungsgift</t>
        </is>
      </c>
      <c r="D29" s="36" t="n">
        <v>5</v>
      </c>
      <c r="E29" s="36" t="inlineStr">
        <is>
          <t>N</t>
        </is>
      </c>
      <c r="F29" s="34" t="inlineStr">
        <is>
          <t>Nahrung</t>
        </is>
      </c>
      <c r="G29" s="34" t="inlineStr">
        <is>
          <t>10 min</t>
        </is>
      </c>
      <c r="H29" s="34" t="inlineStr">
        <is>
          <t>15 min</t>
        </is>
      </c>
      <c r="I29" s="34" t="inlineStr">
        <is>
          <t>3min</t>
        </is>
      </c>
      <c r="J29" s="34" t="inlineStr">
        <is>
          <t>Auf GES W6 pro min, BE +1 pro min</t>
        </is>
      </c>
      <c r="K29" s="36" t="n">
        <v>4</v>
      </c>
      <c r="L29" s="44" t="n">
        <v>0</v>
      </c>
      <c r="M29" t="n">
        <v>4</v>
      </c>
      <c r="N29" s="38" t="n">
        <v>20</v>
      </c>
      <c r="O29" s="38">
        <f>N29*(K29+L29)</f>
        <v/>
      </c>
      <c r="P29" s="30" t="n">
        <v>12</v>
      </c>
    </row>
    <row r="30">
      <c r="A30" s="30" t="inlineStr">
        <is>
          <t>Gifte</t>
        </is>
      </c>
      <c r="B30" s="34" t="inlineStr">
        <is>
          <t>profan</t>
        </is>
      </c>
      <c r="C30" s="35" t="inlineStr">
        <is>
          <t>Nahrungsgift</t>
        </is>
      </c>
      <c r="D30" s="36" t="n">
        <v>15</v>
      </c>
      <c r="E30" s="36" t="inlineStr">
        <is>
          <t>N</t>
        </is>
      </c>
      <c r="F30" s="34" t="inlineStr">
        <is>
          <t>Nahrung</t>
        </is>
      </c>
      <c r="G30" s="34" t="inlineStr">
        <is>
          <t>10 min</t>
        </is>
      </c>
      <c r="H30" s="34" t="inlineStr">
        <is>
          <t>15 min</t>
        </is>
      </c>
      <c r="I30" s="34" t="inlineStr">
        <is>
          <t>3min</t>
        </is>
      </c>
      <c r="J30" s="34" t="inlineStr">
        <is>
          <t>Auf GES W8 pro min, BE +2 pro min</t>
        </is>
      </c>
      <c r="K30" s="36" t="n">
        <v>5</v>
      </c>
      <c r="L30" s="44" t="n">
        <v>0</v>
      </c>
      <c r="M30" t="n">
        <v>5</v>
      </c>
      <c r="N30" s="38" t="n">
        <v>40</v>
      </c>
      <c r="O30" s="38">
        <f>N30*(K30+L30)</f>
        <v/>
      </c>
      <c r="P30" s="30" t="n">
        <v>18</v>
      </c>
    </row>
    <row r="31">
      <c r="A31" s="30" t="inlineStr">
        <is>
          <t>Gifte</t>
        </is>
      </c>
      <c r="B31" s="34" t="inlineStr">
        <is>
          <t>profan</t>
        </is>
      </c>
      <c r="C31" s="35" t="inlineStr">
        <is>
          <t>Starkes Nahrungsgift</t>
        </is>
      </c>
      <c r="D31" s="36" t="n">
        <v>30</v>
      </c>
      <c r="E31" s="36" t="inlineStr">
        <is>
          <t>N</t>
        </is>
      </c>
      <c r="F31" s="34" t="inlineStr">
        <is>
          <t>Nahrung</t>
        </is>
      </c>
      <c r="G31" s="34" t="inlineStr">
        <is>
          <t>10 min</t>
        </is>
      </c>
      <c r="H31" s="34" t="inlineStr">
        <is>
          <t>15 min</t>
        </is>
      </c>
      <c r="I31" s="34" t="inlineStr">
        <is>
          <t>3min</t>
        </is>
      </c>
      <c r="J31" s="34" t="inlineStr">
        <is>
          <t>Auf GES W8 pro min, BE +3 pro min</t>
        </is>
      </c>
      <c r="K31" s="36" t="n">
        <v>6</v>
      </c>
      <c r="L31" s="44" t="n">
        <v>0</v>
      </c>
      <c r="M31" t="n">
        <v>6</v>
      </c>
      <c r="N31" s="38" t="n">
        <v>60</v>
      </c>
      <c r="O31" s="38">
        <f>N31*(K31+L31)</f>
        <v/>
      </c>
      <c r="P31" s="30" t="n">
        <v>30</v>
      </c>
    </row>
    <row r="32">
      <c r="A32" s="30" t="inlineStr">
        <is>
          <t>Gifte</t>
        </is>
      </c>
      <c r="B32" s="34" t="inlineStr">
        <is>
          <t>profan</t>
        </is>
      </c>
      <c r="C32" s="35" t="inlineStr">
        <is>
          <t>Leichtes Schlafgift</t>
        </is>
      </c>
      <c r="D32" s="36" t="n">
        <v>5</v>
      </c>
      <c r="E32" s="36" t="inlineStr">
        <is>
          <t>J</t>
        </is>
      </c>
      <c r="F32" s="34" t="inlineStr">
        <is>
          <t>Körper</t>
        </is>
      </c>
      <c r="G32" s="34" t="inlineStr">
        <is>
          <t>1  KR</t>
        </is>
      </c>
      <c r="H32" s="34" t="inlineStr">
        <is>
          <t>60  KR</t>
        </is>
      </c>
      <c r="I32" s="34" t="inlineStr">
        <is>
          <t>8h</t>
        </is>
      </c>
      <c r="J32" s="41" t="inlineStr">
        <is>
          <t>Opfer fällt in leichten Schlaf, Sin -5</t>
        </is>
      </c>
      <c r="K32" s="36" t="n">
        <v>1</v>
      </c>
      <c r="L32" s="44" t="n">
        <v>0</v>
      </c>
      <c r="M32" t="n">
        <v>1</v>
      </c>
      <c r="N32" s="38" t="n">
        <v>2</v>
      </c>
      <c r="O32" s="38">
        <f>N32*(K32+L32)</f>
        <v/>
      </c>
      <c r="P32" s="30" t="n">
        <v>18</v>
      </c>
    </row>
    <row r="33">
      <c r="A33" s="30" t="inlineStr">
        <is>
          <t>Gifte</t>
        </is>
      </c>
      <c r="B33" s="34" t="inlineStr">
        <is>
          <t>profan</t>
        </is>
      </c>
      <c r="C33" s="35" t="inlineStr">
        <is>
          <t>Schlafgift</t>
        </is>
      </c>
      <c r="D33" s="36" t="n">
        <v>15</v>
      </c>
      <c r="E33" s="36" t="inlineStr">
        <is>
          <t>J</t>
        </is>
      </c>
      <c r="F33" s="34" t="inlineStr">
        <is>
          <t>Körper</t>
        </is>
      </c>
      <c r="G33" s="34" t="inlineStr">
        <is>
          <t>1  KR</t>
        </is>
      </c>
      <c r="H33" s="34" t="inlineStr">
        <is>
          <t>45  KR</t>
        </is>
      </c>
      <c r="I33" s="34" t="inlineStr">
        <is>
          <t>8h</t>
        </is>
      </c>
      <c r="J33" s="41" t="inlineStr">
        <is>
          <t>Opfer fällt in natürlichen Schlaf, Sin -10</t>
        </is>
      </c>
      <c r="K33" s="36" t="n">
        <v>2</v>
      </c>
      <c r="L33" s="44" t="n">
        <v>0</v>
      </c>
      <c r="M33" t="n">
        <v>2</v>
      </c>
      <c r="N33" s="38" t="n">
        <v>4</v>
      </c>
      <c r="O33" s="38">
        <f>N33*(K33+L33)</f>
        <v/>
      </c>
      <c r="P33" s="30" t="n">
        <v>30</v>
      </c>
    </row>
    <row r="34">
      <c r="A34" s="30" t="inlineStr">
        <is>
          <t>Gifte</t>
        </is>
      </c>
      <c r="B34" s="34" t="inlineStr">
        <is>
          <t>profan</t>
        </is>
      </c>
      <c r="C34" s="35" t="inlineStr">
        <is>
          <t>Starkes Schlafgift</t>
        </is>
      </c>
      <c r="D34" s="36" t="n">
        <v>30</v>
      </c>
      <c r="E34" s="36" t="inlineStr">
        <is>
          <t>J</t>
        </is>
      </c>
      <c r="F34" s="34" t="inlineStr">
        <is>
          <t>Körper</t>
        </is>
      </c>
      <c r="G34" s="34" t="inlineStr">
        <is>
          <t>1  KR</t>
        </is>
      </c>
      <c r="H34" s="34" t="inlineStr">
        <is>
          <t>30  KR</t>
        </is>
      </c>
      <c r="I34" s="34" t="inlineStr">
        <is>
          <t>8h</t>
        </is>
      </c>
      <c r="J34" s="41" t="inlineStr">
        <is>
          <t>Opfer fällt in tiefen Schlaf, Sin -15, Regi+1</t>
        </is>
      </c>
      <c r="K34" s="36" t="n">
        <v>4</v>
      </c>
      <c r="L34" s="44" t="n">
        <v>0</v>
      </c>
      <c r="M34" t="n">
        <v>4</v>
      </c>
      <c r="N34" s="38" t="n">
        <v>7</v>
      </c>
      <c r="O34" s="38">
        <f>N34*(K34+L34)</f>
        <v/>
      </c>
      <c r="P34" s="30" t="n">
        <v>48</v>
      </c>
    </row>
    <row r="35">
      <c r="A35" s="30" t="inlineStr">
        <is>
          <t>Gifte</t>
        </is>
      </c>
      <c r="B35" s="34" t="inlineStr">
        <is>
          <t>magisch</t>
        </is>
      </c>
      <c r="C35" s="35" t="inlineStr">
        <is>
          <t>Leichtes Managift</t>
        </is>
      </c>
      <c r="D35" s="36" t="n">
        <v>5</v>
      </c>
      <c r="E35" s="36" t="inlineStr">
        <is>
          <t>J</t>
        </is>
      </c>
      <c r="F35" s="34" t="inlineStr">
        <is>
          <t>Blut</t>
        </is>
      </c>
      <c r="G35" s="34" t="inlineStr">
        <is>
          <t>Sofort</t>
        </is>
      </c>
      <c r="H35" s="34" t="inlineStr">
        <is>
          <t>Sofort</t>
        </is>
      </c>
      <c r="I35" s="34" t="inlineStr">
        <is>
          <t>permanent</t>
        </is>
      </c>
      <c r="J35" s="34" t="inlineStr">
        <is>
          <t>Mana -4W6</t>
        </is>
      </c>
      <c r="K35" s="36" t="n">
        <v>3</v>
      </c>
      <c r="L35" s="44" t="n">
        <v>0</v>
      </c>
      <c r="M35" t="n">
        <v>4</v>
      </c>
      <c r="N35" s="38" t="n">
        <v>50</v>
      </c>
      <c r="O35" s="38">
        <f>N35*(K35+L35)</f>
        <v/>
      </c>
      <c r="P35" s="30" t="n">
        <v>24</v>
      </c>
    </row>
    <row r="36">
      <c r="A36" s="30" t="inlineStr">
        <is>
          <t>Gifte</t>
        </is>
      </c>
      <c r="B36" s="34" t="inlineStr">
        <is>
          <t>magisch</t>
        </is>
      </c>
      <c r="C36" s="35" t="inlineStr">
        <is>
          <t>Managift</t>
        </is>
      </c>
      <c r="D36" s="36" t="n">
        <v>15</v>
      </c>
      <c r="E36" s="36" t="inlineStr">
        <is>
          <t>J</t>
        </is>
      </c>
      <c r="F36" s="34" t="inlineStr">
        <is>
          <t>Blut</t>
        </is>
      </c>
      <c r="G36" s="34" t="inlineStr">
        <is>
          <t>Sofort</t>
        </is>
      </c>
      <c r="H36" s="34" t="inlineStr">
        <is>
          <t>Sofort</t>
        </is>
      </c>
      <c r="I36" s="34" t="inlineStr">
        <is>
          <t>permanent</t>
        </is>
      </c>
      <c r="J36" s="34" t="inlineStr">
        <is>
          <t>Mana -5W10</t>
        </is>
      </c>
      <c r="K36" s="36" t="n">
        <v>4</v>
      </c>
      <c r="L36" s="44" t="n">
        <v>0</v>
      </c>
      <c r="M36" t="n">
        <v>5</v>
      </c>
      <c r="N36" s="38" t="n">
        <v>150</v>
      </c>
      <c r="O36" s="38">
        <f>N36*(K36+L36)</f>
        <v/>
      </c>
      <c r="P36" s="30" t="n">
        <v>36</v>
      </c>
    </row>
    <row r="37">
      <c r="A37" s="30" t="inlineStr">
        <is>
          <t>Gifte</t>
        </is>
      </c>
      <c r="B37" s="34" t="inlineStr">
        <is>
          <t>magisch</t>
        </is>
      </c>
      <c r="C37" s="35" t="inlineStr">
        <is>
          <t>Starkes Managift</t>
        </is>
      </c>
      <c r="D37" s="36" t="n">
        <v>30</v>
      </c>
      <c r="E37" s="36" t="inlineStr">
        <is>
          <t>J</t>
        </is>
      </c>
      <c r="F37" s="34" t="inlineStr">
        <is>
          <t>Blut</t>
        </is>
      </c>
      <c r="G37" s="34" t="inlineStr">
        <is>
          <t>Sofort</t>
        </is>
      </c>
      <c r="H37" s="34" t="inlineStr">
        <is>
          <t>Sofort</t>
        </is>
      </c>
      <c r="I37" s="34" t="inlineStr">
        <is>
          <t>permanent</t>
        </is>
      </c>
      <c r="J37" s="34" t="inlineStr">
        <is>
          <t>Mana -6W15</t>
        </is>
      </c>
      <c r="K37" s="36" t="n">
        <v>5</v>
      </c>
      <c r="L37" s="44" t="n">
        <v>0</v>
      </c>
      <c r="M37" t="n">
        <v>6</v>
      </c>
      <c r="N37" s="38" t="n">
        <v>500</v>
      </c>
      <c r="O37" s="38">
        <f>N37*(K37+L37)</f>
        <v/>
      </c>
      <c r="P37" s="30" t="n">
        <v>60</v>
      </c>
    </row>
    <row r="38">
      <c r="A38" s="30" t="inlineStr">
        <is>
          <t>Gifte</t>
        </is>
      </c>
      <c r="B38" s="34" t="inlineStr">
        <is>
          <t>profan</t>
        </is>
      </c>
      <c r="C38" s="35" t="inlineStr">
        <is>
          <t>Waffengift</t>
        </is>
      </c>
      <c r="D38" s="36" t="n">
        <v>15</v>
      </c>
      <c r="E38" s="36" t="inlineStr">
        <is>
          <t>N</t>
        </is>
      </c>
      <c r="F38" s="34" t="inlineStr">
        <is>
          <t>Kontakt</t>
        </is>
      </c>
      <c r="G38" s="34" t="inlineStr">
        <is>
          <t>1  KR</t>
        </is>
      </c>
      <c r="H38" s="34" t="inlineStr">
        <is>
          <t>1  KR</t>
        </is>
      </c>
      <c r="I38" s="34" t="inlineStr">
        <is>
          <t>permanent</t>
        </is>
      </c>
      <c r="J38" s="34" t="inlineStr">
        <is>
          <t>Auf eine TZ –W10 LE</t>
        </is>
      </c>
      <c r="K38" s="36" t="n">
        <v>5</v>
      </c>
      <c r="L38" s="44" t="n">
        <v>0</v>
      </c>
      <c r="M38" t="n">
        <v>3</v>
      </c>
      <c r="N38" s="38" t="n">
        <v>10</v>
      </c>
      <c r="O38" s="38">
        <f>N38*(K38+L38)</f>
        <v/>
      </c>
      <c r="P38" s="30" t="n">
        <v>18</v>
      </c>
    </row>
    <row r="39">
      <c r="A39" s="30" t="inlineStr">
        <is>
          <t>Gifte</t>
        </is>
      </c>
      <c r="B39" s="34" t="inlineStr">
        <is>
          <t>profan</t>
        </is>
      </c>
      <c r="C39" s="35" t="inlineStr">
        <is>
          <t>Starkes Jagdgift</t>
        </is>
      </c>
      <c r="D39" s="36" t="n">
        <v>30</v>
      </c>
      <c r="E39" s="36" t="inlineStr">
        <is>
          <t>J</t>
        </is>
      </c>
      <c r="F39" s="34" t="inlineStr">
        <is>
          <t>Blut</t>
        </is>
      </c>
      <c r="G39" s="34" t="inlineStr">
        <is>
          <t>1  KR</t>
        </is>
      </c>
      <c r="H39" s="34" t="inlineStr">
        <is>
          <t>1  KR</t>
        </is>
      </c>
      <c r="I39" s="34" t="inlineStr">
        <is>
          <t>permanent</t>
        </is>
      </c>
      <c r="J39" s="34" t="inlineStr">
        <is>
          <t>Auf eine TZ –W10 LE</t>
        </is>
      </c>
      <c r="K39" s="36" t="n">
        <v>2</v>
      </c>
      <c r="L39" s="44" t="n">
        <v>0</v>
      </c>
      <c r="M39" t="n">
        <v>3</v>
      </c>
      <c r="N39" s="38" t="n">
        <v>1</v>
      </c>
      <c r="O39" s="38">
        <f>N39*(K39+L39)</f>
        <v/>
      </c>
      <c r="P39" s="30" t="n">
        <v>15</v>
      </c>
    </row>
    <row r="40">
      <c r="A40" s="30" t="inlineStr">
        <is>
          <t>Gifte</t>
        </is>
      </c>
      <c r="B40" s="34" t="inlineStr">
        <is>
          <t>profan</t>
        </is>
      </c>
      <c r="C40" s="35" t="inlineStr">
        <is>
          <t>Starkes Waffengift</t>
        </is>
      </c>
      <c r="D40" s="36" t="n">
        <v>30</v>
      </c>
      <c r="E40" s="36" t="inlineStr">
        <is>
          <t>N</t>
        </is>
      </c>
      <c r="F40" s="34" t="inlineStr">
        <is>
          <t>Kontakt</t>
        </is>
      </c>
      <c r="G40" s="34" t="inlineStr">
        <is>
          <t>1  KR</t>
        </is>
      </c>
      <c r="H40" s="34" t="inlineStr">
        <is>
          <t>1  KR</t>
        </is>
      </c>
      <c r="I40" s="34" t="inlineStr">
        <is>
          <t>permanent</t>
        </is>
      </c>
      <c r="J40" s="34" t="inlineStr">
        <is>
          <t>Auf eine TZ –W15 LE</t>
        </is>
      </c>
      <c r="K40" s="36" t="n">
        <v>6</v>
      </c>
      <c r="L40" s="44" t="n">
        <v>0</v>
      </c>
      <c r="M40" t="n">
        <v>4</v>
      </c>
      <c r="N40" s="38" t="n">
        <v>20</v>
      </c>
      <c r="O40" s="38">
        <f>N40*(K40+L40)</f>
        <v/>
      </c>
      <c r="P40" s="30" t="n">
        <v>30</v>
      </c>
    </row>
    <row r="41">
      <c r="A41" s="30" t="inlineStr">
        <is>
          <t>Gifte</t>
        </is>
      </c>
      <c r="B41" s="34" t="inlineStr">
        <is>
          <t>profan</t>
        </is>
      </c>
      <c r="C41" s="35" t="inlineStr">
        <is>
          <t>Mächtiges Jagdgift</t>
        </is>
      </c>
      <c r="D41" s="36" t="n">
        <v>40</v>
      </c>
      <c r="E41" s="36" t="inlineStr">
        <is>
          <t>J</t>
        </is>
      </c>
      <c r="F41" s="34" t="inlineStr">
        <is>
          <t>Blut</t>
        </is>
      </c>
      <c r="G41" s="34" t="inlineStr">
        <is>
          <t>1  KR</t>
        </is>
      </c>
      <c r="H41" s="34" t="inlineStr">
        <is>
          <t>1  KR</t>
        </is>
      </c>
      <c r="I41" s="34" t="inlineStr">
        <is>
          <t>permanent</t>
        </is>
      </c>
      <c r="J41" s="34" t="inlineStr">
        <is>
          <t>Auf eine TZ –W15 LE</t>
        </is>
      </c>
      <c r="K41" s="36" t="n">
        <v>3</v>
      </c>
      <c r="L41" s="44" t="n">
        <v>0</v>
      </c>
      <c r="M41" t="n">
        <v>5</v>
      </c>
      <c r="N41" s="38" t="n">
        <v>5</v>
      </c>
      <c r="O41" s="38">
        <f>N41*(K41+L41)</f>
        <v/>
      </c>
      <c r="P41" s="30" t="n">
        <v>24</v>
      </c>
    </row>
    <row r="42">
      <c r="A42" s="30" t="inlineStr">
        <is>
          <t>Gifte</t>
        </is>
      </c>
      <c r="B42" s="34" t="inlineStr">
        <is>
          <t>profan</t>
        </is>
      </c>
      <c r="C42" s="35" t="inlineStr">
        <is>
          <t>Mächtiges Waffengift</t>
        </is>
      </c>
      <c r="D42" s="36" t="n">
        <v>40</v>
      </c>
      <c r="E42" s="36" t="inlineStr">
        <is>
          <t>N</t>
        </is>
      </c>
      <c r="F42" s="34" t="inlineStr">
        <is>
          <t>Kontakt</t>
        </is>
      </c>
      <c r="G42" s="34" t="inlineStr">
        <is>
          <t>1  KR</t>
        </is>
      </c>
      <c r="H42" s="34" t="inlineStr">
        <is>
          <t>1  KR</t>
        </is>
      </c>
      <c r="I42" s="34" t="inlineStr">
        <is>
          <t>permanent</t>
        </is>
      </c>
      <c r="J42" s="34" t="inlineStr">
        <is>
          <t>Auf eine TZ –W20 LE</t>
        </is>
      </c>
      <c r="K42" s="36" t="n">
        <v>7</v>
      </c>
      <c r="L42" s="44" t="n">
        <v>0</v>
      </c>
      <c r="M42" t="n">
        <v>5</v>
      </c>
      <c r="N42" s="38" t="n">
        <v>30</v>
      </c>
      <c r="O42" s="38">
        <f>N42*(K42+L42)</f>
        <v/>
      </c>
      <c r="P42" s="30" t="n">
        <v>48</v>
      </c>
    </row>
    <row r="43">
      <c r="A43" s="30" t="inlineStr">
        <is>
          <t>Gifte</t>
        </is>
      </c>
      <c r="B43" s="34" t="inlineStr">
        <is>
          <t>profan</t>
        </is>
      </c>
      <c r="C43" s="35" t="inlineStr">
        <is>
          <t>Leichtes Jagdgift</t>
        </is>
      </c>
      <c r="D43" s="36" t="n">
        <v>5</v>
      </c>
      <c r="E43" s="36" t="inlineStr">
        <is>
          <t>J</t>
        </is>
      </c>
      <c r="F43" s="34" t="inlineStr">
        <is>
          <t>Blut</t>
        </is>
      </c>
      <c r="G43" s="34" t="inlineStr">
        <is>
          <t>1  KR</t>
        </is>
      </c>
      <c r="H43" s="34" t="inlineStr">
        <is>
          <t>1  KR</t>
        </is>
      </c>
      <c r="I43" s="34" t="inlineStr">
        <is>
          <t>permanent</t>
        </is>
      </c>
      <c r="J43" s="34" t="inlineStr">
        <is>
          <t>Auf eine TZ –W6 LE</t>
        </is>
      </c>
      <c r="K43" s="36" t="n">
        <v>1</v>
      </c>
      <c r="L43" s="44" t="n">
        <v>0</v>
      </c>
      <c r="M43" t="n">
        <v>1</v>
      </c>
      <c r="N43" s="38" t="n">
        <v>0.25</v>
      </c>
      <c r="O43" s="38">
        <f>N43*(K43+L43)</f>
        <v/>
      </c>
      <c r="P43" s="30" t="n">
        <v>6</v>
      </c>
    </row>
    <row r="44">
      <c r="A44" s="30" t="inlineStr">
        <is>
          <t>Gifte</t>
        </is>
      </c>
      <c r="B44" s="34" t="inlineStr">
        <is>
          <t>profan</t>
        </is>
      </c>
      <c r="C44" s="35" t="inlineStr">
        <is>
          <t>Leichtes Waffengift</t>
        </is>
      </c>
      <c r="D44" s="36" t="n">
        <v>5</v>
      </c>
      <c r="E44" s="36" t="inlineStr">
        <is>
          <t>N</t>
        </is>
      </c>
      <c r="F44" s="34" t="inlineStr">
        <is>
          <t>Kontakt</t>
        </is>
      </c>
      <c r="G44" s="34" t="inlineStr">
        <is>
          <t>1  KR</t>
        </is>
      </c>
      <c r="H44" s="34" t="inlineStr">
        <is>
          <t>1  KR</t>
        </is>
      </c>
      <c r="I44" s="34" t="inlineStr">
        <is>
          <t>permanent</t>
        </is>
      </c>
      <c r="J44" s="34" t="inlineStr">
        <is>
          <t>Auf eine TZ –W8 LE</t>
        </is>
      </c>
      <c r="K44" s="36" t="n">
        <v>4</v>
      </c>
      <c r="L44" s="44" t="n">
        <v>0</v>
      </c>
      <c r="M44" t="n">
        <v>2</v>
      </c>
      <c r="N44" s="38" t="n">
        <v>5</v>
      </c>
      <c r="O44" s="38">
        <f>N44*(K44+L44)</f>
        <v/>
      </c>
      <c r="P44" s="30" t="n">
        <v>12</v>
      </c>
    </row>
    <row r="45">
      <c r="A45" s="30" t="inlineStr">
        <is>
          <t>Gifte</t>
        </is>
      </c>
      <c r="B45" s="34" t="inlineStr">
        <is>
          <t>profan</t>
        </is>
      </c>
      <c r="C45" s="35" t="inlineStr">
        <is>
          <t>Jagdgift</t>
        </is>
      </c>
      <c r="D45" s="36" t="n">
        <v>15</v>
      </c>
      <c r="E45" s="36" t="inlineStr">
        <is>
          <t>J</t>
        </is>
      </c>
      <c r="F45" s="34" t="inlineStr">
        <is>
          <t>Blut</t>
        </is>
      </c>
      <c r="G45" s="34" t="inlineStr">
        <is>
          <t>1  KR</t>
        </is>
      </c>
      <c r="H45" s="34" t="inlineStr">
        <is>
          <t>1  KR</t>
        </is>
      </c>
      <c r="I45" s="34" t="inlineStr">
        <is>
          <t>permanent</t>
        </is>
      </c>
      <c r="J45" s="34" t="inlineStr">
        <is>
          <t>Auf eine TZ –W8 LE</t>
        </is>
      </c>
      <c r="K45" s="36" t="n">
        <v>1</v>
      </c>
      <c r="L45" s="44" t="n">
        <v>0</v>
      </c>
      <c r="M45" t="n">
        <v>2</v>
      </c>
      <c r="N45" s="38" t="n">
        <v>0.5</v>
      </c>
      <c r="O45" s="38">
        <f>N45*(K45+L45)</f>
        <v/>
      </c>
      <c r="P45" s="30" t="n">
        <v>9</v>
      </c>
    </row>
    <row r="46">
      <c r="A46" s="30" t="inlineStr">
        <is>
          <t>Gifte</t>
        </is>
      </c>
      <c r="B46" s="34" t="inlineStr">
        <is>
          <t>profan</t>
        </is>
      </c>
      <c r="C46" s="35" t="inlineStr">
        <is>
          <t>Schmerzgift</t>
        </is>
      </c>
      <c r="D46" s="36" t="n">
        <v>15</v>
      </c>
      <c r="E46" s="36" t="inlineStr">
        <is>
          <t>J</t>
        </is>
      </c>
      <c r="F46" s="34" t="inlineStr">
        <is>
          <t>Körper</t>
        </is>
      </c>
      <c r="G46" s="34" t="inlineStr">
        <is>
          <t>1  KR</t>
        </is>
      </c>
      <c r="H46" s="34" t="inlineStr">
        <is>
          <t>1  KR</t>
        </is>
      </c>
      <c r="I46" s="34" t="inlineStr">
        <is>
          <t>permanent</t>
        </is>
      </c>
      <c r="J46" s="34" t="inlineStr">
        <is>
          <t>Einmalige SB-Probe erschwert um 14</t>
        </is>
      </c>
      <c r="K46" s="36" t="n">
        <v>3</v>
      </c>
      <c r="L46" s="44" t="n">
        <v>0</v>
      </c>
      <c r="M46" t="n">
        <v>3</v>
      </c>
      <c r="N46" s="38" t="n">
        <v>1</v>
      </c>
      <c r="O46" s="38">
        <f>N46*(K46+L46)</f>
        <v/>
      </c>
      <c r="P46" s="30" t="n">
        <v>9</v>
      </c>
    </row>
    <row r="47">
      <c r="A47" s="30" t="inlineStr">
        <is>
          <t>Gifte</t>
        </is>
      </c>
      <c r="B47" s="34" t="inlineStr">
        <is>
          <t>profan</t>
        </is>
      </c>
      <c r="C47" s="35" t="inlineStr">
        <is>
          <t>Starkes Schmerzgift</t>
        </is>
      </c>
      <c r="D47" s="36" t="n">
        <v>30</v>
      </c>
      <c r="E47" s="36" t="inlineStr">
        <is>
          <t>J</t>
        </is>
      </c>
      <c r="F47" s="34" t="inlineStr">
        <is>
          <t>Körper</t>
        </is>
      </c>
      <c r="G47" s="34" t="inlineStr">
        <is>
          <t>1  KR</t>
        </is>
      </c>
      <c r="H47" s="34" t="inlineStr">
        <is>
          <t>1  KR</t>
        </is>
      </c>
      <c r="I47" s="34" t="inlineStr">
        <is>
          <t>permanent</t>
        </is>
      </c>
      <c r="J47" s="34" t="inlineStr">
        <is>
          <t>Einmalige SB-Probe erschwert um 21</t>
        </is>
      </c>
      <c r="K47" s="36" t="n">
        <v>4</v>
      </c>
      <c r="L47" s="44" t="n">
        <v>0</v>
      </c>
      <c r="M47" t="n">
        <v>4</v>
      </c>
      <c r="N47" s="38" t="n">
        <v>3</v>
      </c>
      <c r="O47" s="38">
        <f>N47*(K47+L47)</f>
        <v/>
      </c>
      <c r="P47" s="30" t="n">
        <v>15</v>
      </c>
    </row>
    <row r="48">
      <c r="A48" s="30" t="inlineStr">
        <is>
          <t>Gifte</t>
        </is>
      </c>
      <c r="B48" s="34" t="inlineStr">
        <is>
          <t>profan</t>
        </is>
      </c>
      <c r="C48" s="35" t="inlineStr">
        <is>
          <t>Leichtes Schmerzgift</t>
        </is>
      </c>
      <c r="D48" s="36" t="n">
        <v>5</v>
      </c>
      <c r="E48" s="36" t="inlineStr">
        <is>
          <t>J</t>
        </is>
      </c>
      <c r="F48" s="34" t="inlineStr">
        <is>
          <t>Körper</t>
        </is>
      </c>
      <c r="G48" s="34" t="inlineStr">
        <is>
          <t>1  KR</t>
        </is>
      </c>
      <c r="H48" s="34" t="inlineStr">
        <is>
          <t>1  KR</t>
        </is>
      </c>
      <c r="I48" s="34" t="inlineStr">
        <is>
          <t>permanent</t>
        </is>
      </c>
      <c r="J48" s="34" t="inlineStr">
        <is>
          <t>Einmalige SB-Probe erschwert um 7</t>
        </is>
      </c>
      <c r="K48" s="36" t="n">
        <v>2</v>
      </c>
      <c r="L48" s="44" t="n">
        <v>0</v>
      </c>
      <c r="M48" t="n">
        <v>2</v>
      </c>
      <c r="N48" s="38" t="n">
        <v>0.5</v>
      </c>
      <c r="O48" s="38">
        <f>N48*(K48+L48)</f>
        <v/>
      </c>
      <c r="P48" s="30" t="n">
        <v>6</v>
      </c>
    </row>
    <row r="49">
      <c r="A49" s="30" t="inlineStr">
        <is>
          <t>Heiltränke</t>
        </is>
      </c>
      <c r="B49" s="34" t="inlineStr">
        <is>
          <t>profan</t>
        </is>
      </c>
      <c r="C49" s="35" t="inlineStr">
        <is>
          <t>Leichter Erfrischungstrank</t>
        </is>
      </c>
      <c r="D49" s="36" t="n">
        <v>65</v>
      </c>
      <c r="E49" s="36" t="inlineStr">
        <is>
          <t>J</t>
        </is>
      </c>
      <c r="F49" s="34" t="inlineStr">
        <is>
          <t>Nahrung</t>
        </is>
      </c>
      <c r="G49" s="34" t="inlineStr">
        <is>
          <t>3 KR</t>
        </is>
      </c>
      <c r="H49" s="34" t="inlineStr">
        <is>
          <t>10 KR</t>
        </is>
      </c>
      <c r="I49" s="34" t="inlineStr">
        <is>
          <t>permanent</t>
        </is>
      </c>
      <c r="J49" s="34" t="inlineStr">
        <is>
          <t>Ausdauer + 2W20</t>
        </is>
      </c>
      <c r="K49" s="36" t="n">
        <v>1</v>
      </c>
      <c r="L49" s="44" t="n">
        <v>0</v>
      </c>
      <c r="M49" t="n">
        <v>1</v>
      </c>
      <c r="N49" s="38" t="n">
        <v>5</v>
      </c>
      <c r="O49" s="38">
        <f>N49*(K49+L49)</f>
        <v/>
      </c>
      <c r="P49" s="30" t="n">
        <v>6</v>
      </c>
    </row>
    <row r="50">
      <c r="A50" s="30" t="inlineStr">
        <is>
          <t>Heiltränke</t>
        </is>
      </c>
      <c r="B50" s="34" t="inlineStr">
        <is>
          <t>magisch</t>
        </is>
      </c>
      <c r="C50" s="35" t="inlineStr">
        <is>
          <t>Erfrischungstrank</t>
        </is>
      </c>
      <c r="D50" s="36" t="n">
        <v>75</v>
      </c>
      <c r="E50" s="36" t="inlineStr">
        <is>
          <t>J</t>
        </is>
      </c>
      <c r="F50" s="34" t="inlineStr">
        <is>
          <t>Nahrung</t>
        </is>
      </c>
      <c r="G50" s="34" t="inlineStr">
        <is>
          <t>Sofort</t>
        </is>
      </c>
      <c r="H50" s="34" t="inlineStr">
        <is>
          <t>Sofort</t>
        </is>
      </c>
      <c r="I50" s="34" t="inlineStr">
        <is>
          <t>permanent</t>
        </is>
      </c>
      <c r="J50" s="34" t="inlineStr">
        <is>
          <t>Ausdauer + 3W30</t>
        </is>
      </c>
      <c r="K50" s="36" t="n">
        <v>1</v>
      </c>
      <c r="L50" s="44" t="n">
        <v>0</v>
      </c>
      <c r="M50" t="n">
        <v>3</v>
      </c>
      <c r="N50" s="38" t="n">
        <v>25</v>
      </c>
      <c r="O50" s="38">
        <f>N50*(K50+L50)</f>
        <v/>
      </c>
      <c r="P50" s="30" t="n">
        <v>24</v>
      </c>
    </row>
    <row r="51">
      <c r="A51" s="30" t="inlineStr">
        <is>
          <t>Heiltränke</t>
        </is>
      </c>
      <c r="B51" s="34" t="inlineStr">
        <is>
          <t>magisch</t>
        </is>
      </c>
      <c r="C51" s="35" t="inlineStr">
        <is>
          <t>Starker Erfrischungstrank</t>
        </is>
      </c>
      <c r="D51" s="36" t="n">
        <v>85</v>
      </c>
      <c r="E51" s="36" t="inlineStr">
        <is>
          <t>J</t>
        </is>
      </c>
      <c r="F51" s="34" t="inlineStr">
        <is>
          <t>Nahrung</t>
        </is>
      </c>
      <c r="G51" s="34" t="inlineStr">
        <is>
          <t>Sofort</t>
        </is>
      </c>
      <c r="H51" s="34" t="inlineStr">
        <is>
          <t>Sofort</t>
        </is>
      </c>
      <c r="I51" s="34" t="inlineStr">
        <is>
          <t>permanent</t>
        </is>
      </c>
      <c r="J51" s="34" t="inlineStr">
        <is>
          <t>Ausdauer + 4W50</t>
        </is>
      </c>
      <c r="K51" s="36" t="n">
        <v>1</v>
      </c>
      <c r="L51" s="44" t="n">
        <v>0</v>
      </c>
      <c r="M51" t="n">
        <v>4</v>
      </c>
      <c r="N51" s="38" t="n">
        <v>250</v>
      </c>
      <c r="O51" s="38">
        <f>N51*(K51+L51)</f>
        <v/>
      </c>
      <c r="P51" s="30" t="n">
        <v>48</v>
      </c>
    </row>
    <row r="52">
      <c r="A52" s="30" t="inlineStr">
        <is>
          <t>Heiltränke</t>
        </is>
      </c>
      <c r="B52" s="34" t="inlineStr">
        <is>
          <t>profan</t>
        </is>
      </c>
      <c r="C52" s="35" t="inlineStr">
        <is>
          <t>Leichter Regitrank</t>
        </is>
      </c>
      <c r="D52" s="36" t="n">
        <v>30</v>
      </c>
      <c r="E52" s="36" t="inlineStr">
        <is>
          <t>J</t>
        </is>
      </c>
      <c r="F52" s="34" t="inlineStr">
        <is>
          <t>Nahrung</t>
        </is>
      </c>
      <c r="G52" s="34" t="inlineStr">
        <is>
          <t>30 KR</t>
        </is>
      </c>
      <c r="H52" s="34" t="inlineStr">
        <is>
          <t>10min</t>
        </is>
      </c>
      <c r="I52" s="34" t="inlineStr">
        <is>
          <t>9h</t>
        </is>
      </c>
      <c r="J52" s="34" t="inlineStr">
        <is>
          <t>Bei der nächsten natürlichen Regie +3W6 zusätzlich</t>
        </is>
      </c>
      <c r="K52" s="36" t="n">
        <v>1</v>
      </c>
      <c r="L52" s="44" t="n">
        <v>0</v>
      </c>
      <c r="M52" t="n">
        <v>1</v>
      </c>
      <c r="N52" s="38" t="n">
        <v>2.5</v>
      </c>
      <c r="O52" s="38">
        <f>N52*(K52+L52)</f>
        <v/>
      </c>
      <c r="P52" s="30" t="n">
        <v>6</v>
      </c>
    </row>
    <row r="53">
      <c r="A53" s="30" t="inlineStr">
        <is>
          <t>Heiltränke</t>
        </is>
      </c>
      <c r="B53" s="34" t="inlineStr">
        <is>
          <t>profan</t>
        </is>
      </c>
      <c r="C53" s="35" t="inlineStr">
        <is>
          <t>Regitrank</t>
        </is>
      </c>
      <c r="D53" s="36" t="n">
        <v>40</v>
      </c>
      <c r="E53" s="36" t="inlineStr">
        <is>
          <t>J</t>
        </is>
      </c>
      <c r="F53" s="34" t="inlineStr">
        <is>
          <t>Nahrung</t>
        </is>
      </c>
      <c r="G53" s="34" t="inlineStr">
        <is>
          <t>30 KR</t>
        </is>
      </c>
      <c r="H53" s="34" t="inlineStr">
        <is>
          <t>10min</t>
        </is>
      </c>
      <c r="I53" s="34" t="inlineStr">
        <is>
          <t>9h</t>
        </is>
      </c>
      <c r="J53" s="34" t="inlineStr">
        <is>
          <t>Bei der nächsten natürlichen Regie +4W8 zusätzlich</t>
        </is>
      </c>
      <c r="K53" s="36" t="n">
        <v>1</v>
      </c>
      <c r="L53" s="44" t="n">
        <v>0</v>
      </c>
      <c r="M53" t="n">
        <v>1</v>
      </c>
      <c r="N53" s="38" t="n">
        <v>10</v>
      </c>
      <c r="O53" s="38">
        <f>N53*(K53+L53)</f>
        <v/>
      </c>
      <c r="P53" s="30" t="n">
        <v>9</v>
      </c>
    </row>
    <row r="54">
      <c r="A54" s="30" t="inlineStr">
        <is>
          <t>Heiltränke</t>
        </is>
      </c>
      <c r="B54" s="34" t="inlineStr">
        <is>
          <t>profan</t>
        </is>
      </c>
      <c r="C54" s="35" t="inlineStr">
        <is>
          <t>Starker Regitrank</t>
        </is>
      </c>
      <c r="D54" s="36" t="n">
        <v>50</v>
      </c>
      <c r="E54" s="36" t="inlineStr">
        <is>
          <t>J</t>
        </is>
      </c>
      <c r="F54" s="34" t="inlineStr">
        <is>
          <t>Nahrung</t>
        </is>
      </c>
      <c r="G54" s="34" t="inlineStr">
        <is>
          <t>30 KR</t>
        </is>
      </c>
      <c r="H54" s="34" t="inlineStr">
        <is>
          <t>10min</t>
        </is>
      </c>
      <c r="I54" s="34" t="inlineStr">
        <is>
          <t>9h</t>
        </is>
      </c>
      <c r="J54" s="34" t="inlineStr">
        <is>
          <t>Bei der nächsten natürlichen Regie +5W12 zusätzlich</t>
        </is>
      </c>
      <c r="K54" s="36" t="n">
        <v>1</v>
      </c>
      <c r="L54" s="44" t="n">
        <v>0</v>
      </c>
      <c r="M54" t="n">
        <v>1</v>
      </c>
      <c r="N54" s="38" t="n">
        <v>40</v>
      </c>
      <c r="O54" s="38">
        <f>N54*(K54+L54)</f>
        <v/>
      </c>
      <c r="P54" s="30" t="n">
        <v>15</v>
      </c>
    </row>
    <row r="55">
      <c r="A55" s="30" t="inlineStr">
        <is>
          <t>Heiltränke</t>
        </is>
      </c>
      <c r="B55" s="34" t="inlineStr">
        <is>
          <t>magisch</t>
        </is>
      </c>
      <c r="C55" s="35" t="inlineStr">
        <is>
          <t>Leichte Heilsalbe</t>
        </is>
      </c>
      <c r="D55" s="36" t="n">
        <v>30</v>
      </c>
      <c r="E55" s="36" t="inlineStr">
        <is>
          <t>J</t>
        </is>
      </c>
      <c r="F55" s="34" t="inlineStr">
        <is>
          <t>Kontakt</t>
        </is>
      </c>
      <c r="G55" s="34" t="inlineStr">
        <is>
          <t>1 KR</t>
        </is>
      </c>
      <c r="H55" s="34" t="inlineStr">
        <is>
          <t>30 KR</t>
        </is>
      </c>
      <c r="I55" s="34" t="inlineStr">
        <is>
          <t>permanent</t>
        </is>
      </c>
      <c r="J55" s="34" t="inlineStr">
        <is>
          <t>Der Charakter wird auf einer TZ um LE+2W6 geheilt.</t>
        </is>
      </c>
      <c r="K55" s="36" t="n">
        <v>1</v>
      </c>
      <c r="L55" s="44" t="n">
        <v>0</v>
      </c>
      <c r="M55" t="n">
        <v>2</v>
      </c>
      <c r="N55" s="38" t="n">
        <v>5</v>
      </c>
      <c r="O55" s="38">
        <f>N55*(K55+L55)</f>
        <v/>
      </c>
      <c r="P55" s="30" t="n">
        <v>12</v>
      </c>
    </row>
    <row r="56">
      <c r="A56" s="30" t="inlineStr">
        <is>
          <t>Heiltränke</t>
        </is>
      </c>
      <c r="B56" s="34" t="inlineStr">
        <is>
          <t>magisch</t>
        </is>
      </c>
      <c r="C56" s="35" t="inlineStr">
        <is>
          <t>Heilsalbe</t>
        </is>
      </c>
      <c r="D56" s="36" t="n">
        <v>40</v>
      </c>
      <c r="E56" s="36" t="inlineStr">
        <is>
          <t>J</t>
        </is>
      </c>
      <c r="F56" s="34" t="inlineStr">
        <is>
          <t>Kontakt</t>
        </is>
      </c>
      <c r="G56" s="34" t="inlineStr">
        <is>
          <t>1 KR</t>
        </is>
      </c>
      <c r="H56" s="34" t="inlineStr">
        <is>
          <t>30 KR</t>
        </is>
      </c>
      <c r="I56" s="34" t="inlineStr">
        <is>
          <t>permanent</t>
        </is>
      </c>
      <c r="J56" s="34" t="inlineStr">
        <is>
          <t>Der Charakter wird auf einer TZ um LE+3W8 geheilt.</t>
        </is>
      </c>
      <c r="K56" s="36" t="n">
        <v>1</v>
      </c>
      <c r="L56" s="44" t="n">
        <v>0</v>
      </c>
      <c r="M56" t="n">
        <v>3</v>
      </c>
      <c r="N56" s="38" t="n">
        <v>20</v>
      </c>
      <c r="O56" s="38">
        <f>N56*(K56+L56)</f>
        <v/>
      </c>
      <c r="P56" s="30" t="n">
        <v>18</v>
      </c>
    </row>
    <row r="57">
      <c r="A57" s="30" t="inlineStr">
        <is>
          <t>Heiltränke</t>
        </is>
      </c>
      <c r="B57" s="34" t="inlineStr">
        <is>
          <t>magisch</t>
        </is>
      </c>
      <c r="C57" s="35" t="inlineStr">
        <is>
          <t>Starke Heilsalbe</t>
        </is>
      </c>
      <c r="D57" s="36" t="n">
        <v>50</v>
      </c>
      <c r="E57" s="36" t="inlineStr">
        <is>
          <t>J</t>
        </is>
      </c>
      <c r="F57" s="34" t="inlineStr">
        <is>
          <t>Kontakt</t>
        </is>
      </c>
      <c r="G57" s="34" t="inlineStr">
        <is>
          <t>1 KR</t>
        </is>
      </c>
      <c r="H57" s="34" t="inlineStr">
        <is>
          <t>30 KR</t>
        </is>
      </c>
      <c r="I57" s="34" t="inlineStr">
        <is>
          <t>permanent</t>
        </is>
      </c>
      <c r="J57" s="34" t="inlineStr">
        <is>
          <t>Der Charakter wird auf einer TZ um LE+4W12 geheilt.</t>
        </is>
      </c>
      <c r="K57" s="36" t="n">
        <v>1</v>
      </c>
      <c r="L57" s="44" t="n">
        <v>0</v>
      </c>
      <c r="M57" t="n">
        <v>4</v>
      </c>
      <c r="N57" s="38" t="n">
        <v>125</v>
      </c>
      <c r="O57" s="38">
        <f>N57*(K57+L57)</f>
        <v/>
      </c>
      <c r="P57" s="30" t="n">
        <v>30</v>
      </c>
    </row>
    <row r="58">
      <c r="A58" s="30" t="inlineStr">
        <is>
          <t>Heiltränke</t>
        </is>
      </c>
      <c r="B58" s="34" t="inlineStr">
        <is>
          <t>magisch</t>
        </is>
      </c>
      <c r="C58" s="35" t="inlineStr">
        <is>
          <t>Leichter Allheilmittel</t>
        </is>
      </c>
      <c r="D58" s="36" t="n">
        <v>55</v>
      </c>
      <c r="E58" s="36" t="inlineStr">
        <is>
          <t>J</t>
        </is>
      </c>
      <c r="F58" s="34" t="inlineStr">
        <is>
          <t>Nahrung</t>
        </is>
      </c>
      <c r="G58" s="34" t="inlineStr">
        <is>
          <t>1 KR</t>
        </is>
      </c>
      <c r="H58" s="34" t="inlineStr">
        <is>
          <t>30min</t>
        </is>
      </c>
      <c r="I58" s="34" t="inlineStr">
        <is>
          <t>permanent</t>
        </is>
      </c>
      <c r="J58" s="34" t="inlineStr">
        <is>
          <t>Kuriert jede unmagische Krankheit.</t>
        </is>
      </c>
      <c r="K58" s="36" t="n">
        <v>1</v>
      </c>
      <c r="L58" s="44" t="n">
        <v>0</v>
      </c>
      <c r="M58" t="n">
        <v>3</v>
      </c>
      <c r="N58" s="38" t="n">
        <v>250</v>
      </c>
      <c r="O58" s="38">
        <f>N58*(K58+L58)</f>
        <v/>
      </c>
      <c r="P58" s="30" t="n">
        <v>24</v>
      </c>
    </row>
    <row r="59">
      <c r="A59" s="30" t="inlineStr">
        <is>
          <t>Heiltränke</t>
        </is>
      </c>
      <c r="B59" s="34" t="inlineStr">
        <is>
          <t>magisch</t>
        </is>
      </c>
      <c r="C59" s="35" t="inlineStr">
        <is>
          <t>Starke Allheilmittel</t>
        </is>
      </c>
      <c r="D59" s="36" t="n">
        <v>65</v>
      </c>
      <c r="E59" s="36" t="inlineStr">
        <is>
          <t>J</t>
        </is>
      </c>
      <c r="F59" s="34" t="inlineStr">
        <is>
          <t>Nahrung</t>
        </is>
      </c>
      <c r="G59" s="34" t="inlineStr">
        <is>
          <t>1 KR</t>
        </is>
      </c>
      <c r="H59" s="34" t="inlineStr">
        <is>
          <t>30min</t>
        </is>
      </c>
      <c r="I59" s="34" t="inlineStr">
        <is>
          <t>permanent</t>
        </is>
      </c>
      <c r="J59" s="34" t="inlineStr">
        <is>
          <t>Kuriert jede unmagische und magische Krankheit.</t>
        </is>
      </c>
      <c r="K59" s="36" t="n">
        <v>1</v>
      </c>
      <c r="L59" s="44" t="n">
        <v>0</v>
      </c>
      <c r="M59" t="n">
        <v>6</v>
      </c>
      <c r="N59" s="38" t="n">
        <v>2500</v>
      </c>
      <c r="O59" s="38">
        <f>N59*(K59+L59)</f>
        <v/>
      </c>
      <c r="P59" s="30" t="n">
        <v>48</v>
      </c>
    </row>
    <row r="60">
      <c r="A60" s="30" t="inlineStr">
        <is>
          <t>Heiltränke</t>
        </is>
      </c>
      <c r="B60" s="34" t="inlineStr">
        <is>
          <t>magisch</t>
        </is>
      </c>
      <c r="C60" s="35" t="inlineStr">
        <is>
          <t>Starke Ambrosia</t>
        </is>
      </c>
      <c r="D60" s="36" t="n">
        <v>80</v>
      </c>
      <c r="E60" s="36" t="inlineStr">
        <is>
          <t>J</t>
        </is>
      </c>
      <c r="F60" s="34" t="inlineStr">
        <is>
          <t>Nahrung</t>
        </is>
      </c>
      <c r="G60" s="34" t="inlineStr">
        <is>
          <t>7 KR</t>
        </is>
      </c>
      <c r="H60" s="34" t="inlineStr">
        <is>
          <t>7min</t>
        </is>
      </c>
      <c r="I60" s="34" t="inlineStr">
        <is>
          <t>permanent</t>
        </is>
      </c>
      <c r="J60" s="34" t="inlineStr">
        <is>
          <t>Man wird binnen 24h, 1W12+3 Jahre Jünger</t>
        </is>
      </c>
      <c r="K60" s="36" t="n">
        <v>2</v>
      </c>
      <c r="L60" s="44" t="n">
        <v>0</v>
      </c>
      <c r="M60" t="n">
        <v>7</v>
      </c>
      <c r="N60" s="38" t="n">
        <v>1500</v>
      </c>
      <c r="O60" s="38">
        <f>N60*(K60+L60)</f>
        <v/>
      </c>
      <c r="P60" s="30" t="n">
        <v>150</v>
      </c>
    </row>
    <row r="61">
      <c r="A61" s="30" t="inlineStr">
        <is>
          <t>Heiltränke</t>
        </is>
      </c>
      <c r="B61" s="34" t="inlineStr">
        <is>
          <t>magisch</t>
        </is>
      </c>
      <c r="C61" s="35" t="inlineStr">
        <is>
          <t>Mächtiges Ambrosia</t>
        </is>
      </c>
      <c r="D61" s="36" t="n">
        <v>90</v>
      </c>
      <c r="E61" s="36" t="inlineStr">
        <is>
          <t>J</t>
        </is>
      </c>
      <c r="F61" s="34" t="inlineStr">
        <is>
          <t>Nahrung</t>
        </is>
      </c>
      <c r="G61" s="34" t="inlineStr">
        <is>
          <t>7 KR</t>
        </is>
      </c>
      <c r="H61" s="34" t="inlineStr">
        <is>
          <t>7min</t>
        </is>
      </c>
      <c r="I61" s="34" t="inlineStr">
        <is>
          <t>permanent</t>
        </is>
      </c>
      <c r="J61" s="34" t="inlineStr">
        <is>
          <t>Man wird binnen 24h, 1W20+4 Jahre Jünger</t>
        </is>
      </c>
      <c r="K61" s="36" t="n">
        <v>3</v>
      </c>
      <c r="L61" s="44" t="n">
        <v>0</v>
      </c>
      <c r="M61" t="n">
        <v>7</v>
      </c>
      <c r="N61" s="38" t="n">
        <v>2000</v>
      </c>
      <c r="O61" s="38">
        <f>N61*(K61+L61)</f>
        <v/>
      </c>
      <c r="P61" s="30" t="n">
        <v>240</v>
      </c>
    </row>
    <row r="62">
      <c r="A62" s="30" t="inlineStr">
        <is>
          <t>Heiltränke</t>
        </is>
      </c>
      <c r="B62" s="34" t="inlineStr">
        <is>
          <t>magisch</t>
        </is>
      </c>
      <c r="C62" s="35" t="inlineStr">
        <is>
          <t>Leichtes Ambrosia</t>
        </is>
      </c>
      <c r="D62" s="36" t="n">
        <v>60</v>
      </c>
      <c r="E62" s="36" t="inlineStr">
        <is>
          <t>J</t>
        </is>
      </c>
      <c r="F62" s="34" t="inlineStr">
        <is>
          <t>Nahrung</t>
        </is>
      </c>
      <c r="G62" s="34" t="inlineStr">
        <is>
          <t>7 KR</t>
        </is>
      </c>
      <c r="H62" s="34" t="inlineStr">
        <is>
          <t>7min</t>
        </is>
      </c>
      <c r="I62" s="34" t="inlineStr">
        <is>
          <t>permanent</t>
        </is>
      </c>
      <c r="J62" s="34" t="inlineStr">
        <is>
          <t>Man wird binnen 24h, 1W4+1 Jahre Jünger</t>
        </is>
      </c>
      <c r="K62" s="36" t="n">
        <v>1</v>
      </c>
      <c r="L62" s="44" t="n">
        <v>0</v>
      </c>
      <c r="M62" t="n">
        <v>5</v>
      </c>
      <c r="N62" s="38" t="n">
        <v>500</v>
      </c>
      <c r="O62" s="38">
        <f>N62*(K62+L62)</f>
        <v/>
      </c>
      <c r="P62" s="30" t="n">
        <v>60</v>
      </c>
    </row>
    <row r="63">
      <c r="A63" s="30" t="inlineStr">
        <is>
          <t>Heiltränke</t>
        </is>
      </c>
      <c r="B63" s="34" t="inlineStr">
        <is>
          <t>magisch</t>
        </is>
      </c>
      <c r="C63" s="35" t="inlineStr">
        <is>
          <t>Ambrosia</t>
        </is>
      </c>
      <c r="D63" s="36" t="n">
        <v>70</v>
      </c>
      <c r="E63" s="36" t="inlineStr">
        <is>
          <t>J</t>
        </is>
      </c>
      <c r="F63" s="34" t="inlineStr">
        <is>
          <t>Nahrung</t>
        </is>
      </c>
      <c r="G63" s="34" t="inlineStr">
        <is>
          <t>7 KR</t>
        </is>
      </c>
      <c r="H63" s="34" t="inlineStr">
        <is>
          <t>7min</t>
        </is>
      </c>
      <c r="I63" s="34" t="inlineStr">
        <is>
          <t>permanent</t>
        </is>
      </c>
      <c r="J63" s="34" t="inlineStr">
        <is>
          <t>Man wird binnen 24h, 1W8+2 Jahre Jünger</t>
        </is>
      </c>
      <c r="K63" s="36" t="n">
        <v>1</v>
      </c>
      <c r="L63" s="44" t="n">
        <v>0</v>
      </c>
      <c r="M63" t="n">
        <v>6</v>
      </c>
      <c r="N63" s="38" t="n">
        <v>1000</v>
      </c>
      <c r="O63" s="38">
        <f>N63*(K63+L63)</f>
        <v/>
      </c>
      <c r="P63" s="30" t="n">
        <v>90</v>
      </c>
    </row>
    <row r="64">
      <c r="A64" s="30" t="inlineStr">
        <is>
          <t>Heiltränke</t>
        </is>
      </c>
      <c r="B64" s="34" t="inlineStr">
        <is>
          <t>profan</t>
        </is>
      </c>
      <c r="C64" s="35" t="inlineStr">
        <is>
          <t xml:space="preserve">Leichtes Antidot </t>
        </is>
      </c>
      <c r="D64" s="36" t="n">
        <v>65</v>
      </c>
      <c r="E64" s="36" t="inlineStr">
        <is>
          <t>J</t>
        </is>
      </c>
      <c r="F64" s="34" t="inlineStr">
        <is>
          <t>Nahrung</t>
        </is>
      </c>
      <c r="G64" s="34" t="inlineStr">
        <is>
          <t>1 KR</t>
        </is>
      </c>
      <c r="H64" s="34" t="inlineStr">
        <is>
          <t>3 KR</t>
        </is>
      </c>
      <c r="I64" s="34" t="inlineStr">
        <is>
          <t>3h</t>
        </is>
      </c>
      <c r="J64" s="34" t="inlineStr">
        <is>
          <t>Nach Eintritt der Wirkung, 3KR nach der Einnahme, wird eine neue Alchemieresistenz-Probe mit Alchemieresistenz +25 abgelegt.</t>
        </is>
      </c>
      <c r="K64" s="36" t="n">
        <v>1</v>
      </c>
      <c r="L64" s="44" t="n">
        <v>0</v>
      </c>
      <c r="M64" t="n">
        <v>1</v>
      </c>
      <c r="N64" s="38" t="n">
        <v>25</v>
      </c>
      <c r="O64" s="38">
        <f>N64*(K64+L64)</f>
        <v/>
      </c>
      <c r="P64" s="30" t="n">
        <v>10</v>
      </c>
    </row>
    <row r="65">
      <c r="A65" s="30" t="inlineStr">
        <is>
          <t>Heiltränke</t>
        </is>
      </c>
      <c r="B65" s="34" t="inlineStr">
        <is>
          <t>profan</t>
        </is>
      </c>
      <c r="C65" s="35" t="inlineStr">
        <is>
          <t>Antidot</t>
        </is>
      </c>
      <c r="D65" s="36" t="n">
        <v>75</v>
      </c>
      <c r="E65" s="36" t="inlineStr">
        <is>
          <t>J</t>
        </is>
      </c>
      <c r="F65" s="34" t="inlineStr">
        <is>
          <t>Nahrung</t>
        </is>
      </c>
      <c r="G65" s="34" t="inlineStr">
        <is>
          <t>1 KR</t>
        </is>
      </c>
      <c r="H65" s="34" t="inlineStr">
        <is>
          <t>3 KR</t>
        </is>
      </c>
      <c r="I65" s="34" t="inlineStr">
        <is>
          <t>3h</t>
        </is>
      </c>
      <c r="J65" s="34" t="inlineStr">
        <is>
          <t>Nach Eintritt der Wirkung, 3KR nach der Einnahme, wird eine neue Alchemieresistenz-Probe mit Alchemieresistenz +35 abgelegt.</t>
        </is>
      </c>
      <c r="K65" s="36" t="n">
        <v>1</v>
      </c>
      <c r="L65" s="44" t="n">
        <v>0</v>
      </c>
      <c r="M65" t="n">
        <v>3</v>
      </c>
      <c r="N65" s="38" t="n">
        <v>50</v>
      </c>
      <c r="O65" s="38">
        <f>N65*(K65+L65)</f>
        <v/>
      </c>
      <c r="P65" s="30" t="n">
        <v>15</v>
      </c>
    </row>
    <row r="66">
      <c r="A66" s="30" t="inlineStr">
        <is>
          <t>Heiltränke</t>
        </is>
      </c>
      <c r="B66" s="34" t="inlineStr">
        <is>
          <t>profan</t>
        </is>
      </c>
      <c r="C66" s="35" t="inlineStr">
        <is>
          <t>Starke Antidot</t>
        </is>
      </c>
      <c r="D66" s="36" t="n">
        <v>85</v>
      </c>
      <c r="E66" s="36" t="inlineStr">
        <is>
          <t>J</t>
        </is>
      </c>
      <c r="F66" s="34" t="inlineStr">
        <is>
          <t>Nahrung</t>
        </is>
      </c>
      <c r="G66" s="34" t="inlineStr">
        <is>
          <t>1 KR</t>
        </is>
      </c>
      <c r="H66" s="34" t="inlineStr">
        <is>
          <t>3 KR</t>
        </is>
      </c>
      <c r="I66" s="34" t="inlineStr">
        <is>
          <t>3h</t>
        </is>
      </c>
      <c r="J66" s="34" t="inlineStr">
        <is>
          <t>Nach Eintritt der Wirkung, 3KR nach der Einnahme, wird eine neue Alchemieresistenz-Probe mit Alchemieresistenz +45 abgelegt.</t>
        </is>
      </c>
      <c r="K66" s="36" t="n">
        <v>1</v>
      </c>
      <c r="L66" s="44" t="n">
        <v>0</v>
      </c>
      <c r="M66" t="n">
        <v>5</v>
      </c>
      <c r="N66" s="38" t="n">
        <v>100</v>
      </c>
      <c r="O66" s="38">
        <f>N66*(K66+L66)</f>
        <v/>
      </c>
      <c r="P66" s="30" t="n">
        <v>25</v>
      </c>
    </row>
    <row r="67">
      <c r="A67" s="30" t="inlineStr">
        <is>
          <t>Heiltränke</t>
        </is>
      </c>
      <c r="B67" s="34" t="inlineStr">
        <is>
          <t>magisch</t>
        </is>
      </c>
      <c r="C67" s="35" t="inlineStr">
        <is>
          <t>Leichter  Nahrungstrank</t>
        </is>
      </c>
      <c r="D67" s="36" t="n">
        <v>35</v>
      </c>
      <c r="E67" s="36" t="inlineStr">
        <is>
          <t>J</t>
        </is>
      </c>
      <c r="F67" s="34" t="inlineStr">
        <is>
          <t>Nahrung</t>
        </is>
      </c>
      <c r="G67" s="34" t="inlineStr">
        <is>
          <t>Sofort</t>
        </is>
      </c>
      <c r="H67" s="34" t="inlineStr">
        <is>
          <t>Sofort</t>
        </is>
      </c>
      <c r="I67" s="34" t="inlineStr">
        <is>
          <t>1d</t>
        </is>
      </c>
      <c r="J67" s="34" t="inlineStr">
        <is>
          <t>Satt und Genährt für 1 Tag</t>
        </is>
      </c>
      <c r="K67" s="36" t="n">
        <v>1</v>
      </c>
      <c r="L67" s="44" t="n">
        <v>0</v>
      </c>
      <c r="M67" t="n">
        <v>2</v>
      </c>
      <c r="N67" s="38" t="n">
        <v>5</v>
      </c>
      <c r="O67" s="38">
        <f>N67*(K67+L67)</f>
        <v/>
      </c>
      <c r="P67" s="30" t="n">
        <v>18</v>
      </c>
    </row>
    <row r="68">
      <c r="A68" s="30" t="inlineStr">
        <is>
          <t>Heiltränke</t>
        </is>
      </c>
      <c r="B68" s="34" t="inlineStr">
        <is>
          <t>magisch</t>
        </is>
      </c>
      <c r="C68" s="35" t="inlineStr">
        <is>
          <t>Nahrungst.</t>
        </is>
      </c>
      <c r="D68" s="36" t="n">
        <v>45</v>
      </c>
      <c r="E68" s="36" t="inlineStr">
        <is>
          <t>J</t>
        </is>
      </c>
      <c r="F68" s="34" t="inlineStr">
        <is>
          <t>Nahrung</t>
        </is>
      </c>
      <c r="G68" s="34" t="inlineStr">
        <is>
          <t>Sofort</t>
        </is>
      </c>
      <c r="H68" s="34" t="inlineStr">
        <is>
          <t>Sofort</t>
        </is>
      </c>
      <c r="I68" s="34" t="inlineStr">
        <is>
          <t>3d</t>
        </is>
      </c>
      <c r="J68" s="34" t="inlineStr">
        <is>
          <t>Satt und Genährt für 3 Tage</t>
        </is>
      </c>
      <c r="K68" s="36" t="n">
        <v>1</v>
      </c>
      <c r="L68" s="44" t="n">
        <v>0</v>
      </c>
      <c r="M68" t="n">
        <v>3</v>
      </c>
      <c r="N68" s="38" t="n">
        <v>20</v>
      </c>
      <c r="O68" s="38">
        <f>N68*(K68+L68)</f>
        <v/>
      </c>
      <c r="P68" s="30" t="n">
        <v>27</v>
      </c>
    </row>
    <row r="69">
      <c r="A69" s="30" t="inlineStr">
        <is>
          <t>Heiltränke</t>
        </is>
      </c>
      <c r="B69" s="34" t="inlineStr">
        <is>
          <t>magisch</t>
        </is>
      </c>
      <c r="C69" s="35" t="inlineStr">
        <is>
          <t>Starker Nahrungstrank</t>
        </is>
      </c>
      <c r="D69" s="36" t="n">
        <v>55</v>
      </c>
      <c r="E69" s="36" t="inlineStr">
        <is>
          <t>J</t>
        </is>
      </c>
      <c r="F69" s="34" t="inlineStr">
        <is>
          <t>Nahrung</t>
        </is>
      </c>
      <c r="G69" s="34" t="inlineStr">
        <is>
          <t>Sofort</t>
        </is>
      </c>
      <c r="H69" s="34" t="inlineStr">
        <is>
          <t>Sofort</t>
        </is>
      </c>
      <c r="I69" s="34" t="inlineStr">
        <is>
          <t>7d</t>
        </is>
      </c>
      <c r="J69" s="34" t="inlineStr">
        <is>
          <t>Satt und Genährt für 7 Tage</t>
        </is>
      </c>
      <c r="K69" s="36" t="n">
        <v>1</v>
      </c>
      <c r="L69" s="44" t="n">
        <v>0</v>
      </c>
      <c r="M69" t="n">
        <v>4</v>
      </c>
      <c r="N69" s="38" t="n">
        <v>50</v>
      </c>
      <c r="O69" s="38">
        <f>N69*(K69+L69)</f>
        <v/>
      </c>
      <c r="P69" s="30" t="n">
        <v>45</v>
      </c>
    </row>
    <row r="70">
      <c r="A70" s="30" t="inlineStr">
        <is>
          <t>Heiltränke</t>
        </is>
      </c>
      <c r="B70" s="34" t="inlineStr">
        <is>
          <t>magisch</t>
        </is>
      </c>
      <c r="C70" s="35" t="inlineStr">
        <is>
          <t>Leichter Gesundheitstrank</t>
        </is>
      </c>
      <c r="D70" s="36" t="n">
        <v>40</v>
      </c>
      <c r="E70" s="36" t="inlineStr">
        <is>
          <t>J</t>
        </is>
      </c>
      <c r="F70" s="34" t="inlineStr">
        <is>
          <t>Nahrung</t>
        </is>
      </c>
      <c r="G70" s="34" t="inlineStr">
        <is>
          <t>Sofort</t>
        </is>
      </c>
      <c r="H70" s="34" t="inlineStr">
        <is>
          <t>Sofort</t>
        </is>
      </c>
      <c r="I70" s="34" t="inlineStr">
        <is>
          <t>permanent</t>
        </is>
      </c>
      <c r="J70" s="34" t="inlineStr">
        <is>
          <t>Sofort Gesundheit +1W6, auch aus dem minus</t>
        </is>
      </c>
      <c r="K70" s="36" t="n">
        <v>1</v>
      </c>
      <c r="L70" s="44" t="n">
        <v>0</v>
      </c>
      <c r="M70" t="n">
        <v>3</v>
      </c>
      <c r="N70" s="38" t="n">
        <v>100</v>
      </c>
      <c r="O70" s="38">
        <f>N70*(K70+L70)</f>
        <v/>
      </c>
      <c r="P70" s="30" t="n">
        <v>30</v>
      </c>
    </row>
    <row r="71">
      <c r="A71" s="30" t="inlineStr">
        <is>
          <t>Heiltränke</t>
        </is>
      </c>
      <c r="B71" s="34" t="inlineStr">
        <is>
          <t>magisch</t>
        </is>
      </c>
      <c r="C71" s="35" t="inlineStr">
        <is>
          <t>Gesundheitstrank</t>
        </is>
      </c>
      <c r="D71" s="36" t="n">
        <v>45</v>
      </c>
      <c r="E71" s="36" t="inlineStr">
        <is>
          <t>J</t>
        </is>
      </c>
      <c r="F71" s="34" t="inlineStr">
        <is>
          <t>Nahrung</t>
        </is>
      </c>
      <c r="G71" s="34" t="inlineStr">
        <is>
          <t>Sofort</t>
        </is>
      </c>
      <c r="H71" s="34" t="inlineStr">
        <is>
          <t>Sofort</t>
        </is>
      </c>
      <c r="I71" s="34" t="inlineStr">
        <is>
          <t>permanent</t>
        </is>
      </c>
      <c r="J71" s="34" t="inlineStr">
        <is>
          <t>Sofort Gesundheit +2W6, auch aus dem minus</t>
        </is>
      </c>
      <c r="K71" s="36" t="n">
        <v>1</v>
      </c>
      <c r="L71" s="44" t="n">
        <v>0</v>
      </c>
      <c r="M71" t="n">
        <v>4</v>
      </c>
      <c r="N71" s="38" t="n">
        <v>250</v>
      </c>
      <c r="O71" s="38">
        <f>N71*(K71+L71)</f>
        <v/>
      </c>
      <c r="P71" s="30" t="n">
        <v>45</v>
      </c>
    </row>
    <row r="72">
      <c r="A72" s="30" t="inlineStr">
        <is>
          <t>Heiltränke</t>
        </is>
      </c>
      <c r="B72" s="34" t="inlineStr">
        <is>
          <t>magisch</t>
        </is>
      </c>
      <c r="C72" s="35" t="inlineStr">
        <is>
          <t>Starker Gesundheitstrank</t>
        </is>
      </c>
      <c r="D72" s="36" t="n">
        <v>50</v>
      </c>
      <c r="E72" s="36" t="inlineStr">
        <is>
          <t>J</t>
        </is>
      </c>
      <c r="F72" s="34" t="inlineStr">
        <is>
          <t>Nahrung</t>
        </is>
      </c>
      <c r="G72" s="34" t="inlineStr">
        <is>
          <t>Sofort</t>
        </is>
      </c>
      <c r="H72" s="34" t="inlineStr">
        <is>
          <t>Sofort</t>
        </is>
      </c>
      <c r="I72" s="34" t="inlineStr">
        <is>
          <t>permanent</t>
        </is>
      </c>
      <c r="J72" s="34" t="inlineStr">
        <is>
          <t>Sofort Gesundheit +3W6, auch aus dem minus</t>
        </is>
      </c>
      <c r="K72" s="36" t="n">
        <v>1</v>
      </c>
      <c r="L72" s="44" t="n">
        <v>0</v>
      </c>
      <c r="M72" t="n">
        <v>5</v>
      </c>
      <c r="N72" s="38" t="n">
        <v>750</v>
      </c>
      <c r="O72" s="38">
        <f>N72*(K72+L72)</f>
        <v/>
      </c>
      <c r="P72" s="30" t="n">
        <v>75</v>
      </c>
    </row>
    <row r="73">
      <c r="A73" s="30" t="inlineStr">
        <is>
          <t>Heiltränke</t>
        </is>
      </c>
      <c r="B73" s="34" t="inlineStr">
        <is>
          <t>magisch</t>
        </is>
      </c>
      <c r="C73" s="35" t="inlineStr">
        <is>
          <t>Leichter Heiltrank</t>
        </is>
      </c>
      <c r="D73" s="36" t="n">
        <v>35</v>
      </c>
      <c r="E73" s="36" t="inlineStr">
        <is>
          <t>J</t>
        </is>
      </c>
      <c r="F73" s="34" t="inlineStr">
        <is>
          <t>Nahrung</t>
        </is>
      </c>
      <c r="G73" s="34" t="inlineStr">
        <is>
          <t>Sofort</t>
        </is>
      </c>
      <c r="H73" s="34" t="inlineStr">
        <is>
          <t>Sofort</t>
        </is>
      </c>
      <c r="I73" s="34" t="inlineStr">
        <is>
          <t>permanent</t>
        </is>
      </c>
      <c r="J73" s="34" t="inlineStr">
        <is>
          <t>Sofort LE +2W6, außer Gesundheit</t>
        </is>
      </c>
      <c r="K73" s="36" t="n">
        <v>1</v>
      </c>
      <c r="L73" s="44" t="n">
        <v>0</v>
      </c>
      <c r="M73" t="n">
        <v>2</v>
      </c>
      <c r="N73" s="38" t="n">
        <v>12.5</v>
      </c>
      <c r="O73" s="38">
        <f>N73*(K73+L73)</f>
        <v/>
      </c>
      <c r="P73" s="30" t="n">
        <v>24</v>
      </c>
    </row>
    <row r="74">
      <c r="A74" s="30" t="inlineStr">
        <is>
          <t>Heiltränke</t>
        </is>
      </c>
      <c r="B74" s="34" t="inlineStr">
        <is>
          <t>magisch</t>
        </is>
      </c>
      <c r="C74" s="35" t="inlineStr">
        <is>
          <t>Heiltrank</t>
        </is>
      </c>
      <c r="D74" s="36" t="n">
        <v>45</v>
      </c>
      <c r="E74" s="36" t="inlineStr">
        <is>
          <t>J</t>
        </is>
      </c>
      <c r="F74" s="34" t="inlineStr">
        <is>
          <t>Nahrung</t>
        </is>
      </c>
      <c r="G74" s="34" t="inlineStr">
        <is>
          <t>Sofort</t>
        </is>
      </c>
      <c r="H74" s="34" t="inlineStr">
        <is>
          <t>Sofort</t>
        </is>
      </c>
      <c r="I74" s="34" t="inlineStr">
        <is>
          <t>permanent</t>
        </is>
      </c>
      <c r="J74" s="34" t="inlineStr">
        <is>
          <t>Sofort LE +3W8, außer Gesundheit</t>
        </is>
      </c>
      <c r="K74" s="36" t="n">
        <v>1</v>
      </c>
      <c r="L74" s="44" t="n">
        <v>0</v>
      </c>
      <c r="M74" t="n">
        <v>3</v>
      </c>
      <c r="N74" s="38" t="n">
        <v>50</v>
      </c>
      <c r="O74" s="38">
        <f>N74*(K74+L74)</f>
        <v/>
      </c>
      <c r="P74" s="30" t="n">
        <v>36</v>
      </c>
    </row>
    <row r="75">
      <c r="A75" s="30" t="inlineStr">
        <is>
          <t>Heiltränke</t>
        </is>
      </c>
      <c r="B75" s="34" t="inlineStr">
        <is>
          <t>magisch</t>
        </is>
      </c>
      <c r="C75" s="35" t="inlineStr">
        <is>
          <t>Starker Heiltrank</t>
        </is>
      </c>
      <c r="D75" s="36" t="n">
        <v>55</v>
      </c>
      <c r="E75" s="36" t="inlineStr">
        <is>
          <t>J</t>
        </is>
      </c>
      <c r="F75" s="34" t="inlineStr">
        <is>
          <t>Nahrung</t>
        </is>
      </c>
      <c r="G75" s="34" t="inlineStr">
        <is>
          <t>Sofort</t>
        </is>
      </c>
      <c r="H75" s="34" t="inlineStr">
        <is>
          <t>Sofort</t>
        </is>
      </c>
      <c r="I75" s="34" t="inlineStr">
        <is>
          <t>permanent</t>
        </is>
      </c>
      <c r="J75" s="34" t="inlineStr">
        <is>
          <t>Sofort LE +4W12, außer Gesundheit</t>
        </is>
      </c>
      <c r="K75" s="36" t="n">
        <v>1</v>
      </c>
      <c r="L75" s="44" t="n">
        <v>0</v>
      </c>
      <c r="M75" t="n">
        <v>4</v>
      </c>
      <c r="N75" s="38" t="n">
        <v>200</v>
      </c>
      <c r="O75" s="38">
        <f>N75*(K75+L75)</f>
        <v/>
      </c>
      <c r="P75" s="30" t="n">
        <v>60</v>
      </c>
    </row>
    <row r="76">
      <c r="A76" s="30" t="inlineStr">
        <is>
          <t>Heiltränke</t>
        </is>
      </c>
      <c r="B76" s="34" t="inlineStr">
        <is>
          <t>magisch</t>
        </is>
      </c>
      <c r="C76" s="35" t="inlineStr">
        <is>
          <t>Leichter Manatrank</t>
        </is>
      </c>
      <c r="D76" s="36" t="n">
        <v>40</v>
      </c>
      <c r="E76" s="36" t="inlineStr">
        <is>
          <t>J</t>
        </is>
      </c>
      <c r="F76" s="34" t="inlineStr">
        <is>
          <t>Nahrung</t>
        </is>
      </c>
      <c r="G76" s="34" t="inlineStr">
        <is>
          <t>Sofort</t>
        </is>
      </c>
      <c r="H76" s="34" t="inlineStr">
        <is>
          <t>Sofort</t>
        </is>
      </c>
      <c r="I76" s="34" t="inlineStr">
        <is>
          <t>permanent</t>
        </is>
      </c>
      <c r="J76" s="34" t="inlineStr">
        <is>
          <t>Sofort Mana  +4W6</t>
        </is>
      </c>
      <c r="K76" s="36" t="n">
        <v>1</v>
      </c>
      <c r="L76" s="44" t="n">
        <v>0</v>
      </c>
      <c r="M76" t="n">
        <v>3</v>
      </c>
      <c r="N76" s="38" t="n">
        <v>50</v>
      </c>
      <c r="O76" s="38">
        <f>N76*(K76+L76)</f>
        <v/>
      </c>
      <c r="P76" s="30" t="n">
        <v>24</v>
      </c>
    </row>
    <row r="77">
      <c r="A77" s="30" t="inlineStr">
        <is>
          <t>Heiltränke</t>
        </is>
      </c>
      <c r="B77" s="34" t="inlineStr">
        <is>
          <t>magisch</t>
        </is>
      </c>
      <c r="C77" s="35" t="inlineStr">
        <is>
          <t>Manatrank</t>
        </is>
      </c>
      <c r="D77" s="36" t="n">
        <v>50</v>
      </c>
      <c r="E77" s="36" t="inlineStr">
        <is>
          <t>J</t>
        </is>
      </c>
      <c r="F77" s="34" t="inlineStr">
        <is>
          <t>Nahrung</t>
        </is>
      </c>
      <c r="G77" s="34" t="inlineStr">
        <is>
          <t>Sofort</t>
        </is>
      </c>
      <c r="H77" s="34" t="inlineStr">
        <is>
          <t>Sofort</t>
        </is>
      </c>
      <c r="I77" s="34" t="inlineStr">
        <is>
          <t>permanent</t>
        </is>
      </c>
      <c r="J77" s="34" t="inlineStr">
        <is>
          <t>Sofort Mana  +5W12</t>
        </is>
      </c>
      <c r="K77" s="36" t="n">
        <v>1</v>
      </c>
      <c r="L77" s="44" t="n">
        <v>0</v>
      </c>
      <c r="M77" t="n">
        <v>4</v>
      </c>
      <c r="N77" s="38" t="n">
        <v>150</v>
      </c>
      <c r="O77" s="38">
        <f>N77*(K77+L77)</f>
        <v/>
      </c>
      <c r="P77" s="30" t="n">
        <v>36</v>
      </c>
    </row>
    <row r="78">
      <c r="A78" s="30" t="inlineStr">
        <is>
          <t>Heiltränke</t>
        </is>
      </c>
      <c r="B78" s="34" t="inlineStr">
        <is>
          <t>magisch</t>
        </is>
      </c>
      <c r="C78" s="35" t="inlineStr">
        <is>
          <t>Starker Manatrank</t>
        </is>
      </c>
      <c r="D78" s="36" t="n">
        <v>60</v>
      </c>
      <c r="E78" s="36" t="inlineStr">
        <is>
          <t>J</t>
        </is>
      </c>
      <c r="F78" s="34" t="inlineStr">
        <is>
          <t>Nahrung</t>
        </is>
      </c>
      <c r="G78" s="34" t="inlineStr">
        <is>
          <t>Sofort</t>
        </is>
      </c>
      <c r="H78" s="34" t="inlineStr">
        <is>
          <t>Sofort</t>
        </is>
      </c>
      <c r="I78" s="34" t="inlineStr">
        <is>
          <t>permanent</t>
        </is>
      </c>
      <c r="J78" s="34" t="inlineStr">
        <is>
          <t>Sofort Mana  +6W20</t>
        </is>
      </c>
      <c r="K78" s="36" t="n">
        <v>1</v>
      </c>
      <c r="L78" s="44" t="n">
        <v>0</v>
      </c>
      <c r="M78" t="n">
        <v>5</v>
      </c>
      <c r="N78" s="38" t="n">
        <v>500</v>
      </c>
      <c r="O78" s="38">
        <f>N78*(K78+L78)</f>
        <v/>
      </c>
      <c r="P78" s="30" t="n">
        <v>60</v>
      </c>
    </row>
    <row r="79">
      <c r="A79" s="30" t="inlineStr">
        <is>
          <t>Kampftränke</t>
        </is>
      </c>
      <c r="B79" s="34" t="inlineStr">
        <is>
          <t>magisch</t>
        </is>
      </c>
      <c r="C79" s="35" t="inlineStr">
        <is>
          <t>Leichter Göttertrank</t>
        </is>
      </c>
      <c r="D79" s="36" t="n">
        <v>55</v>
      </c>
      <c r="E79" s="36" t="inlineStr">
        <is>
          <t>J</t>
        </is>
      </c>
      <c r="F79" s="34" t="inlineStr">
        <is>
          <t>Nahrung</t>
        </is>
      </c>
      <c r="G79" s="34" t="inlineStr">
        <is>
          <t>Sofort</t>
        </is>
      </c>
      <c r="H79" s="34" t="inlineStr">
        <is>
          <t>Sofort</t>
        </is>
      </c>
      <c r="I79" s="34" t="inlineStr">
        <is>
          <t>1h</t>
        </is>
      </c>
      <c r="J79" s="34" t="inlineStr">
        <is>
          <t xml:space="preserve"> ALLES +1, auch über Maximal werte</t>
        </is>
      </c>
      <c r="K79" s="36" t="n">
        <v>3</v>
      </c>
      <c r="L79" s="44" t="n">
        <v>0</v>
      </c>
      <c r="M79" t="n">
        <v>5</v>
      </c>
      <c r="N79" s="38" t="n">
        <v>83.34999999999999</v>
      </c>
      <c r="O79" s="38">
        <f>N79*(K79+L79)</f>
        <v/>
      </c>
      <c r="P79" s="30" t="n">
        <v>36</v>
      </c>
    </row>
    <row r="80">
      <c r="A80" s="30" t="inlineStr">
        <is>
          <t>Kampftränke</t>
        </is>
      </c>
      <c r="B80" s="34" t="inlineStr">
        <is>
          <t>magisch</t>
        </is>
      </c>
      <c r="C80" s="35" t="inlineStr">
        <is>
          <t>Göttertrank</t>
        </is>
      </c>
      <c r="D80" s="36" t="n">
        <v>65</v>
      </c>
      <c r="E80" s="36" t="inlineStr">
        <is>
          <t>J</t>
        </is>
      </c>
      <c r="F80" s="34" t="inlineStr">
        <is>
          <t>Nahrung</t>
        </is>
      </c>
      <c r="G80" s="34" t="inlineStr">
        <is>
          <t>Sofort</t>
        </is>
      </c>
      <c r="H80" s="34" t="inlineStr">
        <is>
          <t>Sofort</t>
        </is>
      </c>
      <c r="I80" s="34" t="inlineStr">
        <is>
          <t>1h</t>
        </is>
      </c>
      <c r="J80" s="34" t="inlineStr">
        <is>
          <t xml:space="preserve"> ALLES +3, auch über Maximal werte</t>
        </is>
      </c>
      <c r="K80" s="36" t="n">
        <v>4</v>
      </c>
      <c r="L80" s="44" t="n">
        <v>0</v>
      </c>
      <c r="M80" t="n">
        <v>6</v>
      </c>
      <c r="N80" s="38" t="n">
        <v>175</v>
      </c>
      <c r="O80" s="38">
        <f>N80*(K80+L80)</f>
        <v/>
      </c>
      <c r="P80" s="30" t="n">
        <v>54</v>
      </c>
    </row>
    <row r="81">
      <c r="A81" s="30" t="inlineStr">
        <is>
          <t>Kampftränke</t>
        </is>
      </c>
      <c r="B81" s="34" t="inlineStr">
        <is>
          <t>magisch</t>
        </is>
      </c>
      <c r="C81" s="35" t="inlineStr">
        <is>
          <t>Starker Göttertrank</t>
        </is>
      </c>
      <c r="D81" s="36" t="n">
        <v>75</v>
      </c>
      <c r="E81" s="36" t="inlineStr">
        <is>
          <t>J</t>
        </is>
      </c>
      <c r="F81" s="34" t="inlineStr">
        <is>
          <t>Nahrung</t>
        </is>
      </c>
      <c r="G81" s="34" t="inlineStr">
        <is>
          <t>Sofort</t>
        </is>
      </c>
      <c r="H81" s="34" t="inlineStr">
        <is>
          <t>Sofort</t>
        </is>
      </c>
      <c r="I81" s="34" t="inlineStr">
        <is>
          <t>1h</t>
        </is>
      </c>
      <c r="J81" s="34" t="inlineStr">
        <is>
          <t xml:space="preserve"> ALLES +6, auch über Maximal werte</t>
        </is>
      </c>
      <c r="K81" s="36" t="n">
        <v>4</v>
      </c>
      <c r="L81" s="44" t="n">
        <v>0</v>
      </c>
      <c r="M81" t="n">
        <v>7</v>
      </c>
      <c r="N81" s="38" t="n">
        <v>500</v>
      </c>
      <c r="O81" s="38">
        <f>N81*(K81+L81)</f>
        <v/>
      </c>
      <c r="P81" s="39" t="n">
        <v>90</v>
      </c>
    </row>
    <row r="82">
      <c r="A82" s="30" t="inlineStr">
        <is>
          <t>Kampftränke</t>
        </is>
      </c>
      <c r="B82" s="34" t="inlineStr">
        <is>
          <t>magisch</t>
        </is>
      </c>
      <c r="C82" s="35" t="inlineStr">
        <is>
          <t>Leichter Reflextrank</t>
        </is>
      </c>
      <c r="D82" s="36" t="n">
        <v>45</v>
      </c>
      <c r="E82" s="36" t="inlineStr">
        <is>
          <t>J</t>
        </is>
      </c>
      <c r="F82" s="34" t="inlineStr">
        <is>
          <t>Nahrung</t>
        </is>
      </c>
      <c r="G82" s="34" t="inlineStr">
        <is>
          <t>Sofort</t>
        </is>
      </c>
      <c r="H82" s="34" t="inlineStr">
        <is>
          <t>Sofort</t>
        </is>
      </c>
      <c r="I82" s="34" t="inlineStr">
        <is>
          <t>1h</t>
        </is>
      </c>
      <c r="J82" s="34" t="inlineStr">
        <is>
          <t>+1W4 auf nAW, Initiative, nPa</t>
        </is>
      </c>
      <c r="K82" s="36" t="n">
        <v>2</v>
      </c>
      <c r="L82" s="44" t="n">
        <v>0</v>
      </c>
      <c r="M82" t="n">
        <v>3</v>
      </c>
      <c r="N82" s="38" t="n">
        <v>50</v>
      </c>
      <c r="O82" s="38">
        <f>N82*(K82+L82)</f>
        <v/>
      </c>
      <c r="P82" s="30" t="n">
        <v>30</v>
      </c>
    </row>
    <row r="83">
      <c r="A83" s="30" t="inlineStr">
        <is>
          <t>Kampftränke</t>
        </is>
      </c>
      <c r="B83" s="34" t="inlineStr">
        <is>
          <t>magisch</t>
        </is>
      </c>
      <c r="C83" s="35" t="inlineStr">
        <is>
          <t>Reflextrank</t>
        </is>
      </c>
      <c r="D83" s="36" t="n">
        <v>55</v>
      </c>
      <c r="E83" s="36" t="inlineStr">
        <is>
          <t>J</t>
        </is>
      </c>
      <c r="F83" s="34" t="inlineStr">
        <is>
          <t>Nahrung</t>
        </is>
      </c>
      <c r="G83" s="34" t="inlineStr">
        <is>
          <t>Sofort</t>
        </is>
      </c>
      <c r="H83" s="34" t="inlineStr">
        <is>
          <t>Sofort</t>
        </is>
      </c>
      <c r="I83" s="34" t="inlineStr">
        <is>
          <t>1h</t>
        </is>
      </c>
      <c r="J83" s="34" t="inlineStr">
        <is>
          <t>+1W6 auf nAW, Initiative, nPa</t>
        </is>
      </c>
      <c r="K83" s="36" t="n">
        <v>2</v>
      </c>
      <c r="L83" s="44" t="n">
        <v>0</v>
      </c>
      <c r="M83" t="n">
        <v>4</v>
      </c>
      <c r="N83" s="38" t="n">
        <v>125</v>
      </c>
      <c r="O83" s="38">
        <f>N83*(K83+L83)</f>
        <v/>
      </c>
      <c r="P83" s="30" t="n">
        <v>45</v>
      </c>
    </row>
    <row r="84">
      <c r="A84" s="30" t="inlineStr">
        <is>
          <t>Kampftränke</t>
        </is>
      </c>
      <c r="B84" s="34" t="inlineStr">
        <is>
          <t>magisch</t>
        </is>
      </c>
      <c r="C84" s="35" t="inlineStr">
        <is>
          <t>Starker Reflextrank</t>
        </is>
      </c>
      <c r="D84" s="36" t="n">
        <v>65</v>
      </c>
      <c r="E84" s="36" t="inlineStr">
        <is>
          <t>J</t>
        </is>
      </c>
      <c r="F84" s="34" t="inlineStr">
        <is>
          <t>Nahrung</t>
        </is>
      </c>
      <c r="G84" s="34" t="inlineStr">
        <is>
          <t>Sofort</t>
        </is>
      </c>
      <c r="H84" s="34" t="inlineStr">
        <is>
          <t>Sofort</t>
        </is>
      </c>
      <c r="I84" s="34" t="inlineStr">
        <is>
          <t>1h</t>
        </is>
      </c>
      <c r="J84" s="34" t="inlineStr">
        <is>
          <t>+1W8 auf nAW, Initiative, nPa</t>
        </is>
      </c>
      <c r="K84" s="36" t="n">
        <v>2</v>
      </c>
      <c r="L84" s="44" t="n">
        <v>0</v>
      </c>
      <c r="M84" t="n">
        <v>5</v>
      </c>
      <c r="N84" s="38" t="n">
        <v>300</v>
      </c>
      <c r="O84" s="38">
        <f>N84*(K84+L84)</f>
        <v/>
      </c>
      <c r="P84" s="30" t="n">
        <v>75</v>
      </c>
    </row>
    <row r="85">
      <c r="A85" s="30" t="inlineStr">
        <is>
          <t>Kampftränke</t>
        </is>
      </c>
      <c r="B85" s="34" t="inlineStr">
        <is>
          <t>magisch</t>
        </is>
      </c>
      <c r="C85" s="35" t="inlineStr">
        <is>
          <t>Adamanthaut</t>
        </is>
      </c>
      <c r="D85" s="36" t="n">
        <v>65</v>
      </c>
      <c r="E85" s="36" t="inlineStr">
        <is>
          <t>J</t>
        </is>
      </c>
      <c r="F85" s="34" t="inlineStr">
        <is>
          <t>Nahrung</t>
        </is>
      </c>
      <c r="G85" s="34" t="inlineStr">
        <is>
          <t>1 KR</t>
        </is>
      </c>
      <c r="H85" s="34" t="inlineStr">
        <is>
          <t>2 KR</t>
        </is>
      </c>
      <c r="I85" s="34" t="inlineStr">
        <is>
          <t>1h</t>
        </is>
      </c>
      <c r="J85" s="34" t="inlineStr">
        <is>
          <t>Alle TZ erhalten RS +1W12+4; RHg +16</t>
        </is>
      </c>
      <c r="K85" s="36" t="n">
        <v>2</v>
      </c>
      <c r="L85" s="44" t="n">
        <v>0</v>
      </c>
      <c r="M85" t="n">
        <v>7</v>
      </c>
      <c r="N85" s="37" t="n">
        <v>5000</v>
      </c>
      <c r="O85" s="38">
        <f>N85*(K85+L85)</f>
        <v/>
      </c>
      <c r="P85" s="30" t="n">
        <v>60</v>
      </c>
    </row>
    <row r="86">
      <c r="A86" s="30" t="inlineStr">
        <is>
          <t>Kampftränke</t>
        </is>
      </c>
      <c r="B86" s="34" t="inlineStr">
        <is>
          <t>magisch</t>
        </is>
      </c>
      <c r="C86" s="35" t="inlineStr">
        <is>
          <t>Eisenhauttrank</t>
        </is>
      </c>
      <c r="D86" s="36" t="n">
        <v>45</v>
      </c>
      <c r="E86" s="36" t="inlineStr">
        <is>
          <t>J</t>
        </is>
      </c>
      <c r="F86" s="34" t="inlineStr">
        <is>
          <t>Nahrung</t>
        </is>
      </c>
      <c r="G86" s="34" t="inlineStr">
        <is>
          <t>1 KR</t>
        </is>
      </c>
      <c r="H86" s="34" t="inlineStr">
        <is>
          <t>2 KR</t>
        </is>
      </c>
      <c r="I86" s="34" t="inlineStr">
        <is>
          <t>1h</t>
        </is>
      </c>
      <c r="J86" s="34" t="inlineStr">
        <is>
          <t>Alle TZ erhalten RS +1W5+2; RHg +8</t>
        </is>
      </c>
      <c r="K86" s="36" t="n">
        <v>2</v>
      </c>
      <c r="L86" s="44" t="n">
        <v>0</v>
      </c>
      <c r="M86" t="n">
        <v>3</v>
      </c>
      <c r="N86" s="38" t="n">
        <v>100</v>
      </c>
      <c r="O86" s="38">
        <f>N86*(K86+L86)</f>
        <v/>
      </c>
      <c r="P86" s="30" t="n">
        <v>18</v>
      </c>
    </row>
    <row r="87">
      <c r="A87" s="30" t="inlineStr">
        <is>
          <t>Kampftränke</t>
        </is>
      </c>
      <c r="B87" s="34" t="inlineStr">
        <is>
          <t>magisch</t>
        </is>
      </c>
      <c r="C87" s="35" t="inlineStr">
        <is>
          <t>Stahlhauttrank</t>
        </is>
      </c>
      <c r="D87" s="36" t="n">
        <v>55</v>
      </c>
      <c r="E87" s="36" t="inlineStr">
        <is>
          <t>J</t>
        </is>
      </c>
      <c r="F87" s="34" t="inlineStr">
        <is>
          <t>Nahrung</t>
        </is>
      </c>
      <c r="G87" s="34" t="inlineStr">
        <is>
          <t>1 KR</t>
        </is>
      </c>
      <c r="H87" s="34" t="inlineStr">
        <is>
          <t>2 KR</t>
        </is>
      </c>
      <c r="I87" s="34" t="inlineStr">
        <is>
          <t>1h</t>
        </is>
      </c>
      <c r="J87" s="34" t="inlineStr">
        <is>
          <t>Alle TZ erhalten RS +1W8+3; RHg +12</t>
        </is>
      </c>
      <c r="K87" s="36" t="n">
        <v>2</v>
      </c>
      <c r="L87" s="44" t="n">
        <v>0</v>
      </c>
      <c r="M87" t="n">
        <v>4</v>
      </c>
      <c r="N87" s="38" t="n">
        <v>350</v>
      </c>
      <c r="O87" s="38">
        <f>N87*(K87+L87)</f>
        <v/>
      </c>
      <c r="P87" s="30" t="n">
        <v>30</v>
      </c>
    </row>
    <row r="88">
      <c r="A88" s="30" t="inlineStr">
        <is>
          <t>Kampftränke</t>
        </is>
      </c>
      <c r="B88" s="34" t="inlineStr">
        <is>
          <t>magisch</t>
        </is>
      </c>
      <c r="C88" s="35" t="inlineStr">
        <is>
          <t>Leichter Geniustrank</t>
        </is>
      </c>
      <c r="D88" s="36" t="n">
        <v>45</v>
      </c>
      <c r="E88" s="36" t="inlineStr">
        <is>
          <t>J</t>
        </is>
      </c>
      <c r="F88" s="34" t="inlineStr">
        <is>
          <t>Nahrung</t>
        </is>
      </c>
      <c r="G88" s="34" t="inlineStr">
        <is>
          <t>Sofort</t>
        </is>
      </c>
      <c r="H88" s="34" t="inlineStr">
        <is>
          <t>Sofort</t>
        </is>
      </c>
      <c r="I88" s="34" t="inlineStr">
        <is>
          <t>1h</t>
        </is>
      </c>
      <c r="J88" s="41" t="inlineStr">
        <is>
          <t>Die arkanen Mächte des Charakters werden verstärkt. (M)+1, Mana+9, Max.Mana+9, SB+1, Ini+1, KI-, PSI- und Spruchzauberproben +1</t>
        </is>
      </c>
      <c r="K88" s="36" t="n">
        <v>2</v>
      </c>
      <c r="L88" s="44" t="n">
        <v>0</v>
      </c>
      <c r="M88" t="n">
        <v>4</v>
      </c>
      <c r="N88" s="38" t="n">
        <v>33</v>
      </c>
      <c r="O88" s="38">
        <f>N88*(K88+L88)</f>
        <v/>
      </c>
      <c r="P88" s="30" t="n">
        <v>30</v>
      </c>
    </row>
    <row r="89">
      <c r="A89" s="30" t="inlineStr">
        <is>
          <t>Kampftränke</t>
        </is>
      </c>
      <c r="B89" s="34" t="inlineStr">
        <is>
          <t>magisch</t>
        </is>
      </c>
      <c r="C89" s="35" t="inlineStr">
        <is>
          <t>Geniustrank</t>
        </is>
      </c>
      <c r="D89" s="36" t="n">
        <v>55</v>
      </c>
      <c r="E89" s="36" t="inlineStr">
        <is>
          <t>J</t>
        </is>
      </c>
      <c r="F89" s="34" t="inlineStr">
        <is>
          <t>Nahrung</t>
        </is>
      </c>
      <c r="G89" s="34" t="inlineStr">
        <is>
          <t>Sofort</t>
        </is>
      </c>
      <c r="H89" s="34" t="inlineStr">
        <is>
          <t>Sofort</t>
        </is>
      </c>
      <c r="I89" s="34" t="inlineStr">
        <is>
          <t>1h</t>
        </is>
      </c>
      <c r="J89" s="41" t="inlineStr">
        <is>
          <t>Die arkanen Mächte des Charakters werden verstärkt. (M)+2, Mana+18, Max.Mana+18, SB+3, Ini+2, KI-, PSI- und Spruchzauberproben +2</t>
        </is>
      </c>
      <c r="K89" s="36" t="n">
        <v>2</v>
      </c>
      <c r="L89" s="44" t="n">
        <v>0</v>
      </c>
      <c r="M89" t="n">
        <v>5</v>
      </c>
      <c r="N89" s="38" t="n">
        <v>75</v>
      </c>
      <c r="O89" s="38">
        <f>N89*(K89+L89)</f>
        <v/>
      </c>
      <c r="P89" s="30" t="n">
        <v>45</v>
      </c>
    </row>
    <row r="90">
      <c r="A90" s="30" t="inlineStr">
        <is>
          <t>Kampftränke</t>
        </is>
      </c>
      <c r="B90" s="34" t="inlineStr">
        <is>
          <t>magisch</t>
        </is>
      </c>
      <c r="C90" s="35" t="inlineStr">
        <is>
          <t>Starker Geniustrank</t>
        </is>
      </c>
      <c r="D90" s="36" t="n">
        <v>65</v>
      </c>
      <c r="E90" s="36" t="inlineStr">
        <is>
          <t>J</t>
        </is>
      </c>
      <c r="F90" s="34" t="inlineStr">
        <is>
          <t>Nahrung</t>
        </is>
      </c>
      <c r="G90" s="34" t="inlineStr">
        <is>
          <t>Sofort</t>
        </is>
      </c>
      <c r="H90" s="34" t="inlineStr">
        <is>
          <t>Sofort</t>
        </is>
      </c>
      <c r="I90" s="34" t="inlineStr">
        <is>
          <t>1h</t>
        </is>
      </c>
      <c r="J90" s="41" t="inlineStr">
        <is>
          <t>Macht+3, Mana+27, Max Mana+27, SB+5, Ini+3, Z.proben+3</t>
        </is>
      </c>
      <c r="K90" s="36" t="n">
        <v>3</v>
      </c>
      <c r="L90" s="44" t="n">
        <v>0</v>
      </c>
      <c r="M90" t="n">
        <v>7</v>
      </c>
      <c r="N90" s="38" t="n">
        <v>200</v>
      </c>
      <c r="O90" s="38">
        <f>N90*(K90+L90)</f>
        <v/>
      </c>
      <c r="P90" s="30" t="n">
        <v>75</v>
      </c>
    </row>
    <row r="91">
      <c r="A91" s="30" t="inlineStr">
        <is>
          <t>Kampftränke</t>
        </is>
      </c>
      <c r="B91" s="34" t="inlineStr">
        <is>
          <t>magisch</t>
        </is>
      </c>
      <c r="C91" s="35" t="inlineStr">
        <is>
          <t>Leichter Katzentrank</t>
        </is>
      </c>
      <c r="D91" s="36" t="n">
        <v>45</v>
      </c>
      <c r="E91" s="36" t="inlineStr">
        <is>
          <t>J</t>
        </is>
      </c>
      <c r="F91" s="34" t="inlineStr">
        <is>
          <t>Nahrung</t>
        </is>
      </c>
      <c r="G91" s="34" t="inlineStr">
        <is>
          <t>Sofort</t>
        </is>
      </c>
      <c r="H91" s="34" t="inlineStr">
        <is>
          <t>Sofort</t>
        </is>
      </c>
      <c r="I91" s="34" t="inlineStr">
        <is>
          <t>1h</t>
        </is>
      </c>
      <c r="J91" s="34" t="inlineStr">
        <is>
          <t>nAW+1, Ini+2, nPA+1, FK Basis+1, Ladezeiten-1sec</t>
        </is>
      </c>
      <c r="K91" s="36" t="n">
        <v>2</v>
      </c>
      <c r="L91" s="44" t="n">
        <v>0</v>
      </c>
      <c r="M91" t="n">
        <v>4</v>
      </c>
      <c r="N91" s="38" t="n">
        <v>32.5</v>
      </c>
      <c r="O91" s="38">
        <f>N91*(K91+L91)</f>
        <v/>
      </c>
      <c r="P91" s="30" t="n">
        <v>30</v>
      </c>
    </row>
    <row r="92">
      <c r="A92" s="30" t="inlineStr">
        <is>
          <t>Kampftränke</t>
        </is>
      </c>
      <c r="B92" s="34" t="inlineStr">
        <is>
          <t>magisch</t>
        </is>
      </c>
      <c r="C92" s="35" t="inlineStr">
        <is>
          <t>Katzentrank</t>
        </is>
      </c>
      <c r="D92" s="36" t="n">
        <v>55</v>
      </c>
      <c r="E92" s="36" t="inlineStr">
        <is>
          <t>J</t>
        </is>
      </c>
      <c r="F92" s="34" t="inlineStr">
        <is>
          <t>Nahrung</t>
        </is>
      </c>
      <c r="G92" s="34" t="inlineStr">
        <is>
          <t>Sofort</t>
        </is>
      </c>
      <c r="H92" s="34" t="inlineStr">
        <is>
          <t>Sofort</t>
        </is>
      </c>
      <c r="I92" s="34" t="inlineStr">
        <is>
          <t>1h</t>
        </is>
      </c>
      <c r="J92" s="34" t="inlineStr">
        <is>
          <t>nAW+2, Ini+3, nPA+2, FK Basis+2, Ladezeiten-2sec</t>
        </is>
      </c>
      <c r="K92" s="36" t="n">
        <v>2</v>
      </c>
      <c r="L92" s="44" t="n">
        <v>0</v>
      </c>
      <c r="M92" t="n">
        <v>5</v>
      </c>
      <c r="N92" s="38" t="n">
        <v>75</v>
      </c>
      <c r="O92" s="38">
        <f>N92*(K92+L92)</f>
        <v/>
      </c>
      <c r="P92" s="30" t="n">
        <v>45</v>
      </c>
    </row>
    <row r="93">
      <c r="A93" s="30" t="inlineStr">
        <is>
          <t>Kampftränke</t>
        </is>
      </c>
      <c r="B93" s="34" t="inlineStr">
        <is>
          <t>magisch</t>
        </is>
      </c>
      <c r="C93" s="35" t="inlineStr">
        <is>
          <t>Starker Katzentrank</t>
        </is>
      </c>
      <c r="D93" s="36" t="n">
        <v>65</v>
      </c>
      <c r="E93" s="36" t="inlineStr">
        <is>
          <t>J</t>
        </is>
      </c>
      <c r="F93" s="34" t="inlineStr">
        <is>
          <t>Nahrung</t>
        </is>
      </c>
      <c r="G93" s="34" t="inlineStr">
        <is>
          <t>Sofort</t>
        </is>
      </c>
      <c r="H93" s="34" t="inlineStr">
        <is>
          <t>Sofort</t>
        </is>
      </c>
      <c r="I93" s="34" t="inlineStr">
        <is>
          <t>1h</t>
        </is>
      </c>
      <c r="J93" s="34" t="inlineStr">
        <is>
          <t>nAW+3, Ini+4, nPA+3, FK Basis+3, Ladezeiten-3sec</t>
        </is>
      </c>
      <c r="K93" s="36" t="n">
        <v>3</v>
      </c>
      <c r="L93" s="44" t="n">
        <v>0</v>
      </c>
      <c r="M93" t="n">
        <v>7</v>
      </c>
      <c r="N93" s="38" t="n">
        <v>200</v>
      </c>
      <c r="O93" s="38">
        <f>N93*(K93+L93)</f>
        <v/>
      </c>
      <c r="P93" s="30" t="n">
        <v>75</v>
      </c>
    </row>
    <row r="94">
      <c r="A94" s="30" t="inlineStr">
        <is>
          <t>Kampftränke</t>
        </is>
      </c>
      <c r="B94" s="34" t="inlineStr">
        <is>
          <t>magisch</t>
        </is>
      </c>
      <c r="C94" s="35" t="inlineStr">
        <is>
          <t>Starker Heldentrank</t>
        </is>
      </c>
      <c r="D94" s="36" t="n">
        <v>65</v>
      </c>
      <c r="E94" s="36" t="inlineStr">
        <is>
          <t>J</t>
        </is>
      </c>
      <c r="F94" s="34" t="inlineStr">
        <is>
          <t>Nahrung</t>
        </is>
      </c>
      <c r="G94" s="34" t="inlineStr">
        <is>
          <t>Sofort</t>
        </is>
      </c>
      <c r="H94" s="34" t="inlineStr">
        <is>
          <t>Sofort</t>
        </is>
      </c>
      <c r="I94" s="34" t="inlineStr">
        <is>
          <t>1h</t>
        </is>
      </c>
      <c r="J94" s="43" t="inlineStr">
        <is>
          <t>SB+15, Ausd+10, Ini+5, nAT+3, Gesundheit+3, NK TP+3</t>
        </is>
      </c>
      <c r="K94" s="36" t="n">
        <v>3</v>
      </c>
      <c r="L94" s="44" t="n">
        <v>0</v>
      </c>
      <c r="M94" t="n">
        <v>7</v>
      </c>
      <c r="N94" s="38" t="n">
        <v>259</v>
      </c>
      <c r="O94" s="38">
        <f>N94*(K94+L94)</f>
        <v/>
      </c>
      <c r="P94" s="30" t="n">
        <v>75</v>
      </c>
    </row>
    <row r="95">
      <c r="A95" s="30" t="inlineStr">
        <is>
          <t>Kampftränke</t>
        </is>
      </c>
      <c r="B95" s="34" t="inlineStr">
        <is>
          <t>magisch</t>
        </is>
      </c>
      <c r="C95" s="35" t="inlineStr">
        <is>
          <t>Leichter Heldentrank</t>
        </is>
      </c>
      <c r="D95" s="36" t="n">
        <v>45</v>
      </c>
      <c r="E95" s="36" t="inlineStr">
        <is>
          <t>J</t>
        </is>
      </c>
      <c r="F95" s="34" t="inlineStr">
        <is>
          <t>Nahrung</t>
        </is>
      </c>
      <c r="G95" s="34" t="inlineStr">
        <is>
          <t>Sofort</t>
        </is>
      </c>
      <c r="H95" s="34" t="inlineStr">
        <is>
          <t>Sofort</t>
        </is>
      </c>
      <c r="I95" s="34" t="inlineStr">
        <is>
          <t>1h</t>
        </is>
      </c>
      <c r="J95" s="34" t="inlineStr">
        <is>
          <t>SB+3, Ausd+2, Ini+1, nAT+1, Gesundheit+1, NK TP+1</t>
        </is>
      </c>
      <c r="K95" s="36" t="n">
        <v>2</v>
      </c>
      <c r="L95" s="44" t="n">
        <v>0</v>
      </c>
      <c r="M95" t="n">
        <v>4</v>
      </c>
      <c r="N95" s="38" t="n">
        <v>37.5</v>
      </c>
      <c r="O95" s="38">
        <f>N95*(K95+L95)</f>
        <v/>
      </c>
      <c r="P95" s="30" t="n">
        <v>30</v>
      </c>
    </row>
    <row r="96">
      <c r="A96" s="30" t="inlineStr">
        <is>
          <t>Kampftränke</t>
        </is>
      </c>
      <c r="B96" s="34" t="inlineStr">
        <is>
          <t>magisch</t>
        </is>
      </c>
      <c r="C96" s="35" t="inlineStr">
        <is>
          <t>Heldentrank</t>
        </is>
      </c>
      <c r="D96" s="36" t="n">
        <v>55</v>
      </c>
      <c r="E96" s="36" t="inlineStr">
        <is>
          <t>J</t>
        </is>
      </c>
      <c r="F96" s="34" t="inlineStr">
        <is>
          <t>Nahrung</t>
        </is>
      </c>
      <c r="G96" s="34" t="inlineStr">
        <is>
          <t>Sofort</t>
        </is>
      </c>
      <c r="H96" s="34" t="inlineStr">
        <is>
          <t>Sofort</t>
        </is>
      </c>
      <c r="I96" s="34" t="inlineStr">
        <is>
          <t>1h</t>
        </is>
      </c>
      <c r="J96" s="34" t="inlineStr">
        <is>
          <t>SB+9, Ausd+6, Ini+2, nAT+2, Gesundheit+2, NK TP+2</t>
        </is>
      </c>
      <c r="K96" s="36" t="n">
        <v>2</v>
      </c>
      <c r="L96" s="44" t="n">
        <v>0</v>
      </c>
      <c r="M96" t="n">
        <v>5</v>
      </c>
      <c r="N96" s="38" t="n">
        <v>90</v>
      </c>
      <c r="O96" s="38">
        <f>N96*(K96+L96)</f>
        <v/>
      </c>
      <c r="P96" s="30" t="n">
        <v>45</v>
      </c>
    </row>
    <row r="97">
      <c r="A97" s="30" t="inlineStr">
        <is>
          <t>Kampftränke</t>
        </is>
      </c>
      <c r="B97" s="34" t="inlineStr">
        <is>
          <t>profan</t>
        </is>
      </c>
      <c r="C97" s="35" t="inlineStr">
        <is>
          <t>Leichter Bersekertrank</t>
        </is>
      </c>
      <c r="D97" s="36" t="n">
        <v>45</v>
      </c>
      <c r="E97" s="36" t="inlineStr">
        <is>
          <t>J</t>
        </is>
      </c>
      <c r="F97" s="34" t="inlineStr">
        <is>
          <t>Nahrung</t>
        </is>
      </c>
      <c r="G97" s="34" t="inlineStr">
        <is>
          <t>1min</t>
        </is>
      </c>
      <c r="H97" s="34" t="inlineStr">
        <is>
          <t>3min</t>
        </is>
      </c>
      <c r="I97" s="34" t="inlineStr">
        <is>
          <t>1h</t>
        </is>
      </c>
      <c r="J97" s="34" t="inlineStr">
        <is>
          <t>Trefferschwelle +1W6 (nur Schmerzen)</t>
        </is>
      </c>
      <c r="K97" s="36" t="n">
        <v>2</v>
      </c>
      <c r="L97" s="44" t="n">
        <v>0</v>
      </c>
      <c r="M97" t="n">
        <v>4</v>
      </c>
      <c r="N97" s="38" t="n">
        <v>31</v>
      </c>
      <c r="O97" s="38">
        <f>N97*(K97+L97)</f>
        <v/>
      </c>
      <c r="P97" s="30" t="n">
        <v>10</v>
      </c>
    </row>
    <row r="98">
      <c r="A98" s="30" t="inlineStr">
        <is>
          <t>Kampftränke</t>
        </is>
      </c>
      <c r="B98" s="34" t="inlineStr">
        <is>
          <t>profan</t>
        </is>
      </c>
      <c r="C98" s="35" t="inlineStr">
        <is>
          <t>Berserkertrank</t>
        </is>
      </c>
      <c r="D98" s="36" t="n">
        <v>55</v>
      </c>
      <c r="E98" s="36" t="inlineStr">
        <is>
          <t>J</t>
        </is>
      </c>
      <c r="F98" s="34" t="inlineStr">
        <is>
          <t>Nahrung</t>
        </is>
      </c>
      <c r="G98" s="34" t="inlineStr">
        <is>
          <t>1min</t>
        </is>
      </c>
      <c r="H98" s="34" t="inlineStr">
        <is>
          <t>3min</t>
        </is>
      </c>
      <c r="I98" s="34" t="inlineStr">
        <is>
          <t>1h</t>
        </is>
      </c>
      <c r="J98" s="34" t="inlineStr">
        <is>
          <t>Trefferschwelle +2W6 (nur Schmerzen)</t>
        </is>
      </c>
      <c r="K98" s="36" t="n">
        <v>2</v>
      </c>
      <c r="L98" s="44" t="n">
        <v>0</v>
      </c>
      <c r="M98" t="n">
        <v>5</v>
      </c>
      <c r="N98" s="38" t="n">
        <v>75</v>
      </c>
      <c r="O98" s="38">
        <f>N98*(K98+L98)</f>
        <v/>
      </c>
      <c r="P98" s="30" t="n">
        <v>15</v>
      </c>
    </row>
    <row r="99">
      <c r="A99" s="30" t="inlineStr">
        <is>
          <t>Kampftränke</t>
        </is>
      </c>
      <c r="B99" s="34" t="inlineStr">
        <is>
          <t>profan</t>
        </is>
      </c>
      <c r="C99" s="35" t="inlineStr">
        <is>
          <t>Starker Berserkertrank</t>
        </is>
      </c>
      <c r="D99" s="36" t="n">
        <v>65</v>
      </c>
      <c r="E99" s="36" t="inlineStr">
        <is>
          <t>J</t>
        </is>
      </c>
      <c r="F99" s="34" t="inlineStr">
        <is>
          <t>Nahrung</t>
        </is>
      </c>
      <c r="G99" s="34" t="inlineStr">
        <is>
          <t>1min</t>
        </is>
      </c>
      <c r="H99" s="34" t="inlineStr">
        <is>
          <t>3min</t>
        </is>
      </c>
      <c r="I99" s="34" t="inlineStr">
        <is>
          <t>1h</t>
        </is>
      </c>
      <c r="J99" s="34" t="inlineStr">
        <is>
          <t>Trefferschwelle +3W6 (nur Schmerzen)</t>
        </is>
      </c>
      <c r="K99" s="36" t="n">
        <v>2</v>
      </c>
      <c r="L99" s="44" t="n">
        <v>0</v>
      </c>
      <c r="M99" t="n">
        <v>6</v>
      </c>
      <c r="N99" s="38" t="n">
        <v>250</v>
      </c>
      <c r="O99" s="38">
        <f>N99*(K99+L99)</f>
        <v/>
      </c>
      <c r="P99" s="30" t="n">
        <v>25</v>
      </c>
    </row>
    <row r="100">
      <c r="A100" s="30" t="inlineStr">
        <is>
          <t>Kampftränke</t>
        </is>
      </c>
      <c r="B100" s="34" t="inlineStr">
        <is>
          <t>magisch</t>
        </is>
      </c>
      <c r="C100" s="35" t="inlineStr">
        <is>
          <t>Steinhauttrank</t>
        </is>
      </c>
      <c r="D100" s="36" t="n">
        <v>35</v>
      </c>
      <c r="E100" s="36" t="inlineStr">
        <is>
          <t>J</t>
        </is>
      </c>
      <c r="F100" s="34" t="inlineStr">
        <is>
          <t>Nahrung</t>
        </is>
      </c>
      <c r="G100" s="34" t="inlineStr">
        <is>
          <t>1 KR</t>
        </is>
      </c>
      <c r="H100" s="34" t="inlineStr">
        <is>
          <t>2 KR</t>
        </is>
      </c>
      <c r="I100" s="34" t="inlineStr">
        <is>
          <t>1h</t>
        </is>
      </c>
      <c r="J100" s="34" t="inlineStr">
        <is>
          <t>Überall RS + 1W4+1 und KampfBehinderung +1</t>
        </is>
      </c>
      <c r="K100" s="36" t="n">
        <v>2</v>
      </c>
      <c r="L100" s="44" t="n">
        <v>0</v>
      </c>
      <c r="M100" t="n">
        <v>2</v>
      </c>
      <c r="N100" s="38" t="n">
        <v>25</v>
      </c>
      <c r="O100" s="38">
        <f>N100*(K100+L100)</f>
        <v/>
      </c>
      <c r="P100" s="30" t="n">
        <v>12</v>
      </c>
    </row>
    <row r="101">
      <c r="A101" s="30" t="inlineStr">
        <is>
          <t>Parfum</t>
        </is>
      </c>
      <c r="B101" s="34" t="inlineStr">
        <is>
          <t>magisch</t>
        </is>
      </c>
      <c r="C101" s="35" t="inlineStr">
        <is>
          <t>Magisches Parfüm</t>
        </is>
      </c>
      <c r="D101" s="36" t="n">
        <v>65</v>
      </c>
      <c r="E101" s="36" t="inlineStr">
        <is>
          <t>J</t>
        </is>
      </c>
      <c r="F101" s="34" t="inlineStr">
        <is>
          <t>Gas</t>
        </is>
      </c>
      <c r="G101" s="34" t="inlineStr">
        <is>
          <t>Sofort</t>
        </is>
      </c>
      <c r="H101" s="34" t="inlineStr">
        <is>
          <t>Sofort</t>
        </is>
      </c>
      <c r="I101" s="34" t="inlineStr">
        <is>
          <t>7h</t>
        </is>
      </c>
      <c r="J101" s="34" t="inlineStr">
        <is>
          <t>Erhöht Ausstrahlung um 10 Punkte (nur Gesellschaftlich)</t>
        </is>
      </c>
      <c r="K101" s="36" t="n">
        <v>2</v>
      </c>
      <c r="L101" s="44" t="n">
        <v>0</v>
      </c>
      <c r="M101" t="n">
        <v>7</v>
      </c>
      <c r="N101" s="38" t="n">
        <v>80</v>
      </c>
      <c r="O101" s="38">
        <f>N101*(K101+L101)</f>
        <v/>
      </c>
      <c r="P101" s="30" t="n">
        <v>36</v>
      </c>
    </row>
    <row r="102">
      <c r="A102" s="30" t="inlineStr">
        <is>
          <t>Parfum</t>
        </is>
      </c>
      <c r="B102" s="34" t="inlineStr">
        <is>
          <t>profan</t>
        </is>
      </c>
      <c r="C102" s="35" t="inlineStr">
        <is>
          <t xml:space="preserve">Billiges Parfüm </t>
        </is>
      </c>
      <c r="D102" s="36" t="n">
        <v>30</v>
      </c>
      <c r="E102" s="36" t="inlineStr">
        <is>
          <t>J</t>
        </is>
      </c>
      <c r="F102" s="34" t="inlineStr">
        <is>
          <t>Gas</t>
        </is>
      </c>
      <c r="G102" s="34" t="inlineStr">
        <is>
          <t>1 KR</t>
        </is>
      </c>
      <c r="H102" s="34" t="inlineStr">
        <is>
          <t>20 KR</t>
        </is>
      </c>
      <c r="I102" s="34" t="inlineStr">
        <is>
          <t>6h</t>
        </is>
      </c>
      <c r="J102" s="34" t="inlineStr">
        <is>
          <t>Erhöht die Ausstrahlung um 1</t>
        </is>
      </c>
      <c r="K102" s="36" t="n">
        <v>1</v>
      </c>
      <c r="L102" s="44" t="n">
        <v>0</v>
      </c>
      <c r="M102" t="n">
        <v>4</v>
      </c>
      <c r="N102" s="38" t="n">
        <v>5</v>
      </c>
      <c r="O102" s="38">
        <f>N102*(K102+L102)</f>
        <v/>
      </c>
      <c r="P102" s="30" t="n">
        <v>6</v>
      </c>
    </row>
    <row r="103">
      <c r="A103" s="30" t="inlineStr">
        <is>
          <t>Parfum</t>
        </is>
      </c>
      <c r="B103" s="34" t="inlineStr">
        <is>
          <t>profan</t>
        </is>
      </c>
      <c r="C103" s="35" t="inlineStr">
        <is>
          <t>Gutes Parfüm</t>
        </is>
      </c>
      <c r="D103" s="36" t="n">
        <v>40</v>
      </c>
      <c r="E103" s="36" t="inlineStr">
        <is>
          <t>J</t>
        </is>
      </c>
      <c r="F103" s="34" t="inlineStr">
        <is>
          <t>Gas</t>
        </is>
      </c>
      <c r="G103" s="34" t="inlineStr">
        <is>
          <t>1 KR</t>
        </is>
      </c>
      <c r="H103" s="34" t="inlineStr">
        <is>
          <t>20 KR</t>
        </is>
      </c>
      <c r="I103" s="34" t="inlineStr">
        <is>
          <t>8h</t>
        </is>
      </c>
      <c r="J103" s="34" t="inlineStr">
        <is>
          <t>Erhöht die Ausstrahlung um 2Punkt (nur Gesellschaftlich)</t>
        </is>
      </c>
      <c r="K103" s="36" t="n">
        <v>1</v>
      </c>
      <c r="L103" s="44" t="n">
        <v>0</v>
      </c>
      <c r="M103" t="n">
        <v>5</v>
      </c>
      <c r="N103" s="38" t="n">
        <v>10</v>
      </c>
      <c r="O103" s="38">
        <f>N103*(K103+L103)</f>
        <v/>
      </c>
      <c r="P103" s="30" t="n">
        <v>12</v>
      </c>
    </row>
    <row r="104">
      <c r="A104" s="30" t="inlineStr">
        <is>
          <t>Parfum</t>
        </is>
      </c>
      <c r="B104" s="34" t="inlineStr">
        <is>
          <t>profan</t>
        </is>
      </c>
      <c r="C104" s="35" t="inlineStr">
        <is>
          <t xml:space="preserve">Edles Parfüm </t>
        </is>
      </c>
      <c r="D104" s="36" t="n">
        <v>50</v>
      </c>
      <c r="E104" s="36" t="inlineStr">
        <is>
          <t>J</t>
        </is>
      </c>
      <c r="F104" s="34" t="inlineStr">
        <is>
          <t>Gas</t>
        </is>
      </c>
      <c r="G104" s="34" t="inlineStr">
        <is>
          <t>1 KR</t>
        </is>
      </c>
      <c r="H104" s="34" t="inlineStr">
        <is>
          <t>20 KR</t>
        </is>
      </c>
      <c r="I104" s="34" t="inlineStr">
        <is>
          <t>10h</t>
        </is>
      </c>
      <c r="J104" s="34" t="inlineStr">
        <is>
          <t>Erhöht die Ausstrahlung um 4Punkt (nur Gesellschaftlich)</t>
        </is>
      </c>
      <c r="K104" s="36" t="n">
        <v>1</v>
      </c>
      <c r="L104" s="44" t="n">
        <v>0</v>
      </c>
      <c r="M104" t="n">
        <v>6</v>
      </c>
      <c r="N104" s="38" t="n">
        <v>25</v>
      </c>
      <c r="O104" s="38">
        <f>N104*(K104+L104)</f>
        <v/>
      </c>
      <c r="P104" s="30" t="n">
        <v>18</v>
      </c>
    </row>
    <row r="105">
      <c r="A105" s="30" t="inlineStr">
        <is>
          <t>Parfum</t>
        </is>
      </c>
      <c r="B105" s="34" t="inlineStr">
        <is>
          <t>profan</t>
        </is>
      </c>
      <c r="C105" s="35" t="inlineStr">
        <is>
          <t>Überwältigendes Parfüm</t>
        </is>
      </c>
      <c r="D105" s="36" t="n">
        <v>60</v>
      </c>
      <c r="E105" s="36" t="inlineStr">
        <is>
          <t>J</t>
        </is>
      </c>
      <c r="F105" s="34" t="inlineStr">
        <is>
          <t>Gas</t>
        </is>
      </c>
      <c r="G105" s="34" t="inlineStr">
        <is>
          <t>1 KR</t>
        </is>
      </c>
      <c r="H105" s="34" t="inlineStr">
        <is>
          <t>20 KR</t>
        </is>
      </c>
      <c r="I105" s="34" t="inlineStr">
        <is>
          <t>12h</t>
        </is>
      </c>
      <c r="J105" s="34" t="inlineStr">
        <is>
          <t>Erhöht die Ausstrahlung um 8Punkt (nur Gesellschaftlich)</t>
        </is>
      </c>
      <c r="K105" s="36" t="n">
        <v>1</v>
      </c>
      <c r="L105" s="44" t="n">
        <v>0</v>
      </c>
      <c r="M105" t="n">
        <v>7</v>
      </c>
      <c r="N105" s="38" t="n">
        <v>60</v>
      </c>
      <c r="O105" s="38">
        <f>N105*(K105+L105)</f>
        <v/>
      </c>
      <c r="P105" s="30" t="n">
        <v>24</v>
      </c>
    </row>
    <row r="106">
      <c r="A106" s="30" t="inlineStr">
        <is>
          <t>Zustandstränke</t>
        </is>
      </c>
      <c r="B106" s="34" t="inlineStr">
        <is>
          <t>magisch</t>
        </is>
      </c>
      <c r="C106" s="35" t="inlineStr">
        <is>
          <t>Chamäleontrank</t>
        </is>
      </c>
      <c r="D106" s="36" t="n">
        <v>40</v>
      </c>
      <c r="E106" s="36" t="inlineStr">
        <is>
          <t>J</t>
        </is>
      </c>
      <c r="F106" s="34" t="inlineStr">
        <is>
          <t>Nahrung</t>
        </is>
      </c>
      <c r="G106" s="34" t="inlineStr">
        <is>
          <t>1 KR</t>
        </is>
      </c>
      <c r="H106" s="34" t="inlineStr">
        <is>
          <t>2 KR</t>
        </is>
      </c>
      <c r="I106" s="34" t="inlineStr">
        <is>
          <t>2W6+2min</t>
        </is>
      </c>
      <c r="J106" s="34" t="inlineStr">
        <is>
          <t xml:space="preserve">Der Charakter wird mitsamt aller Ausrüstung in seiner Aura durchsichtig. Um ihn wahrzunehmen, ist eine Sinnesschärfe-Probe erschwert um 12 nötig. </t>
        </is>
      </c>
      <c r="K106" s="36" t="n">
        <v>3</v>
      </c>
      <c r="L106" s="44" t="n">
        <v>0</v>
      </c>
      <c r="M106" t="n">
        <v>5</v>
      </c>
      <c r="N106" s="42" t="n">
        <v>100</v>
      </c>
      <c r="O106" s="38">
        <f>N106*(K106+L106)</f>
        <v/>
      </c>
      <c r="P106" s="30" t="n">
        <v>45</v>
      </c>
    </row>
    <row r="107">
      <c r="A107" s="30" t="inlineStr">
        <is>
          <t>Zustandstränke</t>
        </is>
      </c>
      <c r="B107" s="34" t="inlineStr">
        <is>
          <t>magisch</t>
        </is>
      </c>
      <c r="C107" s="35" t="inlineStr">
        <is>
          <t>Starker Chamäleontrank</t>
        </is>
      </c>
      <c r="D107" s="36" t="n">
        <v>50</v>
      </c>
      <c r="E107" s="36" t="inlineStr">
        <is>
          <t>J</t>
        </is>
      </c>
      <c r="F107" s="34" t="inlineStr">
        <is>
          <t>Nahrung</t>
        </is>
      </c>
      <c r="G107" s="34" t="inlineStr">
        <is>
          <t>1 KR</t>
        </is>
      </c>
      <c r="H107" s="34" t="inlineStr">
        <is>
          <t>2 KR</t>
        </is>
      </c>
      <c r="I107" s="34" t="inlineStr">
        <is>
          <t>1W6+1min</t>
        </is>
      </c>
      <c r="J107" s="34" t="inlineStr">
        <is>
          <t xml:space="preserve">Der Charakter wird mitsamt aller Ausrüstung in seiner Aura durchsichtig. Um ihn wahrzunehmen, ist eine Sinnesschärfe-Probe erschwert um 18 nötig. </t>
        </is>
      </c>
      <c r="K107" s="36" t="n">
        <v>3</v>
      </c>
      <c r="L107" s="44" t="n">
        <v>0</v>
      </c>
      <c r="M107" t="n">
        <v>6</v>
      </c>
      <c r="N107" s="42" t="n">
        <v>250</v>
      </c>
      <c r="O107" s="38">
        <f>N107*(K107+L107)</f>
        <v/>
      </c>
      <c r="P107" s="30" t="n">
        <v>75</v>
      </c>
    </row>
    <row r="108">
      <c r="A108" s="30" t="inlineStr">
        <is>
          <t>Zustandstränke</t>
        </is>
      </c>
      <c r="B108" s="34" t="inlineStr">
        <is>
          <t>magisch</t>
        </is>
      </c>
      <c r="C108" s="35" t="inlineStr">
        <is>
          <t>Leichter Chamäleontrank</t>
        </is>
      </c>
      <c r="D108" s="36" t="n">
        <v>30</v>
      </c>
      <c r="E108" s="36" t="inlineStr">
        <is>
          <t>J</t>
        </is>
      </c>
      <c r="F108" s="34" t="inlineStr">
        <is>
          <t>Nahrung</t>
        </is>
      </c>
      <c r="G108" s="34" t="inlineStr">
        <is>
          <t>1 KR</t>
        </is>
      </c>
      <c r="H108" s="34" t="inlineStr">
        <is>
          <t>2 KR</t>
        </is>
      </c>
      <c r="I108" s="34" t="inlineStr">
        <is>
          <t>W6+1min</t>
        </is>
      </c>
      <c r="J108" s="34" t="inlineStr">
        <is>
          <t xml:space="preserve">Der Charakter wird mitsamt aller Ausrüstung in seiner Aura durchsichtig. Um ihn wahrzunehmen, ist eine Sinnesschärfe-Probe erschwert um 6 nötig. </t>
        </is>
      </c>
      <c r="K108" s="36" t="n">
        <v>3</v>
      </c>
      <c r="L108" s="44" t="n">
        <v>0</v>
      </c>
      <c r="M108" t="n">
        <v>4</v>
      </c>
      <c r="N108" s="42" t="n">
        <v>50</v>
      </c>
      <c r="O108" s="38">
        <f>N108*(K108+L108)</f>
        <v/>
      </c>
      <c r="P108" s="30" t="n">
        <v>30</v>
      </c>
    </row>
    <row r="109">
      <c r="A109" s="30" t="inlineStr">
        <is>
          <t>Zustandstränke</t>
        </is>
      </c>
      <c r="B109" s="34" t="inlineStr">
        <is>
          <t>magisch</t>
        </is>
      </c>
      <c r="C109" s="35" t="inlineStr">
        <is>
          <t>Nachtsichttrank</t>
        </is>
      </c>
      <c r="D109" s="36" t="n">
        <v>45</v>
      </c>
      <c r="E109" s="36" t="inlineStr">
        <is>
          <t>J</t>
        </is>
      </c>
      <c r="F109" s="34" t="inlineStr">
        <is>
          <t>Nahrung</t>
        </is>
      </c>
      <c r="G109" s="34" t="inlineStr">
        <is>
          <t>Sofort</t>
        </is>
      </c>
      <c r="H109" s="34" t="inlineStr">
        <is>
          <t>Sofort</t>
        </is>
      </c>
      <c r="I109" s="34" t="inlineStr">
        <is>
          <t>8h</t>
        </is>
      </c>
      <c r="J109" s="34" t="inlineStr">
        <is>
          <t>Der sieht selbst in absoluter Dunkelheit wie am Tag. Hebt alle lichtabhängigen Erschwerungen auf.</t>
        </is>
      </c>
      <c r="K109" s="36" t="n">
        <v>1</v>
      </c>
      <c r="L109" s="44" t="n">
        <v>0</v>
      </c>
      <c r="M109" t="n">
        <v>4</v>
      </c>
      <c r="N109" s="38" t="n">
        <v>100</v>
      </c>
      <c r="O109" s="38">
        <f>N109*(K109+L109)</f>
        <v/>
      </c>
      <c r="P109" s="30" t="n">
        <v>36</v>
      </c>
    </row>
    <row r="110">
      <c r="A110" s="30" t="inlineStr">
        <is>
          <t>Zustandstränke</t>
        </is>
      </c>
      <c r="B110" s="34" t="inlineStr">
        <is>
          <t>magisch</t>
        </is>
      </c>
      <c r="C110" s="35" t="inlineStr">
        <is>
          <t>Alchemieresistenz</t>
        </is>
      </c>
      <c r="D110" s="36" t="n">
        <v>60</v>
      </c>
      <c r="E110" s="36" t="inlineStr">
        <is>
          <t>J</t>
        </is>
      </c>
      <c r="F110" s="34" t="inlineStr">
        <is>
          <t>Nahrung</t>
        </is>
      </c>
      <c r="G110" s="34" t="inlineStr">
        <is>
          <t>Sofort</t>
        </is>
      </c>
      <c r="H110" s="34" t="inlineStr">
        <is>
          <t>Sofort</t>
        </is>
      </c>
      <c r="I110" s="34" t="inlineStr">
        <is>
          <t>2h</t>
        </is>
      </c>
      <c r="J110" s="41" t="inlineStr">
        <is>
          <t>Die Wirkung von Alchemika ist 50% geringer</t>
        </is>
      </c>
      <c r="K110" s="36" t="n">
        <v>1</v>
      </c>
      <c r="L110" s="44" t="n">
        <v>0</v>
      </c>
      <c r="M110" t="n">
        <v>4</v>
      </c>
      <c r="N110" s="38" t="n">
        <v>150</v>
      </c>
      <c r="O110" s="38">
        <f>N110*(K110+L110)</f>
        <v/>
      </c>
      <c r="P110" s="30" t="n">
        <v>48</v>
      </c>
    </row>
    <row r="111">
      <c r="A111" s="30" t="inlineStr">
        <is>
          <t>Zustandstränke</t>
        </is>
      </c>
      <c r="B111" s="34" t="inlineStr">
        <is>
          <t>magisch</t>
        </is>
      </c>
      <c r="C111" s="35" t="inlineStr">
        <is>
          <t>Kälte Resistenz</t>
        </is>
      </c>
      <c r="D111" s="36" t="n">
        <v>60</v>
      </c>
      <c r="E111" s="36" t="inlineStr">
        <is>
          <t>J</t>
        </is>
      </c>
      <c r="F111" s="34" t="inlineStr">
        <is>
          <t>Nahrung</t>
        </is>
      </c>
      <c r="G111" s="34" t="inlineStr">
        <is>
          <t>Sofort</t>
        </is>
      </c>
      <c r="H111" s="34" t="inlineStr">
        <is>
          <t>Sofort</t>
        </is>
      </c>
      <c r="I111" s="34" t="inlineStr">
        <is>
          <t>2h</t>
        </is>
      </c>
      <c r="J111" s="34" t="inlineStr">
        <is>
          <t>Eis macht 50% Schaden weniger</t>
        </is>
      </c>
      <c r="K111" s="36" t="n">
        <v>1</v>
      </c>
      <c r="L111" s="44" t="n">
        <v>0</v>
      </c>
      <c r="M111" t="n">
        <v>4</v>
      </c>
      <c r="N111" s="38" t="n">
        <v>150</v>
      </c>
      <c r="O111" s="38">
        <f>N111*(K111+L111)</f>
        <v/>
      </c>
      <c r="P111" s="30" t="n">
        <v>48</v>
      </c>
    </row>
    <row r="112">
      <c r="A112" s="30" t="inlineStr">
        <is>
          <t>Zustandstränke</t>
        </is>
      </c>
      <c r="B112" s="34" t="inlineStr">
        <is>
          <t>magisch</t>
        </is>
      </c>
      <c r="C112" s="35" t="inlineStr">
        <is>
          <t>Feuer-Resistenz-Trank</t>
        </is>
      </c>
      <c r="D112" s="36" t="n">
        <v>60</v>
      </c>
      <c r="E112" s="36" t="inlineStr">
        <is>
          <t>J</t>
        </is>
      </c>
      <c r="F112" s="34" t="inlineStr">
        <is>
          <t>Nahrung</t>
        </is>
      </c>
      <c r="G112" s="34" t="inlineStr">
        <is>
          <t>Sofort</t>
        </is>
      </c>
      <c r="H112" s="34" t="inlineStr">
        <is>
          <t>Sofort</t>
        </is>
      </c>
      <c r="I112" s="34" t="inlineStr">
        <is>
          <t>2h</t>
        </is>
      </c>
      <c r="J112" s="34" t="inlineStr">
        <is>
          <t>Feuer macht 50% Schaden weniger</t>
        </is>
      </c>
      <c r="K112" s="36" t="n">
        <v>1</v>
      </c>
      <c r="L112" s="44" t="n">
        <v>0</v>
      </c>
      <c r="M112" t="n">
        <v>4</v>
      </c>
      <c r="N112" s="38" t="n">
        <v>150</v>
      </c>
      <c r="O112" s="38">
        <f>N112*(K112+L112)</f>
        <v/>
      </c>
      <c r="P112" s="30" t="n">
        <v>48</v>
      </c>
    </row>
    <row r="113">
      <c r="A113" s="30" t="inlineStr">
        <is>
          <t>Zustandstränke</t>
        </is>
      </c>
      <c r="B113" s="34" t="inlineStr">
        <is>
          <t>magisch</t>
        </is>
      </c>
      <c r="C113" s="35" t="inlineStr">
        <is>
          <t>Starker Lufttrank</t>
        </is>
      </c>
      <c r="D113" s="36" t="n">
        <v>40</v>
      </c>
      <c r="E113" s="36" t="inlineStr">
        <is>
          <t>J</t>
        </is>
      </c>
      <c r="F113" s="34" t="inlineStr">
        <is>
          <t>Nahrung</t>
        </is>
      </c>
      <c r="G113" s="34" t="inlineStr">
        <is>
          <t>Sofort</t>
        </is>
      </c>
      <c r="H113" s="34" t="inlineStr">
        <is>
          <t>Sofort</t>
        </is>
      </c>
      <c r="I113" s="34" t="inlineStr">
        <is>
          <t>2W20+10min</t>
        </is>
      </c>
      <c r="J113" s="34" t="inlineStr">
        <is>
          <t>Keinerlei Luftzufuhr notwenig</t>
        </is>
      </c>
      <c r="K113" s="36" t="n">
        <v>1</v>
      </c>
      <c r="L113" s="44" t="n">
        <v>0</v>
      </c>
      <c r="M113" t="n">
        <v>4</v>
      </c>
      <c r="N113" s="38" t="n">
        <v>125</v>
      </c>
      <c r="O113" s="38">
        <f>N113*(K113+L113)</f>
        <v/>
      </c>
      <c r="P113" s="30" t="n">
        <v>60</v>
      </c>
    </row>
    <row r="114">
      <c r="A114" s="30" t="inlineStr">
        <is>
          <t>Zustandstränke</t>
        </is>
      </c>
      <c r="B114" s="34" t="inlineStr">
        <is>
          <t>magisch</t>
        </is>
      </c>
      <c r="C114" s="35" t="inlineStr">
        <is>
          <t xml:space="preserve">Leichter Lufttrank </t>
        </is>
      </c>
      <c r="D114" s="36" t="n">
        <v>20</v>
      </c>
      <c r="E114" s="36" t="inlineStr">
        <is>
          <t>J</t>
        </is>
      </c>
      <c r="F114" s="34" t="inlineStr">
        <is>
          <t>Nahrung</t>
        </is>
      </c>
      <c r="G114" s="34" t="inlineStr">
        <is>
          <t>Sofort</t>
        </is>
      </c>
      <c r="H114" s="34" t="inlineStr">
        <is>
          <t>Sofort</t>
        </is>
      </c>
      <c r="I114" s="34" t="inlineStr">
        <is>
          <t>1W10+5min</t>
        </is>
      </c>
      <c r="J114" s="41" t="inlineStr">
        <is>
          <t>Man braucht für  1W10+5min nicht atmen.</t>
        </is>
      </c>
      <c r="K114" s="36" t="n">
        <v>1</v>
      </c>
      <c r="L114" s="44" t="n">
        <v>0</v>
      </c>
      <c r="M114" t="n">
        <v>3</v>
      </c>
      <c r="N114" s="42" t="n">
        <v>50</v>
      </c>
      <c r="O114" s="38">
        <f>N114*(K114+L114)</f>
        <v/>
      </c>
      <c r="P114" s="30" t="n">
        <v>24</v>
      </c>
    </row>
    <row r="115">
      <c r="A115" s="30" t="inlineStr">
        <is>
          <t>Zustandstränke</t>
        </is>
      </c>
      <c r="B115" s="34" t="inlineStr">
        <is>
          <t>magisch</t>
        </is>
      </c>
      <c r="C115" s="35" t="inlineStr">
        <is>
          <t xml:space="preserve">Lufttrank </t>
        </is>
      </c>
      <c r="D115" s="36" t="n">
        <v>30</v>
      </c>
      <c r="E115" s="36" t="inlineStr">
        <is>
          <t>J</t>
        </is>
      </c>
      <c r="F115" s="34" t="inlineStr">
        <is>
          <t>Nahrung</t>
        </is>
      </c>
      <c r="G115" s="34" t="inlineStr">
        <is>
          <t>Sofort</t>
        </is>
      </c>
      <c r="H115" s="34" t="inlineStr">
        <is>
          <t>Sofort</t>
        </is>
      </c>
      <c r="I115" s="34" t="inlineStr">
        <is>
          <t>1W20+5min</t>
        </is>
      </c>
      <c r="J115" s="34" t="inlineStr">
        <is>
          <t>Man braucht für  1W20+5min nicht atmen.</t>
        </is>
      </c>
      <c r="K115" s="36" t="n">
        <v>1</v>
      </c>
      <c r="L115" s="44" t="n">
        <v>0</v>
      </c>
      <c r="M115" t="n">
        <v>3</v>
      </c>
      <c r="N115" s="38" t="n">
        <v>75</v>
      </c>
      <c r="O115" s="38">
        <f>N115*(K115+L115)</f>
        <v/>
      </c>
      <c r="P115" s="30" t="n">
        <v>36</v>
      </c>
    </row>
    <row r="116">
      <c r="A116" s="30" t="inlineStr">
        <is>
          <t>Zustandstränke</t>
        </is>
      </c>
      <c r="B116" s="34" t="inlineStr">
        <is>
          <t>magisch</t>
        </is>
      </c>
      <c r="C116" s="35" t="inlineStr">
        <is>
          <t>Flugtrank</t>
        </is>
      </c>
      <c r="D116" s="36" t="n">
        <v>65</v>
      </c>
      <c r="E116" s="36" t="inlineStr">
        <is>
          <t>J</t>
        </is>
      </c>
      <c r="F116" s="34" t="inlineStr">
        <is>
          <t>Nahrung</t>
        </is>
      </c>
      <c r="G116" s="34" t="inlineStr">
        <is>
          <t>1 KR</t>
        </is>
      </c>
      <c r="H116" s="34" t="inlineStr">
        <is>
          <t>7 KR</t>
        </is>
      </c>
      <c r="I116" s="34" t="inlineStr">
        <is>
          <t>10min</t>
        </is>
      </c>
      <c r="J116" s="34" t="inlineStr">
        <is>
          <t>Man kann mit 10m/s Fliegen</t>
        </is>
      </c>
      <c r="K116" s="36" t="n">
        <v>4</v>
      </c>
      <c r="L116" s="44" t="n">
        <v>0</v>
      </c>
      <c r="M116" t="n">
        <v>7</v>
      </c>
      <c r="N116" s="38" t="n">
        <v>190</v>
      </c>
      <c r="O116" s="38">
        <f>N116*(K116+L116)</f>
        <v/>
      </c>
      <c r="P116" s="30" t="n">
        <v>72</v>
      </c>
    </row>
    <row r="117">
      <c r="A117" s="30" t="inlineStr">
        <is>
          <t>Zustandstränke</t>
        </is>
      </c>
      <c r="B117" s="34" t="inlineStr">
        <is>
          <t>magisch</t>
        </is>
      </c>
      <c r="C117" s="35" t="inlineStr">
        <is>
          <t>Starker Flugtrank</t>
        </is>
      </c>
      <c r="D117" s="36" t="n">
        <v>75</v>
      </c>
      <c r="E117" s="36" t="inlineStr">
        <is>
          <t>J</t>
        </is>
      </c>
      <c r="F117" s="34" t="inlineStr">
        <is>
          <t>Nahrung</t>
        </is>
      </c>
      <c r="G117" s="34" t="inlineStr">
        <is>
          <t>1 KR</t>
        </is>
      </c>
      <c r="H117" s="34" t="inlineStr">
        <is>
          <t>7 KR</t>
        </is>
      </c>
      <c r="I117" s="34" t="inlineStr">
        <is>
          <t>30min</t>
        </is>
      </c>
      <c r="J117" s="34" t="inlineStr">
        <is>
          <t>Man kann mit 15m/s Fliegen</t>
        </is>
      </c>
      <c r="K117" s="36" t="n">
        <v>4</v>
      </c>
      <c r="L117" s="44" t="n">
        <v>0</v>
      </c>
      <c r="M117" t="n">
        <v>7</v>
      </c>
      <c r="N117" s="38" t="n">
        <v>625</v>
      </c>
      <c r="O117" s="38">
        <f>N117*(K117+L117)</f>
        <v/>
      </c>
      <c r="P117" s="30" t="n">
        <v>120</v>
      </c>
    </row>
    <row r="118">
      <c r="A118" s="30" t="inlineStr">
        <is>
          <t>Zustandstränke</t>
        </is>
      </c>
      <c r="B118" s="34" t="inlineStr">
        <is>
          <t>magisch</t>
        </is>
      </c>
      <c r="C118" s="35" t="inlineStr">
        <is>
          <t>Leichter Flugtrank</t>
        </is>
      </c>
      <c r="D118" s="36" t="n">
        <v>55</v>
      </c>
      <c r="E118" s="36" t="inlineStr">
        <is>
          <t>J</t>
        </is>
      </c>
      <c r="F118" s="34" t="inlineStr">
        <is>
          <t>Nahrung</t>
        </is>
      </c>
      <c r="G118" s="34" t="inlineStr">
        <is>
          <t>1 KR</t>
        </is>
      </c>
      <c r="H118" s="34" t="inlineStr">
        <is>
          <t>7 KR</t>
        </is>
      </c>
      <c r="I118" s="34" t="inlineStr">
        <is>
          <t>1min</t>
        </is>
      </c>
      <c r="J118" s="34" t="inlineStr">
        <is>
          <t>Man kann mit 5m/s Fliegen</t>
        </is>
      </c>
      <c r="K118" s="36" t="n">
        <v>4</v>
      </c>
      <c r="L118" s="44" t="n">
        <v>0</v>
      </c>
      <c r="M118" t="n">
        <v>6</v>
      </c>
      <c r="N118" s="38" t="n">
        <v>65</v>
      </c>
      <c r="O118" s="38">
        <f>N118*(K118+L118)</f>
        <v/>
      </c>
      <c r="P118" s="30" t="n">
        <v>48</v>
      </c>
    </row>
    <row r="119">
      <c r="A119" s="30" t="inlineStr">
        <is>
          <t>Zustandstränke</t>
        </is>
      </c>
      <c r="B119" s="34" t="inlineStr">
        <is>
          <t>profan</t>
        </is>
      </c>
      <c r="C119" s="35" t="inlineStr">
        <is>
          <t>Geruchslossalbe</t>
        </is>
      </c>
      <c r="D119" s="36" t="n">
        <v>75</v>
      </c>
      <c r="E119" s="36" t="inlineStr">
        <is>
          <t>N</t>
        </is>
      </c>
      <c r="F119" s="34" t="inlineStr">
        <is>
          <t>Kontakt</t>
        </is>
      </c>
      <c r="G119" s="34" t="inlineStr">
        <is>
          <t>2 KR</t>
        </is>
      </c>
      <c r="H119" s="34" t="inlineStr">
        <is>
          <t>5 KR</t>
        </is>
      </c>
      <c r="I119" s="34" t="inlineStr">
        <is>
          <t>6h</t>
        </is>
      </c>
      <c r="J119" s="34" t="inlineStr">
        <is>
          <t>Man verliert seinen Geruch komplett</t>
        </is>
      </c>
      <c r="K119" s="36" t="n">
        <v>2</v>
      </c>
      <c r="L119" s="44" t="n">
        <v>0</v>
      </c>
      <c r="M119" t="n">
        <v>5</v>
      </c>
      <c r="N119" s="38" t="n">
        <v>25</v>
      </c>
      <c r="O119" s="38">
        <f>N119*(K119+L119)</f>
        <v/>
      </c>
      <c r="P119" s="30" t="n">
        <v>12</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Standard</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Standard</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Y242"/>
  <sheetViews>
    <sheetView workbookViewId="0">
      <selection activeCell="A1" sqref="A1"/>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RS-Basis</t>
        </is>
      </c>
      <c r="Y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Hiebwaffen</t>
        </is>
      </c>
      <c r="B5" t="inlineStr">
        <is>
          <t>Äxte</t>
        </is>
      </c>
      <c r="C5" t="inlineStr">
        <is>
          <t>Axt</t>
        </is>
      </c>
      <c r="D5" t="n">
        <v>7</v>
      </c>
      <c r="E5" t="n">
        <v>6</v>
      </c>
      <c r="F5" t="inlineStr">
        <is>
          <t>W20</t>
        </is>
      </c>
      <c r="H5" t="n">
        <v>2</v>
      </c>
      <c r="I5" t="n">
        <v>-6</v>
      </c>
      <c r="J5" t="n">
        <v>0</v>
      </c>
      <c r="K5" t="n">
        <v>-4</v>
      </c>
      <c r="L5" t="n">
        <v>-5</v>
      </c>
      <c r="M5" t="n">
        <v>17</v>
      </c>
      <c r="N5" t="n">
        <v>10</v>
      </c>
      <c r="O5" t="n">
        <v>0.72</v>
      </c>
      <c r="P5" t="n">
        <v>3</v>
      </c>
      <c r="Q5" t="inlineStr">
        <is>
          <t>Holzschaft</t>
        </is>
      </c>
      <c r="R5" t="n">
        <v>17</v>
      </c>
      <c r="S5" t="n">
        <v>7</v>
      </c>
      <c r="T5" t="n">
        <v>8</v>
      </c>
      <c r="U5" t="n">
        <v>1.8</v>
      </c>
      <c r="V5" t="n">
        <v>1.5</v>
      </c>
    </row>
    <row r="6">
      <c r="A6" t="inlineStr">
        <is>
          <t>Stichwaffen</t>
        </is>
      </c>
      <c r="B6" t="inlineStr">
        <is>
          <t>Fechtwaffen</t>
        </is>
      </c>
      <c r="C6" t="inlineStr">
        <is>
          <t>Bajonett abgepflanzt</t>
        </is>
      </c>
      <c r="D6" t="n">
        <v>6</v>
      </c>
      <c r="E6" t="n">
        <v>3</v>
      </c>
      <c r="F6" t="inlineStr">
        <is>
          <t>W12</t>
        </is>
      </c>
      <c r="G6" t="inlineStr">
        <is>
          <t>W4</t>
        </is>
      </c>
      <c r="H6" t="n">
        <v>5</v>
      </c>
      <c r="I6" t="n">
        <v>-3</v>
      </c>
      <c r="J6" t="n">
        <v>0</v>
      </c>
      <c r="K6" t="n">
        <v>-3</v>
      </c>
      <c r="L6" t="n">
        <v>-5</v>
      </c>
      <c r="M6" t="n">
        <v>7</v>
      </c>
      <c r="N6" t="n">
        <v>5</v>
      </c>
      <c r="O6" t="n">
        <v>0.6</v>
      </c>
      <c r="P6" t="n">
        <v>4</v>
      </c>
      <c r="R6" t="n">
        <v>9</v>
      </c>
      <c r="S6" t="n">
        <v>15</v>
      </c>
      <c r="T6" t="n">
        <v>5</v>
      </c>
      <c r="U6" t="n">
        <v>0.6</v>
      </c>
      <c r="V6" t="n">
        <v>1</v>
      </c>
    </row>
    <row r="7">
      <c r="A7" t="inlineStr">
        <is>
          <t>Stangenwaffen</t>
        </is>
      </c>
      <c r="B7" t="inlineStr">
        <is>
          <t>Speere</t>
        </is>
      </c>
      <c r="C7" t="inlineStr">
        <is>
          <t>Bajonett aufgepflanzt</t>
        </is>
      </c>
      <c r="D7" t="n">
        <v>21</v>
      </c>
      <c r="E7" t="n">
        <v>3</v>
      </c>
      <c r="F7" t="inlineStr">
        <is>
          <t>W12</t>
        </is>
      </c>
      <c r="G7" t="inlineStr">
        <is>
          <t>W4</t>
        </is>
      </c>
      <c r="H7" t="n">
        <v>5</v>
      </c>
      <c r="I7" t="n">
        <v>-4</v>
      </c>
      <c r="J7" t="n">
        <v>0</v>
      </c>
      <c r="K7" t="n">
        <v>-5</v>
      </c>
      <c r="L7" t="n">
        <v>-5</v>
      </c>
      <c r="M7" t="inlineStr">
        <is>
          <t>wie Feuerwaffe*2</t>
        </is>
      </c>
      <c r="N7" t="inlineStr">
        <is>
          <t>wie Feuerwaffe</t>
        </is>
      </c>
      <c r="O7" t="n">
        <v>2</v>
      </c>
      <c r="P7" t="n">
        <v>4</v>
      </c>
      <c r="R7" t="n">
        <v>3</v>
      </c>
      <c r="S7" t="n">
        <v>8</v>
      </c>
      <c r="T7" t="n">
        <v>5</v>
      </c>
      <c r="U7" t="n">
        <v>0.6</v>
      </c>
      <c r="V7" t="n">
        <v>1</v>
      </c>
    </row>
    <row r="8">
      <c r="A8" t="inlineStr">
        <is>
          <t>Hiebwaffen</t>
        </is>
      </c>
      <c r="B8" t="inlineStr">
        <is>
          <t>Beidhand-Hiebwaffen</t>
        </is>
      </c>
      <c r="C8" t="inlineStr">
        <is>
          <t>Barbarendoppelaxt</t>
        </is>
      </c>
      <c r="D8" t="n">
        <v>14</v>
      </c>
      <c r="E8" t="n">
        <v>8</v>
      </c>
      <c r="F8" t="inlineStr">
        <is>
          <t>W20</t>
        </is>
      </c>
      <c r="G8" t="inlineStr">
        <is>
          <t>[2W12]</t>
        </is>
      </c>
      <c r="H8" t="n">
        <v>1.5</v>
      </c>
      <c r="I8" t="n">
        <v>-16</v>
      </c>
      <c r="J8" t="n">
        <v>0</v>
      </c>
      <c r="K8" t="n">
        <v>-7</v>
      </c>
      <c r="L8" t="n">
        <v>-7</v>
      </c>
      <c r="M8" t="n">
        <v>36</v>
      </c>
      <c r="N8" t="n">
        <v>20</v>
      </c>
      <c r="O8" t="n">
        <v>1.4</v>
      </c>
      <c r="P8" t="inlineStr">
        <is>
          <t>--</t>
        </is>
      </c>
      <c r="Q8" t="inlineStr">
        <is>
          <t>Holzschaft</t>
        </is>
      </c>
      <c r="R8" t="n">
        <v>23</v>
      </c>
      <c r="S8" t="n">
        <v>8</v>
      </c>
      <c r="T8" t="n">
        <v>24</v>
      </c>
      <c r="U8" t="n">
        <v>3.5</v>
      </c>
      <c r="V8" t="n">
        <v>2.5</v>
      </c>
    </row>
    <row r="9">
      <c r="A9" t="inlineStr">
        <is>
          <t>Klingenwaffen</t>
        </is>
      </c>
      <c r="B9" t="inlineStr">
        <is>
          <t>Schwerter</t>
        </is>
      </c>
      <c r="C9" t="inlineStr">
        <is>
          <t>Barbarenschwert</t>
        </is>
      </c>
      <c r="D9" t="n">
        <v>11</v>
      </c>
      <c r="E9" t="n">
        <v>6</v>
      </c>
      <c r="F9" t="inlineStr">
        <is>
          <t>W10</t>
        </is>
      </c>
      <c r="G9" t="inlineStr">
        <is>
          <t>W8</t>
        </is>
      </c>
      <c r="H9" t="n">
        <v>2</v>
      </c>
      <c r="I9" t="n">
        <v>-5</v>
      </c>
      <c r="J9" t="n">
        <v>0</v>
      </c>
      <c r="K9" t="n">
        <v>-5</v>
      </c>
      <c r="L9" t="n">
        <v>-5</v>
      </c>
      <c r="M9" t="n">
        <v>16</v>
      </c>
      <c r="N9" t="n">
        <v>12</v>
      </c>
      <c r="O9" t="n">
        <v>1.1</v>
      </c>
      <c r="P9" t="inlineStr">
        <is>
          <t>--</t>
        </is>
      </c>
      <c r="R9" t="n">
        <v>14</v>
      </c>
      <c r="S9" t="n">
        <v>15</v>
      </c>
      <c r="T9" t="n">
        <v>16</v>
      </c>
      <c r="U9" t="n">
        <v>1.5</v>
      </c>
      <c r="V9" t="n">
        <v>4</v>
      </c>
    </row>
    <row r="10">
      <c r="A10" t="inlineStr">
        <is>
          <t>Klingenwaffen</t>
        </is>
      </c>
      <c r="B10" t="inlineStr">
        <is>
          <t>Zweihänder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Schwerter</t>
        </is>
      </c>
      <c r="C11" t="inlineStr">
        <is>
          <t>Bastardschwert</t>
        </is>
      </c>
      <c r="D11" t="n">
        <v>13</v>
      </c>
      <c r="E11" t="n">
        <v>6</v>
      </c>
      <c r="F11" t="inlineStr">
        <is>
          <t>W15</t>
        </is>
      </c>
      <c r="G11" t="inlineStr">
        <is>
          <t xml:space="preserve">W10 </t>
        </is>
      </c>
      <c r="H11" t="n">
        <v>2</v>
      </c>
      <c r="I11" t="n">
        <v>-8</v>
      </c>
      <c r="J11" t="n">
        <v>0</v>
      </c>
      <c r="K11" t="n">
        <v>-5</v>
      </c>
      <c r="L11" t="n">
        <v>-4</v>
      </c>
      <c r="M11" t="n">
        <v>20</v>
      </c>
      <c r="N11" t="n">
        <v>13</v>
      </c>
      <c r="O11" t="n">
        <v>1.3</v>
      </c>
      <c r="P11" t="inlineStr">
        <is>
          <t>--</t>
        </is>
      </c>
      <c r="R11" t="n">
        <v>14</v>
      </c>
      <c r="S11" t="n">
        <v>15</v>
      </c>
      <c r="T11" t="n">
        <v>19</v>
      </c>
      <c r="U11" t="n">
        <v>2</v>
      </c>
      <c r="V11" t="n">
        <v>4</v>
      </c>
    </row>
    <row r="12">
      <c r="A12" t="inlineStr">
        <is>
          <t>Klingenwaffen</t>
        </is>
      </c>
      <c r="B12" t="inlineStr">
        <is>
          <t>Zweihänder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Bat'leth  orkisch</t>
        </is>
      </c>
      <c r="D13" t="n">
        <v>11</v>
      </c>
      <c r="E13" t="n">
        <v>5.5</v>
      </c>
      <c r="F13" t="inlineStr">
        <is>
          <t>W10</t>
        </is>
      </c>
      <c r="G13" t="inlineStr">
        <is>
          <t>W10</t>
        </is>
      </c>
      <c r="H13" t="n">
        <v>2</v>
      </c>
      <c r="I13" t="n">
        <v>-8</v>
      </c>
      <c r="J13" t="n">
        <v>0</v>
      </c>
      <c r="K13" t="n">
        <v>-3</v>
      </c>
      <c r="L13" t="n">
        <v>-3</v>
      </c>
      <c r="M13" t="n">
        <v>15</v>
      </c>
      <c r="N13" t="n">
        <v>9</v>
      </c>
      <c r="O13" t="n">
        <v>1.16</v>
      </c>
      <c r="P13" t="inlineStr">
        <is>
          <t>--</t>
        </is>
      </c>
      <c r="Q13" t="inlineStr">
        <is>
          <t>Schnell</t>
        </is>
      </c>
      <c r="R13" t="n">
        <v>14</v>
      </c>
      <c r="S13" t="n">
        <v>14</v>
      </c>
      <c r="T13" t="n">
        <v>24</v>
      </c>
      <c r="U13" t="n">
        <v>3</v>
      </c>
      <c r="V13" t="n">
        <v>8</v>
      </c>
    </row>
    <row r="14">
      <c r="A14" t="inlineStr">
        <is>
          <t>Stangenwaffen</t>
        </is>
      </c>
      <c r="B14" t="inlineStr">
        <is>
          <t>Stäbe</t>
        </is>
      </c>
      <c r="C14" t="inlineStr">
        <is>
          <t>Bat'leth kurz</t>
        </is>
      </c>
      <c r="D14" t="n">
        <v>10</v>
      </c>
      <c r="E14" t="n">
        <v>4</v>
      </c>
      <c r="F14" t="inlineStr">
        <is>
          <t>W12</t>
        </is>
      </c>
      <c r="G14" t="inlineStr">
        <is>
          <t>W6</t>
        </is>
      </c>
      <c r="H14" t="n">
        <v>2</v>
      </c>
      <c r="I14" t="n">
        <v>-8</v>
      </c>
      <c r="J14" t="n">
        <v>0</v>
      </c>
      <c r="K14" t="n">
        <v>-3</v>
      </c>
      <c r="L14" t="n">
        <v>-4</v>
      </c>
      <c r="M14" t="n">
        <v>13</v>
      </c>
      <c r="N14" t="n">
        <v>8</v>
      </c>
      <c r="O14" t="n">
        <v>1</v>
      </c>
      <c r="P14" t="n">
        <v>0</v>
      </c>
      <c r="R14" t="n">
        <v>14</v>
      </c>
      <c r="S14" t="n">
        <v>14</v>
      </c>
      <c r="T14" t="n">
        <v>20</v>
      </c>
      <c r="U14" t="n">
        <v>2</v>
      </c>
      <c r="V14" t="n">
        <v>8</v>
      </c>
    </row>
    <row r="15">
      <c r="A15" t="inlineStr">
        <is>
          <t>Klingenwaffen</t>
        </is>
      </c>
      <c r="B15" t="inlineStr">
        <is>
          <t>Zweihänder</t>
        </is>
      </c>
      <c r="C15" t="inlineStr">
        <is>
          <t>Bat'leth kurz</t>
        </is>
      </c>
      <c r="D15" t="n">
        <v>10</v>
      </c>
      <c r="E15" t="n">
        <v>4</v>
      </c>
      <c r="F15" t="inlineStr">
        <is>
          <t>W12</t>
        </is>
      </c>
      <c r="G15" t="inlineStr">
        <is>
          <t>W6</t>
        </is>
      </c>
      <c r="H15" t="n">
        <v>2</v>
      </c>
      <c r="I15" t="n">
        <v>-8</v>
      </c>
      <c r="J15" t="n">
        <v>0</v>
      </c>
      <c r="K15" t="n">
        <v>-3</v>
      </c>
      <c r="L15" t="n">
        <v>-4</v>
      </c>
      <c r="M15" t="n">
        <v>13</v>
      </c>
      <c r="N15" t="n">
        <v>8</v>
      </c>
      <c r="O15" t="n">
        <v>1</v>
      </c>
      <c r="P15" t="n">
        <v>0</v>
      </c>
      <c r="R15" t="n">
        <v>14</v>
      </c>
      <c r="S15" t="n">
        <v>14</v>
      </c>
      <c r="T15" t="n">
        <v>20</v>
      </c>
      <c r="U15" t="n">
        <v>2</v>
      </c>
      <c r="V15" t="n">
        <v>8</v>
      </c>
    </row>
    <row r="16">
      <c r="A16" t="inlineStr">
        <is>
          <t>Hiebwaffen</t>
        </is>
      </c>
      <c r="B16" t="inlineStr">
        <is>
          <t>Äxte</t>
        </is>
      </c>
      <c r="C16" t="inlineStr">
        <is>
          <t>Beil</t>
        </is>
      </c>
      <c r="D16" t="n">
        <v>4</v>
      </c>
      <c r="E16" t="n">
        <v>5</v>
      </c>
      <c r="F16" t="inlineStr">
        <is>
          <t>W20</t>
        </is>
      </c>
      <c r="H16" t="n">
        <v>3</v>
      </c>
      <c r="I16" t="n">
        <v>-5</v>
      </c>
      <c r="J16" t="n">
        <v>0</v>
      </c>
      <c r="K16" t="n">
        <v>-5</v>
      </c>
      <c r="L16" t="n">
        <v>-5</v>
      </c>
      <c r="M16" t="n">
        <v>12</v>
      </c>
      <c r="N16" t="n">
        <v>8</v>
      </c>
      <c r="O16" t="n">
        <v>0.4</v>
      </c>
      <c r="P16" t="n">
        <v>6</v>
      </c>
      <c r="Q16" t="inlineStr">
        <is>
          <t>Holzschaft</t>
        </is>
      </c>
      <c r="R16" t="n">
        <v>16</v>
      </c>
      <c r="S16" t="n">
        <v>7</v>
      </c>
      <c r="T16" t="n">
        <v>6</v>
      </c>
      <c r="U16" t="n">
        <v>0.6</v>
      </c>
      <c r="V16" t="n">
        <v>1</v>
      </c>
    </row>
    <row r="17">
      <c r="A17" t="inlineStr">
        <is>
          <t>Hiebwaffen</t>
        </is>
      </c>
      <c r="B17" t="inlineStr">
        <is>
          <t>Beidhand-Hiebwaffen</t>
        </is>
      </c>
      <c r="C17" t="inlineStr">
        <is>
          <t>Berdysch</t>
        </is>
      </c>
      <c r="D17" t="n">
        <v>13</v>
      </c>
      <c r="E17" t="n">
        <v>6.5</v>
      </c>
      <c r="F17" t="inlineStr">
        <is>
          <t>W20</t>
        </is>
      </c>
      <c r="G17" t="inlineStr">
        <is>
          <t>W6</t>
        </is>
      </c>
      <c r="H17" t="n">
        <v>2</v>
      </c>
      <c r="I17" t="n">
        <v>-8</v>
      </c>
      <c r="J17" t="n">
        <v>0</v>
      </c>
      <c r="K17" t="n">
        <v>-6</v>
      </c>
      <c r="L17" t="n">
        <v>-5</v>
      </c>
      <c r="M17" t="n">
        <v>24</v>
      </c>
      <c r="N17" t="n">
        <v>14</v>
      </c>
      <c r="O17" t="n">
        <v>1.4</v>
      </c>
      <c r="P17" t="inlineStr">
        <is>
          <t>--</t>
        </is>
      </c>
      <c r="Q17" t="inlineStr">
        <is>
          <t>Holzschaft</t>
        </is>
      </c>
      <c r="R17" t="n">
        <v>18</v>
      </c>
      <c r="S17" t="n">
        <v>7</v>
      </c>
      <c r="T17" t="n">
        <v>18</v>
      </c>
      <c r="U17" t="n">
        <v>2</v>
      </c>
      <c r="V17" t="n">
        <v>2</v>
      </c>
    </row>
    <row r="18">
      <c r="A18" t="inlineStr">
        <is>
          <t>Stangenwaffen</t>
        </is>
      </c>
      <c r="B18" t="inlineStr">
        <is>
          <t>Hellebarden</t>
        </is>
      </c>
      <c r="C18" t="inlineStr">
        <is>
          <t>Berdysch</t>
        </is>
      </c>
      <c r="D18" t="n">
        <v>13</v>
      </c>
      <c r="E18" t="n">
        <v>6.5</v>
      </c>
      <c r="F18" t="inlineStr">
        <is>
          <t>W20</t>
        </is>
      </c>
      <c r="G18" t="inlineStr">
        <is>
          <t>W6</t>
        </is>
      </c>
      <c r="H18" t="n">
        <v>2</v>
      </c>
      <c r="I18" t="n">
        <v>-8</v>
      </c>
      <c r="J18" t="n">
        <v>0</v>
      </c>
      <c r="K18" t="n">
        <v>-6</v>
      </c>
      <c r="L18" t="n">
        <v>-5</v>
      </c>
      <c r="M18" t="n">
        <v>24</v>
      </c>
      <c r="N18" t="n">
        <v>14</v>
      </c>
      <c r="O18" t="n">
        <v>1.4</v>
      </c>
      <c r="P18" t="inlineStr">
        <is>
          <t>--</t>
        </is>
      </c>
      <c r="Q18" t="inlineStr">
        <is>
          <t>Holzschaft</t>
        </is>
      </c>
      <c r="R18" t="n">
        <v>18</v>
      </c>
      <c r="S18" t="n">
        <v>7</v>
      </c>
      <c r="T18" t="n">
        <v>18</v>
      </c>
      <c r="U18" t="n">
        <v>2</v>
      </c>
      <c r="V18" t="n">
        <v>2</v>
      </c>
    </row>
    <row r="19">
      <c r="A19" t="inlineStr">
        <is>
          <t>Klingenwaffen</t>
        </is>
      </c>
      <c r="B19" t="inlineStr">
        <is>
          <t>Schwerter</t>
        </is>
      </c>
      <c r="C19" t="inlineStr">
        <is>
          <t>Breitschwert</t>
        </is>
      </c>
      <c r="D19" t="n">
        <v>9</v>
      </c>
      <c r="E19" t="n">
        <v>6</v>
      </c>
      <c r="F19" t="inlineStr">
        <is>
          <t>W10</t>
        </is>
      </c>
      <c r="G19" t="inlineStr">
        <is>
          <t>W10</t>
        </is>
      </c>
      <c r="H19" t="n">
        <v>3</v>
      </c>
      <c r="I19" t="n">
        <v>-4</v>
      </c>
      <c r="J19" t="n">
        <v>0</v>
      </c>
      <c r="K19" t="n">
        <v>-4</v>
      </c>
      <c r="L19" t="n">
        <v>-4</v>
      </c>
      <c r="M19" t="n">
        <v>14</v>
      </c>
      <c r="N19" t="n">
        <v>10</v>
      </c>
      <c r="O19" t="n">
        <v>0.9</v>
      </c>
      <c r="P19" t="n">
        <v>2</v>
      </c>
      <c r="R19" t="n">
        <v>16</v>
      </c>
      <c r="S19" t="n">
        <v>15</v>
      </c>
      <c r="T19" t="n">
        <v>14</v>
      </c>
      <c r="U19" t="n">
        <v>1</v>
      </c>
      <c r="V19" t="n">
        <v>4</v>
      </c>
    </row>
    <row r="20">
      <c r="A20" t="inlineStr">
        <is>
          <t>Klingenwaffen</t>
        </is>
      </c>
      <c r="B20" t="inlineStr">
        <is>
          <t>Zweihänder</t>
        </is>
      </c>
      <c r="C20" t="inlineStr">
        <is>
          <t>Claymore</t>
        </is>
      </c>
      <c r="D20" t="n">
        <v>16</v>
      </c>
      <c r="E20" t="n">
        <v>7.5</v>
      </c>
      <c r="F20" t="inlineStr">
        <is>
          <t>W15</t>
        </is>
      </c>
      <c r="G20" t="inlineStr">
        <is>
          <t>W12</t>
        </is>
      </c>
      <c r="H20" t="n">
        <v>1.5</v>
      </c>
      <c r="I20" t="n">
        <v>-11</v>
      </c>
      <c r="J20" t="n">
        <v>0</v>
      </c>
      <c r="K20" t="n">
        <v>-7</v>
      </c>
      <c r="L20" t="n">
        <v>-6</v>
      </c>
      <c r="M20" t="n">
        <v>28</v>
      </c>
      <c r="N20" t="n">
        <v>16</v>
      </c>
      <c r="O20" t="n">
        <v>1.6</v>
      </c>
      <c r="P20" t="inlineStr">
        <is>
          <t>--</t>
        </is>
      </c>
      <c r="R20" t="n">
        <v>17</v>
      </c>
      <c r="S20" t="n">
        <v>13</v>
      </c>
      <c r="T20" t="n">
        <v>24</v>
      </c>
      <c r="U20" t="n">
        <v>2.5</v>
      </c>
      <c r="V20" t="n">
        <v>5</v>
      </c>
    </row>
    <row r="21">
      <c r="A21" t="inlineStr">
        <is>
          <t>Klingenwaffen</t>
        </is>
      </c>
      <c r="B21" t="inlineStr">
        <is>
          <t>Zweihänder</t>
        </is>
      </c>
      <c r="C21" t="inlineStr">
        <is>
          <t>Dai Katana</t>
        </is>
      </c>
      <c r="D21" t="n">
        <v>14</v>
      </c>
      <c r="E21" t="n">
        <v>6.5</v>
      </c>
      <c r="F21" t="inlineStr">
        <is>
          <t>2W12</t>
        </is>
      </c>
      <c r="H21" t="n">
        <v>2</v>
      </c>
      <c r="I21" t="n">
        <v>-8</v>
      </c>
      <c r="J21" t="n">
        <v>0</v>
      </c>
      <c r="K21" t="n">
        <v>-4</v>
      </c>
      <c r="L21" t="n">
        <v>-4</v>
      </c>
      <c r="M21" t="n">
        <v>22</v>
      </c>
      <c r="N21" t="n">
        <v>13</v>
      </c>
      <c r="O21" t="n">
        <v>1.35</v>
      </c>
      <c r="P21" t="inlineStr">
        <is>
          <t>--</t>
        </is>
      </c>
      <c r="R21" t="n">
        <v>16</v>
      </c>
      <c r="S21" t="n">
        <v>14</v>
      </c>
      <c r="T21" t="n">
        <v>25</v>
      </c>
      <c r="U21" t="n">
        <v>1.2</v>
      </c>
      <c r="V21" t="n">
        <v>5</v>
      </c>
    </row>
    <row r="22">
      <c r="A22" t="inlineStr">
        <is>
          <t>Stichwaffen</t>
        </is>
      </c>
      <c r="B22" t="inlineStr">
        <is>
          <t>Fechtwaffen</t>
        </is>
      </c>
      <c r="C22" t="inlineStr">
        <is>
          <t>Degen</t>
        </is>
      </c>
      <c r="D22" t="n">
        <v>13</v>
      </c>
      <c r="E22" t="n">
        <v>3.5</v>
      </c>
      <c r="F22" t="inlineStr">
        <is>
          <t>W15</t>
        </is>
      </c>
      <c r="H22" t="n">
        <v>7</v>
      </c>
      <c r="I22" t="n">
        <v>-2</v>
      </c>
      <c r="J22" t="n">
        <v>0</v>
      </c>
      <c r="K22" t="n">
        <v>-2</v>
      </c>
      <c r="L22" t="n">
        <v>0</v>
      </c>
      <c r="M22" t="n">
        <v>9</v>
      </c>
      <c r="N22" t="n">
        <v>6</v>
      </c>
      <c r="O22" t="n">
        <v>1.2</v>
      </c>
      <c r="P22" t="n">
        <v>1</v>
      </c>
      <c r="R22" t="n">
        <v>7</v>
      </c>
      <c r="S22" t="n">
        <v>14</v>
      </c>
      <c r="T22" t="n">
        <v>18</v>
      </c>
      <c r="U22" t="n">
        <v>0.75</v>
      </c>
      <c r="V22" t="n">
        <v>4</v>
      </c>
    </row>
    <row r="23">
      <c r="A23" t="inlineStr">
        <is>
          <t>Stichwaffen</t>
        </is>
      </c>
      <c r="B23" t="inlineStr">
        <is>
          <t>Dolche</t>
        </is>
      </c>
      <c r="C23" t="inlineStr">
        <is>
          <t>Dolch</t>
        </is>
      </c>
      <c r="D23" t="n">
        <v>3</v>
      </c>
      <c r="E23" t="n">
        <v>2</v>
      </c>
      <c r="F23" t="inlineStr">
        <is>
          <t>W15</t>
        </is>
      </c>
      <c r="H23" t="n">
        <v>5</v>
      </c>
      <c r="I23" t="n">
        <v>-3</v>
      </c>
      <c r="J23" t="n">
        <v>0</v>
      </c>
      <c r="K23" t="n">
        <v>-1</v>
      </c>
      <c r="L23" t="n">
        <v>-6</v>
      </c>
      <c r="M23" t="n">
        <v>6</v>
      </c>
      <c r="N23" t="n">
        <v>4</v>
      </c>
      <c r="O23" t="n">
        <v>0.3</v>
      </c>
      <c r="P23" t="n">
        <v>8</v>
      </c>
      <c r="R23" t="n">
        <v>12</v>
      </c>
      <c r="S23" t="n">
        <v>17</v>
      </c>
      <c r="T23" t="n">
        <v>5</v>
      </c>
      <c r="U23" t="n">
        <v>0.3</v>
      </c>
      <c r="V23" t="n">
        <v>1</v>
      </c>
    </row>
    <row r="24">
      <c r="A24" t="inlineStr">
        <is>
          <t>Stichwaffen</t>
        </is>
      </c>
      <c r="B24" t="inlineStr">
        <is>
          <t>Dolche</t>
        </is>
      </c>
      <c r="C24" t="inlineStr">
        <is>
          <t>Dolch ork, Blutrinne</t>
        </is>
      </c>
      <c r="D24" t="n">
        <v>3</v>
      </c>
      <c r="E24" t="n">
        <v>1</v>
      </c>
      <c r="F24" t="inlineStr">
        <is>
          <t>W15</t>
        </is>
      </c>
      <c r="H24" t="n">
        <v>6</v>
      </c>
      <c r="I24" t="n">
        <v>-3</v>
      </c>
      <c r="J24" t="n">
        <v>0</v>
      </c>
      <c r="K24" t="n">
        <v>-1</v>
      </c>
      <c r="L24" t="n">
        <v>-6</v>
      </c>
      <c r="M24" t="n">
        <v>6</v>
      </c>
      <c r="N24" t="n">
        <v>4</v>
      </c>
      <c r="O24" t="n">
        <v>0.3</v>
      </c>
      <c r="P24" t="n">
        <v>8</v>
      </c>
      <c r="Q24" t="inlineStr">
        <is>
          <t>Starke Blutung (x2)</t>
        </is>
      </c>
      <c r="R24" t="n">
        <v>12</v>
      </c>
      <c r="S24" t="n">
        <v>15</v>
      </c>
      <c r="T24" t="n">
        <v>7</v>
      </c>
      <c r="U24" t="n">
        <v>0.4</v>
      </c>
      <c r="V24" t="n">
        <v>2</v>
      </c>
    </row>
    <row r="25">
      <c r="A25" t="inlineStr">
        <is>
          <t>Stichwaffen</t>
        </is>
      </c>
      <c r="B25" t="inlineStr">
        <is>
          <t>Dolche</t>
        </is>
      </c>
      <c r="C25" t="inlineStr">
        <is>
          <t>Dolch orkisch, breit</t>
        </is>
      </c>
      <c r="D25" t="n">
        <v>3</v>
      </c>
      <c r="E25" t="n">
        <v>2</v>
      </c>
      <c r="F25" t="inlineStr">
        <is>
          <t>W15</t>
        </is>
      </c>
      <c r="H25" t="n">
        <v>4</v>
      </c>
      <c r="I25" t="n">
        <v>-4</v>
      </c>
      <c r="J25" t="n">
        <v>0</v>
      </c>
      <c r="K25" t="n">
        <v>-2</v>
      </c>
      <c r="L25" t="n">
        <v>-5</v>
      </c>
      <c r="M25" t="n">
        <v>7</v>
      </c>
      <c r="N25" t="n">
        <v>5</v>
      </c>
      <c r="O25" t="n">
        <v>0.3</v>
      </c>
      <c r="P25" t="n">
        <v>7</v>
      </c>
      <c r="R25" t="n">
        <v>12</v>
      </c>
      <c r="S25" t="n">
        <v>18</v>
      </c>
      <c r="T25" t="n">
        <v>5</v>
      </c>
      <c r="U25" t="n">
        <v>0.4</v>
      </c>
      <c r="V25" t="n">
        <v>1</v>
      </c>
    </row>
    <row r="26">
      <c r="A26" t="inlineStr">
        <is>
          <t>Stichwaffen</t>
        </is>
      </c>
      <c r="B26" t="inlineStr">
        <is>
          <t>Dolche</t>
        </is>
      </c>
      <c r="C26" t="inlineStr">
        <is>
          <t>Dolch orkisch, mit 3 eingedrehten Klingen</t>
        </is>
      </c>
      <c r="D26" t="n">
        <v>3</v>
      </c>
      <c r="E26" t="n">
        <v>3</v>
      </c>
      <c r="F26" t="inlineStr">
        <is>
          <t>W20</t>
        </is>
      </c>
      <c r="H26" t="n">
        <v>3</v>
      </c>
      <c r="I26" t="n">
        <v>-7</v>
      </c>
      <c r="J26" t="n">
        <v>0</v>
      </c>
      <c r="K26" t="n">
        <v>-2</v>
      </c>
      <c r="L26" t="n">
        <v>-5</v>
      </c>
      <c r="M26" t="n">
        <v>10</v>
      </c>
      <c r="N26" t="n">
        <v>8</v>
      </c>
      <c r="O26" t="n">
        <v>0.35</v>
      </c>
      <c r="P26" t="n">
        <v>4</v>
      </c>
      <c r="R26" t="n">
        <v>13</v>
      </c>
      <c r="S26" t="n">
        <v>18</v>
      </c>
      <c r="T26" t="n">
        <v>15</v>
      </c>
      <c r="U26" t="n">
        <v>0.5</v>
      </c>
      <c r="V26" t="n">
        <v>4</v>
      </c>
    </row>
    <row r="27">
      <c r="A27" t="inlineStr">
        <is>
          <t>Hiebwaffen</t>
        </is>
      </c>
      <c r="B27" t="inlineStr">
        <is>
          <t>Äxte</t>
        </is>
      </c>
      <c r="C27" t="inlineStr">
        <is>
          <t>Doppelaxt leicht</t>
        </is>
      </c>
      <c r="D27" t="n">
        <v>8</v>
      </c>
      <c r="E27" t="n">
        <v>6</v>
      </c>
      <c r="F27" t="inlineStr">
        <is>
          <t>W20</t>
        </is>
      </c>
      <c r="H27" t="n">
        <v>3</v>
      </c>
      <c r="I27" t="n">
        <v>-4</v>
      </c>
      <c r="J27" t="n">
        <v>0</v>
      </c>
      <c r="K27" t="n">
        <v>-5</v>
      </c>
      <c r="L27" t="n">
        <v>-6</v>
      </c>
      <c r="M27" t="n">
        <v>20</v>
      </c>
      <c r="N27" t="n">
        <v>14</v>
      </c>
      <c r="O27" t="n">
        <v>0.8</v>
      </c>
      <c r="P27" t="n">
        <v>0</v>
      </c>
      <c r="Q27" t="inlineStr">
        <is>
          <t>Holzschaft</t>
        </is>
      </c>
      <c r="R27" t="n">
        <v>17</v>
      </c>
      <c r="S27" t="n">
        <v>8</v>
      </c>
      <c r="T27" t="n">
        <v>15</v>
      </c>
      <c r="U27" t="n">
        <v>2.2</v>
      </c>
      <c r="V27" t="n">
        <v>2.5</v>
      </c>
    </row>
    <row r="28">
      <c r="A28" t="inlineStr">
        <is>
          <t>Hiebwaffen</t>
        </is>
      </c>
      <c r="B28" t="inlineStr">
        <is>
          <t>Äxte</t>
        </is>
      </c>
      <c r="C28" t="inlineStr">
        <is>
          <t>Doppelaxt zwergisch</t>
        </is>
      </c>
      <c r="D28" t="n">
        <v>9</v>
      </c>
      <c r="E28" t="n">
        <v>7.5</v>
      </c>
      <c r="F28" t="inlineStr">
        <is>
          <t>W20</t>
        </is>
      </c>
      <c r="G28" t="inlineStr">
        <is>
          <t>W15</t>
        </is>
      </c>
      <c r="H28" t="n">
        <v>2</v>
      </c>
      <c r="I28" t="n">
        <v>-12</v>
      </c>
      <c r="J28" t="n">
        <v>0</v>
      </c>
      <c r="K28" t="n">
        <v>-7</v>
      </c>
      <c r="L28" t="n">
        <v>-6</v>
      </c>
      <c r="M28" t="n">
        <v>28</v>
      </c>
      <c r="N28" t="n">
        <v>16</v>
      </c>
      <c r="O28" t="n">
        <v>0.9</v>
      </c>
      <c r="P28" t="inlineStr">
        <is>
          <t>--</t>
        </is>
      </c>
      <c r="Q28" t="inlineStr">
        <is>
          <t>Holzschaft</t>
        </is>
      </c>
      <c r="R28" t="n">
        <v>22</v>
      </c>
      <c r="S28" t="n">
        <v>8</v>
      </c>
      <c r="T28" t="n">
        <v>19</v>
      </c>
      <c r="U28" t="n">
        <v>2.5</v>
      </c>
      <c r="V28" t="n">
        <v>3</v>
      </c>
    </row>
    <row r="29">
      <c r="A29" t="inlineStr">
        <is>
          <t>Hiebwaffen</t>
        </is>
      </c>
      <c r="B29" t="inlineStr">
        <is>
          <t>Äxte</t>
        </is>
      </c>
      <c r="C29" t="inlineStr">
        <is>
          <t xml:space="preserve">Doppelbeil Zw. kurz </t>
        </is>
      </c>
      <c r="D29" t="n">
        <v>5</v>
      </c>
      <c r="E29" t="n">
        <v>6</v>
      </c>
      <c r="F29" t="inlineStr">
        <is>
          <t>W20</t>
        </is>
      </c>
      <c r="G29" t="inlineStr">
        <is>
          <t>[2W10]</t>
        </is>
      </c>
      <c r="H29" t="n">
        <v>3</v>
      </c>
      <c r="I29" t="n">
        <v>-11</v>
      </c>
      <c r="J29" t="n">
        <v>0</v>
      </c>
      <c r="K29" t="n">
        <v>-5</v>
      </c>
      <c r="L29" t="n">
        <v>-4</v>
      </c>
      <c r="M29" t="n">
        <v>18</v>
      </c>
      <c r="N29" t="n">
        <v>12</v>
      </c>
      <c r="O29" t="n">
        <v>0.55</v>
      </c>
      <c r="P29" t="n">
        <v>3</v>
      </c>
      <c r="Q29" t="inlineStr">
        <is>
          <t>Holzschaft</t>
        </is>
      </c>
      <c r="R29" t="n">
        <v>18</v>
      </c>
      <c r="S29" t="n">
        <v>8</v>
      </c>
      <c r="T29" t="n">
        <v>19</v>
      </c>
      <c r="U29" t="n">
        <v>1.5</v>
      </c>
      <c r="V29" t="n">
        <v>3</v>
      </c>
    </row>
    <row r="30">
      <c r="A30" t="inlineStr">
        <is>
          <t>Stangenwaffen</t>
        </is>
      </c>
      <c r="B30" t="inlineStr">
        <is>
          <t>Hellebarden</t>
        </is>
      </c>
      <c r="C30" t="inlineStr">
        <is>
          <t>Doppelblatthellebarde</t>
        </is>
      </c>
      <c r="D30" t="n">
        <v>18</v>
      </c>
      <c r="E30" t="n">
        <v>7</v>
      </c>
      <c r="F30" t="inlineStr">
        <is>
          <t>W20</t>
        </is>
      </c>
      <c r="G30" t="inlineStr">
        <is>
          <t>W4</t>
        </is>
      </c>
      <c r="H30" t="n">
        <v>2</v>
      </c>
      <c r="I30" t="n">
        <v>-9</v>
      </c>
      <c r="J30" t="n">
        <v>0</v>
      </c>
      <c r="K30" t="n">
        <v>-6</v>
      </c>
      <c r="L30" t="n">
        <v>-6</v>
      </c>
      <c r="M30" t="n">
        <v>36</v>
      </c>
      <c r="N30" t="n">
        <v>16</v>
      </c>
      <c r="O30" t="n">
        <v>1.8</v>
      </c>
      <c r="P30" t="inlineStr">
        <is>
          <t>--</t>
        </is>
      </c>
      <c r="Q30" t="inlineStr">
        <is>
          <t>Holzschaft</t>
        </is>
      </c>
      <c r="R30" t="n">
        <v>17</v>
      </c>
      <c r="S30" t="n">
        <v>7</v>
      </c>
      <c r="T30" t="n">
        <v>19</v>
      </c>
      <c r="U30" t="n">
        <v>3</v>
      </c>
      <c r="V30" t="n">
        <v>5</v>
      </c>
    </row>
    <row r="31">
      <c r="A31" t="inlineStr">
        <is>
          <t>Stangenwaffen</t>
        </is>
      </c>
      <c r="B31" t="inlineStr">
        <is>
          <t>Stäbe</t>
        </is>
      </c>
      <c r="C31" t="inlineStr">
        <is>
          <t>Doppelhellebarde (Kampfstab 2 Hellebarden)</t>
        </is>
      </c>
      <c r="D31" t="n">
        <v>10</v>
      </c>
      <c r="E31" t="n">
        <v>6</v>
      </c>
      <c r="F31" t="inlineStr">
        <is>
          <t>W15</t>
        </is>
      </c>
      <c r="G31" t="inlineStr">
        <is>
          <t>W8</t>
        </is>
      </c>
      <c r="H31" t="n">
        <v>3</v>
      </c>
      <c r="I31" t="n">
        <v>-7</v>
      </c>
      <c r="J31" t="n">
        <v>0</v>
      </c>
      <c r="K31" t="n">
        <v>-4</v>
      </c>
      <c r="L31" t="n">
        <v>-4</v>
      </c>
      <c r="M31" t="n">
        <v>46</v>
      </c>
      <c r="N31" t="n">
        <v>18</v>
      </c>
      <c r="O31" t="n">
        <v>1.8</v>
      </c>
      <c r="P31" t="inlineStr">
        <is>
          <t>--</t>
        </is>
      </c>
      <c r="Q31" t="inlineStr">
        <is>
          <t>Holzschaft</t>
        </is>
      </c>
      <c r="R31" t="n">
        <v>16</v>
      </c>
      <c r="S31" t="n">
        <v>7</v>
      </c>
      <c r="T31" t="n">
        <v>16</v>
      </c>
      <c r="U31" t="n">
        <v>3</v>
      </c>
      <c r="V31" t="n">
        <v>5</v>
      </c>
    </row>
    <row r="32">
      <c r="A32" t="inlineStr">
        <is>
          <t>Stangenwaffen</t>
        </is>
      </c>
      <c r="B32" t="inlineStr">
        <is>
          <t>Hellebarden</t>
        </is>
      </c>
      <c r="C32" t="inlineStr">
        <is>
          <t>Doppelsense</t>
        </is>
      </c>
      <c r="D32" t="n">
        <v>10</v>
      </c>
      <c r="E32" t="n">
        <v>5</v>
      </c>
      <c r="F32" t="inlineStr">
        <is>
          <t>W15</t>
        </is>
      </c>
      <c r="G32" t="inlineStr">
        <is>
          <t>W6</t>
        </is>
      </c>
      <c r="H32" t="n">
        <v>4</v>
      </c>
      <c r="I32" t="n">
        <v>-6</v>
      </c>
      <c r="J32" t="n">
        <v>0</v>
      </c>
      <c r="K32" t="n">
        <v>-5</v>
      </c>
      <c r="L32" t="n">
        <v>-5</v>
      </c>
      <c r="M32" t="n">
        <v>33</v>
      </c>
      <c r="N32" t="n">
        <v>11</v>
      </c>
      <c r="O32" t="n">
        <v>1.8</v>
      </c>
      <c r="P32" t="inlineStr">
        <is>
          <t>--</t>
        </is>
      </c>
      <c r="Q32" t="inlineStr">
        <is>
          <t>Holzschaft, Schnell</t>
        </is>
      </c>
      <c r="R32" t="n">
        <v>12</v>
      </c>
      <c r="S32" t="n">
        <v>6</v>
      </c>
      <c r="T32" t="n">
        <v>12</v>
      </c>
      <c r="U32" t="n">
        <v>1</v>
      </c>
      <c r="V32" t="n">
        <v>1</v>
      </c>
    </row>
    <row r="33">
      <c r="A33" t="inlineStr">
        <is>
          <t>Klingenwaffen</t>
        </is>
      </c>
      <c r="B33" t="inlineStr">
        <is>
          <t>Zweihänder</t>
        </is>
      </c>
      <c r="C33" t="inlineStr">
        <is>
          <t>Doppelsense</t>
        </is>
      </c>
      <c r="D33" t="n">
        <v>10</v>
      </c>
      <c r="E33" t="n">
        <v>5</v>
      </c>
      <c r="F33" t="inlineStr">
        <is>
          <t>W15</t>
        </is>
      </c>
      <c r="G33" t="inlineStr">
        <is>
          <t>W6</t>
        </is>
      </c>
      <c r="H33" t="n">
        <v>4</v>
      </c>
      <c r="I33" t="n">
        <v>-6</v>
      </c>
      <c r="J33" t="n">
        <v>0</v>
      </c>
      <c r="K33" t="n">
        <v>-5</v>
      </c>
      <c r="L33" t="n">
        <v>-5</v>
      </c>
      <c r="M33" t="n">
        <v>33</v>
      </c>
      <c r="N33" t="n">
        <v>11</v>
      </c>
      <c r="O33" t="n">
        <v>1.8</v>
      </c>
      <c r="P33" t="inlineStr">
        <is>
          <t>--</t>
        </is>
      </c>
      <c r="Q33" t="inlineStr">
        <is>
          <t>Holzschaft, Schnell</t>
        </is>
      </c>
      <c r="R33" t="n">
        <v>12</v>
      </c>
      <c r="S33" t="n">
        <v>6</v>
      </c>
      <c r="T33" t="n">
        <v>12</v>
      </c>
      <c r="U33" t="n">
        <v>1</v>
      </c>
      <c r="V33" t="n">
        <v>1</v>
      </c>
    </row>
    <row r="34">
      <c r="A34" t="inlineStr">
        <is>
          <t>Hiebwaffen</t>
        </is>
      </c>
      <c r="B34" t="inlineStr">
        <is>
          <t>Beidhand-Hiebwaffen</t>
        </is>
      </c>
      <c r="C34" t="inlineStr">
        <is>
          <t>Dornenkeule  troll,</t>
        </is>
      </c>
      <c r="D34" t="n">
        <v>16</v>
      </c>
      <c r="E34" t="n">
        <v>8</v>
      </c>
      <c r="F34" t="inlineStr">
        <is>
          <t>W15</t>
        </is>
      </c>
      <c r="G34" t="inlineStr">
        <is>
          <t>W12</t>
        </is>
      </c>
      <c r="H34" t="n">
        <v>1.5</v>
      </c>
      <c r="I34" t="n">
        <v>-11</v>
      </c>
      <c r="J34" t="n">
        <v>2</v>
      </c>
      <c r="K34" t="n">
        <v>-6</v>
      </c>
      <c r="L34" t="n">
        <v>-7</v>
      </c>
      <c r="M34" t="n">
        <v>35</v>
      </c>
      <c r="N34" t="n">
        <v>20</v>
      </c>
      <c r="O34" t="n">
        <v>1.8</v>
      </c>
      <c r="P34" t="inlineStr">
        <is>
          <t>--</t>
        </is>
      </c>
      <c r="Q34" t="inlineStr">
        <is>
          <t>Holzschaft</t>
        </is>
      </c>
      <c r="R34" t="n">
        <v>14</v>
      </c>
      <c r="S34" t="n">
        <v>11</v>
      </c>
      <c r="T34" t="n">
        <v>1</v>
      </c>
      <c r="U34" t="n">
        <v>0.25</v>
      </c>
      <c r="V34" t="n">
        <v>1</v>
      </c>
    </row>
    <row r="35">
      <c r="A35" t="inlineStr">
        <is>
          <t>Unbewaffnet</t>
        </is>
      </c>
      <c r="B35" t="inlineStr">
        <is>
          <t>Peitschen</t>
        </is>
      </c>
      <c r="C35" t="inlineStr">
        <is>
          <t>Dornenpeitsche</t>
        </is>
      </c>
      <c r="D35" t="n">
        <v>28</v>
      </c>
      <c r="E35" t="n">
        <v>0</v>
      </c>
      <c r="F35" t="inlineStr">
        <is>
          <t>W4</t>
        </is>
      </c>
      <c r="G35" t="inlineStr">
        <is>
          <t>W4</t>
        </is>
      </c>
      <c r="H35" t="n">
        <v>5</v>
      </c>
      <c r="I35" t="n">
        <v>-1</v>
      </c>
      <c r="J35" t="n">
        <v>0</v>
      </c>
      <c r="K35" t="n">
        <v>-7</v>
      </c>
      <c r="L35" t="n">
        <v>-15</v>
      </c>
      <c r="M35" t="n">
        <v>10</v>
      </c>
      <c r="N35" t="n">
        <v>7</v>
      </c>
      <c r="O35" t="n">
        <v>3</v>
      </c>
      <c r="P35" t="n">
        <v>6</v>
      </c>
      <c r="R35" t="n">
        <v>1</v>
      </c>
      <c r="S35" t="n">
        <v>7</v>
      </c>
      <c r="T35" t="n">
        <v>7</v>
      </c>
      <c r="U35" t="n">
        <v>0.1</v>
      </c>
      <c r="V35" t="n">
        <v>0.5</v>
      </c>
    </row>
    <row r="36">
      <c r="A36" t="inlineStr">
        <is>
          <t>Unbewaffnet</t>
        </is>
      </c>
      <c r="B36" t="inlineStr">
        <is>
          <t>Schild</t>
        </is>
      </c>
      <c r="C36" t="inlineStr">
        <is>
          <t>Drachenschild</t>
        </is>
      </c>
      <c r="E36" t="n">
        <v>11</v>
      </c>
      <c r="F36" t="inlineStr">
        <is>
          <t>2W8</t>
        </is>
      </c>
      <c r="H36" t="n">
        <v>3</v>
      </c>
      <c r="I36" t="n">
        <v>-5</v>
      </c>
      <c r="J36" t="n">
        <v>0</v>
      </c>
      <c r="K36" t="n">
        <v>-7</v>
      </c>
      <c r="L36" t="n">
        <v>9</v>
      </c>
      <c r="M36" t="n">
        <v>19</v>
      </c>
      <c r="P36" t="inlineStr">
        <is>
          <t>--</t>
        </is>
      </c>
      <c r="R36" t="n">
        <v>15</v>
      </c>
      <c r="S36" t="n">
        <v>13</v>
      </c>
      <c r="T36" t="n">
        <v>15</v>
      </c>
      <c r="X36" t="n">
        <v>17</v>
      </c>
      <c r="Y36" t="n">
        <v>600</v>
      </c>
    </row>
    <row r="37">
      <c r="A37" t="inlineStr">
        <is>
          <t>Unbewaffnet</t>
        </is>
      </c>
      <c r="B37" t="inlineStr">
        <is>
          <t>Armklingen</t>
        </is>
      </c>
      <c r="C37" t="inlineStr">
        <is>
          <t>Drei Langklauen</t>
        </is>
      </c>
      <c r="D37" t="n">
        <v>4</v>
      </c>
      <c r="E37" t="n">
        <v>3</v>
      </c>
      <c r="F37" t="inlineStr">
        <is>
          <t>W8</t>
        </is>
      </c>
      <c r="G37" t="inlineStr">
        <is>
          <t>W6</t>
        </is>
      </c>
      <c r="H37" t="n">
        <v>3</v>
      </c>
      <c r="I37" t="n">
        <v>-5</v>
      </c>
      <c r="J37" t="n">
        <v>0</v>
      </c>
      <c r="K37" t="n">
        <v>-3</v>
      </c>
      <c r="L37" t="n">
        <v>-6</v>
      </c>
      <c r="M37" t="n">
        <v>8</v>
      </c>
      <c r="O37" t="n">
        <v>0.4</v>
      </c>
      <c r="P37" t="n">
        <v>0</v>
      </c>
      <c r="R37" t="n">
        <v>7</v>
      </c>
      <c r="S37" t="n">
        <v>11</v>
      </c>
      <c r="T37" t="n">
        <v>8</v>
      </c>
      <c r="U37" t="n">
        <v>0.4</v>
      </c>
      <c r="V37" t="n">
        <v>1</v>
      </c>
    </row>
    <row r="38">
      <c r="A38" t="inlineStr">
        <is>
          <t>Unbewaffnet</t>
        </is>
      </c>
      <c r="B38" t="inlineStr">
        <is>
          <t>Schild</t>
        </is>
      </c>
      <c r="C38" t="inlineStr">
        <is>
          <t>Dreiecksschild</t>
        </is>
      </c>
      <c r="E38" t="n">
        <v>8</v>
      </c>
      <c r="F38" t="inlineStr">
        <is>
          <t>W8</t>
        </is>
      </c>
      <c r="G38" t="inlineStr">
        <is>
          <t>W6</t>
        </is>
      </c>
      <c r="H38" t="n">
        <v>3</v>
      </c>
      <c r="I38" t="n">
        <v>-5</v>
      </c>
      <c r="J38" t="n">
        <v>0</v>
      </c>
      <c r="K38" t="n">
        <v>-6</v>
      </c>
      <c r="L38" t="n">
        <v>7</v>
      </c>
      <c r="M38" t="n">
        <v>17</v>
      </c>
      <c r="P38" t="inlineStr">
        <is>
          <t>--</t>
        </is>
      </c>
      <c r="R38" t="n">
        <v>15</v>
      </c>
      <c r="S38" t="n">
        <v>15</v>
      </c>
      <c r="T38" t="n">
        <v>15</v>
      </c>
      <c r="X38" t="n">
        <v>16</v>
      </c>
      <c r="Y38" t="n">
        <v>400</v>
      </c>
    </row>
    <row r="39">
      <c r="A39" t="inlineStr">
        <is>
          <t>Unbewaffnet</t>
        </is>
      </c>
      <c r="B39" t="inlineStr">
        <is>
          <t>Schild</t>
        </is>
      </c>
      <c r="C39" t="inlineStr">
        <is>
          <t>Dreiecksschild klein</t>
        </is>
      </c>
      <c r="E39" t="n">
        <v>6</v>
      </c>
      <c r="F39" t="inlineStr">
        <is>
          <t>W8</t>
        </is>
      </c>
      <c r="G39" t="inlineStr">
        <is>
          <t>W6</t>
        </is>
      </c>
      <c r="H39" t="n">
        <v>3</v>
      </c>
      <c r="I39" t="n">
        <v>-5</v>
      </c>
      <c r="J39" t="n">
        <v>0</v>
      </c>
      <c r="K39" t="n">
        <v>-5</v>
      </c>
      <c r="L39" t="n">
        <v>6</v>
      </c>
      <c r="M39" t="n">
        <v>15</v>
      </c>
      <c r="P39" t="inlineStr">
        <is>
          <t>--</t>
        </is>
      </c>
      <c r="R39" t="n">
        <v>15</v>
      </c>
      <c r="S39" t="n">
        <v>15</v>
      </c>
      <c r="T39" t="n">
        <v>15</v>
      </c>
      <c r="X39" t="n">
        <v>15</v>
      </c>
      <c r="Y39" t="n">
        <v>300</v>
      </c>
    </row>
    <row r="40">
      <c r="A40" t="inlineStr">
        <is>
          <t>Stangenwaffen</t>
        </is>
      </c>
      <c r="B40" t="inlineStr">
        <is>
          <t>Speere</t>
        </is>
      </c>
      <c r="C40" t="inlineStr">
        <is>
          <t>Dreizack</t>
        </is>
      </c>
      <c r="D40" t="n">
        <v>18</v>
      </c>
      <c r="E40" t="n">
        <v>5</v>
      </c>
      <c r="F40" t="inlineStr">
        <is>
          <t>W12</t>
        </is>
      </c>
      <c r="G40" t="inlineStr">
        <is>
          <t>W8</t>
        </is>
      </c>
      <c r="H40" t="n">
        <v>3</v>
      </c>
      <c r="I40" t="n">
        <v>-6</v>
      </c>
      <c r="J40" t="n">
        <v>0</v>
      </c>
      <c r="K40" t="n">
        <v>-5</v>
      </c>
      <c r="L40" t="n">
        <v>-3</v>
      </c>
      <c r="M40" t="n">
        <v>22</v>
      </c>
      <c r="N40" t="n">
        <v>12</v>
      </c>
      <c r="O40" t="n">
        <v>1.8</v>
      </c>
      <c r="P40" t="inlineStr">
        <is>
          <t>--</t>
        </is>
      </c>
      <c r="Q40" t="inlineStr">
        <is>
          <t>Holzschaft</t>
        </is>
      </c>
      <c r="R40" t="n">
        <v>7</v>
      </c>
      <c r="S40" t="n">
        <v>7</v>
      </c>
      <c r="T40" t="n">
        <v>5</v>
      </c>
      <c r="U40" t="n">
        <v>1</v>
      </c>
      <c r="V40" t="n">
        <v>1.5</v>
      </c>
    </row>
    <row r="41">
      <c r="A41" t="inlineStr">
        <is>
          <t>Hiebwaffen</t>
        </is>
      </c>
      <c r="B41" t="inlineStr">
        <is>
          <t>Stumpfe Hiebwaffen</t>
        </is>
      </c>
      <c r="C41" t="inlineStr">
        <is>
          <t>Dreschflegel eisenbeschlagen</t>
        </is>
      </c>
      <c r="D41" t="n">
        <v>16</v>
      </c>
      <c r="E41" t="n">
        <v>4.5</v>
      </c>
      <c r="F41" t="inlineStr">
        <is>
          <t>W10</t>
        </is>
      </c>
      <c r="G41" t="inlineStr">
        <is>
          <t>W6</t>
        </is>
      </c>
      <c r="H41" t="n">
        <v>3</v>
      </c>
      <c r="I41" t="n">
        <v>-3</v>
      </c>
      <c r="J41" t="n">
        <v>0</v>
      </c>
      <c r="K41" t="n">
        <v>-6</v>
      </c>
      <c r="L41" t="n">
        <v>-7</v>
      </c>
      <c r="M41" t="n">
        <v>30</v>
      </c>
      <c r="N41" t="n">
        <v>10</v>
      </c>
      <c r="O41" t="n">
        <v>1.6</v>
      </c>
      <c r="P41" t="inlineStr">
        <is>
          <t>--</t>
        </is>
      </c>
      <c r="Q41" t="inlineStr">
        <is>
          <t>Holzschaft</t>
        </is>
      </c>
      <c r="R41" t="n">
        <v>3</v>
      </c>
      <c r="S41" t="n">
        <v>6</v>
      </c>
      <c r="T41" t="n">
        <v>4</v>
      </c>
      <c r="U41" t="n">
        <v>0.2</v>
      </c>
      <c r="V41" t="n">
        <v>1</v>
      </c>
    </row>
    <row r="42">
      <c r="A42" t="inlineStr">
        <is>
          <t>Klingenwaffen</t>
        </is>
      </c>
      <c r="B42" t="inlineStr">
        <is>
          <t>Schwerter</t>
        </is>
      </c>
      <c r="C42" t="inlineStr">
        <is>
          <t>Eineinhalbhänder</t>
        </is>
      </c>
      <c r="D42" t="n">
        <v>12</v>
      </c>
      <c r="E42" t="n">
        <v>6</v>
      </c>
      <c r="F42" t="inlineStr">
        <is>
          <t>W12</t>
        </is>
      </c>
      <c r="G42" t="inlineStr">
        <is>
          <t xml:space="preserve">W10 </t>
        </is>
      </c>
      <c r="H42" t="n">
        <v>2</v>
      </c>
      <c r="I42" t="n">
        <v>-8</v>
      </c>
      <c r="J42" t="n">
        <v>0</v>
      </c>
      <c r="K42" t="n">
        <v>-5</v>
      </c>
      <c r="L42" t="n">
        <v>-3</v>
      </c>
      <c r="M42" t="n">
        <v>15</v>
      </c>
      <c r="N42" t="n">
        <v>11</v>
      </c>
      <c r="O42" t="n">
        <v>1.2</v>
      </c>
      <c r="P42" t="n">
        <v>0</v>
      </c>
      <c r="R42" t="n">
        <v>15</v>
      </c>
      <c r="S42" t="n">
        <v>14</v>
      </c>
      <c r="T42" t="n">
        <v>19</v>
      </c>
      <c r="U42" t="n">
        <v>1.5</v>
      </c>
      <c r="V42" t="n">
        <v>4</v>
      </c>
    </row>
    <row r="43">
      <c r="A43" t="inlineStr">
        <is>
          <t>Klingenwaffen</t>
        </is>
      </c>
      <c r="B43" t="inlineStr">
        <is>
          <t>Zweihänder</t>
        </is>
      </c>
      <c r="C43" t="inlineStr">
        <is>
          <t>Eineinhalbhänder</t>
        </is>
      </c>
      <c r="D43" t="n">
        <v>12</v>
      </c>
      <c r="E43" t="n">
        <v>6</v>
      </c>
      <c r="F43" t="inlineStr">
        <is>
          <t>W12</t>
        </is>
      </c>
      <c r="G43" t="inlineStr">
        <is>
          <t xml:space="preserve">W10 </t>
        </is>
      </c>
      <c r="H43" t="n">
        <v>2</v>
      </c>
      <c r="I43" t="n">
        <v>-8</v>
      </c>
      <c r="J43" t="n">
        <v>0</v>
      </c>
      <c r="K43" t="n">
        <v>-5</v>
      </c>
      <c r="L43" t="n">
        <v>-3</v>
      </c>
      <c r="M43" t="n">
        <v>15</v>
      </c>
      <c r="N43" t="n">
        <v>11</v>
      </c>
      <c r="O43" t="n">
        <v>1.2</v>
      </c>
      <c r="P43" t="n">
        <v>0</v>
      </c>
      <c r="R43" t="n">
        <v>15</v>
      </c>
      <c r="S43" t="n">
        <v>14</v>
      </c>
      <c r="T43" t="n">
        <v>19</v>
      </c>
      <c r="U43" t="n">
        <v>1.5</v>
      </c>
      <c r="V43" t="n">
        <v>4</v>
      </c>
    </row>
    <row r="44">
      <c r="A44" t="inlineStr">
        <is>
          <t>Unbewaffnet</t>
        </is>
      </c>
      <c r="B44" t="inlineStr">
        <is>
          <t>Unbewaffnet</t>
        </is>
      </c>
      <c r="C44" t="inlineStr">
        <is>
          <t>Eisenkappenstiefel</t>
        </is>
      </c>
      <c r="D44" t="n">
        <v>0</v>
      </c>
      <c r="E44" t="n">
        <v>0</v>
      </c>
      <c r="F44" t="inlineStr">
        <is>
          <t>W6</t>
        </is>
      </c>
      <c r="G44" t="inlineStr">
        <is>
          <t>W4</t>
        </is>
      </c>
      <c r="H44" t="n">
        <v>3</v>
      </c>
      <c r="I44" t="n">
        <v>-5</v>
      </c>
      <c r="J44" t="n">
        <v>0</v>
      </c>
      <c r="K44" t="n">
        <v>-3</v>
      </c>
      <c r="L44" t="n">
        <v>-11</v>
      </c>
      <c r="M44" t="n">
        <v>5</v>
      </c>
      <c r="O44" t="n">
        <v>0.02</v>
      </c>
      <c r="P44" t="n">
        <v>5</v>
      </c>
      <c r="R44" t="n">
        <v>5</v>
      </c>
      <c r="S44" t="n">
        <v>30</v>
      </c>
      <c r="T44" t="inlineStr">
        <is>
          <t>X</t>
        </is>
      </c>
      <c r="U44" t="inlineStr">
        <is>
          <t>x</t>
        </is>
      </c>
      <c r="V44" t="inlineStr">
        <is>
          <t>x</t>
        </is>
      </c>
    </row>
    <row r="45">
      <c r="A45" t="inlineStr">
        <is>
          <t>Hiebwaffen</t>
        </is>
      </c>
      <c r="B45" t="inlineStr">
        <is>
          <t>Stumpfe Hiebwaffen</t>
        </is>
      </c>
      <c r="C45" t="inlineStr">
        <is>
          <t>Eisenkeule  schwer</t>
        </is>
      </c>
      <c r="D45" t="n">
        <v>14</v>
      </c>
      <c r="E45" t="n">
        <v>8</v>
      </c>
      <c r="F45" t="inlineStr">
        <is>
          <t>W12</t>
        </is>
      </c>
      <c r="G45" t="inlineStr">
        <is>
          <t>W12</t>
        </is>
      </c>
      <c r="H45" t="n">
        <v>1.5</v>
      </c>
      <c r="I45" t="n">
        <v>-10</v>
      </c>
      <c r="J45" t="n">
        <v>0</v>
      </c>
      <c r="K45" t="n">
        <v>-6</v>
      </c>
      <c r="L45" t="n">
        <v>-7</v>
      </c>
      <c r="M45" t="n">
        <v>32</v>
      </c>
      <c r="N45" t="n">
        <v>18</v>
      </c>
      <c r="O45" t="n">
        <v>1.5</v>
      </c>
      <c r="P45" t="inlineStr">
        <is>
          <t>--</t>
        </is>
      </c>
      <c r="Q45" t="inlineStr">
        <is>
          <t>Holzschaft</t>
        </is>
      </c>
      <c r="R45" t="n">
        <v>14</v>
      </c>
      <c r="S45" t="n">
        <v>11</v>
      </c>
      <c r="T45" t="n">
        <v>4</v>
      </c>
      <c r="U45" t="n">
        <v>1</v>
      </c>
      <c r="V45" t="n">
        <v>1</v>
      </c>
    </row>
    <row r="46">
      <c r="A46" t="inlineStr">
        <is>
          <t>Hiebwaffen</t>
        </is>
      </c>
      <c r="B46" t="inlineStr">
        <is>
          <t>Stumpfe Hiebwaffen</t>
        </is>
      </c>
      <c r="C46" t="inlineStr">
        <is>
          <t>Eisenkugelstab</t>
        </is>
      </c>
      <c r="D46" t="n">
        <v>7</v>
      </c>
      <c r="E46" t="n">
        <v>3</v>
      </c>
      <c r="F46" t="inlineStr">
        <is>
          <t>W6</t>
        </is>
      </c>
      <c r="G46" t="inlineStr">
        <is>
          <t>W6</t>
        </is>
      </c>
      <c r="H46" t="n">
        <v>3</v>
      </c>
      <c r="I46" t="n">
        <v>-4</v>
      </c>
      <c r="J46" t="n">
        <v>0</v>
      </c>
      <c r="K46" t="n">
        <v>-4</v>
      </c>
      <c r="L46" t="n">
        <v>-4</v>
      </c>
      <c r="M46" t="n">
        <v>9</v>
      </c>
      <c r="N46" t="n">
        <v>6</v>
      </c>
      <c r="O46" t="n">
        <v>0.7</v>
      </c>
      <c r="P46" t="n">
        <v>4</v>
      </c>
      <c r="Q46" t="inlineStr">
        <is>
          <t>Holzschaft</t>
        </is>
      </c>
      <c r="R46" t="n">
        <v>7</v>
      </c>
      <c r="S46" t="n">
        <v>6</v>
      </c>
      <c r="T46" t="n">
        <v>4</v>
      </c>
      <c r="U46" t="n">
        <v>1</v>
      </c>
      <c r="V46" t="n">
        <v>1</v>
      </c>
    </row>
    <row r="47">
      <c r="A47" t="inlineStr">
        <is>
          <t>Hiebwaffen</t>
        </is>
      </c>
      <c r="B47" t="inlineStr">
        <is>
          <t>Stumpfe Hiebwaffen</t>
        </is>
      </c>
      <c r="C47" t="inlineStr">
        <is>
          <t>Eisenschlegel</t>
        </is>
      </c>
      <c r="D47" t="n">
        <v>14</v>
      </c>
      <c r="E47" t="n">
        <v>6</v>
      </c>
      <c r="F47" t="inlineStr">
        <is>
          <t>W10</t>
        </is>
      </c>
      <c r="G47" t="inlineStr">
        <is>
          <t>W10</t>
        </is>
      </c>
      <c r="H47" t="n">
        <v>2</v>
      </c>
      <c r="I47" t="n">
        <v>-7</v>
      </c>
      <c r="J47" t="n">
        <v>0</v>
      </c>
      <c r="K47" t="n">
        <v>-6</v>
      </c>
      <c r="L47" t="n">
        <v>-6</v>
      </c>
      <c r="M47" t="n">
        <v>26</v>
      </c>
      <c r="N47" t="n">
        <v>16</v>
      </c>
      <c r="O47" t="n">
        <v>1.4</v>
      </c>
      <c r="P47" t="inlineStr">
        <is>
          <t>--</t>
        </is>
      </c>
      <c r="Q47" t="inlineStr">
        <is>
          <t>Holzschaft</t>
        </is>
      </c>
      <c r="R47" t="n">
        <v>12</v>
      </c>
      <c r="S47" t="n">
        <v>8</v>
      </c>
      <c r="T47" t="n">
        <v>4</v>
      </c>
      <c r="U47" t="n">
        <v>1.5</v>
      </c>
      <c r="V47" t="n">
        <v>1.5</v>
      </c>
    </row>
    <row r="48">
      <c r="A48" t="inlineStr">
        <is>
          <t>Hiebwaffen</t>
        </is>
      </c>
      <c r="B48" t="inlineStr">
        <is>
          <t>Stumpfe Hiebwaffen</t>
        </is>
      </c>
      <c r="C48" t="inlineStr">
        <is>
          <t>Eisenstange</t>
        </is>
      </c>
      <c r="D48" t="n">
        <v>7</v>
      </c>
      <c r="E48" t="n">
        <v>4</v>
      </c>
      <c r="F48" t="inlineStr">
        <is>
          <t>W6</t>
        </is>
      </c>
      <c r="G48" t="inlineStr">
        <is>
          <t>W6</t>
        </is>
      </c>
      <c r="H48" t="n">
        <v>3</v>
      </c>
      <c r="I48" t="n">
        <v>-4</v>
      </c>
      <c r="J48" t="n">
        <v>0</v>
      </c>
      <c r="K48" t="n">
        <v>-4</v>
      </c>
      <c r="L48" t="n">
        <v>-4</v>
      </c>
      <c r="M48" t="n">
        <v>11</v>
      </c>
      <c r="N48" t="n">
        <v>8</v>
      </c>
      <c r="O48" t="n">
        <v>0.7</v>
      </c>
      <c r="P48" t="n">
        <v>4</v>
      </c>
      <c r="R48" t="n">
        <v>7</v>
      </c>
      <c r="S48" t="n">
        <v>10</v>
      </c>
      <c r="T48" t="n">
        <v>0</v>
      </c>
      <c r="U48" t="n">
        <v>0.7</v>
      </c>
      <c r="V48" t="n">
        <v>0.1</v>
      </c>
    </row>
    <row r="49">
      <c r="A49" t="inlineStr">
        <is>
          <t>Hiebwaffen</t>
        </is>
      </c>
      <c r="B49" t="inlineStr">
        <is>
          <t>Äxte</t>
        </is>
      </c>
      <c r="C49" t="inlineStr">
        <is>
          <t>Enterbeil</t>
        </is>
      </c>
      <c r="D49" t="n">
        <v>7</v>
      </c>
      <c r="E49" t="n">
        <v>4</v>
      </c>
      <c r="F49" t="inlineStr">
        <is>
          <t>[2W12]</t>
        </is>
      </c>
      <c r="G49" t="inlineStr">
        <is>
          <t>W6</t>
        </is>
      </c>
      <c r="H49" t="n">
        <v>4</v>
      </c>
      <c r="I49" t="n">
        <v>-6</v>
      </c>
      <c r="J49" t="n">
        <v>0</v>
      </c>
      <c r="K49" t="n">
        <v>-4</v>
      </c>
      <c r="L49" t="n">
        <v>-4</v>
      </c>
      <c r="M49" t="n">
        <v>10</v>
      </c>
      <c r="N49" t="n">
        <v>7</v>
      </c>
      <c r="O49" t="n">
        <v>0.76</v>
      </c>
      <c r="P49" t="n">
        <v>3</v>
      </c>
      <c r="Q49" t="inlineStr">
        <is>
          <t>Holzschaft</t>
        </is>
      </c>
      <c r="R49" t="n">
        <v>16</v>
      </c>
      <c r="S49" t="n">
        <v>7</v>
      </c>
      <c r="T49" t="n">
        <v>7</v>
      </c>
      <c r="U49" t="n">
        <v>0.65</v>
      </c>
      <c r="V49" t="n">
        <v>1</v>
      </c>
    </row>
    <row r="50">
      <c r="A50" t="inlineStr">
        <is>
          <t>Hiebwaffen</t>
        </is>
      </c>
      <c r="B50" t="inlineStr">
        <is>
          <t>Kettenwaffen</t>
        </is>
      </c>
      <c r="C50" t="inlineStr">
        <is>
          <t>Enterhaken am Seil</t>
        </is>
      </c>
      <c r="D50" t="n">
        <v>10</v>
      </c>
      <c r="E50" t="n">
        <v>5</v>
      </c>
      <c r="F50" t="inlineStr">
        <is>
          <t>W8</t>
        </is>
      </c>
      <c r="G50" t="inlineStr">
        <is>
          <t>W4</t>
        </is>
      </c>
      <c r="H50" t="n">
        <v>4</v>
      </c>
      <c r="I50" t="n">
        <v>-5</v>
      </c>
      <c r="J50" t="n">
        <v>0</v>
      </c>
      <c r="K50" t="n">
        <v>-8</v>
      </c>
      <c r="L50" t="n">
        <v>-15</v>
      </c>
      <c r="M50" t="n">
        <v>13</v>
      </c>
      <c r="N50" t="n">
        <v>10</v>
      </c>
      <c r="O50" t="n">
        <v>1.5</v>
      </c>
      <c r="P50" t="n">
        <v>0</v>
      </c>
      <c r="R50" t="n">
        <v>2</v>
      </c>
      <c r="S50" t="n">
        <v>4</v>
      </c>
      <c r="T50" t="n">
        <v>5</v>
      </c>
      <c r="U50" t="n">
        <v>2</v>
      </c>
      <c r="V50" t="n">
        <v>0.5</v>
      </c>
    </row>
    <row r="51">
      <c r="A51" t="inlineStr">
        <is>
          <t>Hiebwaffen</t>
        </is>
      </c>
      <c r="B51" t="inlineStr">
        <is>
          <t>Äxte</t>
        </is>
      </c>
      <c r="C51" t="inlineStr">
        <is>
          <t>Enterhaken ohne Seil</t>
        </is>
      </c>
      <c r="D51" t="n">
        <v>2</v>
      </c>
      <c r="E51" t="n">
        <v>5</v>
      </c>
      <c r="F51" t="inlineStr">
        <is>
          <t>W8</t>
        </is>
      </c>
      <c r="G51" t="inlineStr">
        <is>
          <t>W4</t>
        </is>
      </c>
      <c r="H51" t="n">
        <v>4</v>
      </c>
      <c r="I51" t="n">
        <v>-5</v>
      </c>
      <c r="J51" t="n">
        <v>0</v>
      </c>
      <c r="K51" t="n">
        <v>-5</v>
      </c>
      <c r="L51" t="n">
        <v>-8</v>
      </c>
      <c r="M51" t="n">
        <v>11</v>
      </c>
      <c r="N51" t="n">
        <v>8</v>
      </c>
      <c r="O51" t="n">
        <v>0.2</v>
      </c>
      <c r="P51" t="n">
        <v>0</v>
      </c>
      <c r="R51" t="n">
        <v>7</v>
      </c>
      <c r="S51" t="n">
        <v>10</v>
      </c>
      <c r="T51" t="n">
        <v>5</v>
      </c>
      <c r="U51" t="n">
        <v>2</v>
      </c>
      <c r="V51" t="n">
        <v>0.5</v>
      </c>
    </row>
    <row r="52">
      <c r="A52" t="inlineStr">
        <is>
          <t>Unbewaffnet</t>
        </is>
      </c>
      <c r="B52" t="inlineStr">
        <is>
          <t>Messer</t>
        </is>
      </c>
      <c r="C52" t="inlineStr">
        <is>
          <t>Enterhaken ohne Seil</t>
        </is>
      </c>
      <c r="D52" t="n">
        <v>2</v>
      </c>
      <c r="E52" t="n">
        <v>5</v>
      </c>
      <c r="F52" t="inlineStr">
        <is>
          <t>W8</t>
        </is>
      </c>
      <c r="G52" t="inlineStr">
        <is>
          <t>W4</t>
        </is>
      </c>
      <c r="H52" t="n">
        <v>4</v>
      </c>
      <c r="I52" t="n">
        <v>-5</v>
      </c>
      <c r="J52" t="n">
        <v>0</v>
      </c>
      <c r="K52" t="n">
        <v>-5</v>
      </c>
      <c r="L52" t="n">
        <v>-8</v>
      </c>
      <c r="M52" t="n">
        <v>11</v>
      </c>
      <c r="N52" t="n">
        <v>8</v>
      </c>
      <c r="O52" t="n">
        <v>0.2</v>
      </c>
      <c r="P52" t="n">
        <v>0</v>
      </c>
      <c r="R52" t="n">
        <v>7</v>
      </c>
      <c r="S52" t="n">
        <v>10</v>
      </c>
      <c r="T52" t="n">
        <v>5</v>
      </c>
      <c r="U52" t="n">
        <v>2</v>
      </c>
      <c r="V52" t="n">
        <v>0.5</v>
      </c>
    </row>
    <row r="53">
      <c r="A53" t="inlineStr">
        <is>
          <t>Klingenwaffen</t>
        </is>
      </c>
      <c r="B53" t="inlineStr">
        <is>
          <t>Kurzschwerter</t>
        </is>
      </c>
      <c r="C53" t="inlineStr">
        <is>
          <t>Entermesser</t>
        </is>
      </c>
      <c r="D53" t="n">
        <v>8</v>
      </c>
      <c r="E53" t="n">
        <v>4</v>
      </c>
      <c r="F53" t="inlineStr">
        <is>
          <t>W8</t>
        </is>
      </c>
      <c r="G53" t="inlineStr">
        <is>
          <t>W8</t>
        </is>
      </c>
      <c r="H53" t="n">
        <v>3</v>
      </c>
      <c r="I53" t="n">
        <v>-4</v>
      </c>
      <c r="J53" t="n">
        <v>0</v>
      </c>
      <c r="K53" t="n">
        <v>-2</v>
      </c>
      <c r="L53" t="n">
        <v>-3</v>
      </c>
      <c r="M53" t="n">
        <v>9</v>
      </c>
      <c r="N53" t="n">
        <v>6</v>
      </c>
      <c r="O53" t="n">
        <v>0.8</v>
      </c>
      <c r="P53" t="n">
        <v>4</v>
      </c>
      <c r="R53" t="n">
        <v>14</v>
      </c>
      <c r="S53" t="n">
        <v>14</v>
      </c>
      <c r="T53" t="n">
        <v>12</v>
      </c>
      <c r="U53" t="n">
        <v>0.8</v>
      </c>
      <c r="V53" t="n">
        <v>3</v>
      </c>
    </row>
    <row r="54">
      <c r="A54" t="inlineStr">
        <is>
          <t>Klingenwaffen</t>
        </is>
      </c>
      <c r="B54" t="inlineStr">
        <is>
          <t>Schwerter</t>
        </is>
      </c>
      <c r="C54" t="inlineStr">
        <is>
          <t>Entermesser</t>
        </is>
      </c>
      <c r="D54" t="n">
        <v>8</v>
      </c>
      <c r="E54" t="n">
        <v>4</v>
      </c>
      <c r="F54" t="inlineStr">
        <is>
          <t>W8</t>
        </is>
      </c>
      <c r="G54" t="inlineStr">
        <is>
          <t>W8</t>
        </is>
      </c>
      <c r="H54" t="n">
        <v>3</v>
      </c>
      <c r="I54" t="n">
        <v>-4</v>
      </c>
      <c r="J54" t="n">
        <v>0</v>
      </c>
      <c r="K54" t="n">
        <v>-2</v>
      </c>
      <c r="L54" t="n">
        <v>-3</v>
      </c>
      <c r="M54" t="n">
        <v>9</v>
      </c>
      <c r="N54" t="n">
        <v>6</v>
      </c>
      <c r="O54" t="n">
        <v>0.8</v>
      </c>
      <c r="P54" t="n">
        <v>4</v>
      </c>
      <c r="R54" t="n">
        <v>14</v>
      </c>
      <c r="S54" t="n">
        <v>14</v>
      </c>
      <c r="T54" t="n">
        <v>12</v>
      </c>
      <c r="U54" t="n">
        <v>0.8</v>
      </c>
      <c r="V54" t="n">
        <v>3</v>
      </c>
    </row>
    <row r="55">
      <c r="A55" t="inlineStr">
        <is>
          <t>Unbewaffnet</t>
        </is>
      </c>
      <c r="B55" t="inlineStr">
        <is>
          <t>Schild</t>
        </is>
      </c>
      <c r="C55" t="inlineStr">
        <is>
          <t>Faustschild/Buckler</t>
        </is>
      </c>
      <c r="E55" t="n">
        <v>4</v>
      </c>
      <c r="F55" t="inlineStr">
        <is>
          <t>W8</t>
        </is>
      </c>
      <c r="G55" t="inlineStr">
        <is>
          <t>W4</t>
        </is>
      </c>
      <c r="H55" t="n">
        <v>2</v>
      </c>
      <c r="I55" t="n">
        <v>-8</v>
      </c>
      <c r="K55" t="n">
        <v>-2</v>
      </c>
      <c r="L55" t="n">
        <v>2</v>
      </c>
      <c r="M55" t="n">
        <v>13</v>
      </c>
      <c r="P55" t="inlineStr">
        <is>
          <t>--</t>
        </is>
      </c>
      <c r="Q55" t="inlineStr">
        <is>
          <t>Keine FK-Parade</t>
        </is>
      </c>
      <c r="R55" t="n">
        <v>14</v>
      </c>
      <c r="S55" t="n">
        <v>16</v>
      </c>
      <c r="T55" t="n">
        <v>15</v>
      </c>
      <c r="X55" t="n">
        <v>12</v>
      </c>
      <c r="Y55" t="n">
        <v>100</v>
      </c>
    </row>
    <row r="56">
      <c r="A56" t="inlineStr">
        <is>
          <t>Klingenwaffen</t>
        </is>
      </c>
      <c r="B56" t="inlineStr">
        <is>
          <t>Zweihänder</t>
        </is>
      </c>
      <c r="C56" t="inlineStr">
        <is>
          <t>Flamberge</t>
        </is>
      </c>
      <c r="D56" t="n">
        <v>17</v>
      </c>
      <c r="E56" t="n">
        <v>8</v>
      </c>
      <c r="F56" t="inlineStr">
        <is>
          <t>2W15</t>
        </is>
      </c>
      <c r="H56" t="n">
        <v>1.5</v>
      </c>
      <c r="I56" t="n">
        <v>-12</v>
      </c>
      <c r="J56" t="n">
        <v>0</v>
      </c>
      <c r="K56" t="n">
        <v>-7</v>
      </c>
      <c r="L56" t="n">
        <v>-7</v>
      </c>
      <c r="M56" t="n">
        <v>36</v>
      </c>
      <c r="N56" t="n">
        <v>18</v>
      </c>
      <c r="O56" t="n">
        <v>1.8</v>
      </c>
      <c r="P56" t="inlineStr">
        <is>
          <t>--</t>
        </is>
      </c>
      <c r="R56" t="n">
        <v>17</v>
      </c>
      <c r="S56" t="n">
        <v>13</v>
      </c>
      <c r="T56" t="n">
        <v>28</v>
      </c>
      <c r="U56" t="n">
        <v>2.5</v>
      </c>
      <c r="V56" t="n">
        <v>8</v>
      </c>
    </row>
    <row r="57">
      <c r="A57" t="inlineStr">
        <is>
          <t>Hiebwaffen</t>
        </is>
      </c>
      <c r="B57" t="inlineStr">
        <is>
          <t>Äxte</t>
        </is>
      </c>
      <c r="C57" t="inlineStr">
        <is>
          <t>Fleischerbeil</t>
        </is>
      </c>
      <c r="D57" t="n">
        <v>4</v>
      </c>
      <c r="E57" t="n">
        <v>3.5</v>
      </c>
      <c r="F57" t="inlineStr">
        <is>
          <t>W20</t>
        </is>
      </c>
      <c r="H57" t="n">
        <v>4</v>
      </c>
      <c r="I57" t="n">
        <v>-5</v>
      </c>
      <c r="J57" t="n">
        <v>0</v>
      </c>
      <c r="K57" t="n">
        <v>-6</v>
      </c>
      <c r="L57" t="n">
        <v>-6</v>
      </c>
      <c r="M57" t="n">
        <v>7</v>
      </c>
      <c r="N57" t="n">
        <v>3</v>
      </c>
      <c r="O57" t="n">
        <v>0.4</v>
      </c>
      <c r="P57" t="n">
        <v>6</v>
      </c>
      <c r="Q57" t="inlineStr">
        <is>
          <t>Holzschaft</t>
        </is>
      </c>
      <c r="R57" t="n">
        <v>13</v>
      </c>
      <c r="S57" t="n">
        <v>6</v>
      </c>
      <c r="T57" t="n">
        <v>5</v>
      </c>
      <c r="U57" t="n">
        <v>0.6</v>
      </c>
      <c r="V57" t="n">
        <v>0.5</v>
      </c>
    </row>
    <row r="58">
      <c r="A58" t="inlineStr">
        <is>
          <t>Stichwaffen</t>
        </is>
      </c>
      <c r="B58" t="inlineStr">
        <is>
          <t>Fechtwaffen</t>
        </is>
      </c>
      <c r="C58" t="inlineStr">
        <is>
          <t>Florett</t>
        </is>
      </c>
      <c r="D58" t="n">
        <v>13</v>
      </c>
      <c r="E58" t="n">
        <v>2</v>
      </c>
      <c r="F58" t="inlineStr">
        <is>
          <t>W8</t>
        </is>
      </c>
      <c r="G58" t="inlineStr">
        <is>
          <t>W4</t>
        </is>
      </c>
      <c r="H58" t="n">
        <v>20</v>
      </c>
      <c r="I58" t="n">
        <v>-1</v>
      </c>
      <c r="J58" t="n">
        <v>0</v>
      </c>
      <c r="K58" t="n">
        <v>-1</v>
      </c>
      <c r="L58" t="n">
        <v>1</v>
      </c>
      <c r="M58" t="n">
        <v>6</v>
      </c>
      <c r="O58" t="n">
        <v>1.1</v>
      </c>
      <c r="P58" t="n">
        <v>2</v>
      </c>
      <c r="Q58" t="inlineStr">
        <is>
          <t>Schnell</t>
        </is>
      </c>
      <c r="R58" t="n">
        <v>0</v>
      </c>
      <c r="S58" t="n">
        <v>20</v>
      </c>
      <c r="T58" t="n">
        <v>18</v>
      </c>
      <c r="U58" t="n">
        <v>0.7</v>
      </c>
      <c r="V58" t="n">
        <v>4</v>
      </c>
    </row>
    <row r="59">
      <c r="A59" t="inlineStr">
        <is>
          <t>Stichwaffen</t>
        </is>
      </c>
      <c r="B59" t="inlineStr">
        <is>
          <t>Fechtwaffen</t>
        </is>
      </c>
      <c r="C59" t="inlineStr">
        <is>
          <t xml:space="preserve">Gladius  </t>
        </is>
      </c>
      <c r="D59" t="n">
        <v>8</v>
      </c>
      <c r="E59" t="n">
        <v>4</v>
      </c>
      <c r="F59" t="inlineStr">
        <is>
          <t>W12</t>
        </is>
      </c>
      <c r="G59" t="inlineStr">
        <is>
          <t>W4</t>
        </is>
      </c>
      <c r="H59" t="n">
        <v>4</v>
      </c>
      <c r="I59" t="n">
        <v>-4</v>
      </c>
      <c r="J59" t="n">
        <v>0</v>
      </c>
      <c r="K59" t="n">
        <v>-3</v>
      </c>
      <c r="L59" t="n">
        <v>-4</v>
      </c>
      <c r="M59" t="n">
        <v>8</v>
      </c>
      <c r="N59" t="n">
        <v>6</v>
      </c>
      <c r="O59" t="n">
        <v>0.75</v>
      </c>
      <c r="P59" t="n">
        <v>5</v>
      </c>
      <c r="R59" t="n">
        <v>15</v>
      </c>
      <c r="S59" t="n">
        <v>15</v>
      </c>
      <c r="T59" t="n">
        <v>10</v>
      </c>
      <c r="U59" t="n">
        <v>0.75</v>
      </c>
      <c r="V59" t="n">
        <v>3</v>
      </c>
    </row>
    <row r="60">
      <c r="A60" t="inlineStr">
        <is>
          <t>Klingenwaffen</t>
        </is>
      </c>
      <c r="B60" t="inlineStr">
        <is>
          <t>Kurzschwerter</t>
        </is>
      </c>
      <c r="C60" t="inlineStr">
        <is>
          <t xml:space="preserve">Gladius  </t>
        </is>
      </c>
      <c r="D60" t="n">
        <v>8</v>
      </c>
      <c r="E60" t="n">
        <v>4</v>
      </c>
      <c r="F60" t="inlineStr">
        <is>
          <t>W12</t>
        </is>
      </c>
      <c r="G60" t="inlineStr">
        <is>
          <t>W4</t>
        </is>
      </c>
      <c r="H60" t="n">
        <v>4</v>
      </c>
      <c r="I60" t="n">
        <v>-4</v>
      </c>
      <c r="J60" t="n">
        <v>0</v>
      </c>
      <c r="K60" t="n">
        <v>-3</v>
      </c>
      <c r="L60" t="n">
        <v>-4</v>
      </c>
      <c r="M60" t="n">
        <v>8</v>
      </c>
      <c r="N60" t="n">
        <v>6</v>
      </c>
      <c r="O60" t="n">
        <v>0.75</v>
      </c>
      <c r="P60" t="n">
        <v>5</v>
      </c>
      <c r="R60" t="n">
        <v>15</v>
      </c>
      <c r="S60" t="n">
        <v>15</v>
      </c>
      <c r="T60" t="n">
        <v>10</v>
      </c>
      <c r="U60" t="n">
        <v>0.75</v>
      </c>
      <c r="V60" t="n">
        <v>3</v>
      </c>
    </row>
    <row r="61">
      <c r="A61" t="inlineStr">
        <is>
          <t>Stichwaffen</t>
        </is>
      </c>
      <c r="B61" t="inlineStr">
        <is>
          <t>Fechtwaffen</t>
        </is>
      </c>
      <c r="C61" t="inlineStr">
        <is>
          <t>Gladius  mit Griffkorb</t>
        </is>
      </c>
      <c r="D61" t="n">
        <v>7</v>
      </c>
      <c r="E61" t="n">
        <v>4</v>
      </c>
      <c r="F61" t="inlineStr">
        <is>
          <t>W12</t>
        </is>
      </c>
      <c r="G61" t="inlineStr">
        <is>
          <t>W4</t>
        </is>
      </c>
      <c r="H61" t="n">
        <v>4</v>
      </c>
      <c r="I61" t="n">
        <v>-4</v>
      </c>
      <c r="J61" t="n">
        <v>0</v>
      </c>
      <c r="K61" t="n">
        <v>-3</v>
      </c>
      <c r="L61" t="n">
        <v>-3</v>
      </c>
      <c r="M61" t="n">
        <v>9</v>
      </c>
      <c r="N61" t="n">
        <v>6</v>
      </c>
      <c r="O61" t="n">
        <v>0.75</v>
      </c>
      <c r="P61" t="n">
        <v>3</v>
      </c>
      <c r="R61" t="n">
        <v>15</v>
      </c>
      <c r="S61" t="n">
        <v>15</v>
      </c>
      <c r="T61" t="n">
        <v>11</v>
      </c>
      <c r="U61" t="n">
        <v>0.8</v>
      </c>
      <c r="V61" t="n">
        <v>3.5</v>
      </c>
    </row>
    <row r="62">
      <c r="A62" t="inlineStr">
        <is>
          <t>Klingenwaffen</t>
        </is>
      </c>
      <c r="B62" t="inlineStr">
        <is>
          <t>Kurzschwerter</t>
        </is>
      </c>
      <c r="C62" t="inlineStr">
        <is>
          <t>Gladius  mit Griffkorb</t>
        </is>
      </c>
      <c r="D62" t="n">
        <v>7</v>
      </c>
      <c r="E62" t="n">
        <v>4</v>
      </c>
      <c r="F62" t="inlineStr">
        <is>
          <t>W12</t>
        </is>
      </c>
      <c r="G62" t="inlineStr">
        <is>
          <t>W4</t>
        </is>
      </c>
      <c r="H62" t="n">
        <v>4</v>
      </c>
      <c r="I62" t="n">
        <v>-4</v>
      </c>
      <c r="J62" t="n">
        <v>0</v>
      </c>
      <c r="K62" t="n">
        <v>-3</v>
      </c>
      <c r="L62" t="n">
        <v>-3</v>
      </c>
      <c r="M62" t="n">
        <v>9</v>
      </c>
      <c r="N62" t="n">
        <v>6</v>
      </c>
      <c r="O62" t="n">
        <v>0.75</v>
      </c>
      <c r="P62" t="n">
        <v>3</v>
      </c>
      <c r="R62" t="n">
        <v>15</v>
      </c>
      <c r="S62" t="n">
        <v>15</v>
      </c>
      <c r="T62" t="n">
        <v>11</v>
      </c>
      <c r="U62" t="n">
        <v>0.8</v>
      </c>
      <c r="V62" t="n">
        <v>3.5</v>
      </c>
    </row>
    <row r="63">
      <c r="A63" t="inlineStr">
        <is>
          <t>Stichwaffen</t>
        </is>
      </c>
      <c r="B63" t="inlineStr">
        <is>
          <t>Fechtwaffen</t>
        </is>
      </c>
      <c r="C63" t="inlineStr">
        <is>
          <t>Gladius kurz</t>
        </is>
      </c>
      <c r="D63" t="n">
        <v>4</v>
      </c>
      <c r="E63" t="n">
        <v>3</v>
      </c>
      <c r="F63" t="inlineStr">
        <is>
          <t>W12</t>
        </is>
      </c>
      <c r="G63" t="inlineStr">
        <is>
          <t>W4</t>
        </is>
      </c>
      <c r="H63" t="n">
        <v>4</v>
      </c>
      <c r="I63" t="n">
        <v>-4</v>
      </c>
      <c r="J63" t="n">
        <v>0</v>
      </c>
      <c r="K63" t="n">
        <v>-2</v>
      </c>
      <c r="L63" t="n">
        <v>-5</v>
      </c>
      <c r="M63" t="n">
        <v>8</v>
      </c>
      <c r="N63" t="n">
        <v>5</v>
      </c>
      <c r="O63" t="n">
        <v>0.45</v>
      </c>
      <c r="P63" t="n">
        <v>6</v>
      </c>
      <c r="R63" t="n">
        <v>13</v>
      </c>
      <c r="S63" t="n">
        <v>18</v>
      </c>
      <c r="T63" t="n">
        <v>9</v>
      </c>
      <c r="U63" t="n">
        <v>0.5</v>
      </c>
      <c r="V63" t="n">
        <v>3</v>
      </c>
    </row>
    <row r="64">
      <c r="A64" t="inlineStr">
        <is>
          <t>Klingenwaffen</t>
        </is>
      </c>
      <c r="B64" t="inlineStr">
        <is>
          <t>Kurzschwerter</t>
        </is>
      </c>
      <c r="C64" t="inlineStr">
        <is>
          <t>Gladius kurz</t>
        </is>
      </c>
      <c r="D64" t="n">
        <v>4</v>
      </c>
      <c r="E64" t="n">
        <v>3</v>
      </c>
      <c r="F64" t="inlineStr">
        <is>
          <t>W12</t>
        </is>
      </c>
      <c r="G64" t="inlineStr">
        <is>
          <t>W4</t>
        </is>
      </c>
      <c r="H64" t="n">
        <v>4</v>
      </c>
      <c r="I64" t="n">
        <v>-4</v>
      </c>
      <c r="J64" t="n">
        <v>0</v>
      </c>
      <c r="K64" t="n">
        <v>-2</v>
      </c>
      <c r="L64" t="n">
        <v>-5</v>
      </c>
      <c r="M64" t="n">
        <v>8</v>
      </c>
      <c r="N64" t="n">
        <v>5</v>
      </c>
      <c r="O64" t="n">
        <v>0.45</v>
      </c>
      <c r="P64" t="n">
        <v>6</v>
      </c>
      <c r="R64" t="n">
        <v>13</v>
      </c>
      <c r="S64" t="n">
        <v>18</v>
      </c>
      <c r="T64" t="n">
        <v>9</v>
      </c>
      <c r="U64" t="n">
        <v>0.5</v>
      </c>
      <c r="V64" t="n">
        <v>3</v>
      </c>
    </row>
    <row r="65">
      <c r="A65" t="inlineStr">
        <is>
          <t>Stangenwaffen</t>
        </is>
      </c>
      <c r="B65" t="inlineStr">
        <is>
          <t>Speere</t>
        </is>
      </c>
      <c r="C65" t="inlineStr">
        <is>
          <t>Glefe</t>
        </is>
      </c>
      <c r="D65" t="n">
        <v>29</v>
      </c>
      <c r="E65" t="n">
        <v>6</v>
      </c>
      <c r="F65" t="inlineStr">
        <is>
          <t>W15</t>
        </is>
      </c>
      <c r="G65" t="inlineStr">
        <is>
          <t xml:space="preserve">W10 </t>
        </is>
      </c>
      <c r="H65" t="n">
        <v>3</v>
      </c>
      <c r="I65" t="n">
        <v>-7</v>
      </c>
      <c r="J65" t="n">
        <v>0</v>
      </c>
      <c r="K65" t="n">
        <v>-7</v>
      </c>
      <c r="L65" t="n">
        <v>-5</v>
      </c>
      <c r="M65" t="n">
        <v>26</v>
      </c>
      <c r="N65" t="n">
        <v>14</v>
      </c>
      <c r="O65" t="n">
        <v>2.7</v>
      </c>
      <c r="P65" t="inlineStr">
        <is>
          <t>--</t>
        </is>
      </c>
      <c r="Q65" t="inlineStr">
        <is>
          <t>Holzschaft</t>
        </is>
      </c>
      <c r="R65" t="n">
        <v>16</v>
      </c>
      <c r="S65" t="n">
        <v>7</v>
      </c>
      <c r="T65" t="n">
        <v>16</v>
      </c>
      <c r="U65" t="n">
        <v>1.1</v>
      </c>
      <c r="V65" t="n">
        <v>3.5</v>
      </c>
    </row>
    <row r="66">
      <c r="A66" t="inlineStr">
        <is>
          <t>Hiebwaffen</t>
        </is>
      </c>
      <c r="B66" t="inlineStr">
        <is>
          <t>Äxte</t>
        </is>
      </c>
      <c r="C66" t="inlineStr">
        <is>
          <t>Hacke</t>
        </is>
      </c>
      <c r="D66" t="n">
        <v>14</v>
      </c>
      <c r="E66" t="n">
        <v>4.5</v>
      </c>
      <c r="F66" t="inlineStr">
        <is>
          <t xml:space="preserve">W15 </t>
        </is>
      </c>
      <c r="G66" t="inlineStr">
        <is>
          <t>W4</t>
        </is>
      </c>
      <c r="H66" t="n">
        <v>3</v>
      </c>
      <c r="I66" t="n">
        <v>-5</v>
      </c>
      <c r="J66" t="n">
        <v>2</v>
      </c>
      <c r="K66" t="n">
        <v>-7</v>
      </c>
      <c r="L66" t="n">
        <v>-7</v>
      </c>
      <c r="M66" t="n">
        <v>14</v>
      </c>
      <c r="N66" t="n">
        <v>8</v>
      </c>
      <c r="O66" t="n">
        <v>1.4</v>
      </c>
      <c r="P66" t="n">
        <v>0</v>
      </c>
      <c r="Q66" t="inlineStr">
        <is>
          <t>Holzschaft</t>
        </is>
      </c>
      <c r="R66" t="n">
        <v>10</v>
      </c>
      <c r="S66" t="n">
        <v>4</v>
      </c>
      <c r="T66" t="n">
        <v>3</v>
      </c>
      <c r="U66" t="n">
        <v>0.3</v>
      </c>
      <c r="V66" t="n">
        <v>0.25</v>
      </c>
    </row>
    <row r="67">
      <c r="A67" t="inlineStr">
        <is>
          <t>Stangenwaffen</t>
        </is>
      </c>
      <c r="B67" t="inlineStr">
        <is>
          <t>Stäbe</t>
        </is>
      </c>
      <c r="C67" t="inlineStr">
        <is>
          <t>Hacke</t>
        </is>
      </c>
      <c r="D67" t="n">
        <v>14</v>
      </c>
      <c r="E67" t="n">
        <v>4.5</v>
      </c>
      <c r="F67" t="inlineStr">
        <is>
          <t xml:space="preserve">W15 </t>
        </is>
      </c>
      <c r="G67" t="inlineStr">
        <is>
          <t>W4</t>
        </is>
      </c>
      <c r="H67" t="n">
        <v>3</v>
      </c>
      <c r="I67" t="n">
        <v>-5</v>
      </c>
      <c r="J67" t="n">
        <v>2</v>
      </c>
      <c r="K67" t="n">
        <v>-7</v>
      </c>
      <c r="L67" t="n">
        <v>-7</v>
      </c>
      <c r="M67" t="n">
        <v>14</v>
      </c>
      <c r="N67" t="n">
        <v>8</v>
      </c>
      <c r="O67" t="n">
        <v>1.4</v>
      </c>
      <c r="P67" t="n">
        <v>0</v>
      </c>
      <c r="Q67" t="inlineStr">
        <is>
          <t>Holzschaft</t>
        </is>
      </c>
      <c r="R67" t="n">
        <v>10</v>
      </c>
      <c r="S67" t="n">
        <v>4</v>
      </c>
      <c r="T67" t="n">
        <v>3</v>
      </c>
      <c r="U67" t="n">
        <v>0.3</v>
      </c>
      <c r="V67" t="n">
        <v>0.25</v>
      </c>
    </row>
    <row r="68">
      <c r="A68" t="inlineStr">
        <is>
          <t>Stichwaffen</t>
        </is>
      </c>
      <c r="B68" t="inlineStr">
        <is>
          <t>Dolche</t>
        </is>
      </c>
      <c r="C68" t="inlineStr">
        <is>
          <t>Hakendolch</t>
        </is>
      </c>
      <c r="D68" t="n">
        <v>3</v>
      </c>
      <c r="E68" t="n">
        <v>2</v>
      </c>
      <c r="F68" t="inlineStr">
        <is>
          <t>W12</t>
        </is>
      </c>
      <c r="H68" t="n">
        <v>5</v>
      </c>
      <c r="I68" t="n">
        <v>-2</v>
      </c>
      <c r="J68" t="n">
        <v>0</v>
      </c>
      <c r="K68" t="n">
        <v>-1</v>
      </c>
      <c r="L68" t="n">
        <v>-6</v>
      </c>
      <c r="M68" t="n">
        <v>6</v>
      </c>
      <c r="N68" t="n">
        <v>4</v>
      </c>
      <c r="O68" t="n">
        <v>0.35</v>
      </c>
      <c r="P68" t="n">
        <v>6</v>
      </c>
      <c r="R68" t="n">
        <v>12</v>
      </c>
      <c r="S68" t="n">
        <v>17</v>
      </c>
      <c r="T68" t="n">
        <v>7</v>
      </c>
      <c r="U68" t="n">
        <v>0.3</v>
      </c>
      <c r="V68" t="n">
        <v>1</v>
      </c>
    </row>
    <row r="69">
      <c r="A69" t="inlineStr">
        <is>
          <t>Hiebwaffen</t>
        </is>
      </c>
      <c r="B69" t="inlineStr">
        <is>
          <t>Stumpfe Hiebwaffen</t>
        </is>
      </c>
      <c r="C69" t="inlineStr">
        <is>
          <t>Hammer groß</t>
        </is>
      </c>
      <c r="D69" t="n">
        <v>3</v>
      </c>
      <c r="E69" t="n">
        <v>5</v>
      </c>
      <c r="F69" t="inlineStr">
        <is>
          <t>W10</t>
        </is>
      </c>
      <c r="G69" t="inlineStr">
        <is>
          <t>W6</t>
        </is>
      </c>
      <c r="H69" t="n">
        <v>2</v>
      </c>
      <c r="I69" t="n">
        <v>-7</v>
      </c>
      <c r="J69" t="n">
        <v>0</v>
      </c>
      <c r="K69" t="n">
        <v>-5</v>
      </c>
      <c r="L69" t="n">
        <v>-8</v>
      </c>
      <c r="M69" t="n">
        <v>10</v>
      </c>
      <c r="N69" t="n">
        <v>7</v>
      </c>
      <c r="O69" t="n">
        <v>0.3</v>
      </c>
      <c r="P69" t="n">
        <v>7</v>
      </c>
      <c r="Q69" t="inlineStr">
        <is>
          <t>Holzschaft</t>
        </is>
      </c>
      <c r="R69" t="n">
        <v>9</v>
      </c>
      <c r="S69" t="n">
        <v>6</v>
      </c>
      <c r="T69" t="n">
        <v>4</v>
      </c>
      <c r="U69" t="n">
        <v>0.7</v>
      </c>
      <c r="V69" t="n">
        <v>0.25</v>
      </c>
    </row>
    <row r="70">
      <c r="A70" t="inlineStr">
        <is>
          <t>Hiebwaffen</t>
        </is>
      </c>
      <c r="B70" t="inlineStr">
        <is>
          <t>Stumpfe Hiebwaffen</t>
        </is>
      </c>
      <c r="C70" t="inlineStr">
        <is>
          <t>Hammer klein</t>
        </is>
      </c>
      <c r="D70" t="n">
        <v>2</v>
      </c>
      <c r="E70" t="n">
        <v>2.5</v>
      </c>
      <c r="F70" t="inlineStr">
        <is>
          <t>W8</t>
        </is>
      </c>
      <c r="G70" t="inlineStr">
        <is>
          <t>W4</t>
        </is>
      </c>
      <c r="H70" t="n">
        <v>3</v>
      </c>
      <c r="I70" t="n">
        <v>-5</v>
      </c>
      <c r="J70" t="n">
        <v>0</v>
      </c>
      <c r="K70" t="n">
        <v>-6</v>
      </c>
      <c r="L70" t="n">
        <v>-9</v>
      </c>
      <c r="M70" t="n">
        <v>6</v>
      </c>
      <c r="O70" t="n">
        <v>0.25</v>
      </c>
      <c r="P70" t="n">
        <v>8</v>
      </c>
      <c r="Q70" t="inlineStr">
        <is>
          <t>Holzschaft</t>
        </is>
      </c>
      <c r="R70" t="n">
        <v>8</v>
      </c>
      <c r="S70" t="n">
        <v>5</v>
      </c>
      <c r="T70" t="n">
        <v>3</v>
      </c>
      <c r="U70" t="n">
        <v>0.4</v>
      </c>
      <c r="V70" t="n">
        <v>0.25</v>
      </c>
    </row>
    <row r="71">
      <c r="A71" t="inlineStr">
        <is>
          <t>Stangenwaffen</t>
        </is>
      </c>
      <c r="B71" t="inlineStr">
        <is>
          <t>Hellebarden</t>
        </is>
      </c>
      <c r="C71" t="inlineStr">
        <is>
          <t>Handhellebarde</t>
        </is>
      </c>
      <c r="D71" t="n">
        <v>13</v>
      </c>
      <c r="E71" t="n">
        <v>5</v>
      </c>
      <c r="F71" t="inlineStr">
        <is>
          <t>W20</t>
        </is>
      </c>
      <c r="G71" t="inlineStr">
        <is>
          <t>W6</t>
        </is>
      </c>
      <c r="H71" t="n">
        <v>3</v>
      </c>
      <c r="I71" t="n">
        <v>-8</v>
      </c>
      <c r="J71" t="n">
        <v>0</v>
      </c>
      <c r="K71" t="n">
        <v>-5</v>
      </c>
      <c r="L71" t="n">
        <v>-4</v>
      </c>
      <c r="M71" t="n">
        <v>25</v>
      </c>
      <c r="N71" t="n">
        <v>11</v>
      </c>
      <c r="O71" t="n">
        <v>1.2</v>
      </c>
      <c r="P71" t="inlineStr">
        <is>
          <t>--</t>
        </is>
      </c>
      <c r="Q71" t="inlineStr">
        <is>
          <t>Holzschaft</t>
        </is>
      </c>
      <c r="R71" t="n">
        <v>17</v>
      </c>
      <c r="S71" t="n">
        <v>7</v>
      </c>
      <c r="T71" t="n">
        <v>16</v>
      </c>
      <c r="U71" t="n">
        <v>1.5</v>
      </c>
      <c r="V71" t="n">
        <v>4</v>
      </c>
    </row>
    <row r="72">
      <c r="A72" t="inlineStr">
        <is>
          <t>Klingenwaffen</t>
        </is>
      </c>
      <c r="B72" t="inlineStr">
        <is>
          <t>Kurzschwerter</t>
        </is>
      </c>
      <c r="C72" t="inlineStr">
        <is>
          <t>Haumesser</t>
        </is>
      </c>
      <c r="D72" t="n">
        <v>5</v>
      </c>
      <c r="E72" t="n">
        <v>2.5</v>
      </c>
      <c r="F72" t="inlineStr">
        <is>
          <t>W6</t>
        </is>
      </c>
      <c r="G72" t="inlineStr">
        <is>
          <t>W6</t>
        </is>
      </c>
      <c r="H72" t="n">
        <v>4</v>
      </c>
      <c r="I72" t="n">
        <v>-2</v>
      </c>
      <c r="J72" t="n">
        <v>0</v>
      </c>
      <c r="K72" t="n">
        <v>-1</v>
      </c>
      <c r="L72" t="n">
        <v>-5</v>
      </c>
      <c r="M72" t="n">
        <v>6</v>
      </c>
      <c r="N72" t="n">
        <v>4</v>
      </c>
      <c r="O72" t="n">
        <v>0.5</v>
      </c>
      <c r="P72" t="n">
        <v>6</v>
      </c>
      <c r="R72" t="n">
        <v>14</v>
      </c>
      <c r="S72" t="n">
        <v>11</v>
      </c>
      <c r="T72" t="n">
        <v>10</v>
      </c>
      <c r="U72" t="n">
        <v>0.8</v>
      </c>
      <c r="V72" t="n">
        <v>3</v>
      </c>
    </row>
    <row r="73">
      <c r="A73" t="inlineStr">
        <is>
          <t>Stangenwaffen</t>
        </is>
      </c>
      <c r="B73" t="inlineStr">
        <is>
          <t>Hellebarden</t>
        </is>
      </c>
      <c r="C73" t="inlineStr">
        <is>
          <t>Hellebarde  lang, 3m</t>
        </is>
      </c>
      <c r="D73" t="n">
        <v>32</v>
      </c>
      <c r="E73" t="n">
        <v>6</v>
      </c>
      <c r="F73" t="inlineStr">
        <is>
          <t>W20</t>
        </is>
      </c>
      <c r="G73" t="inlineStr">
        <is>
          <t>W12</t>
        </is>
      </c>
      <c r="H73" t="n">
        <v>2</v>
      </c>
      <c r="I73" t="n">
        <v>-14</v>
      </c>
      <c r="J73" t="n">
        <v>0</v>
      </c>
      <c r="K73" t="n">
        <v>-8</v>
      </c>
      <c r="L73" t="n">
        <v>-7</v>
      </c>
      <c r="M73" t="n">
        <v>32</v>
      </c>
      <c r="N73" t="n">
        <v>14</v>
      </c>
      <c r="O73" t="n">
        <v>3</v>
      </c>
      <c r="P73" t="inlineStr">
        <is>
          <t>--</t>
        </is>
      </c>
      <c r="Q73" t="inlineStr">
        <is>
          <t>Holzschaft</t>
        </is>
      </c>
      <c r="R73" t="n">
        <v>17</v>
      </c>
      <c r="S73" t="n">
        <v>7</v>
      </c>
      <c r="T73" t="n">
        <v>16</v>
      </c>
      <c r="U73" t="n">
        <v>1.5</v>
      </c>
      <c r="V73" t="n">
        <v>4</v>
      </c>
    </row>
    <row r="74">
      <c r="A74" t="inlineStr">
        <is>
          <t>Stangenwaffen</t>
        </is>
      </c>
      <c r="B74" t="inlineStr">
        <is>
          <t>Hellebarden</t>
        </is>
      </c>
      <c r="C74" t="inlineStr">
        <is>
          <t>Hellebarde  leicht, 2m</t>
        </is>
      </c>
      <c r="D74" t="n">
        <v>22</v>
      </c>
      <c r="E74" t="n">
        <v>5</v>
      </c>
      <c r="F74" t="inlineStr">
        <is>
          <t>W15</t>
        </is>
      </c>
      <c r="G74" t="inlineStr">
        <is>
          <t>W8</t>
        </is>
      </c>
      <c r="H74" t="n">
        <v>3</v>
      </c>
      <c r="I74" t="n">
        <v>-7</v>
      </c>
      <c r="J74" t="n">
        <v>0</v>
      </c>
      <c r="K74" t="n">
        <v>-5</v>
      </c>
      <c r="L74" t="n">
        <v>-5</v>
      </c>
      <c r="M74" t="n">
        <v>26</v>
      </c>
      <c r="N74" t="n">
        <v>12</v>
      </c>
      <c r="O74" t="n">
        <v>2</v>
      </c>
      <c r="P74" t="inlineStr">
        <is>
          <t>--</t>
        </is>
      </c>
      <c r="Q74" t="inlineStr">
        <is>
          <t>Holzschaft</t>
        </is>
      </c>
      <c r="R74" t="n">
        <v>17</v>
      </c>
      <c r="S74" t="n">
        <v>7</v>
      </c>
      <c r="T74" t="n">
        <v>16</v>
      </c>
      <c r="U74" t="n">
        <v>1.5</v>
      </c>
      <c r="V74" t="n">
        <v>4</v>
      </c>
    </row>
    <row r="75">
      <c r="A75" t="inlineStr">
        <is>
          <t>Stichwaffen</t>
        </is>
      </c>
      <c r="B75" t="inlineStr">
        <is>
          <t>Dolche</t>
        </is>
      </c>
      <c r="C75" t="inlineStr">
        <is>
          <t>Hiebdolch  schwer</t>
        </is>
      </c>
      <c r="D75" t="n">
        <v>3</v>
      </c>
      <c r="E75" t="n">
        <v>2</v>
      </c>
      <c r="F75" t="inlineStr">
        <is>
          <t>W10</t>
        </is>
      </c>
      <c r="G75" t="inlineStr">
        <is>
          <t>W4</t>
        </is>
      </c>
      <c r="H75" t="n">
        <v>5</v>
      </c>
      <c r="I75" t="n">
        <v>-3</v>
      </c>
      <c r="J75" t="n">
        <v>0</v>
      </c>
      <c r="K75" t="n">
        <v>-1</v>
      </c>
      <c r="L75" t="n">
        <v>-5</v>
      </c>
      <c r="M75" t="n">
        <v>6</v>
      </c>
      <c r="N75" t="n">
        <v>4</v>
      </c>
      <c r="O75" t="n">
        <v>0.35</v>
      </c>
      <c r="P75" t="n">
        <v>6</v>
      </c>
      <c r="R75" t="n">
        <v>13</v>
      </c>
      <c r="S75" t="n">
        <v>18</v>
      </c>
      <c r="T75" t="n">
        <v>5</v>
      </c>
      <c r="U75" t="n">
        <v>0.4</v>
      </c>
      <c r="V75" t="n">
        <v>1</v>
      </c>
    </row>
    <row r="76">
      <c r="A76" t="inlineStr">
        <is>
          <t>Stichwaffen</t>
        </is>
      </c>
      <c r="B76" t="inlineStr">
        <is>
          <t>Dolche</t>
        </is>
      </c>
      <c r="C76" t="inlineStr">
        <is>
          <t>Hiebdolch kurz</t>
        </is>
      </c>
      <c r="D76" t="n">
        <v>3</v>
      </c>
      <c r="E76" t="n">
        <v>1</v>
      </c>
      <c r="F76" t="inlineStr">
        <is>
          <t>W10</t>
        </is>
      </c>
      <c r="G76" t="inlineStr">
        <is>
          <t>W4</t>
        </is>
      </c>
      <c r="H76" t="n">
        <v>5</v>
      </c>
      <c r="I76" t="n">
        <v>-4</v>
      </c>
      <c r="J76" t="n">
        <v>0</v>
      </c>
      <c r="K76" t="n">
        <v>-1</v>
      </c>
      <c r="L76" t="n">
        <v>-6</v>
      </c>
      <c r="M76" t="n">
        <v>5</v>
      </c>
      <c r="N76" t="n">
        <v>3</v>
      </c>
      <c r="O76" t="n">
        <v>0.25</v>
      </c>
      <c r="P76" t="n">
        <v>9</v>
      </c>
      <c r="R76" t="n">
        <v>12</v>
      </c>
      <c r="S76" t="n">
        <v>18</v>
      </c>
      <c r="T76" t="n">
        <v>5</v>
      </c>
      <c r="U76" t="n">
        <v>0.25</v>
      </c>
      <c r="V76" t="n">
        <v>1</v>
      </c>
    </row>
    <row r="77">
      <c r="A77" t="inlineStr">
        <is>
          <t>Unbewaffnet</t>
        </is>
      </c>
      <c r="B77" t="inlineStr">
        <is>
          <t>Messer</t>
        </is>
      </c>
      <c r="C77" t="inlineStr">
        <is>
          <t>Hiebdolch kurz</t>
        </is>
      </c>
      <c r="D77" t="n">
        <v>3</v>
      </c>
      <c r="E77" t="n">
        <v>1</v>
      </c>
      <c r="F77" t="inlineStr">
        <is>
          <t>W10</t>
        </is>
      </c>
      <c r="G77" t="inlineStr">
        <is>
          <t>W4</t>
        </is>
      </c>
      <c r="H77" t="n">
        <v>5</v>
      </c>
      <c r="I77" t="n">
        <v>-4</v>
      </c>
      <c r="J77" t="n">
        <v>0</v>
      </c>
      <c r="K77" t="n">
        <v>-1</v>
      </c>
      <c r="L77" t="n">
        <v>-6</v>
      </c>
      <c r="M77" t="n">
        <v>5</v>
      </c>
      <c r="N77" t="n">
        <v>3</v>
      </c>
      <c r="O77" t="n">
        <v>0.25</v>
      </c>
      <c r="P77" t="n">
        <v>9</v>
      </c>
      <c r="R77" t="n">
        <v>12</v>
      </c>
      <c r="S77" t="n">
        <v>18</v>
      </c>
      <c r="T77" t="n">
        <v>5</v>
      </c>
      <c r="U77" t="n">
        <v>0.25</v>
      </c>
      <c r="V77" t="n">
        <v>1</v>
      </c>
    </row>
    <row r="78">
      <c r="A78" t="inlineStr">
        <is>
          <t>Stichwaffen</t>
        </is>
      </c>
      <c r="B78" t="inlineStr">
        <is>
          <t>Fechtwaffen</t>
        </is>
      </c>
      <c r="C78" t="inlineStr">
        <is>
          <t>Hirschfänger (rapierartig)</t>
        </is>
      </c>
      <c r="D78" t="n">
        <v>8</v>
      </c>
      <c r="E78" t="n">
        <v>4</v>
      </c>
      <c r="F78" t="inlineStr">
        <is>
          <t>W15</t>
        </is>
      </c>
      <c r="G78" t="inlineStr">
        <is>
          <t>W4</t>
        </is>
      </c>
      <c r="H78" t="n">
        <v>4</v>
      </c>
      <c r="I78" t="n">
        <v>-5</v>
      </c>
      <c r="J78" t="n">
        <v>0</v>
      </c>
      <c r="K78" t="n">
        <v>-2</v>
      </c>
      <c r="L78" t="n">
        <v>-3</v>
      </c>
      <c r="M78" t="n">
        <v>8</v>
      </c>
      <c r="N78" t="n">
        <v>6</v>
      </c>
      <c r="O78" t="n">
        <v>0.7</v>
      </c>
      <c r="P78" t="n">
        <v>4</v>
      </c>
      <c r="R78" t="n">
        <v>14</v>
      </c>
      <c r="S78" t="n">
        <v>16</v>
      </c>
      <c r="T78" t="n">
        <v>18</v>
      </c>
      <c r="U78" t="n">
        <v>0.8</v>
      </c>
      <c r="V78" t="n">
        <v>4</v>
      </c>
    </row>
    <row r="79">
      <c r="A79" t="inlineStr">
        <is>
          <t>Hiebwaffen</t>
        </is>
      </c>
      <c r="B79" t="inlineStr">
        <is>
          <t>Äxte</t>
        </is>
      </c>
      <c r="C79" t="inlineStr">
        <is>
          <t>Holzfälleraxt</t>
        </is>
      </c>
      <c r="D79" t="n">
        <v>8</v>
      </c>
      <c r="E79" t="n">
        <v>7</v>
      </c>
      <c r="F79" t="inlineStr">
        <is>
          <t>W20</t>
        </is>
      </c>
      <c r="G79" t="inlineStr">
        <is>
          <t>W4</t>
        </is>
      </c>
      <c r="H79" t="n">
        <v>1.5</v>
      </c>
      <c r="I79" t="n">
        <v>-11</v>
      </c>
      <c r="J79" t="n">
        <v>0</v>
      </c>
      <c r="K79" t="n">
        <v>-5</v>
      </c>
      <c r="L79" t="n">
        <v>-5</v>
      </c>
      <c r="M79" t="n">
        <v>28</v>
      </c>
      <c r="N79" t="n">
        <v>12</v>
      </c>
      <c r="O79" t="n">
        <v>0.8</v>
      </c>
      <c r="P79" t="n">
        <v>0</v>
      </c>
      <c r="Q79" t="inlineStr">
        <is>
          <t>Holzschaft</t>
        </is>
      </c>
      <c r="R79" t="n">
        <v>17</v>
      </c>
      <c r="S79" t="n">
        <v>6</v>
      </c>
      <c r="T79" t="n">
        <v>8</v>
      </c>
      <c r="U79" t="n">
        <v>2</v>
      </c>
      <c r="V79" t="n">
        <v>1.5</v>
      </c>
    </row>
    <row r="80">
      <c r="A80" t="inlineStr">
        <is>
          <t>Stichwaffen</t>
        </is>
      </c>
      <c r="B80" t="inlineStr">
        <is>
          <t>Dolche</t>
        </is>
      </c>
      <c r="C80" t="inlineStr">
        <is>
          <t>Jagdmesser</t>
        </is>
      </c>
      <c r="D80" t="n">
        <v>3</v>
      </c>
      <c r="E80" t="n">
        <v>0</v>
      </c>
      <c r="F80" t="inlineStr">
        <is>
          <t>W10</t>
        </is>
      </c>
      <c r="H80" t="n">
        <v>6</v>
      </c>
      <c r="I80" t="n">
        <v>-2</v>
      </c>
      <c r="J80" t="n">
        <v>0</v>
      </c>
      <c r="K80" t="n">
        <v>-1</v>
      </c>
      <c r="L80" t="n">
        <v>-8</v>
      </c>
      <c r="M80" t="n">
        <v>3</v>
      </c>
      <c r="O80" t="n">
        <v>0.3</v>
      </c>
      <c r="P80" t="n">
        <v>11</v>
      </c>
      <c r="R80" t="n">
        <v>11</v>
      </c>
      <c r="S80" t="n">
        <v>16</v>
      </c>
      <c r="T80" t="n">
        <v>4</v>
      </c>
      <c r="U80" t="n">
        <v>0.3</v>
      </c>
      <c r="V80" t="n">
        <v>1</v>
      </c>
    </row>
    <row r="81">
      <c r="A81" t="inlineStr">
        <is>
          <t>Unbewaffnet</t>
        </is>
      </c>
      <c r="B81" t="inlineStr">
        <is>
          <t>Messer</t>
        </is>
      </c>
      <c r="C81" t="inlineStr">
        <is>
          <t>Jagdmesser</t>
        </is>
      </c>
      <c r="D81" t="n">
        <v>3</v>
      </c>
      <c r="E81" t="n">
        <v>0</v>
      </c>
      <c r="F81" t="inlineStr">
        <is>
          <t>W10</t>
        </is>
      </c>
      <c r="H81" t="n">
        <v>6</v>
      </c>
      <c r="I81" t="n">
        <v>-2</v>
      </c>
      <c r="J81" t="n">
        <v>0</v>
      </c>
      <c r="K81" t="n">
        <v>-1</v>
      </c>
      <c r="L81" t="n">
        <v>-8</v>
      </c>
      <c r="M81" t="n">
        <v>3</v>
      </c>
      <c r="O81" t="n">
        <v>0.3</v>
      </c>
      <c r="P81" t="n">
        <v>11</v>
      </c>
      <c r="R81" t="n">
        <v>11</v>
      </c>
      <c r="S81" t="n">
        <v>16</v>
      </c>
      <c r="T81" t="n">
        <v>4</v>
      </c>
      <c r="U81" t="n">
        <v>0.3</v>
      </c>
      <c r="V81" t="n">
        <v>1</v>
      </c>
    </row>
    <row r="82">
      <c r="A82" t="inlineStr">
        <is>
          <t>Hiebwaffen</t>
        </is>
      </c>
      <c r="B82" t="inlineStr">
        <is>
          <t>Beidhand-Hiebwaffen</t>
        </is>
      </c>
      <c r="C82" t="inlineStr">
        <is>
          <t>junge Birke aus Eisen (KEINE Listenwaffe)</t>
        </is>
      </c>
      <c r="D82" t="n">
        <v>28</v>
      </c>
      <c r="E82" t="n">
        <v>15</v>
      </c>
      <c r="F82" t="inlineStr">
        <is>
          <t>W30</t>
        </is>
      </c>
      <c r="G82" t="inlineStr">
        <is>
          <t>W30</t>
        </is>
      </c>
      <c r="H82" t="n">
        <v>1</v>
      </c>
      <c r="I82" t="n">
        <v>-36</v>
      </c>
      <c r="J82" t="n">
        <v>0</v>
      </c>
      <c r="K82" t="n">
        <v>-9</v>
      </c>
      <c r="L82" t="n">
        <v>-9</v>
      </c>
      <c r="M82" t="n">
        <v>128</v>
      </c>
      <c r="N82" t="n">
        <v>64</v>
      </c>
      <c r="O82" t="n">
        <v>3</v>
      </c>
      <c r="P82" t="inlineStr">
        <is>
          <t>--</t>
        </is>
      </c>
      <c r="Q82" t="inlineStr">
        <is>
          <t>Holzschaft</t>
        </is>
      </c>
      <c r="R82" t="n">
        <v>32</v>
      </c>
      <c r="S82" t="n">
        <v>32</v>
      </c>
      <c r="T82" t="n">
        <v>10</v>
      </c>
      <c r="U82" t="n">
        <v>7000</v>
      </c>
      <c r="V82" t="n">
        <v>4</v>
      </c>
    </row>
    <row r="83">
      <c r="A83" t="inlineStr">
        <is>
          <t>Stichwaffen</t>
        </is>
      </c>
      <c r="B83" t="inlineStr">
        <is>
          <t>Dolche</t>
        </is>
      </c>
      <c r="C83" t="inlineStr">
        <is>
          <t>Kampfmesser</t>
        </is>
      </c>
      <c r="D83" t="n">
        <v>3</v>
      </c>
      <c r="E83" t="n">
        <v>1</v>
      </c>
      <c r="F83" t="inlineStr">
        <is>
          <t>W12</t>
        </is>
      </c>
      <c r="H83" t="n">
        <v>6</v>
      </c>
      <c r="I83" t="n">
        <v>-2</v>
      </c>
      <c r="J83" t="n">
        <v>0</v>
      </c>
      <c r="K83" t="n">
        <v>-1</v>
      </c>
      <c r="L83" t="n">
        <v>-7</v>
      </c>
      <c r="M83" t="n">
        <v>4</v>
      </c>
      <c r="O83" t="n">
        <v>0.28</v>
      </c>
      <c r="P83" t="n">
        <v>10</v>
      </c>
      <c r="R83" t="n">
        <v>11</v>
      </c>
      <c r="S83" t="n">
        <v>17</v>
      </c>
      <c r="T83" t="n">
        <v>4</v>
      </c>
      <c r="U83" t="n">
        <v>0.4</v>
      </c>
      <c r="V83" t="n">
        <v>1</v>
      </c>
    </row>
    <row r="84">
      <c r="A84" t="inlineStr">
        <is>
          <t>Unbewaffnet</t>
        </is>
      </c>
      <c r="B84" t="inlineStr">
        <is>
          <t>Messer</t>
        </is>
      </c>
      <c r="C84" t="inlineStr">
        <is>
          <t>Kampfmesser</t>
        </is>
      </c>
      <c r="D84" t="n">
        <v>3</v>
      </c>
      <c r="E84" t="n">
        <v>1</v>
      </c>
      <c r="F84" t="inlineStr">
        <is>
          <t>W12</t>
        </is>
      </c>
      <c r="H84" t="n">
        <v>6</v>
      </c>
      <c r="I84" t="n">
        <v>-2</v>
      </c>
      <c r="J84" t="n">
        <v>0</v>
      </c>
      <c r="K84" t="n">
        <v>-1</v>
      </c>
      <c r="L84" t="n">
        <v>-7</v>
      </c>
      <c r="M84" t="n">
        <v>4</v>
      </c>
      <c r="O84" t="n">
        <v>0.28</v>
      </c>
      <c r="P84" t="n">
        <v>10</v>
      </c>
      <c r="R84" t="n">
        <v>11</v>
      </c>
      <c r="S84" t="n">
        <v>17</v>
      </c>
      <c r="T84" t="n">
        <v>4</v>
      </c>
      <c r="U84" t="n">
        <v>0.4</v>
      </c>
      <c r="V84" t="n">
        <v>1</v>
      </c>
    </row>
    <row r="85">
      <c r="A85" t="inlineStr">
        <is>
          <t>Stangenwaffen</t>
        </is>
      </c>
      <c r="B85" t="inlineStr">
        <is>
          <t>Stäbe</t>
        </is>
      </c>
      <c r="C85" t="inlineStr">
        <is>
          <t>Kampfstab  eisenbeschlagen</t>
        </is>
      </c>
      <c r="D85" t="n">
        <v>11</v>
      </c>
      <c r="E85" t="n">
        <v>3.5</v>
      </c>
      <c r="F85" t="inlineStr">
        <is>
          <t>W8</t>
        </is>
      </c>
      <c r="G85" t="inlineStr">
        <is>
          <t>W4</t>
        </is>
      </c>
      <c r="H85" t="n">
        <v>4</v>
      </c>
      <c r="I85" t="n">
        <v>-2</v>
      </c>
      <c r="J85" t="n">
        <v>0</v>
      </c>
      <c r="K85" t="n">
        <v>-2</v>
      </c>
      <c r="L85" t="n">
        <v>-2</v>
      </c>
      <c r="M85" t="n">
        <v>18</v>
      </c>
      <c r="N85" t="n">
        <v>7</v>
      </c>
      <c r="O85" t="n">
        <v>1.8</v>
      </c>
      <c r="P85" t="inlineStr">
        <is>
          <t>--</t>
        </is>
      </c>
      <c r="Q85" t="inlineStr">
        <is>
          <t>Holzschaft, Schnell</t>
        </is>
      </c>
      <c r="R85" t="n">
        <v>2</v>
      </c>
      <c r="S85" t="n">
        <v>7</v>
      </c>
      <c r="T85" t="n">
        <v>3</v>
      </c>
      <c r="U85" t="n">
        <v>0.5</v>
      </c>
      <c r="V85" t="n">
        <v>0.25</v>
      </c>
    </row>
    <row r="86">
      <c r="A86" t="inlineStr">
        <is>
          <t>Stangenwaffen</t>
        </is>
      </c>
      <c r="B86" t="inlineStr">
        <is>
          <t>Stäbe</t>
        </is>
      </c>
      <c r="C86" t="inlineStr">
        <is>
          <t>Kampfstab  Eisenkolben</t>
        </is>
      </c>
      <c r="D86" t="n">
        <v>11</v>
      </c>
      <c r="E86" t="n">
        <v>4</v>
      </c>
      <c r="F86" t="inlineStr">
        <is>
          <t>W8</t>
        </is>
      </c>
      <c r="G86" t="inlineStr">
        <is>
          <t>W6</t>
        </is>
      </c>
      <c r="H86" t="n">
        <v>4</v>
      </c>
      <c r="I86" t="n">
        <v>-2</v>
      </c>
      <c r="J86" t="n">
        <v>0</v>
      </c>
      <c r="K86" t="n">
        <v>-3</v>
      </c>
      <c r="L86" t="n">
        <v>-3</v>
      </c>
      <c r="M86" t="n">
        <v>22</v>
      </c>
      <c r="N86" t="n">
        <v>11</v>
      </c>
      <c r="O86" t="n">
        <v>1.8</v>
      </c>
      <c r="P86" t="inlineStr">
        <is>
          <t>--</t>
        </is>
      </c>
      <c r="Q86" t="inlineStr">
        <is>
          <t>Holzschaft, Schnell</t>
        </is>
      </c>
      <c r="R86" t="n">
        <v>3</v>
      </c>
      <c r="S86" t="n">
        <v>7</v>
      </c>
      <c r="T86" t="n">
        <v>4</v>
      </c>
      <c r="U86" t="n">
        <v>1</v>
      </c>
      <c r="V86" t="n">
        <v>1</v>
      </c>
    </row>
    <row r="87">
      <c r="A87" t="inlineStr">
        <is>
          <t>Stangenwaffen</t>
        </is>
      </c>
      <c r="B87" t="inlineStr">
        <is>
          <t>Stäbe</t>
        </is>
      </c>
      <c r="C87" t="inlineStr">
        <is>
          <t>Kampfstab  Eisenspitzen</t>
        </is>
      </c>
      <c r="D87" t="n">
        <v>11</v>
      </c>
      <c r="E87" t="n">
        <v>4</v>
      </c>
      <c r="F87" t="inlineStr">
        <is>
          <t>W10</t>
        </is>
      </c>
      <c r="G87" t="inlineStr">
        <is>
          <t>W4</t>
        </is>
      </c>
      <c r="H87" t="n">
        <v>5</v>
      </c>
      <c r="I87" t="n">
        <v>-2</v>
      </c>
      <c r="J87" t="n">
        <v>0</v>
      </c>
      <c r="K87" t="n">
        <v>-3</v>
      </c>
      <c r="L87" t="n">
        <v>-3</v>
      </c>
      <c r="M87" t="n">
        <v>20</v>
      </c>
      <c r="N87" t="n">
        <v>9</v>
      </c>
      <c r="O87" t="n">
        <v>1.8</v>
      </c>
      <c r="P87" t="inlineStr">
        <is>
          <t>--</t>
        </is>
      </c>
      <c r="Q87" t="inlineStr">
        <is>
          <t>Holzschaft, Schnell</t>
        </is>
      </c>
      <c r="R87" t="n">
        <v>3</v>
      </c>
      <c r="S87" t="n">
        <v>7</v>
      </c>
      <c r="T87" t="n">
        <v>3</v>
      </c>
      <c r="U87" t="n">
        <v>0.5</v>
      </c>
      <c r="V87" t="n">
        <v>1</v>
      </c>
    </row>
    <row r="88">
      <c r="A88" t="inlineStr">
        <is>
          <t>Stangenwaffen</t>
        </is>
      </c>
      <c r="B88" t="inlineStr">
        <is>
          <t>Stäbe</t>
        </is>
      </c>
      <c r="C88" t="inlineStr">
        <is>
          <t>Kampfstab kurz eisenb.</t>
        </is>
      </c>
      <c r="D88" t="n">
        <v>8</v>
      </c>
      <c r="E88" t="n">
        <v>3</v>
      </c>
      <c r="F88" t="inlineStr">
        <is>
          <t>W6</t>
        </is>
      </c>
      <c r="G88" t="inlineStr">
        <is>
          <t>W6</t>
        </is>
      </c>
      <c r="H88" t="n">
        <v>4</v>
      </c>
      <c r="I88" t="n">
        <v>-2</v>
      </c>
      <c r="J88" t="n">
        <v>0</v>
      </c>
      <c r="K88" t="n">
        <v>-2</v>
      </c>
      <c r="L88" t="n">
        <v>-1</v>
      </c>
      <c r="M88" t="n">
        <v>10</v>
      </c>
      <c r="N88" t="n">
        <v>6</v>
      </c>
      <c r="O88" t="n">
        <v>1.4</v>
      </c>
      <c r="P88" t="inlineStr">
        <is>
          <t>--</t>
        </is>
      </c>
      <c r="Q88" t="inlineStr">
        <is>
          <t>Holzschaft, Schnell</t>
        </is>
      </c>
      <c r="R88" t="n">
        <v>2</v>
      </c>
      <c r="S88" t="n">
        <v>7</v>
      </c>
      <c r="T88" t="n">
        <v>2</v>
      </c>
      <c r="U88" t="n">
        <v>0.5</v>
      </c>
      <c r="V88" t="n">
        <v>0.25</v>
      </c>
    </row>
    <row r="89">
      <c r="A89" t="inlineStr">
        <is>
          <t>Klingenwaffen</t>
        </is>
      </c>
      <c r="B89" t="inlineStr">
        <is>
          <t>Schwerter</t>
        </is>
      </c>
      <c r="C89" t="inlineStr">
        <is>
          <t>Katana  1½-händig</t>
        </is>
      </c>
      <c r="D89" t="n">
        <v>11</v>
      </c>
      <c r="E89" t="n">
        <v>5</v>
      </c>
      <c r="F89" t="inlineStr">
        <is>
          <t>W12</t>
        </is>
      </c>
      <c r="G89" t="inlineStr">
        <is>
          <t>W8</t>
        </is>
      </c>
      <c r="H89" t="n">
        <v>3</v>
      </c>
      <c r="I89" t="n">
        <v>-6</v>
      </c>
      <c r="J89" t="n">
        <v>0</v>
      </c>
      <c r="K89" t="n">
        <v>-3</v>
      </c>
      <c r="L89" t="n">
        <v>-2</v>
      </c>
      <c r="M89" t="n">
        <v>11</v>
      </c>
      <c r="N89" t="n">
        <v>8</v>
      </c>
      <c r="O89" t="n">
        <v>1</v>
      </c>
      <c r="P89" t="n">
        <v>2</v>
      </c>
      <c r="R89" t="n">
        <v>15</v>
      </c>
      <c r="S89" t="n">
        <v>13</v>
      </c>
      <c r="T89" t="n">
        <v>19</v>
      </c>
      <c r="U89" t="n">
        <v>1</v>
      </c>
      <c r="V89" t="n">
        <v>5</v>
      </c>
    </row>
    <row r="90">
      <c r="A90" t="inlineStr">
        <is>
          <t>Klingenwaffen</t>
        </is>
      </c>
      <c r="B90" t="inlineStr">
        <is>
          <t>Zweihänder</t>
        </is>
      </c>
      <c r="C90" t="inlineStr">
        <is>
          <t>Katana  1½-händig</t>
        </is>
      </c>
      <c r="D90" t="n">
        <v>11</v>
      </c>
      <c r="E90" t="n">
        <v>5</v>
      </c>
      <c r="F90" t="inlineStr">
        <is>
          <t>W12</t>
        </is>
      </c>
      <c r="G90" t="inlineStr">
        <is>
          <t>W8</t>
        </is>
      </c>
      <c r="H90" t="n">
        <v>3</v>
      </c>
      <c r="I90" t="n">
        <v>-6</v>
      </c>
      <c r="J90" t="n">
        <v>0</v>
      </c>
      <c r="K90" t="n">
        <v>-3</v>
      </c>
      <c r="L90" t="n">
        <v>-2</v>
      </c>
      <c r="M90" t="n">
        <v>11</v>
      </c>
      <c r="N90" t="n">
        <v>8</v>
      </c>
      <c r="O90" t="n">
        <v>1</v>
      </c>
      <c r="P90" t="n">
        <v>2</v>
      </c>
      <c r="R90" t="n">
        <v>15</v>
      </c>
      <c r="S90" t="n">
        <v>13</v>
      </c>
      <c r="T90" t="n">
        <v>19</v>
      </c>
      <c r="U90" t="n">
        <v>1</v>
      </c>
      <c r="V90" t="n">
        <v>5</v>
      </c>
    </row>
    <row r="91">
      <c r="A91" t="inlineStr">
        <is>
          <t>Klingenwaffen</t>
        </is>
      </c>
      <c r="B91" t="inlineStr">
        <is>
          <t>Schwerter</t>
        </is>
      </c>
      <c r="C91" t="inlineStr">
        <is>
          <t>Kavalleriesäbel</t>
        </is>
      </c>
      <c r="D91" t="n">
        <v>10</v>
      </c>
      <c r="E91" t="n">
        <v>4</v>
      </c>
      <c r="F91" t="inlineStr">
        <is>
          <t>W10</t>
        </is>
      </c>
      <c r="G91" t="inlineStr">
        <is>
          <t>W6</t>
        </is>
      </c>
      <c r="H91" t="n">
        <v>4</v>
      </c>
      <c r="I91" t="n">
        <v>-3</v>
      </c>
      <c r="J91" t="n">
        <v>0</v>
      </c>
      <c r="K91" t="n">
        <v>-2</v>
      </c>
      <c r="L91" t="n">
        <v>-2</v>
      </c>
      <c r="M91" t="n">
        <v>9</v>
      </c>
      <c r="N91" t="n">
        <v>6</v>
      </c>
      <c r="O91" t="n">
        <v>1</v>
      </c>
      <c r="P91" t="n">
        <v>1</v>
      </c>
      <c r="R91" t="n">
        <v>13</v>
      </c>
      <c r="S91" t="n">
        <v>15</v>
      </c>
      <c r="T91" t="n">
        <v>16</v>
      </c>
      <c r="U91" t="n">
        <v>1</v>
      </c>
      <c r="V91" t="n">
        <v>4</v>
      </c>
    </row>
    <row r="92">
      <c r="A92" t="inlineStr">
        <is>
          <t>Hiebwaffen</t>
        </is>
      </c>
      <c r="B92" t="inlineStr">
        <is>
          <t>Kettenwaffen</t>
        </is>
      </c>
      <c r="C92" t="inlineStr">
        <is>
          <t>Kette</t>
        </is>
      </c>
      <c r="D92" t="n">
        <v>7</v>
      </c>
      <c r="E92" t="n">
        <v>0</v>
      </c>
      <c r="F92" t="inlineStr">
        <is>
          <t>W4</t>
        </is>
      </c>
      <c r="G92" t="inlineStr">
        <is>
          <t>W4</t>
        </is>
      </c>
      <c r="H92" t="n">
        <v>3</v>
      </c>
      <c r="I92" t="n">
        <v>-4</v>
      </c>
      <c r="J92" t="n">
        <v>0</v>
      </c>
      <c r="K92" t="n">
        <v>-7</v>
      </c>
      <c r="L92" t="n">
        <v>-15</v>
      </c>
      <c r="M92" t="n">
        <v>10</v>
      </c>
      <c r="N92" t="n">
        <v>6</v>
      </c>
      <c r="O92" t="n">
        <v>1</v>
      </c>
      <c r="P92" t="n">
        <v>6</v>
      </c>
      <c r="R92" t="n">
        <v>1</v>
      </c>
      <c r="S92" t="n">
        <v>12</v>
      </c>
      <c r="T92" t="n">
        <v>6</v>
      </c>
      <c r="U92" t="n">
        <v>2</v>
      </c>
      <c r="V92" t="n">
        <v>1</v>
      </c>
    </row>
    <row r="93">
      <c r="A93" t="inlineStr">
        <is>
          <t>Unbewaffnet</t>
        </is>
      </c>
      <c r="B93" t="inlineStr">
        <is>
          <t>Peitschen</t>
        </is>
      </c>
      <c r="C93" t="inlineStr">
        <is>
          <t>Kettenpeitsche</t>
        </is>
      </c>
      <c r="D93" t="n">
        <v>14</v>
      </c>
      <c r="E93" t="n">
        <v>7</v>
      </c>
      <c r="F93" t="inlineStr">
        <is>
          <t>W10</t>
        </is>
      </c>
      <c r="G93" t="inlineStr">
        <is>
          <t>W6</t>
        </is>
      </c>
      <c r="H93" t="n">
        <v>2</v>
      </c>
      <c r="I93" t="n">
        <v>-4</v>
      </c>
      <c r="J93" t="n">
        <v>0</v>
      </c>
      <c r="K93" t="n">
        <v>-7</v>
      </c>
      <c r="L93" t="n">
        <v>-15</v>
      </c>
      <c r="M93" t="n">
        <v>14</v>
      </c>
      <c r="N93" t="n">
        <v>11</v>
      </c>
      <c r="O93" t="n">
        <v>1.5</v>
      </c>
      <c r="P93" t="n">
        <v>3</v>
      </c>
      <c r="R93" t="n">
        <v>2</v>
      </c>
      <c r="S93" t="n">
        <v>7</v>
      </c>
      <c r="T93" t="n">
        <v>6</v>
      </c>
      <c r="U93" t="n">
        <v>3</v>
      </c>
      <c r="V93" t="n">
        <v>1.5</v>
      </c>
    </row>
    <row r="94">
      <c r="A94" t="inlineStr">
        <is>
          <t>Hiebwaffen</t>
        </is>
      </c>
      <c r="B94" t="inlineStr">
        <is>
          <t>Stumpfe Hiebwaffen</t>
        </is>
      </c>
      <c r="C94" t="inlineStr">
        <is>
          <t>Keule  eisenbeschlagen</t>
        </is>
      </c>
      <c r="D94" t="n">
        <v>9</v>
      </c>
      <c r="E94" t="n">
        <v>4</v>
      </c>
      <c r="F94" t="inlineStr">
        <is>
          <t>W6</t>
        </is>
      </c>
      <c r="G94" t="inlineStr">
        <is>
          <t>W6</t>
        </is>
      </c>
      <c r="H94" t="n">
        <v>3</v>
      </c>
      <c r="I94" t="n">
        <v>-4</v>
      </c>
      <c r="J94" t="n">
        <v>0</v>
      </c>
      <c r="K94" t="n">
        <v>-4</v>
      </c>
      <c r="L94" t="n">
        <v>-5</v>
      </c>
      <c r="M94" t="n">
        <v>9</v>
      </c>
      <c r="N94" t="n">
        <v>7</v>
      </c>
      <c r="O94" t="n">
        <v>1</v>
      </c>
      <c r="P94" t="n">
        <v>0</v>
      </c>
      <c r="Q94" t="inlineStr">
        <is>
          <t>Holzschaft</t>
        </is>
      </c>
      <c r="R94" t="n">
        <v>12</v>
      </c>
      <c r="S94" t="n">
        <v>7</v>
      </c>
      <c r="T94" t="n">
        <v>3</v>
      </c>
      <c r="U94" t="n">
        <v>0.5</v>
      </c>
      <c r="V94" t="n">
        <v>0.25</v>
      </c>
    </row>
    <row r="95">
      <c r="A95" t="inlineStr">
        <is>
          <t>Hiebwaffen</t>
        </is>
      </c>
      <c r="B95" t="inlineStr">
        <is>
          <t>Beidhand-Hiebwaffen</t>
        </is>
      </c>
      <c r="C95" t="inlineStr">
        <is>
          <t>Keule  troll,, eisenbeschlagen</t>
        </is>
      </c>
      <c r="D95" t="n">
        <v>15</v>
      </c>
      <c r="E95" t="n">
        <v>8</v>
      </c>
      <c r="F95" t="inlineStr">
        <is>
          <t>2W12</t>
        </is>
      </c>
      <c r="H95" t="n">
        <v>1.5</v>
      </c>
      <c r="I95" t="n">
        <v>-13</v>
      </c>
      <c r="J95" t="n">
        <v>0</v>
      </c>
      <c r="K95" t="n">
        <v>-6</v>
      </c>
      <c r="L95" t="n">
        <v>-7</v>
      </c>
      <c r="M95" t="n">
        <v>34</v>
      </c>
      <c r="N95" t="n">
        <v>19</v>
      </c>
      <c r="O95" t="n">
        <v>1.7</v>
      </c>
      <c r="P95" t="inlineStr">
        <is>
          <t>--</t>
        </is>
      </c>
      <c r="Q95" t="inlineStr">
        <is>
          <t>Holzschaft</t>
        </is>
      </c>
      <c r="R95" t="n">
        <v>14</v>
      </c>
      <c r="S95" t="n">
        <v>11</v>
      </c>
      <c r="T95" t="n">
        <v>10</v>
      </c>
      <c r="U95" t="n">
        <v>1</v>
      </c>
      <c r="V95" t="n">
        <v>0.25</v>
      </c>
    </row>
    <row r="96">
      <c r="A96" t="inlineStr">
        <is>
          <t>Unbewaffnet</t>
        </is>
      </c>
      <c r="B96" t="inlineStr">
        <is>
          <t>Armklingen</t>
        </is>
      </c>
      <c r="C96" t="inlineStr">
        <is>
          <t>Klaue</t>
        </is>
      </c>
      <c r="D96" t="n">
        <v>2</v>
      </c>
      <c r="E96" t="n">
        <v>2</v>
      </c>
      <c r="F96" t="inlineStr">
        <is>
          <t>W10</t>
        </is>
      </c>
      <c r="G96" t="inlineStr">
        <is>
          <t>W6</t>
        </is>
      </c>
      <c r="H96" t="n">
        <v>3</v>
      </c>
      <c r="I96" t="n">
        <v>-6</v>
      </c>
      <c r="J96" t="n">
        <v>0</v>
      </c>
      <c r="K96" t="n">
        <v>-2</v>
      </c>
      <c r="L96" t="n">
        <v>-6</v>
      </c>
      <c r="M96" t="n">
        <v>6</v>
      </c>
      <c r="O96" t="n">
        <v>0.2</v>
      </c>
      <c r="P96" t="n">
        <v>3</v>
      </c>
      <c r="R96" t="n">
        <v>7</v>
      </c>
      <c r="S96" t="n">
        <v>12</v>
      </c>
      <c r="T96" t="n">
        <v>6</v>
      </c>
      <c r="U96" t="n">
        <v>0.4</v>
      </c>
      <c r="V96" t="n">
        <v>1</v>
      </c>
    </row>
    <row r="97">
      <c r="A97" t="inlineStr">
        <is>
          <t>Hiebwaffen</t>
        </is>
      </c>
      <c r="B97" t="inlineStr">
        <is>
          <t>Äxte</t>
        </is>
      </c>
      <c r="C97" t="inlineStr">
        <is>
          <t>Kriegsbeil</t>
        </is>
      </c>
      <c r="D97" t="n">
        <v>6</v>
      </c>
      <c r="E97" t="n">
        <v>4.5</v>
      </c>
      <c r="F97" t="inlineStr">
        <is>
          <t>[2W12]</t>
        </is>
      </c>
      <c r="G97" t="inlineStr">
        <is>
          <t>W12</t>
        </is>
      </c>
      <c r="H97" t="n">
        <v>3</v>
      </c>
      <c r="I97" t="n">
        <v>-10</v>
      </c>
      <c r="J97" t="n">
        <v>0</v>
      </c>
      <c r="K97" t="n">
        <v>-3</v>
      </c>
      <c r="L97" t="n">
        <v>-4</v>
      </c>
      <c r="M97" t="n">
        <v>12</v>
      </c>
      <c r="N97" t="n">
        <v>7</v>
      </c>
      <c r="O97" t="n">
        <v>0.6</v>
      </c>
      <c r="P97" t="n">
        <v>4</v>
      </c>
      <c r="Q97" t="inlineStr">
        <is>
          <t>Holzschaft</t>
        </is>
      </c>
      <c r="R97" t="n">
        <v>18</v>
      </c>
      <c r="S97" t="n">
        <v>7</v>
      </c>
      <c r="T97" t="n">
        <v>10</v>
      </c>
      <c r="U97" t="n">
        <v>0.7</v>
      </c>
      <c r="V97" t="n">
        <v>4</v>
      </c>
    </row>
    <row r="98">
      <c r="A98" t="inlineStr">
        <is>
          <t>Hiebwaffen</t>
        </is>
      </c>
      <c r="B98" t="inlineStr">
        <is>
          <t>Äxte</t>
        </is>
      </c>
      <c r="C98" t="inlineStr">
        <is>
          <t xml:space="preserve">Kriegsbeil orkisch </t>
        </is>
      </c>
      <c r="D98" t="n">
        <v>9</v>
      </c>
      <c r="E98" t="n">
        <v>6</v>
      </c>
      <c r="F98" t="inlineStr">
        <is>
          <t>[2W15]</t>
        </is>
      </c>
      <c r="G98" t="inlineStr">
        <is>
          <t>W12</t>
        </is>
      </c>
      <c r="H98" t="n">
        <v>3</v>
      </c>
      <c r="I98" t="n">
        <v>-10</v>
      </c>
      <c r="J98" t="n">
        <v>0</v>
      </c>
      <c r="K98" t="n">
        <v>-5</v>
      </c>
      <c r="L98" t="n">
        <v>-4</v>
      </c>
      <c r="M98" t="n">
        <v>19</v>
      </c>
      <c r="N98" t="n">
        <v>12</v>
      </c>
      <c r="O98" t="n">
        <v>0.9</v>
      </c>
      <c r="P98" t="n">
        <v>0</v>
      </c>
      <c r="Q98" t="inlineStr">
        <is>
          <t>Holzschaft</t>
        </is>
      </c>
      <c r="R98" t="n">
        <v>18</v>
      </c>
      <c r="S98" t="n">
        <v>7</v>
      </c>
      <c r="T98" t="n">
        <v>8</v>
      </c>
      <c r="U98" t="n">
        <v>1.2</v>
      </c>
      <c r="V98" t="n">
        <v>4</v>
      </c>
    </row>
    <row r="99">
      <c r="A99" t="inlineStr">
        <is>
          <t>Hiebwaffen</t>
        </is>
      </c>
      <c r="B99" t="inlineStr">
        <is>
          <t>Beidhand-Hiebwaffen</t>
        </is>
      </c>
      <c r="C99" t="inlineStr">
        <is>
          <t>Kriegshammer (Hammer)</t>
        </is>
      </c>
      <c r="D99" t="n">
        <v>13</v>
      </c>
      <c r="E99" t="n">
        <v>7</v>
      </c>
      <c r="F99" t="inlineStr">
        <is>
          <t>W12</t>
        </is>
      </c>
      <c r="G99" t="inlineStr">
        <is>
          <t>W12</t>
        </is>
      </c>
      <c r="H99" t="n">
        <v>2</v>
      </c>
      <c r="I99" t="n">
        <v>-11</v>
      </c>
      <c r="J99" t="n">
        <v>0</v>
      </c>
      <c r="K99" t="n">
        <v>-7</v>
      </c>
      <c r="L99" t="n">
        <v>-7</v>
      </c>
      <c r="M99" t="n">
        <v>28</v>
      </c>
      <c r="N99" t="n">
        <v>16</v>
      </c>
      <c r="O99" t="n">
        <v>1.4</v>
      </c>
      <c r="P99" t="inlineStr">
        <is>
          <t>--</t>
        </is>
      </c>
      <c r="Q99" t="inlineStr">
        <is>
          <t>Holzschaft</t>
        </is>
      </c>
      <c r="R99" t="n">
        <v>19</v>
      </c>
      <c r="S99" t="n">
        <v>9</v>
      </c>
      <c r="T99" t="n">
        <v>9</v>
      </c>
      <c r="U99" t="n">
        <v>1.4</v>
      </c>
      <c r="V99" t="n">
        <v>5</v>
      </c>
    </row>
    <row r="100">
      <c r="A100" t="inlineStr">
        <is>
          <t>Hiebwaffen</t>
        </is>
      </c>
      <c r="B100" t="inlineStr">
        <is>
          <t>Beidhand-Hiebwaffen</t>
        </is>
      </c>
      <c r="C100" t="inlineStr">
        <is>
          <t>Kriegshammer (Schnabel)</t>
        </is>
      </c>
      <c r="D100" t="n">
        <v>13</v>
      </c>
      <c r="E100" t="n">
        <v>7</v>
      </c>
      <c r="F100" t="inlineStr">
        <is>
          <t>W30</t>
        </is>
      </c>
      <c r="H100" t="n">
        <v>2</v>
      </c>
      <c r="I100" t="n">
        <v>-11</v>
      </c>
      <c r="J100" t="n">
        <v>4</v>
      </c>
      <c r="K100" t="n">
        <v>-7</v>
      </c>
      <c r="L100" t="n">
        <v>-7</v>
      </c>
      <c r="M100" t="n">
        <v>28</v>
      </c>
      <c r="N100" t="n">
        <v>16</v>
      </c>
      <c r="O100" t="n">
        <v>1.4</v>
      </c>
      <c r="P100" t="inlineStr">
        <is>
          <t>--</t>
        </is>
      </c>
      <c r="Q100" t="inlineStr">
        <is>
          <t>Holzschaft</t>
        </is>
      </c>
      <c r="R100" t="n">
        <v>19</v>
      </c>
      <c r="S100" t="n">
        <v>9</v>
      </c>
      <c r="T100" t="n">
        <v>9</v>
      </c>
      <c r="U100" t="n">
        <v>1.4</v>
      </c>
      <c r="V100" t="n">
        <v>5</v>
      </c>
    </row>
    <row r="101">
      <c r="A101" t="inlineStr">
        <is>
          <t>Stangenwaffen</t>
        </is>
      </c>
      <c r="B101" t="inlineStr">
        <is>
          <t>Hellebarden</t>
        </is>
      </c>
      <c r="C101" t="inlineStr">
        <is>
          <t>Kriegssense</t>
        </is>
      </c>
      <c r="D101" t="n">
        <v>19</v>
      </c>
      <c r="E101" t="n">
        <v>6</v>
      </c>
      <c r="F101" t="inlineStr">
        <is>
          <t>W20</t>
        </is>
      </c>
      <c r="G101" t="inlineStr">
        <is>
          <t>W8</t>
        </is>
      </c>
      <c r="H101" t="n">
        <v>2</v>
      </c>
      <c r="I101" t="n">
        <v>-11</v>
      </c>
      <c r="J101" t="n">
        <v>0</v>
      </c>
      <c r="K101" t="n">
        <v>-7</v>
      </c>
      <c r="L101" t="n">
        <v>-7</v>
      </c>
      <c r="M101" t="n">
        <v>20</v>
      </c>
      <c r="N101" t="n">
        <v>10</v>
      </c>
      <c r="O101" t="n">
        <v>2</v>
      </c>
      <c r="P101" t="inlineStr">
        <is>
          <t>--</t>
        </is>
      </c>
      <c r="Q101" t="inlineStr">
        <is>
          <t>Holzschaft</t>
        </is>
      </c>
      <c r="R101" t="n">
        <v>12</v>
      </c>
      <c r="S101" t="n">
        <v>6</v>
      </c>
      <c r="T101" t="n">
        <v>14</v>
      </c>
      <c r="U101" t="n">
        <v>1.7</v>
      </c>
      <c r="V101" t="n">
        <v>1.5</v>
      </c>
    </row>
    <row r="102">
      <c r="A102" t="inlineStr">
        <is>
          <t>Stangenwaffen</t>
        </is>
      </c>
      <c r="B102" t="inlineStr">
        <is>
          <t>Stäbe</t>
        </is>
      </c>
      <c r="C102" t="inlineStr">
        <is>
          <t>Kriegssense  kurz</t>
        </is>
      </c>
      <c r="D102" t="n">
        <v>14</v>
      </c>
      <c r="E102" t="n">
        <v>6</v>
      </c>
      <c r="F102" t="inlineStr">
        <is>
          <t>W15</t>
        </is>
      </c>
      <c r="G102" t="inlineStr">
        <is>
          <t>W6</t>
        </is>
      </c>
      <c r="H102" t="n">
        <v>2</v>
      </c>
      <c r="I102" t="n">
        <v>-11</v>
      </c>
      <c r="J102" t="n">
        <v>0</v>
      </c>
      <c r="K102" t="n">
        <v>-5</v>
      </c>
      <c r="L102" t="n">
        <v>-5</v>
      </c>
      <c r="M102" t="n">
        <v>19</v>
      </c>
      <c r="N102" t="n">
        <v>9</v>
      </c>
      <c r="O102" t="n">
        <v>1.3</v>
      </c>
      <c r="P102" t="inlineStr">
        <is>
          <t>--</t>
        </is>
      </c>
      <c r="Q102" t="inlineStr">
        <is>
          <t>Holzschaft</t>
        </is>
      </c>
      <c r="R102" t="n">
        <v>11</v>
      </c>
      <c r="S102" t="n">
        <v>6</v>
      </c>
      <c r="T102" t="n">
        <v>14</v>
      </c>
      <c r="U102" t="n">
        <v>1.7</v>
      </c>
      <c r="V102" t="n">
        <v>1.5</v>
      </c>
    </row>
    <row r="103">
      <c r="A103" t="inlineStr">
        <is>
          <t>Hiebwaffen</t>
        </is>
      </c>
      <c r="B103" t="inlineStr">
        <is>
          <t>Stumpfe Hiebwaffen</t>
        </is>
      </c>
      <c r="C103" t="inlineStr">
        <is>
          <t>Kriegszepter  6-eckig</t>
        </is>
      </c>
      <c r="D103" t="n">
        <v>8</v>
      </c>
      <c r="E103" t="n">
        <v>5</v>
      </c>
      <c r="F103" t="inlineStr">
        <is>
          <t xml:space="preserve">W10 </t>
        </is>
      </c>
      <c r="G103" t="inlineStr">
        <is>
          <t>W8</t>
        </is>
      </c>
      <c r="H103" t="n">
        <v>3</v>
      </c>
      <c r="I103" t="n">
        <v>-5</v>
      </c>
      <c r="J103" t="n">
        <v>4</v>
      </c>
      <c r="K103" t="n">
        <v>-4</v>
      </c>
      <c r="L103" t="n">
        <v>-4</v>
      </c>
      <c r="M103" t="n">
        <v>11</v>
      </c>
      <c r="N103" t="n">
        <v>8</v>
      </c>
      <c r="O103" t="n">
        <v>0.75</v>
      </c>
      <c r="P103" t="n">
        <v>1</v>
      </c>
      <c r="Q103" t="inlineStr">
        <is>
          <t>Holzschaft</t>
        </is>
      </c>
      <c r="R103" t="n">
        <v>16</v>
      </c>
      <c r="S103" t="n">
        <v>8</v>
      </c>
      <c r="T103" t="n">
        <v>15</v>
      </c>
      <c r="U103" t="n">
        <v>1.5</v>
      </c>
      <c r="V103" t="n">
        <v>3.5</v>
      </c>
    </row>
    <row r="104">
      <c r="A104" t="inlineStr">
        <is>
          <t>Stichwaffen</t>
        </is>
      </c>
      <c r="B104" t="inlineStr">
        <is>
          <t>Dolche</t>
        </is>
      </c>
      <c r="C104" t="inlineStr">
        <is>
          <t>Krummdolch schwer</t>
        </is>
      </c>
      <c r="D104" t="n">
        <v>5</v>
      </c>
      <c r="E104" t="n">
        <v>3.5</v>
      </c>
      <c r="F104" t="inlineStr">
        <is>
          <t>W12</t>
        </is>
      </c>
      <c r="G104" t="inlineStr">
        <is>
          <t>W6</t>
        </is>
      </c>
      <c r="H104" t="n">
        <v>4</v>
      </c>
      <c r="I104" t="n">
        <v>-5</v>
      </c>
      <c r="J104" t="n">
        <v>0</v>
      </c>
      <c r="K104" t="n">
        <v>-2</v>
      </c>
      <c r="L104" t="n">
        <v>-6</v>
      </c>
      <c r="M104" t="n">
        <v>7</v>
      </c>
      <c r="N104" t="n">
        <v>5</v>
      </c>
      <c r="O104" t="n">
        <v>0.5</v>
      </c>
      <c r="P104" t="n">
        <v>5</v>
      </c>
      <c r="R104" t="n">
        <v>13</v>
      </c>
      <c r="S104" t="n">
        <v>18</v>
      </c>
      <c r="T104" t="n">
        <v>6</v>
      </c>
      <c r="U104" t="n">
        <v>0.4</v>
      </c>
      <c r="V104" t="n">
        <v>1</v>
      </c>
    </row>
    <row r="105">
      <c r="A105" t="inlineStr">
        <is>
          <t>Klingenwaffen</t>
        </is>
      </c>
      <c r="B105" t="inlineStr">
        <is>
          <t>Kurzschwerter</t>
        </is>
      </c>
      <c r="C105" t="inlineStr">
        <is>
          <t>Krummsäbel  kurz</t>
        </is>
      </c>
      <c r="D105" t="n">
        <v>6</v>
      </c>
      <c r="E105" t="n">
        <v>3.5</v>
      </c>
      <c r="F105" t="inlineStr">
        <is>
          <t>W8</t>
        </is>
      </c>
      <c r="G105" t="inlineStr">
        <is>
          <t>W8</t>
        </is>
      </c>
      <c r="H105" t="n">
        <v>3</v>
      </c>
      <c r="I105" t="n">
        <v>-4</v>
      </c>
      <c r="J105" t="n">
        <v>0</v>
      </c>
      <c r="K105" t="n">
        <v>-3</v>
      </c>
      <c r="L105" t="n">
        <v>-3</v>
      </c>
      <c r="M105" t="n">
        <v>9</v>
      </c>
      <c r="N105" t="n">
        <v>6</v>
      </c>
      <c r="O105" t="n">
        <v>0.6</v>
      </c>
      <c r="P105" t="n">
        <v>2</v>
      </c>
      <c r="R105" t="n">
        <v>14</v>
      </c>
      <c r="S105" t="n">
        <v>15</v>
      </c>
      <c r="T105" t="n">
        <v>11</v>
      </c>
      <c r="U105" t="n">
        <v>0.6</v>
      </c>
      <c r="V105" t="n">
        <v>4</v>
      </c>
    </row>
    <row r="106">
      <c r="A106" t="inlineStr">
        <is>
          <t>Klingenwaffen</t>
        </is>
      </c>
      <c r="B106" t="inlineStr">
        <is>
          <t>Schwerter</t>
        </is>
      </c>
      <c r="C106" t="inlineStr">
        <is>
          <t>Krummsäbel  schwer</t>
        </is>
      </c>
      <c r="D106" t="n">
        <v>8</v>
      </c>
      <c r="E106" t="n">
        <v>5</v>
      </c>
      <c r="F106" t="inlineStr">
        <is>
          <t>W10</t>
        </is>
      </c>
      <c r="G106" t="inlineStr">
        <is>
          <t>W10</t>
        </is>
      </c>
      <c r="H106" t="n">
        <v>2</v>
      </c>
      <c r="I106" t="n">
        <v>-6</v>
      </c>
      <c r="J106" t="n">
        <v>0</v>
      </c>
      <c r="K106" t="n">
        <v>-4</v>
      </c>
      <c r="L106" t="n">
        <v>-3</v>
      </c>
      <c r="M106" t="n">
        <v>13</v>
      </c>
      <c r="N106" t="n">
        <v>9</v>
      </c>
      <c r="O106" t="n">
        <v>0.85</v>
      </c>
      <c r="P106" t="n">
        <v>0</v>
      </c>
      <c r="R106" t="n">
        <v>15</v>
      </c>
      <c r="S106" t="n">
        <v>16</v>
      </c>
      <c r="T106" t="n">
        <v>13</v>
      </c>
      <c r="U106" t="n">
        <v>1</v>
      </c>
      <c r="V106" t="n">
        <v>4</v>
      </c>
    </row>
    <row r="107">
      <c r="A107" t="inlineStr">
        <is>
          <t>Klingenwaffen</t>
        </is>
      </c>
      <c r="B107" t="inlineStr">
        <is>
          <t>Schwerter</t>
        </is>
      </c>
      <c r="C107" t="inlineStr">
        <is>
          <t>Krummsäbel schlank</t>
        </is>
      </c>
      <c r="D107" t="n">
        <v>11</v>
      </c>
      <c r="E107" t="n">
        <v>4</v>
      </c>
      <c r="F107" t="inlineStr">
        <is>
          <t>W10</t>
        </is>
      </c>
      <c r="G107" t="inlineStr">
        <is>
          <t>W6</t>
        </is>
      </c>
      <c r="H107" t="n">
        <v>4</v>
      </c>
      <c r="I107" t="n">
        <v>-2</v>
      </c>
      <c r="J107" t="n">
        <v>0</v>
      </c>
      <c r="K107" t="n">
        <v>-3</v>
      </c>
      <c r="L107" t="n">
        <v>-3</v>
      </c>
      <c r="M107" t="n">
        <v>10</v>
      </c>
      <c r="N107" t="n">
        <v>6</v>
      </c>
      <c r="O107" t="n">
        <v>1.05</v>
      </c>
      <c r="P107" t="n">
        <v>1</v>
      </c>
      <c r="R107" t="n">
        <v>12</v>
      </c>
      <c r="S107" t="n">
        <v>14</v>
      </c>
      <c r="T107" t="n">
        <v>16</v>
      </c>
      <c r="U107" t="n">
        <v>1</v>
      </c>
      <c r="V107" t="n">
        <v>4</v>
      </c>
    </row>
    <row r="108">
      <c r="A108" t="inlineStr">
        <is>
          <t>Unbewaffnet</t>
        </is>
      </c>
      <c r="B108" t="inlineStr">
        <is>
          <t>Peitschen</t>
        </is>
      </c>
      <c r="C108" t="inlineStr">
        <is>
          <t>Kugelpeitsche</t>
        </is>
      </c>
      <c r="D108" t="n">
        <v>28</v>
      </c>
      <c r="E108" t="n">
        <v>4</v>
      </c>
      <c r="F108" t="inlineStr">
        <is>
          <t>W8</t>
        </is>
      </c>
      <c r="G108" t="inlineStr">
        <is>
          <t>W4</t>
        </is>
      </c>
      <c r="H108" t="n">
        <v>7</v>
      </c>
      <c r="I108" t="n">
        <v>-2</v>
      </c>
      <c r="J108" t="n">
        <v>0</v>
      </c>
      <c r="K108" t="n">
        <v>-6</v>
      </c>
      <c r="L108" t="n">
        <v>-15</v>
      </c>
      <c r="M108" t="n">
        <v>9</v>
      </c>
      <c r="N108" t="n">
        <v>6</v>
      </c>
      <c r="O108" t="n">
        <v>3</v>
      </c>
      <c r="P108" t="n">
        <v>8</v>
      </c>
      <c r="R108" t="n">
        <v>2</v>
      </c>
      <c r="S108" t="n">
        <v>7</v>
      </c>
      <c r="T108" t="n">
        <v>6</v>
      </c>
      <c r="U108" t="n">
        <v>0.2</v>
      </c>
      <c r="V108" t="n">
        <v>1</v>
      </c>
    </row>
    <row r="109">
      <c r="A109" t="inlineStr">
        <is>
          <t>Klingenwaffen</t>
        </is>
      </c>
      <c r="B109" t="inlineStr">
        <is>
          <t>Kurzschwerter</t>
        </is>
      </c>
      <c r="C109" t="inlineStr">
        <is>
          <t>Kurzsäbel</t>
        </is>
      </c>
      <c r="D109" t="n">
        <v>7</v>
      </c>
      <c r="E109" t="n">
        <v>3.5</v>
      </c>
      <c r="F109" t="inlineStr">
        <is>
          <t>W8</t>
        </is>
      </c>
      <c r="G109" t="inlineStr">
        <is>
          <t>W6</t>
        </is>
      </c>
      <c r="H109" t="n">
        <v>4</v>
      </c>
      <c r="I109" t="n">
        <v>-3</v>
      </c>
      <c r="J109" t="n">
        <v>0</v>
      </c>
      <c r="K109" t="n">
        <v>-2</v>
      </c>
      <c r="L109" t="n">
        <v>-3</v>
      </c>
      <c r="M109" t="n">
        <v>7</v>
      </c>
      <c r="N109" t="n">
        <v>5</v>
      </c>
      <c r="O109" t="n">
        <v>0.65</v>
      </c>
      <c r="P109" t="n">
        <v>3</v>
      </c>
      <c r="R109" t="n">
        <v>14</v>
      </c>
      <c r="S109" t="n">
        <v>15</v>
      </c>
      <c r="T109" t="n">
        <v>11</v>
      </c>
      <c r="U109" t="n">
        <v>0.6</v>
      </c>
      <c r="V109" t="n">
        <v>3</v>
      </c>
    </row>
    <row r="110">
      <c r="A110" t="inlineStr">
        <is>
          <t>Stichwaffen</t>
        </is>
      </c>
      <c r="B110" t="inlineStr">
        <is>
          <t>Fechtwaffen</t>
        </is>
      </c>
      <c r="C110" t="inlineStr">
        <is>
          <t>Kurzschwert</t>
        </is>
      </c>
      <c r="D110" t="n">
        <v>7</v>
      </c>
      <c r="E110" t="n">
        <v>4.5</v>
      </c>
      <c r="F110" t="inlineStr">
        <is>
          <t>W12</t>
        </is>
      </c>
      <c r="G110" t="inlineStr">
        <is>
          <t>W6</t>
        </is>
      </c>
      <c r="H110" t="n">
        <v>3</v>
      </c>
      <c r="I110" t="n">
        <v>-5</v>
      </c>
      <c r="J110" t="n">
        <v>0</v>
      </c>
      <c r="K110" t="n">
        <v>-3</v>
      </c>
      <c r="L110" t="n">
        <v>-4</v>
      </c>
      <c r="M110" t="n">
        <v>9</v>
      </c>
      <c r="N110" t="n">
        <v>6</v>
      </c>
      <c r="O110" t="n">
        <v>0.75</v>
      </c>
      <c r="P110" t="n">
        <v>3</v>
      </c>
      <c r="R110" t="n">
        <v>15</v>
      </c>
      <c r="S110" t="n">
        <v>15</v>
      </c>
      <c r="T110" t="n">
        <v>10</v>
      </c>
      <c r="U110" t="n">
        <v>0.75</v>
      </c>
      <c r="V110" t="n">
        <v>3</v>
      </c>
    </row>
    <row r="111">
      <c r="A111" t="inlineStr">
        <is>
          <t>Klingenwaffen</t>
        </is>
      </c>
      <c r="B111" t="inlineStr">
        <is>
          <t>Kurzschwerter</t>
        </is>
      </c>
      <c r="C111" t="inlineStr">
        <is>
          <t>Kurzschwert</t>
        </is>
      </c>
      <c r="D111" t="n">
        <v>7</v>
      </c>
      <c r="E111" t="n">
        <v>4.5</v>
      </c>
      <c r="F111" t="inlineStr">
        <is>
          <t>W12</t>
        </is>
      </c>
      <c r="G111" t="inlineStr">
        <is>
          <t>W6</t>
        </is>
      </c>
      <c r="H111" t="n">
        <v>3</v>
      </c>
      <c r="I111" t="n">
        <v>-5</v>
      </c>
      <c r="J111" t="n">
        <v>0</v>
      </c>
      <c r="K111" t="n">
        <v>-3</v>
      </c>
      <c r="L111" t="n">
        <v>-4</v>
      </c>
      <c r="M111" t="n">
        <v>9</v>
      </c>
      <c r="N111" t="n">
        <v>6</v>
      </c>
      <c r="O111" t="n">
        <v>0.75</v>
      </c>
      <c r="P111" t="n">
        <v>3</v>
      </c>
      <c r="R111" t="n">
        <v>15</v>
      </c>
      <c r="S111" t="n">
        <v>15</v>
      </c>
      <c r="T111" t="n">
        <v>10</v>
      </c>
      <c r="U111" t="n">
        <v>0.75</v>
      </c>
      <c r="V111" t="n">
        <v>3</v>
      </c>
    </row>
    <row r="112">
      <c r="A112" t="inlineStr">
        <is>
          <t>Stangenwaffen</t>
        </is>
      </c>
      <c r="B112" t="inlineStr">
        <is>
          <t>Speere</t>
        </is>
      </c>
      <c r="C112" t="inlineStr">
        <is>
          <t>Kurzspeer  einhändig</t>
        </is>
      </c>
      <c r="D112" t="n">
        <v>13</v>
      </c>
      <c r="E112" t="n">
        <v>3</v>
      </c>
      <c r="F112" t="inlineStr">
        <is>
          <t>W12</t>
        </is>
      </c>
      <c r="G112" t="inlineStr">
        <is>
          <t>W4</t>
        </is>
      </c>
      <c r="H112" t="n">
        <v>4</v>
      </c>
      <c r="I112" t="n">
        <v>-4</v>
      </c>
      <c r="J112" t="n">
        <v>0</v>
      </c>
      <c r="K112" t="n">
        <v>-5</v>
      </c>
      <c r="L112" t="n">
        <v>-5</v>
      </c>
      <c r="M112" t="n">
        <v>7</v>
      </c>
      <c r="N112" t="n">
        <v>4</v>
      </c>
      <c r="O112" t="n">
        <v>1.2</v>
      </c>
      <c r="P112" t="n">
        <v>0</v>
      </c>
      <c r="Q112" t="inlineStr">
        <is>
          <t>Holzschaft</t>
        </is>
      </c>
      <c r="R112" t="n">
        <v>3</v>
      </c>
      <c r="S112" t="n">
        <v>7</v>
      </c>
      <c r="T112" t="n">
        <v>3</v>
      </c>
      <c r="U112" t="n">
        <v>0.5</v>
      </c>
      <c r="V112" t="n">
        <v>0.5</v>
      </c>
    </row>
    <row r="113">
      <c r="A113" t="inlineStr">
        <is>
          <t>Hiebwaffen</t>
        </is>
      </c>
      <c r="B113" t="inlineStr">
        <is>
          <t>Beidhand-Hiebwaffen</t>
        </is>
      </c>
      <c r="C113" t="inlineStr">
        <is>
          <t>Langaxt</t>
        </is>
      </c>
      <c r="D113" t="n">
        <v>15</v>
      </c>
      <c r="E113" t="n">
        <v>7</v>
      </c>
      <c r="F113" t="inlineStr">
        <is>
          <t>W20</t>
        </is>
      </c>
      <c r="G113" t="inlineStr">
        <is>
          <t xml:space="preserve">W10 </t>
        </is>
      </c>
      <c r="H113" t="n">
        <v>2</v>
      </c>
      <c r="I113" t="n">
        <v>-10</v>
      </c>
      <c r="J113" t="n">
        <v>0</v>
      </c>
      <c r="K113" t="n">
        <v>-6</v>
      </c>
      <c r="L113" t="n">
        <v>-7</v>
      </c>
      <c r="M113" t="n">
        <v>26</v>
      </c>
      <c r="N113" t="n">
        <v>13</v>
      </c>
      <c r="O113" t="n">
        <v>1.65</v>
      </c>
      <c r="P113" t="inlineStr">
        <is>
          <t>--</t>
        </is>
      </c>
      <c r="Q113" t="inlineStr">
        <is>
          <t>Holzschaft</t>
        </is>
      </c>
      <c r="R113" t="n">
        <v>18</v>
      </c>
      <c r="S113" t="n">
        <v>6</v>
      </c>
      <c r="T113" t="n">
        <v>8</v>
      </c>
      <c r="U113" t="n">
        <v>1.9</v>
      </c>
      <c r="V113" t="n">
        <v>1.5</v>
      </c>
    </row>
    <row r="114">
      <c r="A114" t="inlineStr">
        <is>
          <t>Stangenwaffen</t>
        </is>
      </c>
      <c r="B114" t="inlineStr">
        <is>
          <t>Hellebarden</t>
        </is>
      </c>
      <c r="C114" t="inlineStr">
        <is>
          <t>Langaxt</t>
        </is>
      </c>
      <c r="D114" t="n">
        <v>15</v>
      </c>
      <c r="E114" t="n">
        <v>7</v>
      </c>
      <c r="F114" t="inlineStr">
        <is>
          <t>W20</t>
        </is>
      </c>
      <c r="G114" t="inlineStr">
        <is>
          <t xml:space="preserve">W10 </t>
        </is>
      </c>
      <c r="H114" t="n">
        <v>2</v>
      </c>
      <c r="I114" t="n">
        <v>-10</v>
      </c>
      <c r="J114" t="n">
        <v>0</v>
      </c>
      <c r="K114" t="n">
        <v>-6</v>
      </c>
      <c r="L114" t="n">
        <v>-7</v>
      </c>
      <c r="M114" t="n">
        <v>26</v>
      </c>
      <c r="N114" t="n">
        <v>13</v>
      </c>
      <c r="O114" t="n">
        <v>1.65</v>
      </c>
      <c r="P114" t="inlineStr">
        <is>
          <t>--</t>
        </is>
      </c>
      <c r="Q114" t="inlineStr">
        <is>
          <t>Holzschaft</t>
        </is>
      </c>
      <c r="R114" t="n">
        <v>18</v>
      </c>
      <c r="S114" t="n">
        <v>6</v>
      </c>
      <c r="T114" t="n">
        <v>8</v>
      </c>
      <c r="U114" t="n">
        <v>1.9</v>
      </c>
      <c r="V114" t="n">
        <v>1.5</v>
      </c>
    </row>
    <row r="115">
      <c r="A115" t="inlineStr">
        <is>
          <t>Hiebwaffen</t>
        </is>
      </c>
      <c r="B115" t="inlineStr">
        <is>
          <t>Beidhand-Hiebwaffen</t>
        </is>
      </c>
      <c r="C115" t="inlineStr">
        <is>
          <t>Langberdysch</t>
        </is>
      </c>
      <c r="D115" t="n">
        <v>16</v>
      </c>
      <c r="E115" t="n">
        <v>7.5</v>
      </c>
      <c r="F115" t="inlineStr">
        <is>
          <t>W20</t>
        </is>
      </c>
      <c r="G115" t="inlineStr">
        <is>
          <t xml:space="preserve">W10 </t>
        </is>
      </c>
      <c r="H115" t="n">
        <v>2</v>
      </c>
      <c r="I115" t="n">
        <v>-10</v>
      </c>
      <c r="J115" t="n">
        <v>0</v>
      </c>
      <c r="K115" t="n">
        <v>-7</v>
      </c>
      <c r="L115" t="n">
        <v>-6</v>
      </c>
      <c r="M115" t="n">
        <v>29</v>
      </c>
      <c r="N115" t="n">
        <v>16</v>
      </c>
      <c r="O115" t="n">
        <v>1.8</v>
      </c>
      <c r="P115" t="inlineStr">
        <is>
          <t>--</t>
        </is>
      </c>
      <c r="Q115" t="inlineStr">
        <is>
          <t>Holzschaft</t>
        </is>
      </c>
      <c r="R115" t="n">
        <v>19</v>
      </c>
      <c r="S115" t="n">
        <v>7</v>
      </c>
      <c r="T115" t="n">
        <v>18</v>
      </c>
      <c r="U115" t="n">
        <v>2.2</v>
      </c>
      <c r="V115" t="n">
        <v>2.25</v>
      </c>
    </row>
    <row r="116">
      <c r="A116" t="inlineStr">
        <is>
          <t>Stangenwaffen</t>
        </is>
      </c>
      <c r="B116" t="inlineStr">
        <is>
          <t>Hellebarden</t>
        </is>
      </c>
      <c r="C116" t="inlineStr">
        <is>
          <t>Langberdysch</t>
        </is>
      </c>
      <c r="D116" t="n">
        <v>16</v>
      </c>
      <c r="E116" t="n">
        <v>7.5</v>
      </c>
      <c r="F116" t="inlineStr">
        <is>
          <t>W20</t>
        </is>
      </c>
      <c r="G116" t="inlineStr">
        <is>
          <t xml:space="preserve">W10 </t>
        </is>
      </c>
      <c r="H116" t="n">
        <v>2</v>
      </c>
      <c r="I116" t="n">
        <v>-10</v>
      </c>
      <c r="J116" t="n">
        <v>0</v>
      </c>
      <c r="K116" t="n">
        <v>-7</v>
      </c>
      <c r="L116" t="n">
        <v>-6</v>
      </c>
      <c r="M116" t="n">
        <v>29</v>
      </c>
      <c r="N116" t="n">
        <v>16</v>
      </c>
      <c r="O116" t="n">
        <v>1.8</v>
      </c>
      <c r="P116" t="inlineStr">
        <is>
          <t>--</t>
        </is>
      </c>
      <c r="Q116" t="inlineStr">
        <is>
          <t>Holzschaft</t>
        </is>
      </c>
      <c r="R116" t="n">
        <v>19</v>
      </c>
      <c r="S116" t="n">
        <v>7</v>
      </c>
      <c r="T116" t="n">
        <v>18</v>
      </c>
      <c r="U116" t="n">
        <v>2.2</v>
      </c>
      <c r="V116" t="n">
        <v>2.25</v>
      </c>
    </row>
    <row r="117">
      <c r="A117" t="inlineStr">
        <is>
          <t>Stichwaffen</t>
        </is>
      </c>
      <c r="B117" t="inlineStr">
        <is>
          <t>Dolche</t>
        </is>
      </c>
      <c r="C117" t="inlineStr">
        <is>
          <t>Langdolch</t>
        </is>
      </c>
      <c r="D117" t="n">
        <v>4</v>
      </c>
      <c r="E117" t="n">
        <v>3</v>
      </c>
      <c r="F117" t="inlineStr">
        <is>
          <t>W15</t>
        </is>
      </c>
      <c r="H117" t="n">
        <v>6</v>
      </c>
      <c r="I117" t="n">
        <v>-3</v>
      </c>
      <c r="J117" t="n">
        <v>0</v>
      </c>
      <c r="K117" t="n">
        <v>-1</v>
      </c>
      <c r="L117" t="n">
        <v>-5</v>
      </c>
      <c r="M117" t="n">
        <v>7</v>
      </c>
      <c r="N117" t="n">
        <v>5</v>
      </c>
      <c r="O117" t="n">
        <v>0.4</v>
      </c>
      <c r="P117" t="n">
        <v>6</v>
      </c>
      <c r="R117" t="n">
        <v>14</v>
      </c>
      <c r="S117" t="n">
        <v>15</v>
      </c>
      <c r="T117" t="n">
        <v>6</v>
      </c>
      <c r="U117" t="n">
        <v>0.4</v>
      </c>
      <c r="V117" t="n">
        <v>1</v>
      </c>
    </row>
    <row r="118">
      <c r="A118" t="inlineStr">
        <is>
          <t>Klingenwaffen</t>
        </is>
      </c>
      <c r="B118" t="inlineStr">
        <is>
          <t>Schwerter</t>
        </is>
      </c>
      <c r="C118" t="inlineStr">
        <is>
          <t>Langschwert</t>
        </is>
      </c>
      <c r="D118" t="n">
        <v>11</v>
      </c>
      <c r="E118" t="n">
        <v>5</v>
      </c>
      <c r="F118" t="inlineStr">
        <is>
          <t>W12</t>
        </is>
      </c>
      <c r="G118" t="inlineStr">
        <is>
          <t>W8</t>
        </is>
      </c>
      <c r="H118" t="n">
        <v>3</v>
      </c>
      <c r="I118" t="n">
        <v>-5</v>
      </c>
      <c r="J118" t="n">
        <v>0</v>
      </c>
      <c r="K118" t="n">
        <v>-4</v>
      </c>
      <c r="L118" t="n">
        <v>-3</v>
      </c>
      <c r="M118" t="n">
        <v>12</v>
      </c>
      <c r="N118" t="n">
        <v>9</v>
      </c>
      <c r="O118" t="n">
        <v>1.1</v>
      </c>
      <c r="P118" t="n">
        <v>1</v>
      </c>
      <c r="R118" t="n">
        <v>15</v>
      </c>
      <c r="S118" t="n">
        <v>14</v>
      </c>
      <c r="T118" t="n">
        <v>15</v>
      </c>
      <c r="U118" t="n">
        <v>1</v>
      </c>
      <c r="V118" t="n">
        <v>4</v>
      </c>
    </row>
    <row r="119">
      <c r="A119" t="inlineStr">
        <is>
          <t>Stangenwaffen</t>
        </is>
      </c>
      <c r="B119" t="inlineStr">
        <is>
          <t>Lanzen</t>
        </is>
      </c>
      <c r="C119" t="inlineStr">
        <is>
          <t>Langspieß  2,50m</t>
        </is>
      </c>
      <c r="D119" t="n">
        <v>27</v>
      </c>
      <c r="E119" t="n">
        <v>4</v>
      </c>
      <c r="F119" t="inlineStr">
        <is>
          <t>W15</t>
        </is>
      </c>
      <c r="G119" t="inlineStr">
        <is>
          <t>W6</t>
        </is>
      </c>
      <c r="H119" t="n">
        <v>4</v>
      </c>
      <c r="I119" t="n">
        <v>-6</v>
      </c>
      <c r="J119" t="n">
        <v>0</v>
      </c>
      <c r="K119" t="n">
        <v>-5</v>
      </c>
      <c r="L119" t="n">
        <v>-6</v>
      </c>
      <c r="M119" t="n">
        <v>17</v>
      </c>
      <c r="N119" t="n">
        <v>11</v>
      </c>
      <c r="O119" t="n">
        <v>2.5</v>
      </c>
      <c r="P119" t="inlineStr">
        <is>
          <t>--</t>
        </is>
      </c>
      <c r="Q119" t="inlineStr">
        <is>
          <t>Holzschaft</t>
        </is>
      </c>
      <c r="R119" t="n">
        <v>5</v>
      </c>
      <c r="S119" t="n">
        <v>8</v>
      </c>
      <c r="T119" t="n">
        <v>3</v>
      </c>
      <c r="U119" t="n">
        <v>1</v>
      </c>
      <c r="V119" t="n">
        <v>4</v>
      </c>
    </row>
    <row r="120">
      <c r="A120" t="inlineStr">
        <is>
          <t>Stangenwaffen</t>
        </is>
      </c>
      <c r="B120" t="inlineStr">
        <is>
          <t>Lanzen</t>
        </is>
      </c>
      <c r="C120" t="inlineStr">
        <is>
          <t>Lanze  3m</t>
        </is>
      </c>
      <c r="D120" t="n">
        <v>32</v>
      </c>
      <c r="E120" t="n">
        <v>4</v>
      </c>
      <c r="F120" t="inlineStr">
        <is>
          <t>W15</t>
        </is>
      </c>
      <c r="G120" t="inlineStr">
        <is>
          <t>W4</t>
        </is>
      </c>
      <c r="H120" t="n">
        <v>4</v>
      </c>
      <c r="I120" t="n">
        <v>-6</v>
      </c>
      <c r="J120" t="n">
        <v>0</v>
      </c>
      <c r="K120" t="n">
        <v>-5</v>
      </c>
      <c r="L120" t="n">
        <v>-7</v>
      </c>
      <c r="M120" t="n">
        <v>19</v>
      </c>
      <c r="N120" t="n">
        <v>12</v>
      </c>
      <c r="O120" t="n">
        <v>3</v>
      </c>
      <c r="P120" t="inlineStr">
        <is>
          <t>--</t>
        </is>
      </c>
      <c r="Q120" t="inlineStr">
        <is>
          <t>Holzschaft</t>
        </is>
      </c>
      <c r="R120" t="n">
        <v>5</v>
      </c>
      <c r="S120" t="n">
        <v>9</v>
      </c>
      <c r="T120" t="n">
        <v>3</v>
      </c>
      <c r="U120" t="n">
        <v>1</v>
      </c>
      <c r="V120" t="n">
        <v>4</v>
      </c>
    </row>
    <row r="121">
      <c r="A121" t="inlineStr">
        <is>
          <t>Hiebwaffen</t>
        </is>
      </c>
      <c r="B121" t="inlineStr">
        <is>
          <t>Stumpfe Hiebwaffen</t>
        </is>
      </c>
      <c r="C121" t="inlineStr">
        <is>
          <t>Leichter Rabenschnabel (Hammer)</t>
        </is>
      </c>
      <c r="D121" t="n">
        <v>12</v>
      </c>
      <c r="E121" t="n">
        <v>4.5</v>
      </c>
      <c r="F121" t="inlineStr">
        <is>
          <t>W8</t>
        </is>
      </c>
      <c r="G121" t="inlineStr">
        <is>
          <t>W8</t>
        </is>
      </c>
      <c r="H121" t="n">
        <v>4</v>
      </c>
      <c r="I121" t="n">
        <v>-5</v>
      </c>
      <c r="J121" t="n">
        <v>0</v>
      </c>
      <c r="K121" t="n">
        <v>-4</v>
      </c>
      <c r="L121" t="n">
        <v>-3</v>
      </c>
      <c r="M121" t="n">
        <v>10</v>
      </c>
      <c r="N121" t="n">
        <v>8</v>
      </c>
      <c r="O121" t="n">
        <v>1.2</v>
      </c>
      <c r="P121" t="n">
        <v>1</v>
      </c>
      <c r="Q121" t="inlineStr">
        <is>
          <t>Holzschaft</t>
        </is>
      </c>
      <c r="R121" t="n">
        <v>15</v>
      </c>
      <c r="S121" t="n">
        <v>7</v>
      </c>
      <c r="T121" t="n">
        <v>9</v>
      </c>
      <c r="U121" t="n">
        <v>1.4</v>
      </c>
      <c r="V121" t="n">
        <v>5</v>
      </c>
    </row>
    <row r="122">
      <c r="A122" t="inlineStr">
        <is>
          <t>Hiebwaffen</t>
        </is>
      </c>
      <c r="B122" t="inlineStr">
        <is>
          <t>Stumpfe Hiebwaffen</t>
        </is>
      </c>
      <c r="C122" t="inlineStr">
        <is>
          <t>Leichter Rabenschnabel (Schnabel)</t>
        </is>
      </c>
      <c r="D122" t="n">
        <v>12</v>
      </c>
      <c r="E122" t="n">
        <v>4.5</v>
      </c>
      <c r="F122" t="inlineStr">
        <is>
          <t>W20</t>
        </is>
      </c>
      <c r="G122" t="inlineStr">
        <is>
          <t>W8</t>
        </is>
      </c>
      <c r="H122" t="n">
        <v>4</v>
      </c>
      <c r="I122" t="n">
        <v>-5</v>
      </c>
      <c r="J122" t="n">
        <v>3</v>
      </c>
      <c r="K122" t="n">
        <v>-4</v>
      </c>
      <c r="L122" t="n">
        <v>-3</v>
      </c>
      <c r="M122" t="n">
        <v>10</v>
      </c>
      <c r="N122" t="n">
        <v>8</v>
      </c>
      <c r="O122" t="n">
        <v>1.2</v>
      </c>
      <c r="P122" t="n">
        <v>1</v>
      </c>
      <c r="Q122" t="inlineStr">
        <is>
          <t>Holzschaft</t>
        </is>
      </c>
      <c r="R122" t="n">
        <v>15</v>
      </c>
      <c r="S122" t="n">
        <v>7</v>
      </c>
      <c r="T122" t="n">
        <v>9</v>
      </c>
      <c r="U122" t="n">
        <v>1.4</v>
      </c>
      <c r="V122" t="n">
        <v>5</v>
      </c>
    </row>
    <row r="123">
      <c r="A123" t="inlineStr">
        <is>
          <t>Stichwaffen</t>
        </is>
      </c>
      <c r="B123" t="inlineStr">
        <is>
          <t>Dolche</t>
        </is>
      </c>
      <c r="C123" t="inlineStr">
        <is>
          <t>Linkhand</t>
        </is>
      </c>
      <c r="D123" t="n">
        <v>3</v>
      </c>
      <c r="E123" t="n">
        <v>2</v>
      </c>
      <c r="F123" t="inlineStr">
        <is>
          <t>W12</t>
        </is>
      </c>
      <c r="H123" t="n">
        <v>6</v>
      </c>
      <c r="I123" t="n">
        <v>-2</v>
      </c>
      <c r="J123" t="n">
        <v>0</v>
      </c>
      <c r="K123" t="n">
        <v>-2</v>
      </c>
      <c r="L123" t="n">
        <v>-4</v>
      </c>
      <c r="M123" t="n">
        <v>7</v>
      </c>
      <c r="N123" t="n">
        <v>5</v>
      </c>
      <c r="O123" t="n">
        <v>0.3</v>
      </c>
      <c r="P123" t="n">
        <v>7</v>
      </c>
      <c r="R123" t="n">
        <v>12</v>
      </c>
      <c r="S123" t="n">
        <v>17</v>
      </c>
      <c r="T123" t="n">
        <v>5</v>
      </c>
      <c r="U123" t="n">
        <v>0.3</v>
      </c>
      <c r="V123" t="n">
        <v>1</v>
      </c>
    </row>
    <row r="124">
      <c r="A124" t="inlineStr">
        <is>
          <t>Klingenwaffen</t>
        </is>
      </c>
      <c r="B124" t="inlineStr">
        <is>
          <t>Kurzschwerter</t>
        </is>
      </c>
      <c r="C124" t="inlineStr">
        <is>
          <t>Machete</t>
        </is>
      </c>
      <c r="D124" t="n">
        <v>7</v>
      </c>
      <c r="E124" t="n">
        <v>3</v>
      </c>
      <c r="F124" t="inlineStr">
        <is>
          <t>W8</t>
        </is>
      </c>
      <c r="G124" t="inlineStr">
        <is>
          <t>W6</t>
        </is>
      </c>
      <c r="H124" t="n">
        <v>4</v>
      </c>
      <c r="I124" t="n">
        <v>-3</v>
      </c>
      <c r="J124" t="n">
        <v>0</v>
      </c>
      <c r="K124" t="n">
        <v>-2</v>
      </c>
      <c r="L124" t="n">
        <v>-4</v>
      </c>
      <c r="M124" t="n">
        <v>8</v>
      </c>
      <c r="N124" t="n">
        <v>6</v>
      </c>
      <c r="O124" t="n">
        <v>0.65</v>
      </c>
      <c r="P124" t="n">
        <v>5</v>
      </c>
      <c r="R124" t="n">
        <v>14</v>
      </c>
      <c r="S124" t="n">
        <v>12</v>
      </c>
      <c r="T124" t="n">
        <v>8</v>
      </c>
      <c r="U124" t="n">
        <v>0.8</v>
      </c>
      <c r="V124" t="n">
        <v>3</v>
      </c>
    </row>
    <row r="125">
      <c r="A125" t="inlineStr">
        <is>
          <t>Stichwaffen</t>
        </is>
      </c>
      <c r="B125" t="inlineStr">
        <is>
          <t>Fechtwaffen</t>
        </is>
      </c>
      <c r="C125" t="inlineStr">
        <is>
          <t>Magierdegen  kurz</t>
        </is>
      </c>
      <c r="D125" t="n">
        <v>10</v>
      </c>
      <c r="E125" t="n">
        <v>3</v>
      </c>
      <c r="F125" t="inlineStr">
        <is>
          <t>W12</t>
        </is>
      </c>
      <c r="G125" t="inlineStr">
        <is>
          <t>W4</t>
        </is>
      </c>
      <c r="H125" t="n">
        <v>6</v>
      </c>
      <c r="I125" t="n">
        <v>-4</v>
      </c>
      <c r="J125" t="n">
        <v>0</v>
      </c>
      <c r="K125" t="n">
        <v>-2</v>
      </c>
      <c r="L125" t="n">
        <v>-2</v>
      </c>
      <c r="M125" t="n">
        <v>6</v>
      </c>
      <c r="N125" t="n">
        <v>4</v>
      </c>
      <c r="O125" t="n">
        <v>0.9</v>
      </c>
      <c r="P125" t="n">
        <v>3</v>
      </c>
      <c r="R125" t="n">
        <v>3</v>
      </c>
      <c r="S125" t="n">
        <v>12</v>
      </c>
      <c r="T125" t="n">
        <v>17</v>
      </c>
      <c r="U125" t="n">
        <v>0.75</v>
      </c>
      <c r="V125" t="n">
        <v>4</v>
      </c>
    </row>
    <row r="126">
      <c r="A126" t="inlineStr">
        <is>
          <t>Stichwaffen</t>
        </is>
      </c>
      <c r="B126" t="inlineStr">
        <is>
          <t>Dolche</t>
        </is>
      </c>
      <c r="C126" t="inlineStr">
        <is>
          <t>Messer groß</t>
        </is>
      </c>
      <c r="D126" t="n">
        <v>3</v>
      </c>
      <c r="E126" t="n">
        <v>0</v>
      </c>
      <c r="F126" t="inlineStr">
        <is>
          <t>W10</t>
        </is>
      </c>
      <c r="H126" t="n">
        <v>7</v>
      </c>
      <c r="I126" t="n">
        <v>-2</v>
      </c>
      <c r="J126" t="n">
        <v>0</v>
      </c>
      <c r="K126" t="n">
        <v>-1</v>
      </c>
      <c r="L126" t="n">
        <v>-9</v>
      </c>
      <c r="M126" t="n">
        <v>2</v>
      </c>
      <c r="O126" t="n">
        <v>0.25</v>
      </c>
      <c r="P126" t="n">
        <v>12</v>
      </c>
      <c r="R126" t="n">
        <v>10</v>
      </c>
      <c r="S126" t="n">
        <v>12</v>
      </c>
      <c r="T126" t="n">
        <v>4</v>
      </c>
      <c r="U126" t="n">
        <v>0.25</v>
      </c>
      <c r="V126" t="n">
        <v>1</v>
      </c>
    </row>
    <row r="127">
      <c r="A127" t="inlineStr">
        <is>
          <t>Unbewaffnet</t>
        </is>
      </c>
      <c r="B127" t="inlineStr">
        <is>
          <t>Messer</t>
        </is>
      </c>
      <c r="C127" t="inlineStr">
        <is>
          <t>Messer groß</t>
        </is>
      </c>
      <c r="D127" t="n">
        <v>3</v>
      </c>
      <c r="E127" t="n">
        <v>0</v>
      </c>
      <c r="F127" t="inlineStr">
        <is>
          <t>W10</t>
        </is>
      </c>
      <c r="H127" t="n">
        <v>7</v>
      </c>
      <c r="I127" t="n">
        <v>-2</v>
      </c>
      <c r="J127" t="n">
        <v>0</v>
      </c>
      <c r="K127" t="n">
        <v>-1</v>
      </c>
      <c r="L127" t="n">
        <v>-9</v>
      </c>
      <c r="M127" t="n">
        <v>2</v>
      </c>
      <c r="O127" t="n">
        <v>0.25</v>
      </c>
      <c r="P127" t="n">
        <v>12</v>
      </c>
      <c r="R127" t="n">
        <v>10</v>
      </c>
      <c r="S127" t="n">
        <v>12</v>
      </c>
      <c r="T127" t="n">
        <v>4</v>
      </c>
      <c r="U127" t="n">
        <v>0.25</v>
      </c>
      <c r="V127" t="n">
        <v>1</v>
      </c>
    </row>
    <row r="128">
      <c r="A128" t="inlineStr">
        <is>
          <t>Stichwaffen</t>
        </is>
      </c>
      <c r="B128" t="inlineStr">
        <is>
          <t>Dolche</t>
        </is>
      </c>
      <c r="C128" t="inlineStr">
        <is>
          <t>Messer klein</t>
        </is>
      </c>
      <c r="D128" t="n">
        <v>2</v>
      </c>
      <c r="E128" t="n">
        <v>-1</v>
      </c>
      <c r="F128" t="inlineStr">
        <is>
          <t>W8</t>
        </is>
      </c>
      <c r="H128" t="n">
        <v>8</v>
      </c>
      <c r="I128" t="n">
        <v>-2</v>
      </c>
      <c r="J128" t="n">
        <v>0</v>
      </c>
      <c r="K128" t="n">
        <v>-2</v>
      </c>
      <c r="L128" t="n">
        <v>-10</v>
      </c>
      <c r="M128" t="n">
        <v>1</v>
      </c>
      <c r="O128" t="n">
        <v>0.18</v>
      </c>
      <c r="P128" t="n">
        <v>15</v>
      </c>
      <c r="R128" t="n">
        <v>9</v>
      </c>
      <c r="S128" t="n">
        <v>11</v>
      </c>
      <c r="T128" t="n">
        <v>4</v>
      </c>
      <c r="U128" t="n">
        <v>0.15</v>
      </c>
      <c r="V128" t="n">
        <v>0.5</v>
      </c>
    </row>
    <row r="129">
      <c r="A129" t="inlineStr">
        <is>
          <t>Unbewaffnet</t>
        </is>
      </c>
      <c r="B129" t="inlineStr">
        <is>
          <t>Messer</t>
        </is>
      </c>
      <c r="C129" t="inlineStr">
        <is>
          <t>Messer klein</t>
        </is>
      </c>
      <c r="D129" t="n">
        <v>2</v>
      </c>
      <c r="E129" t="n">
        <v>-1</v>
      </c>
      <c r="F129" t="inlineStr">
        <is>
          <t>W8</t>
        </is>
      </c>
      <c r="H129" t="n">
        <v>8</v>
      </c>
      <c r="I129" t="n">
        <v>-2</v>
      </c>
      <c r="J129" t="n">
        <v>0</v>
      </c>
      <c r="K129" t="n">
        <v>-2</v>
      </c>
      <c r="L129" t="n">
        <v>-10</v>
      </c>
      <c r="M129" t="n">
        <v>1</v>
      </c>
      <c r="O129" t="n">
        <v>0.18</v>
      </c>
      <c r="P129" t="n">
        <v>15</v>
      </c>
      <c r="R129" t="n">
        <v>9</v>
      </c>
      <c r="S129" t="n">
        <v>11</v>
      </c>
      <c r="T129" t="n">
        <v>4</v>
      </c>
      <c r="U129" t="n">
        <v>0.15</v>
      </c>
      <c r="V129" t="n">
        <v>0.5</v>
      </c>
    </row>
    <row r="130">
      <c r="A130" t="inlineStr">
        <is>
          <t>Stangenwaffen</t>
        </is>
      </c>
      <c r="B130" t="inlineStr">
        <is>
          <t>Speere</t>
        </is>
      </c>
      <c r="C130" t="inlineStr">
        <is>
          <t>Mistgabel einfach</t>
        </is>
      </c>
      <c r="D130" t="n">
        <v>12</v>
      </c>
      <c r="E130" t="n">
        <v>4</v>
      </c>
      <c r="F130" t="inlineStr">
        <is>
          <t>W10</t>
        </is>
      </c>
      <c r="G130" t="inlineStr">
        <is>
          <t>W6</t>
        </is>
      </c>
      <c r="H130" t="n">
        <v>3</v>
      </c>
      <c r="I130" t="n">
        <v>-6</v>
      </c>
      <c r="J130" t="n">
        <v>0</v>
      </c>
      <c r="K130" t="n">
        <v>-5</v>
      </c>
      <c r="L130" t="n">
        <v>-4</v>
      </c>
      <c r="M130" t="n">
        <v>16</v>
      </c>
      <c r="N130" t="n">
        <v>6</v>
      </c>
      <c r="O130" t="n">
        <v>1.28</v>
      </c>
      <c r="P130" t="inlineStr">
        <is>
          <t>--</t>
        </is>
      </c>
      <c r="Q130" t="inlineStr">
        <is>
          <t>Holzschaft</t>
        </is>
      </c>
      <c r="R130" t="n">
        <v>9</v>
      </c>
      <c r="S130" t="n">
        <v>2</v>
      </c>
      <c r="T130" t="n">
        <v>5</v>
      </c>
      <c r="U130" t="n">
        <v>0.3</v>
      </c>
      <c r="V130" t="n">
        <v>0.25</v>
      </c>
    </row>
    <row r="131">
      <c r="A131" t="inlineStr">
        <is>
          <t>Hiebwaffen</t>
        </is>
      </c>
      <c r="B131" t="inlineStr">
        <is>
          <t>Stumpfe Hiebwaffen</t>
        </is>
      </c>
      <c r="C131" t="inlineStr">
        <is>
          <t>Morgenstern  fest</t>
        </is>
      </c>
      <c r="D131" t="n">
        <v>9</v>
      </c>
      <c r="E131" t="n">
        <v>5</v>
      </c>
      <c r="F131" t="inlineStr">
        <is>
          <t>W8</t>
        </is>
      </c>
      <c r="G131" t="inlineStr">
        <is>
          <t>W8</t>
        </is>
      </c>
      <c r="H131" t="n">
        <v>2</v>
      </c>
      <c r="I131" t="n">
        <v>-5</v>
      </c>
      <c r="J131" t="n">
        <v>3</v>
      </c>
      <c r="K131" t="n">
        <v>-4</v>
      </c>
      <c r="L131" t="n">
        <v>-5</v>
      </c>
      <c r="M131" t="n">
        <v>14</v>
      </c>
      <c r="N131" t="n">
        <v>10</v>
      </c>
      <c r="O131" t="n">
        <v>0.9</v>
      </c>
      <c r="P131" t="n">
        <v>0</v>
      </c>
      <c r="Q131" t="inlineStr">
        <is>
          <t>Holzschaft</t>
        </is>
      </c>
      <c r="R131" t="n">
        <v>16</v>
      </c>
      <c r="S131" t="n">
        <v>8</v>
      </c>
      <c r="T131" t="n">
        <v>5</v>
      </c>
      <c r="U131" t="n">
        <v>1</v>
      </c>
      <c r="V131" t="n">
        <v>3</v>
      </c>
    </row>
    <row r="132">
      <c r="A132" t="inlineStr">
        <is>
          <t>Hiebwaffen</t>
        </is>
      </c>
      <c r="B132" t="inlineStr">
        <is>
          <t>Kettenwaffen</t>
        </is>
      </c>
      <c r="C132" t="inlineStr">
        <is>
          <t>Morgenstern  Kette</t>
        </is>
      </c>
      <c r="D132" t="n">
        <v>8</v>
      </c>
      <c r="E132" t="n">
        <v>5</v>
      </c>
      <c r="F132" t="inlineStr">
        <is>
          <t>W15</t>
        </is>
      </c>
      <c r="G132" t="inlineStr">
        <is>
          <t>W4</t>
        </is>
      </c>
      <c r="H132" t="n">
        <v>3</v>
      </c>
      <c r="I132" t="n">
        <v>-4</v>
      </c>
      <c r="J132" t="n">
        <v>0</v>
      </c>
      <c r="K132" t="n">
        <v>-6</v>
      </c>
      <c r="L132" t="n">
        <v>-7</v>
      </c>
      <c r="M132" t="n">
        <v>14</v>
      </c>
      <c r="N132" t="n">
        <v>11</v>
      </c>
      <c r="O132" t="n">
        <v>1</v>
      </c>
      <c r="P132" t="n">
        <v>0</v>
      </c>
      <c r="Q132" t="inlineStr">
        <is>
          <t>Holzschaft</t>
        </is>
      </c>
      <c r="R132" t="n">
        <v>10</v>
      </c>
      <c r="S132" t="n">
        <v>7</v>
      </c>
      <c r="T132" t="n">
        <v>7</v>
      </c>
      <c r="U132" t="n">
        <v>1.25</v>
      </c>
      <c r="V132" t="n">
        <v>3</v>
      </c>
    </row>
    <row r="133">
      <c r="A133" t="inlineStr">
        <is>
          <t>Hiebwaffen</t>
        </is>
      </c>
      <c r="B133" t="inlineStr">
        <is>
          <t>Kettenwaffen</t>
        </is>
      </c>
      <c r="C133" t="inlineStr">
        <is>
          <t>Morgenstern  schwer</t>
        </is>
      </c>
      <c r="D133" t="n">
        <v>7</v>
      </c>
      <c r="E133" t="n">
        <v>6</v>
      </c>
      <c r="F133" t="inlineStr">
        <is>
          <t>W20</t>
        </is>
      </c>
      <c r="G133" t="inlineStr">
        <is>
          <t>W4</t>
        </is>
      </c>
      <c r="H133" t="n">
        <v>2</v>
      </c>
      <c r="I133" t="n">
        <v>-9</v>
      </c>
      <c r="J133" t="n">
        <v>0</v>
      </c>
      <c r="K133" t="n">
        <v>-7</v>
      </c>
      <c r="L133" t="n">
        <v>-7</v>
      </c>
      <c r="M133" t="n">
        <v>17</v>
      </c>
      <c r="N133" t="n">
        <v>13</v>
      </c>
      <c r="O133" t="n">
        <v>1</v>
      </c>
      <c r="P133" t="n">
        <v>0</v>
      </c>
      <c r="Q133" t="inlineStr">
        <is>
          <t>Holzschaft</t>
        </is>
      </c>
      <c r="R133" t="n">
        <v>10</v>
      </c>
      <c r="S133" t="n">
        <v>7</v>
      </c>
      <c r="T133" t="n">
        <v>7</v>
      </c>
      <c r="U133" t="n">
        <v>1.25</v>
      </c>
      <c r="V133" t="n">
        <v>3</v>
      </c>
    </row>
    <row r="134">
      <c r="A134" t="inlineStr">
        <is>
          <t>Hiebwaffen</t>
        </is>
      </c>
      <c r="B134" t="inlineStr">
        <is>
          <t>Stumpfe Hiebwaffen</t>
        </is>
      </c>
      <c r="C134" t="inlineStr">
        <is>
          <t>Musketenladestock</t>
        </is>
      </c>
      <c r="D134" t="n">
        <v>10</v>
      </c>
      <c r="E134" t="n">
        <v>2</v>
      </c>
      <c r="F134" t="inlineStr">
        <is>
          <t>W8</t>
        </is>
      </c>
      <c r="G134" t="inlineStr">
        <is>
          <t>W6</t>
        </is>
      </c>
      <c r="H134" t="n">
        <v>6</v>
      </c>
      <c r="I134" t="n">
        <v>-4</v>
      </c>
      <c r="J134" t="n">
        <v>0</v>
      </c>
      <c r="K134" t="n">
        <v>-3</v>
      </c>
      <c r="L134" t="n">
        <v>-5</v>
      </c>
      <c r="M134" t="n">
        <v>6</v>
      </c>
      <c r="N134" t="n">
        <v>4</v>
      </c>
      <c r="O134" t="n">
        <v>1</v>
      </c>
      <c r="P134" t="n">
        <v>6</v>
      </c>
      <c r="R134" t="n">
        <v>5</v>
      </c>
      <c r="S134" t="n">
        <v>5</v>
      </c>
      <c r="T134" t="n">
        <v>1</v>
      </c>
      <c r="U134" t="n">
        <v>0.4</v>
      </c>
      <c r="V134" t="n">
        <v>0.25</v>
      </c>
    </row>
    <row r="135">
      <c r="A135" t="inlineStr">
        <is>
          <t>Stangenwaffen</t>
        </is>
      </c>
      <c r="B135" t="inlineStr">
        <is>
          <t>Speere</t>
        </is>
      </c>
      <c r="C135" t="inlineStr">
        <is>
          <t>Naginata</t>
        </is>
      </c>
      <c r="D135" t="n">
        <v>22</v>
      </c>
      <c r="E135" t="n">
        <v>4.5</v>
      </c>
      <c r="F135" t="inlineStr">
        <is>
          <t>W12</t>
        </is>
      </c>
      <c r="G135" t="inlineStr">
        <is>
          <t>W6</t>
        </is>
      </c>
      <c r="H135" t="n">
        <v>3</v>
      </c>
      <c r="I135" t="n">
        <v>-5</v>
      </c>
      <c r="J135" t="n">
        <v>0</v>
      </c>
      <c r="K135" t="n">
        <v>-4</v>
      </c>
      <c r="L135" t="n">
        <v>-3</v>
      </c>
      <c r="M135" t="n">
        <v>22</v>
      </c>
      <c r="N135" t="n">
        <v>11</v>
      </c>
      <c r="O135" t="n">
        <v>2.1</v>
      </c>
      <c r="P135" t="inlineStr">
        <is>
          <t>--</t>
        </is>
      </c>
      <c r="Q135" t="inlineStr">
        <is>
          <t>Holzschaft</t>
        </is>
      </c>
      <c r="R135" t="n">
        <v>15</v>
      </c>
      <c r="S135" t="n">
        <v>7</v>
      </c>
      <c r="T135" t="n">
        <v>16</v>
      </c>
      <c r="U135" t="n">
        <v>1</v>
      </c>
      <c r="V135" t="n">
        <v>4</v>
      </c>
    </row>
    <row r="136">
      <c r="A136" t="inlineStr">
        <is>
          <t>Unbewaffnet</t>
        </is>
      </c>
      <c r="B136" t="inlineStr">
        <is>
          <t>Peitschen</t>
        </is>
      </c>
      <c r="C136" t="inlineStr">
        <is>
          <t>Neunschwänzige</t>
        </is>
      </c>
      <c r="D136" t="n">
        <v>13</v>
      </c>
      <c r="E136" t="n">
        <v>4</v>
      </c>
      <c r="F136" t="inlineStr">
        <is>
          <t>W4</t>
        </is>
      </c>
      <c r="G136" t="inlineStr">
        <is>
          <t>W4</t>
        </is>
      </c>
      <c r="H136" t="n">
        <v>4</v>
      </c>
      <c r="I136" t="n">
        <v>-4</v>
      </c>
      <c r="J136" t="n">
        <v>0</v>
      </c>
      <c r="K136" t="n">
        <v>-7</v>
      </c>
      <c r="L136" t="n">
        <v>-15</v>
      </c>
      <c r="M136" t="n">
        <v>9</v>
      </c>
      <c r="N136" t="n">
        <v>6</v>
      </c>
      <c r="O136" t="n">
        <v>1.4</v>
      </c>
      <c r="P136" t="n">
        <v>6</v>
      </c>
      <c r="R136" t="n">
        <v>0</v>
      </c>
      <c r="S136" t="n">
        <v>7</v>
      </c>
      <c r="T136" t="n">
        <v>6</v>
      </c>
      <c r="U136" t="n">
        <v>0.1</v>
      </c>
      <c r="V136" t="n">
        <v>2</v>
      </c>
    </row>
    <row r="137">
      <c r="A137" t="inlineStr">
        <is>
          <t>Unbewaffnet</t>
        </is>
      </c>
      <c r="B137" t="inlineStr">
        <is>
          <t>Peitschen</t>
        </is>
      </c>
      <c r="C137" t="inlineStr">
        <is>
          <t>Neunschwänzige Dornenpeitsche</t>
        </is>
      </c>
      <c r="D137" t="n">
        <v>13</v>
      </c>
      <c r="E137" t="n">
        <v>4</v>
      </c>
      <c r="F137" t="inlineStr">
        <is>
          <t>W6</t>
        </is>
      </c>
      <c r="G137" t="inlineStr">
        <is>
          <t>W6</t>
        </is>
      </c>
      <c r="H137" t="n">
        <v>3</v>
      </c>
      <c r="I137" t="n">
        <v>-4</v>
      </c>
      <c r="J137" t="n">
        <v>0</v>
      </c>
      <c r="K137" t="n">
        <v>-8</v>
      </c>
      <c r="L137" t="n">
        <v>-15</v>
      </c>
      <c r="M137" t="n">
        <v>11</v>
      </c>
      <c r="N137" t="n">
        <v>8</v>
      </c>
      <c r="O137" t="n">
        <v>1.4</v>
      </c>
      <c r="P137" t="n">
        <v>3</v>
      </c>
      <c r="R137" t="n">
        <v>2</v>
      </c>
      <c r="S137" t="n">
        <v>7</v>
      </c>
      <c r="T137" t="n">
        <v>7</v>
      </c>
      <c r="U137" t="n">
        <v>0.2</v>
      </c>
      <c r="V137" t="n">
        <v>2</v>
      </c>
    </row>
    <row r="138">
      <c r="A138" t="inlineStr">
        <is>
          <t>Stichwaffen</t>
        </is>
      </c>
      <c r="B138" t="inlineStr">
        <is>
          <t>Fechtwaffen</t>
        </is>
      </c>
      <c r="C138" t="inlineStr">
        <is>
          <t>Ninjatō  einhändig</t>
        </is>
      </c>
      <c r="D138" t="n">
        <v>8</v>
      </c>
      <c r="E138" t="n">
        <v>4</v>
      </c>
      <c r="F138" t="inlineStr">
        <is>
          <t>W12</t>
        </is>
      </c>
      <c r="G138" t="inlineStr">
        <is>
          <t>W4</t>
        </is>
      </c>
      <c r="H138" t="n">
        <v>4</v>
      </c>
      <c r="I138" t="n">
        <v>-4</v>
      </c>
      <c r="J138" t="n">
        <v>0</v>
      </c>
      <c r="K138" t="n">
        <v>-3</v>
      </c>
      <c r="L138" t="n">
        <v>-4</v>
      </c>
      <c r="M138" t="n">
        <v>10</v>
      </c>
      <c r="N138" t="n">
        <v>8</v>
      </c>
      <c r="O138" t="n">
        <v>0.75</v>
      </c>
      <c r="P138" t="n">
        <v>3</v>
      </c>
      <c r="R138" t="n">
        <v>15</v>
      </c>
      <c r="S138" t="n">
        <v>13</v>
      </c>
      <c r="T138" t="n">
        <v>10</v>
      </c>
      <c r="U138" t="n">
        <v>0.75</v>
      </c>
      <c r="V138" t="n">
        <v>3.5</v>
      </c>
    </row>
    <row r="139">
      <c r="A139" t="inlineStr">
        <is>
          <t>Klingenwaffen</t>
        </is>
      </c>
      <c r="B139" t="inlineStr">
        <is>
          <t>Kurzschwerter</t>
        </is>
      </c>
      <c r="C139" t="inlineStr">
        <is>
          <t>Ninjatō  einhändig</t>
        </is>
      </c>
      <c r="D139" t="n">
        <v>8</v>
      </c>
      <c r="E139" t="n">
        <v>4</v>
      </c>
      <c r="F139" t="inlineStr">
        <is>
          <t>W12</t>
        </is>
      </c>
      <c r="G139" t="inlineStr">
        <is>
          <t>W4</t>
        </is>
      </c>
      <c r="H139" t="n">
        <v>4</v>
      </c>
      <c r="I139" t="n">
        <v>-4</v>
      </c>
      <c r="J139" t="n">
        <v>0</v>
      </c>
      <c r="K139" t="n">
        <v>-3</v>
      </c>
      <c r="L139" t="n">
        <v>-4</v>
      </c>
      <c r="M139" t="n">
        <v>10</v>
      </c>
      <c r="N139" t="n">
        <v>8</v>
      </c>
      <c r="O139" t="n">
        <v>0.75</v>
      </c>
      <c r="P139" t="n">
        <v>3</v>
      </c>
      <c r="R139" t="n">
        <v>15</v>
      </c>
      <c r="S139" t="n">
        <v>13</v>
      </c>
      <c r="T139" t="n">
        <v>10</v>
      </c>
      <c r="U139" t="n">
        <v>0.75</v>
      </c>
      <c r="V139" t="n">
        <v>3.5</v>
      </c>
    </row>
    <row r="140">
      <c r="A140" t="inlineStr">
        <is>
          <t>Hiebwaffen</t>
        </is>
      </c>
      <c r="B140" t="inlineStr">
        <is>
          <t>Kettenwaffen</t>
        </is>
      </c>
      <c r="C140" t="inlineStr">
        <is>
          <t>Nunchako eisenbeschlagen</t>
        </is>
      </c>
      <c r="D140" t="n">
        <v>8</v>
      </c>
      <c r="E140" t="n">
        <v>3</v>
      </c>
      <c r="F140" t="inlineStr">
        <is>
          <t>W8</t>
        </is>
      </c>
      <c r="G140" t="inlineStr">
        <is>
          <t>W4</t>
        </is>
      </c>
      <c r="H140" t="n">
        <v>4</v>
      </c>
      <c r="I140" t="n">
        <v>-3</v>
      </c>
      <c r="J140" t="n">
        <v>0</v>
      </c>
      <c r="K140" t="n">
        <v>-7</v>
      </c>
      <c r="L140" t="n">
        <v>-7</v>
      </c>
      <c r="M140" t="n">
        <v>7</v>
      </c>
      <c r="N140" t="n">
        <v>6</v>
      </c>
      <c r="O140" t="n">
        <v>0.75</v>
      </c>
      <c r="P140" t="n">
        <v>6</v>
      </c>
      <c r="Q140" t="inlineStr">
        <is>
          <t>Holzschaft</t>
        </is>
      </c>
      <c r="R140" t="n">
        <v>10</v>
      </c>
      <c r="S140" t="n">
        <v>5</v>
      </c>
      <c r="T140" t="n">
        <v>6</v>
      </c>
      <c r="U140" t="n">
        <v>0.5</v>
      </c>
      <c r="V140" t="n">
        <v>0.25</v>
      </c>
    </row>
    <row r="141">
      <c r="A141" t="inlineStr">
        <is>
          <t>Hiebwaffen</t>
        </is>
      </c>
      <c r="B141" t="inlineStr">
        <is>
          <t>Kettenwaffen</t>
        </is>
      </c>
      <c r="C141" t="inlineStr">
        <is>
          <t>Ochsenherde leicht 3 Ketten</t>
        </is>
      </c>
      <c r="D141" t="n">
        <v>9</v>
      </c>
      <c r="E141" t="n">
        <v>4</v>
      </c>
      <c r="F141" t="inlineStr">
        <is>
          <t>W12</t>
        </is>
      </c>
      <c r="G141" t="inlineStr">
        <is>
          <t>W8</t>
        </is>
      </c>
      <c r="H141" t="n">
        <v>4</v>
      </c>
      <c r="I141" t="n">
        <v>-2</v>
      </c>
      <c r="J141" t="n">
        <v>0</v>
      </c>
      <c r="K141" t="n">
        <v>-8</v>
      </c>
      <c r="L141" t="n">
        <v>-7</v>
      </c>
      <c r="M141" t="n">
        <v>15</v>
      </c>
      <c r="N141" t="n">
        <v>12</v>
      </c>
      <c r="O141" t="n">
        <v>1</v>
      </c>
      <c r="P141" t="inlineStr">
        <is>
          <t>--</t>
        </is>
      </c>
      <c r="Q141" t="inlineStr">
        <is>
          <t>Holzschaft</t>
        </is>
      </c>
      <c r="R141" t="n">
        <v>10</v>
      </c>
      <c r="S141" t="n">
        <v>7</v>
      </c>
      <c r="T141" t="n">
        <v>9</v>
      </c>
      <c r="U141" t="n">
        <v>1.75</v>
      </c>
      <c r="V141" t="n">
        <v>4</v>
      </c>
    </row>
    <row r="142">
      <c r="A142" t="inlineStr">
        <is>
          <t>Hiebwaffen</t>
        </is>
      </c>
      <c r="B142" t="inlineStr">
        <is>
          <t>Kettenwaffen</t>
        </is>
      </c>
      <c r="C142" t="inlineStr">
        <is>
          <t>Ochsenherde schwer 3 Ketten</t>
        </is>
      </c>
      <c r="D142" t="n">
        <v>7</v>
      </c>
      <c r="E142" t="n">
        <v>6</v>
      </c>
      <c r="F142" t="inlineStr">
        <is>
          <t>W15</t>
        </is>
      </c>
      <c r="G142" t="inlineStr">
        <is>
          <t>W8</t>
        </is>
      </c>
      <c r="H142" t="n">
        <v>2</v>
      </c>
      <c r="I142" t="n">
        <v>-7</v>
      </c>
      <c r="J142" t="n">
        <v>0</v>
      </c>
      <c r="K142" t="n">
        <v>-8</v>
      </c>
      <c r="L142" t="n">
        <v>-8</v>
      </c>
      <c r="M142" t="n">
        <v>18</v>
      </c>
      <c r="N142" t="n">
        <v>14</v>
      </c>
      <c r="O142" t="n">
        <v>1</v>
      </c>
      <c r="P142" t="inlineStr">
        <is>
          <t>--</t>
        </is>
      </c>
      <c r="Q142" t="inlineStr">
        <is>
          <t>Holzschaft</t>
        </is>
      </c>
      <c r="R142" t="n">
        <v>10</v>
      </c>
      <c r="S142" t="n">
        <v>7</v>
      </c>
      <c r="T142" t="n">
        <v>9</v>
      </c>
      <c r="U142" t="n">
        <v>2</v>
      </c>
      <c r="V142" t="n">
        <v>4</v>
      </c>
    </row>
    <row r="143">
      <c r="A143" t="inlineStr">
        <is>
          <t>Hiebwaffen</t>
        </is>
      </c>
      <c r="B143" t="inlineStr">
        <is>
          <t>Kettenwaffen</t>
        </is>
      </c>
      <c r="C143" t="inlineStr">
        <is>
          <t>Ogerschellen  2 Ketten</t>
        </is>
      </c>
      <c r="D143" t="n">
        <v>8</v>
      </c>
      <c r="E143" t="n">
        <v>5</v>
      </c>
      <c r="F143" t="inlineStr">
        <is>
          <t>W15</t>
        </is>
      </c>
      <c r="G143" t="inlineStr">
        <is>
          <t>W6</t>
        </is>
      </c>
      <c r="H143" t="n">
        <v>3</v>
      </c>
      <c r="I143" t="n">
        <v>-5</v>
      </c>
      <c r="J143" t="n">
        <v>0</v>
      </c>
      <c r="K143" t="n">
        <v>-7</v>
      </c>
      <c r="L143" t="n">
        <v>-7</v>
      </c>
      <c r="M143" t="n">
        <v>14</v>
      </c>
      <c r="N143" t="n">
        <v>11</v>
      </c>
      <c r="O143" t="n">
        <v>1</v>
      </c>
      <c r="P143" t="inlineStr">
        <is>
          <t>--</t>
        </is>
      </c>
      <c r="Q143" t="inlineStr">
        <is>
          <t>Holzschaft</t>
        </is>
      </c>
      <c r="R143" t="n">
        <v>10</v>
      </c>
      <c r="S143" t="n">
        <v>7</v>
      </c>
      <c r="T143" t="n">
        <v>8</v>
      </c>
      <c r="U143" t="n">
        <v>1.5</v>
      </c>
      <c r="V143" t="n">
        <v>4</v>
      </c>
    </row>
    <row r="144">
      <c r="A144" t="inlineStr">
        <is>
          <t>Unbewaffnet</t>
        </is>
      </c>
      <c r="B144" t="inlineStr">
        <is>
          <t>Armklingen</t>
        </is>
      </c>
      <c r="C144" t="inlineStr">
        <is>
          <t>Orchidee 5 Klingen</t>
        </is>
      </c>
      <c r="D144" t="n">
        <v>1</v>
      </c>
      <c r="E144" t="n">
        <v>0</v>
      </c>
      <c r="F144" t="inlineStr">
        <is>
          <t>W10</t>
        </is>
      </c>
      <c r="G144" t="inlineStr">
        <is>
          <t>W4</t>
        </is>
      </c>
      <c r="H144" t="n">
        <v>4</v>
      </c>
      <c r="I144" t="n">
        <v>-5</v>
      </c>
      <c r="J144" t="n">
        <v>0</v>
      </c>
      <c r="K144" t="n">
        <v>-3</v>
      </c>
      <c r="L144" t="n">
        <v>-4</v>
      </c>
      <c r="M144" t="n">
        <v>8</v>
      </c>
      <c r="O144" t="n">
        <v>0.1</v>
      </c>
      <c r="P144" t="n">
        <v>0</v>
      </c>
      <c r="R144" t="n">
        <v>7</v>
      </c>
      <c r="S144" t="n">
        <v>10</v>
      </c>
      <c r="T144" t="n">
        <v>18</v>
      </c>
      <c r="U144" t="n">
        <v>1</v>
      </c>
      <c r="V144" t="n">
        <v>7</v>
      </c>
    </row>
    <row r="145">
      <c r="A145" t="inlineStr">
        <is>
          <t>Stichwaffen</t>
        </is>
      </c>
      <c r="B145" t="inlineStr">
        <is>
          <t>Dolche</t>
        </is>
      </c>
      <c r="C145" t="inlineStr">
        <is>
          <t>Orchidee 5 Klingen</t>
        </is>
      </c>
      <c r="D145" t="n">
        <v>1</v>
      </c>
      <c r="E145" t="n">
        <v>0</v>
      </c>
      <c r="F145" t="inlineStr">
        <is>
          <t>W10</t>
        </is>
      </c>
      <c r="G145" t="inlineStr">
        <is>
          <t>W4</t>
        </is>
      </c>
      <c r="H145" t="n">
        <v>4</v>
      </c>
      <c r="I145" t="n">
        <v>-5</v>
      </c>
      <c r="J145" t="n">
        <v>0</v>
      </c>
      <c r="K145" t="n">
        <v>-3</v>
      </c>
      <c r="L145" t="n">
        <v>-4</v>
      </c>
      <c r="M145" t="n">
        <v>8</v>
      </c>
      <c r="O145" t="n">
        <v>0.1</v>
      </c>
      <c r="P145" t="n">
        <v>0</v>
      </c>
      <c r="R145" t="n">
        <v>7</v>
      </c>
      <c r="S145" t="n">
        <v>10</v>
      </c>
      <c r="T145" t="n">
        <v>18</v>
      </c>
      <c r="U145" t="n">
        <v>1</v>
      </c>
      <c r="V145" t="n">
        <v>7</v>
      </c>
    </row>
    <row r="146">
      <c r="A146" t="inlineStr">
        <is>
          <t>Hiebwaffen</t>
        </is>
      </c>
      <c r="B146" t="inlineStr">
        <is>
          <t>Stumpfe Hiebwaffen</t>
        </is>
      </c>
      <c r="C146" t="inlineStr">
        <is>
          <t>Ork`sche</t>
        </is>
      </c>
      <c r="D146" t="n">
        <v>2</v>
      </c>
      <c r="E146" t="n">
        <v>3.5</v>
      </c>
      <c r="F146" t="inlineStr">
        <is>
          <t>W8</t>
        </is>
      </c>
      <c r="G146" t="inlineStr">
        <is>
          <t>W6</t>
        </is>
      </c>
      <c r="H146" t="n">
        <v>3</v>
      </c>
      <c r="I146" t="n">
        <v>-5</v>
      </c>
      <c r="J146" t="n">
        <v>0</v>
      </c>
      <c r="K146" t="n">
        <v>-6</v>
      </c>
      <c r="L146" t="n">
        <v>-8</v>
      </c>
      <c r="M146" t="n">
        <v>13</v>
      </c>
      <c r="N146" t="n">
        <v>10</v>
      </c>
      <c r="O146" t="n">
        <v>0.2</v>
      </c>
      <c r="P146" t="n">
        <v>4</v>
      </c>
      <c r="R146" t="n">
        <v>5</v>
      </c>
      <c r="S146" t="n">
        <v>6</v>
      </c>
      <c r="T146" t="inlineStr">
        <is>
          <t>X</t>
        </is>
      </c>
      <c r="U146" t="inlineStr">
        <is>
          <t>x</t>
        </is>
      </c>
      <c r="V146" t="inlineStr">
        <is>
          <t>x</t>
        </is>
      </c>
    </row>
    <row r="147">
      <c r="A147" t="inlineStr">
        <is>
          <t>Hiebwaffen</t>
        </is>
      </c>
      <c r="B147" t="inlineStr">
        <is>
          <t>Kettenwaffen</t>
        </is>
      </c>
      <c r="C147" t="inlineStr">
        <is>
          <t>Ork-Flegel</t>
        </is>
      </c>
      <c r="D147" t="n">
        <v>18</v>
      </c>
      <c r="E147" t="n">
        <v>6</v>
      </c>
      <c r="F147" t="inlineStr">
        <is>
          <t>W10</t>
        </is>
      </c>
      <c r="G147" t="inlineStr">
        <is>
          <t>W8</t>
        </is>
      </c>
      <c r="H147" t="n">
        <v>1.5</v>
      </c>
      <c r="I147" t="n">
        <v>-9</v>
      </c>
      <c r="J147" t="n">
        <v>0</v>
      </c>
      <c r="K147" t="n">
        <v>-6</v>
      </c>
      <c r="L147" t="n">
        <v>-7</v>
      </c>
      <c r="M147" t="n">
        <v>40</v>
      </c>
      <c r="N147" t="n">
        <v>15</v>
      </c>
      <c r="O147" t="n">
        <v>2</v>
      </c>
      <c r="P147" t="inlineStr">
        <is>
          <t>--</t>
        </is>
      </c>
      <c r="Q147" t="inlineStr">
        <is>
          <t>Holzschaft</t>
        </is>
      </c>
      <c r="R147" t="n">
        <v>10</v>
      </c>
      <c r="S147" t="n">
        <v>7</v>
      </c>
      <c r="T147" t="n">
        <v>7</v>
      </c>
      <c r="U147" t="n">
        <v>2</v>
      </c>
      <c r="V147" t="n">
        <v>1.5</v>
      </c>
    </row>
    <row r="148">
      <c r="A148" t="inlineStr">
        <is>
          <t>Unbewaffnet</t>
        </is>
      </c>
      <c r="B148" t="inlineStr">
        <is>
          <t>Unbewaffnet</t>
        </is>
      </c>
      <c r="C148" t="inlineStr">
        <is>
          <t>Orkischer Kampfhandschuh</t>
        </is>
      </c>
      <c r="D148" t="n">
        <v>0</v>
      </c>
      <c r="E148" t="n">
        <v>1</v>
      </c>
      <c r="F148" t="inlineStr">
        <is>
          <t>W6</t>
        </is>
      </c>
      <c r="G148" t="inlineStr">
        <is>
          <t>W4</t>
        </is>
      </c>
      <c r="H148" t="n">
        <v>2</v>
      </c>
      <c r="I148" t="n">
        <v>-7</v>
      </c>
      <c r="J148" t="n">
        <v>0</v>
      </c>
      <c r="K148" t="n">
        <v>-1</v>
      </c>
      <c r="L148" t="n">
        <v>-2</v>
      </c>
      <c r="M148" t="n">
        <v>6</v>
      </c>
      <c r="O148" t="n">
        <v>0.06</v>
      </c>
      <c r="P148" t="n">
        <v>3</v>
      </c>
      <c r="Q148" t="inlineStr">
        <is>
          <t xml:space="preserve"> RS:3, BE:1 (BE je Handschuh)</t>
        </is>
      </c>
      <c r="R148" t="n">
        <v>5</v>
      </c>
      <c r="S148" t="n">
        <v>30</v>
      </c>
      <c r="T148" t="inlineStr">
        <is>
          <t>X</t>
        </is>
      </c>
      <c r="U148" t="inlineStr">
        <is>
          <t>x</t>
        </is>
      </c>
      <c r="V148" t="inlineStr">
        <is>
          <t>x</t>
        </is>
      </c>
    </row>
    <row r="149">
      <c r="A149" t="inlineStr">
        <is>
          <t>Unbewaffnet</t>
        </is>
      </c>
      <c r="B149" t="inlineStr">
        <is>
          <t>Armklingen</t>
        </is>
      </c>
      <c r="C149" t="inlineStr">
        <is>
          <t>Panzerarm mit Klinge</t>
        </is>
      </c>
      <c r="D149" t="n">
        <v>5</v>
      </c>
      <c r="E149" t="n">
        <v>2</v>
      </c>
      <c r="F149" t="inlineStr">
        <is>
          <t>W8</t>
        </is>
      </c>
      <c r="G149" t="inlineStr">
        <is>
          <t>W6</t>
        </is>
      </c>
      <c r="H149" t="n">
        <v>3</v>
      </c>
      <c r="I149" t="n">
        <v>-5</v>
      </c>
      <c r="J149" t="n">
        <v>0</v>
      </c>
      <c r="K149" t="n">
        <v>-3</v>
      </c>
      <c r="L149" t="n">
        <v>-3</v>
      </c>
      <c r="M149" t="n">
        <v>8</v>
      </c>
      <c r="O149" t="n">
        <v>0.5</v>
      </c>
      <c r="P149" t="inlineStr">
        <is>
          <t>--</t>
        </is>
      </c>
      <c r="R149" t="n">
        <v>10</v>
      </c>
      <c r="S149" t="n">
        <v>14</v>
      </c>
      <c r="T149" t="n">
        <v>10</v>
      </c>
      <c r="U149" t="n">
        <v>0.5</v>
      </c>
      <c r="V149" t="n">
        <v>3</v>
      </c>
    </row>
    <row r="150">
      <c r="A150" t="inlineStr">
        <is>
          <t>Stichwaffen</t>
        </is>
      </c>
      <c r="B150" t="inlineStr">
        <is>
          <t>Fechtwaffen</t>
        </is>
      </c>
      <c r="C150" t="inlineStr">
        <is>
          <t>Panzerarm mit Klinge</t>
        </is>
      </c>
      <c r="D150" t="n">
        <v>5</v>
      </c>
      <c r="E150" t="n">
        <v>2</v>
      </c>
      <c r="F150" t="inlineStr">
        <is>
          <t>W8</t>
        </is>
      </c>
      <c r="G150" t="inlineStr">
        <is>
          <t>W6</t>
        </is>
      </c>
      <c r="H150" t="n">
        <v>3</v>
      </c>
      <c r="I150" t="n">
        <v>-5</v>
      </c>
      <c r="J150" t="n">
        <v>0</v>
      </c>
      <c r="K150" t="n">
        <v>-3</v>
      </c>
      <c r="L150" t="n">
        <v>-3</v>
      </c>
      <c r="M150" t="n">
        <v>8</v>
      </c>
      <c r="O150" t="n">
        <v>0.5</v>
      </c>
      <c r="P150" t="inlineStr">
        <is>
          <t>--</t>
        </is>
      </c>
      <c r="R150" t="n">
        <v>10</v>
      </c>
      <c r="S150" t="n">
        <v>14</v>
      </c>
      <c r="T150" t="n">
        <v>10</v>
      </c>
      <c r="U150" t="n">
        <v>0.5</v>
      </c>
      <c r="V150" t="n">
        <v>3</v>
      </c>
    </row>
    <row r="151">
      <c r="A151" t="inlineStr">
        <is>
          <t>Stichwaffen</t>
        </is>
      </c>
      <c r="B151" t="inlineStr">
        <is>
          <t>Dolche</t>
        </is>
      </c>
      <c r="C151" t="inlineStr">
        <is>
          <t>Panzerarm mit Sichel</t>
        </is>
      </c>
      <c r="D151" t="n">
        <v>2</v>
      </c>
      <c r="E151" t="n">
        <v>3</v>
      </c>
      <c r="F151" t="inlineStr">
        <is>
          <t>W12</t>
        </is>
      </c>
      <c r="G151" t="inlineStr">
        <is>
          <t>W4</t>
        </is>
      </c>
      <c r="H151" t="n">
        <v>3</v>
      </c>
      <c r="I151" t="n">
        <v>-5</v>
      </c>
      <c r="J151" t="n">
        <v>0</v>
      </c>
      <c r="K151" t="n">
        <v>-4</v>
      </c>
      <c r="L151" t="n">
        <v>-3</v>
      </c>
      <c r="M151" t="n">
        <v>8</v>
      </c>
      <c r="O151" t="n">
        <v>0.2</v>
      </c>
      <c r="P151" t="inlineStr">
        <is>
          <t>--</t>
        </is>
      </c>
      <c r="R151" t="n">
        <v>10</v>
      </c>
      <c r="S151" t="n">
        <v>12</v>
      </c>
      <c r="T151" t="n">
        <v>8</v>
      </c>
      <c r="U151" t="n">
        <v>0.1</v>
      </c>
      <c r="V151" t="n">
        <v>1</v>
      </c>
    </row>
    <row r="152">
      <c r="A152" t="inlineStr">
        <is>
          <t>Unbewaffnet</t>
        </is>
      </c>
      <c r="B152" t="inlineStr">
        <is>
          <t>Messer</t>
        </is>
      </c>
      <c r="C152" t="inlineStr">
        <is>
          <t>Panzerarm mit Sichel</t>
        </is>
      </c>
      <c r="D152" t="n">
        <v>2</v>
      </c>
      <c r="E152" t="n">
        <v>3</v>
      </c>
      <c r="F152" t="inlineStr">
        <is>
          <t>W12</t>
        </is>
      </c>
      <c r="G152" t="inlineStr">
        <is>
          <t>W4</t>
        </is>
      </c>
      <c r="H152" t="n">
        <v>3</v>
      </c>
      <c r="I152" t="n">
        <v>-5</v>
      </c>
      <c r="J152" t="n">
        <v>0</v>
      </c>
      <c r="K152" t="n">
        <v>-4</v>
      </c>
      <c r="L152" t="n">
        <v>-3</v>
      </c>
      <c r="M152" t="n">
        <v>8</v>
      </c>
      <c r="O152" t="n">
        <v>0.2</v>
      </c>
      <c r="P152" t="inlineStr">
        <is>
          <t>--</t>
        </is>
      </c>
      <c r="R152" t="n">
        <v>10</v>
      </c>
      <c r="S152" t="n">
        <v>12</v>
      </c>
      <c r="T152" t="n">
        <v>8</v>
      </c>
      <c r="U152" t="n">
        <v>0.1</v>
      </c>
      <c r="V152" t="n">
        <v>1</v>
      </c>
    </row>
    <row r="153">
      <c r="A153" t="inlineStr">
        <is>
          <t>Stichwaffen</t>
        </is>
      </c>
      <c r="B153" t="inlineStr">
        <is>
          <t>Dolche</t>
        </is>
      </c>
      <c r="C153" t="inlineStr">
        <is>
          <t>Panzerarm mit Sporn</t>
        </is>
      </c>
      <c r="D153" t="n">
        <v>2</v>
      </c>
      <c r="E153" t="n">
        <v>1</v>
      </c>
      <c r="F153" t="inlineStr">
        <is>
          <t>W12</t>
        </is>
      </c>
      <c r="H153" t="n">
        <v>4</v>
      </c>
      <c r="I153" t="n">
        <v>-2</v>
      </c>
      <c r="J153" t="n">
        <v>0</v>
      </c>
      <c r="K153" t="n">
        <v>-3</v>
      </c>
      <c r="L153" t="n">
        <v>-3</v>
      </c>
      <c r="M153" t="n">
        <v>7</v>
      </c>
      <c r="O153" t="n">
        <v>0.2</v>
      </c>
      <c r="P153" t="inlineStr">
        <is>
          <t>--</t>
        </is>
      </c>
      <c r="R153" t="n">
        <v>4</v>
      </c>
      <c r="S153" t="n">
        <v>25</v>
      </c>
      <c r="T153" t="n">
        <v>3</v>
      </c>
      <c r="U153" t="n">
        <v>0.1</v>
      </c>
      <c r="V153" t="n">
        <v>1</v>
      </c>
    </row>
    <row r="154">
      <c r="A154" t="inlineStr">
        <is>
          <t>Unbewaffnet</t>
        </is>
      </c>
      <c r="B154" t="inlineStr">
        <is>
          <t>Messer</t>
        </is>
      </c>
      <c r="C154" t="inlineStr">
        <is>
          <t>Panzerarm mit Sporn</t>
        </is>
      </c>
      <c r="D154" t="n">
        <v>2</v>
      </c>
      <c r="E154" t="n">
        <v>1</v>
      </c>
      <c r="F154" t="inlineStr">
        <is>
          <t>W12</t>
        </is>
      </c>
      <c r="H154" t="n">
        <v>4</v>
      </c>
      <c r="I154" t="n">
        <v>-2</v>
      </c>
      <c r="J154" t="n">
        <v>0</v>
      </c>
      <c r="K154" t="n">
        <v>-3</v>
      </c>
      <c r="L154" t="n">
        <v>-3</v>
      </c>
      <c r="M154" t="n">
        <v>7</v>
      </c>
      <c r="O154" t="n">
        <v>0.2</v>
      </c>
      <c r="P154" t="inlineStr">
        <is>
          <t>--</t>
        </is>
      </c>
      <c r="R154" t="n">
        <v>4</v>
      </c>
      <c r="S154" t="n">
        <v>25</v>
      </c>
      <c r="T154" t="n">
        <v>3</v>
      </c>
      <c r="U154" t="n">
        <v>0.1</v>
      </c>
      <c r="V154" t="n">
        <v>1</v>
      </c>
    </row>
    <row r="155">
      <c r="A155" t="inlineStr">
        <is>
          <t>Unbewaffnet</t>
        </is>
      </c>
      <c r="B155" t="inlineStr">
        <is>
          <t>Unbewaffnet</t>
        </is>
      </c>
      <c r="C155" t="inlineStr">
        <is>
          <t xml:space="preserve">Panzerhandschuhe </t>
        </is>
      </c>
      <c r="D155" t="n">
        <v>0</v>
      </c>
      <c r="E155" t="n">
        <v>1</v>
      </c>
      <c r="F155" t="inlineStr">
        <is>
          <t>W8</t>
        </is>
      </c>
      <c r="G155" t="inlineStr">
        <is>
          <t>W4</t>
        </is>
      </c>
      <c r="H155" t="n">
        <v>3</v>
      </c>
      <c r="I155" t="n">
        <v>-7</v>
      </c>
      <c r="J155" t="n">
        <v>0</v>
      </c>
      <c r="K155" t="n">
        <v>-1</v>
      </c>
      <c r="L155" t="n">
        <v>-1</v>
      </c>
      <c r="M155" t="n">
        <v>5</v>
      </c>
      <c r="O155" t="n">
        <v>0.05</v>
      </c>
      <c r="P155" t="n">
        <v>4</v>
      </c>
      <c r="R155" t="n">
        <v>5</v>
      </c>
      <c r="S155" t="n">
        <v>30</v>
      </c>
      <c r="T155" t="inlineStr">
        <is>
          <t>X</t>
        </is>
      </c>
      <c r="U155" t="inlineStr">
        <is>
          <t>x</t>
        </is>
      </c>
      <c r="V155" t="inlineStr">
        <is>
          <t>x</t>
        </is>
      </c>
    </row>
    <row r="156">
      <c r="A156" t="inlineStr">
        <is>
          <t>Unbewaffnet</t>
        </is>
      </c>
      <c r="B156" t="inlineStr">
        <is>
          <t>Unbewaffnet</t>
        </is>
      </c>
      <c r="C156" t="inlineStr">
        <is>
          <t>Panzerschienen</t>
        </is>
      </c>
      <c r="D156" t="n">
        <v>0</v>
      </c>
      <c r="E156" t="n">
        <v>1</v>
      </c>
      <c r="F156" t="inlineStr">
        <is>
          <t>W4</t>
        </is>
      </c>
      <c r="G156" t="inlineStr">
        <is>
          <t>W4</t>
        </is>
      </c>
      <c r="H156" t="n">
        <v>3</v>
      </c>
      <c r="I156" t="n">
        <v>-5</v>
      </c>
      <c r="J156" t="n">
        <v>0</v>
      </c>
      <c r="K156" t="n">
        <v>-3</v>
      </c>
      <c r="L156" t="n">
        <v>-2</v>
      </c>
      <c r="M156" t="n">
        <v>5</v>
      </c>
      <c r="O156" t="n">
        <v>0.05</v>
      </c>
      <c r="P156" t="n">
        <v>0</v>
      </c>
      <c r="Q156" t="inlineStr">
        <is>
          <t>Mit Handschuh nPA+1</t>
        </is>
      </c>
      <c r="R156" t="n">
        <v>5</v>
      </c>
      <c r="S156" t="n">
        <v>30</v>
      </c>
      <c r="T156" t="inlineStr">
        <is>
          <t>X</t>
        </is>
      </c>
      <c r="U156" t="inlineStr">
        <is>
          <t>x</t>
        </is>
      </c>
      <c r="V156" t="inlineStr">
        <is>
          <t>x</t>
        </is>
      </c>
    </row>
    <row r="157">
      <c r="A157" t="inlineStr">
        <is>
          <t>Stichwaffen</t>
        </is>
      </c>
      <c r="B157" t="inlineStr">
        <is>
          <t>Dolche</t>
        </is>
      </c>
      <c r="C157" t="inlineStr">
        <is>
          <t>Parierdolch</t>
        </is>
      </c>
      <c r="D157" t="n">
        <v>4</v>
      </c>
      <c r="E157" t="n">
        <v>3</v>
      </c>
      <c r="F157" t="inlineStr">
        <is>
          <t>W10</t>
        </is>
      </c>
      <c r="H157" t="n">
        <v>5</v>
      </c>
      <c r="I157" t="n">
        <v>-2</v>
      </c>
      <c r="J157" t="n">
        <v>0</v>
      </c>
      <c r="K157" t="n">
        <v>-2</v>
      </c>
      <c r="L157" t="n">
        <v>-4</v>
      </c>
      <c r="M157" t="n">
        <v>8</v>
      </c>
      <c r="N157" t="n">
        <v>6</v>
      </c>
      <c r="O157" t="n">
        <v>0.4</v>
      </c>
      <c r="P157" t="n">
        <v>3</v>
      </c>
      <c r="R157" t="n">
        <v>12</v>
      </c>
      <c r="S157" t="n">
        <v>18</v>
      </c>
      <c r="T157" t="n">
        <v>5</v>
      </c>
      <c r="U157" t="n">
        <v>0.3</v>
      </c>
      <c r="V157" t="n">
        <v>1</v>
      </c>
    </row>
    <row r="158">
      <c r="A158" t="inlineStr">
        <is>
          <t>Unbewaffnet</t>
        </is>
      </c>
      <c r="B158" t="inlineStr">
        <is>
          <t>Schild</t>
        </is>
      </c>
      <c r="C158" t="inlineStr">
        <is>
          <t>Pavese</t>
        </is>
      </c>
      <c r="E158" t="n">
        <v>13</v>
      </c>
      <c r="F158" t="inlineStr">
        <is>
          <t>2W8</t>
        </is>
      </c>
      <c r="H158" t="n">
        <v>3</v>
      </c>
      <c r="I158" t="n">
        <v>-5</v>
      </c>
      <c r="K158" t="n">
        <v>-16</v>
      </c>
      <c r="L158" t="n">
        <v>5</v>
      </c>
      <c r="M158" t="n">
        <v>37</v>
      </c>
      <c r="P158" t="inlineStr">
        <is>
          <t>--</t>
        </is>
      </c>
      <c r="Q158" t="inlineStr">
        <is>
          <t>Nur aufstellbar</t>
        </is>
      </c>
      <c r="R158" t="n">
        <v>15</v>
      </c>
      <c r="S158" t="n">
        <v>16</v>
      </c>
      <c r="T158" t="n">
        <v>15</v>
      </c>
      <c r="X158" t="n">
        <v>26</v>
      </c>
      <c r="Y158" t="n">
        <v>1200</v>
      </c>
    </row>
    <row r="159">
      <c r="A159" t="inlineStr">
        <is>
          <t>Unbewaffnet</t>
        </is>
      </c>
      <c r="B159" t="inlineStr">
        <is>
          <t>Schild</t>
        </is>
      </c>
      <c r="C159" t="inlineStr">
        <is>
          <t>Pavese Hand</t>
        </is>
      </c>
      <c r="E159" t="n">
        <v>12</v>
      </c>
      <c r="F159" t="inlineStr">
        <is>
          <t>W8</t>
        </is>
      </c>
      <c r="G159" t="inlineStr">
        <is>
          <t>W6</t>
        </is>
      </c>
      <c r="H159" t="n">
        <v>3</v>
      </c>
      <c r="I159" t="n">
        <v>-5</v>
      </c>
      <c r="K159" t="n">
        <v>-8</v>
      </c>
      <c r="L159" t="n">
        <v>10</v>
      </c>
      <c r="M159" t="n">
        <v>21</v>
      </c>
      <c r="P159" t="inlineStr">
        <is>
          <t>--</t>
        </is>
      </c>
      <c r="R159" t="n">
        <v>15</v>
      </c>
      <c r="S159" t="n">
        <v>15</v>
      </c>
      <c r="T159" t="n">
        <v>15</v>
      </c>
      <c r="X159" t="n">
        <v>18</v>
      </c>
      <c r="Y159" t="n">
        <v>750</v>
      </c>
    </row>
    <row r="160">
      <c r="A160" t="inlineStr">
        <is>
          <t>Unbewaffnet</t>
        </is>
      </c>
      <c r="B160" t="inlineStr">
        <is>
          <t>Peitschen</t>
        </is>
      </c>
      <c r="C160" t="inlineStr">
        <is>
          <t>Peitsche</t>
        </is>
      </c>
      <c r="D160" t="n">
        <v>28</v>
      </c>
      <c r="E160" t="n">
        <v>0</v>
      </c>
      <c r="F160" t="inlineStr">
        <is>
          <t>W6</t>
        </is>
      </c>
      <c r="G160" t="inlineStr">
        <is>
          <t>W6</t>
        </is>
      </c>
      <c r="H160" t="n">
        <v>16</v>
      </c>
      <c r="I160" t="n">
        <v>-1</v>
      </c>
      <c r="J160" t="n">
        <v>0</v>
      </c>
      <c r="K160" t="n">
        <v>-6</v>
      </c>
      <c r="L160" t="n">
        <v>-15</v>
      </c>
      <c r="M160" t="n">
        <v>7</v>
      </c>
      <c r="N160" t="n">
        <v>4</v>
      </c>
      <c r="O160" t="n">
        <v>3</v>
      </c>
      <c r="P160" t="n">
        <v>9</v>
      </c>
      <c r="R160" t="n">
        <v>0</v>
      </c>
      <c r="S160" t="n">
        <v>7</v>
      </c>
      <c r="T160" t="n">
        <v>5</v>
      </c>
      <c r="U160" t="n">
        <v>0.1</v>
      </c>
      <c r="V160" t="n">
        <v>0.25</v>
      </c>
    </row>
    <row r="161">
      <c r="A161" t="inlineStr">
        <is>
          <t>Stangenwaffen</t>
        </is>
      </c>
      <c r="B161" t="inlineStr">
        <is>
          <t>Lanzen</t>
        </is>
      </c>
      <c r="C161" t="inlineStr">
        <is>
          <t>Pike  4-5m, allein</t>
        </is>
      </c>
      <c r="D161" t="n">
        <v>34</v>
      </c>
      <c r="E161" t="n">
        <v>4</v>
      </c>
      <c r="F161" t="inlineStr">
        <is>
          <t>W12</t>
        </is>
      </c>
      <c r="G161" t="inlineStr">
        <is>
          <t>W6</t>
        </is>
      </c>
      <c r="H161" t="n">
        <v>2</v>
      </c>
      <c r="I161" t="n">
        <v>-9</v>
      </c>
      <c r="J161" t="n">
        <v>0</v>
      </c>
      <c r="K161" t="n">
        <v>-5</v>
      </c>
      <c r="L161" t="n">
        <v>-8</v>
      </c>
      <c r="M161" t="n">
        <v>20</v>
      </c>
      <c r="N161" t="n">
        <v>13</v>
      </c>
      <c r="O161" t="n">
        <v>4.5</v>
      </c>
      <c r="P161" t="inlineStr">
        <is>
          <t>--</t>
        </is>
      </c>
      <c r="Q161" t="inlineStr">
        <is>
          <t>Holzschaft</t>
        </is>
      </c>
      <c r="R161" t="n">
        <v>5</v>
      </c>
      <c r="S161" t="n">
        <v>10</v>
      </c>
      <c r="T161" t="n">
        <v>3</v>
      </c>
      <c r="U161" t="n">
        <v>1</v>
      </c>
      <c r="V161" t="n">
        <v>4</v>
      </c>
    </row>
    <row r="162">
      <c r="A162" t="inlineStr">
        <is>
          <t>Hiebwaffen</t>
        </is>
      </c>
      <c r="B162" t="inlineStr">
        <is>
          <t>Stumpfe Hiebwaffen</t>
        </is>
      </c>
      <c r="C162" t="inlineStr">
        <is>
          <t>Pistolenladestock</t>
        </is>
      </c>
      <c r="D162" t="n">
        <v>3</v>
      </c>
      <c r="E162" t="n">
        <v>1</v>
      </c>
      <c r="F162" t="inlineStr">
        <is>
          <t>W8</t>
        </is>
      </c>
      <c r="G162" t="inlineStr">
        <is>
          <t>W4</t>
        </is>
      </c>
      <c r="H162" t="n">
        <v>6</v>
      </c>
      <c r="I162" t="n">
        <v>-4</v>
      </c>
      <c r="J162" t="n">
        <v>0</v>
      </c>
      <c r="K162" t="n">
        <v>-2</v>
      </c>
      <c r="L162" t="n">
        <v>-9</v>
      </c>
      <c r="M162" t="n">
        <v>3</v>
      </c>
      <c r="O162" t="n">
        <v>0.3</v>
      </c>
      <c r="P162" t="n">
        <v>9</v>
      </c>
      <c r="R162" t="n">
        <v>3</v>
      </c>
      <c r="S162" t="n">
        <v>3</v>
      </c>
      <c r="T162" t="n">
        <v>1</v>
      </c>
      <c r="U162" t="n">
        <v>0.15</v>
      </c>
      <c r="V162" t="n">
        <v>0.25</v>
      </c>
    </row>
    <row r="163">
      <c r="A163" t="inlineStr">
        <is>
          <t>Unbewaffnet</t>
        </is>
      </c>
      <c r="B163" t="inlineStr">
        <is>
          <t>Armklingen</t>
        </is>
      </c>
      <c r="C163" t="inlineStr">
        <is>
          <t>Pranke</t>
        </is>
      </c>
      <c r="D163" t="n">
        <v>1</v>
      </c>
      <c r="E163" t="n">
        <v>3</v>
      </c>
      <c r="F163" t="inlineStr">
        <is>
          <t>W12</t>
        </is>
      </c>
      <c r="G163" t="inlineStr">
        <is>
          <t>W6</t>
        </is>
      </c>
      <c r="H163" t="n">
        <v>2</v>
      </c>
      <c r="I163" t="n">
        <v>-8</v>
      </c>
      <c r="J163" t="n">
        <v>0</v>
      </c>
      <c r="K163" t="n">
        <v>-3</v>
      </c>
      <c r="L163" t="n">
        <v>-6</v>
      </c>
      <c r="M163" t="n">
        <v>7</v>
      </c>
      <c r="O163" t="n">
        <v>0.1</v>
      </c>
      <c r="P163" t="n">
        <v>0</v>
      </c>
      <c r="R163" t="n">
        <v>6</v>
      </c>
      <c r="S163" t="n">
        <v>13</v>
      </c>
      <c r="T163" t="n">
        <v>5</v>
      </c>
      <c r="U163" t="n">
        <v>0.2</v>
      </c>
      <c r="V163" t="n">
        <v>1</v>
      </c>
    </row>
    <row r="164">
      <c r="A164" t="inlineStr">
        <is>
          <t>Hiebwaffen</t>
        </is>
      </c>
      <c r="B164" t="inlineStr">
        <is>
          <t>Stumpfe Hiebwaffen</t>
        </is>
      </c>
      <c r="C164" t="inlineStr">
        <is>
          <t>Rabenschnabel (Hammer)</t>
        </is>
      </c>
      <c r="D164" t="n">
        <v>11</v>
      </c>
      <c r="E164" t="n">
        <v>5</v>
      </c>
      <c r="F164" t="inlineStr">
        <is>
          <t>W8</t>
        </is>
      </c>
      <c r="G164" t="inlineStr">
        <is>
          <t>W8</t>
        </is>
      </c>
      <c r="H164" t="n">
        <v>3</v>
      </c>
      <c r="I164" t="n">
        <v>-5</v>
      </c>
      <c r="J164" t="n">
        <v>0</v>
      </c>
      <c r="K164" t="n">
        <v>-5</v>
      </c>
      <c r="L164" t="n">
        <v>-4</v>
      </c>
      <c r="M164" t="n">
        <v>16</v>
      </c>
      <c r="N164" t="n">
        <v>11</v>
      </c>
      <c r="O164" t="n">
        <v>1.1</v>
      </c>
      <c r="P164" t="n">
        <v>1</v>
      </c>
      <c r="Q164" t="inlineStr">
        <is>
          <t>Holzschaft</t>
        </is>
      </c>
      <c r="R164" t="n">
        <v>16</v>
      </c>
      <c r="S164" t="n">
        <v>8</v>
      </c>
      <c r="T164" t="n">
        <v>9</v>
      </c>
      <c r="U164" t="n">
        <v>1.5</v>
      </c>
      <c r="V164" t="n">
        <v>5</v>
      </c>
    </row>
    <row r="165">
      <c r="A165" t="inlineStr">
        <is>
          <t>Hiebwaffen</t>
        </is>
      </c>
      <c r="B165" t="inlineStr">
        <is>
          <t>Stumpfe Hiebwaffen</t>
        </is>
      </c>
      <c r="C165" t="inlineStr">
        <is>
          <t>Rabenschnabel (Schnabel)</t>
        </is>
      </c>
      <c r="D165" t="n">
        <v>11</v>
      </c>
      <c r="E165" t="n">
        <v>5</v>
      </c>
      <c r="F165" t="inlineStr">
        <is>
          <t>W20</t>
        </is>
      </c>
      <c r="G165" t="inlineStr">
        <is>
          <t>W8</t>
        </is>
      </c>
      <c r="H165" t="n">
        <v>3</v>
      </c>
      <c r="I165" t="n">
        <v>-5</v>
      </c>
      <c r="J165" t="n">
        <v>4</v>
      </c>
      <c r="K165" t="n">
        <v>-5</v>
      </c>
      <c r="L165" t="n">
        <v>-4</v>
      </c>
      <c r="M165" t="n">
        <v>16</v>
      </c>
      <c r="N165" t="n">
        <v>11</v>
      </c>
      <c r="O165" t="n">
        <v>1.1</v>
      </c>
      <c r="P165" t="n">
        <v>1</v>
      </c>
      <c r="Q165" t="inlineStr">
        <is>
          <t>Holzschaft</t>
        </is>
      </c>
      <c r="R165" t="n">
        <v>16</v>
      </c>
      <c r="S165" t="n">
        <v>8</v>
      </c>
      <c r="T165" t="n">
        <v>9</v>
      </c>
      <c r="U165" t="n">
        <v>1.5</v>
      </c>
      <c r="V165" t="n">
        <v>5</v>
      </c>
    </row>
    <row r="166">
      <c r="A166" t="inlineStr">
        <is>
          <t>Stichwaffen</t>
        </is>
      </c>
      <c r="B166" t="inlineStr">
        <is>
          <t>Fechtwaffen</t>
        </is>
      </c>
      <c r="C166" t="inlineStr">
        <is>
          <t>Rapier</t>
        </is>
      </c>
      <c r="D166" t="n">
        <v>13</v>
      </c>
      <c r="E166" t="n">
        <v>4</v>
      </c>
      <c r="F166" t="inlineStr">
        <is>
          <t>W12</t>
        </is>
      </c>
      <c r="G166" t="inlineStr">
        <is>
          <t>W4</t>
        </is>
      </c>
      <c r="H166" t="n">
        <v>5</v>
      </c>
      <c r="I166" t="n">
        <v>-3</v>
      </c>
      <c r="J166" t="n">
        <v>0</v>
      </c>
      <c r="K166" t="n">
        <v>-3</v>
      </c>
      <c r="L166" t="n">
        <v>-1</v>
      </c>
      <c r="M166" t="n">
        <v>10</v>
      </c>
      <c r="N166" t="n">
        <v>7</v>
      </c>
      <c r="O166" t="n">
        <v>1.2</v>
      </c>
      <c r="P166" t="n">
        <v>1</v>
      </c>
      <c r="R166" t="n">
        <v>9</v>
      </c>
      <c r="S166" t="n">
        <v>14</v>
      </c>
      <c r="T166" t="n">
        <v>18</v>
      </c>
      <c r="U166" t="n">
        <v>0.8</v>
      </c>
      <c r="V166" t="n">
        <v>4</v>
      </c>
    </row>
    <row r="167">
      <c r="A167" t="inlineStr">
        <is>
          <t>Stangenwaffen</t>
        </is>
      </c>
      <c r="B167" t="inlineStr">
        <is>
          <t>Lanzen</t>
        </is>
      </c>
      <c r="C167" t="inlineStr">
        <is>
          <t>Ritterlanze</t>
        </is>
      </c>
      <c r="D167" t="n">
        <v>32</v>
      </c>
      <c r="E167" t="n">
        <v>4</v>
      </c>
      <c r="F167" t="inlineStr">
        <is>
          <t>W12</t>
        </is>
      </c>
      <c r="G167" t="inlineStr">
        <is>
          <t>W4</t>
        </is>
      </c>
      <c r="H167" t="n">
        <v>4</v>
      </c>
      <c r="I167" t="n">
        <v>-5</v>
      </c>
      <c r="J167" t="n">
        <v>0</v>
      </c>
      <c r="K167" t="n">
        <v>-5</v>
      </c>
      <c r="L167" t="n">
        <v>-6</v>
      </c>
      <c r="M167" t="n">
        <v>20</v>
      </c>
      <c r="N167" t="n">
        <v>13</v>
      </c>
      <c r="O167" t="n">
        <v>3</v>
      </c>
      <c r="P167" t="inlineStr">
        <is>
          <t>--</t>
        </is>
      </c>
      <c r="Q167" t="inlineStr">
        <is>
          <t>Holzschaft</t>
        </is>
      </c>
      <c r="R167" t="n">
        <v>5</v>
      </c>
      <c r="S167" t="n">
        <v>10</v>
      </c>
      <c r="T167" t="n">
        <v>3</v>
      </c>
      <c r="U167" t="n">
        <v>1</v>
      </c>
      <c r="V167" t="n">
        <v>4</v>
      </c>
    </row>
    <row r="168">
      <c r="A168" t="inlineStr">
        <is>
          <t>Unbewaffnet</t>
        </is>
      </c>
      <c r="B168" t="inlineStr">
        <is>
          <t>Schild</t>
        </is>
      </c>
      <c r="C168" t="inlineStr">
        <is>
          <t>Rundschild</t>
        </is>
      </c>
      <c r="E168" t="n">
        <v>8</v>
      </c>
      <c r="F168" t="inlineStr">
        <is>
          <t>W8</t>
        </is>
      </c>
      <c r="G168" t="inlineStr">
        <is>
          <t>W6</t>
        </is>
      </c>
      <c r="H168" t="n">
        <v>3</v>
      </c>
      <c r="I168" t="n">
        <v>-5</v>
      </c>
      <c r="K168" t="n">
        <v>-5</v>
      </c>
      <c r="L168" t="n">
        <v>6</v>
      </c>
      <c r="M168" t="n">
        <v>18</v>
      </c>
      <c r="P168" t="inlineStr">
        <is>
          <t>--</t>
        </is>
      </c>
      <c r="R168" t="n">
        <v>15</v>
      </c>
      <c r="S168" t="n">
        <v>15</v>
      </c>
      <c r="T168" t="n">
        <v>15</v>
      </c>
      <c r="X168" t="n">
        <v>15</v>
      </c>
      <c r="Y168" t="n">
        <v>350</v>
      </c>
    </row>
    <row r="169">
      <c r="A169" t="inlineStr">
        <is>
          <t>Unbewaffnet</t>
        </is>
      </c>
      <c r="B169" t="inlineStr">
        <is>
          <t>Schild</t>
        </is>
      </c>
      <c r="C169" t="inlineStr">
        <is>
          <t>Rundschild groß</t>
        </is>
      </c>
      <c r="E169" t="n">
        <v>10</v>
      </c>
      <c r="F169" t="inlineStr">
        <is>
          <t>W8</t>
        </is>
      </c>
      <c r="G169" t="inlineStr">
        <is>
          <t>W6</t>
        </is>
      </c>
      <c r="H169" t="n">
        <v>3</v>
      </c>
      <c r="I169" t="n">
        <v>-5</v>
      </c>
      <c r="K169" t="n">
        <v>-6</v>
      </c>
      <c r="L169" t="n">
        <v>8</v>
      </c>
      <c r="M169" t="n">
        <v>19</v>
      </c>
      <c r="P169" t="inlineStr">
        <is>
          <t>--</t>
        </is>
      </c>
      <c r="R169" t="n">
        <v>15</v>
      </c>
      <c r="S169" t="n">
        <v>14</v>
      </c>
      <c r="T169" t="n">
        <v>15</v>
      </c>
      <c r="X169" t="n">
        <v>16</v>
      </c>
      <c r="Y169" t="n">
        <v>500</v>
      </c>
    </row>
    <row r="170">
      <c r="A170" t="inlineStr">
        <is>
          <t>Unbewaffnet</t>
        </is>
      </c>
      <c r="B170" t="inlineStr">
        <is>
          <t>Schild</t>
        </is>
      </c>
      <c r="C170" t="inlineStr">
        <is>
          <t>Rundschild klein</t>
        </is>
      </c>
      <c r="E170" t="n">
        <v>6</v>
      </c>
      <c r="F170" t="inlineStr">
        <is>
          <t>W8</t>
        </is>
      </c>
      <c r="G170" t="inlineStr">
        <is>
          <t>W6</t>
        </is>
      </c>
      <c r="H170" t="n">
        <v>3</v>
      </c>
      <c r="I170" t="n">
        <v>-5</v>
      </c>
      <c r="K170" t="n">
        <v>-3</v>
      </c>
      <c r="L170" t="n">
        <v>4</v>
      </c>
      <c r="M170" t="n">
        <v>16</v>
      </c>
      <c r="P170" t="inlineStr">
        <is>
          <t>--</t>
        </is>
      </c>
      <c r="R170" t="n">
        <v>15</v>
      </c>
      <c r="S170" t="n">
        <v>15</v>
      </c>
      <c r="T170" t="n">
        <v>15</v>
      </c>
      <c r="X170" t="n">
        <v>13</v>
      </c>
      <c r="Y170" t="n">
        <v>250</v>
      </c>
    </row>
    <row r="171">
      <c r="A171" t="inlineStr">
        <is>
          <t>Klingenwaffen</t>
        </is>
      </c>
      <c r="B171" t="inlineStr">
        <is>
          <t>Zweihänder</t>
        </is>
      </c>
      <c r="C171" t="inlineStr">
        <is>
          <t>Runenschwert  geflam,</t>
        </is>
      </c>
      <c r="D171" t="n">
        <v>14</v>
      </c>
      <c r="E171" t="n">
        <v>6.5</v>
      </c>
      <c r="F171" t="inlineStr">
        <is>
          <t>W15</t>
        </is>
      </c>
      <c r="G171" t="inlineStr">
        <is>
          <t>W12</t>
        </is>
      </c>
      <c r="H171" t="n">
        <v>2</v>
      </c>
      <c r="I171" t="n">
        <v>-8</v>
      </c>
      <c r="J171" t="n">
        <v>0</v>
      </c>
      <c r="K171" t="n">
        <v>-5</v>
      </c>
      <c r="L171" t="n">
        <v>-5</v>
      </c>
      <c r="M171" t="n">
        <v>23</v>
      </c>
      <c r="N171" t="n">
        <v>14</v>
      </c>
      <c r="O171" t="n">
        <v>1.4</v>
      </c>
      <c r="P171" t="inlineStr">
        <is>
          <t>--</t>
        </is>
      </c>
      <c r="R171" t="n">
        <v>16</v>
      </c>
      <c r="S171" t="n">
        <v>14</v>
      </c>
      <c r="T171" t="n">
        <v>23</v>
      </c>
      <c r="U171" t="n">
        <v>1.5</v>
      </c>
      <c r="V171" t="n">
        <v>8</v>
      </c>
    </row>
    <row r="172">
      <c r="A172" t="inlineStr">
        <is>
          <t>Klingenwaffen</t>
        </is>
      </c>
      <c r="B172" t="inlineStr">
        <is>
          <t>Schwerter</t>
        </is>
      </c>
      <c r="C172" t="inlineStr">
        <is>
          <t>Säbel  schwer</t>
        </is>
      </c>
      <c r="D172" t="n">
        <v>9</v>
      </c>
      <c r="E172" t="n">
        <v>5</v>
      </c>
      <c r="F172" t="inlineStr">
        <is>
          <t>W10</t>
        </is>
      </c>
      <c r="G172" t="inlineStr">
        <is>
          <t>W8</t>
        </is>
      </c>
      <c r="H172" t="n">
        <v>3</v>
      </c>
      <c r="I172" t="n">
        <v>-4</v>
      </c>
      <c r="J172" t="n">
        <v>0</v>
      </c>
      <c r="K172" t="n">
        <v>-3</v>
      </c>
      <c r="L172" t="n">
        <v>-4</v>
      </c>
      <c r="M172" t="n">
        <v>11</v>
      </c>
      <c r="N172" t="n">
        <v>8</v>
      </c>
      <c r="O172" t="n">
        <v>0.95</v>
      </c>
      <c r="P172" t="n">
        <v>0</v>
      </c>
      <c r="R172" t="n">
        <v>15</v>
      </c>
      <c r="S172" t="n">
        <v>15</v>
      </c>
      <c r="T172" t="n">
        <v>12</v>
      </c>
      <c r="U172" t="n">
        <v>1.2</v>
      </c>
      <c r="V172" t="n">
        <v>4</v>
      </c>
    </row>
    <row r="173">
      <c r="A173" t="inlineStr">
        <is>
          <t>Stichwaffen</t>
        </is>
      </c>
      <c r="B173" t="inlineStr">
        <is>
          <t>Dolche</t>
        </is>
      </c>
      <c r="C173" t="inlineStr">
        <is>
          <t>Saufänger</t>
        </is>
      </c>
      <c r="D173" t="n">
        <v>4</v>
      </c>
      <c r="E173" t="n">
        <v>3.5</v>
      </c>
      <c r="F173" t="inlineStr">
        <is>
          <t>W15</t>
        </is>
      </c>
      <c r="H173" t="n">
        <v>3</v>
      </c>
      <c r="I173" t="n">
        <v>-4</v>
      </c>
      <c r="J173" t="n">
        <v>0</v>
      </c>
      <c r="K173" t="n">
        <v>-2</v>
      </c>
      <c r="L173" t="n">
        <v>-5</v>
      </c>
      <c r="M173" t="n">
        <v>7</v>
      </c>
      <c r="N173" t="n">
        <v>5</v>
      </c>
      <c r="O173" t="n">
        <v>0.4</v>
      </c>
      <c r="P173" t="n">
        <v>5</v>
      </c>
      <c r="R173" t="n">
        <v>14</v>
      </c>
      <c r="S173" t="n">
        <v>19</v>
      </c>
      <c r="T173" t="n">
        <v>5</v>
      </c>
      <c r="U173" t="n">
        <v>0.4</v>
      </c>
      <c r="V173" t="n">
        <v>1</v>
      </c>
    </row>
    <row r="174">
      <c r="A174" t="inlineStr">
        <is>
          <t>Unbewaffnet</t>
        </is>
      </c>
      <c r="B174" t="inlineStr">
        <is>
          <t>Unbewaffnet</t>
        </is>
      </c>
      <c r="C174" t="inlineStr">
        <is>
          <t>Schlagring</t>
        </is>
      </c>
      <c r="D174" t="n">
        <v>0</v>
      </c>
      <c r="E174" t="n">
        <v>-2</v>
      </c>
      <c r="F174" t="inlineStr">
        <is>
          <t>W6</t>
        </is>
      </c>
      <c r="G174" t="inlineStr">
        <is>
          <t>W4</t>
        </is>
      </c>
      <c r="H174" t="n">
        <v>3</v>
      </c>
      <c r="I174" t="n">
        <v>-5</v>
      </c>
      <c r="J174" t="n">
        <v>0</v>
      </c>
      <c r="K174" t="n">
        <v>-1</v>
      </c>
      <c r="L174" t="n">
        <v>-10</v>
      </c>
      <c r="M174" t="n">
        <v>2</v>
      </c>
      <c r="O174" t="n">
        <v>0.02</v>
      </c>
      <c r="P174" t="n">
        <v>18</v>
      </c>
      <c r="R174" t="n">
        <v>9</v>
      </c>
      <c r="S174" t="n">
        <v>15</v>
      </c>
      <c r="T174" t="n">
        <v>6</v>
      </c>
      <c r="U174" t="n">
        <v>0.3</v>
      </c>
      <c r="V174" t="n">
        <v>1</v>
      </c>
    </row>
    <row r="175">
      <c r="A175" t="inlineStr">
        <is>
          <t>Hiebwaffen</t>
        </is>
      </c>
      <c r="B175" t="inlineStr">
        <is>
          <t>Äxte</t>
        </is>
      </c>
      <c r="C175" t="inlineStr">
        <is>
          <t>Schmiedehammer, schwer</t>
        </is>
      </c>
      <c r="D175" t="n">
        <v>6</v>
      </c>
      <c r="E175" t="n">
        <v>7</v>
      </c>
      <c r="F175" t="inlineStr">
        <is>
          <t>W12</t>
        </is>
      </c>
      <c r="G175" t="inlineStr">
        <is>
          <t>W8</t>
        </is>
      </c>
      <c r="H175" t="n">
        <v>1.5</v>
      </c>
      <c r="I175" t="n">
        <v>-12</v>
      </c>
      <c r="J175" t="n">
        <v>0</v>
      </c>
      <c r="K175" t="n">
        <v>-4</v>
      </c>
      <c r="L175" t="n">
        <v>-8</v>
      </c>
      <c r="M175" t="n">
        <v>24</v>
      </c>
      <c r="N175" t="n">
        <v>15</v>
      </c>
      <c r="O175" t="n">
        <v>0.6</v>
      </c>
      <c r="P175" t="n">
        <v>5</v>
      </c>
      <c r="Q175" t="inlineStr">
        <is>
          <t>Holzschaft</t>
        </is>
      </c>
      <c r="R175" t="n">
        <v>14</v>
      </c>
      <c r="S175" t="n">
        <v>6</v>
      </c>
      <c r="T175" t="n">
        <v>4</v>
      </c>
      <c r="U175" t="n">
        <v>3</v>
      </c>
      <c r="V175" t="n">
        <v>1</v>
      </c>
    </row>
    <row r="176">
      <c r="A176" t="inlineStr">
        <is>
          <t>Stangenwaffen</t>
        </is>
      </c>
      <c r="B176" t="inlineStr">
        <is>
          <t>Hellebarden</t>
        </is>
      </c>
      <c r="C176" t="inlineStr">
        <is>
          <t>Schnitter</t>
        </is>
      </c>
      <c r="D176" t="n">
        <v>11</v>
      </c>
      <c r="E176" t="n">
        <v>3.5</v>
      </c>
      <c r="F176" t="inlineStr">
        <is>
          <t>W8</t>
        </is>
      </c>
      <c r="G176" t="inlineStr">
        <is>
          <t>W6</t>
        </is>
      </c>
      <c r="H176" t="n">
        <v>4</v>
      </c>
      <c r="I176" t="n">
        <v>-2</v>
      </c>
      <c r="J176" t="n">
        <v>0</v>
      </c>
      <c r="K176" t="n">
        <v>-4</v>
      </c>
      <c r="L176" t="n">
        <v>-5</v>
      </c>
      <c r="M176" t="n">
        <v>12</v>
      </c>
      <c r="N176" t="n">
        <v>7</v>
      </c>
      <c r="O176" t="n">
        <v>1.2</v>
      </c>
      <c r="P176" t="inlineStr">
        <is>
          <t>--</t>
        </is>
      </c>
      <c r="Q176" t="inlineStr">
        <is>
          <t>Holzschaft</t>
        </is>
      </c>
      <c r="R176" t="n">
        <v>8</v>
      </c>
      <c r="S176" t="n">
        <v>6</v>
      </c>
      <c r="T176" t="n">
        <v>12</v>
      </c>
      <c r="U176" t="n">
        <v>0.7</v>
      </c>
      <c r="V176" t="n">
        <v>1</v>
      </c>
    </row>
    <row r="177">
      <c r="A177" t="inlineStr">
        <is>
          <t>Stangenwaffen</t>
        </is>
      </c>
      <c r="B177" t="inlineStr">
        <is>
          <t>Hellebarden</t>
        </is>
      </c>
      <c r="C177" t="inlineStr">
        <is>
          <t xml:space="preserve">Schnitter  schwer </t>
        </is>
      </c>
      <c r="D177" t="n">
        <v>10</v>
      </c>
      <c r="E177" t="n">
        <v>6</v>
      </c>
      <c r="F177" t="inlineStr">
        <is>
          <t>W12</t>
        </is>
      </c>
      <c r="G177" t="inlineStr">
        <is>
          <t xml:space="preserve">W10 </t>
        </is>
      </c>
      <c r="H177" t="n">
        <v>4</v>
      </c>
      <c r="I177" t="n">
        <v>-4</v>
      </c>
      <c r="J177" t="n">
        <v>0</v>
      </c>
      <c r="K177" t="n">
        <v>-5</v>
      </c>
      <c r="L177" t="n">
        <v>-6</v>
      </c>
      <c r="M177" t="n">
        <v>20</v>
      </c>
      <c r="N177" t="n">
        <v>10</v>
      </c>
      <c r="O177" t="n">
        <v>1.2</v>
      </c>
      <c r="P177" t="inlineStr">
        <is>
          <t>--</t>
        </is>
      </c>
      <c r="Q177" t="inlineStr">
        <is>
          <t>Holzschaft</t>
        </is>
      </c>
      <c r="R177" t="n">
        <v>9</v>
      </c>
      <c r="S177" t="n">
        <v>6</v>
      </c>
      <c r="T177" t="n">
        <v>12</v>
      </c>
      <c r="U177" t="n">
        <v>1</v>
      </c>
      <c r="V177" t="n">
        <v>1</v>
      </c>
    </row>
    <row r="178">
      <c r="A178" t="inlineStr">
        <is>
          <t>Stichwaffen</t>
        </is>
      </c>
      <c r="B178" t="inlineStr">
        <is>
          <t>Dolche</t>
        </is>
      </c>
      <c r="C178" t="inlineStr">
        <is>
          <t>Schwerer Dolch</t>
        </is>
      </c>
      <c r="D178" t="n">
        <v>3</v>
      </c>
      <c r="E178" t="n">
        <v>3</v>
      </c>
      <c r="F178" t="inlineStr">
        <is>
          <t>W15</t>
        </is>
      </c>
      <c r="H178" t="n">
        <v>4</v>
      </c>
      <c r="I178" t="n">
        <v>-3</v>
      </c>
      <c r="J178" t="n">
        <v>0</v>
      </c>
      <c r="K178" t="n">
        <v>-1</v>
      </c>
      <c r="L178" t="n">
        <v>-5</v>
      </c>
      <c r="M178" t="n">
        <v>7</v>
      </c>
      <c r="N178" t="n">
        <v>5</v>
      </c>
      <c r="O178" t="n">
        <v>0.35</v>
      </c>
      <c r="P178" t="n">
        <v>7</v>
      </c>
      <c r="R178" t="n">
        <v>13</v>
      </c>
      <c r="S178" t="n">
        <v>17</v>
      </c>
      <c r="T178" t="n">
        <v>5</v>
      </c>
      <c r="U178" t="n">
        <v>0.4</v>
      </c>
      <c r="V178" t="n">
        <v>1</v>
      </c>
    </row>
    <row r="179">
      <c r="A179" t="inlineStr">
        <is>
          <t>Klingenwaffen</t>
        </is>
      </c>
      <c r="B179" t="inlineStr">
        <is>
          <t>Zweihänder</t>
        </is>
      </c>
      <c r="C179" t="inlineStr">
        <is>
          <t>Sense</t>
        </is>
      </c>
      <c r="D179" t="n">
        <v>16</v>
      </c>
      <c r="E179" t="n">
        <v>5</v>
      </c>
      <c r="F179" t="inlineStr">
        <is>
          <t>W20</t>
        </is>
      </c>
      <c r="G179" t="inlineStr">
        <is>
          <t>W4</t>
        </is>
      </c>
      <c r="H179" t="n">
        <v>3</v>
      </c>
      <c r="I179" t="n">
        <v>-9</v>
      </c>
      <c r="J179" t="n">
        <v>0</v>
      </c>
      <c r="K179" t="n">
        <v>-6</v>
      </c>
      <c r="L179" t="n">
        <v>-6</v>
      </c>
      <c r="M179" t="n">
        <v>30</v>
      </c>
      <c r="N179" t="n">
        <v>8</v>
      </c>
      <c r="O179" t="n">
        <v>1.7</v>
      </c>
      <c r="P179" t="inlineStr">
        <is>
          <t>--</t>
        </is>
      </c>
      <c r="Q179" t="inlineStr">
        <is>
          <t>Holzschaft</t>
        </is>
      </c>
      <c r="R179" t="n">
        <v>10</v>
      </c>
      <c r="S179" t="n">
        <v>6</v>
      </c>
      <c r="T179" t="n">
        <v>12</v>
      </c>
      <c r="U179" t="n">
        <v>0.5</v>
      </c>
      <c r="V179" t="n">
        <v>0.5</v>
      </c>
    </row>
    <row r="180">
      <c r="A180" t="inlineStr">
        <is>
          <t>Stichwaffen</t>
        </is>
      </c>
      <c r="B180" t="inlineStr">
        <is>
          <t>Dolche</t>
        </is>
      </c>
      <c r="C180" t="inlineStr">
        <is>
          <t>Sichel</t>
        </is>
      </c>
      <c r="D180" t="n">
        <v>2</v>
      </c>
      <c r="E180" t="n">
        <v>2</v>
      </c>
      <c r="F180" t="inlineStr">
        <is>
          <t>W12</t>
        </is>
      </c>
      <c r="G180" t="inlineStr">
        <is>
          <t>W4</t>
        </is>
      </c>
      <c r="H180" t="n">
        <v>4</v>
      </c>
      <c r="I180" t="n">
        <v>-4</v>
      </c>
      <c r="J180" t="n">
        <v>0</v>
      </c>
      <c r="K180" t="n">
        <v>-4</v>
      </c>
      <c r="L180" t="n">
        <v>-7</v>
      </c>
      <c r="M180" t="n">
        <v>6</v>
      </c>
      <c r="N180" t="n">
        <v>4</v>
      </c>
      <c r="O180" t="n">
        <v>0.2</v>
      </c>
      <c r="P180" t="n">
        <v>4</v>
      </c>
      <c r="Q180" t="inlineStr">
        <is>
          <t xml:space="preserve"> </t>
        </is>
      </c>
      <c r="R180" t="n">
        <v>8</v>
      </c>
      <c r="S180" t="n">
        <v>8</v>
      </c>
      <c r="T180" t="n">
        <v>8</v>
      </c>
      <c r="U180" t="n">
        <v>0.1</v>
      </c>
      <c r="V180" t="n">
        <v>1</v>
      </c>
    </row>
    <row r="181">
      <c r="A181" t="inlineStr">
        <is>
          <t>Unbewaffnet</t>
        </is>
      </c>
      <c r="B181" t="inlineStr">
        <is>
          <t>Messer</t>
        </is>
      </c>
      <c r="C181" t="inlineStr">
        <is>
          <t>Sichel</t>
        </is>
      </c>
      <c r="D181" t="n">
        <v>2</v>
      </c>
      <c r="E181" t="n">
        <v>2</v>
      </c>
      <c r="F181" t="inlineStr">
        <is>
          <t>W12</t>
        </is>
      </c>
      <c r="G181" t="inlineStr">
        <is>
          <t>W4</t>
        </is>
      </c>
      <c r="H181" t="n">
        <v>4</v>
      </c>
      <c r="I181" t="n">
        <v>-4</v>
      </c>
      <c r="J181" t="n">
        <v>0</v>
      </c>
      <c r="K181" t="n">
        <v>-4</v>
      </c>
      <c r="L181" t="n">
        <v>-7</v>
      </c>
      <c r="M181" t="n">
        <v>6</v>
      </c>
      <c r="N181" t="n">
        <v>4</v>
      </c>
      <c r="O181" t="n">
        <v>0.2</v>
      </c>
      <c r="P181" t="n">
        <v>4</v>
      </c>
      <c r="Q181" t="inlineStr">
        <is>
          <t xml:space="preserve"> </t>
        </is>
      </c>
      <c r="R181" t="n">
        <v>8</v>
      </c>
      <c r="S181" t="n">
        <v>8</v>
      </c>
      <c r="T181" t="n">
        <v>8</v>
      </c>
      <c r="U181" t="n">
        <v>0.1</v>
      </c>
      <c r="V181" t="n">
        <v>1</v>
      </c>
    </row>
    <row r="182">
      <c r="A182" t="inlineStr">
        <is>
          <t>Hiebwaffen</t>
        </is>
      </c>
      <c r="B182" t="inlineStr">
        <is>
          <t>Äxte</t>
        </is>
      </c>
      <c r="C182" t="inlineStr">
        <is>
          <t>Spaten</t>
        </is>
      </c>
      <c r="D182" t="n">
        <v>12</v>
      </c>
      <c r="E182" t="n">
        <v>5</v>
      </c>
      <c r="F182" t="inlineStr">
        <is>
          <t>W10</t>
        </is>
      </c>
      <c r="G182" t="inlineStr">
        <is>
          <t>W6</t>
        </is>
      </c>
      <c r="H182" t="n">
        <v>2</v>
      </c>
      <c r="I182" t="n">
        <v>-7</v>
      </c>
      <c r="J182" t="n">
        <v>0</v>
      </c>
      <c r="K182" t="n">
        <v>-7</v>
      </c>
      <c r="L182" t="n">
        <v>-7</v>
      </c>
      <c r="M182" t="n">
        <v>16</v>
      </c>
      <c r="N182" t="n">
        <v>6</v>
      </c>
      <c r="O182" t="n">
        <v>1.3</v>
      </c>
      <c r="P182" t="inlineStr">
        <is>
          <t>--</t>
        </is>
      </c>
      <c r="Q182" t="inlineStr">
        <is>
          <t>Holzschaft</t>
        </is>
      </c>
      <c r="R182" t="n">
        <v>10</v>
      </c>
      <c r="S182" t="n">
        <v>2</v>
      </c>
      <c r="T182" t="n">
        <v>6</v>
      </c>
      <c r="U182" t="n">
        <v>1.5</v>
      </c>
      <c r="V182" t="n">
        <v>1</v>
      </c>
    </row>
    <row r="183">
      <c r="A183" t="inlineStr">
        <is>
          <t>Stangenwaffen</t>
        </is>
      </c>
      <c r="B183" t="inlineStr">
        <is>
          <t>Speere</t>
        </is>
      </c>
      <c r="C183" t="inlineStr">
        <is>
          <t>Speer  Eisenblatt</t>
        </is>
      </c>
      <c r="D183" t="n">
        <v>20</v>
      </c>
      <c r="E183" t="n">
        <v>4</v>
      </c>
      <c r="F183" t="inlineStr">
        <is>
          <t>W12</t>
        </is>
      </c>
      <c r="G183" t="inlineStr">
        <is>
          <t>[2W6]</t>
        </is>
      </c>
      <c r="H183" t="n">
        <v>4</v>
      </c>
      <c r="I183" t="n">
        <v>-5</v>
      </c>
      <c r="J183" t="n">
        <v>0</v>
      </c>
      <c r="K183" t="n">
        <v>-4</v>
      </c>
      <c r="L183" t="n">
        <v>-3</v>
      </c>
      <c r="M183" t="n">
        <v>14</v>
      </c>
      <c r="N183" t="n">
        <v>9</v>
      </c>
      <c r="O183" t="n">
        <v>1.8</v>
      </c>
      <c r="P183" t="inlineStr">
        <is>
          <t>--</t>
        </is>
      </c>
      <c r="Q183" t="inlineStr">
        <is>
          <t>Holzschaft</t>
        </is>
      </c>
      <c r="R183" t="n">
        <v>3</v>
      </c>
      <c r="S183" t="n">
        <v>7</v>
      </c>
      <c r="T183" t="n">
        <v>5</v>
      </c>
      <c r="U183" t="n">
        <v>0.5</v>
      </c>
      <c r="V183" t="n">
        <v>0.5</v>
      </c>
    </row>
    <row r="184">
      <c r="A184" t="inlineStr">
        <is>
          <t>Stangenwaffen</t>
        </is>
      </c>
      <c r="B184" t="inlineStr">
        <is>
          <t>Speere</t>
        </is>
      </c>
      <c r="C184" t="inlineStr">
        <is>
          <t>Speer  Eisenspitze</t>
        </is>
      </c>
      <c r="D184" t="n">
        <v>19</v>
      </c>
      <c r="E184" t="n">
        <v>4</v>
      </c>
      <c r="F184" t="inlineStr">
        <is>
          <t>W12</t>
        </is>
      </c>
      <c r="G184" t="inlineStr">
        <is>
          <t>[2W4]</t>
        </is>
      </c>
      <c r="H184" t="n">
        <v>4</v>
      </c>
      <c r="I184" t="n">
        <v>-4</v>
      </c>
      <c r="J184" t="n">
        <v>0</v>
      </c>
      <c r="K184" t="n">
        <v>-5</v>
      </c>
      <c r="L184" t="n">
        <v>-3</v>
      </c>
      <c r="M184" t="n">
        <v>13</v>
      </c>
      <c r="N184" t="n">
        <v>8</v>
      </c>
      <c r="O184" t="n">
        <v>1.8</v>
      </c>
      <c r="P184" t="inlineStr">
        <is>
          <t>--</t>
        </is>
      </c>
      <c r="Q184" t="inlineStr">
        <is>
          <t>Holzschaft</t>
        </is>
      </c>
      <c r="R184" t="n">
        <v>3</v>
      </c>
      <c r="S184" t="n">
        <v>7</v>
      </c>
      <c r="T184" t="n">
        <v>3</v>
      </c>
      <c r="U184" t="n">
        <v>0.5</v>
      </c>
      <c r="V184" t="n">
        <v>0.5</v>
      </c>
    </row>
    <row r="185">
      <c r="A185" t="inlineStr">
        <is>
          <t>Hiebwaffen</t>
        </is>
      </c>
      <c r="B185" t="inlineStr">
        <is>
          <t>Äxte</t>
        </is>
      </c>
      <c r="C185" t="inlineStr">
        <is>
          <t>Spitzhacke</t>
        </is>
      </c>
      <c r="D185" t="n">
        <v>9</v>
      </c>
      <c r="E185" t="n">
        <v>6</v>
      </c>
      <c r="F185" t="inlineStr">
        <is>
          <t>W20</t>
        </is>
      </c>
      <c r="H185" t="n">
        <v>2</v>
      </c>
      <c r="I185" t="n">
        <v>-6</v>
      </c>
      <c r="J185" t="n">
        <v>0</v>
      </c>
      <c r="K185" t="n">
        <v>-7</v>
      </c>
      <c r="L185" t="n">
        <v>-7</v>
      </c>
      <c r="M185" t="n">
        <v>24</v>
      </c>
      <c r="N185" t="n">
        <v>14</v>
      </c>
      <c r="O185" t="n">
        <v>0.9</v>
      </c>
      <c r="P185" t="inlineStr">
        <is>
          <t>--</t>
        </is>
      </c>
      <c r="Q185" t="inlineStr">
        <is>
          <t>Holzschaft</t>
        </is>
      </c>
      <c r="R185" t="n">
        <v>10</v>
      </c>
      <c r="S185" t="n">
        <v>4</v>
      </c>
      <c r="T185" t="n">
        <v>8</v>
      </c>
      <c r="U185" t="n">
        <v>1.5</v>
      </c>
      <c r="V185" t="n">
        <v>1</v>
      </c>
    </row>
    <row r="186">
      <c r="A186" t="inlineStr">
        <is>
          <t>Stichwaffen</t>
        </is>
      </c>
      <c r="B186" t="inlineStr">
        <is>
          <t>Dolche</t>
        </is>
      </c>
      <c r="C186" t="inlineStr">
        <is>
          <t>Sporn</t>
        </is>
      </c>
      <c r="D186" t="n">
        <v>2</v>
      </c>
      <c r="E186" t="n">
        <v>0</v>
      </c>
      <c r="F186" t="inlineStr">
        <is>
          <t>W12</t>
        </is>
      </c>
      <c r="H186" t="n">
        <v>5</v>
      </c>
      <c r="I186" t="n">
        <v>-2</v>
      </c>
      <c r="J186" t="n">
        <v>0</v>
      </c>
      <c r="K186" t="n">
        <v>-2</v>
      </c>
      <c r="L186" t="n">
        <v>-7</v>
      </c>
      <c r="M186" t="n">
        <v>5</v>
      </c>
      <c r="O186" t="n">
        <v>0.2</v>
      </c>
      <c r="P186" t="n">
        <v>14</v>
      </c>
      <c r="R186" t="n">
        <v>7</v>
      </c>
      <c r="S186" t="n">
        <v>20</v>
      </c>
      <c r="T186" t="n">
        <v>3</v>
      </c>
      <c r="U186" t="n">
        <v>0.1</v>
      </c>
      <c r="V186" t="n">
        <v>1</v>
      </c>
    </row>
    <row r="187">
      <c r="A187" t="inlineStr">
        <is>
          <t>Unbewaffnet</t>
        </is>
      </c>
      <c r="B187" t="inlineStr">
        <is>
          <t>Messer</t>
        </is>
      </c>
      <c r="C187" t="inlineStr">
        <is>
          <t>Sporn</t>
        </is>
      </c>
      <c r="D187" t="n">
        <v>2</v>
      </c>
      <c r="E187" t="n">
        <v>0</v>
      </c>
      <c r="F187" t="inlineStr">
        <is>
          <t>W12</t>
        </is>
      </c>
      <c r="H187" t="n">
        <v>5</v>
      </c>
      <c r="I187" t="n">
        <v>-2</v>
      </c>
      <c r="J187" t="n">
        <v>0</v>
      </c>
      <c r="K187" t="n">
        <v>-2</v>
      </c>
      <c r="L187" t="n">
        <v>-7</v>
      </c>
      <c r="M187" t="n">
        <v>5</v>
      </c>
      <c r="O187" t="n">
        <v>0.2</v>
      </c>
      <c r="P187" t="n">
        <v>14</v>
      </c>
      <c r="R187" t="n">
        <v>7</v>
      </c>
      <c r="S187" t="n">
        <v>20</v>
      </c>
      <c r="T187" t="n">
        <v>3</v>
      </c>
      <c r="U187" t="n">
        <v>0.1</v>
      </c>
      <c r="V187" t="n">
        <v>1</v>
      </c>
    </row>
    <row r="188">
      <c r="A188" t="inlineStr">
        <is>
          <t>Stangenwaffen</t>
        </is>
      </c>
      <c r="B188" t="inlineStr">
        <is>
          <t>Stäbe</t>
        </is>
      </c>
      <c r="C188" t="inlineStr">
        <is>
          <t>Stab (60cm) eisenbeschlagen</t>
        </is>
      </c>
      <c r="D188" t="n">
        <v>6</v>
      </c>
      <c r="E188" t="n">
        <v>3</v>
      </c>
      <c r="F188" t="inlineStr">
        <is>
          <t>W4</t>
        </is>
      </c>
      <c r="G188" t="inlineStr">
        <is>
          <t>W4</t>
        </is>
      </c>
      <c r="H188" t="n">
        <v>4</v>
      </c>
      <c r="I188" t="n">
        <v>-3</v>
      </c>
      <c r="J188" t="n">
        <v>0</v>
      </c>
      <c r="K188" t="n">
        <v>-2</v>
      </c>
      <c r="L188" t="n">
        <v>-5</v>
      </c>
      <c r="M188" t="n">
        <v>8</v>
      </c>
      <c r="N188" t="n">
        <v>5</v>
      </c>
      <c r="O188" t="n">
        <v>0.6</v>
      </c>
      <c r="P188" t="n">
        <v>5</v>
      </c>
      <c r="Q188" t="inlineStr">
        <is>
          <t>Holzschaft</t>
        </is>
      </c>
      <c r="R188" t="n">
        <v>3</v>
      </c>
      <c r="S188" t="n">
        <v>6</v>
      </c>
      <c r="T188" t="n">
        <v>2</v>
      </c>
      <c r="U188" t="n">
        <v>0.5</v>
      </c>
      <c r="V188" t="n">
        <v>0.25</v>
      </c>
    </row>
    <row r="189">
      <c r="A189" t="inlineStr">
        <is>
          <t>Hiebwaffen</t>
        </is>
      </c>
      <c r="B189" t="inlineStr">
        <is>
          <t>Stumpfe Hiebwaffen</t>
        </is>
      </c>
      <c r="C189" t="inlineStr">
        <is>
          <t>Stab (60cm) eisenbeschlagen</t>
        </is>
      </c>
      <c r="D189" t="n">
        <v>6</v>
      </c>
      <c r="E189" t="n">
        <v>3</v>
      </c>
      <c r="F189" t="inlineStr">
        <is>
          <t>W4</t>
        </is>
      </c>
      <c r="G189" t="inlineStr">
        <is>
          <t>W4</t>
        </is>
      </c>
      <c r="H189" t="n">
        <v>4</v>
      </c>
      <c r="I189" t="n">
        <v>-3</v>
      </c>
      <c r="J189" t="n">
        <v>0</v>
      </c>
      <c r="K189" t="n">
        <v>-2</v>
      </c>
      <c r="L189" t="n">
        <v>-5</v>
      </c>
      <c r="M189" t="n">
        <v>8</v>
      </c>
      <c r="N189" t="n">
        <v>5</v>
      </c>
      <c r="O189" t="n">
        <v>0.6</v>
      </c>
      <c r="P189" t="n">
        <v>5</v>
      </c>
      <c r="Q189" t="inlineStr">
        <is>
          <t>Holzschaft</t>
        </is>
      </c>
      <c r="R189" t="n">
        <v>3</v>
      </c>
      <c r="S189" t="n">
        <v>6</v>
      </c>
      <c r="T189" t="n">
        <v>3</v>
      </c>
      <c r="U189" t="n">
        <v>0.5</v>
      </c>
      <c r="V189" t="n">
        <v>0.25</v>
      </c>
    </row>
    <row r="190">
      <c r="A190" t="inlineStr">
        <is>
          <t>Stichwaffen</t>
        </is>
      </c>
      <c r="B190" t="inlineStr">
        <is>
          <t>Dolche</t>
        </is>
      </c>
      <c r="C190" t="inlineStr">
        <is>
          <t>Stabdolch</t>
        </is>
      </c>
      <c r="D190" t="n">
        <v>3</v>
      </c>
      <c r="E190" t="n">
        <v>2</v>
      </c>
      <c r="F190" t="inlineStr">
        <is>
          <t>W12</t>
        </is>
      </c>
      <c r="H190" t="n">
        <v>6</v>
      </c>
      <c r="I190" t="n">
        <v>-2</v>
      </c>
      <c r="J190" t="n">
        <v>0</v>
      </c>
      <c r="K190" t="n">
        <v>-1</v>
      </c>
      <c r="L190" t="n">
        <v>-6</v>
      </c>
      <c r="M190" t="n">
        <v>5</v>
      </c>
      <c r="N190" t="n">
        <v>3</v>
      </c>
      <c r="O190" t="n">
        <v>0.3</v>
      </c>
      <c r="P190" t="n">
        <v>8</v>
      </c>
      <c r="R190" t="n">
        <v>10</v>
      </c>
      <c r="S190" t="n">
        <v>14</v>
      </c>
      <c r="T190" t="n">
        <v>5</v>
      </c>
      <c r="U190" t="n">
        <v>0.3</v>
      </c>
      <c r="V190" t="n">
        <v>1</v>
      </c>
    </row>
    <row r="191">
      <c r="A191" t="inlineStr">
        <is>
          <t>Stichwaffen</t>
        </is>
      </c>
      <c r="B191" t="inlineStr">
        <is>
          <t>Dolche</t>
        </is>
      </c>
      <c r="C191" t="inlineStr">
        <is>
          <t>Stichmesser</t>
        </is>
      </c>
      <c r="D191" t="n">
        <v>1</v>
      </c>
      <c r="E191" t="n">
        <v>-1.5</v>
      </c>
      <c r="F191" t="inlineStr">
        <is>
          <t>W8</t>
        </is>
      </c>
      <c r="H191" t="n">
        <v>8</v>
      </c>
      <c r="I191" t="n">
        <v>-1</v>
      </c>
      <c r="J191" t="n">
        <v>0</v>
      </c>
      <c r="K191" t="n">
        <v>-3</v>
      </c>
      <c r="L191" t="n">
        <v>-11</v>
      </c>
      <c r="M191" t="n">
        <v>1</v>
      </c>
      <c r="O191" t="n">
        <v>0.15</v>
      </c>
      <c r="P191" t="n">
        <v>16</v>
      </c>
      <c r="R191" t="n">
        <v>7</v>
      </c>
      <c r="S191" t="n">
        <v>11</v>
      </c>
      <c r="T191" t="n">
        <v>4</v>
      </c>
      <c r="U191" t="n">
        <v>0.3</v>
      </c>
      <c r="V191" t="n">
        <v>1</v>
      </c>
    </row>
    <row r="192">
      <c r="A192" t="inlineStr">
        <is>
          <t>Stangenwaffen</t>
        </is>
      </c>
      <c r="B192" t="inlineStr">
        <is>
          <t>Speere</t>
        </is>
      </c>
      <c r="C192" t="inlineStr">
        <is>
          <t>Stoßspeer</t>
        </is>
      </c>
      <c r="D192" t="n">
        <v>20</v>
      </c>
      <c r="E192" t="n">
        <v>5</v>
      </c>
      <c r="F192" t="inlineStr">
        <is>
          <t>W20</t>
        </is>
      </c>
      <c r="G192" t="inlineStr">
        <is>
          <t>W4</t>
        </is>
      </c>
      <c r="H192" t="n">
        <v>3</v>
      </c>
      <c r="I192" t="n">
        <v>-8</v>
      </c>
      <c r="J192" t="n">
        <v>0</v>
      </c>
      <c r="K192" t="n">
        <v>-5</v>
      </c>
      <c r="L192" t="n">
        <v>-4</v>
      </c>
      <c r="M192" t="n">
        <v>18</v>
      </c>
      <c r="N192" t="n">
        <v>11</v>
      </c>
      <c r="O192" t="n">
        <v>1.8</v>
      </c>
      <c r="P192" t="inlineStr">
        <is>
          <t>--</t>
        </is>
      </c>
      <c r="Q192" t="inlineStr">
        <is>
          <t>Holzschaft</t>
        </is>
      </c>
      <c r="R192" t="n">
        <v>3</v>
      </c>
      <c r="S192" t="n">
        <v>7</v>
      </c>
      <c r="T192" t="n">
        <v>3</v>
      </c>
      <c r="U192" t="n">
        <v>0.5</v>
      </c>
      <c r="V192" t="n">
        <v>0.5</v>
      </c>
    </row>
    <row r="193">
      <c r="A193" t="inlineStr">
        <is>
          <t>Hiebwaffen</t>
        </is>
      </c>
      <c r="B193" t="inlineStr">
        <is>
          <t>Stumpfe Hiebwaffen</t>
        </is>
      </c>
      <c r="C193" t="inlineStr">
        <is>
          <t>Straitmorbengel</t>
        </is>
      </c>
      <c r="D193" t="n">
        <v>10</v>
      </c>
      <c r="E193" t="n">
        <v>7</v>
      </c>
      <c r="F193" t="inlineStr">
        <is>
          <t>W15</t>
        </is>
      </c>
      <c r="G193" t="inlineStr">
        <is>
          <t xml:space="preserve">W10 </t>
        </is>
      </c>
      <c r="H193" t="n">
        <v>1.5</v>
      </c>
      <c r="I193" t="n">
        <v>-9</v>
      </c>
      <c r="J193" t="n">
        <v>0</v>
      </c>
      <c r="K193" t="n">
        <v>-6</v>
      </c>
      <c r="L193" t="n">
        <v>-7</v>
      </c>
      <c r="M193" t="n">
        <v>30</v>
      </c>
      <c r="N193" t="n">
        <v>17</v>
      </c>
      <c r="O193" t="n">
        <v>1.05</v>
      </c>
      <c r="P193" t="inlineStr">
        <is>
          <t>--</t>
        </is>
      </c>
      <c r="Q193" t="inlineStr">
        <is>
          <t>Holzschaft</t>
        </is>
      </c>
      <c r="R193" t="n">
        <v>18</v>
      </c>
      <c r="S193" t="n">
        <v>8</v>
      </c>
      <c r="T193" t="n">
        <v>6</v>
      </c>
      <c r="U193" t="n">
        <v>1</v>
      </c>
      <c r="V193" t="n">
        <v>3</v>
      </c>
    </row>
    <row r="194">
      <c r="A194" t="inlineStr">
        <is>
          <t>Hiebwaffen</t>
        </is>
      </c>
      <c r="B194" t="inlineStr">
        <is>
          <t>Äxte</t>
        </is>
      </c>
      <c r="C194" t="inlineStr">
        <is>
          <t>Streitaxt elfisch</t>
        </is>
      </c>
      <c r="D194" t="n">
        <v>12</v>
      </c>
      <c r="E194" t="n">
        <v>5.5</v>
      </c>
      <c r="F194" t="inlineStr">
        <is>
          <t>W20</t>
        </is>
      </c>
      <c r="H194" t="n">
        <v>3</v>
      </c>
      <c r="I194" t="n">
        <v>-3</v>
      </c>
      <c r="J194" t="n">
        <v>0</v>
      </c>
      <c r="K194" t="n">
        <v>-4</v>
      </c>
      <c r="L194" t="n">
        <v>-4</v>
      </c>
      <c r="M194" t="n">
        <v>17</v>
      </c>
      <c r="N194" t="n">
        <v>10</v>
      </c>
      <c r="O194" t="n">
        <v>1.2</v>
      </c>
      <c r="P194" t="inlineStr">
        <is>
          <t>--</t>
        </is>
      </c>
      <c r="Q194" t="inlineStr">
        <is>
          <t>Holzschaft</t>
        </is>
      </c>
      <c r="R194" t="n">
        <v>17</v>
      </c>
      <c r="S194" t="n">
        <v>8</v>
      </c>
      <c r="T194" t="n">
        <v>12</v>
      </c>
      <c r="U194" t="n">
        <v>1</v>
      </c>
      <c r="V194" t="n">
        <v>2.5</v>
      </c>
    </row>
    <row r="195">
      <c r="A195" t="inlineStr">
        <is>
          <t>Hiebwaffen</t>
        </is>
      </c>
      <c r="B195" t="inlineStr">
        <is>
          <t>Äxte</t>
        </is>
      </c>
      <c r="C195" t="inlineStr">
        <is>
          <t>Streitaxt goblinisch</t>
        </is>
      </c>
      <c r="D195" t="n">
        <v>9</v>
      </c>
      <c r="E195" t="n">
        <v>5</v>
      </c>
      <c r="F195" t="inlineStr">
        <is>
          <t>W20</t>
        </is>
      </c>
      <c r="H195" t="n">
        <v>4</v>
      </c>
      <c r="I195" t="n">
        <v>-3</v>
      </c>
      <c r="J195" t="n">
        <v>0</v>
      </c>
      <c r="K195" t="n">
        <v>-3</v>
      </c>
      <c r="L195" t="n">
        <v>-4</v>
      </c>
      <c r="M195" t="n">
        <v>15</v>
      </c>
      <c r="N195" t="n">
        <v>9</v>
      </c>
      <c r="O195" t="n">
        <v>0.9</v>
      </c>
      <c r="P195" t="n">
        <v>0</v>
      </c>
      <c r="Q195" t="inlineStr">
        <is>
          <t>Holzschaft</t>
        </is>
      </c>
      <c r="R195" t="n">
        <v>16</v>
      </c>
      <c r="S195" t="n">
        <v>7</v>
      </c>
      <c r="T195" t="n">
        <v>7</v>
      </c>
      <c r="U195" t="n">
        <v>0.85</v>
      </c>
      <c r="V195" t="n">
        <v>1</v>
      </c>
    </row>
    <row r="196">
      <c r="A196" t="inlineStr">
        <is>
          <t>Hiebwaffen</t>
        </is>
      </c>
      <c r="B196" t="inlineStr">
        <is>
          <t>Äxte</t>
        </is>
      </c>
      <c r="C196" t="inlineStr">
        <is>
          <t>Streitaxt orkisch</t>
        </is>
      </c>
      <c r="D196" t="n">
        <v>12</v>
      </c>
      <c r="E196" t="n">
        <v>7</v>
      </c>
      <c r="F196" t="inlineStr">
        <is>
          <t>[2W20]</t>
        </is>
      </c>
      <c r="G196" t="inlineStr">
        <is>
          <t>W12</t>
        </is>
      </c>
      <c r="H196" t="n">
        <v>2</v>
      </c>
      <c r="I196" t="n">
        <v>-14</v>
      </c>
      <c r="J196" t="n">
        <v>0</v>
      </c>
      <c r="K196" t="n">
        <v>-7</v>
      </c>
      <c r="L196" t="n">
        <v>-6</v>
      </c>
      <c r="M196" t="n">
        <v>21</v>
      </c>
      <c r="N196" t="n">
        <v>14</v>
      </c>
      <c r="O196" t="n">
        <v>1.22</v>
      </c>
      <c r="P196" t="inlineStr">
        <is>
          <t>--</t>
        </is>
      </c>
      <c r="Q196" t="inlineStr">
        <is>
          <t>Holzschaft</t>
        </is>
      </c>
      <c r="R196" t="n">
        <v>20</v>
      </c>
      <c r="S196" t="n">
        <v>7</v>
      </c>
      <c r="T196" t="n">
        <v>9</v>
      </c>
      <c r="U196" t="n">
        <v>1.1</v>
      </c>
      <c r="V196" t="n">
        <v>2</v>
      </c>
    </row>
    <row r="197">
      <c r="A197" t="inlineStr">
        <is>
          <t>Hiebwaffen</t>
        </is>
      </c>
      <c r="B197" t="inlineStr">
        <is>
          <t>Stumpfe Hiebwaffen</t>
        </is>
      </c>
      <c r="C197" t="inlineStr">
        <is>
          <t>Streitkolben  4-eckig</t>
        </is>
      </c>
      <c r="D197" t="n">
        <v>8</v>
      </c>
      <c r="E197" t="n">
        <v>5</v>
      </c>
      <c r="F197" t="inlineStr">
        <is>
          <t xml:space="preserve">W10 </t>
        </is>
      </c>
      <c r="G197" t="inlineStr">
        <is>
          <t>W6</t>
        </is>
      </c>
      <c r="H197" t="n">
        <v>3</v>
      </c>
      <c r="I197" t="n">
        <v>-4</v>
      </c>
      <c r="J197" t="n">
        <v>4</v>
      </c>
      <c r="K197" t="n">
        <v>-4</v>
      </c>
      <c r="L197" t="n">
        <v>-4</v>
      </c>
      <c r="M197" t="n">
        <v>10</v>
      </c>
      <c r="N197" t="n">
        <v>7</v>
      </c>
      <c r="O197" t="n">
        <v>0.8</v>
      </c>
      <c r="P197" t="n">
        <v>1</v>
      </c>
      <c r="Q197" t="inlineStr">
        <is>
          <t>Holzschaft</t>
        </is>
      </c>
      <c r="R197" t="n">
        <v>16</v>
      </c>
      <c r="S197" t="n">
        <v>8</v>
      </c>
      <c r="T197" t="n">
        <v>12</v>
      </c>
      <c r="U197" t="n">
        <v>1.5</v>
      </c>
      <c r="V197" t="n">
        <v>3</v>
      </c>
    </row>
    <row r="198">
      <c r="A198" t="inlineStr">
        <is>
          <t>Hiebwaffen</t>
        </is>
      </c>
      <c r="B198" t="inlineStr">
        <is>
          <t>Stumpfe Hiebwaffen</t>
        </is>
      </c>
      <c r="C198" t="inlineStr">
        <is>
          <t>Streitkolben  leicht,4-eck</t>
        </is>
      </c>
      <c r="D198" t="n">
        <v>6</v>
      </c>
      <c r="E198" t="n">
        <v>4</v>
      </c>
      <c r="F198" t="inlineStr">
        <is>
          <t xml:space="preserve">W8 </t>
        </is>
      </c>
      <c r="G198" t="inlineStr">
        <is>
          <t>W6</t>
        </is>
      </c>
      <c r="H198" t="n">
        <v>3</v>
      </c>
      <c r="I198" t="n">
        <v>-3</v>
      </c>
      <c r="J198" t="n">
        <v>3</v>
      </c>
      <c r="K198" t="n">
        <v>-3</v>
      </c>
      <c r="L198" t="n">
        <v>-4</v>
      </c>
      <c r="M198" t="n">
        <v>7</v>
      </c>
      <c r="N198" t="n">
        <v>5</v>
      </c>
      <c r="O198" t="n">
        <v>0.6</v>
      </c>
      <c r="P198" t="n">
        <v>4</v>
      </c>
      <c r="Q198" t="inlineStr">
        <is>
          <t>Holzschaft</t>
        </is>
      </c>
      <c r="R198" t="n">
        <v>16</v>
      </c>
      <c r="S198" t="n">
        <v>7</v>
      </c>
      <c r="T198" t="n">
        <v>12</v>
      </c>
      <c r="U198" t="n">
        <v>1.2</v>
      </c>
      <c r="V198" t="n">
        <v>3</v>
      </c>
    </row>
    <row r="199">
      <c r="A199" t="inlineStr">
        <is>
          <t>Hiebwaffen</t>
        </is>
      </c>
      <c r="B199" t="inlineStr">
        <is>
          <t>Beidhand-Hiebwaffen</t>
        </is>
      </c>
      <c r="C199" t="inlineStr">
        <is>
          <t>Streitkolben beidhändig</t>
        </is>
      </c>
      <c r="D199" t="n">
        <v>12</v>
      </c>
      <c r="E199" t="n">
        <v>6</v>
      </c>
      <c r="F199" t="inlineStr">
        <is>
          <t xml:space="preserve">W15 </t>
        </is>
      </c>
      <c r="G199" t="inlineStr">
        <is>
          <t>W8</t>
        </is>
      </c>
      <c r="H199" t="n">
        <v>2</v>
      </c>
      <c r="I199" t="n">
        <v>-9</v>
      </c>
      <c r="J199" t="n">
        <v>2</v>
      </c>
      <c r="K199" t="n">
        <v>-6</v>
      </c>
      <c r="L199" t="n">
        <v>-6</v>
      </c>
      <c r="M199" t="n">
        <v>22</v>
      </c>
      <c r="N199" t="n">
        <v>13</v>
      </c>
      <c r="O199" t="n">
        <v>1.2</v>
      </c>
      <c r="P199" t="inlineStr">
        <is>
          <t>--</t>
        </is>
      </c>
      <c r="Q199" t="inlineStr">
        <is>
          <t>Holzschaft</t>
        </is>
      </c>
      <c r="R199" t="n">
        <v>17</v>
      </c>
      <c r="S199" t="n">
        <v>8</v>
      </c>
      <c r="T199" t="n">
        <v>4</v>
      </c>
      <c r="U199" t="n">
        <v>1.5</v>
      </c>
      <c r="V199" t="n">
        <v>3</v>
      </c>
    </row>
    <row r="200">
      <c r="A200" t="inlineStr">
        <is>
          <t>Hiebwaffen</t>
        </is>
      </c>
      <c r="B200" t="inlineStr">
        <is>
          <t>Stumpfe Hiebwaffen</t>
        </is>
      </c>
      <c r="C200" t="inlineStr">
        <is>
          <t>Streitkolben Eisenkugel</t>
        </is>
      </c>
      <c r="D200" t="n">
        <v>8</v>
      </c>
      <c r="E200" t="n">
        <v>4</v>
      </c>
      <c r="F200" t="inlineStr">
        <is>
          <t>W8</t>
        </is>
      </c>
      <c r="G200" t="inlineStr">
        <is>
          <t>W8</t>
        </is>
      </c>
      <c r="H200" t="n">
        <v>3</v>
      </c>
      <c r="I200" t="n">
        <v>-4</v>
      </c>
      <c r="J200" t="n">
        <v>0</v>
      </c>
      <c r="K200" t="n">
        <v>-4</v>
      </c>
      <c r="L200" t="n">
        <v>-4</v>
      </c>
      <c r="M200" t="n">
        <v>10</v>
      </c>
      <c r="N200" t="n">
        <v>7</v>
      </c>
      <c r="O200" t="n">
        <v>0.75</v>
      </c>
      <c r="P200" t="n">
        <v>2</v>
      </c>
      <c r="Q200" t="inlineStr">
        <is>
          <t>Holzschaft</t>
        </is>
      </c>
      <c r="R200" t="n">
        <v>15</v>
      </c>
      <c r="S200" t="n">
        <v>7</v>
      </c>
      <c r="T200" t="n">
        <v>4</v>
      </c>
      <c r="U200" t="n">
        <v>1</v>
      </c>
      <c r="V200" t="n">
        <v>1</v>
      </c>
    </row>
    <row r="201">
      <c r="A201" t="inlineStr">
        <is>
          <t>Unbewaffnet</t>
        </is>
      </c>
      <c r="B201" t="inlineStr">
        <is>
          <t>Schild</t>
        </is>
      </c>
      <c r="C201" t="inlineStr">
        <is>
          <t>Tartsche Rechteck</t>
        </is>
      </c>
      <c r="E201" t="n">
        <v>8</v>
      </c>
      <c r="F201" t="inlineStr">
        <is>
          <t>W8</t>
        </is>
      </c>
      <c r="G201" t="inlineStr">
        <is>
          <t>W6</t>
        </is>
      </c>
      <c r="H201" t="n">
        <v>3</v>
      </c>
      <c r="I201" t="n">
        <v>-5</v>
      </c>
      <c r="K201" t="n">
        <v>-5</v>
      </c>
      <c r="L201" t="n">
        <v>6</v>
      </c>
      <c r="M201" t="n">
        <v>15</v>
      </c>
      <c r="R201" t="n">
        <v>15</v>
      </c>
      <c r="S201" t="n">
        <v>15</v>
      </c>
      <c r="T201" t="n">
        <v>15</v>
      </c>
      <c r="X201" t="n">
        <v>15</v>
      </c>
      <c r="Y201" t="n">
        <v>375</v>
      </c>
    </row>
    <row r="202">
      <c r="A202" t="inlineStr">
        <is>
          <t>Hiebwaffen</t>
        </is>
      </c>
      <c r="B202" t="inlineStr">
        <is>
          <t>Äxte</t>
        </is>
      </c>
      <c r="C202" t="inlineStr">
        <is>
          <t>Tomahawk</t>
        </is>
      </c>
      <c r="D202" t="n">
        <v>6</v>
      </c>
      <c r="E202" t="n">
        <v>3</v>
      </c>
      <c r="F202" t="inlineStr">
        <is>
          <t>[2W12]</t>
        </is>
      </c>
      <c r="G202" t="inlineStr">
        <is>
          <t>W4</t>
        </is>
      </c>
      <c r="H202" t="n">
        <v>4</v>
      </c>
      <c r="I202" t="n">
        <v>-6</v>
      </c>
      <c r="J202" t="n">
        <v>0</v>
      </c>
      <c r="K202" t="n">
        <v>-3</v>
      </c>
      <c r="L202" t="n">
        <v>-4</v>
      </c>
      <c r="M202" t="n">
        <v>8</v>
      </c>
      <c r="N202" t="n">
        <v>6</v>
      </c>
      <c r="O202" t="n">
        <v>0.61</v>
      </c>
      <c r="P202" t="n">
        <v>5</v>
      </c>
      <c r="Q202" t="inlineStr">
        <is>
          <t>Holzschaft</t>
        </is>
      </c>
      <c r="R202" t="n">
        <v>16</v>
      </c>
      <c r="S202" t="n">
        <v>7</v>
      </c>
      <c r="T202" t="n">
        <v>7</v>
      </c>
      <c r="U202" t="n">
        <v>0.6</v>
      </c>
      <c r="V202" t="n">
        <v>1</v>
      </c>
    </row>
    <row r="203">
      <c r="A203" t="inlineStr">
        <is>
          <t>Unbewaffnet</t>
        </is>
      </c>
      <c r="B203" t="inlineStr">
        <is>
          <t>Armklingen</t>
        </is>
      </c>
      <c r="C203" t="inlineStr">
        <is>
          <t>Tonfa</t>
        </is>
      </c>
      <c r="D203" t="n">
        <v>5</v>
      </c>
      <c r="E203" t="n">
        <v>2</v>
      </c>
      <c r="F203" t="inlineStr">
        <is>
          <t>W6</t>
        </is>
      </c>
      <c r="G203" t="inlineStr">
        <is>
          <t>W4</t>
        </is>
      </c>
      <c r="H203" t="n">
        <v>4</v>
      </c>
      <c r="I203" t="n">
        <v>-3</v>
      </c>
      <c r="J203" t="n">
        <v>0</v>
      </c>
      <c r="K203" t="n">
        <v>-2</v>
      </c>
      <c r="L203" t="n">
        <v>-3</v>
      </c>
      <c r="M203" t="n">
        <v>7</v>
      </c>
      <c r="N203" t="n">
        <v>4</v>
      </c>
      <c r="O203" t="n">
        <v>0.5</v>
      </c>
      <c r="P203" t="n">
        <v>5</v>
      </c>
      <c r="R203" t="n">
        <v>7</v>
      </c>
      <c r="S203" t="n">
        <v>14</v>
      </c>
      <c r="T203" t="n">
        <v>4</v>
      </c>
      <c r="U203" t="n">
        <v>0.5</v>
      </c>
      <c r="V203" t="n">
        <v>0.5</v>
      </c>
    </row>
    <row r="204">
      <c r="A204" t="inlineStr">
        <is>
          <t>Hiebwaffen</t>
        </is>
      </c>
      <c r="B204" t="inlineStr">
        <is>
          <t>Stumpfe Hiebwaffen</t>
        </is>
      </c>
      <c r="C204" t="inlineStr">
        <is>
          <t>Tonfa</t>
        </is>
      </c>
      <c r="D204" t="n">
        <v>5</v>
      </c>
      <c r="E204" t="n">
        <v>2</v>
      </c>
      <c r="F204" t="inlineStr">
        <is>
          <t>W6</t>
        </is>
      </c>
      <c r="G204" t="inlineStr">
        <is>
          <t>W4</t>
        </is>
      </c>
      <c r="H204" t="n">
        <v>4</v>
      </c>
      <c r="I204" t="n">
        <v>-3</v>
      </c>
      <c r="J204" t="n">
        <v>0</v>
      </c>
      <c r="K204" t="n">
        <v>-2</v>
      </c>
      <c r="L204" t="n">
        <v>-3</v>
      </c>
      <c r="M204" t="n">
        <v>7</v>
      </c>
      <c r="N204" t="n">
        <v>4</v>
      </c>
      <c r="O204" t="n">
        <v>0.5</v>
      </c>
      <c r="P204" t="n">
        <v>5</v>
      </c>
      <c r="R204" t="n">
        <v>7</v>
      </c>
      <c r="S204" t="n">
        <v>14</v>
      </c>
      <c r="T204" t="n">
        <v>4</v>
      </c>
      <c r="U204" t="n">
        <v>0.5</v>
      </c>
      <c r="V204" t="n">
        <v>0.5</v>
      </c>
    </row>
    <row r="205">
      <c r="A205" t="inlineStr">
        <is>
          <t>Unbewaffnet</t>
        </is>
      </c>
      <c r="B205" t="inlineStr">
        <is>
          <t>Unbewaffnet</t>
        </is>
      </c>
      <c r="C205" t="inlineStr">
        <is>
          <t>Totschläger</t>
        </is>
      </c>
      <c r="D205" t="n">
        <v>0</v>
      </c>
      <c r="E205" t="n">
        <v>0</v>
      </c>
      <c r="F205" t="inlineStr">
        <is>
          <t>W8</t>
        </is>
      </c>
      <c r="H205" t="n">
        <v>3</v>
      </c>
      <c r="I205" t="n">
        <v>-3</v>
      </c>
      <c r="J205" t="n">
        <v>0</v>
      </c>
      <c r="K205" t="n">
        <v>-2</v>
      </c>
      <c r="L205" t="n">
        <v>-15</v>
      </c>
      <c r="O205" t="n">
        <v>0.1</v>
      </c>
      <c r="P205" t="n">
        <v>12</v>
      </c>
      <c r="R205" t="n">
        <v>8</v>
      </c>
      <c r="S205" t="n">
        <v>18</v>
      </c>
      <c r="T205" t="n">
        <v>2</v>
      </c>
    </row>
    <row r="206">
      <c r="A206" t="inlineStr">
        <is>
          <t>Hiebwaffen</t>
        </is>
      </c>
      <c r="B206" t="inlineStr">
        <is>
          <t>Stumpfe Hiebwaffen</t>
        </is>
      </c>
      <c r="C206" t="inlineStr">
        <is>
          <t>Totschläger</t>
        </is>
      </c>
      <c r="D206" t="n">
        <v>0</v>
      </c>
      <c r="E206" t="n">
        <v>0</v>
      </c>
      <c r="F206" t="inlineStr">
        <is>
          <t>W8</t>
        </is>
      </c>
      <c r="H206" t="n">
        <v>3</v>
      </c>
      <c r="I206" t="n">
        <v>-3</v>
      </c>
      <c r="J206" t="n">
        <v>0</v>
      </c>
      <c r="K206" t="n">
        <v>-2</v>
      </c>
      <c r="L206" t="n">
        <v>-15</v>
      </c>
      <c r="O206" t="n">
        <v>0.1</v>
      </c>
      <c r="P206" t="n">
        <v>12</v>
      </c>
      <c r="R206" t="n">
        <v>8</v>
      </c>
      <c r="S206" t="n">
        <v>18</v>
      </c>
      <c r="T206" t="n">
        <v>2</v>
      </c>
      <c r="U206" t="n">
        <v>0.3</v>
      </c>
      <c r="V206" t="n">
        <v>0.1</v>
      </c>
    </row>
    <row r="207">
      <c r="A207" t="inlineStr">
        <is>
          <t>Hiebwaffen</t>
        </is>
      </c>
      <c r="B207" t="inlineStr">
        <is>
          <t>Beidhand-Hiebwaffen</t>
        </is>
      </c>
      <c r="C207" t="inlineStr">
        <is>
          <t>Trollaxt</t>
        </is>
      </c>
      <c r="D207" t="n">
        <v>16</v>
      </c>
      <c r="E207" t="n">
        <v>9</v>
      </c>
      <c r="F207" t="inlineStr">
        <is>
          <t>[2W20]</t>
        </is>
      </c>
      <c r="G207" t="inlineStr">
        <is>
          <t>W20</t>
        </is>
      </c>
      <c r="H207" t="n">
        <v>1</v>
      </c>
      <c r="I207" t="n">
        <v>-28</v>
      </c>
      <c r="J207" t="n">
        <v>0</v>
      </c>
      <c r="K207" t="n">
        <v>-7</v>
      </c>
      <c r="L207" t="n">
        <v>-7</v>
      </c>
      <c r="M207" t="n">
        <v>43</v>
      </c>
      <c r="N207" t="n">
        <v>25</v>
      </c>
      <c r="O207" t="n">
        <v>1.76</v>
      </c>
      <c r="P207" t="inlineStr">
        <is>
          <t>--</t>
        </is>
      </c>
      <c r="Q207" t="inlineStr">
        <is>
          <t>Holzschaft</t>
        </is>
      </c>
      <c r="R207" t="n">
        <v>25</v>
      </c>
      <c r="S207" t="n">
        <v>9</v>
      </c>
      <c r="T207" t="n">
        <v>8</v>
      </c>
      <c r="U207" t="n">
        <v>3.5</v>
      </c>
      <c r="V207" t="n">
        <v>1.5</v>
      </c>
    </row>
    <row r="208">
      <c r="A208" t="inlineStr">
        <is>
          <t>Hiebwaffen</t>
        </is>
      </c>
      <c r="B208" t="inlineStr">
        <is>
          <t>Beidhand-Hiebwaffen</t>
        </is>
      </c>
      <c r="C208" t="inlineStr">
        <is>
          <t>Trollschlegel</t>
        </is>
      </c>
      <c r="D208" t="n">
        <v>18</v>
      </c>
      <c r="E208" t="n">
        <v>9</v>
      </c>
      <c r="F208" t="inlineStr">
        <is>
          <t>2W15</t>
        </is>
      </c>
      <c r="H208" t="n">
        <v>1</v>
      </c>
      <c r="I208" t="n">
        <v>-22</v>
      </c>
      <c r="J208" t="n">
        <v>0</v>
      </c>
      <c r="K208" t="n">
        <v>-7</v>
      </c>
      <c r="L208" t="n">
        <v>-7</v>
      </c>
      <c r="M208" t="n">
        <v>44</v>
      </c>
      <c r="N208" t="n">
        <v>26</v>
      </c>
      <c r="O208" t="n">
        <v>2</v>
      </c>
      <c r="P208" t="inlineStr">
        <is>
          <t>--</t>
        </is>
      </c>
      <c r="Q208" t="inlineStr">
        <is>
          <t>Holzschaft</t>
        </is>
      </c>
      <c r="R208" t="n">
        <v>14</v>
      </c>
      <c r="S208" t="n">
        <v>11</v>
      </c>
      <c r="T208" t="n">
        <v>4</v>
      </c>
      <c r="U208" t="n">
        <v>2</v>
      </c>
      <c r="V208" t="n">
        <v>1.5</v>
      </c>
    </row>
    <row r="209">
      <c r="A209" t="inlineStr">
        <is>
          <t>Stichwaffen</t>
        </is>
      </c>
      <c r="B209" t="inlineStr">
        <is>
          <t>Dolche</t>
        </is>
      </c>
      <c r="C209" t="inlineStr">
        <is>
          <t>Trolltöter Widerhaken</t>
        </is>
      </c>
      <c r="D209" t="n">
        <v>3</v>
      </c>
      <c r="E209" t="n">
        <v>2</v>
      </c>
      <c r="F209" t="inlineStr">
        <is>
          <t>W15</t>
        </is>
      </c>
      <c r="H209" t="n">
        <v>4</v>
      </c>
      <c r="I209" t="n">
        <v>-4</v>
      </c>
      <c r="J209" t="n">
        <v>0</v>
      </c>
      <c r="K209" t="n">
        <v>-2</v>
      </c>
      <c r="L209" t="n">
        <v>-6</v>
      </c>
      <c r="M209" t="n">
        <v>9</v>
      </c>
      <c r="N209" t="n">
        <v>7</v>
      </c>
      <c r="O209" t="n">
        <v>0.35</v>
      </c>
      <c r="P209" t="n">
        <v>5</v>
      </c>
      <c r="Q209" t="inlineStr">
        <is>
          <t>ab 10SP: W12SP beim Herausziehen</t>
        </is>
      </c>
      <c r="R209" t="n">
        <v>12</v>
      </c>
      <c r="S209" t="n">
        <v>15</v>
      </c>
      <c r="T209" t="n">
        <v>7</v>
      </c>
      <c r="U209" t="n">
        <v>1</v>
      </c>
      <c r="V209" t="n">
        <v>5</v>
      </c>
    </row>
    <row r="210">
      <c r="A210" t="inlineStr">
        <is>
          <t>Unbewaffnet</t>
        </is>
      </c>
      <c r="B210" t="inlineStr">
        <is>
          <t>Schild</t>
        </is>
      </c>
      <c r="C210" t="inlineStr">
        <is>
          <t>Turmschild</t>
        </is>
      </c>
      <c r="E210" t="n">
        <v>12</v>
      </c>
      <c r="F210" t="inlineStr">
        <is>
          <t>2W8</t>
        </is>
      </c>
      <c r="H210" t="n">
        <v>3</v>
      </c>
      <c r="I210" t="n">
        <v>-5</v>
      </c>
      <c r="K210" t="n">
        <v>-8</v>
      </c>
      <c r="L210" t="n">
        <v>10</v>
      </c>
      <c r="M210" t="n">
        <v>21</v>
      </c>
      <c r="R210" t="n">
        <v>15</v>
      </c>
      <c r="S210" t="n">
        <v>15</v>
      </c>
      <c r="T210" t="n">
        <v>15</v>
      </c>
      <c r="X210" t="n">
        <v>18</v>
      </c>
      <c r="Y210" t="n">
        <v>750</v>
      </c>
    </row>
    <row r="211">
      <c r="A211" t="inlineStr">
        <is>
          <t>Stangenwaffen</t>
        </is>
      </c>
      <c r="B211" t="inlineStr">
        <is>
          <t>Lanzen</t>
        </is>
      </c>
      <c r="C211" t="inlineStr">
        <is>
          <t>Turnierlanze</t>
        </is>
      </c>
      <c r="D211" t="n">
        <v>32</v>
      </c>
      <c r="E211" t="n">
        <v>4</v>
      </c>
      <c r="F211" t="inlineStr">
        <is>
          <t>W8</t>
        </is>
      </c>
      <c r="G211" t="inlineStr">
        <is>
          <t>W4</t>
        </is>
      </c>
      <c r="H211" t="n">
        <v>3</v>
      </c>
      <c r="I211" t="n">
        <v>-6</v>
      </c>
      <c r="J211" t="n">
        <v>0</v>
      </c>
      <c r="K211" t="n">
        <v>-5</v>
      </c>
      <c r="L211" t="n">
        <v>-6</v>
      </c>
      <c r="M211" t="n">
        <v>16</v>
      </c>
      <c r="N211" t="n">
        <v>10</v>
      </c>
      <c r="O211" t="n">
        <v>3</v>
      </c>
      <c r="P211" t="inlineStr">
        <is>
          <t>--</t>
        </is>
      </c>
      <c r="Q211" t="inlineStr">
        <is>
          <t>Holzschaft</t>
        </is>
      </c>
      <c r="R211" t="n">
        <v>5</v>
      </c>
      <c r="S211" t="n">
        <v>3</v>
      </c>
      <c r="T211" t="n">
        <v>3</v>
      </c>
      <c r="U211" t="n">
        <v>1</v>
      </c>
      <c r="V211" t="n">
        <v>4</v>
      </c>
    </row>
    <row r="212">
      <c r="A212" t="inlineStr">
        <is>
          <t>Unbewaffnet</t>
        </is>
      </c>
      <c r="B212" t="inlineStr">
        <is>
          <t>Schild</t>
        </is>
      </c>
      <c r="C212" t="inlineStr">
        <is>
          <t>Turnierschild</t>
        </is>
      </c>
      <c r="E212" t="n">
        <v>8</v>
      </c>
      <c r="F212" t="inlineStr">
        <is>
          <t>W8</t>
        </is>
      </c>
      <c r="G212" t="inlineStr">
        <is>
          <t>W6</t>
        </is>
      </c>
      <c r="H212" t="n">
        <v>3</v>
      </c>
      <c r="I212" t="n">
        <v>-5</v>
      </c>
      <c r="K212" t="n">
        <v>-6</v>
      </c>
      <c r="L212" t="n">
        <v>7</v>
      </c>
      <c r="M212" t="n">
        <v>17</v>
      </c>
      <c r="Q212" t="inlineStr">
        <is>
          <t>Lanzenhalterung (n-Mod +2/+0)</t>
        </is>
      </c>
      <c r="R212" t="n">
        <v>14</v>
      </c>
      <c r="S212" t="n">
        <v>14</v>
      </c>
      <c r="T212" t="n">
        <v>15</v>
      </c>
      <c r="X212" t="n">
        <v>16</v>
      </c>
      <c r="Y212" t="n">
        <v>425</v>
      </c>
    </row>
    <row r="213">
      <c r="A213" t="inlineStr">
        <is>
          <t>Unbewaffnet</t>
        </is>
      </c>
      <c r="B213" t="inlineStr">
        <is>
          <t>Unbewaffnet</t>
        </is>
      </c>
      <c r="C213" t="inlineStr">
        <is>
          <t>Unbewaffnet</t>
        </is>
      </c>
      <c r="D213" t="n">
        <v>0</v>
      </c>
      <c r="E213" t="n">
        <v>-2</v>
      </c>
      <c r="F213" t="inlineStr">
        <is>
          <t>W8</t>
        </is>
      </c>
      <c r="H213" t="n">
        <v>3</v>
      </c>
      <c r="I213" t="n">
        <v>-5</v>
      </c>
      <c r="J213" t="n">
        <v>0</v>
      </c>
      <c r="K213" t="n">
        <v>0</v>
      </c>
      <c r="L213" t="n">
        <v>0</v>
      </c>
      <c r="M213" t="n">
        <v>1</v>
      </c>
      <c r="N213" t="n">
        <v>1</v>
      </c>
      <c r="O213" t="n">
        <v>0</v>
      </c>
      <c r="P213" t="inlineStr">
        <is>
          <t>--</t>
        </is>
      </c>
      <c r="Q213" t="inlineStr">
        <is>
          <t>Schnell</t>
        </is>
      </c>
      <c r="R213" t="n">
        <v>0</v>
      </c>
      <c r="S213" t="n">
        <v>0</v>
      </c>
      <c r="W213" t="inlineStr">
        <is>
          <t>andere Voelker</t>
        </is>
      </c>
    </row>
    <row r="214">
      <c r="A214" t="inlineStr">
        <is>
          <t>Unbewaffnet</t>
        </is>
      </c>
      <c r="B214" t="inlineStr">
        <is>
          <t>Unbewaffnet</t>
        </is>
      </c>
      <c r="C214" t="inlineStr">
        <is>
          <t>Veteranenhand</t>
        </is>
      </c>
      <c r="D214" t="n">
        <v>0</v>
      </c>
      <c r="E214" t="n">
        <v>0</v>
      </c>
      <c r="F214" t="inlineStr">
        <is>
          <t>W8</t>
        </is>
      </c>
      <c r="G214" t="inlineStr">
        <is>
          <t>W4</t>
        </is>
      </c>
      <c r="H214" t="n">
        <v>3</v>
      </c>
      <c r="I214" t="n">
        <v>-5</v>
      </c>
      <c r="J214" t="n">
        <v>0</v>
      </c>
      <c r="K214" t="n">
        <v>-2</v>
      </c>
      <c r="L214" t="n">
        <v>-7</v>
      </c>
      <c r="M214" t="n">
        <v>9</v>
      </c>
      <c r="O214" t="n">
        <v>0.05</v>
      </c>
      <c r="P214" t="n">
        <v>14</v>
      </c>
      <c r="R214" t="n">
        <v>4</v>
      </c>
      <c r="S214" t="n">
        <v>30</v>
      </c>
      <c r="T214" t="n">
        <v>16</v>
      </c>
      <c r="U214" t="n">
        <v>1</v>
      </c>
      <c r="V214" t="n">
        <v>4</v>
      </c>
    </row>
    <row r="215">
      <c r="A215" t="inlineStr">
        <is>
          <t>Hiebwaffen</t>
        </is>
      </c>
      <c r="B215" t="inlineStr">
        <is>
          <t>Beidhand-Hiebwaffen</t>
        </is>
      </c>
      <c r="C215" t="inlineStr">
        <is>
          <t>Vorschlaghammer</t>
        </is>
      </c>
      <c r="D215" t="n">
        <v>9</v>
      </c>
      <c r="E215" t="n">
        <v>8</v>
      </c>
      <c r="F215" t="inlineStr">
        <is>
          <t>2W12</t>
        </is>
      </c>
      <c r="H215" t="n">
        <v>1.5</v>
      </c>
      <c r="I215" t="n">
        <v>-13</v>
      </c>
      <c r="J215" t="n">
        <v>0</v>
      </c>
      <c r="K215" t="n">
        <v>-6</v>
      </c>
      <c r="L215" t="n">
        <v>-7</v>
      </c>
      <c r="M215" t="n">
        <v>27</v>
      </c>
      <c r="N215" t="n">
        <v>16</v>
      </c>
      <c r="O215" t="n">
        <v>0.9</v>
      </c>
      <c r="P215" t="n">
        <v>0</v>
      </c>
      <c r="Q215" t="inlineStr">
        <is>
          <t>Holzschaft</t>
        </is>
      </c>
      <c r="R215" t="n">
        <v>16</v>
      </c>
      <c r="S215" t="n">
        <v>7</v>
      </c>
      <c r="T215" t="n">
        <v>6</v>
      </c>
      <c r="U215" t="n">
        <v>4</v>
      </c>
      <c r="V215" t="n">
        <v>1</v>
      </c>
    </row>
    <row r="216">
      <c r="A216" t="inlineStr">
        <is>
          <t>Stichwaffen</t>
        </is>
      </c>
      <c r="B216" t="inlineStr">
        <is>
          <t>Fechtwaffen</t>
        </is>
      </c>
      <c r="C216" t="inlineStr">
        <is>
          <t>Wakizashi</t>
        </is>
      </c>
      <c r="D216" t="n">
        <v>7</v>
      </c>
      <c r="E216" t="n">
        <v>4</v>
      </c>
      <c r="F216" t="inlineStr">
        <is>
          <t>W12</t>
        </is>
      </c>
      <c r="G216" t="inlineStr">
        <is>
          <t>W4</t>
        </is>
      </c>
      <c r="H216" t="n">
        <v>4</v>
      </c>
      <c r="I216" t="n">
        <v>-4</v>
      </c>
      <c r="J216" t="n">
        <v>0</v>
      </c>
      <c r="K216" t="n">
        <v>-3</v>
      </c>
      <c r="L216" t="n">
        <v>-4</v>
      </c>
      <c r="M216" t="n">
        <v>8</v>
      </c>
      <c r="N216" t="n">
        <v>5</v>
      </c>
      <c r="O216" t="n">
        <v>0.65</v>
      </c>
      <c r="P216" t="n">
        <v>4</v>
      </c>
      <c r="R216" t="n">
        <v>15</v>
      </c>
      <c r="S216" t="n">
        <v>14</v>
      </c>
      <c r="T216" t="n">
        <v>12</v>
      </c>
      <c r="U216" t="n">
        <v>0.7</v>
      </c>
      <c r="V216" t="n">
        <v>3.5</v>
      </c>
    </row>
    <row r="217">
      <c r="A217" t="inlineStr">
        <is>
          <t>Klingenwaffen</t>
        </is>
      </c>
      <c r="B217" t="inlineStr">
        <is>
          <t>Kurzschwerter</t>
        </is>
      </c>
      <c r="C217" t="inlineStr">
        <is>
          <t>Wakizashi</t>
        </is>
      </c>
      <c r="D217" t="n">
        <v>7</v>
      </c>
      <c r="E217" t="n">
        <v>4</v>
      </c>
      <c r="F217" t="inlineStr">
        <is>
          <t>W12</t>
        </is>
      </c>
      <c r="G217" t="inlineStr">
        <is>
          <t>W4</t>
        </is>
      </c>
      <c r="H217" t="n">
        <v>4</v>
      </c>
      <c r="I217" t="n">
        <v>-4</v>
      </c>
      <c r="J217" t="n">
        <v>0</v>
      </c>
      <c r="K217" t="n">
        <v>-3</v>
      </c>
      <c r="L217" t="n">
        <v>-4</v>
      </c>
      <c r="M217" t="n">
        <v>8</v>
      </c>
      <c r="N217" t="n">
        <v>5</v>
      </c>
      <c r="O217" t="n">
        <v>0.65</v>
      </c>
      <c r="P217" t="n">
        <v>4</v>
      </c>
      <c r="R217" t="n">
        <v>15</v>
      </c>
      <c r="S217" t="n">
        <v>14</v>
      </c>
      <c r="T217" t="n">
        <v>12</v>
      </c>
      <c r="U217" t="n">
        <v>0.7</v>
      </c>
      <c r="V217" t="n">
        <v>3.5</v>
      </c>
    </row>
    <row r="218">
      <c r="A218" t="inlineStr">
        <is>
          <t>Stichwaffen</t>
        </is>
      </c>
      <c r="B218" t="inlineStr">
        <is>
          <t>Fechtwaffen</t>
        </is>
      </c>
      <c r="C218" t="inlineStr">
        <is>
          <t>Wolfsmesser  einschneid,</t>
        </is>
      </c>
      <c r="D218" t="n">
        <v>10</v>
      </c>
      <c r="E218" t="n">
        <v>3</v>
      </c>
      <c r="F218" t="inlineStr">
        <is>
          <t>W10</t>
        </is>
      </c>
      <c r="G218" t="inlineStr">
        <is>
          <t>W6</t>
        </is>
      </c>
      <c r="H218" t="n">
        <v>5</v>
      </c>
      <c r="I218" t="n">
        <v>-4</v>
      </c>
      <c r="J218" t="n">
        <v>0</v>
      </c>
      <c r="K218" t="n">
        <v>-3</v>
      </c>
      <c r="L218" t="n">
        <v>0</v>
      </c>
      <c r="M218" t="n">
        <v>8</v>
      </c>
      <c r="N218" t="n">
        <v>5</v>
      </c>
      <c r="O218" t="n">
        <v>1</v>
      </c>
      <c r="P218" t="n">
        <v>2</v>
      </c>
      <c r="R218" t="n">
        <v>5</v>
      </c>
      <c r="S218" t="n">
        <v>14</v>
      </c>
      <c r="T218" t="n">
        <v>12</v>
      </c>
      <c r="U218" t="n">
        <v>0.9</v>
      </c>
      <c r="V218" t="n">
        <v>4</v>
      </c>
    </row>
    <row r="219">
      <c r="A219" t="inlineStr">
        <is>
          <t>Klingenwaffen</t>
        </is>
      </c>
      <c r="B219" t="inlineStr">
        <is>
          <t>Schwerter</t>
        </is>
      </c>
      <c r="C219" t="inlineStr">
        <is>
          <t>Wolfsmesser  einschneid,</t>
        </is>
      </c>
      <c r="D219" t="n">
        <v>10</v>
      </c>
      <c r="E219" t="n">
        <v>3</v>
      </c>
      <c r="F219" t="inlineStr">
        <is>
          <t>W10</t>
        </is>
      </c>
      <c r="G219" t="inlineStr">
        <is>
          <t>W6</t>
        </is>
      </c>
      <c r="H219" t="n">
        <v>5</v>
      </c>
      <c r="I219" t="n">
        <v>-4</v>
      </c>
      <c r="J219" t="n">
        <v>0</v>
      </c>
      <c r="K219" t="n">
        <v>-3</v>
      </c>
      <c r="L219" t="n">
        <v>0</v>
      </c>
      <c r="M219" t="n">
        <v>8</v>
      </c>
      <c r="N219" t="n">
        <v>5</v>
      </c>
      <c r="O219" t="n">
        <v>1</v>
      </c>
      <c r="P219" t="n">
        <v>2</v>
      </c>
      <c r="R219" t="n">
        <v>5</v>
      </c>
      <c r="S219" t="n">
        <v>14</v>
      </c>
      <c r="T219" t="n">
        <v>12</v>
      </c>
      <c r="U219" t="n">
        <v>0.9</v>
      </c>
      <c r="V219" t="n">
        <v>4</v>
      </c>
    </row>
    <row r="220">
      <c r="A220" t="inlineStr">
        <is>
          <t>Stangenwaffen</t>
        </is>
      </c>
      <c r="B220" t="inlineStr">
        <is>
          <t>Speere</t>
        </is>
      </c>
      <c r="C220" t="inlineStr">
        <is>
          <t>Wurfspeer</t>
        </is>
      </c>
      <c r="D220" t="n">
        <v>19</v>
      </c>
      <c r="E220" t="n">
        <v>4</v>
      </c>
      <c r="F220" t="inlineStr">
        <is>
          <t>W12</t>
        </is>
      </c>
      <c r="G220" t="inlineStr">
        <is>
          <t>W6</t>
        </is>
      </c>
      <c r="H220" t="n">
        <v>5</v>
      </c>
      <c r="I220" t="n">
        <v>-5</v>
      </c>
      <c r="J220" t="n">
        <v>0</v>
      </c>
      <c r="K220" t="n">
        <v>-5</v>
      </c>
      <c r="L220" t="n">
        <v>-4</v>
      </c>
      <c r="M220" t="n">
        <v>7</v>
      </c>
      <c r="N220" t="n">
        <v>5</v>
      </c>
      <c r="O220" t="n">
        <v>1.8</v>
      </c>
      <c r="P220" t="inlineStr">
        <is>
          <t>--</t>
        </is>
      </c>
      <c r="Q220" t="inlineStr">
        <is>
          <t>Holzschaft</t>
        </is>
      </c>
      <c r="R220" t="n">
        <v>3</v>
      </c>
      <c r="S220" t="n">
        <v>7</v>
      </c>
      <c r="T220" t="n">
        <v>3</v>
      </c>
      <c r="U220" t="n">
        <v>0.5</v>
      </c>
      <c r="V220" t="n">
        <v>0.5</v>
      </c>
    </row>
    <row r="221">
      <c r="A221" t="inlineStr">
        <is>
          <t>Stichwaffen</t>
        </is>
      </c>
      <c r="B221" t="inlineStr">
        <is>
          <t>Dolche</t>
        </is>
      </c>
      <c r="C221" t="inlineStr">
        <is>
          <t>Zierdolch</t>
        </is>
      </c>
      <c r="D221" t="n">
        <v>3</v>
      </c>
      <c r="E221" t="n">
        <v>1</v>
      </c>
      <c r="F221" t="inlineStr">
        <is>
          <t>W12</t>
        </is>
      </c>
      <c r="H221" t="n">
        <v>7</v>
      </c>
      <c r="I221" t="n">
        <v>-2</v>
      </c>
      <c r="J221" t="n">
        <v>0</v>
      </c>
      <c r="K221" t="n">
        <v>-2</v>
      </c>
      <c r="L221" t="n">
        <v>-7</v>
      </c>
      <c r="M221" t="n">
        <v>5</v>
      </c>
      <c r="N221" t="n">
        <v>3</v>
      </c>
      <c r="O221" t="n">
        <v>0.25</v>
      </c>
      <c r="P221" t="n">
        <v>8</v>
      </c>
      <c r="R221" t="n">
        <v>11</v>
      </c>
      <c r="S221" t="n">
        <v>15</v>
      </c>
      <c r="T221" t="n">
        <v>10</v>
      </c>
      <c r="U221" t="n">
        <v>0.2</v>
      </c>
      <c r="V221" t="n">
        <v>2</v>
      </c>
    </row>
    <row r="222">
      <c r="A222" t="inlineStr">
        <is>
          <t>Unbewaffnet</t>
        </is>
      </c>
      <c r="B222" t="inlineStr">
        <is>
          <t>Armklingen</t>
        </is>
      </c>
      <c r="C222" t="inlineStr">
        <is>
          <t>Zwei Klauen</t>
        </is>
      </c>
      <c r="D222" t="n">
        <v>2</v>
      </c>
      <c r="E222" t="n">
        <v>2</v>
      </c>
      <c r="F222" t="inlineStr">
        <is>
          <t>W8</t>
        </is>
      </c>
      <c r="G222" t="inlineStr">
        <is>
          <t>W6</t>
        </is>
      </c>
      <c r="H222" t="n">
        <v>2</v>
      </c>
      <c r="I222" t="n">
        <v>-7</v>
      </c>
      <c r="J222" t="n">
        <v>0</v>
      </c>
      <c r="K222" t="n">
        <v>-2</v>
      </c>
      <c r="L222" t="n">
        <v>-6</v>
      </c>
      <c r="M222" t="n">
        <v>7</v>
      </c>
      <c r="O222" t="n">
        <v>0.2</v>
      </c>
      <c r="P222" t="n">
        <v>0</v>
      </c>
      <c r="R222" t="n">
        <v>7</v>
      </c>
      <c r="S222" t="n">
        <v>12</v>
      </c>
      <c r="T222" t="n">
        <v>6</v>
      </c>
      <c r="U222" t="n">
        <v>0.2</v>
      </c>
      <c r="V222" t="n">
        <v>1</v>
      </c>
    </row>
    <row r="223">
      <c r="A223" t="inlineStr">
        <is>
          <t>Klingenwaffen</t>
        </is>
      </c>
      <c r="B223" t="inlineStr">
        <is>
          <t>Zweihänder</t>
        </is>
      </c>
      <c r="C223" t="inlineStr">
        <is>
          <t>Zweihandkrummsäbel</t>
        </is>
      </c>
      <c r="D223" t="n">
        <v>12</v>
      </c>
      <c r="E223" t="n">
        <v>7</v>
      </c>
      <c r="F223" t="inlineStr">
        <is>
          <t>2W12</t>
        </is>
      </c>
      <c r="H223" t="n">
        <v>1.5</v>
      </c>
      <c r="I223" t="n">
        <v>-10</v>
      </c>
      <c r="J223" t="n">
        <v>0</v>
      </c>
      <c r="K223" t="n">
        <v>-5</v>
      </c>
      <c r="L223" t="n">
        <v>-5</v>
      </c>
      <c r="M223" t="n">
        <v>35</v>
      </c>
      <c r="N223" t="n">
        <v>17</v>
      </c>
      <c r="O223" t="n">
        <v>1.15</v>
      </c>
      <c r="P223" t="inlineStr">
        <is>
          <t>--</t>
        </is>
      </c>
      <c r="R223" t="n">
        <v>17</v>
      </c>
      <c r="S223" t="n">
        <v>15</v>
      </c>
      <c r="T223" t="n">
        <v>25</v>
      </c>
      <c r="U223" t="n">
        <v>1.5</v>
      </c>
      <c r="V223" t="n">
        <v>4</v>
      </c>
    </row>
    <row r="224">
      <c r="A224" t="inlineStr">
        <is>
          <t>Klingenwaffen</t>
        </is>
      </c>
      <c r="B224" t="inlineStr">
        <is>
          <t>Zweihänder</t>
        </is>
      </c>
      <c r="C224" t="inlineStr">
        <is>
          <t>Zweihandsäbel</t>
        </is>
      </c>
      <c r="D224" t="n">
        <v>13</v>
      </c>
      <c r="E224" t="n">
        <v>6</v>
      </c>
      <c r="F224" t="inlineStr">
        <is>
          <t>W12</t>
        </is>
      </c>
      <c r="G224" t="inlineStr">
        <is>
          <t xml:space="preserve">W10 </t>
        </is>
      </c>
      <c r="H224" t="n">
        <v>2</v>
      </c>
      <c r="I224" t="n">
        <v>-7</v>
      </c>
      <c r="J224" t="n">
        <v>0</v>
      </c>
      <c r="K224" t="n">
        <v>-4</v>
      </c>
      <c r="L224" t="n">
        <v>-4</v>
      </c>
      <c r="M224" t="n">
        <v>22</v>
      </c>
      <c r="N224" t="n">
        <v>14</v>
      </c>
      <c r="O224" t="n">
        <v>1.25</v>
      </c>
      <c r="P224" t="inlineStr">
        <is>
          <t>--</t>
        </is>
      </c>
      <c r="R224" t="n">
        <v>16</v>
      </c>
      <c r="S224" t="n">
        <v>14</v>
      </c>
      <c r="T224" t="n">
        <v>24</v>
      </c>
      <c r="U224" t="n">
        <v>1.5</v>
      </c>
      <c r="V224" t="n">
        <v>4</v>
      </c>
    </row>
    <row r="225">
      <c r="A225" t="inlineStr">
        <is>
          <t>Klingenwaffen</t>
        </is>
      </c>
      <c r="B225" t="inlineStr">
        <is>
          <t>Zweihänder</t>
        </is>
      </c>
      <c r="C225" t="inlineStr">
        <is>
          <t>Zweihandschwert</t>
        </is>
      </c>
      <c r="D225" t="n">
        <v>15</v>
      </c>
      <c r="E225" t="n">
        <v>7</v>
      </c>
      <c r="F225" t="inlineStr">
        <is>
          <t>W15</t>
        </is>
      </c>
      <c r="G225" t="inlineStr">
        <is>
          <t>W12</t>
        </is>
      </c>
      <c r="H225" t="n">
        <v>1.5</v>
      </c>
      <c r="I225" t="n">
        <v>-12</v>
      </c>
      <c r="J225" t="n">
        <v>0</v>
      </c>
      <c r="K225" t="n">
        <v>-6</v>
      </c>
      <c r="L225" t="n">
        <v>-5</v>
      </c>
      <c r="M225" t="n">
        <v>25</v>
      </c>
      <c r="N225" t="n">
        <v>15</v>
      </c>
      <c r="O225" t="n">
        <v>1.5</v>
      </c>
      <c r="P225" t="inlineStr">
        <is>
          <t>--</t>
        </is>
      </c>
      <c r="R225" t="n">
        <v>16</v>
      </c>
      <c r="S225" t="n">
        <v>14</v>
      </c>
      <c r="T225" t="n">
        <v>24</v>
      </c>
      <c r="U225" t="n">
        <v>3</v>
      </c>
      <c r="V225" t="n">
        <v>5</v>
      </c>
    </row>
    <row r="226">
      <c r="A226" t="inlineStr">
        <is>
          <t>Stangenwaffen</t>
        </is>
      </c>
      <c r="B226" t="inlineStr">
        <is>
          <t>Stäbe</t>
        </is>
      </c>
      <c r="C226" t="inlineStr">
        <is>
          <t>Zweililien</t>
        </is>
      </c>
      <c r="D226" t="n">
        <v>10</v>
      </c>
      <c r="E226" t="n">
        <v>4</v>
      </c>
      <c r="F226" t="inlineStr">
        <is>
          <t>W10</t>
        </is>
      </c>
      <c r="G226" t="inlineStr">
        <is>
          <t>W6</t>
        </is>
      </c>
      <c r="H226" t="n">
        <v>4</v>
      </c>
      <c r="I226" t="n">
        <v>-3</v>
      </c>
      <c r="J226" t="n">
        <v>0</v>
      </c>
      <c r="K226" t="n">
        <v>-2</v>
      </c>
      <c r="L226" t="n">
        <v>-3</v>
      </c>
      <c r="M226" t="n">
        <v>23</v>
      </c>
      <c r="N226" t="n">
        <v>12</v>
      </c>
      <c r="O226" t="n">
        <v>1.8</v>
      </c>
      <c r="P226" t="inlineStr">
        <is>
          <t>--</t>
        </is>
      </c>
      <c r="Q226" t="inlineStr">
        <is>
          <t>Holzschaft, Schnell</t>
        </is>
      </c>
      <c r="R226" t="n">
        <v>14</v>
      </c>
      <c r="S226" t="n">
        <v>7</v>
      </c>
      <c r="T226" t="n">
        <v>7</v>
      </c>
      <c r="U226" t="n">
        <v>1</v>
      </c>
      <c r="V226" t="n">
        <v>3</v>
      </c>
    </row>
    <row r="227">
      <c r="A227" t="inlineStr">
        <is>
          <t>Unbewaffnet</t>
        </is>
      </c>
      <c r="B227" t="inlineStr">
        <is>
          <t>Unbewaffnet</t>
        </is>
      </c>
      <c r="C227" t="inlineStr">
        <is>
          <t>Unbewaffnet</t>
        </is>
      </c>
      <c r="D227" t="n">
        <v>0</v>
      </c>
      <c r="E227" t="n">
        <v>-2</v>
      </c>
      <c r="F227" t="inlineStr">
        <is>
          <t>W6</t>
        </is>
      </c>
      <c r="H227" t="n">
        <v>3</v>
      </c>
      <c r="I227" t="n">
        <v>-4</v>
      </c>
      <c r="J227" t="n">
        <v>0</v>
      </c>
      <c r="K227" t="n">
        <v>0</v>
      </c>
      <c r="L227" t="n">
        <v>0</v>
      </c>
      <c r="M227" t="n">
        <v>1</v>
      </c>
      <c r="N227" t="n">
        <v>1</v>
      </c>
      <c r="O227" t="n">
        <v>0</v>
      </c>
      <c r="P227" t="inlineStr">
        <is>
          <t>--</t>
        </is>
      </c>
      <c r="Q227" t="inlineStr">
        <is>
          <t>Schnell</t>
        </is>
      </c>
      <c r="R227" t="n">
        <v>0</v>
      </c>
      <c r="S227" t="n">
        <v>0</v>
      </c>
      <c r="W227" t="inlineStr">
        <is>
          <t>Gnom</t>
        </is>
      </c>
    </row>
    <row r="228">
      <c r="A228" t="inlineStr">
        <is>
          <t>Unbewaffnet</t>
        </is>
      </c>
      <c r="B228" t="inlineStr">
        <is>
          <t>Unbewaffnet</t>
        </is>
      </c>
      <c r="C228" t="inlineStr">
        <is>
          <t>Unbewaffnet</t>
        </is>
      </c>
      <c r="D228" t="n">
        <v>0</v>
      </c>
      <c r="E228" t="n">
        <v>-2</v>
      </c>
      <c r="F228" t="inlineStr">
        <is>
          <t>W10</t>
        </is>
      </c>
      <c r="H228" t="n">
        <v>3</v>
      </c>
      <c r="I228" t="n">
        <v>-6</v>
      </c>
      <c r="J228" t="n">
        <v>0</v>
      </c>
      <c r="K228" t="n">
        <v>0</v>
      </c>
      <c r="L228" t="n">
        <v>0</v>
      </c>
      <c r="M228" t="n">
        <v>1</v>
      </c>
      <c r="N228" t="n">
        <v>1</v>
      </c>
      <c r="O228" t="n">
        <v>0</v>
      </c>
      <c r="P228" t="inlineStr">
        <is>
          <t>--</t>
        </is>
      </c>
      <c r="Q228" t="inlineStr">
        <is>
          <t>Schnell</t>
        </is>
      </c>
      <c r="R228" t="n">
        <v>0</v>
      </c>
      <c r="S228" t="n">
        <v>0</v>
      </c>
      <c r="W228" t="inlineStr">
        <is>
          <t>Ork</t>
        </is>
      </c>
    </row>
    <row r="229">
      <c r="A229" t="inlineStr">
        <is>
          <t>Unbewaffnet</t>
        </is>
      </c>
      <c r="B229" t="inlineStr">
        <is>
          <t>Unbewaffnet</t>
        </is>
      </c>
      <c r="C229" t="inlineStr">
        <is>
          <t>Unbewaffnet</t>
        </is>
      </c>
      <c r="D229" t="n">
        <v>0</v>
      </c>
      <c r="E229" t="n">
        <v>-2</v>
      </c>
      <c r="F229" t="inlineStr">
        <is>
          <t>W12</t>
        </is>
      </c>
      <c r="H229" t="n">
        <v>3</v>
      </c>
      <c r="I229" t="n">
        <v>-7</v>
      </c>
      <c r="J229" t="n">
        <v>0</v>
      </c>
      <c r="K229" t="n">
        <v>0</v>
      </c>
      <c r="L229" t="n">
        <v>0</v>
      </c>
      <c r="M229" t="n">
        <v>1</v>
      </c>
      <c r="N229" t="n">
        <v>1</v>
      </c>
      <c r="O229" t="n">
        <v>0</v>
      </c>
      <c r="P229" t="inlineStr">
        <is>
          <t>--</t>
        </is>
      </c>
      <c r="Q229" t="inlineStr">
        <is>
          <t>Schnell</t>
        </is>
      </c>
      <c r="R229" t="n">
        <v>0</v>
      </c>
      <c r="S229" t="n">
        <v>0</v>
      </c>
      <c r="W229" t="inlineStr">
        <is>
          <t>Troll</t>
        </is>
      </c>
    </row>
    <row r="230">
      <c r="A230" t="inlineStr">
        <is>
          <t>Unbewaffnet</t>
        </is>
      </c>
      <c r="B230" t="inlineStr">
        <is>
          <t>Unbewaffnet</t>
        </is>
      </c>
      <c r="C230" t="inlineStr">
        <is>
          <t>Unbewaffnet</t>
        </is>
      </c>
      <c r="D230" t="n">
        <v>0</v>
      </c>
      <c r="E230" t="n">
        <v>-2</v>
      </c>
      <c r="F230" t="inlineStr">
        <is>
          <t>W8</t>
        </is>
      </c>
      <c r="H230" t="n">
        <v>3</v>
      </c>
      <c r="I230" t="n">
        <v>-5</v>
      </c>
      <c r="J230" t="n">
        <v>0</v>
      </c>
      <c r="K230" t="n">
        <v>0</v>
      </c>
      <c r="L230" t="n">
        <v>0</v>
      </c>
      <c r="M230" t="n">
        <v>1</v>
      </c>
      <c r="N230" t="n">
        <v>1</v>
      </c>
      <c r="O230" t="n">
        <v>0</v>
      </c>
      <c r="P230" t="inlineStr">
        <is>
          <t>--</t>
        </is>
      </c>
      <c r="Q230" t="inlineStr">
        <is>
          <t>Schnell</t>
        </is>
      </c>
      <c r="R230" t="n">
        <v>0</v>
      </c>
      <c r="S230" t="n">
        <v>0</v>
      </c>
      <c r="W230" t="inlineStr">
        <is>
          <t>Zentaur</t>
        </is>
      </c>
    </row>
    <row r="231">
      <c r="A231" t="inlineStr">
        <is>
          <t>Unbewaffnet</t>
        </is>
      </c>
      <c r="B231" t="inlineStr">
        <is>
          <t>Unbewaffnet</t>
        </is>
      </c>
      <c r="C231" t="inlineStr">
        <is>
          <t>Unbewaffnet</t>
        </is>
      </c>
      <c r="D231" t="n">
        <v>0</v>
      </c>
      <c r="E231" t="n">
        <v>-2</v>
      </c>
      <c r="F231" t="inlineStr">
        <is>
          <t>W10</t>
        </is>
      </c>
      <c r="H231" t="n">
        <v>3</v>
      </c>
      <c r="I231" t="n">
        <v>-5</v>
      </c>
      <c r="J231" t="n">
        <v>0</v>
      </c>
      <c r="K231" t="n">
        <v>0</v>
      </c>
      <c r="L231" t="n">
        <v>0</v>
      </c>
      <c r="M231" t="n">
        <v>1</v>
      </c>
      <c r="N231" t="n">
        <v>1</v>
      </c>
      <c r="O231" t="n">
        <v>0</v>
      </c>
      <c r="P231" t="inlineStr">
        <is>
          <t>--</t>
        </is>
      </c>
      <c r="Q231" t="inlineStr">
        <is>
          <t>Schnell</t>
        </is>
      </c>
      <c r="R231" t="n">
        <v>0</v>
      </c>
      <c r="S231" t="n">
        <v>0</v>
      </c>
      <c r="W231" t="inlineStr">
        <is>
          <t>Katzenmensch</t>
        </is>
      </c>
    </row>
    <row r="232">
      <c r="A232" t="inlineStr">
        <is>
          <t>Unbewaffnet</t>
        </is>
      </c>
      <c r="B232" t="inlineStr">
        <is>
          <t>Unbewaffnet</t>
        </is>
      </c>
      <c r="C232" t="inlineStr">
        <is>
          <t>Biss</t>
        </is>
      </c>
      <c r="D232" t="n">
        <v>0</v>
      </c>
      <c r="E232" t="n">
        <v>-2</v>
      </c>
      <c r="F232" t="inlineStr">
        <is>
          <t>2W4</t>
        </is>
      </c>
      <c r="J232" t="n">
        <v>0</v>
      </c>
      <c r="K232" t="n">
        <v>0</v>
      </c>
      <c r="L232" t="n">
        <v>0</v>
      </c>
      <c r="M232" t="n">
        <v>1</v>
      </c>
      <c r="N232" t="n">
        <v>1</v>
      </c>
      <c r="O232" t="n">
        <v>0</v>
      </c>
      <c r="P232" t="inlineStr">
        <is>
          <t>--</t>
        </is>
      </c>
      <c r="Q232" t="inlineStr">
        <is>
          <t>Zusatzangriff Biss: Schaden = 2W4+[Staerkebonus] (statt normalem Unbewaffnet-Schaden). 'Staerkebonus' ungeklaert, siehe Entwickeln.</t>
        </is>
      </c>
      <c r="R232" t="n">
        <v>0</v>
      </c>
      <c r="S232" t="n">
        <v>0</v>
      </c>
      <c r="W232" t="inlineStr">
        <is>
          <t>Ork</t>
        </is>
      </c>
    </row>
    <row r="233">
      <c r="A233" t="inlineStr">
        <is>
          <t>Unbewaffnet</t>
        </is>
      </c>
      <c r="B233" t="inlineStr">
        <is>
          <t>Unbewaffnet</t>
        </is>
      </c>
      <c r="C233" t="inlineStr">
        <is>
          <t>Biss</t>
        </is>
      </c>
      <c r="D233" t="n">
        <v>0</v>
      </c>
      <c r="E233" t="n">
        <v>-2</v>
      </c>
      <c r="F233" t="inlineStr">
        <is>
          <t>2W6</t>
        </is>
      </c>
      <c r="H233" t="n">
        <v>3</v>
      </c>
      <c r="I233" t="n">
        <v>-7</v>
      </c>
      <c r="J233" t="n">
        <v>0</v>
      </c>
      <c r="K233" t="n">
        <v>0</v>
      </c>
      <c r="L233" t="n">
        <v>0</v>
      </c>
      <c r="M233" t="n">
        <v>1</v>
      </c>
      <c r="N233" t="n">
        <v>1</v>
      </c>
      <c r="O233" t="n">
        <v>0</v>
      </c>
      <c r="P233" t="inlineStr">
        <is>
          <t>--</t>
        </is>
      </c>
      <c r="Q233" t="inlineStr">
        <is>
          <t>Zusatzangriff Biss: Schaden = 2W6+[(Staerke:3)-7] (statt normalem Unbewaffnet-Schaden).</t>
        </is>
      </c>
      <c r="R233" t="n">
        <v>0</v>
      </c>
      <c r="S233" t="n">
        <v>0</v>
      </c>
      <c r="W233" t="inlineStr">
        <is>
          <t>Troll</t>
        </is>
      </c>
    </row>
    <row r="234">
      <c r="A234" t="inlineStr">
        <is>
          <t>Unbewaffnet</t>
        </is>
      </c>
      <c r="B234" t="inlineStr">
        <is>
          <t>Unbewaffnet</t>
        </is>
      </c>
      <c r="C234" t="inlineStr">
        <is>
          <t>Huftritt</t>
        </is>
      </c>
      <c r="D234" t="n">
        <v>0</v>
      </c>
      <c r="E234" t="n">
        <v>-2</v>
      </c>
      <c r="F234" t="inlineStr">
        <is>
          <t>W15</t>
        </is>
      </c>
      <c r="H234" t="n">
        <v>3</v>
      </c>
      <c r="I234" t="n">
        <v>-5</v>
      </c>
      <c r="J234" t="n">
        <v>0</v>
      </c>
      <c r="K234" t="n">
        <v>0</v>
      </c>
      <c r="L234" t="n">
        <v>0</v>
      </c>
      <c r="M234" t="n">
        <v>1</v>
      </c>
      <c r="N234" t="n">
        <v>1</v>
      </c>
      <c r="O234" t="n">
        <v>0</v>
      </c>
      <c r="P234" t="inlineStr">
        <is>
          <t>--</t>
        </is>
      </c>
      <c r="Q234" t="inlineStr">
        <is>
          <t>Zusatzangriff Huftritt: Schaden = W15+[(Staerke:3)-5] (statt normalem Unbewaffnet-Schaden).</t>
        </is>
      </c>
      <c r="R234" t="n">
        <v>0</v>
      </c>
      <c r="S234" t="n">
        <v>0</v>
      </c>
      <c r="W234" t="inlineStr">
        <is>
          <t>Zentaur</t>
        </is>
      </c>
    </row>
    <row r="235">
      <c r="A235" t="inlineStr">
        <is>
          <t>Unbewaffnet</t>
        </is>
      </c>
      <c r="B235" t="inlineStr">
        <is>
          <t>Unbewaffnet</t>
        </is>
      </c>
      <c r="C235" t="inlineStr">
        <is>
          <t>Biss</t>
        </is>
      </c>
      <c r="D235" t="n">
        <v>0</v>
      </c>
      <c r="E235" t="n">
        <v>-2</v>
      </c>
      <c r="F235" t="inlineStr">
        <is>
          <t>2W6</t>
        </is>
      </c>
      <c r="J235" t="n">
        <v>0</v>
      </c>
      <c r="K235" t="n">
        <v>0</v>
      </c>
      <c r="L235" t="n">
        <v>0</v>
      </c>
      <c r="M235" t="n">
        <v>1</v>
      </c>
      <c r="N235" t="n">
        <v>1</v>
      </c>
      <c r="O235" t="n">
        <v>0</v>
      </c>
      <c r="P235" t="inlineStr">
        <is>
          <t>--</t>
        </is>
      </c>
      <c r="Q235" t="inlineStr">
        <is>
          <t>Zusatzangriff Biss: Schaden = 2W6+[Staerkebonus] (statt normalem Unbewaffnet-Schaden). 'Staerkebonus' ungeklaert, siehe Entwickeln.</t>
        </is>
      </c>
      <c r="R235" t="n">
        <v>0</v>
      </c>
      <c r="S235" t="n">
        <v>0</v>
      </c>
      <c r="W235" t="inlineStr">
        <is>
          <t>Katzenmensch</t>
        </is>
      </c>
    </row>
    <row r="236">
      <c r="A236" t="inlineStr">
        <is>
          <t>Unbewaffnet</t>
        </is>
      </c>
      <c r="B236" t="inlineStr">
        <is>
          <t>Boxen</t>
        </is>
      </c>
      <c r="C236" t="inlineStr">
        <is>
          <t>Boxen</t>
        </is>
      </c>
      <c r="D236" t="n">
        <v>0</v>
      </c>
      <c r="F236" t="inlineStr">
        <is>
          <t>wie unbewaffnet</t>
        </is>
      </c>
      <c r="J236" t="n">
        <v>0</v>
      </c>
      <c r="K236" t="n">
        <v>0</v>
      </c>
      <c r="L236" t="n">
        <v>-2</v>
      </c>
      <c r="M236" t="n">
        <v>1</v>
      </c>
      <c r="N236" t="n">
        <v>1</v>
      </c>
      <c r="O236" t="n">
        <v>0</v>
      </c>
      <c r="P236" t="inlineStr">
        <is>
          <t>--</t>
        </is>
      </c>
      <c r="Q236" t="inlineStr">
        <is>
          <t>Immer 2 TZ-Rerolls auf Kopf (nicht zusaetzlich auf Kopf/Torso wuerfeln).</t>
        </is>
      </c>
      <c r="R236" t="n">
        <v>0</v>
      </c>
      <c r="S236" t="n">
        <v>0</v>
      </c>
      <c r="W236" t="inlineStr">
        <is>
          <t>Dalkini, Zwerg, Ork</t>
        </is>
      </c>
    </row>
    <row r="237">
      <c r="A237" t="inlineStr">
        <is>
          <t>Unbewaffnet</t>
        </is>
      </c>
      <c r="B237" t="inlineStr">
        <is>
          <t>Elfische Kunst der Selbstverteidigung</t>
        </is>
      </c>
      <c r="C237" t="inlineStr">
        <is>
          <t>Elfische Kunst der Selbstverteidigung</t>
        </is>
      </c>
      <c r="D237" t="n">
        <v>0</v>
      </c>
      <c r="F237" t="inlineStr">
        <is>
          <t>gegnerischer</t>
        </is>
      </c>
      <c r="J237" t="n">
        <v>0</v>
      </c>
      <c r="K237" t="n">
        <v>-2</v>
      </c>
      <c r="L237" t="n">
        <v>0</v>
      </c>
      <c r="M237" t="n">
        <v>1</v>
      </c>
      <c r="N237" t="n">
        <v>1</v>
      </c>
      <c r="O237" t="n">
        <v>0</v>
      </c>
      <c r="P237" t="inlineStr">
        <is>
          <t>--</t>
        </is>
      </c>
      <c r="Q237" t="inlineStr">
        <is>
          <t>WK=-1; es existiert keine g/m Attacke; Elf attackiert nicht selbst. Pariert der Elf mit gleicher oder besserer PA-Klasse, darf er eine AT wuerfeln - gelingt sie, erleidet der Gegner seinen eigenen Schaden an sich selbst, sonst normal weiter.</t>
        </is>
      </c>
      <c r="R237" t="n">
        <v>0</v>
      </c>
      <c r="S237" t="n">
        <v>0</v>
      </c>
      <c r="W237" t="inlineStr">
        <is>
          <t>Elf</t>
        </is>
      </c>
    </row>
    <row r="238">
      <c r="A238" t="inlineStr">
        <is>
          <t>Unbewaffnet</t>
        </is>
      </c>
      <c r="B238" t="inlineStr">
        <is>
          <t>Goblinische Kampfkunst</t>
        </is>
      </c>
      <c r="C238" t="inlineStr">
        <is>
          <t>Goblinische Kampfkunst</t>
        </is>
      </c>
      <c r="D238" t="n">
        <v>0</v>
      </c>
      <c r="F238" t="inlineStr">
        <is>
          <t>W6</t>
        </is>
      </c>
      <c r="H238" t="n">
        <v>3</v>
      </c>
      <c r="I238" t="n">
        <v>-4</v>
      </c>
      <c r="J238" t="n">
        <v>0</v>
      </c>
      <c r="K238" t="n">
        <v>-1</v>
      </c>
      <c r="L238" t="n">
        <v>-1</v>
      </c>
      <c r="M238" t="n">
        <v>1</v>
      </c>
      <c r="N238" t="n">
        <v>1</v>
      </c>
      <c r="O238" t="n">
        <v>0</v>
      </c>
      <c r="P238" t="inlineStr">
        <is>
          <t>--</t>
        </is>
      </c>
      <c r="Q238" t="inlineStr">
        <is>
          <t>Pariert der Goblin mit gleicher oder besserer PA-Klasse, wird die Initiative gewechselt.</t>
        </is>
      </c>
      <c r="R238" t="n">
        <v>0</v>
      </c>
      <c r="S238" t="n">
        <v>0</v>
      </c>
      <c r="W238" t="inlineStr">
        <is>
          <t>Goblin</t>
        </is>
      </c>
    </row>
    <row r="239">
      <c r="A239" t="inlineStr">
        <is>
          <t>Unbewaffnet</t>
        </is>
      </c>
      <c r="B239" t="inlineStr">
        <is>
          <t>Katzenmenschen Kampfkunst</t>
        </is>
      </c>
      <c r="C239" t="inlineStr">
        <is>
          <t>Katzenmenschen Kampfkunst</t>
        </is>
      </c>
      <c r="D239" t="n">
        <v>0</v>
      </c>
      <c r="F239" t="inlineStr">
        <is>
          <t>W10</t>
        </is>
      </c>
      <c r="H239" t="n">
        <v>3</v>
      </c>
      <c r="I239" t="n">
        <v>-7</v>
      </c>
      <c r="J239" t="n">
        <v>0</v>
      </c>
      <c r="K239" t="n">
        <v>-2</v>
      </c>
      <c r="L239" t="n">
        <v>-2</v>
      </c>
      <c r="M239" t="n">
        <v>1</v>
      </c>
      <c r="N239" t="n">
        <v>1</v>
      </c>
      <c r="O239" t="n">
        <v>0</v>
      </c>
      <c r="P239" t="inlineStr">
        <is>
          <t>--</t>
        </is>
      </c>
      <c r="Q239" t="inlineStr">
        <is>
          <t>Pro Kampfrunde entweder 2 AT oder 1 PA + 1 defensive Ausweichhandlung (mit PA). Voraussetzung: nur Katzenmenschen mit intaktem Schwanz.</t>
        </is>
      </c>
      <c r="R239" t="n">
        <v>0</v>
      </c>
      <c r="S239" t="n">
        <v>0</v>
      </c>
      <c r="W239" t="inlineStr">
        <is>
          <t>Katzenmensch</t>
        </is>
      </c>
    </row>
    <row r="240">
      <c r="A240" t="inlineStr">
        <is>
          <t>Unbewaffnet</t>
        </is>
      </c>
      <c r="B240" t="inlineStr">
        <is>
          <t>Orkisch' Raufen</t>
        </is>
      </c>
      <c r="C240" t="inlineStr">
        <is>
          <t>Orkisch' Raufen</t>
        </is>
      </c>
      <c r="D240" t="n">
        <v>0</v>
      </c>
      <c r="F240" t="inlineStr">
        <is>
          <t>2W8</t>
        </is>
      </c>
      <c r="H240" t="n">
        <v>2</v>
      </c>
      <c r="I240" t="n">
        <v>-9</v>
      </c>
      <c r="J240" t="n">
        <v>0</v>
      </c>
      <c r="K240" t="n">
        <v>-1</v>
      </c>
      <c r="L240" t="n">
        <v>-3</v>
      </c>
      <c r="M240" t="n">
        <v>1</v>
      </c>
      <c r="N240" t="n">
        <v>1</v>
      </c>
      <c r="O240" t="n">
        <v>0</v>
      </c>
      <c r="P240" t="inlineStr">
        <is>
          <t>--</t>
        </is>
      </c>
      <c r="Q240" t="inlineStr">
        <is>
          <t>Bei nAT mit gewuerfelter '10': unparierte unbewaffnete Bissattacke. Bei mAT/nPA: linker/rechter Arm gebrochen, Ruestung wird ignoriert.</t>
        </is>
      </c>
      <c r="R240" t="n">
        <v>0</v>
      </c>
      <c r="S240" t="n">
        <v>0</v>
      </c>
      <c r="W240" t="inlineStr">
        <is>
          <t>Ork</t>
        </is>
      </c>
    </row>
    <row r="241">
      <c r="A241" t="inlineStr">
        <is>
          <t>Unbewaffnet</t>
        </is>
      </c>
      <c r="B241" t="inlineStr">
        <is>
          <t>Ringen</t>
        </is>
      </c>
      <c r="C241" t="inlineStr">
        <is>
          <t>Ringen</t>
        </is>
      </c>
      <c r="D241" t="n">
        <v>0</v>
      </c>
      <c r="F241" t="inlineStr">
        <is>
          <t>wie unbewaffnet</t>
        </is>
      </c>
      <c r="J241" t="n">
        <v>0</v>
      </c>
      <c r="M241" t="n">
        <v>1</v>
      </c>
      <c r="N241" t="n">
        <v>1</v>
      </c>
      <c r="O241" t="n">
        <v>0</v>
      </c>
      <c r="P241" t="inlineStr">
        <is>
          <t>--</t>
        </is>
      </c>
      <c r="R241" t="n">
        <v>0</v>
      </c>
      <c r="S241" t="n">
        <v>0</v>
      </c>
      <c r="W241" t="inlineStr">
        <is>
          <t>alle Voelker</t>
        </is>
      </c>
    </row>
    <row r="242">
      <c r="A242" t="inlineStr">
        <is>
          <t>Unbewaffnet</t>
        </is>
      </c>
      <c r="B242" t="inlineStr">
        <is>
          <t>Schattenkampf</t>
        </is>
      </c>
      <c r="C242" t="inlineStr">
        <is>
          <t>Schattenkampf</t>
        </is>
      </c>
      <c r="D242" t="n">
        <v>0</v>
      </c>
      <c r="F242" t="inlineStr">
        <is>
          <t>W20-10</t>
        </is>
      </c>
      <c r="H242" t="n">
        <v>4</v>
      </c>
      <c r="I242" t="n">
        <v>-6</v>
      </c>
      <c r="J242" t="n">
        <v>0</v>
      </c>
      <c r="K242" t="n">
        <v>0</v>
      </c>
      <c r="L242" t="n">
        <v>0</v>
      </c>
      <c r="M242" t="n">
        <v>1</v>
      </c>
      <c r="N242" t="n">
        <v>1</v>
      </c>
      <c r="O242" t="n">
        <v>0</v>
      </c>
      <c r="P242" t="inlineStr">
        <is>
          <t>--</t>
        </is>
      </c>
      <c r="Q242" t="inlineStr">
        <is>
          <t>Ist der Gegner ueberrascht: immer Kopftreffer. Hoechster verwendeter Wuerfel: W20.</t>
        </is>
      </c>
      <c r="R242" t="n">
        <v>0</v>
      </c>
      <c r="S242" t="n">
        <v>0</v>
      </c>
      <c r="W242" t="inlineStr">
        <is>
          <t>Drow</t>
        </is>
      </c>
    </row>
  </sheetData>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E123"/>
  <sheetViews>
    <sheetView workbookViewId="0">
      <selection activeCell="A1" sqref="A1"/>
    </sheetView>
  </sheetViews>
  <sheetFormatPr baseColWidth="10" defaultColWidth="9.140625" defaultRowHeight="15"/>
  <cols>
    <col width="22" customWidth="1" style="48" min="1" max="1"/>
    <col width="38" customWidth="1" style="48" min="2" max="2"/>
    <col width="100" customWidth="1" style="48" min="3" max="3"/>
    <col width="10" customWidth="1" style="48" min="4" max="4"/>
    <col width="14" customWidth="1" style="48" min="5" max="5"/>
  </cols>
  <sheetData>
    <row r="1">
      <c r="A1" t="inlineStr">
        <is>
          <t>Bereich</t>
        </is>
      </c>
      <c r="B1" t="inlineStr">
        <is>
          <t>Thema</t>
        </is>
      </c>
      <c r="C1" t="inlineStr">
        <is>
          <t>Beschreibung</t>
        </is>
      </c>
      <c r="D1" t="inlineStr">
        <is>
          <t>Status</t>
        </is>
      </c>
      <c r="E1" t="inlineStr">
        <is>
          <t>Hinzugefuegt</t>
        </is>
      </c>
    </row>
    <row r="2" ht="150" customHeight="1" s="48">
      <c r="A2" s="27" t="inlineStr">
        <is>
          <t>Ausruestung/Schilde</t>
        </is>
      </c>
      <c r="B2" s="27" t="inlineStr">
        <is>
          <t>Schild-Preise/Rezept/Materialpreis</t>
        </is>
      </c>
      <c r="C2" s="27"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27" t="inlineStr">
        <is>
          <t>Geloest</t>
        </is>
      </c>
      <c r="E2" s="27" t="inlineStr">
        <is>
          <t>2026-07-16</t>
        </is>
      </c>
    </row>
    <row r="3" ht="60" customHeight="1" s="48">
      <c r="A3" s="27" t="inlineStr">
        <is>
          <t>Ausruestung/Ruestung</t>
        </is>
      </c>
      <c r="B3" s="27" t="inlineStr">
        <is>
          <t>Panzerhandschuhe, Panzerschienen, Eisenkappenstiefel, Orkischer Kampfhandschuh</t>
        </is>
      </c>
      <c r="C3" s="27"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27" t="inlineStr">
        <is>
          <t>Offen</t>
        </is>
      </c>
      <c r="E3" s="27" t="inlineStr">
        <is>
          <t>2026-07-16</t>
        </is>
      </c>
    </row>
    <row r="4" ht="135" customHeight="1" s="48">
      <c r="A4" s="27" t="inlineStr">
        <is>
          <t>Ausruestung/Ruestung</t>
        </is>
      </c>
      <c r="B4" s="27" t="inlineStr">
        <is>
          <t>Ruestungsmodifikatoren/Ruestungsteile-System</t>
        </is>
      </c>
      <c r="C4" s="27"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27" t="inlineStr">
        <is>
          <t>Geloest</t>
        </is>
      </c>
      <c r="E4" s="27" t="inlineStr">
        <is>
          <t>2026-07-16</t>
        </is>
      </c>
    </row>
    <row r="5" ht="45" customHeight="1" s="48">
      <c r="A5" s="27" t="inlineStr">
        <is>
          <t>Ausruestung/Waffen</t>
        </is>
      </c>
      <c r="B5" s="27" t="inlineStr">
        <is>
          <t>Ork'sche (FK/NK-Hybrid)</t>
        </is>
      </c>
      <c r="C5" s="27"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27" t="inlineStr">
        <is>
          <t>Offen</t>
        </is>
      </c>
      <c r="E5" s="27" t="inlineStr">
        <is>
          <t>2026-07-16</t>
        </is>
      </c>
    </row>
    <row r="6" ht="60" customHeight="1" s="48">
      <c r="A6" s="27" t="inlineStr">
        <is>
          <t>Ausruestung/NK-Waffen</t>
        </is>
      </c>
      <c r="B6" s="27" t="inlineStr">
        <is>
          <t>Rezeptschwierigkeit generell</t>
        </is>
      </c>
      <c r="C6" s="27"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27" t="inlineStr">
        <is>
          <t>Offen</t>
        </is>
      </c>
      <c r="E6" s="27" t="inlineStr">
        <is>
          <t>2026-07-16</t>
        </is>
      </c>
    </row>
    <row r="7" ht="90" customHeight="1" s="48">
      <c r="A7" s="27" t="inlineStr">
        <is>
          <t>Nahkampf/Unbewaffnet</t>
        </is>
      </c>
      <c r="B7" s="27" t="inlineStr">
        <is>
          <t>Voelkerbeschraenkungen bei Unbewaffnet-Kampfstilen</t>
        </is>
      </c>
      <c r="C7" s="27"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27" t="inlineStr">
        <is>
          <t>Offen</t>
        </is>
      </c>
      <c r="E7" s="27" t="inlineStr">
        <is>
          <t>2026-07-16</t>
        </is>
      </c>
    </row>
    <row r="8" ht="60" customHeight="1" s="48">
      <c r="A8" s="27" t="inlineStr">
        <is>
          <t>Nahkampf/Unbewaffnet</t>
        </is>
      </c>
      <c r="B8" s="27" t="inlineStr">
        <is>
          <t>Dynamische Schadenswerte (Boxen, Ringen, Elfische Kunst)</t>
        </is>
      </c>
      <c r="C8" s="27"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27" t="inlineStr">
        <is>
          <t>Offen</t>
        </is>
      </c>
      <c r="E8" s="27" t="inlineStr">
        <is>
          <t>2026-07-16</t>
        </is>
      </c>
    </row>
    <row r="9" ht="45" customHeight="1" s="48">
      <c r="A9" s="27" t="inlineStr">
        <is>
          <t>Nahkampf/Unbewaffnet</t>
        </is>
      </c>
      <c r="B9" s="27" t="inlineStr">
        <is>
          <t>Fert/Spez-Maximum Mechanik unklar</t>
        </is>
      </c>
      <c r="C9" s="27" t="inlineStr">
        <is>
          <t>Die Quelle gibt pro Kampfstil ein 'Fert/Spez-Maximum' an (z.B. 20/20, 25/30, 30/20). Rohwerte wurden 1:1 in NK-Waffen-Basis Spalte 'Fert-Spez-Maximum' uebernommen, aber die Bedeutung/Wirkung ist ungeklaert (Deckelt es nk_unbewaffnet? Die Spezialisierung? Beides getrennt?).</t>
        </is>
      </c>
      <c r="D9" s="27" t="inlineStr">
        <is>
          <t>Offen</t>
        </is>
      </c>
      <c r="E9" s="27" t="inlineStr">
        <is>
          <t>2026-07-16</t>
        </is>
      </c>
    </row>
    <row r="10" ht="60" customHeight="1" s="48">
      <c r="A10" s="27" t="inlineStr">
        <is>
          <t>Nahkampf/Unbewaffnet</t>
        </is>
      </c>
      <c r="B10" s="27" t="inlineStr">
        <is>
          <t>'Staerkebonus' vs. 'Staerke-Mod' bei Biss-Angriffen</t>
        </is>
      </c>
      <c r="C10" s="27"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27" t="inlineStr">
        <is>
          <t>Offen</t>
        </is>
      </c>
      <c r="E10" s="27" t="inlineStr">
        <is>
          <t>2026-07-16</t>
        </is>
      </c>
    </row>
    <row r="11" ht="30" customHeight="1" s="48">
      <c r="A11" s="27" t="inlineStr">
        <is>
          <t>Nahkampf/Unbewaffnet</t>
        </is>
      </c>
      <c r="B11" s="27" t="inlineStr">
        <is>
          <t>Vitalitaet als Ruestungsschutz gegen Unbewaffnet-/Fallschaden</t>
        </is>
      </c>
      <c r="C11" s="27" t="inlineStr">
        <is>
          <t>Laut Quelle gibt Vitalitaet einen zusaetzlichen Ruestungsschutz (RS) gegen Schaden durch Unbewaffnet-Angriffe oder Sturz/Fall. Noch nicht ins Ruestungs-/Schadenssystem integriert.</t>
        </is>
      </c>
      <c r="D11" s="27" t="inlineStr">
        <is>
          <t>Offen</t>
        </is>
      </c>
      <c r="E11" s="27" t="inlineStr">
        <is>
          <t>2026-07-16</t>
        </is>
      </c>
    </row>
    <row r="12" ht="60" customHeight="1" s="48">
      <c r="A12" s="27" t="inlineStr">
        <is>
          <t>Ausruestung/Schilde</t>
        </is>
      </c>
      <c r="B12" s="27" t="inlineStr">
        <is>
          <t>Chitin/Kolhartz Preis-Faktor als Spanne</t>
        </is>
      </c>
      <c r="C12" s="27"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27" t="inlineStr">
        <is>
          <t>Offen</t>
        </is>
      </c>
      <c r="E12" s="27" t="inlineStr">
        <is>
          <t>2026-07-16</t>
        </is>
      </c>
    </row>
    <row r="13" ht="60" customHeight="1" s="48">
      <c r="A13" s="27" t="inlineStr">
        <is>
          <t>Ausruestung/Schilde</t>
        </is>
      </c>
      <c r="B13" s="27" t="inlineStr">
        <is>
          <t>Adamandit Klingenschutz-Mod im falschen Format</t>
        </is>
      </c>
      <c r="C13" s="27"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27" t="inlineStr">
        <is>
          <t>Offen</t>
        </is>
      </c>
      <c r="E13" s="27" t="inlineStr">
        <is>
          <t>2026-07-16</t>
        </is>
      </c>
    </row>
    <row r="14" ht="30" customHeight="1" s="48">
      <c r="A14" s="27" t="inlineStr">
        <is>
          <t>Ausruestung/Schilde</t>
        </is>
      </c>
      <c r="B14" s="27" t="inlineStr">
        <is>
          <t>Kohlharz-Bespannung Preis als Spanne</t>
        </is>
      </c>
      <c r="C14" s="27" t="inlineStr">
        <is>
          <t>Schild-Bespannung: Kohlharz hat in der Quelle eine Preisspanne '10-10000D' statt eines Einzelwerts. Braucht eine Entscheidung (z.B. abhaengig von Groesse/Qualitaet).</t>
        </is>
      </c>
      <c r="D14" s="27" t="inlineStr">
        <is>
          <t>Offen</t>
        </is>
      </c>
      <c r="E14" s="27" t="inlineStr">
        <is>
          <t>2026-07-16</t>
        </is>
      </c>
    </row>
    <row r="15" ht="60" customHeight="1" s="48">
      <c r="A15" s="27" t="inlineStr">
        <is>
          <t>Ausruestung/Schilde</t>
        </is>
      </c>
      <c r="B15" s="27" t="inlineStr">
        <is>
          <t>Verplatung (nur Holzschilder) ohne Werte</t>
        </is>
      </c>
      <c r="C15" s="27"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27" t="inlineStr">
        <is>
          <t>Offen</t>
        </is>
      </c>
      <c r="E15" s="27" t="inlineStr">
        <is>
          <t>2026-07-16</t>
        </is>
      </c>
    </row>
    <row r="16" ht="120" customHeight="1" s="48">
      <c r="A16" s="27" t="inlineStr">
        <is>
          <t>Nahkampf/Schilde</t>
        </is>
      </c>
      <c r="B16" s="27" t="inlineStr">
        <is>
          <t>Schild-Kampfregeln gehoeren ins Kampfmodul</t>
        </is>
      </c>
      <c r="C16" s="27"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27" t="inlineStr">
        <is>
          <t>Offen</t>
        </is>
      </c>
      <c r="E16" s="27" t="inlineStr">
        <is>
          <t>2026-07-16</t>
        </is>
      </c>
    </row>
    <row r="17" ht="105" customHeight="1" s="48">
      <c r="A17" s="27" t="inlineStr">
        <is>
          <t>Ausruestung/Artefakte</t>
        </is>
      </c>
      <c r="B17" s="27" t="inlineStr">
        <is>
          <t>Eigenschafts-Artefakt: Umfang unklar</t>
        </is>
      </c>
      <c r="C17" s="27"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27" t="inlineStr">
        <is>
          <t>Geloest</t>
        </is>
      </c>
      <c r="E17" s="27" t="inlineStr">
        <is>
          <t>2026-07-16</t>
        </is>
      </c>
    </row>
    <row r="18" ht="105" customHeight="1" s="48">
      <c r="A18" s="27" t="inlineStr">
        <is>
          <t>Ausruestung/Artefakte</t>
        </is>
      </c>
      <c r="B18" s="27" t="inlineStr">
        <is>
          <t>Seelenstein-/SZ-Mod-System fuer freie Zauberbindung</t>
        </is>
      </c>
      <c r="C18" s="27"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27" t="inlineStr">
        <is>
          <t>Offen</t>
        </is>
      </c>
      <c r="E18" s="27" t="inlineStr">
        <is>
          <t>2026-07-16</t>
        </is>
      </c>
    </row>
    <row r="19" ht="75" customHeight="1" s="48">
      <c r="A19" s="27" t="inlineStr">
        <is>
          <t>Ausruestung/Artefakte</t>
        </is>
      </c>
      <c r="B19" s="27" t="inlineStr">
        <is>
          <t>Wirkung/Wirkungsdauer-Grad-Skalierung ist Kampfmodul-Scope</t>
        </is>
      </c>
      <c r="C19" s="27"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27" t="inlineStr">
        <is>
          <t>Offen</t>
        </is>
      </c>
      <c r="E19" s="27" t="inlineStr">
        <is>
          <t>2026-07-16</t>
        </is>
      </c>
    </row>
    <row r="20" ht="120" customHeight="1" s="48">
      <c r="A20" s="27" t="inlineStr">
        <is>
          <t>Ausruestung/Verfuegbarkeit</t>
        </is>
      </c>
      <c r="B20" s="27" t="inlineStr">
        <is>
          <t>Alter additiver Verfuegbarkeits-Entwurf (v0.3) - zur Referenz</t>
        </is>
      </c>
      <c r="C20" s="27"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27" t="inlineStr">
        <is>
          <t>Info</t>
        </is>
      </c>
      <c r="E20" s="27" t="inlineStr">
        <is>
          <t>2026-07-16</t>
        </is>
      </c>
    </row>
    <row r="21" ht="60" customHeight="1" s="48">
      <c r="A21" s="27" t="inlineStr">
        <is>
          <t>Ausruestung/Ruestung</t>
        </is>
      </c>
      <c r="B21" s="27" t="inlineStr">
        <is>
          <t>Addon-Preise (Drachenschuppen etc.) fehlen</t>
        </is>
      </c>
      <c r="C21" s="27"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27" t="inlineStr">
        <is>
          <t>Offen</t>
        </is>
      </c>
      <c r="E21" s="27" t="inlineStr">
        <is>
          <t>2026-07-16</t>
        </is>
      </c>
    </row>
    <row r="22" ht="90" customHeight="1" s="48">
      <c r="A22" s="27" t="inlineStr">
        <is>
          <t>Ausruestung/Ruestung</t>
        </is>
      </c>
      <c r="B22" s="27" t="inlineStr">
        <is>
          <t>Addon-Verfuegbarkeit NW/AW evtl. Kopierfehler</t>
        </is>
      </c>
      <c r="C22" s="27"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27" t="inlineStr">
        <is>
          <t>Offen</t>
        </is>
      </c>
      <c r="E22" s="27" t="inlineStr">
        <is>
          <t>2026-07-16</t>
        </is>
      </c>
    </row>
    <row r="23" ht="90" customHeight="1" s="48">
      <c r="A23" s="27" t="inlineStr">
        <is>
          <t>Ausruestung/Boegen-Armbrust</t>
        </is>
      </c>
      <c r="B23" s="27" t="inlineStr">
        <is>
          <t>Bedeutung der 'Modifikatoren'-Spalte unklar</t>
        </is>
      </c>
      <c r="C23" s="27"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27" t="inlineStr">
        <is>
          <t>Offen</t>
        </is>
      </c>
      <c r="E23" s="27" t="inlineStr">
        <is>
          <t>2026-07-16</t>
        </is>
      </c>
    </row>
    <row r="24" ht="60" customHeight="1" s="48">
      <c r="A24" s="27" t="inlineStr">
        <is>
          <t>Ausruestung/Boegen-Armbrust</t>
        </is>
      </c>
      <c r="B24" s="27" t="inlineStr">
        <is>
          <t>Doppelte 'RW'-Spalte bei Pfeilen/Bolzen unklar</t>
        </is>
      </c>
      <c r="C24" s="27"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27" t="inlineStr">
        <is>
          <t>Offen</t>
        </is>
      </c>
      <c r="E24" s="27" t="inlineStr">
        <is>
          <t>2026-07-16</t>
        </is>
      </c>
    </row>
    <row r="25" ht="45" customHeight="1" s="48">
      <c r="A25" s="27" t="inlineStr">
        <is>
          <t>Ausruestung/Boegen-Armbrust</t>
        </is>
      </c>
      <c r="B25" s="27" t="inlineStr">
        <is>
          <t>FZ-Waehrungseinheit nicht definiert</t>
        </is>
      </c>
      <c r="C25" s="27"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27" t="inlineStr">
        <is>
          <t>Geloest</t>
        </is>
      </c>
      <c r="E25" s="27" t="inlineStr">
        <is>
          <t>2026-07-16</t>
        </is>
      </c>
    </row>
    <row r="26" ht="45" customHeight="1" s="48">
      <c r="A26" s="27" t="inlineStr">
        <is>
          <t>Ausruestung/Boegen-Armbrust</t>
        </is>
      </c>
      <c r="B26" s="27" t="inlineStr">
        <is>
          <t>Armbrust: 4 Voelker komplett ohne eigene Modelle</t>
        </is>
      </c>
      <c r="C26" s="27"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27" t="inlineStr">
        <is>
          <t>Offen</t>
        </is>
      </c>
      <c r="E26" s="27" t="inlineStr">
        <is>
          <t>2026-07-16</t>
        </is>
      </c>
    </row>
    <row r="27" ht="60" customHeight="1" s="48">
      <c r="A27" s="27" t="inlineStr">
        <is>
          <t>Ausruestung/Boegen-Armbrust</t>
        </is>
      </c>
      <c r="B27" s="27" t="inlineStr">
        <is>
          <t>Armbrust-Spanntechnik nicht in Formel umgesetzt</t>
        </is>
      </c>
      <c r="C27" s="27"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27" t="inlineStr">
        <is>
          <t>Offen</t>
        </is>
      </c>
      <c r="E27" s="27" t="inlineStr">
        <is>
          <t>2026-07-16</t>
        </is>
      </c>
    </row>
    <row r="28" ht="75" customHeight="1" s="48">
      <c r="A28" s="27" t="inlineStr">
        <is>
          <t>Ausruestung/Runengewehr</t>
        </is>
      </c>
      <c r="B28" s="27" t="inlineStr">
        <is>
          <t>Zwei verschiedene 'St.'-Boni nicht abgeglichen</t>
        </is>
      </c>
      <c r="C28" s="27"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27" t="inlineStr">
        <is>
          <t>Offen</t>
        </is>
      </c>
      <c r="E28" s="27" t="inlineStr">
        <is>
          <t>2026-07-16</t>
        </is>
      </c>
    </row>
    <row r="29" ht="45" customHeight="1" s="48">
      <c r="A29" s="27" t="inlineStr">
        <is>
          <t>Ausruestung/Runengewehr</t>
        </is>
      </c>
      <c r="B29" s="27" t="inlineStr">
        <is>
          <t>Zusatzslot-Runen (Unterwasserschuss, Segnen) nicht detailliert</t>
        </is>
      </c>
      <c r="C29" s="27"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27" t="inlineStr">
        <is>
          <t>Offen</t>
        </is>
      </c>
      <c r="E29" s="27" t="inlineStr">
        <is>
          <t>2026-07-16</t>
        </is>
      </c>
    </row>
    <row r="30" ht="150" customHeight="1" s="48">
      <c r="A30" s="27" t="inlineStr">
        <is>
          <t>Ausruestung/Lichtschwert</t>
        </is>
      </c>
      <c r="B30" s="27" t="inlineStr">
        <is>
          <t>Lichtschwert der Anwar - Quelle ist nur ein Stub</t>
        </is>
      </c>
      <c r="C30" s="27"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27" t="inlineStr">
        <is>
          <t>Offen</t>
        </is>
      </c>
      <c r="E30" s="27" t="inlineStr">
        <is>
          <t>2026-07-16</t>
        </is>
      </c>
    </row>
    <row r="31" ht="45" customHeight="1" s="48">
      <c r="A31" s="27" t="inlineStr">
        <is>
          <t>Charakterwerte/Bewegung</t>
        </is>
      </c>
      <c r="B31" s="27" t="inlineStr">
        <is>
          <t>3 Bewegungsformeln fehlen (Meisterscreen S.3)</t>
        </is>
      </c>
      <c r="C31" s="27"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27" t="inlineStr">
        <is>
          <t>Offen</t>
        </is>
      </c>
      <c r="E31" s="27" t="inlineStr">
        <is>
          <t>2026-07-16</t>
        </is>
      </c>
    </row>
    <row r="32" ht="90" customHeight="1" s="48">
      <c r="A32" s="27" t="inlineStr">
        <is>
          <t>Kampf/Ruestung</t>
        </is>
      </c>
      <c r="B32" s="27" t="inlineStr">
        <is>
          <t>GBE/BE/RBE-Namensgebung ueberarbeiten</t>
        </is>
      </c>
      <c r="C32" s="27"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27" t="inlineStr">
        <is>
          <t>Offen</t>
        </is>
      </c>
      <c r="E32" s="27" t="inlineStr">
        <is>
          <t>2026-07-16</t>
        </is>
      </c>
    </row>
    <row r="33" ht="75" customHeight="1" s="48">
      <c r="A33" s="27" t="inlineStr">
        <is>
          <t>Charakterwerte/Ausruestung</t>
        </is>
      </c>
      <c r="B33" s="27" t="inlineStr">
        <is>
          <t>Architektur fuer Ruestungs-/Ausruestungs-Auswahl fehlt</t>
        </is>
      </c>
      <c r="C33" s="27"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27" t="inlineStr">
        <is>
          <t>Offen</t>
        </is>
      </c>
      <c r="E33" s="27"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row r="35">
      <c r="A35" t="inlineStr">
        <is>
          <t>Ausruestung/Feuerwaffen-Munition</t>
        </is>
      </c>
      <c r="B35" t="inlineStr">
        <is>
          <t>Fehlende Munitionspreise (Harpune, Messingpatrone Kal. 5-6)</t>
        </is>
      </c>
      <c r="C35" t="inlineStr">
        <is>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is>
      </c>
      <c r="D35" t="inlineStr">
        <is>
          <t>Offen</t>
        </is>
      </c>
      <c r="E35" t="inlineStr">
        <is>
          <t>2026-07-19</t>
        </is>
      </c>
    </row>
    <row r="36">
      <c r="A36" t="inlineStr">
        <is>
          <t>Ausruestung/Boegen-Armbrust</t>
        </is>
      </c>
      <c r="B36" t="inlineStr">
        <is>
          <t>Verfuegbarkeit ohne NW/AW-Split (Kaufsperre nur pauschal moeglich)</t>
        </is>
      </c>
      <c r="C36" t="inlineStr">
        <is>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is>
      </c>
      <c r="D36" t="inlineStr">
        <is>
          <t>Offen</t>
        </is>
      </c>
      <c r="E36" t="inlineStr">
        <is>
          <t>2026-07-19</t>
        </is>
      </c>
    </row>
    <row r="37">
      <c r="A37" t="inlineStr">
        <is>
          <t>Fernkampf/Sonderfertigkeit</t>
        </is>
      </c>
      <c r="B37" t="inlineStr">
        <is>
          <t>Ladeschuetze Schleuder</t>
        </is>
      </c>
      <c r="C37" t="inlineStr">
        <is>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is>
      </c>
      <c r="D37" t="inlineStr">
        <is>
          <t>Deaktiviert</t>
        </is>
      </c>
      <c r="E37" t="inlineStr">
        <is>
          <t>2026-07-19</t>
        </is>
      </c>
    </row>
    <row r="38">
      <c r="A38" t="inlineStr">
        <is>
          <t>Nahkampf/Kampfstil</t>
        </is>
      </c>
      <c r="B38" t="inlineStr">
        <is>
          <t>Kampfstilmodifikator-Talente (Offensiver Kampfstil, Verteidiger) noch nicht portiert</t>
        </is>
      </c>
      <c r="C38" t="inlineStr">
        <is>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is>
      </c>
      <c r="D38" t="inlineStr">
        <is>
          <t>Offen</t>
        </is>
      </c>
      <c r="E38" t="inlineStr">
        <is>
          <t>2026-07-20</t>
        </is>
      </c>
    </row>
    <row r="39">
      <c r="A39" t="inlineStr">
        <is>
          <t>Kampf/Talente</t>
        </is>
      </c>
      <c r="B39" t="inlineStr">
        <is>
          <t>Probenregel- und Manoever-Talente (teilstrukturiert) noch nicht portiert</t>
        </is>
      </c>
      <c r="C39" t="inlineStr">
        <is>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is>
      </c>
      <c r="D39" t="inlineStr">
        <is>
          <t>Offen</t>
        </is>
      </c>
      <c r="E39" t="inlineStr">
        <is>
          <t>2026-07-20</t>
        </is>
      </c>
    </row>
    <row r="40">
      <c r="A40" t="inlineStr">
        <is>
          <t>Kampf/Talente</t>
        </is>
      </c>
      <c r="B40" t="inlineStr">
        <is>
          <t>Komplexe Freitext-Kampfregeln (manuell modellieren) noch nicht portiert</t>
        </is>
      </c>
      <c r="C40" t="inlineStr">
        <is>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is>
      </c>
      <c r="D40" t="inlineStr">
        <is>
          <t>Offen</t>
        </is>
      </c>
      <c r="E40" t="inlineStr">
        <is>
          <t>2026-07-20</t>
        </is>
      </c>
    </row>
    <row r="41">
      <c r="A41" t="inlineStr">
        <is>
          <t>Kampf/Loadout</t>
        </is>
      </c>
      <c r="B41" t="inlineStr">
        <is>
          <t>Waffen-Loadout-System (NK, NK/Schild, NK/NK, NK/FK, FK, FK/FK) fehlt noch</t>
        </is>
      </c>
      <c r="C41" t="inlineStr">
        <is>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is>
      </c>
      <c r="D41" t="inlineStr">
        <is>
          <t>Offen</t>
        </is>
      </c>
      <c r="E41" t="inlineStr">
        <is>
          <t>2026-07-21</t>
        </is>
      </c>
    </row>
    <row r="42">
      <c r="A42" t="inlineStr">
        <is>
          <t>Geweihte/Klerus</t>
        </is>
      </c>
      <c r="B42" t="inlineStr">
        <is>
          <t>Geweihtengrad-Steigerung (Grad 2-7)</t>
        </is>
      </c>
      <c r="C42" t="inlineStr">
        <is>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is>
      </c>
      <c r="D42" t="inlineStr">
        <is>
          <t>Erledigt</t>
        </is>
      </c>
      <c r="E42" t="inlineStr">
        <is>
          <t>2026-07-22</t>
        </is>
      </c>
    </row>
    <row r="43">
      <c r="A43" t="inlineStr">
        <is>
          <t>Geweihte/Klerus</t>
        </is>
      </c>
      <c r="B43" t="inlineStr">
        <is>
          <t>Tepod Wunder Namen ergaenzen!</t>
        </is>
      </c>
      <c r="C43" t="inlineStr">
        <is>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is>
      </c>
      <c r="D43" t="inlineStr">
        <is>
          <t>Offen</t>
        </is>
      </c>
      <c r="E43" t="inlineStr">
        <is>
          <t>2026-07-22</t>
        </is>
      </c>
    </row>
    <row r="44">
      <c r="A44" t="inlineStr">
        <is>
          <t>Vor- und Nachteile/Redaktion</t>
        </is>
      </c>
      <c r="B44" t="inlineStr">
        <is>
          <t>Fettleibig: Wirkung entwickeln</t>
        </is>
      </c>
      <c r="C44" t="inlineStr">
        <is>
          <t>Der Vor-/Nachteil „Fettleibig“ wurde auf Nutzerentscheidung am 2026-08-26 im Werte-Sheet auskommentiert. Wirkung, Regelmechanik und Balancing sind redaktionell noch zu entwickeln; bis zur Klärung bleibt der Eintrag deaktiviert.</t>
        </is>
      </c>
      <c r="D44" t="inlineStr">
        <is>
          <t>Offen</t>
        </is>
      </c>
      <c r="E44" t="inlineStr">
        <is>
          <t>2026-08-26</t>
        </is>
      </c>
    </row>
    <row xmlns="http://schemas.openxmlformats.org/spreadsheetml/2006/main" r="45" ht="36" hidden="0" customHeight="1">
      <c r="A45" s="76" t="inlineStr">
        <is>
          <t>NPC/Ausrüstung</t>
        </is>
      </c>
      <c r="B45" s="76" t="inlineStr">
        <is>
          <t>67 Artikel bestätigt</t>
        </is>
      </c>
      <c r="C45" s="76" t="inlineStr">
        <is>
          <t>D001 bis D067 sind fachlich bestätigt und stehen in Preisliste, Zeilen 974–1040. Preise in Dublonen und Gewichte in kg gelten für die gesamte jeweils angegebene Verkaufseinheit in gewöhnlicher Ausführung. Neue Preiswerte sind Spielweltfestlegungen, keine realen Marktpreise.</t>
        </is>
      </c>
      <c r="D45" s="76" t="inlineStr">
        <is>
          <t>Bestätigt</t>
        </is>
      </c>
      <c r="E45" s="76" t="inlineStr">
        <is>
          <t>2026-09-09</t>
        </is>
      </c>
    </row>
    <row xmlns="http://schemas.openxmlformats.org/spreadsheetml/2006/main" r="46" ht="36" hidden="0" customHeight="1">
      <c r="A46" s="76" t="inlineStr">
        <is>
          <t>NPC/Ausrüstung</t>
        </is>
      </c>
      <c r="B46" s="76" t="inlineStr">
        <is>
          <t>Herstellung und Benutzung</t>
        </is>
      </c>
      <c r="C46" s="76" t="inlineStr">
        <is>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is>
      </c>
      <c r="D46" s="76" t="inlineStr">
        <is>
          <t>Bestätigt</t>
        </is>
      </c>
      <c r="E46" s="76" t="inlineStr">
        <is>
          <t>2026-09-09</t>
        </is>
      </c>
    </row>
    <row xmlns="http://schemas.openxmlformats.org/spreadsheetml/2006/main" r="47" ht="36" hidden="0" customHeight="1">
      <c r="A47" s="76" t="inlineStr">
        <is>
          <t>NPC/Kleidung</t>
        </is>
      </c>
      <c r="B47" s="76" t="inlineStr">
        <is>
          <t>Vollständige Grundkleidung</t>
        </is>
      </c>
      <c r="C47" s="76" t="inlineStr">
        <is>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is>
      </c>
      <c r="D47" s="76" t="inlineStr">
        <is>
          <t>Bestätigt</t>
        </is>
      </c>
      <c r="E47" s="76" t="inlineStr">
        <is>
          <t>2026-09-09</t>
        </is>
      </c>
    </row>
    <row xmlns="http://schemas.openxmlformats.org/spreadsheetml/2006/main" r="48" ht="48" hidden="0" customHeight="1">
      <c r="A48" s="76" t="inlineStr">
        <is>
          <t>NPC/Kleidung</t>
        </is>
      </c>
      <c r="B48" s="76" t="inlineStr">
        <is>
          <t>Standardartikel der Grundkleidung</t>
        </is>
      </c>
      <c r="C48" s="76" t="inlineStr">
        <is>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is>
      </c>
      <c r="D48" s="76" t="inlineStr">
        <is>
          <t>Bestätigt</t>
        </is>
      </c>
      <c r="E48" s="76" t="inlineStr">
        <is>
          <t>2026-09-09</t>
        </is>
      </c>
    </row>
    <row xmlns="http://schemas.openxmlformats.org/spreadsheetml/2006/main" r="49" ht="32" hidden="0" customHeight="1">
      <c r="A49" s="76" t="inlineStr">
        <is>
          <t>NPC/Kleidung</t>
        </is>
      </c>
      <c r="B49" s="76" t="inlineStr">
        <is>
          <t>Katalogpreis Grundkleidung (D)</t>
        </is>
      </c>
      <c r="C49" s="78" t="n">
        <f>SUM('Preisliste'!F896,'Preisliste'!F891,'Preisliste'!F796,'Preisliste'!F784,'Preisliste'!F553,'Preisliste'!F821,'Preisliste'!F767)</f>
        <v>5.195</v>
      </c>
      <c r="D49" s="76" t="inlineStr">
        <is>
          <t>Bestätigt</t>
        </is>
      </c>
      <c r="E49" s="76" t="inlineStr">
        <is>
          <t>2026-09-09</t>
        </is>
      </c>
    </row>
    <row xmlns="http://schemas.openxmlformats.org/spreadsheetml/2006/main" r="50" ht="32" hidden="0" customHeight="1">
      <c r="A50" s="76" t="inlineStr">
        <is>
          <t>NPC/Kleidung</t>
        </is>
      </c>
      <c r="B50" s="76" t="inlineStr">
        <is>
          <t>Anschaffungsbudget Kleidung (D, auf Cent)</t>
        </is>
      </c>
      <c r="C50" s="78" t="n">
        <f>ROUNDUP(C49,2)</f>
        <v>5.2</v>
      </c>
      <c r="D50" s="76" t="inlineStr">
        <is>
          <t>Bestätigt</t>
        </is>
      </c>
      <c r="E50" s="76" t="inlineStr">
        <is>
          <t>2026-09-09</t>
        </is>
      </c>
    </row>
    <row xmlns="http://schemas.openxmlformats.org/spreadsheetml/2006/main" r="51" ht="32" hidden="0" customHeight="1">
      <c r="A51" s="76" t="inlineStr">
        <is>
          <t>NPC/Kleidung</t>
        </is>
      </c>
      <c r="B51" s="76" t="inlineStr">
        <is>
          <t>Kataloggewicht Grundkleidung (kg)</t>
        </is>
      </c>
      <c r="C51" s="78" t="n">
        <f>SUM('Preisliste'!E896,'Preisliste'!E891,'Preisliste'!E796,'Preisliste'!E784,'Preisliste'!E553,'Preisliste'!E821,'Preisliste'!E767)</f>
        <v>4.55</v>
      </c>
      <c r="D51" s="76" t="inlineStr">
        <is>
          <t>Bestätigt</t>
        </is>
      </c>
      <c r="E51" s="76" t="inlineStr">
        <is>
          <t>2026-09-09</t>
        </is>
      </c>
    </row>
    <row xmlns="http://schemas.openxmlformats.org/spreadsheetml/2006/main" r="52" ht="48" hidden="0" customHeight="1">
      <c r="A52" s="76" t="inlineStr">
        <is>
          <t>NPC/Kleidung</t>
        </is>
      </c>
      <c r="B52" s="76" t="inlineStr">
        <is>
          <t>Referenz-NPCs und Budget</t>
        </is>
      </c>
      <c r="C52" s="76" t="inlineStr">
        <is>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is>
      </c>
      <c r="D52" s="76" t="inlineStr">
        <is>
          <t>Bestätigt</t>
        </is>
      </c>
      <c r="E52" s="76" t="inlineStr">
        <is>
          <t>2026-09-09</t>
        </is>
      </c>
    </row>
    <row xmlns="http://schemas.openxmlformats.org/spreadsheetml/2006/main" r="53" ht="48" hidden="0" customHeight="1">
      <c r="A53" s="76" t="inlineStr">
        <is>
          <t>NPC/Kleidung</t>
        </is>
      </c>
      <c r="B53" s="76" t="inlineStr">
        <is>
          <t>Beruf und Klima</t>
        </is>
      </c>
      <c r="C53" s="76" t="inlineStr">
        <is>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is>
      </c>
      <c r="D53" s="76" t="inlineStr">
        <is>
          <t>Bestätigt</t>
        </is>
      </c>
      <c r="E53" s="76" t="inlineStr">
        <is>
          <t>2026-09-09</t>
        </is>
      </c>
    </row>
    <row xmlns="http://schemas.openxmlformats.org/spreadsheetml/2006/main" r="54" ht="48" hidden="0" customHeight="1">
      <c r="A54" s="76" t="inlineStr">
        <is>
          <t>NPC/Ausrüstung</t>
        </is>
      </c>
      <c r="B54" s="76" t="inlineStr">
        <is>
          <t>Qualität, Besitz, Mengen</t>
        </is>
      </c>
      <c r="C54" s="76" t="inlineStr">
        <is>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is>
      </c>
      <c r="D54" s="76" t="inlineStr">
        <is>
          <t>Bestätigt</t>
        </is>
      </c>
      <c r="E54" s="76" t="inlineStr">
        <is>
          <t>2026-09-09</t>
        </is>
      </c>
    </row>
    <row xmlns="http://schemas.openxmlformats.org/spreadsheetml/2006/main" r="55" ht="36" hidden="0" customHeight="1">
      <c r="A55" s="76" t="inlineStr">
        <is>
          <t>NPC/Ausrüstung</t>
        </is>
      </c>
      <c r="B55" s="76" t="inlineStr">
        <is>
          <t>Vorhandene Waren weiterverwenden</t>
        </is>
      </c>
      <c r="C55" s="76" t="inlineStr">
        <is>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is>
      </c>
      <c r="D55" s="76" t="inlineStr">
        <is>
          <t>Bestätigt</t>
        </is>
      </c>
      <c r="E55" s="76" t="inlineStr">
        <is>
          <t>2026-09-09</t>
        </is>
      </c>
    </row>
    <row xmlns="http://schemas.openxmlformats.org/spreadsheetml/2006/main" r="56" ht="36" hidden="0" customHeight="1">
      <c r="A56" s="76" t="inlineStr">
        <is>
          <t>NPC/Ausrüstung</t>
        </is>
      </c>
      <c r="B56" s="76" t="inlineStr">
        <is>
          <t>Verfügbarkeit und Datenpflege</t>
        </is>
      </c>
      <c r="C56" s="76" t="inlineStr">
        <is>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is>
      </c>
      <c r="D56" s="76" t="inlineStr">
        <is>
          <t>Offen</t>
        </is>
      </c>
      <c r="E56" s="76" t="inlineStr">
        <is>
          <t>2026-09-09</t>
        </is>
      </c>
    </row>
    <row xmlns="http://schemas.openxmlformats.org/spreadsheetml/2006/main" r="57" ht="36" hidden="0" customHeight="1">
      <c r="A57" s="76" t="inlineStr">
        <is>
          <t>NPC/Artikel</t>
        </is>
      </c>
      <c r="B57" s="76" t="inlineStr">
        <is>
          <t>D001: Handschellen mit zwei Schlüsseln</t>
        </is>
      </c>
      <c r="C57" s="76" t="inlineStr">
        <is>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is>
      </c>
      <c r="D57" s="76" t="inlineStr">
        <is>
          <t>Bestätigt</t>
        </is>
      </c>
      <c r="E57" s="76" t="inlineStr">
        <is>
          <t>2026-09-09</t>
        </is>
      </c>
    </row>
    <row xmlns="http://schemas.openxmlformats.org/spreadsheetml/2006/main" r="58" ht="36" hidden="0" customHeight="1">
      <c r="A58" s="76" t="inlineStr">
        <is>
          <t>NPC/Artikel</t>
        </is>
      </c>
      <c r="B58" s="76" t="inlineStr">
        <is>
          <t>D002: Dienstabzeichen, geprägt</t>
        </is>
      </c>
      <c r="C58" s="76" t="inlineStr">
        <is>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is>
      </c>
      <c r="D58" s="76" t="inlineStr">
        <is>
          <t>Bestätigt</t>
        </is>
      </c>
      <c r="E58" s="76" t="inlineStr">
        <is>
          <t>2026-09-09</t>
        </is>
      </c>
    </row>
    <row xmlns="http://schemas.openxmlformats.org/spreadsheetml/2006/main" r="59" ht="36" hidden="0" customHeight="1">
      <c r="A59" s="76" t="inlineStr">
        <is>
          <t>NPC/Artikel</t>
        </is>
      </c>
      <c r="B59" s="76" t="inlineStr">
        <is>
          <t>D003: Fahndungsblatt, gedruckt</t>
        </is>
      </c>
      <c r="C59" s="76" t="inlineStr">
        <is>
          <t>Preisliste Zeile 976. Für: Wache, Kopfgeldjäger, Journalist. Umfang: Druck eines vorhandenen Texts; Recherche und Belohnung nicht enthalten. Preisbegründung: Papierbogen plus einfacher Druck; Auflage vorausgesetzt. Preisanker: P146 (1.3 D). Regelreferenz: whk_spez_drucker_lithograf.</t>
        </is>
      </c>
      <c r="D59" s="76" t="inlineStr">
        <is>
          <t>Bestätigt</t>
        </is>
      </c>
      <c r="E59" s="76" t="inlineStr">
        <is>
          <t>2026-09-09</t>
        </is>
      </c>
    </row>
    <row xmlns="http://schemas.openxmlformats.org/spreadsheetml/2006/main" r="60" ht="36" hidden="0" customHeight="1">
      <c r="A60" s="76" t="inlineStr">
        <is>
          <t>NPC/Artikel</t>
        </is>
      </c>
      <c r="B60" s="76" t="inlineStr">
        <is>
          <t>D004: Revolverholster, Gürtelmontage</t>
        </is>
      </c>
      <c r="C60" s="76" t="inlineStr">
        <is>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is>
      </c>
      <c r="D60" s="76" t="inlineStr">
        <is>
          <t>Bestätigt</t>
        </is>
      </c>
      <c r="E60" s="76" t="inlineStr">
        <is>
          <t>2026-09-09</t>
        </is>
      </c>
    </row>
    <row xmlns="http://schemas.openxmlformats.org/spreadsheetml/2006/main" r="61" ht="36" hidden="0" customHeight="1">
      <c r="A61" s="76" t="inlineStr">
        <is>
          <t>NPC/Artikel</t>
        </is>
      </c>
      <c r="B61" s="76" t="inlineStr">
        <is>
          <t>D005: Landkarte, Region</t>
        </is>
      </c>
      <c r="C61" s="76" t="inlineStr">
        <is>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is>
      </c>
      <c r="D61" s="76" t="inlineStr">
        <is>
          <t>Bestätigt</t>
        </is>
      </c>
      <c r="E61" s="76" t="inlineStr">
        <is>
          <t>2026-09-09</t>
        </is>
      </c>
    </row>
    <row xmlns="http://schemas.openxmlformats.org/spreadsheetml/2006/main" r="62" ht="36" hidden="0" customHeight="1">
      <c r="A62" s="76" t="inlineStr">
        <is>
          <t>NPC/Artikel</t>
        </is>
      </c>
      <c r="B62" s="76" t="inlineStr">
        <is>
          <t>D006: Seekarte, Küstenabschnitt</t>
        </is>
      </c>
      <c r="C62" s="76" t="inlineStr">
        <is>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is>
      </c>
      <c r="D62" s="76" t="inlineStr">
        <is>
          <t>Bestätigt</t>
        </is>
      </c>
      <c r="E62" s="76" t="inlineStr">
        <is>
          <t>2026-09-09</t>
        </is>
      </c>
    </row>
    <row xmlns="http://schemas.openxmlformats.org/spreadsheetml/2006/main" r="63" ht="36" hidden="0" customHeight="1">
      <c r="A63" s="76" t="inlineStr">
        <is>
          <t>NPC/Artikel</t>
        </is>
      </c>
      <c r="B63" s="76" t="inlineStr">
        <is>
          <t>D007: Jagdfalle, kleine Kastenfalle</t>
        </is>
      </c>
      <c r="C63" s="76" t="inlineStr">
        <is>
          <t>Preisliste Zeile 980. Für: Jäger. Umfang: Für Kleinwild; keine automatisch festgelegten Fang- oder Schadenswerte. Preisbegründung: Stabile kleine Holzkonstruktion mit einfacher Auslösung. Preisanker: P275 (0.89 D); P278 (13 D). Regelreferenz: whk_spez_holzbearbeitung_tischler.</t>
        </is>
      </c>
      <c r="D63" s="76" t="inlineStr">
        <is>
          <t>Bestätigt</t>
        </is>
      </c>
      <c r="E63" s="76" t="inlineStr">
        <is>
          <t>2026-09-09</t>
        </is>
      </c>
    </row>
    <row xmlns="http://schemas.openxmlformats.org/spreadsheetml/2006/main" r="64" ht="36" hidden="0" customHeight="1">
      <c r="A64" s="76" t="inlineStr">
        <is>
          <t>NPC/Artikel</t>
        </is>
      </c>
      <c r="B64" s="76" t="inlineStr">
        <is>
          <t>D008: Jagdfalle, Federbügel</t>
        </is>
      </c>
      <c r="C64" s="76" t="inlineStr">
        <is>
          <t>Preisliste Zeile 981. Für: Jäger. Umfang: Zielgröße wählen; konkrete Spielwirkung bleibt beim Jagdbaustein. Preisbegründung: Stahlbügel und Federmechanismus oberhalb einfacher Handwerkzeuge. Preisanker: P725 (20 D); P739 (5.3 D). Regelreferenz: whk_spez_schmied_feinschmied.</t>
        </is>
      </c>
      <c r="D64" s="76" t="inlineStr">
        <is>
          <t>Bestätigt</t>
        </is>
      </c>
      <c r="E64" s="76" t="inlineStr">
        <is>
          <t>2026-09-09</t>
        </is>
      </c>
    </row>
    <row xmlns="http://schemas.openxmlformats.org/spreadsheetml/2006/main" r="65" ht="24" hidden="0" customHeight="1">
      <c r="A65" s="76" t="inlineStr">
        <is>
          <t>NPC/Artikel</t>
        </is>
      </c>
      <c r="B65" s="76" t="inlineStr">
        <is>
          <t>D009: Saatgetreide, gereinigt</t>
        </is>
      </c>
      <c r="C65" s="76" t="inlineStr">
        <is>
          <t>Preisliste Zeile 982. Für: Bauer. Umfang: Getreidesorte festlegen; kein pauschaler Flächenertrag. Preisbegründung: Doppelter Haferpreis für ausgewähltes Saatgut. Preisanker: P441 (0.075 D). Regelreferenz: whk_spez_landwirtschaft_getreidebauer.</t>
        </is>
      </c>
      <c r="D65" s="76" t="inlineStr">
        <is>
          <t>Bestätigt</t>
        </is>
      </c>
      <c r="E65" s="76" t="inlineStr">
        <is>
          <t>2026-09-09</t>
        </is>
      </c>
    </row>
    <row xmlns="http://schemas.openxmlformats.org/spreadsheetml/2006/main" r="66" ht="36" hidden="0" customHeight="1">
      <c r="A66" s="76" t="inlineStr">
        <is>
          <t>NPC/Artikel</t>
        </is>
      </c>
      <c r="B66" s="76" t="inlineStr">
        <is>
          <t>D010: Gemüsesaat, sortenrein</t>
        </is>
      </c>
      <c r="C66" s="76" t="inlineStr">
        <is>
          <t>Preisliste Zeile 983. Für: Bauer. Umfang: Eine Sorte je Beutel; Aussaatbedarf sortenabhängig. Preisbegründung: Kleine aufbereitete Saatgutmenge, mehr Arbeitsaufwand als Speiseware. Preisanker: P441 (0.075 D); P454 (0.025 D). Regelreferenz: whk_spez_landwirtschaft_gemuesebauer.</t>
        </is>
      </c>
      <c r="D66" s="76" t="inlineStr">
        <is>
          <t>Bestätigt</t>
        </is>
      </c>
      <c r="E66" s="76" t="inlineStr">
        <is>
          <t>2026-09-09</t>
        </is>
      </c>
    </row>
    <row xmlns="http://schemas.openxmlformats.org/spreadsheetml/2006/main" r="67" ht="24" hidden="0" customHeight="1">
      <c r="A67" s="76" t="inlineStr">
        <is>
          <t>NPC/Artikel</t>
        </is>
      </c>
      <c r="B67" s="76" t="inlineStr">
        <is>
          <t>D011: Goldwaschpfanne</t>
        </is>
      </c>
      <c r="C67" s="76" t="inlineStr">
        <is>
          <t>Preisliste Zeile 984. Für: Prospektor. Umfang: Kein Ersatz für Prüfwaage oder Erzprobe. Preisbegründung: Geformte Metallpfanne zwischen Sieb und Schaufel. Preisanker: P675 (2.2 D); P732 (7 D). Regelreferenz: whk_spez_schmied_grobschmied.</t>
        </is>
      </c>
      <c r="D67" s="76" t="inlineStr">
        <is>
          <t>Bestätigt</t>
        </is>
      </c>
      <c r="E67" s="76" t="inlineStr">
        <is>
          <t>2026-09-09</t>
        </is>
      </c>
    </row>
    <row xmlns="http://schemas.openxmlformats.org/spreadsheetml/2006/main" r="68" ht="36" hidden="0" customHeight="1">
      <c r="A68" s="76" t="inlineStr">
        <is>
          <t>NPC/Artikel</t>
        </is>
      </c>
      <c r="B68" s="76" t="inlineStr">
        <is>
          <t>D012: Feinwaage mit Gewichten</t>
        </is>
      </c>
      <c r="C68" s="76" t="inlineStr">
        <is>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is>
      </c>
      <c r="D68" s="76" t="inlineStr">
        <is>
          <t>Bestätigt</t>
        </is>
      </c>
      <c r="E68" s="76" t="inlineStr">
        <is>
          <t>2026-09-09</t>
        </is>
      </c>
    </row>
    <row xmlns="http://schemas.openxmlformats.org/spreadsheetml/2006/main" r="69" ht="36" hidden="0" customHeight="1">
      <c r="A69" s="76" t="inlineStr">
        <is>
          <t>NPC/Artikel</t>
        </is>
      </c>
      <c r="B69" s="76" t="inlineStr">
        <is>
          <t>D013: Handelswaage mit Gewichten</t>
        </is>
      </c>
      <c r="C69" s="76" t="inlineStr">
        <is>
          <t>Preisliste Zeile 986. Für: Händler, Verwalter. Umfang: Für Waren; keine automatische amtliche Eichung. Preisbegründung: Balkenwaage mit Gewichten, weniger fein als Laborwaage. Preisanker: P725 (20 D); P678 (6.6 D). Regelreferenz: whk_spez_schmied_feinschmied.</t>
        </is>
      </c>
      <c r="D69" s="76" t="inlineStr">
        <is>
          <t>Bestätigt</t>
        </is>
      </c>
      <c r="E69" s="76" t="inlineStr">
        <is>
          <t>2026-09-09</t>
        </is>
      </c>
    </row>
    <row xmlns="http://schemas.openxmlformats.org/spreadsheetml/2006/main" r="70" ht="36" hidden="0" customHeight="1">
      <c r="A70" s="76" t="inlineStr">
        <is>
          <t>NPC/Artikel</t>
        </is>
      </c>
      <c r="B70" s="76" t="inlineStr">
        <is>
          <t>D014: Grubenhelm, Leder mit Verstärkung</t>
        </is>
      </c>
      <c r="C70" s="76" t="inlineStr">
        <is>
          <t>Preisliste Zeile 987. Für: Bergmann. Umfang: Arbeitshelm ohne automatisch gewährten RS/RH; ersetzt Hut. Preisbegründung: Verstärkte Lederkopfbedeckung oberhalb einfacher Kleidung. Preisanker: P477 (1.2 D); P767 (0.42 D); P841 (2.3 D). Regelreferenz: whk_spez_lederbearbeitung_oberbekleidung.</t>
        </is>
      </c>
      <c r="D70" s="76" t="inlineStr">
        <is>
          <t>Bestätigt</t>
        </is>
      </c>
      <c r="E70" s="76" t="inlineStr">
        <is>
          <t>2026-09-09</t>
        </is>
      </c>
    </row>
    <row xmlns="http://schemas.openxmlformats.org/spreadsheetml/2006/main" r="71" ht="36" hidden="0" customHeight="1">
      <c r="A71" s="76" t="inlineStr">
        <is>
          <t>NPC/Artikel</t>
        </is>
      </c>
      <c r="B71" s="76" t="inlineStr">
        <is>
          <t>D015: Grubenlampe, abgeschirmt</t>
        </is>
      </c>
      <c r="C71" s="76" t="inlineStr">
        <is>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is>
      </c>
      <c r="D71" s="76" t="inlineStr">
        <is>
          <t>Bestätigt</t>
        </is>
      </c>
      <c r="E71" s="76" t="inlineStr">
        <is>
          <t>2026-09-09</t>
        </is>
      </c>
    </row>
    <row xmlns="http://schemas.openxmlformats.org/spreadsheetml/2006/main" r="72" ht="36" hidden="0" customHeight="1">
      <c r="A72" s="76" t="inlineStr">
        <is>
          <t>NPC/Artikel</t>
        </is>
      </c>
      <c r="B72" s="76" t="inlineStr">
        <is>
          <t>D016: Sicherungsgurt mit Anschlagringen</t>
        </is>
      </c>
      <c r="C72" s="76" t="inlineStr">
        <is>
          <t>Preisliste Zeile 989. Für: Bergmann, Zimmermann, Matrose. Umfang: Seil und Verankerung separat; keine neue Traglastregel. Preisbegründung: Belastbarer Ledergurt mit Metallbeschlägen in Sattelpreisnähe. Preisanker: P535 (17.6 D); P567 (5 D). Regelreferenz: whk_spez_lederbearbeitung_sattler.</t>
        </is>
      </c>
      <c r="D72" s="76" t="inlineStr">
        <is>
          <t>Bestätigt</t>
        </is>
      </c>
      <c r="E72" s="76" t="inlineStr">
        <is>
          <t>2026-09-09</t>
        </is>
      </c>
    </row>
    <row xmlns="http://schemas.openxmlformats.org/spreadsheetml/2006/main" r="73" ht="36" hidden="0" customHeight="1">
      <c r="A73" s="76" t="inlineStr">
        <is>
          <t>NPC/Artikel</t>
        </is>
      </c>
      <c r="B73" s="76" t="inlineStr">
        <is>
          <t>D017: Rettungsring, Kork und Segeltuch</t>
        </is>
      </c>
      <c r="C73" s="76" t="inlineStr">
        <is>
          <t>Preisliste Zeile 990. Für: Matrose. Umfang: Bordmittel; keine automatische Schwimmfertigkeit. Preisbegründung: Vernähte Schwimmhilfe mit Füllung über einer Hängematte. Preisanker: P748 (5.7 D); P754 (2.2 D). Regelreferenz: whk_spez_schneider_segelmacher.</t>
        </is>
      </c>
      <c r="D73" s="76" t="inlineStr">
        <is>
          <t>Bestätigt</t>
        </is>
      </c>
      <c r="E73" s="76" t="inlineStr">
        <is>
          <t>2026-09-09</t>
        </is>
      </c>
    </row>
    <row xmlns="http://schemas.openxmlformats.org/spreadsheetml/2006/main" r="74" ht="36" hidden="0" customHeight="1">
      <c r="A74" s="76" t="inlineStr">
        <is>
          <t>NPC/Artikel</t>
        </is>
      </c>
      <c r="B74" s="76" t="inlineStr">
        <is>
          <t>D018: Geheimfach für Transportkiste</t>
        </is>
      </c>
      <c r="C74" s="76" t="inlineStr">
        <is>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is>
      </c>
      <c r="D74" s="76" t="inlineStr">
        <is>
          <t>Bestätigt</t>
        </is>
      </c>
      <c r="E74" s="76" t="inlineStr">
        <is>
          <t>2026-09-09</t>
        </is>
      </c>
    </row>
    <row xmlns="http://schemas.openxmlformats.org/spreadsheetml/2006/main" r="75" ht="36" hidden="0" customHeight="1">
      <c r="A75" s="76" t="inlineStr">
        <is>
          <t>NPC/Artikel</t>
        </is>
      </c>
      <c r="B75" s="76" t="inlineStr">
        <is>
          <t>D019: Gefälschter Passierschein</t>
        </is>
      </c>
      <c r="C75" s="76" t="inlineStr">
        <is>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is>
      </c>
      <c r="D75" s="76" t="inlineStr">
        <is>
          <t>Bestätigt</t>
        </is>
      </c>
      <c r="E75" s="76" t="inlineStr">
        <is>
          <t>2026-09-09</t>
        </is>
      </c>
    </row>
    <row xmlns="http://schemas.openxmlformats.org/spreadsheetml/2006/main" r="76" ht="36" hidden="0" customHeight="1">
      <c r="A76" s="76" t="inlineStr">
        <is>
          <t>NPC/Artikel</t>
        </is>
      </c>
      <c r="B76" s="76" t="inlineStr">
        <is>
          <t>D020: Kamera, Plattenapparat mit Objektiv</t>
        </is>
      </c>
      <c r="C76" s="76" t="inlineStr">
        <is>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is>
      </c>
      <c r="D76" s="76" t="inlineStr">
        <is>
          <t>Bestätigt</t>
        </is>
      </c>
      <c r="E76" s="76" t="inlineStr">
        <is>
          <t>2026-09-09</t>
        </is>
      </c>
    </row>
    <row xmlns="http://schemas.openxmlformats.org/spreadsheetml/2006/main" r="77" ht="36" hidden="0" customHeight="1">
      <c r="A77" s="76" t="inlineStr">
        <is>
          <t>NPC/Artikel</t>
        </is>
      </c>
      <c r="B77" s="76" t="inlineStr">
        <is>
          <t>D021: Kamerastativ, Holz</t>
        </is>
      </c>
      <c r="C77" s="76" t="inlineStr">
        <is>
          <t>Preisliste Zeile 994. Für: Journalist, Gelehrter. Umfang: Auch für passende Vermessungsgeräte nutzbar. Preisbegründung: Präzise klappbare Holzkonstruktion oberhalb einfacher Möbel. Preisanker: P278 (13 D); P289 (5 D). Regelreferenz: whk_spez_holzbearbeitung_tischler.</t>
        </is>
      </c>
      <c r="D77" s="76" t="inlineStr">
        <is>
          <t>Bestätigt</t>
        </is>
      </c>
      <c r="E77" s="76" t="inlineStr">
        <is>
          <t>2026-09-09</t>
        </is>
      </c>
    </row>
    <row xmlns="http://schemas.openxmlformats.org/spreadsheetml/2006/main" r="78" ht="36" hidden="0" customHeight="1">
      <c r="A78" s="76" t="inlineStr">
        <is>
          <t>NPC/Artikel</t>
        </is>
      </c>
      <c r="B78" s="76" t="inlineStr">
        <is>
          <t>D022: Fotoplatten, vorbereitet, sechs Stück</t>
        </is>
      </c>
      <c r="C78" s="76" t="inlineStr">
        <is>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is>
      </c>
      <c r="D78" s="76" t="inlineStr">
        <is>
          <t>Bestätigt</t>
        </is>
      </c>
      <c r="E78" s="76" t="inlineStr">
        <is>
          <t>2026-09-09</t>
        </is>
      </c>
    </row>
    <row xmlns="http://schemas.openxmlformats.org/spreadsheetml/2006/main" r="79" ht="36" hidden="0" customHeight="1">
      <c r="A79" s="76" t="inlineStr">
        <is>
          <t>NPC/Artikel</t>
        </is>
      </c>
      <c r="B79" s="76" t="inlineStr">
        <is>
          <t>D023: Fotochemie, Entwicklungssatz</t>
        </is>
      </c>
      <c r="C79" s="76" t="inlineStr">
        <is>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is>
      </c>
      <c r="D79" s="76" t="inlineStr">
        <is>
          <t>Bestätigt</t>
        </is>
      </c>
      <c r="E79" s="76" t="inlineStr">
        <is>
          <t>2026-09-09</t>
        </is>
      </c>
    </row>
    <row xmlns="http://schemas.openxmlformats.org/spreadsheetml/2006/main" r="80" ht="36" hidden="0" customHeight="1">
      <c r="A80" s="76" t="inlineStr">
        <is>
          <t>NPC/Artikel</t>
        </is>
      </c>
      <c r="B80" s="76" t="inlineStr">
        <is>
          <t>D024: Druckerpresse, Handbetrieb</t>
        </is>
      </c>
      <c r="C80" s="76" t="inlineStr">
        <is>
          <t>Preisliste Zeile 997. Für: Journalist. Umfang: Stationär; Satzmaterial, Papier und Druckfarbe separat. Preisbegründung: Große mechanische Presse, deutlich unter der komplexen Addiermaschine. Preisanker: P583 (120 D); P586 (8800 D). Regelreferenz: whk_spez_mechanikus_maschinenbauer.</t>
        </is>
      </c>
      <c r="D80" s="76" t="inlineStr">
        <is>
          <t>Bestätigt</t>
        </is>
      </c>
      <c r="E80" s="76" t="inlineStr">
        <is>
          <t>2026-09-09</t>
        </is>
      </c>
    </row>
    <row xmlns="http://schemas.openxmlformats.org/spreadsheetml/2006/main" r="81" ht="24" hidden="0" customHeight="1">
      <c r="A81" s="76" t="inlineStr">
        <is>
          <t>NPC/Artikel</t>
        </is>
      </c>
      <c r="B81" s="76" t="inlineStr">
        <is>
          <t>D025: Drucklettern, Grundsatz mit Setzkasten</t>
        </is>
      </c>
      <c r="C81" s="76" t="inlineStr">
        <is>
          <t>Preisliste Zeile 998. Für: Journalist. Umfang: Eine Schrift und festgelegter Zeichenvorrat; ergänzt D024. Preisbegründung: Viele wiederverwendbare präzise Druckteile. Preisanker: P676 (8 D); P583 (120 D). Regelreferenz: whk_spez_drucker_stereotypeur.</t>
        </is>
      </c>
      <c r="D81" s="76" t="inlineStr">
        <is>
          <t>Bestätigt</t>
        </is>
      </c>
      <c r="E81" s="76" t="inlineStr">
        <is>
          <t>2026-09-09</t>
        </is>
      </c>
    </row>
    <row xmlns="http://schemas.openxmlformats.org/spreadsheetml/2006/main" r="82" ht="24" hidden="0" customHeight="1">
      <c r="A82" s="76" t="inlineStr">
        <is>
          <t>NPC/Artikel</t>
        </is>
      </c>
      <c r="B82" s="76" t="inlineStr">
        <is>
          <t>D026: Druckfarbe, schwarz</t>
        </is>
      </c>
      <c r="C82" s="76" t="inlineStr">
        <is>
          <t>Preisliste Zeile 999. Für: Journalist. Umfang: Für Druckerpresse; nicht mit Fotochemie gleichsetzen. Preisbegründung: Dickflüssige Druckfarbe in größerer Menge als Schreib-Tinte. Preisanker: P54 (0.98 D). Regelreferenz: whk_spez_alchemie_pigmentmacher.</t>
        </is>
      </c>
      <c r="D82" s="76" t="inlineStr">
        <is>
          <t>Bestätigt</t>
        </is>
      </c>
      <c r="E82" s="76" t="inlineStr">
        <is>
          <t>2026-09-09</t>
        </is>
      </c>
    </row>
    <row xmlns="http://schemas.openxmlformats.org/spreadsheetml/2006/main" r="83" ht="36" hidden="0" customHeight="1">
      <c r="A83" s="76" t="inlineStr">
        <is>
          <t>NPC/Artikel</t>
        </is>
      </c>
      <c r="B83" s="76" t="inlineStr">
        <is>
          <t>D027: Spielkarten, vollständiges Blatt</t>
        </is>
      </c>
      <c r="C83" s="76" t="inlineStr">
        <is>
          <t>Preisliste Zeile 1000. Für: Glücksspieler, Wirt, Künstler. Umfang: Ein regional übliches Kartenspiel; keine Falschspielwirkung. Preisbegründung: Mehrfach bedruckter Karton, teurer als einfacher Würfelsatz. Preisanker: P146 (1.3 D); P251 (0.88 D). Regelreferenz: whk_spez_drucker_lithograf.</t>
        </is>
      </c>
      <c r="D83" s="76" t="inlineStr">
        <is>
          <t>Bestätigt</t>
        </is>
      </c>
      <c r="E83" s="76" t="inlineStr">
        <is>
          <t>2026-09-09</t>
        </is>
      </c>
    </row>
    <row xmlns="http://schemas.openxmlformats.org/spreadsheetml/2006/main" r="84" ht="36" hidden="0" customHeight="1">
      <c r="A84" s="76" t="inlineStr">
        <is>
          <t>NPC/Artikel</t>
        </is>
      </c>
      <c r="B84" s="76" t="inlineStr">
        <is>
          <t>D028: Spielkarten, markiertes Blatt</t>
        </is>
      </c>
      <c r="C84" s="76" t="inlineStr">
        <is>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is>
      </c>
      <c r="D84" s="76" t="inlineStr">
        <is>
          <t>Bestätigt</t>
        </is>
      </c>
      <c r="E84" s="76" t="inlineStr">
        <is>
          <t>2026-09-09</t>
        </is>
      </c>
    </row>
    <row xmlns="http://schemas.openxmlformats.org/spreadsheetml/2006/main" r="85" ht="24" hidden="0" customHeight="1">
      <c r="A85" s="76" t="inlineStr">
        <is>
          <t>NPC/Artikel</t>
        </is>
      </c>
      <c r="B85" s="76" t="inlineStr">
        <is>
          <t>D029: Würfel, präpariert, drei Stück</t>
        </is>
      </c>
      <c r="C85" s="76" t="inlineStr">
        <is>
          <t>Preisliste Zeile 1002. Für: Glücksspieler. Umfang: Keine garantierten Ergebnisse. Preisbegründung: Mehrfache Kosten normaler Würfel für verdeckte Bearbeitung. Preisanker: P251 (0.88 D). Regelreferenz: whk_spez_holzbearbeitung_schnitzer.</t>
        </is>
      </c>
      <c r="D85" s="76" t="inlineStr">
        <is>
          <t>Bestätigt</t>
        </is>
      </c>
      <c r="E85" s="76" t="inlineStr">
        <is>
          <t>2026-09-09</t>
        </is>
      </c>
    </row>
    <row xmlns="http://schemas.openxmlformats.org/spreadsheetml/2006/main" r="86" ht="36" hidden="0" customHeight="1">
      <c r="A86" s="76" t="inlineStr">
        <is>
          <t>NPC/Artikel</t>
        </is>
      </c>
      <c r="B86" s="76" t="inlineStr">
        <is>
          <t>D030: Amboss, Werkstatt</t>
        </is>
      </c>
      <c r="C86" s="76" t="inlineStr">
        <is>
          <t>Preisliste Zeile 1003. Für: Schmied, Waffenschmied, Rüstschmied. Umfang: Stationärer Amboss ohne Unterbau. Preisbegründung: Großer bearbeiteter Stahlkörper; deutlich oberhalb Handwerkzeugen. Preisanker: P725 (20 D); P741 (22 D). Regelreferenz: whk_spez_schmied_grobschmied.</t>
        </is>
      </c>
      <c r="D86" s="76" t="inlineStr">
        <is>
          <t>Bestätigt</t>
        </is>
      </c>
      <c r="E86" s="76" t="inlineStr">
        <is>
          <t>2026-09-09</t>
        </is>
      </c>
    </row>
    <row xmlns="http://schemas.openxmlformats.org/spreadsheetml/2006/main" r="87" ht="36" hidden="0" customHeight="1">
      <c r="A87" s="76" t="inlineStr">
        <is>
          <t>NPC/Artikel</t>
        </is>
      </c>
      <c r="B87" s="76" t="inlineStr">
        <is>
          <t>D031: Esse, fest, mit Feuerbett</t>
        </is>
      </c>
      <c r="C87" s="76" t="inlineStr">
        <is>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is>
      </c>
      <c r="D87" s="76" t="inlineStr">
        <is>
          <t>Bestätigt</t>
        </is>
      </c>
      <c r="E87" s="76" t="inlineStr">
        <is>
          <t>2026-09-09</t>
        </is>
      </c>
    </row>
    <row xmlns="http://schemas.openxmlformats.org/spreadsheetml/2006/main" r="88" ht="36" hidden="0" customHeight="1">
      <c r="A88" s="76" t="inlineStr">
        <is>
          <t>NPC/Artikel</t>
        </is>
      </c>
      <c r="B88" s="76" t="inlineStr">
        <is>
          <t>D032: Blasebalg, Schmiede</t>
        </is>
      </c>
      <c r="C88" s="76" t="inlineStr">
        <is>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is>
      </c>
      <c r="D88" s="76" t="inlineStr">
        <is>
          <t>Bestätigt</t>
        </is>
      </c>
      <c r="E88" s="76" t="inlineStr">
        <is>
          <t>2026-09-09</t>
        </is>
      </c>
    </row>
    <row xmlns="http://schemas.openxmlformats.org/spreadsheetml/2006/main" r="89" ht="36" hidden="0" customHeight="1">
      <c r="A89" s="76" t="inlineStr">
        <is>
          <t>NPC/Artikel</t>
        </is>
      </c>
      <c r="B89" s="76" t="inlineStr">
        <is>
          <t>D033: Werkbank mit Schraubstock</t>
        </is>
      </c>
      <c r="C89" s="76" t="inlineStr">
        <is>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is>
      </c>
      <c r="D89" s="76" t="inlineStr">
        <is>
          <t>Bestätigt</t>
        </is>
      </c>
      <c r="E89" s="76" t="inlineStr">
        <is>
          <t>2026-09-09</t>
        </is>
      </c>
    </row>
    <row xmlns="http://schemas.openxmlformats.org/spreadsheetml/2006/main" r="90" ht="36" hidden="0" customHeight="1">
      <c r="A90" s="76" t="inlineStr">
        <is>
          <t>NPC/Artikel</t>
        </is>
      </c>
      <c r="B90" s="76" t="inlineStr">
        <is>
          <t>D034: Präzisionswerkzeug, Waffenbau</t>
        </is>
      </c>
      <c r="C90" s="76" t="inlineStr">
        <is>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is>
      </c>
      <c r="D90" s="76" t="inlineStr">
        <is>
          <t>Bestätigt</t>
        </is>
      </c>
      <c r="E90" s="76" t="inlineStr">
        <is>
          <t>2026-09-09</t>
        </is>
      </c>
    </row>
    <row xmlns="http://schemas.openxmlformats.org/spreadsheetml/2006/main" r="91" ht="24" hidden="0" customHeight="1">
      <c r="A91" s="76" t="inlineStr">
        <is>
          <t>NPC/Artikel</t>
        </is>
      </c>
      <c r="B91" s="76" t="inlineStr">
        <is>
          <t>D035: Formwerkzeuge, Rüstungsbau</t>
        </is>
      </c>
      <c r="C91" s="76" t="inlineStr">
        <is>
          <t>Preisliste Zeile 1008. Für: Rüstschmied. Umfang: Ergänzt Amboss; keine fertige Rüstung enthalten. Preisbegründung: Treibhammer und drei kleine Formeinsätze. Preisanker: P725 (20 D); P729 (5 D); P741 (22 D). Regelreferenz: whk_spez_schmied_grobschmied.</t>
        </is>
      </c>
      <c r="D91" s="76" t="inlineStr">
        <is>
          <t>Bestätigt</t>
        </is>
      </c>
      <c r="E91" s="76" t="inlineStr">
        <is>
          <t>2026-09-09</t>
        </is>
      </c>
    </row>
    <row xmlns="http://schemas.openxmlformats.org/spreadsheetml/2006/main" r="92" ht="24" hidden="0" customHeight="1">
      <c r="A92" s="76" t="inlineStr">
        <is>
          <t>NPC/Artikel</t>
        </is>
      </c>
      <c r="B92" s="76" t="inlineStr">
        <is>
          <t>D036: Rüstungsnieten, fünfzig Stück</t>
        </is>
      </c>
      <c r="C92" s="76" t="inlineStr">
        <is>
          <t>Preisliste Zeile 1009. Für: Rüstschmied. Umfang: Material und Durchmesser beim Auftrag festlegen. Preisbegründung: Kleine passend geformte Nieten leicht oberhalb Nagelschachtel. Preisanker: P706 (4 D). Regelreferenz: whk_spez_schmied_feinschmied.</t>
        </is>
      </c>
      <c r="D92" s="76" t="inlineStr">
        <is>
          <t>Bestätigt</t>
        </is>
      </c>
      <c r="E92" s="76" t="inlineStr">
        <is>
          <t>2026-09-09</t>
        </is>
      </c>
    </row>
    <row xmlns="http://schemas.openxmlformats.org/spreadsheetml/2006/main" r="93" ht="24" hidden="0" customHeight="1">
      <c r="A93" s="76" t="inlineStr">
        <is>
          <t>NPC/Artikel</t>
        </is>
      </c>
      <c r="B93" s="76" t="inlineStr">
        <is>
          <t>D037: Schraubendreher, drei Größen</t>
        </is>
      </c>
      <c r="C93" s="76" t="inlineStr">
        <is>
          <t>Preisliste Zeile 1010. Für: Mechaniker, Waffenschmied. Umfang: Passende Schraubenköpfe vorausgesetzt. Preisbegründung: Drei einfache Werkzeuge mit Griffen. Preisanker: P707 (4.4 D); P739 (5.3 D). Regelreferenz: whk_spez_schmied_feinschmied.</t>
        </is>
      </c>
      <c r="D93" s="76" t="inlineStr">
        <is>
          <t>Bestätigt</t>
        </is>
      </c>
      <c r="E93" s="76" t="inlineStr">
        <is>
          <t>2026-09-09</t>
        </is>
      </c>
    </row>
    <row xmlns="http://schemas.openxmlformats.org/spreadsheetml/2006/main" r="94" ht="24" hidden="0" customHeight="1">
      <c r="A94" s="76" t="inlineStr">
        <is>
          <t>NPC/Artikel</t>
        </is>
      </c>
      <c r="B94" s="76" t="inlineStr">
        <is>
          <t>D038: Schraubenschlüssel, vier Größen</t>
        </is>
      </c>
      <c r="C94" s="76" t="inlineStr">
        <is>
          <t>Preisliste Zeile 1011. Für: Mechaniker. Umfang: Größen nach Maschine wählen. Preisbegründung: Mehrere geformte Werkzeuge unter einem Hammer. Preisanker: P739 (5.3 D); P719 (11 D). Regelreferenz: whk_spez_schmied_grobschmied.</t>
        </is>
      </c>
      <c r="D94" s="76" t="inlineStr">
        <is>
          <t>Bestätigt</t>
        </is>
      </c>
      <c r="E94" s="76" t="inlineStr">
        <is>
          <t>2026-09-09</t>
        </is>
      </c>
    </row>
    <row xmlns="http://schemas.openxmlformats.org/spreadsheetml/2006/main" r="95" ht="36" hidden="0" customHeight="1">
      <c r="A95" s="76" t="inlineStr">
        <is>
          <t>NPC/Artikel</t>
        </is>
      </c>
      <c r="B95" s="76" t="inlineStr">
        <is>
          <t>D039: Schrauben und Muttern, zwanzig Paare</t>
        </is>
      </c>
      <c r="C95" s="76" t="inlineStr">
        <is>
          <t>Preisliste Zeile 1012. Für: Mechaniker, Waffenschmied. Umfang: Ein abgestimmter Größensatz, kein Ersatz für jede Maschine. Preisbegründung: Gewindearbeit macht die kleinere Menge teurer als Nägel. Preisanker: P706 (4 D). Regelreferenz: whk_spez_schmied_feinschmied.</t>
        </is>
      </c>
      <c r="D95" s="76" t="inlineStr">
        <is>
          <t>Bestätigt</t>
        </is>
      </c>
      <c r="E95" s="76" t="inlineStr">
        <is>
          <t>2026-09-09</t>
        </is>
      </c>
    </row>
    <row xmlns="http://schemas.openxmlformats.org/spreadsheetml/2006/main" r="96" ht="36" hidden="0" customHeight="1">
      <c r="A96" s="76" t="inlineStr">
        <is>
          <t>NPC/Artikel</t>
        </is>
      </c>
      <c r="B96" s="76" t="inlineStr">
        <is>
          <t>D040: Maschinenersatzteile, einfache Auswahl</t>
        </is>
      </c>
      <c r="C96" s="76" t="inlineStr">
        <is>
          <t>Preisliste Zeile 1013. Für: Mechaniker. Umfang: Für eine benannte Maschine; keine pauschale Reparaturgarantie. Preisbegründung: Kleine Federn, Bolzen und Buchsen unter großem Hebezeug. Preisanker: P739 (5.3 D); P719 (11 D); P583 (120 D). Regelreferenz: whk_spez_mechanikus_maschinenbauer.</t>
        </is>
      </c>
      <c r="D96" s="76" t="inlineStr">
        <is>
          <t>Bestätigt</t>
        </is>
      </c>
      <c r="E96" s="76" t="inlineStr">
        <is>
          <t>2026-09-09</t>
        </is>
      </c>
    </row>
    <row xmlns="http://schemas.openxmlformats.org/spreadsheetml/2006/main" r="97" ht="36" hidden="0" customHeight="1">
      <c r="A97" s="76" t="inlineStr">
        <is>
          <t>NPC/Artikel</t>
        </is>
      </c>
      <c r="B97" s="76" t="inlineStr">
        <is>
          <t>D041: Bauholz, Bretter, trocken</t>
        </is>
      </c>
      <c r="C97" s="76" t="inlineStr">
        <is>
          <t>Preisliste Zeile 1014. Für: Zimmermann, Bergmann, Bauer. Umfang: Abmessungen projektbezogen; trockenes Nutzholz, kein fertiger Bausatz. Preisbegründung: Rohmaterial unter einem einfachen fertigen Tisch. Preisanker: P289 (5 D); P278 (13 D). Regelreferenz: whk_spez_holzbearbeitung_holzfaeller.</t>
        </is>
      </c>
      <c r="D97" s="76" t="inlineStr">
        <is>
          <t>Bestätigt</t>
        </is>
      </c>
      <c r="E97" s="76" t="inlineStr">
        <is>
          <t>2026-09-09</t>
        </is>
      </c>
    </row>
    <row xmlns="http://schemas.openxmlformats.org/spreadsheetml/2006/main" r="98" ht="36" hidden="0" customHeight="1">
      <c r="A98" s="76" t="inlineStr">
        <is>
          <t>NPC/Artikel</t>
        </is>
      </c>
      <c r="B98" s="76" t="inlineStr">
        <is>
          <t>D042: Bauholz, Stützbalken</t>
        </is>
      </c>
      <c r="C98" s="76" t="inlineStr">
        <is>
          <t>Preisliste Zeile 1015. Für: Zimmermann, Bergmann. Umfang: Passenden Querschnitt und Länge vor Einbau wählen. Preisbegründung: Großer zugeschnittener Holzbalken ohne Möbelarbeit. Preisanker: P289 (5 D); P278 (13 D). Regelreferenz: whk_spez_holzbearbeitung_holzfaeller.</t>
        </is>
      </c>
      <c r="D98" s="76" t="inlineStr">
        <is>
          <t>Bestätigt</t>
        </is>
      </c>
      <c r="E98" s="76" t="inlineStr">
        <is>
          <t>2026-09-09</t>
        </is>
      </c>
    </row>
    <row xmlns="http://schemas.openxmlformats.org/spreadsheetml/2006/main" r="99" ht="36" hidden="0" customHeight="1">
      <c r="A99" s="76" t="inlineStr">
        <is>
          <t>NPC/Artikel</t>
        </is>
      </c>
      <c r="B99" s="76" t="inlineStr">
        <is>
          <t>D043: Arzttasche, leer mit Innenfächern</t>
        </is>
      </c>
      <c r="C99" s="76" t="inlineStr">
        <is>
          <t>Preisliste Zeile 1016. Für: Arzt, Heiler. Umfang: Ersetzt für diesen Zweck P525; medizinischer Inhalt separat. Preisbegründung: Fächer und Verschlüsse oberhalb einfachem Ranzen. Preisanker: P525 (0.98 D); P567 (5 D). Regelreferenz: whk_spez_lederbearbeitung_taeschner.</t>
        </is>
      </c>
      <c r="D99" s="76" t="inlineStr">
        <is>
          <t>Bestätigt</t>
        </is>
      </c>
      <c r="E99" s="76" t="inlineStr">
        <is>
          <t>2026-09-09</t>
        </is>
      </c>
    </row>
    <row xmlns="http://schemas.openxmlformats.org/spreadsheetml/2006/main" r="100" ht="24" hidden="0" customHeight="1">
      <c r="A100" s="76" t="inlineStr">
        <is>
          <t>NPC/Artikel</t>
        </is>
      </c>
      <c r="B100" s="76" t="inlineStr">
        <is>
          <t>D044: Verbände, sauber verpackt</t>
        </is>
      </c>
      <c r="C100" s="76" t="inlineStr">
        <is>
          <t>Preisliste Zeile 1017. Für: Arzt, Heiler, Soldat. Umfang: Sauber ist nicht steril; keine Heilwirkung allein durch Besitz. Preisbegründung: Kleine Leinenmenge mit Zuschnitt und Verpackung. Preisanker: P963 (3 D); P385 (3.5 D). Regelreferenz: whk_spez_weber_leinweber.</t>
        </is>
      </c>
      <c r="D100" s="76" t="inlineStr">
        <is>
          <t>Bestätigt</t>
        </is>
      </c>
      <c r="E100" s="76" t="inlineStr">
        <is>
          <t>2026-09-09</t>
        </is>
      </c>
    </row>
    <row xmlns="http://schemas.openxmlformats.org/spreadsheetml/2006/main" r="101" ht="36" hidden="0" customHeight="1">
      <c r="A101" s="76" t="inlineStr">
        <is>
          <t>NPC/Artikel</t>
        </is>
      </c>
      <c r="B101" s="76" t="inlineStr">
        <is>
          <t>D045: Verbände, sterilisiert und versiegelt</t>
        </is>
      </c>
      <c r="C101" s="76" t="inlineStr">
        <is>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is>
      </c>
      <c r="D101" s="76" t="inlineStr">
        <is>
          <t>Bestätigt</t>
        </is>
      </c>
      <c r="E101" s="76" t="inlineStr">
        <is>
          <t>2026-09-09</t>
        </is>
      </c>
    </row>
    <row xmlns="http://schemas.openxmlformats.org/spreadsheetml/2006/main" r="102" ht="36" hidden="0" customHeight="1">
      <c r="A102" s="76" t="inlineStr">
        <is>
          <t>NPC/Artikel</t>
        </is>
      </c>
      <c r="B102" s="76" t="inlineStr">
        <is>
          <t>D046: Chirurgische Instrumente, Grundsatz</t>
        </is>
      </c>
      <c r="C102" s="76" t="inlineStr">
        <is>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is>
      </c>
      <c r="D102" s="76" t="inlineStr">
        <is>
          <t>Bestätigt</t>
        </is>
      </c>
      <c r="E102" s="76" t="inlineStr">
        <is>
          <t>2026-09-09</t>
        </is>
      </c>
    </row>
    <row xmlns="http://schemas.openxmlformats.org/spreadsheetml/2006/main" r="103" ht="36" hidden="0" customHeight="1">
      <c r="A103" s="76" t="inlineStr">
        <is>
          <t>NPC/Artikel</t>
        </is>
      </c>
      <c r="B103" s="76" t="inlineStr">
        <is>
          <t>D047: Nahtmaterial, medizinisch</t>
        </is>
      </c>
      <c r="C103" s="76" t="inlineStr">
        <is>
          <t>Preisliste Zeile 1020. Für: Arzt. Umfang: Faden als Zuliefermaterial enthalten; Spielbedarf ohne Behandlungsanleitung. Preisbegründung: Feine Nadeln mit geeignetem Faden und Verpackung. Preisanker: P707 (4.4 D); P385 (3.5 D). Regelreferenz: whk_spez_schmied_feinschmied.</t>
        </is>
      </c>
      <c r="D103" s="76" t="inlineStr">
        <is>
          <t>Bestätigt</t>
        </is>
      </c>
      <c r="E103" s="76" t="inlineStr">
        <is>
          <t>2026-09-09</t>
        </is>
      </c>
    </row>
    <row xmlns="http://schemas.openxmlformats.org/spreadsheetml/2006/main" r="104" ht="36" hidden="0" customHeight="1">
      <c r="A104" s="76" t="inlineStr">
        <is>
          <t>NPC/Artikel</t>
        </is>
      </c>
      <c r="B104" s="76" t="inlineStr">
        <is>
          <t>D048: Reinigungsmittel, medizinisch</t>
        </is>
      </c>
      <c r="C104" s="76" t="inlineStr">
        <is>
          <t>Preisliste Zeile 1021. Für: Arzt, Heiler. Umfang: Entwurf eines Spielartikels; keine festgelegte Rezeptur oder Heilwirkung. Preisbegründung: Kleine aufbereitete Lösung samt Behälter. Preisanker: P60 (0.1 D); P136 (20 D). Regelreferenz: whk_spez_alchemie_seifensieder.</t>
        </is>
      </c>
      <c r="D104" s="76" t="inlineStr">
        <is>
          <t>Bestätigt</t>
        </is>
      </c>
      <c r="E104" s="76" t="inlineStr">
        <is>
          <t>2026-09-09</t>
        </is>
      </c>
    </row>
    <row xmlns="http://schemas.openxmlformats.org/spreadsheetml/2006/main" r="105" ht="36" hidden="0" customHeight="1">
      <c r="A105" s="76" t="inlineStr">
        <is>
          <t>NPC/Artikel</t>
        </is>
      </c>
      <c r="B105" s="76" t="inlineStr">
        <is>
          <t>D049: Instrumentenkessel mit Einsatz</t>
        </is>
      </c>
      <c r="C105" s="76" t="inlineStr">
        <is>
          <t>Preisliste Zeile 1022. Für: Arzt. Umfang: Wärmequelle separat; kein automatischer Sterilitätsbonus. Preisbegründung: Kleiner passender Kessel mit herausnehmbarem Einsatz. Preisanker: P686 (8.8 D); P675 (2.2 D). Regelreferenz: whk_spez_schmied_feinschmied.</t>
        </is>
      </c>
      <c r="D105" s="76" t="inlineStr">
        <is>
          <t>Bestätigt</t>
        </is>
      </c>
      <c r="E105" s="76" t="inlineStr">
        <is>
          <t>2026-09-09</t>
        </is>
      </c>
    </row>
    <row xmlns="http://schemas.openxmlformats.org/spreadsheetml/2006/main" r="106" ht="24" hidden="0" customHeight="1">
      <c r="A106" s="76" t="inlineStr">
        <is>
          <t>NPC/Artikel</t>
        </is>
      </c>
      <c r="B106" s="76" t="inlineStr">
        <is>
          <t>D050: Mörser mit Stößel, Keramik</t>
        </is>
      </c>
      <c r="C106" s="76" t="inlineStr">
        <is>
          <t>Preisliste Zeile 1023. Für: Heiler, Alchemist, Gelehrter. Umfang: Kein Rezept oder Wirkstoff enthalten. Preisbegründung: Dickwandiges zweiteiliges Arbeitsgefäß. Preisanker: P920 (0.88 D); P675 (2.2 D). Regelreferenz: whk_spez_toepfer_geschirr.</t>
        </is>
      </c>
      <c r="D106" s="76" t="inlineStr">
        <is>
          <t>Bestätigt</t>
        </is>
      </c>
      <c r="E106" s="76" t="inlineStr">
        <is>
          <t>2026-09-09</t>
        </is>
      </c>
    </row>
    <row xmlns="http://schemas.openxmlformats.org/spreadsheetml/2006/main" r="107" ht="36" hidden="0" customHeight="1">
      <c r="A107" s="76" t="inlineStr">
        <is>
          <t>NPC/Artikel</t>
        </is>
      </c>
      <c r="B107" s="76" t="inlineStr">
        <is>
          <t>D051: Heilkräuter, getrocknet und beschriftet</t>
        </is>
      </c>
      <c r="C107" s="76" t="inlineStr">
        <is>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is>
      </c>
      <c r="D107" s="76" t="inlineStr">
        <is>
          <t>Bestätigt</t>
        </is>
      </c>
      <c r="E107" s="76" t="inlineStr">
        <is>
          <t>2026-09-09</t>
        </is>
      </c>
    </row>
    <row xmlns="http://schemas.openxmlformats.org/spreadsheetml/2006/main" r="108" ht="36" hidden="0" customHeight="1">
      <c r="A108" s="76" t="inlineStr">
        <is>
          <t>NPC/Artikel</t>
        </is>
      </c>
      <c r="B108" s="76" t="inlineStr">
        <is>
          <t>D052: Kräuterkasten mit sechs Dosen</t>
        </is>
      </c>
      <c r="C108" s="76" t="inlineStr">
        <is>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is>
      </c>
      <c r="D108" s="76" t="inlineStr">
        <is>
          <t>Bestätigt</t>
        </is>
      </c>
      <c r="E108" s="76" t="inlineStr">
        <is>
          <t>2026-09-09</t>
        </is>
      </c>
    </row>
    <row xmlns="http://schemas.openxmlformats.org/spreadsheetml/2006/main" r="109" ht="24" hidden="0" customHeight="1">
      <c r="A109" s="76" t="inlineStr">
        <is>
          <t>NPC/Artikel</t>
        </is>
      </c>
      <c r="B109" s="76" t="inlineStr">
        <is>
          <t>D053: Retorte mit Stopfen, Glas</t>
        </is>
      </c>
      <c r="C109" s="76" t="inlineStr">
        <is>
          <t>Preisliste Zeile 1026. Für: Alchemist. Umfang: Ohne Zutaten und Wärmequelle. Preisbegründung: Geformtes Arbeitsglas aufwendiger als einfache Flasche. Preisanker: P180 (15 D); P182 (2.42 D). Regelreferenz: whk_spez_glaser_apparateglaser.</t>
        </is>
      </c>
      <c r="D109" s="76" t="inlineStr">
        <is>
          <t>Bestätigt</t>
        </is>
      </c>
      <c r="E109" s="76" t="inlineStr">
        <is>
          <t>2026-09-09</t>
        </is>
      </c>
    </row>
    <row xmlns="http://schemas.openxmlformats.org/spreadsheetml/2006/main" r="110" ht="36" hidden="0" customHeight="1">
      <c r="A110" s="76" t="inlineStr">
        <is>
          <t>NPC/Artikel</t>
        </is>
      </c>
      <c r="B110" s="76" t="inlineStr">
        <is>
          <t>D054: Destillierapparat, kleiner Tischaufbau</t>
        </is>
      </c>
      <c r="C110" s="76" t="inlineStr">
        <is>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is>
      </c>
      <c r="D110" s="76" t="inlineStr">
        <is>
          <t>Bestätigt</t>
        </is>
      </c>
      <c r="E110" s="76" t="inlineStr">
        <is>
          <t>2026-09-09</t>
        </is>
      </c>
    </row>
    <row xmlns="http://schemas.openxmlformats.org/spreadsheetml/2006/main" r="111" ht="36" hidden="0" customHeight="1">
      <c r="A111" s="76" t="inlineStr">
        <is>
          <t>NPC/Artikel</t>
        </is>
      </c>
      <c r="B111" s="76" t="inlineStr">
        <is>
          <t>D055: Laborbrenner, Spiritus</t>
        </is>
      </c>
      <c r="C111" s="76" t="inlineStr">
        <is>
          <t>Preisliste Zeile 1028. Für: Alchemist, Arzt. Umfang: Brennstoff separat; keine moderne Sicherheitszertifizierung behauptet. Preisbegründung: Kleine geregelte Wärmequelle mit Docht und Deckel. Preisanker: P671 (1.32 D); P182 (2.42 D). Regelreferenz: whk_spez_schmied_feinschmied.</t>
        </is>
      </c>
      <c r="D111" s="76" t="inlineStr">
        <is>
          <t>Bestätigt</t>
        </is>
      </c>
      <c r="E111" s="76" t="inlineStr">
        <is>
          <t>2026-09-09</t>
        </is>
      </c>
    </row>
    <row xmlns="http://schemas.openxmlformats.org/spreadsheetml/2006/main" r="112" ht="36" hidden="0" customHeight="1">
      <c r="A112" s="76" t="inlineStr">
        <is>
          <t>NPC/Artikel</t>
        </is>
      </c>
      <c r="B112" s="76" t="inlineStr">
        <is>
          <t>D056: Fokusrohling, geschnitztes Holz</t>
        </is>
      </c>
      <c r="C112" s="76" t="inlineStr">
        <is>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is>
      </c>
      <c r="D112" s="76" t="inlineStr">
        <is>
          <t>Bestätigt</t>
        </is>
      </c>
      <c r="E112" s="76" t="inlineStr">
        <is>
          <t>2026-09-09</t>
        </is>
      </c>
    </row>
    <row xmlns="http://schemas.openxmlformats.org/spreadsheetml/2006/main" r="113" ht="36" hidden="0" customHeight="1">
      <c r="A113" s="76" t="inlineStr">
        <is>
          <t>NPC/Artikel</t>
        </is>
      </c>
      <c r="B113" s="76" t="inlineStr">
        <is>
          <t>D057: Ritualkreide, Farbsatz</t>
        </is>
      </c>
      <c r="C113" s="76" t="inlineStr">
        <is>
          <t>Preisliste Zeile 1030. Für: Magier. Umfang: Profanes Zeichenmaterial; keine automatische Ritualwirkung. Preisbegründung: Mehrere Pigmente und Kreidestücke über einfacher Schreibkreide. Preisanker: P119 (0.018 D); P54 (0.98 D). Regelreferenz: whk_spez_alchemie_pigmentmacher.</t>
        </is>
      </c>
      <c r="D113" s="76" t="inlineStr">
        <is>
          <t>Bestätigt</t>
        </is>
      </c>
      <c r="E113" s="76" t="inlineStr">
        <is>
          <t>2026-09-09</t>
        </is>
      </c>
    </row>
    <row xmlns="http://schemas.openxmlformats.org/spreadsheetml/2006/main" r="114" ht="36" hidden="0" customHeight="1">
      <c r="A114" s="76" t="inlineStr">
        <is>
          <t>NPC/Artikel</t>
        </is>
      </c>
      <c r="B114" s="76" t="inlineStr">
        <is>
          <t>D058: Räucherwerk, schlicht</t>
        </is>
      </c>
      <c r="C114" s="76" t="inlineStr">
        <is>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is>
      </c>
      <c r="D114" s="76" t="inlineStr">
        <is>
          <t>Bestätigt</t>
        </is>
      </c>
      <c r="E114" s="76" t="inlineStr">
        <is>
          <t>2026-09-09</t>
        </is>
      </c>
    </row>
    <row xmlns="http://schemas.openxmlformats.org/spreadsheetml/2006/main" r="115" ht="36" hidden="0" customHeight="1">
      <c r="A115" s="76" t="inlineStr">
        <is>
          <t>NPC/Artikel</t>
        </is>
      </c>
      <c r="B115" s="76" t="inlineStr">
        <is>
          <t>D059: Fachbuch, gedruckt</t>
        </is>
      </c>
      <c r="C115" s="76" t="inlineStr">
        <is>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is>
      </c>
      <c r="D115" s="76" t="inlineStr">
        <is>
          <t>Bestätigt</t>
        </is>
      </c>
      <c r="E115" s="76" t="inlineStr">
        <is>
          <t>2026-09-09</t>
        </is>
      </c>
    </row>
    <row xmlns="http://schemas.openxmlformats.org/spreadsheetml/2006/main" r="116" ht="36" hidden="0" customHeight="1">
      <c r="A116" s="76" t="inlineStr">
        <is>
          <t>NPC/Artikel</t>
        </is>
      </c>
      <c r="B116" s="76" t="inlineStr">
        <is>
          <t>D060: Magisches Lehrbuch, gedruckt</t>
        </is>
      </c>
      <c r="C116" s="76" t="inlineStr">
        <is>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is>
      </c>
      <c r="D116" s="76" t="inlineStr">
        <is>
          <t>Bestätigt</t>
        </is>
      </c>
      <c r="E116" s="76" t="inlineStr">
        <is>
          <t>2026-09-09</t>
        </is>
      </c>
    </row>
    <row xmlns="http://schemas.openxmlformats.org/spreadsheetml/2006/main" r="117" ht="36" hidden="0" customHeight="1">
      <c r="A117" s="76" t="inlineStr">
        <is>
          <t>NPC/Artikel</t>
        </is>
      </c>
      <c r="B117" s="76" t="inlineStr">
        <is>
          <t>D061: Probenausrüstung, Feldsatz</t>
        </is>
      </c>
      <c r="C117" s="76" t="inlineStr">
        <is>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is>
      </c>
      <c r="D117" s="76" t="inlineStr">
        <is>
          <t>Bestätigt</t>
        </is>
      </c>
      <c r="E117" s="76" t="inlineStr">
        <is>
          <t>2026-09-09</t>
        </is>
      </c>
    </row>
    <row xmlns="http://schemas.openxmlformats.org/spreadsheetml/2006/main" r="118" ht="36" hidden="0" customHeight="1">
      <c r="A118" s="76" t="inlineStr">
        <is>
          <t>NPC/Artikel</t>
        </is>
      </c>
      <c r="B118" s="76" t="inlineStr">
        <is>
          <t>D062: Siegelstempel, persönliche Gravur</t>
        </is>
      </c>
      <c r="C118" s="76" t="inlineStr">
        <is>
          <t>Preisliste Zeile 1035. Für: Verwalter, Händler. Umfang: Kein amtlicher Status durch Erwerb; rechtmäßige Berechtigung separat. Preisbegründung: Kleiner gravierter Stempel samt Entwurfsarbeit. Preisanker: P676 (8 D); P677 (1.3 D). Regelreferenz: whk_spez_schmied_feinschmied.</t>
        </is>
      </c>
      <c r="D118" s="76" t="inlineStr">
        <is>
          <t>Bestätigt</t>
        </is>
      </c>
      <c r="E118" s="76" t="inlineStr">
        <is>
          <t>2026-09-09</t>
        </is>
      </c>
    </row>
    <row xmlns="http://schemas.openxmlformats.org/spreadsheetml/2006/main" r="119" ht="24" hidden="0" customHeight="1">
      <c r="A119" s="76" t="inlineStr">
        <is>
          <t>NPC/Artikel</t>
        </is>
      </c>
      <c r="B119" s="76" t="inlineStr">
        <is>
          <t>D063: Stempel, Schriftzug</t>
        </is>
      </c>
      <c r="C119" s="76" t="inlineStr">
        <is>
          <t>Preisliste Zeile 1036. Für: Verwalter, Händler. Umfang: Farbe separat; keine behördliche Berechtigung enthalten. Preisbegründung: Einfacher geschnittener Druckstock. Preisanker: P676 (8 D); P245 (0.037 D). Regelreferenz: whk_spez_holzbearbeitung_schnitzer.</t>
        </is>
      </c>
      <c r="D119" s="76" t="inlineStr">
        <is>
          <t>Bestätigt</t>
        </is>
      </c>
      <c r="E119" s="76" t="inlineStr">
        <is>
          <t>2026-09-09</t>
        </is>
      </c>
    </row>
    <row xmlns="http://schemas.openxmlformats.org/spreadsheetml/2006/main" r="120" ht="24" hidden="0" customHeight="1">
      <c r="A120" s="76" t="inlineStr">
        <is>
          <t>NPC/Artikel</t>
        </is>
      </c>
      <c r="B120" s="76" t="inlineStr">
        <is>
          <t>D064: Siegellack</t>
        </is>
      </c>
      <c r="C120" s="76" t="inlineStr">
        <is>
          <t>Preisliste Zeile 1037. Für: Verwalter, Händler. Umfang: Verbrauchsmaterial zum Siegeln. Preisbegründung: Kleine gefärbte Harz-Leim-Menge. Preisanker: P64 (3.5 D); P54 (0.98 D). Regelreferenz: whk_spez_alchemie_leimsieder.</t>
        </is>
      </c>
      <c r="D120" s="76" t="inlineStr">
        <is>
          <t>Bestätigt</t>
        </is>
      </c>
      <c r="E120" s="76" t="inlineStr">
        <is>
          <t>2026-09-09</t>
        </is>
      </c>
    </row>
    <row xmlns="http://schemas.openxmlformats.org/spreadsheetml/2006/main" r="121" ht="36" hidden="0" customHeight="1">
      <c r="A121" s="76" t="inlineStr">
        <is>
          <t>NPC/Artikel</t>
        </is>
      </c>
      <c r="B121" s="76" t="inlineStr">
        <is>
          <t>D065: Formulare, unbeschrieben, zehn Stück</t>
        </is>
      </c>
      <c r="C121" s="76" t="inlineStr">
        <is>
          <t>Preisliste Zeile 1038. Für: Verwalter, Händler, Wache. Umfang: Kein ausgestelltes amtliches Dokument; Inhalt und Unterzeichnung separat. Preisbegründung: Papierkosten plus wiederholter einfacher Druck. Preisanker: P146 (1.3 D). Regelreferenz: whk_spez_drucker_lithograf.</t>
        </is>
      </c>
      <c r="D121" s="76" t="inlineStr">
        <is>
          <t>Bestätigt</t>
        </is>
      </c>
      <c r="E121" s="76" t="inlineStr">
        <is>
          <t>2026-09-09</t>
        </is>
      </c>
    </row>
    <row xmlns="http://schemas.openxmlformats.org/spreadsheetml/2006/main" r="122" ht="36" hidden="0" customHeight="1">
      <c r="A122" s="76" t="inlineStr">
        <is>
          <t>NPC/Artikel</t>
        </is>
      </c>
      <c r="B122" s="76" t="inlineStr">
        <is>
          <t>D066: Arbeitsschürze, Leder</t>
        </is>
      </c>
      <c r="C122" s="76" t="inlineStr">
        <is>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is>
      </c>
      <c r="D122" s="76" t="inlineStr">
        <is>
          <t>Bestätigt</t>
        </is>
      </c>
      <c r="E122" s="76" t="inlineStr">
        <is>
          <t>2026-09-09</t>
        </is>
      </c>
    </row>
    <row xmlns="http://schemas.openxmlformats.org/spreadsheetml/2006/main" r="123" ht="36" hidden="0" customHeight="1">
      <c r="A123" s="76" t="inlineStr">
        <is>
          <t>NPC/Artikel</t>
        </is>
      </c>
      <c r="B123" s="76" t="inlineStr">
        <is>
          <t>D067: Arbeitsschürze, Leinen</t>
        </is>
      </c>
      <c r="C123" s="76" t="inlineStr">
        <is>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is>
      </c>
      <c r="D123" s="76" t="inlineStr">
        <is>
          <t>Bestätigt</t>
        </is>
      </c>
      <c r="E123" s="76" t="inlineStr">
        <is>
          <t>2026-09-09</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n">
        <v>3</v>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n">
        <v>1</v>
      </c>
      <c r="K23" t="inlineStr">
        <is>
          <t>nur auf dem Trollkontinent von Zentauern erhältlich</t>
        </is>
      </c>
    </row>
  </sheetData>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n">
        <v>10</v>
      </c>
      <c r="G6" t="inlineStr">
        <is>
          <t xml:space="preserve">nur bei Zentauren auf dem Trollkontinent erhältlich. </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 right="0.7" top="0.75" bottom="0.75" header="0.3" footer="0.3"/>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Q68"/>
  <sheetViews>
    <sheetView workbookViewId="0">
      <selection activeCell="A1" sqref="A1"/>
    </sheetView>
  </sheetViews>
  <sheetFormatPr baseColWidth="10" defaultColWidth="9.140625" defaultRowHeight="15"/>
  <cols>
    <col width="6.7109375" customWidth="1" style="48" min="13" max="13"/>
    <col width="21" customWidth="1" style="48" min="14" max="14"/>
    <col width="11.42578125" customWidth="1" style="48" min="15" max="15"/>
    <col width="13.7109375" customWidth="1" style="48" min="16" max="16"/>
    <col width="11.7109375" customWidth="1" style="48" min="17" max="17"/>
  </cols>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c r="M1" t="inlineStr">
        <is>
          <t>Element</t>
        </is>
      </c>
      <c r="N1" t="inlineStr">
        <is>
          <t>Wirkungsstufe-Offset</t>
        </is>
      </c>
      <c r="O1" t="inlineStr">
        <is>
          <t>Zusatzwert-Art</t>
        </is>
      </c>
      <c r="P1" t="inlineStr">
        <is>
          <t>Schadenselement</t>
        </is>
      </c>
      <c r="Q1" t="inlineStr">
        <is>
          <t>Namenspraefix</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TaW</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TaW</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c r="M22" t="inlineStr">
        <is>
          <t>Flamme</t>
        </is>
      </c>
      <c r="N22" t="n">
        <v>1</v>
      </c>
      <c r="P22" t="inlineStr">
        <is>
          <t>Flamme</t>
        </is>
      </c>
      <c r="Q22" t="inlineStr">
        <is>
          <t>Flammen</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c r="M23" t="inlineStr">
        <is>
          <t>Frost</t>
        </is>
      </c>
      <c r="N23" t="n">
        <v>0</v>
      </c>
      <c r="P23" t="inlineStr">
        <is>
          <t>Frost</t>
        </is>
      </c>
      <c r="Q23" t="inlineStr">
        <is>
          <t>Frost</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c r="M24" t="inlineStr">
        <is>
          <t>Sturm</t>
        </is>
      </c>
      <c r="N24" t="n">
        <v>0</v>
      </c>
      <c r="P24" t="inlineStr">
        <is>
          <t>Sturm</t>
        </is>
      </c>
      <c r="Q24" t="inlineStr">
        <is>
          <t>Sturm</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c r="M25" t="inlineStr">
        <is>
          <t>Splitter</t>
        </is>
      </c>
      <c r="N25" t="n">
        <v>0</v>
      </c>
      <c r="O25" t="inlineStr">
        <is>
          <t>RB</t>
        </is>
      </c>
      <c r="P25" t="inlineStr">
        <is>
          <t>Erde</t>
        </is>
      </c>
      <c r="Q25" t="inlineStr">
        <is>
          <t>Splitter</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c r="M26" t="inlineStr">
        <is>
          <t>Schock</t>
        </is>
      </c>
      <c r="N26" t="n">
        <v>0</v>
      </c>
      <c r="O26" t="inlineStr">
        <is>
          <t>SB</t>
        </is>
      </c>
      <c r="P26" t="inlineStr">
        <is>
          <t>Schock</t>
        </is>
      </c>
      <c r="Q26" t="inlineStr">
        <is>
          <t>Schock</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TP und insgesamt (M) TP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row r="59">
      <c r="A59" t="inlineStr">
        <is>
          <t>artefakt_eigenschafts_artefakt_athletik</t>
        </is>
      </c>
      <c r="B59" t="inlineStr">
        <is>
          <t>Eigenschafts-Artefakt (Athletik)</t>
        </is>
      </c>
      <c r="C59" t="inlineStr">
        <is>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is>
      </c>
      <c r="D59" t="n">
        <v>4</v>
      </c>
      <c r="E59" t="n">
        <v>24</v>
      </c>
      <c r="F59" t="n">
        <v>4</v>
      </c>
      <c r="G59" t="inlineStr">
        <is>
          <t>sofort</t>
        </is>
      </c>
      <c r="H59" t="n">
        <v>24</v>
      </c>
      <c r="I59" t="inlineStr">
        <is>
          <t>h</t>
        </is>
      </c>
      <c r="J59" t="inlineStr">
        <is>
          <t xml:space="preserve">Eig + </t>
        </is>
      </c>
      <c r="L59" t="inlineStr">
        <is>
          <t>Athletik</t>
        </is>
      </c>
    </row>
    <row r="60">
      <c r="A60" t="inlineStr">
        <is>
          <t>artefakt_eigenschafts_artefakt_ausstrahlung</t>
        </is>
      </c>
      <c r="B60" t="inlineStr">
        <is>
          <t>Eigenschafts-Artefakt (Ausstrahlung)</t>
        </is>
      </c>
      <c r="C60" t="inlineStr">
        <is>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is>
      </c>
      <c r="D60" t="n">
        <v>4</v>
      </c>
      <c r="E60" t="n">
        <v>24</v>
      </c>
      <c r="F60" t="n">
        <v>4</v>
      </c>
      <c r="G60" t="inlineStr">
        <is>
          <t>sofort</t>
        </is>
      </c>
      <c r="H60" t="n">
        <v>24</v>
      </c>
      <c r="I60" t="inlineStr">
        <is>
          <t>h</t>
        </is>
      </c>
      <c r="J60" t="inlineStr">
        <is>
          <t xml:space="preserve">Eig + </t>
        </is>
      </c>
      <c r="L60" t="inlineStr">
        <is>
          <t>Ausstrahlung</t>
        </is>
      </c>
    </row>
    <row r="61">
      <c r="A61" t="inlineStr">
        <is>
          <t>artefakt_eigenschafts_artefakt_geschicklichkeit</t>
        </is>
      </c>
      <c r="B61" t="inlineStr">
        <is>
          <t>Eigenschafts-Artefakt (Geschicklichkeit)</t>
        </is>
      </c>
      <c r="C61" t="inlineStr">
        <is>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is>
      </c>
      <c r="D61" t="n">
        <v>4</v>
      </c>
      <c r="E61" t="n">
        <v>24</v>
      </c>
      <c r="F61" t="n">
        <v>4</v>
      </c>
      <c r="G61" t="inlineStr">
        <is>
          <t>sofort</t>
        </is>
      </c>
      <c r="H61" t="n">
        <v>24</v>
      </c>
      <c r="I61" t="inlineStr">
        <is>
          <t>h</t>
        </is>
      </c>
      <c r="J61" t="inlineStr">
        <is>
          <t xml:space="preserve">Eig + </t>
        </is>
      </c>
      <c r="L61" t="inlineStr">
        <is>
          <t>Geschicklichkeit</t>
        </is>
      </c>
    </row>
    <row r="62">
      <c r="A62" t="inlineStr">
        <is>
          <t>artefakt_eigenschafts_artefakt_intelligenz</t>
        </is>
      </c>
      <c r="B62" t="inlineStr">
        <is>
          <t>Eigenschafts-Artefakt (Intelligenz)</t>
        </is>
      </c>
      <c r="C62" t="inlineStr">
        <is>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is>
      </c>
      <c r="D62" t="n">
        <v>4</v>
      </c>
      <c r="E62" t="n">
        <v>24</v>
      </c>
      <c r="F62" t="n">
        <v>4</v>
      </c>
      <c r="G62" t="inlineStr">
        <is>
          <t>sofort</t>
        </is>
      </c>
      <c r="H62" t="n">
        <v>24</v>
      </c>
      <c r="I62" t="inlineStr">
        <is>
          <t>h</t>
        </is>
      </c>
      <c r="J62" t="inlineStr">
        <is>
          <t xml:space="preserve">Eig + </t>
        </is>
      </c>
      <c r="L62" t="inlineStr">
        <is>
          <t>Intelligenz</t>
        </is>
      </c>
    </row>
    <row r="63">
      <c r="A63" t="inlineStr">
        <is>
          <t>artefakt_eigenschafts_artefakt_konstitution</t>
        </is>
      </c>
      <c r="B63" t="inlineStr">
        <is>
          <t>Eigenschafts-Artefakt (Konstitution)</t>
        </is>
      </c>
      <c r="C63" t="inlineStr">
        <is>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is>
      </c>
      <c r="D63" t="n">
        <v>4</v>
      </c>
      <c r="E63" t="n">
        <v>24</v>
      </c>
      <c r="F63" t="n">
        <v>4</v>
      </c>
      <c r="G63" t="inlineStr">
        <is>
          <t>sofort</t>
        </is>
      </c>
      <c r="H63" t="n">
        <v>24</v>
      </c>
      <c r="I63" t="inlineStr">
        <is>
          <t>h</t>
        </is>
      </c>
      <c r="J63" t="inlineStr">
        <is>
          <t xml:space="preserve">Eig + </t>
        </is>
      </c>
      <c r="L63" t="inlineStr">
        <is>
          <t>Konstitution</t>
        </is>
      </c>
    </row>
    <row r="64">
      <c r="A64" t="inlineStr">
        <is>
          <t>artefakt_eigenschafts_artefakt_mut</t>
        </is>
      </c>
      <c r="B64" t="inlineStr">
        <is>
          <t>Eigenschafts-Artefakt (Mut)</t>
        </is>
      </c>
      <c r="C64" t="inlineStr">
        <is>
          <t>Mut wird fuer einen magischen Tag magisch erhoeht. Nur permanent (kein Einmal-Artefakt). Bezieht sich auf die Eigenschaft 'Mut' im Werte-Sheet (Kategorie 'Eigenschaften': Athletik/Ausstrahlung/Geschicklichkeit/Intelligenz/Konstitution/Mut/Schnelligkeit/Sinnesschaerfe/Staerke/Willenskraft).</t>
        </is>
      </c>
      <c r="D64" t="n">
        <v>4</v>
      </c>
      <c r="E64" t="n">
        <v>24</v>
      </c>
      <c r="F64" t="n">
        <v>4</v>
      </c>
      <c r="G64" t="inlineStr">
        <is>
          <t>sofort</t>
        </is>
      </c>
      <c r="H64" t="n">
        <v>24</v>
      </c>
      <c r="I64" t="inlineStr">
        <is>
          <t>h</t>
        </is>
      </c>
      <c r="J64" t="inlineStr">
        <is>
          <t xml:space="preserve">Eig + </t>
        </is>
      </c>
      <c r="L64" t="inlineStr">
        <is>
          <t>Mut</t>
        </is>
      </c>
    </row>
    <row r="65">
      <c r="A65" t="inlineStr">
        <is>
          <t>artefakt_eigenschafts_artefakt_schnelligkeit</t>
        </is>
      </c>
      <c r="B65" t="inlineStr">
        <is>
          <t>Eigenschafts-Artefakt (Schnelligkeit)</t>
        </is>
      </c>
      <c r="C65" t="inlineStr">
        <is>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is>
      </c>
      <c r="D65" t="n">
        <v>4</v>
      </c>
      <c r="E65" t="n">
        <v>24</v>
      </c>
      <c r="F65" t="n">
        <v>4</v>
      </c>
      <c r="G65" t="inlineStr">
        <is>
          <t>sofort</t>
        </is>
      </c>
      <c r="H65" t="n">
        <v>24</v>
      </c>
      <c r="I65" t="inlineStr">
        <is>
          <t>h</t>
        </is>
      </c>
      <c r="J65" t="inlineStr">
        <is>
          <t xml:space="preserve">Eig + </t>
        </is>
      </c>
      <c r="L65" t="inlineStr">
        <is>
          <t>Schnelligkeit</t>
        </is>
      </c>
    </row>
    <row r="66">
      <c r="A66" t="inlineStr">
        <is>
          <t>artefakt_eigenschafts_artefakt_sinnesschaerfe</t>
        </is>
      </c>
      <c r="B66" t="inlineStr">
        <is>
          <t>Eigenschafts-Artefakt (Sinnesschaerfe)</t>
        </is>
      </c>
      <c r="C66" t="inlineStr">
        <is>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is>
      </c>
      <c r="D66" t="n">
        <v>4</v>
      </c>
      <c r="E66" t="n">
        <v>24</v>
      </c>
      <c r="F66" t="n">
        <v>4</v>
      </c>
      <c r="G66" t="inlineStr">
        <is>
          <t>sofort</t>
        </is>
      </c>
      <c r="H66" t="n">
        <v>24</v>
      </c>
      <c r="I66" t="inlineStr">
        <is>
          <t>h</t>
        </is>
      </c>
      <c r="J66" t="inlineStr">
        <is>
          <t xml:space="preserve">Eig + </t>
        </is>
      </c>
      <c r="L66" t="inlineStr">
        <is>
          <t>Sinnesschaerfe</t>
        </is>
      </c>
    </row>
    <row r="67">
      <c r="A67" t="inlineStr">
        <is>
          <t>artefakt_eigenschafts_artefakt_staerke</t>
        </is>
      </c>
      <c r="B67" t="inlineStr">
        <is>
          <t>Eigenschafts-Artefakt (Staerke)</t>
        </is>
      </c>
      <c r="C67" t="inlineStr">
        <is>
          <t>Staerke wird fuer einen magischen Tag magisch erhoeht. Nur permanent (kein Einmal-Artefakt). Bezieht sich auf die Eigenschaft 'Staerke' im Werte-Sheet (Kategorie 'Eigenschaften': Athletik/Ausstrahlung/Geschicklichkeit/Intelligenz/Konstitution/Mut/Schnelligkeit/Sinnesschaerfe/Staerke/Willenskraft).</t>
        </is>
      </c>
      <c r="D67" t="n">
        <v>4</v>
      </c>
      <c r="E67" t="n">
        <v>24</v>
      </c>
      <c r="F67" t="n">
        <v>4</v>
      </c>
      <c r="G67" t="inlineStr">
        <is>
          <t>sofort</t>
        </is>
      </c>
      <c r="H67" t="n">
        <v>24</v>
      </c>
      <c r="I67" t="inlineStr">
        <is>
          <t>h</t>
        </is>
      </c>
      <c r="J67" t="inlineStr">
        <is>
          <t xml:space="preserve">Eig + </t>
        </is>
      </c>
      <c r="L67" t="inlineStr">
        <is>
          <t>Staerke</t>
        </is>
      </c>
    </row>
    <row r="68">
      <c r="A68" t="inlineStr">
        <is>
          <t>artefakt_eigenschafts_artefakt_willenskraft</t>
        </is>
      </c>
      <c r="B68" t="inlineStr">
        <is>
          <t>Eigenschafts-Artefakt (Willenskraft)</t>
        </is>
      </c>
      <c r="C68" t="inlineStr">
        <is>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is>
      </c>
      <c r="D68" t="n">
        <v>4</v>
      </c>
      <c r="E68" t="n">
        <v>24</v>
      </c>
      <c r="F68" t="n">
        <v>4</v>
      </c>
      <c r="G68" t="inlineStr">
        <is>
          <t>sofort</t>
        </is>
      </c>
      <c r="H68" t="n">
        <v>24</v>
      </c>
      <c r="I68" t="inlineStr">
        <is>
          <t>h</t>
        </is>
      </c>
      <c r="J68" t="inlineStr">
        <is>
          <t xml:space="preserve">Eig + </t>
        </is>
      </c>
      <c r="L68" t="inlineStr">
        <is>
          <t>Willenskraft</t>
        </is>
      </c>
    </row>
  </sheetData>
  <pageMargins left="0.7" right="0.7" top="0.75" bottom="0.75" header="0.3" footer="0.3"/>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G470"/>
  <sheetViews>
    <sheetView workbookViewId="0">
      <selection activeCell="A1" sqref="A1"/>
    </sheetView>
  </sheetViews>
  <sheetFormatPr baseColWidth="10" defaultColWidth="9.140625" defaultRowHeight="15"/>
  <sheetData>
    <row r="1">
      <c r="A1" t="inlineStr">
        <is>
          <t>Referenz</t>
        </is>
      </c>
      <c r="B1" t="inlineStr">
        <is>
          <t>Name</t>
        </is>
      </c>
      <c r="C1" t="inlineStr">
        <is>
          <t>Wirkungsgrad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row r="401">
      <c r="A401" t="inlineStr">
        <is>
          <t>artefakt_eigenschafts_artefakt_athletik</t>
        </is>
      </c>
      <c r="B401" t="inlineStr">
        <is>
          <t>Eigenschafts-Artefakt (Athletik)</t>
        </is>
      </c>
      <c r="C401" t="n">
        <v>1</v>
      </c>
      <c r="F401" t="n">
        <v>705</v>
      </c>
      <c r="G401" t="n">
        <v>5</v>
      </c>
    </row>
    <row r="402">
      <c r="A402" t="inlineStr">
        <is>
          <t>artefakt_eigenschafts_artefakt_athletik</t>
        </is>
      </c>
      <c r="B402" t="inlineStr">
        <is>
          <t>Eigenschafts-Artefakt (Athletik)</t>
        </is>
      </c>
      <c r="C402" t="n">
        <v>2</v>
      </c>
      <c r="F402" t="n">
        <v>1408</v>
      </c>
      <c r="G402" t="n">
        <v>5</v>
      </c>
    </row>
    <row r="403">
      <c r="A403" t="inlineStr">
        <is>
          <t>artefakt_eigenschafts_artefakt_athletik</t>
        </is>
      </c>
      <c r="B403" t="inlineStr">
        <is>
          <t>Eigenschafts-Artefakt (Athletik)</t>
        </is>
      </c>
      <c r="C403" t="n">
        <v>3</v>
      </c>
      <c r="F403" t="n">
        <v>2438</v>
      </c>
      <c r="G403" t="n">
        <v>5</v>
      </c>
    </row>
    <row r="404">
      <c r="A404" t="inlineStr">
        <is>
          <t>artefakt_eigenschafts_artefakt_athletik</t>
        </is>
      </c>
      <c r="B404" t="inlineStr">
        <is>
          <t>Eigenschafts-Artefakt (Athletik)</t>
        </is>
      </c>
      <c r="C404" t="n">
        <v>4</v>
      </c>
      <c r="F404" t="n">
        <v>3754</v>
      </c>
      <c r="G404" t="n">
        <v>5</v>
      </c>
    </row>
    <row r="405">
      <c r="A405" t="inlineStr">
        <is>
          <t>artefakt_eigenschafts_artefakt_athletik</t>
        </is>
      </c>
      <c r="B405" t="inlineStr">
        <is>
          <t>Eigenschafts-Artefakt (Athletik)</t>
        </is>
      </c>
      <c r="C405" t="n">
        <v>5</v>
      </c>
      <c r="F405" t="n">
        <v>6282</v>
      </c>
      <c r="G405" t="n">
        <v>5</v>
      </c>
    </row>
    <row r="406">
      <c r="A406" t="inlineStr">
        <is>
          <t>artefakt_eigenschafts_artefakt_athletik</t>
        </is>
      </c>
      <c r="B406" t="inlineStr">
        <is>
          <t>Eigenschafts-Artefakt (Athletik)</t>
        </is>
      </c>
      <c r="C406" t="n">
        <v>6</v>
      </c>
      <c r="F406" t="n">
        <v>9030</v>
      </c>
      <c r="G406" t="n">
        <v>6</v>
      </c>
    </row>
    <row r="407">
      <c r="A407" t="inlineStr">
        <is>
          <t>artefakt_eigenschafts_artefakt_athletik</t>
        </is>
      </c>
      <c r="B407" t="inlineStr">
        <is>
          <t>Eigenschafts-Artefakt (Athletik)</t>
        </is>
      </c>
      <c r="C407" t="n">
        <v>7</v>
      </c>
      <c r="F407" t="n">
        <v>15240</v>
      </c>
      <c r="G407" t="n">
        <v>7</v>
      </c>
    </row>
    <row r="408">
      <c r="A408" t="inlineStr">
        <is>
          <t>artefakt_eigenschafts_artefakt_ausstrahlung</t>
        </is>
      </c>
      <c r="B408" t="inlineStr">
        <is>
          <t>Eigenschafts-Artefakt (Ausstrahlung)</t>
        </is>
      </c>
      <c r="C408" t="n">
        <v>1</v>
      </c>
      <c r="F408" t="n">
        <v>705</v>
      </c>
      <c r="G408" t="n">
        <v>5</v>
      </c>
    </row>
    <row r="409">
      <c r="A409" t="inlineStr">
        <is>
          <t>artefakt_eigenschafts_artefakt_ausstrahlung</t>
        </is>
      </c>
      <c r="B409" t="inlineStr">
        <is>
          <t>Eigenschafts-Artefakt (Ausstrahlung)</t>
        </is>
      </c>
      <c r="C409" t="n">
        <v>2</v>
      </c>
      <c r="F409" t="n">
        <v>1408</v>
      </c>
      <c r="G409" t="n">
        <v>5</v>
      </c>
    </row>
    <row r="410">
      <c r="A410" t="inlineStr">
        <is>
          <t>artefakt_eigenschafts_artefakt_ausstrahlung</t>
        </is>
      </c>
      <c r="B410" t="inlineStr">
        <is>
          <t>Eigenschafts-Artefakt (Ausstrahlung)</t>
        </is>
      </c>
      <c r="C410" t="n">
        <v>3</v>
      </c>
      <c r="F410" t="n">
        <v>2438</v>
      </c>
      <c r="G410" t="n">
        <v>5</v>
      </c>
    </row>
    <row r="411">
      <c r="A411" t="inlineStr">
        <is>
          <t>artefakt_eigenschafts_artefakt_ausstrahlung</t>
        </is>
      </c>
      <c r="B411" t="inlineStr">
        <is>
          <t>Eigenschafts-Artefakt (Ausstrahlung)</t>
        </is>
      </c>
      <c r="C411" t="n">
        <v>4</v>
      </c>
      <c r="F411" t="n">
        <v>3754</v>
      </c>
      <c r="G411" t="n">
        <v>5</v>
      </c>
    </row>
    <row r="412">
      <c r="A412" t="inlineStr">
        <is>
          <t>artefakt_eigenschafts_artefakt_ausstrahlung</t>
        </is>
      </c>
      <c r="B412" t="inlineStr">
        <is>
          <t>Eigenschafts-Artefakt (Ausstrahlung)</t>
        </is>
      </c>
      <c r="C412" t="n">
        <v>5</v>
      </c>
      <c r="F412" t="n">
        <v>6282</v>
      </c>
      <c r="G412" t="n">
        <v>5</v>
      </c>
    </row>
    <row r="413">
      <c r="A413" t="inlineStr">
        <is>
          <t>artefakt_eigenschafts_artefakt_ausstrahlung</t>
        </is>
      </c>
      <c r="B413" t="inlineStr">
        <is>
          <t>Eigenschafts-Artefakt (Ausstrahlung)</t>
        </is>
      </c>
      <c r="C413" t="n">
        <v>6</v>
      </c>
      <c r="F413" t="n">
        <v>9030</v>
      </c>
      <c r="G413" t="n">
        <v>6</v>
      </c>
    </row>
    <row r="414">
      <c r="A414" t="inlineStr">
        <is>
          <t>artefakt_eigenschafts_artefakt_ausstrahlung</t>
        </is>
      </c>
      <c r="B414" t="inlineStr">
        <is>
          <t>Eigenschafts-Artefakt (Ausstrahlung)</t>
        </is>
      </c>
      <c r="C414" t="n">
        <v>7</v>
      </c>
      <c r="F414" t="n">
        <v>15240</v>
      </c>
      <c r="G414" t="n">
        <v>7</v>
      </c>
    </row>
    <row r="415">
      <c r="A415" t="inlineStr">
        <is>
          <t>artefakt_eigenschafts_artefakt_geschicklichkeit</t>
        </is>
      </c>
      <c r="B415" t="inlineStr">
        <is>
          <t>Eigenschafts-Artefakt (Geschicklichkeit)</t>
        </is>
      </c>
      <c r="C415" t="n">
        <v>1</v>
      </c>
      <c r="F415" t="n">
        <v>705</v>
      </c>
      <c r="G415" t="n">
        <v>5</v>
      </c>
    </row>
    <row r="416">
      <c r="A416" t="inlineStr">
        <is>
          <t>artefakt_eigenschafts_artefakt_geschicklichkeit</t>
        </is>
      </c>
      <c r="B416" t="inlineStr">
        <is>
          <t>Eigenschafts-Artefakt (Geschicklichkeit)</t>
        </is>
      </c>
      <c r="C416" t="n">
        <v>2</v>
      </c>
      <c r="F416" t="n">
        <v>1408</v>
      </c>
      <c r="G416" t="n">
        <v>5</v>
      </c>
    </row>
    <row r="417">
      <c r="A417" t="inlineStr">
        <is>
          <t>artefakt_eigenschafts_artefakt_geschicklichkeit</t>
        </is>
      </c>
      <c r="B417" t="inlineStr">
        <is>
          <t>Eigenschafts-Artefakt (Geschicklichkeit)</t>
        </is>
      </c>
      <c r="C417" t="n">
        <v>3</v>
      </c>
      <c r="F417" t="n">
        <v>2438</v>
      </c>
      <c r="G417" t="n">
        <v>5</v>
      </c>
    </row>
    <row r="418">
      <c r="A418" t="inlineStr">
        <is>
          <t>artefakt_eigenschafts_artefakt_geschicklichkeit</t>
        </is>
      </c>
      <c r="B418" t="inlineStr">
        <is>
          <t>Eigenschafts-Artefakt (Geschicklichkeit)</t>
        </is>
      </c>
      <c r="C418" t="n">
        <v>4</v>
      </c>
      <c r="F418" t="n">
        <v>3754</v>
      </c>
      <c r="G418" t="n">
        <v>5</v>
      </c>
    </row>
    <row r="419">
      <c r="A419" t="inlineStr">
        <is>
          <t>artefakt_eigenschafts_artefakt_geschicklichkeit</t>
        </is>
      </c>
      <c r="B419" t="inlineStr">
        <is>
          <t>Eigenschafts-Artefakt (Geschicklichkeit)</t>
        </is>
      </c>
      <c r="C419" t="n">
        <v>5</v>
      </c>
      <c r="F419" t="n">
        <v>6282</v>
      </c>
      <c r="G419" t="n">
        <v>5</v>
      </c>
    </row>
    <row r="420">
      <c r="A420" t="inlineStr">
        <is>
          <t>artefakt_eigenschafts_artefakt_geschicklichkeit</t>
        </is>
      </c>
      <c r="B420" t="inlineStr">
        <is>
          <t>Eigenschafts-Artefakt (Geschicklichkeit)</t>
        </is>
      </c>
      <c r="C420" t="n">
        <v>6</v>
      </c>
      <c r="F420" t="n">
        <v>9030</v>
      </c>
      <c r="G420" t="n">
        <v>6</v>
      </c>
    </row>
    <row r="421">
      <c r="A421" t="inlineStr">
        <is>
          <t>artefakt_eigenschafts_artefakt_geschicklichkeit</t>
        </is>
      </c>
      <c r="B421" t="inlineStr">
        <is>
          <t>Eigenschafts-Artefakt (Geschicklichkeit)</t>
        </is>
      </c>
      <c r="C421" t="n">
        <v>7</v>
      </c>
      <c r="F421" t="n">
        <v>15240</v>
      </c>
      <c r="G421" t="n">
        <v>7</v>
      </c>
    </row>
    <row r="422">
      <c r="A422" t="inlineStr">
        <is>
          <t>artefakt_eigenschafts_artefakt_intelligenz</t>
        </is>
      </c>
      <c r="B422" t="inlineStr">
        <is>
          <t>Eigenschafts-Artefakt (Intelligenz)</t>
        </is>
      </c>
      <c r="C422" t="n">
        <v>1</v>
      </c>
      <c r="F422" t="n">
        <v>705</v>
      </c>
      <c r="G422" t="n">
        <v>5</v>
      </c>
    </row>
    <row r="423">
      <c r="A423" t="inlineStr">
        <is>
          <t>artefakt_eigenschafts_artefakt_intelligenz</t>
        </is>
      </c>
      <c r="B423" t="inlineStr">
        <is>
          <t>Eigenschafts-Artefakt (Intelligenz)</t>
        </is>
      </c>
      <c r="C423" t="n">
        <v>2</v>
      </c>
      <c r="F423" t="n">
        <v>1408</v>
      </c>
      <c r="G423" t="n">
        <v>5</v>
      </c>
    </row>
    <row r="424">
      <c r="A424" t="inlineStr">
        <is>
          <t>artefakt_eigenschafts_artefakt_intelligenz</t>
        </is>
      </c>
      <c r="B424" t="inlineStr">
        <is>
          <t>Eigenschafts-Artefakt (Intelligenz)</t>
        </is>
      </c>
      <c r="C424" t="n">
        <v>3</v>
      </c>
      <c r="F424" t="n">
        <v>2438</v>
      </c>
      <c r="G424" t="n">
        <v>5</v>
      </c>
    </row>
    <row r="425">
      <c r="A425" t="inlineStr">
        <is>
          <t>artefakt_eigenschafts_artefakt_intelligenz</t>
        </is>
      </c>
      <c r="B425" t="inlineStr">
        <is>
          <t>Eigenschafts-Artefakt (Intelligenz)</t>
        </is>
      </c>
      <c r="C425" t="n">
        <v>4</v>
      </c>
      <c r="F425" t="n">
        <v>3754</v>
      </c>
      <c r="G425" t="n">
        <v>5</v>
      </c>
    </row>
    <row r="426">
      <c r="A426" t="inlineStr">
        <is>
          <t>artefakt_eigenschafts_artefakt_intelligenz</t>
        </is>
      </c>
      <c r="B426" t="inlineStr">
        <is>
          <t>Eigenschafts-Artefakt (Intelligenz)</t>
        </is>
      </c>
      <c r="C426" t="n">
        <v>5</v>
      </c>
      <c r="F426" t="n">
        <v>6282</v>
      </c>
      <c r="G426" t="n">
        <v>5</v>
      </c>
    </row>
    <row r="427">
      <c r="A427" t="inlineStr">
        <is>
          <t>artefakt_eigenschafts_artefakt_intelligenz</t>
        </is>
      </c>
      <c r="B427" t="inlineStr">
        <is>
          <t>Eigenschafts-Artefakt (Intelligenz)</t>
        </is>
      </c>
      <c r="C427" t="n">
        <v>6</v>
      </c>
      <c r="F427" t="n">
        <v>9030</v>
      </c>
      <c r="G427" t="n">
        <v>6</v>
      </c>
    </row>
    <row r="428">
      <c r="A428" t="inlineStr">
        <is>
          <t>artefakt_eigenschafts_artefakt_intelligenz</t>
        </is>
      </c>
      <c r="B428" t="inlineStr">
        <is>
          <t>Eigenschafts-Artefakt (Intelligenz)</t>
        </is>
      </c>
      <c r="C428" t="n">
        <v>7</v>
      </c>
      <c r="F428" t="n">
        <v>15240</v>
      </c>
      <c r="G428" t="n">
        <v>7</v>
      </c>
    </row>
    <row r="429">
      <c r="A429" t="inlineStr">
        <is>
          <t>artefakt_eigenschafts_artefakt_konstitution</t>
        </is>
      </c>
      <c r="B429" t="inlineStr">
        <is>
          <t>Eigenschafts-Artefakt (Konstitution)</t>
        </is>
      </c>
      <c r="C429" t="n">
        <v>1</v>
      </c>
      <c r="F429" t="n">
        <v>705</v>
      </c>
      <c r="G429" t="n">
        <v>5</v>
      </c>
    </row>
    <row r="430">
      <c r="A430" t="inlineStr">
        <is>
          <t>artefakt_eigenschafts_artefakt_konstitution</t>
        </is>
      </c>
      <c r="B430" t="inlineStr">
        <is>
          <t>Eigenschafts-Artefakt (Konstitution)</t>
        </is>
      </c>
      <c r="C430" t="n">
        <v>2</v>
      </c>
      <c r="F430" t="n">
        <v>1408</v>
      </c>
      <c r="G430" t="n">
        <v>5</v>
      </c>
    </row>
    <row r="431">
      <c r="A431" t="inlineStr">
        <is>
          <t>artefakt_eigenschafts_artefakt_konstitution</t>
        </is>
      </c>
      <c r="B431" t="inlineStr">
        <is>
          <t>Eigenschafts-Artefakt (Konstitution)</t>
        </is>
      </c>
      <c r="C431" t="n">
        <v>3</v>
      </c>
      <c r="F431" t="n">
        <v>2438</v>
      </c>
      <c r="G431" t="n">
        <v>5</v>
      </c>
    </row>
    <row r="432">
      <c r="A432" t="inlineStr">
        <is>
          <t>artefakt_eigenschafts_artefakt_konstitution</t>
        </is>
      </c>
      <c r="B432" t="inlineStr">
        <is>
          <t>Eigenschafts-Artefakt (Konstitution)</t>
        </is>
      </c>
      <c r="C432" t="n">
        <v>4</v>
      </c>
      <c r="F432" t="n">
        <v>3754</v>
      </c>
      <c r="G432" t="n">
        <v>5</v>
      </c>
    </row>
    <row r="433">
      <c r="A433" t="inlineStr">
        <is>
          <t>artefakt_eigenschafts_artefakt_konstitution</t>
        </is>
      </c>
      <c r="B433" t="inlineStr">
        <is>
          <t>Eigenschafts-Artefakt (Konstitution)</t>
        </is>
      </c>
      <c r="C433" t="n">
        <v>5</v>
      </c>
      <c r="F433" t="n">
        <v>6282</v>
      </c>
      <c r="G433" t="n">
        <v>5</v>
      </c>
    </row>
    <row r="434">
      <c r="A434" t="inlineStr">
        <is>
          <t>artefakt_eigenschafts_artefakt_konstitution</t>
        </is>
      </c>
      <c r="B434" t="inlineStr">
        <is>
          <t>Eigenschafts-Artefakt (Konstitution)</t>
        </is>
      </c>
      <c r="C434" t="n">
        <v>6</v>
      </c>
      <c r="F434" t="n">
        <v>9030</v>
      </c>
      <c r="G434" t="n">
        <v>6</v>
      </c>
    </row>
    <row r="435">
      <c r="A435" t="inlineStr">
        <is>
          <t>artefakt_eigenschafts_artefakt_konstitution</t>
        </is>
      </c>
      <c r="B435" t="inlineStr">
        <is>
          <t>Eigenschafts-Artefakt (Konstitution)</t>
        </is>
      </c>
      <c r="C435" t="n">
        <v>7</v>
      </c>
      <c r="F435" t="n">
        <v>15240</v>
      </c>
      <c r="G435" t="n">
        <v>7</v>
      </c>
    </row>
    <row r="436">
      <c r="A436" t="inlineStr">
        <is>
          <t>artefakt_eigenschafts_artefakt_mut</t>
        </is>
      </c>
      <c r="B436" t="inlineStr">
        <is>
          <t>Eigenschafts-Artefakt (Mut)</t>
        </is>
      </c>
      <c r="C436" t="n">
        <v>1</v>
      </c>
      <c r="F436" t="n">
        <v>705</v>
      </c>
      <c r="G436" t="n">
        <v>5</v>
      </c>
    </row>
    <row r="437">
      <c r="A437" t="inlineStr">
        <is>
          <t>artefakt_eigenschafts_artefakt_mut</t>
        </is>
      </c>
      <c r="B437" t="inlineStr">
        <is>
          <t>Eigenschafts-Artefakt (Mut)</t>
        </is>
      </c>
      <c r="C437" t="n">
        <v>2</v>
      </c>
      <c r="F437" t="n">
        <v>1408</v>
      </c>
      <c r="G437" t="n">
        <v>5</v>
      </c>
    </row>
    <row r="438">
      <c r="A438" t="inlineStr">
        <is>
          <t>artefakt_eigenschafts_artefakt_mut</t>
        </is>
      </c>
      <c r="B438" t="inlineStr">
        <is>
          <t>Eigenschafts-Artefakt (Mut)</t>
        </is>
      </c>
      <c r="C438" t="n">
        <v>3</v>
      </c>
      <c r="F438" t="n">
        <v>2438</v>
      </c>
      <c r="G438" t="n">
        <v>5</v>
      </c>
    </row>
    <row r="439">
      <c r="A439" t="inlineStr">
        <is>
          <t>artefakt_eigenschafts_artefakt_mut</t>
        </is>
      </c>
      <c r="B439" t="inlineStr">
        <is>
          <t>Eigenschafts-Artefakt (Mut)</t>
        </is>
      </c>
      <c r="C439" t="n">
        <v>4</v>
      </c>
      <c r="F439" t="n">
        <v>3754</v>
      </c>
      <c r="G439" t="n">
        <v>5</v>
      </c>
    </row>
    <row r="440">
      <c r="A440" t="inlineStr">
        <is>
          <t>artefakt_eigenschafts_artefakt_mut</t>
        </is>
      </c>
      <c r="B440" t="inlineStr">
        <is>
          <t>Eigenschafts-Artefakt (Mut)</t>
        </is>
      </c>
      <c r="C440" t="n">
        <v>5</v>
      </c>
      <c r="F440" t="n">
        <v>6282</v>
      </c>
      <c r="G440" t="n">
        <v>5</v>
      </c>
    </row>
    <row r="441">
      <c r="A441" t="inlineStr">
        <is>
          <t>artefakt_eigenschafts_artefakt_mut</t>
        </is>
      </c>
      <c r="B441" t="inlineStr">
        <is>
          <t>Eigenschafts-Artefakt (Mut)</t>
        </is>
      </c>
      <c r="C441" t="n">
        <v>6</v>
      </c>
      <c r="F441" t="n">
        <v>9030</v>
      </c>
      <c r="G441" t="n">
        <v>6</v>
      </c>
    </row>
    <row r="442">
      <c r="A442" t="inlineStr">
        <is>
          <t>artefakt_eigenschafts_artefakt_mut</t>
        </is>
      </c>
      <c r="B442" t="inlineStr">
        <is>
          <t>Eigenschafts-Artefakt (Mut)</t>
        </is>
      </c>
      <c r="C442" t="n">
        <v>7</v>
      </c>
      <c r="F442" t="n">
        <v>15240</v>
      </c>
      <c r="G442" t="n">
        <v>7</v>
      </c>
    </row>
    <row r="443">
      <c r="A443" t="inlineStr">
        <is>
          <t>artefakt_eigenschafts_artefakt_schnelligkeit</t>
        </is>
      </c>
      <c r="B443" t="inlineStr">
        <is>
          <t>Eigenschafts-Artefakt (Schnelligkeit)</t>
        </is>
      </c>
      <c r="C443" t="n">
        <v>1</v>
      </c>
      <c r="F443" t="n">
        <v>705</v>
      </c>
      <c r="G443" t="n">
        <v>5</v>
      </c>
    </row>
    <row r="444">
      <c r="A444" t="inlineStr">
        <is>
          <t>artefakt_eigenschafts_artefakt_schnelligkeit</t>
        </is>
      </c>
      <c r="B444" t="inlineStr">
        <is>
          <t>Eigenschafts-Artefakt (Schnelligkeit)</t>
        </is>
      </c>
      <c r="C444" t="n">
        <v>2</v>
      </c>
      <c r="F444" t="n">
        <v>1408</v>
      </c>
      <c r="G444" t="n">
        <v>5</v>
      </c>
    </row>
    <row r="445">
      <c r="A445" t="inlineStr">
        <is>
          <t>artefakt_eigenschafts_artefakt_schnelligkeit</t>
        </is>
      </c>
      <c r="B445" t="inlineStr">
        <is>
          <t>Eigenschafts-Artefakt (Schnelligkeit)</t>
        </is>
      </c>
      <c r="C445" t="n">
        <v>3</v>
      </c>
      <c r="F445" t="n">
        <v>2438</v>
      </c>
      <c r="G445" t="n">
        <v>5</v>
      </c>
    </row>
    <row r="446">
      <c r="A446" t="inlineStr">
        <is>
          <t>artefakt_eigenschafts_artefakt_schnelligkeit</t>
        </is>
      </c>
      <c r="B446" t="inlineStr">
        <is>
          <t>Eigenschafts-Artefakt (Schnelligkeit)</t>
        </is>
      </c>
      <c r="C446" t="n">
        <v>4</v>
      </c>
      <c r="F446" t="n">
        <v>3754</v>
      </c>
      <c r="G446" t="n">
        <v>5</v>
      </c>
    </row>
    <row r="447">
      <c r="A447" t="inlineStr">
        <is>
          <t>artefakt_eigenschafts_artefakt_schnelligkeit</t>
        </is>
      </c>
      <c r="B447" t="inlineStr">
        <is>
          <t>Eigenschafts-Artefakt (Schnelligkeit)</t>
        </is>
      </c>
      <c r="C447" t="n">
        <v>5</v>
      </c>
      <c r="F447" t="n">
        <v>6282</v>
      </c>
      <c r="G447" t="n">
        <v>5</v>
      </c>
    </row>
    <row r="448">
      <c r="A448" t="inlineStr">
        <is>
          <t>artefakt_eigenschafts_artefakt_schnelligkeit</t>
        </is>
      </c>
      <c r="B448" t="inlineStr">
        <is>
          <t>Eigenschafts-Artefakt (Schnelligkeit)</t>
        </is>
      </c>
      <c r="C448" t="n">
        <v>6</v>
      </c>
      <c r="F448" t="n">
        <v>9030</v>
      </c>
      <c r="G448" t="n">
        <v>6</v>
      </c>
    </row>
    <row r="449">
      <c r="A449" t="inlineStr">
        <is>
          <t>artefakt_eigenschafts_artefakt_schnelligkeit</t>
        </is>
      </c>
      <c r="B449" t="inlineStr">
        <is>
          <t>Eigenschafts-Artefakt (Schnelligkeit)</t>
        </is>
      </c>
      <c r="C449" t="n">
        <v>7</v>
      </c>
      <c r="F449" t="n">
        <v>15240</v>
      </c>
      <c r="G449" t="n">
        <v>7</v>
      </c>
    </row>
    <row r="450">
      <c r="A450" t="inlineStr">
        <is>
          <t>artefakt_eigenschafts_artefakt_sinnesschaerfe</t>
        </is>
      </c>
      <c r="B450" t="inlineStr">
        <is>
          <t>Eigenschafts-Artefakt (Sinnesschaerfe)</t>
        </is>
      </c>
      <c r="C450" t="n">
        <v>1</v>
      </c>
      <c r="F450" t="n">
        <v>705</v>
      </c>
      <c r="G450" t="n">
        <v>5</v>
      </c>
    </row>
    <row r="451">
      <c r="A451" t="inlineStr">
        <is>
          <t>artefakt_eigenschafts_artefakt_sinnesschaerfe</t>
        </is>
      </c>
      <c r="B451" t="inlineStr">
        <is>
          <t>Eigenschafts-Artefakt (Sinnesschaerfe)</t>
        </is>
      </c>
      <c r="C451" t="n">
        <v>2</v>
      </c>
      <c r="F451" t="n">
        <v>1408</v>
      </c>
      <c r="G451" t="n">
        <v>5</v>
      </c>
    </row>
    <row r="452">
      <c r="A452" t="inlineStr">
        <is>
          <t>artefakt_eigenschafts_artefakt_sinnesschaerfe</t>
        </is>
      </c>
      <c r="B452" t="inlineStr">
        <is>
          <t>Eigenschafts-Artefakt (Sinnesschaerfe)</t>
        </is>
      </c>
      <c r="C452" t="n">
        <v>3</v>
      </c>
      <c r="F452" t="n">
        <v>2438</v>
      </c>
      <c r="G452" t="n">
        <v>5</v>
      </c>
    </row>
    <row r="453">
      <c r="A453" t="inlineStr">
        <is>
          <t>artefakt_eigenschafts_artefakt_sinnesschaerfe</t>
        </is>
      </c>
      <c r="B453" t="inlineStr">
        <is>
          <t>Eigenschafts-Artefakt (Sinnesschaerfe)</t>
        </is>
      </c>
      <c r="C453" t="n">
        <v>4</v>
      </c>
      <c r="F453" t="n">
        <v>3754</v>
      </c>
      <c r="G453" t="n">
        <v>5</v>
      </c>
    </row>
    <row r="454">
      <c r="A454" t="inlineStr">
        <is>
          <t>artefakt_eigenschafts_artefakt_sinnesschaerfe</t>
        </is>
      </c>
      <c r="B454" t="inlineStr">
        <is>
          <t>Eigenschafts-Artefakt (Sinnesschaerfe)</t>
        </is>
      </c>
      <c r="C454" t="n">
        <v>5</v>
      </c>
      <c r="F454" t="n">
        <v>6282</v>
      </c>
      <c r="G454" t="n">
        <v>5</v>
      </c>
    </row>
    <row r="455">
      <c r="A455" t="inlineStr">
        <is>
          <t>artefakt_eigenschafts_artefakt_sinnesschaerfe</t>
        </is>
      </c>
      <c r="B455" t="inlineStr">
        <is>
          <t>Eigenschafts-Artefakt (Sinnesschaerfe)</t>
        </is>
      </c>
      <c r="C455" t="n">
        <v>6</v>
      </c>
      <c r="F455" t="n">
        <v>9030</v>
      </c>
      <c r="G455" t="n">
        <v>6</v>
      </c>
    </row>
    <row r="456">
      <c r="A456" t="inlineStr">
        <is>
          <t>artefakt_eigenschafts_artefakt_sinnesschaerfe</t>
        </is>
      </c>
      <c r="B456" t="inlineStr">
        <is>
          <t>Eigenschafts-Artefakt (Sinnesschaerfe)</t>
        </is>
      </c>
      <c r="C456" t="n">
        <v>7</v>
      </c>
      <c r="F456" t="n">
        <v>15240</v>
      </c>
      <c r="G456" t="n">
        <v>7</v>
      </c>
    </row>
    <row r="457">
      <c r="A457" t="inlineStr">
        <is>
          <t>artefakt_eigenschafts_artefakt_staerke</t>
        </is>
      </c>
      <c r="B457" t="inlineStr">
        <is>
          <t>Eigenschafts-Artefakt (Staerke)</t>
        </is>
      </c>
      <c r="C457" t="n">
        <v>1</v>
      </c>
      <c r="F457" t="n">
        <v>705</v>
      </c>
      <c r="G457" t="n">
        <v>5</v>
      </c>
    </row>
    <row r="458">
      <c r="A458" t="inlineStr">
        <is>
          <t>artefakt_eigenschafts_artefakt_staerke</t>
        </is>
      </c>
      <c r="B458" t="inlineStr">
        <is>
          <t>Eigenschafts-Artefakt (Staerke)</t>
        </is>
      </c>
      <c r="C458" t="n">
        <v>2</v>
      </c>
      <c r="F458" t="n">
        <v>1408</v>
      </c>
      <c r="G458" t="n">
        <v>5</v>
      </c>
    </row>
    <row r="459">
      <c r="A459" t="inlineStr">
        <is>
          <t>artefakt_eigenschafts_artefakt_staerke</t>
        </is>
      </c>
      <c r="B459" t="inlineStr">
        <is>
          <t>Eigenschafts-Artefakt (Staerke)</t>
        </is>
      </c>
      <c r="C459" t="n">
        <v>3</v>
      </c>
      <c r="F459" t="n">
        <v>2438</v>
      </c>
      <c r="G459" t="n">
        <v>5</v>
      </c>
    </row>
    <row r="460">
      <c r="A460" t="inlineStr">
        <is>
          <t>artefakt_eigenschafts_artefakt_staerke</t>
        </is>
      </c>
      <c r="B460" t="inlineStr">
        <is>
          <t>Eigenschafts-Artefakt (Staerke)</t>
        </is>
      </c>
      <c r="C460" t="n">
        <v>4</v>
      </c>
      <c r="F460" t="n">
        <v>3754</v>
      </c>
      <c r="G460" t="n">
        <v>5</v>
      </c>
    </row>
    <row r="461">
      <c r="A461" t="inlineStr">
        <is>
          <t>artefakt_eigenschafts_artefakt_staerke</t>
        </is>
      </c>
      <c r="B461" t="inlineStr">
        <is>
          <t>Eigenschafts-Artefakt (Staerke)</t>
        </is>
      </c>
      <c r="C461" t="n">
        <v>5</v>
      </c>
      <c r="F461" t="n">
        <v>6282</v>
      </c>
      <c r="G461" t="n">
        <v>5</v>
      </c>
    </row>
    <row r="462">
      <c r="A462" t="inlineStr">
        <is>
          <t>artefakt_eigenschafts_artefakt_staerke</t>
        </is>
      </c>
      <c r="B462" t="inlineStr">
        <is>
          <t>Eigenschafts-Artefakt (Staerke)</t>
        </is>
      </c>
      <c r="C462" t="n">
        <v>6</v>
      </c>
      <c r="F462" t="n">
        <v>9030</v>
      </c>
      <c r="G462" t="n">
        <v>6</v>
      </c>
    </row>
    <row r="463">
      <c r="A463" t="inlineStr">
        <is>
          <t>artefakt_eigenschafts_artefakt_staerke</t>
        </is>
      </c>
      <c r="B463" t="inlineStr">
        <is>
          <t>Eigenschafts-Artefakt (Staerke)</t>
        </is>
      </c>
      <c r="C463" t="n">
        <v>7</v>
      </c>
      <c r="F463" t="n">
        <v>15240</v>
      </c>
      <c r="G463" t="n">
        <v>7</v>
      </c>
    </row>
    <row r="464">
      <c r="A464" t="inlineStr">
        <is>
          <t>artefakt_eigenschafts_artefakt_willenskraft</t>
        </is>
      </c>
      <c r="B464" t="inlineStr">
        <is>
          <t>Eigenschafts-Artefakt (Willenskraft)</t>
        </is>
      </c>
      <c r="C464" t="n">
        <v>1</v>
      </c>
      <c r="F464" t="n">
        <v>705</v>
      </c>
      <c r="G464" t="n">
        <v>5</v>
      </c>
    </row>
    <row r="465">
      <c r="A465" t="inlineStr">
        <is>
          <t>artefakt_eigenschafts_artefakt_willenskraft</t>
        </is>
      </c>
      <c r="B465" t="inlineStr">
        <is>
          <t>Eigenschafts-Artefakt (Willenskraft)</t>
        </is>
      </c>
      <c r="C465" t="n">
        <v>2</v>
      </c>
      <c r="F465" t="n">
        <v>1408</v>
      </c>
      <c r="G465" t="n">
        <v>5</v>
      </c>
    </row>
    <row r="466">
      <c r="A466" t="inlineStr">
        <is>
          <t>artefakt_eigenschafts_artefakt_willenskraft</t>
        </is>
      </c>
      <c r="B466" t="inlineStr">
        <is>
          <t>Eigenschafts-Artefakt (Willenskraft)</t>
        </is>
      </c>
      <c r="C466" t="n">
        <v>3</v>
      </c>
      <c r="F466" t="n">
        <v>2438</v>
      </c>
      <c r="G466" t="n">
        <v>5</v>
      </c>
    </row>
    <row r="467">
      <c r="A467" t="inlineStr">
        <is>
          <t>artefakt_eigenschafts_artefakt_willenskraft</t>
        </is>
      </c>
      <c r="B467" t="inlineStr">
        <is>
          <t>Eigenschafts-Artefakt (Willenskraft)</t>
        </is>
      </c>
      <c r="C467" t="n">
        <v>4</v>
      </c>
      <c r="F467" t="n">
        <v>3754</v>
      </c>
      <c r="G467" t="n">
        <v>5</v>
      </c>
    </row>
    <row r="468">
      <c r="A468" t="inlineStr">
        <is>
          <t>artefakt_eigenschafts_artefakt_willenskraft</t>
        </is>
      </c>
      <c r="B468" t="inlineStr">
        <is>
          <t>Eigenschafts-Artefakt (Willenskraft)</t>
        </is>
      </c>
      <c r="C468" t="n">
        <v>5</v>
      </c>
      <c r="F468" t="n">
        <v>6282</v>
      </c>
      <c r="G468" t="n">
        <v>5</v>
      </c>
    </row>
    <row r="469">
      <c r="A469" t="inlineStr">
        <is>
          <t>artefakt_eigenschafts_artefakt_willenskraft</t>
        </is>
      </c>
      <c r="B469" t="inlineStr">
        <is>
          <t>Eigenschafts-Artefakt (Willenskraft)</t>
        </is>
      </c>
      <c r="C469" t="n">
        <v>6</v>
      </c>
      <c r="F469" t="n">
        <v>9030</v>
      </c>
      <c r="G469" t="n">
        <v>6</v>
      </c>
    </row>
    <row r="470">
      <c r="A470" t="inlineStr">
        <is>
          <t>artefakt_eigenschafts_artefakt_willenskraft</t>
        </is>
      </c>
      <c r="B470" t="inlineStr">
        <is>
          <t>Eigenschafts-Artefakt (Willenskraft)</t>
        </is>
      </c>
      <c r="C470" t="n">
        <v>7</v>
      </c>
      <c r="F470" t="n">
        <v>15240</v>
      </c>
      <c r="G470" t="n">
        <v>7</v>
      </c>
    </row>
  </sheetData>
  <pageMargins left="0.7" right="0.7" top="0.75" bottom="0.75" header="0.3" footer="0.3"/>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 right="0.7" top="0.75" bottom="0.75" header="0.3" footer="0.3"/>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 right="0.7" top="0.75" bottom="0.75" header="0.3" footer="0.3"/>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 right="0.7" top="0.75" bottom="0.75" header="0.3" footer="0.3"/>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 right="0.7" top="0.75" bottom="0.75" header="0.3" footer="0.3"/>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 right="0.7" top="0.75" bottom="0.75" header="0.3" footer="0.3"/>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10" defaultColWidth="9.140625" defaultRowHeight="15"/>
  <sheetData>
    <row r="1">
      <c r="A1" t="inlineStr">
        <is>
          <t>Geeignet für</t>
        </is>
      </c>
      <c r="B1" t="inlineStr">
        <is>
          <t>Art</t>
        </is>
      </c>
      <c r="C1" t="inlineStr">
        <is>
          <t>Kaliber</t>
        </is>
      </c>
      <c r="D1" t="inlineStr">
        <is>
          <t>Preis (1Schuss)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0.366912</v>
      </c>
      <c r="E2" t="n">
        <v>3.6691</v>
      </c>
      <c r="F2" t="n">
        <v>18.3456</v>
      </c>
      <c r="G2" t="n">
        <v>36.6912</v>
      </c>
      <c r="H2" t="n">
        <v>183.456</v>
      </c>
      <c r="I2" t="n">
        <v>366.912</v>
      </c>
    </row>
    <row r="3">
      <c r="A3" t="inlineStr">
        <is>
          <t>Vorderlader</t>
        </is>
      </c>
      <c r="B3" t="inlineStr">
        <is>
          <t>S.P.&amp;Blei</t>
        </is>
      </c>
      <c r="C3" t="n">
        <v>13</v>
      </c>
      <c r="D3" t="n">
        <v>0.3745560000000001</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0.389844</v>
      </c>
      <c r="E5" t="n">
        <v>3.8984</v>
      </c>
      <c r="F5" t="n">
        <v>19.4922</v>
      </c>
      <c r="G5" t="n">
        <v>38.9844</v>
      </c>
      <c r="H5" t="n">
        <v>194.922</v>
      </c>
      <c r="I5" t="n">
        <v>389.844</v>
      </c>
    </row>
    <row r="6">
      <c r="A6" t="inlineStr">
        <is>
          <t>Vorderlader</t>
        </is>
      </c>
      <c r="B6" t="inlineStr">
        <is>
          <t>S.P.&amp;Blei</t>
        </is>
      </c>
      <c r="C6" t="n">
        <v>16</v>
      </c>
      <c r="D6" t="n">
        <v>0.3974880000000001</v>
      </c>
      <c r="E6" t="n">
        <v>3.9749</v>
      </c>
      <c r="F6" t="n">
        <v>19.8744</v>
      </c>
      <c r="G6" t="n">
        <v>39.7488</v>
      </c>
      <c r="H6" t="n">
        <v>198.744</v>
      </c>
      <c r="I6" t="n">
        <v>397.488</v>
      </c>
    </row>
    <row r="7">
      <c r="A7" t="inlineStr">
        <is>
          <t>Vorderlader</t>
        </is>
      </c>
      <c r="B7" t="inlineStr">
        <is>
          <t>S.P.&amp;Blei</t>
        </is>
      </c>
      <c r="C7" t="n">
        <v>17</v>
      </c>
      <c r="D7" t="n">
        <v>0.405132</v>
      </c>
      <c r="E7" t="n">
        <v>4.0513</v>
      </c>
      <c r="F7" t="n">
        <v>20.2566</v>
      </c>
      <c r="G7" t="n">
        <v>40.5132</v>
      </c>
      <c r="H7" t="n">
        <v>202.566</v>
      </c>
      <c r="I7" t="n">
        <v>405.132</v>
      </c>
    </row>
    <row r="8">
      <c r="A8" t="inlineStr">
        <is>
          <t>Vorderlader</t>
        </is>
      </c>
      <c r="B8" t="inlineStr">
        <is>
          <t>S.P.&amp;Blei</t>
        </is>
      </c>
      <c r="C8" t="n">
        <v>18</v>
      </c>
      <c r="D8" t="n">
        <v>0.4127760000000001</v>
      </c>
      <c r="E8" t="n">
        <v>4.1278</v>
      </c>
      <c r="F8" t="n">
        <v>20.6388</v>
      </c>
      <c r="G8" t="n">
        <v>41.2776</v>
      </c>
      <c r="H8" t="n">
        <v>206.388</v>
      </c>
      <c r="I8" t="n">
        <v>412.776</v>
      </c>
    </row>
    <row r="9">
      <c r="A9" t="inlineStr">
        <is>
          <t>Vorderlader</t>
        </is>
      </c>
      <c r="B9" t="inlineStr">
        <is>
          <t>S.P.&amp;Blei</t>
        </is>
      </c>
      <c r="C9" t="n">
        <v>19</v>
      </c>
      <c r="D9" t="n">
        <v>0.4204200000000001</v>
      </c>
      <c r="E9" t="n">
        <v>4.2042</v>
      </c>
      <c r="F9" t="n">
        <v>21.021</v>
      </c>
      <c r="G9" t="n">
        <v>42.042</v>
      </c>
      <c r="H9" t="n">
        <v>210.21</v>
      </c>
      <c r="I9" t="n">
        <v>420.42</v>
      </c>
    </row>
    <row r="10">
      <c r="A10" t="inlineStr">
        <is>
          <t>Vorderlader</t>
        </is>
      </c>
      <c r="B10" t="inlineStr">
        <is>
          <t>S.P.&amp;Blei</t>
        </is>
      </c>
      <c r="C10" t="n">
        <v>20</v>
      </c>
      <c r="D10" t="n">
        <v>0.4280640000000001</v>
      </c>
      <c r="E10" t="n">
        <v>4.2806</v>
      </c>
      <c r="F10" t="n">
        <v>21.4032</v>
      </c>
      <c r="G10" t="n">
        <v>42.8064</v>
      </c>
      <c r="H10" t="n">
        <v>214.032</v>
      </c>
      <c r="I10" t="n">
        <v>428.064</v>
      </c>
    </row>
    <row r="11">
      <c r="A11" t="inlineStr">
        <is>
          <t>Vorderlader</t>
        </is>
      </c>
      <c r="B11" t="inlineStr">
        <is>
          <t>S.P.&amp;Blei</t>
        </is>
      </c>
      <c r="C11" t="n">
        <v>21</v>
      </c>
      <c r="D11" t="n">
        <v>0.435708</v>
      </c>
      <c r="E11" t="n">
        <v>4.3571</v>
      </c>
      <c r="F11" t="n">
        <v>21.7854</v>
      </c>
      <c r="G11" t="n">
        <v>43.5708</v>
      </c>
      <c r="H11" t="n">
        <v>217.854</v>
      </c>
      <c r="I11" t="n">
        <v>435.708</v>
      </c>
    </row>
    <row r="12">
      <c r="A12" t="inlineStr">
        <is>
          <t>Vorderlader</t>
        </is>
      </c>
      <c r="B12" t="inlineStr">
        <is>
          <t>S.P.&amp;Blei</t>
        </is>
      </c>
      <c r="C12" t="n">
        <v>22</v>
      </c>
      <c r="D12" t="n">
        <v>0.443352</v>
      </c>
      <c r="E12" t="n">
        <v>4.4335</v>
      </c>
      <c r="F12" t="n">
        <v>22.1676</v>
      </c>
      <c r="G12" t="n">
        <v>44.3352</v>
      </c>
      <c r="H12" t="n">
        <v>221.676</v>
      </c>
      <c r="I12" t="n">
        <v>443.352</v>
      </c>
    </row>
    <row r="13">
      <c r="A13" t="inlineStr">
        <is>
          <t>Vorderlader</t>
        </is>
      </c>
      <c r="B13" t="inlineStr">
        <is>
          <t>S.P.&amp;Blei</t>
        </is>
      </c>
      <c r="C13" t="n">
        <v>23</v>
      </c>
      <c r="D13" t="n">
        <v>0.450996</v>
      </c>
      <c r="E13" t="n">
        <v>4.51</v>
      </c>
      <c r="F13" t="n">
        <v>22.5498</v>
      </c>
      <c r="G13" t="n">
        <v>45.0996</v>
      </c>
      <c r="H13" t="n">
        <v>225.498</v>
      </c>
      <c r="I13" t="n">
        <v>450.996</v>
      </c>
    </row>
    <row r="14">
      <c r="A14" t="inlineStr">
        <is>
          <t>Vorderlader</t>
        </is>
      </c>
      <c r="B14" t="inlineStr">
        <is>
          <t>VL. Papierpatrone</t>
        </is>
      </c>
      <c r="C14" t="n">
        <v>12</v>
      </c>
      <c r="D14" t="n">
        <v>0.408855</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0.4151775</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0.4278225</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0.4341450000000001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0.4404675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0.4467900000000001</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0.4531125</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0.4594350000000001</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0.4657575</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0.4720800000000001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0.4784025000000001</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0.6806666666666668</v>
      </c>
      <c r="E26" t="n">
        <v>6.8067</v>
      </c>
      <c r="F26" t="n">
        <v>34.0333</v>
      </c>
      <c r="G26" t="n">
        <v>68.0667</v>
      </c>
      <c r="H26" t="n">
        <v>340.3333</v>
      </c>
      <c r="I26" t="n">
        <v>680.6667</v>
      </c>
    </row>
    <row r="27">
      <c r="A27" t="inlineStr">
        <is>
          <t>Hinterlader</t>
        </is>
      </c>
      <c r="B27" t="inlineStr">
        <is>
          <t>Papierpatrone</t>
        </is>
      </c>
      <c r="C27" t="n">
        <v>17</v>
      </c>
      <c r="D27" t="n">
        <v>0.7010866666666667</v>
      </c>
      <c r="E27" t="n">
        <v>7.0109</v>
      </c>
      <c r="F27" t="n">
        <v>35.0543</v>
      </c>
      <c r="G27" t="n">
        <v>70.1087</v>
      </c>
      <c r="H27" t="n">
        <v>350.5433</v>
      </c>
      <c r="I27" t="n">
        <v>701.0867</v>
      </c>
    </row>
    <row r="28">
      <c r="A28" t="inlineStr">
        <is>
          <t>Hinterlader</t>
        </is>
      </c>
      <c r="B28" t="inlineStr">
        <is>
          <t>Papierpatrone</t>
        </is>
      </c>
      <c r="C28" t="n">
        <v>18</v>
      </c>
      <c r="D28" t="n">
        <v>0.7215066666666667</v>
      </c>
      <c r="E28" t="n">
        <v>7.2151</v>
      </c>
      <c r="F28" t="n">
        <v>36.0753</v>
      </c>
      <c r="G28" t="n">
        <v>72.1507</v>
      </c>
      <c r="H28" t="n">
        <v>360.7533</v>
      </c>
      <c r="I28" t="n">
        <v>721.5067</v>
      </c>
    </row>
    <row r="29">
      <c r="A29" t="inlineStr">
        <is>
          <t>Hinterlader</t>
        </is>
      </c>
      <c r="B29" t="inlineStr">
        <is>
          <t>Papierpatrone</t>
        </is>
      </c>
      <c r="C29" t="n">
        <v>19</v>
      </c>
      <c r="D29" t="n">
        <v>0.7419266666666668</v>
      </c>
      <c r="E29" t="n">
        <v>7.4193</v>
      </c>
      <c r="F29" t="n">
        <v>37.0963</v>
      </c>
      <c r="G29" t="n">
        <v>74.1927</v>
      </c>
      <c r="H29" t="n">
        <v>370.9633</v>
      </c>
      <c r="I29" t="n">
        <v>741.9267</v>
      </c>
    </row>
    <row r="30">
      <c r="A30" t="inlineStr">
        <is>
          <t>Patronenwaffen</t>
        </is>
      </c>
      <c r="B30" t="inlineStr">
        <is>
          <t>Messingpatrone</t>
        </is>
      </c>
      <c r="C30" t="n">
        <v>5</v>
      </c>
      <c r="D30" t="n">
        <v>0.4036032000000001</v>
      </c>
      <c r="E30" t="n">
        <v>7.814</v>
      </c>
      <c r="F30" t="n">
        <v>39.07</v>
      </c>
      <c r="G30" t="n">
        <v>78.14</v>
      </c>
      <c r="H30" t="n">
        <v>390.7</v>
      </c>
      <c r="I30" t="n">
        <v>781.4</v>
      </c>
    </row>
    <row r="31">
      <c r="A31" t="inlineStr">
        <is>
          <t>Patronenwaffen</t>
        </is>
      </c>
      <c r="B31" t="inlineStr">
        <is>
          <t>Messingpatrone</t>
        </is>
      </c>
      <c r="C31" t="n">
        <v>6</v>
      </c>
      <c r="D31" t="n">
        <v>0.4451040000000001</v>
      </c>
      <c r="E31" t="n">
        <v>8.2516</v>
      </c>
      <c r="F31" t="n">
        <v>41.2579</v>
      </c>
      <c r="G31" t="n">
        <v>82.5158</v>
      </c>
      <c r="H31" t="n">
        <v>412.5792</v>
      </c>
      <c r="I31" t="n">
        <v>825.1584</v>
      </c>
    </row>
    <row r="32">
      <c r="A32" t="inlineStr">
        <is>
          <t>Patronenwaffen</t>
        </is>
      </c>
      <c r="B32" t="inlineStr">
        <is>
          <t>Messingpatrone</t>
        </is>
      </c>
      <c r="C32" t="n">
        <v>7</v>
      </c>
      <c r="D32" t="n">
        <v>0.7187840000000001</v>
      </c>
      <c r="E32" t="n">
        <v>8.6892</v>
      </c>
      <c r="F32" t="n">
        <v>43.4458</v>
      </c>
      <c r="G32" t="n">
        <v>86.8917</v>
      </c>
      <c r="H32" t="n">
        <v>434.4584</v>
      </c>
      <c r="I32" t="n">
        <v>868.9168</v>
      </c>
    </row>
    <row r="33">
      <c r="A33" t="inlineStr">
        <is>
          <t>Patronenwaffen</t>
        </is>
      </c>
      <c r="B33" t="inlineStr">
        <is>
          <t>Messingpatrone</t>
        </is>
      </c>
      <c r="C33" t="n">
        <v>8</v>
      </c>
      <c r="D33" t="n">
        <v>0.8251584000000001</v>
      </c>
      <c r="E33" t="n">
        <v>9.126799999999999</v>
      </c>
      <c r="F33" t="n">
        <v>45.6338</v>
      </c>
      <c r="G33" t="n">
        <v>91.2675</v>
      </c>
      <c r="H33" t="n">
        <v>456.3376</v>
      </c>
      <c r="I33" t="n">
        <v>912.6752</v>
      </c>
    </row>
    <row r="34">
      <c r="A34" t="inlineStr">
        <is>
          <t>Patronenwaffen</t>
        </is>
      </c>
      <c r="B34" t="inlineStr">
        <is>
          <t>Messingpatrone</t>
        </is>
      </c>
      <c r="C34" t="n">
        <v>9</v>
      </c>
      <c r="D34" t="n">
        <v>0.8689168</v>
      </c>
      <c r="E34" t="n">
        <v>9.564299999999999</v>
      </c>
      <c r="F34" t="n">
        <v>47.8217</v>
      </c>
      <c r="G34" t="n">
        <v>95.6434</v>
      </c>
      <c r="H34" t="n">
        <v>478.2168</v>
      </c>
      <c r="I34" t="n">
        <v>956.4336</v>
      </c>
    </row>
    <row r="35">
      <c r="A35" t="inlineStr">
        <is>
          <t>Patronenwaffen</t>
        </is>
      </c>
      <c r="B35" t="inlineStr">
        <is>
          <t>Messingpatrone</t>
        </is>
      </c>
      <c r="C35" t="n">
        <v>10</v>
      </c>
      <c r="D35" t="n">
        <v>0.9126751999999999</v>
      </c>
      <c r="E35" t="n">
        <v>10.0019</v>
      </c>
      <c r="F35" t="n">
        <v>50.0096</v>
      </c>
      <c r="G35" t="n">
        <v>100.0192</v>
      </c>
      <c r="H35" t="n">
        <v>500.096</v>
      </c>
      <c r="I35" t="n">
        <v>1000.192</v>
      </c>
    </row>
    <row r="36">
      <c r="A36" t="inlineStr">
        <is>
          <t>Patronenwaffen</t>
        </is>
      </c>
      <c r="B36" t="inlineStr">
        <is>
          <t>Messingpatrone</t>
        </is>
      </c>
      <c r="C36" t="n">
        <v>11</v>
      </c>
      <c r="D36" t="n">
        <v>0.9564336</v>
      </c>
    </row>
    <row r="37">
      <c r="A37" t="inlineStr">
        <is>
          <t>Patronenwaffen</t>
        </is>
      </c>
      <c r="B37" t="inlineStr">
        <is>
          <t>Messingpatrone</t>
        </is>
      </c>
      <c r="C37" t="n">
        <v>12</v>
      </c>
      <c r="D37" t="n">
        <v>1.000192</v>
      </c>
    </row>
    <row r="38">
      <c r="A38" t="inlineStr">
        <is>
          <t>Harpunengewehr</t>
        </is>
      </c>
      <c r="B38" t="inlineStr">
        <is>
          <t>Harpune</t>
        </is>
      </c>
      <c r="C38" t="n">
        <v>16</v>
      </c>
      <c r="D38" t="n">
        <v>6.88384</v>
      </c>
    </row>
    <row r="39">
      <c r="A39" t="inlineStr">
        <is>
          <t>Harpunengewehr</t>
        </is>
      </c>
      <c r="B39" t="inlineStr">
        <is>
          <t>Harpune</t>
        </is>
      </c>
      <c r="C39" t="n">
        <v>17</v>
      </c>
      <c r="D39" t="n">
        <v>6.88384</v>
      </c>
    </row>
  </sheetData>
  <pageMargins left="0.7" right="0.7" top="0.75" bottom="0.75" header="0.3" footer="0.3"/>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 right="0.7" top="0.75" bottom="0.75" header="0.3" footer="0.3"/>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n">
        <v>0.001</v>
      </c>
      <c r="L2" t="n">
        <v>1</v>
      </c>
      <c r="M2" t="n">
        <v>1</v>
      </c>
      <c r="N2" t="n">
        <v>1</v>
      </c>
    </row>
    <row r="3">
      <c r="A3" t="inlineStr">
        <is>
          <t>Kurzbogen</t>
        </is>
      </c>
      <c r="B3" t="inlineStr">
        <is>
          <t>Goblin</t>
        </is>
      </c>
      <c r="C3" t="inlineStr">
        <is>
          <t>Holz</t>
        </is>
      </c>
      <c r="D3" t="n">
        <v>5</v>
      </c>
      <c r="E3" t="inlineStr">
        <is>
          <t>1W4+1</t>
        </is>
      </c>
      <c r="F3" t="n">
        <v>1</v>
      </c>
      <c r="G3" t="inlineStr">
        <is>
          <t>+8/+2/-13/-25/x/x</t>
        </is>
      </c>
      <c r="H3" t="inlineStr">
        <is>
          <t>15m</t>
        </is>
      </c>
      <c r="I3" t="n">
        <v>6</v>
      </c>
      <c r="J3" t="n">
        <v>9</v>
      </c>
      <c r="K3" t="n">
        <v>50</v>
      </c>
      <c r="L3" t="n">
        <v>3</v>
      </c>
      <c r="M3" t="n">
        <v>4</v>
      </c>
      <c r="N3" t="n">
        <v>1</v>
      </c>
    </row>
    <row r="4">
      <c r="A4" t="inlineStr">
        <is>
          <t>Jagdbogen</t>
        </is>
      </c>
      <c r="B4" t="inlineStr">
        <is>
          <t>Goblin</t>
        </is>
      </c>
      <c r="C4" t="inlineStr">
        <is>
          <t>Holz</t>
        </is>
      </c>
      <c r="D4" t="n">
        <v>7</v>
      </c>
      <c r="E4" t="inlineStr">
        <is>
          <t>1W6+1</t>
        </is>
      </c>
      <c r="F4" t="n">
        <v>2</v>
      </c>
      <c r="G4" t="inlineStr">
        <is>
          <t>+6/+2/-8/-22/x/x</t>
        </is>
      </c>
      <c r="H4" t="inlineStr">
        <is>
          <t>20m</t>
        </is>
      </c>
      <c r="I4" t="n">
        <v>6</v>
      </c>
      <c r="J4" t="n">
        <v>9</v>
      </c>
      <c r="K4" t="n">
        <v>60</v>
      </c>
      <c r="L4" t="n">
        <v>3</v>
      </c>
      <c r="M4" t="n">
        <v>4</v>
      </c>
      <c r="N4" t="n">
        <v>1</v>
      </c>
    </row>
    <row r="5">
      <c r="A5" t="inlineStr">
        <is>
          <t>Langbogen</t>
        </is>
      </c>
      <c r="B5" t="inlineStr">
        <is>
          <t>Goblin</t>
        </is>
      </c>
      <c r="C5" t="inlineStr">
        <is>
          <t>Holz</t>
        </is>
      </c>
      <c r="D5" t="n">
        <v>10</v>
      </c>
      <c r="E5" t="inlineStr">
        <is>
          <t>1W6+1</t>
        </is>
      </c>
      <c r="F5" t="n">
        <v>3</v>
      </c>
      <c r="G5" t="inlineStr">
        <is>
          <t>+5/+2/-8/-20/-30</t>
        </is>
      </c>
      <c r="H5" t="inlineStr">
        <is>
          <t>60m</t>
        </is>
      </c>
      <c r="I5" t="n">
        <v>7</v>
      </c>
      <c r="J5" t="n">
        <v>9</v>
      </c>
      <c r="K5" t="n">
        <v>100</v>
      </c>
      <c r="L5" t="n">
        <v>3</v>
      </c>
      <c r="M5" t="n">
        <v>4</v>
      </c>
      <c r="N5" t="n">
        <v>1</v>
      </c>
    </row>
    <row r="6">
      <c r="A6" t="inlineStr">
        <is>
          <t>Froggler-Bogen</t>
        </is>
      </c>
      <c r="B6" t="inlineStr">
        <is>
          <t>Goblin</t>
        </is>
      </c>
      <c r="C6" t="inlineStr">
        <is>
          <t>Holz</t>
        </is>
      </c>
      <c r="D6" t="n">
        <v>7</v>
      </c>
      <c r="E6" t="inlineStr">
        <is>
          <t>1W6</t>
        </is>
      </c>
      <c r="F6" t="n">
        <v>1</v>
      </c>
      <c r="G6" t="inlineStr">
        <is>
          <t>+6/+2/-8/-22/x/x</t>
        </is>
      </c>
      <c r="H6" t="inlineStr">
        <is>
          <t>25m</t>
        </is>
      </c>
      <c r="I6" t="n">
        <v>7</v>
      </c>
      <c r="J6" t="n">
        <v>9</v>
      </c>
      <c r="K6" t="n">
        <v>55</v>
      </c>
      <c r="L6" t="n">
        <v>2</v>
      </c>
      <c r="M6" t="n">
        <v>3</v>
      </c>
      <c r="N6" t="n">
        <v>1</v>
      </c>
    </row>
    <row r="7">
      <c r="A7" t="inlineStr">
        <is>
          <t>Bogen</t>
        </is>
      </c>
      <c r="B7" t="inlineStr">
        <is>
          <t>Indianer</t>
        </is>
      </c>
      <c r="C7" t="inlineStr">
        <is>
          <t>Holz</t>
        </is>
      </c>
      <c r="D7" t="n">
        <v>9</v>
      </c>
      <c r="E7" t="inlineStr">
        <is>
          <t>1W6+1</t>
        </is>
      </c>
      <c r="F7" t="n">
        <v>2</v>
      </c>
      <c r="G7" t="inlineStr">
        <is>
          <t>+7/+2/-8/-23/x</t>
        </is>
      </c>
      <c r="H7" t="inlineStr">
        <is>
          <t>25m</t>
        </is>
      </c>
      <c r="I7" t="n">
        <v>6</v>
      </c>
      <c r="J7" t="n">
        <v>9</v>
      </c>
      <c r="K7" t="n">
        <v>1</v>
      </c>
      <c r="L7" t="n">
        <v>5</v>
      </c>
      <c r="M7" t="n">
        <v>6</v>
      </c>
      <c r="N7" t="n">
        <v>1</v>
      </c>
    </row>
    <row r="8">
      <c r="A8" t="inlineStr">
        <is>
          <t>Langbogen</t>
        </is>
      </c>
      <c r="B8" t="inlineStr">
        <is>
          <t>Indianer</t>
        </is>
      </c>
      <c r="C8" t="inlineStr">
        <is>
          <t>Holz</t>
        </is>
      </c>
      <c r="D8" t="n">
        <v>12</v>
      </c>
      <c r="E8" t="inlineStr">
        <is>
          <t>1W6+1</t>
        </is>
      </c>
      <c r="F8" t="n">
        <v>3</v>
      </c>
      <c r="G8" t="inlineStr">
        <is>
          <t>+6/+2/-8/-21/x</t>
        </is>
      </c>
      <c r="H8" t="inlineStr">
        <is>
          <t>75m</t>
        </is>
      </c>
      <c r="I8" t="n">
        <v>7</v>
      </c>
      <c r="J8" t="n">
        <v>9</v>
      </c>
      <c r="K8" t="n">
        <v>2</v>
      </c>
      <c r="L8" t="n">
        <v>6</v>
      </c>
      <c r="M8" t="n">
        <v>6</v>
      </c>
      <c r="N8" t="n">
        <v>4</v>
      </c>
    </row>
    <row r="9">
      <c r="A9" t="inlineStr">
        <is>
          <t>Schwarzfels-Bogen</t>
        </is>
      </c>
      <c r="B9" t="inlineStr">
        <is>
          <t>Indianer</t>
        </is>
      </c>
      <c r="C9" t="inlineStr">
        <is>
          <t>Holz, Schwarzfels, Seil, Leim</t>
        </is>
      </c>
      <c r="D9" t="n">
        <v>15</v>
      </c>
      <c r="E9" t="inlineStr">
        <is>
          <t>1W8+1</t>
        </is>
      </c>
      <c r="F9" t="n">
        <v>3</v>
      </c>
      <c r="G9" t="inlineStr">
        <is>
          <t>+6/+2/-7/-22/x</t>
        </is>
      </c>
      <c r="H9" t="inlineStr">
        <is>
          <t>40m</t>
        </is>
      </c>
      <c r="I9" t="n">
        <v>9</v>
      </c>
      <c r="J9" t="n">
        <v>9</v>
      </c>
      <c r="K9" t="n">
        <v>1500</v>
      </c>
      <c r="L9" t="n">
        <v>6</v>
      </c>
      <c r="M9" t="n">
        <v>6</v>
      </c>
      <c r="N9" t="n">
        <v>6</v>
      </c>
    </row>
    <row r="10">
      <c r="A10" t="inlineStr">
        <is>
          <t>Kurzbogen</t>
        </is>
      </c>
      <c r="B10" t="inlineStr">
        <is>
          <t>Daikini</t>
        </is>
      </c>
      <c r="C10" t="inlineStr">
        <is>
          <t>Holz</t>
        </is>
      </c>
      <c r="D10" t="n">
        <v>9</v>
      </c>
      <c r="E10" t="inlineStr">
        <is>
          <t>1W4+1</t>
        </is>
      </c>
      <c r="F10" t="n">
        <v>2</v>
      </c>
      <c r="G10" t="inlineStr">
        <is>
          <t>+7/+2/-11/-25/x</t>
        </is>
      </c>
      <c r="H10" t="inlineStr">
        <is>
          <t>20m</t>
        </is>
      </c>
      <c r="I10" t="n">
        <v>6</v>
      </c>
      <c r="J10" t="n">
        <v>9</v>
      </c>
      <c r="K10" t="n">
        <v>60</v>
      </c>
      <c r="L10" t="n">
        <v>6</v>
      </c>
      <c r="M10" t="n">
        <v>6</v>
      </c>
      <c r="N10" t="n">
        <v>1</v>
      </c>
    </row>
    <row r="11">
      <c r="A11" t="inlineStr">
        <is>
          <t>Jagdbogen</t>
        </is>
      </c>
      <c r="B11" t="inlineStr">
        <is>
          <t>Daikini</t>
        </is>
      </c>
      <c r="C11" t="inlineStr">
        <is>
          <t>Holz</t>
        </is>
      </c>
      <c r="D11" t="n">
        <v>11</v>
      </c>
      <c r="E11" t="inlineStr">
        <is>
          <t>1W6+1</t>
        </is>
      </c>
      <c r="F11" t="n">
        <v>2</v>
      </c>
      <c r="G11" t="inlineStr">
        <is>
          <t>+6/+2/-8/-22/x</t>
        </is>
      </c>
      <c r="H11" t="inlineStr">
        <is>
          <t>27m</t>
        </is>
      </c>
      <c r="I11" t="n">
        <v>6</v>
      </c>
      <c r="J11" t="n">
        <v>9</v>
      </c>
      <c r="K11" t="n">
        <v>80</v>
      </c>
      <c r="L11" t="n">
        <v>6</v>
      </c>
      <c r="M11" t="n">
        <v>6</v>
      </c>
      <c r="N11" t="n">
        <v>1</v>
      </c>
    </row>
    <row r="12">
      <c r="A12" t="inlineStr">
        <is>
          <t>Langbogen</t>
        </is>
      </c>
      <c r="B12" t="inlineStr">
        <is>
          <t>Daikini</t>
        </is>
      </c>
      <c r="C12" t="inlineStr">
        <is>
          <t>Holz</t>
        </is>
      </c>
      <c r="D12" t="n">
        <v>12</v>
      </c>
      <c r="E12" t="inlineStr">
        <is>
          <t>1W6+1</t>
        </is>
      </c>
      <c r="F12" t="n">
        <v>3</v>
      </c>
      <c r="G12" t="inlineStr">
        <is>
          <t>+5/+2/-8/-20/-30</t>
        </is>
      </c>
      <c r="H12" t="inlineStr">
        <is>
          <t>50m</t>
        </is>
      </c>
      <c r="I12" t="n">
        <v>7</v>
      </c>
      <c r="J12" t="n">
        <v>9</v>
      </c>
      <c r="K12" t="n">
        <v>125</v>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n">
        <v>1000</v>
      </c>
      <c r="L13" t="n">
        <v>6</v>
      </c>
      <c r="M13" t="n">
        <v>6</v>
      </c>
      <c r="N13" t="n">
        <v>6</v>
      </c>
    </row>
    <row r="14">
      <c r="A14" t="inlineStr">
        <is>
          <t>Kurzbogen</t>
        </is>
      </c>
      <c r="B14" t="inlineStr">
        <is>
          <t>Elf</t>
        </is>
      </c>
      <c r="C14" t="inlineStr">
        <is>
          <t>Holz</t>
        </is>
      </c>
      <c r="D14" t="n">
        <v>9</v>
      </c>
      <c r="E14" t="inlineStr">
        <is>
          <t>1W4+1</t>
        </is>
      </c>
      <c r="F14" t="n">
        <v>2</v>
      </c>
      <c r="G14" t="inlineStr">
        <is>
          <t>+8/+3/-9/-22/x</t>
        </is>
      </c>
      <c r="H14" t="inlineStr">
        <is>
          <t>25m</t>
        </is>
      </c>
      <c r="I14" t="n">
        <v>6</v>
      </c>
      <c r="J14" t="n">
        <v>9</v>
      </c>
      <c r="K14" t="n">
        <v>85</v>
      </c>
      <c r="L14" t="n">
        <v>5</v>
      </c>
      <c r="M14" t="n">
        <v>3</v>
      </c>
      <c r="N14" t="n">
        <v>1</v>
      </c>
    </row>
    <row r="15">
      <c r="A15" t="inlineStr">
        <is>
          <t>Jagdbogen</t>
        </is>
      </c>
      <c r="B15" t="inlineStr">
        <is>
          <t>Elf</t>
        </is>
      </c>
      <c r="C15" t="inlineStr">
        <is>
          <t>Holz</t>
        </is>
      </c>
      <c r="D15" t="n">
        <v>11</v>
      </c>
      <c r="E15" t="inlineStr">
        <is>
          <t>1W6+1</t>
        </is>
      </c>
      <c r="F15" t="n">
        <v>2</v>
      </c>
      <c r="G15" t="inlineStr">
        <is>
          <t>+7/+3/-8/-20/x</t>
        </is>
      </c>
      <c r="H15" t="inlineStr">
        <is>
          <t>33m</t>
        </is>
      </c>
      <c r="I15" t="n">
        <v>6</v>
      </c>
      <c r="J15" t="n">
        <v>9</v>
      </c>
      <c r="K15" t="n">
        <v>130</v>
      </c>
      <c r="L15" t="n">
        <v>5</v>
      </c>
      <c r="M15" t="n">
        <v>3</v>
      </c>
      <c r="N15" t="n">
        <v>1</v>
      </c>
    </row>
    <row r="16">
      <c r="A16" t="inlineStr">
        <is>
          <t>Langbogen</t>
        </is>
      </c>
      <c r="B16" t="inlineStr">
        <is>
          <t>Elf</t>
        </is>
      </c>
      <c r="C16" t="inlineStr">
        <is>
          <t>Holz</t>
        </is>
      </c>
      <c r="D16" t="n">
        <v>12</v>
      </c>
      <c r="E16" t="inlineStr">
        <is>
          <t>1W6+1</t>
        </is>
      </c>
      <c r="F16" t="n">
        <v>2</v>
      </c>
      <c r="G16" t="inlineStr">
        <is>
          <t>+5/+2/-6/-17/x</t>
        </is>
      </c>
      <c r="H16" t="inlineStr">
        <is>
          <t>110m</t>
        </is>
      </c>
      <c r="I16" t="n">
        <v>6</v>
      </c>
      <c r="J16" t="n">
        <v>9</v>
      </c>
      <c r="K16" t="n">
        <v>180</v>
      </c>
      <c r="L16" t="n">
        <v>5</v>
      </c>
      <c r="M16" t="n">
        <v>3</v>
      </c>
      <c r="N16" t="n">
        <v>1</v>
      </c>
    </row>
    <row r="17">
      <c r="A17" t="inlineStr">
        <is>
          <t>Kompositbogen kurz</t>
        </is>
      </c>
      <c r="B17" t="inlineStr">
        <is>
          <t>Elf</t>
        </is>
      </c>
      <c r="C17" t="inlineStr">
        <is>
          <t>Holz, Horn, Leim</t>
        </is>
      </c>
      <c r="D17" t="n">
        <v>12</v>
      </c>
      <c r="E17" t="inlineStr">
        <is>
          <t>1W6+1</t>
        </is>
      </c>
      <c r="F17" t="n">
        <v>2</v>
      </c>
      <c r="G17" t="inlineStr">
        <is>
          <t>+9/+3/-9/-22/x</t>
        </is>
      </c>
      <c r="H17" t="inlineStr">
        <is>
          <t>22m</t>
        </is>
      </c>
      <c r="I17" t="n">
        <v>6</v>
      </c>
      <c r="J17" t="n">
        <v>9</v>
      </c>
      <c r="K17" t="n">
        <v>200</v>
      </c>
      <c r="L17" t="n">
        <v>7</v>
      </c>
      <c r="M17" t="n">
        <v>5</v>
      </c>
      <c r="N17" t="n">
        <v>3</v>
      </c>
    </row>
    <row r="18">
      <c r="A18" t="inlineStr">
        <is>
          <t>Kompositbogen lang</t>
        </is>
      </c>
      <c r="B18" t="inlineStr">
        <is>
          <t>Elf</t>
        </is>
      </c>
      <c r="C18" t="inlineStr">
        <is>
          <t>Holz, Horn, Leim</t>
        </is>
      </c>
      <c r="D18" t="n">
        <v>13</v>
      </c>
      <c r="E18" t="inlineStr">
        <is>
          <t>1W8+1</t>
        </is>
      </c>
      <c r="F18" t="n">
        <v>2</v>
      </c>
      <c r="G18" t="inlineStr">
        <is>
          <t>+6/+2/-6/-17/x</t>
        </is>
      </c>
      <c r="H18" t="inlineStr">
        <is>
          <t>23m</t>
        </is>
      </c>
      <c r="I18" t="n">
        <v>6</v>
      </c>
      <c r="J18" t="n">
        <v>9</v>
      </c>
      <c r="K18" t="n">
        <v>250</v>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n">
        <v>1500</v>
      </c>
      <c r="L19" t="n">
        <v>7</v>
      </c>
      <c r="M19" t="n">
        <v>7</v>
      </c>
      <c r="N19" t="n">
        <v>6</v>
      </c>
    </row>
    <row r="20">
      <c r="A20" t="inlineStr">
        <is>
          <t>Kurzbogen</t>
        </is>
      </c>
      <c r="B20" t="inlineStr">
        <is>
          <t>Ork</t>
        </is>
      </c>
      <c r="C20" t="inlineStr">
        <is>
          <t>Holz</t>
        </is>
      </c>
      <c r="D20" t="n">
        <v>12</v>
      </c>
      <c r="E20" t="inlineStr">
        <is>
          <t>1W6+1</t>
        </is>
      </c>
      <c r="F20" t="n">
        <v>2</v>
      </c>
      <c r="G20" t="inlineStr">
        <is>
          <t>+6/+1/-12/-26/x</t>
        </is>
      </c>
      <c r="H20" t="inlineStr">
        <is>
          <t>15m</t>
        </is>
      </c>
      <c r="I20" t="n">
        <v>7</v>
      </c>
      <c r="J20" t="n">
        <v>9</v>
      </c>
      <c r="K20" t="n">
        <v>60</v>
      </c>
      <c r="L20" t="n">
        <v>5</v>
      </c>
      <c r="M20" t="n">
        <v>5</v>
      </c>
      <c r="N20" t="n">
        <v>4</v>
      </c>
    </row>
    <row r="21">
      <c r="A21" t="inlineStr">
        <is>
          <t>Jagdbogen</t>
        </is>
      </c>
      <c r="B21" t="inlineStr">
        <is>
          <t>Ork</t>
        </is>
      </c>
      <c r="C21" t="inlineStr">
        <is>
          <t>Holz</t>
        </is>
      </c>
      <c r="D21" t="n">
        <v>14</v>
      </c>
      <c r="E21" t="inlineStr">
        <is>
          <t>1W6+2</t>
        </is>
      </c>
      <c r="F21" t="n">
        <v>2</v>
      </c>
      <c r="G21" t="inlineStr">
        <is>
          <t>+5/+1/-9/-23/x</t>
        </is>
      </c>
      <c r="H21" t="inlineStr">
        <is>
          <t>22m</t>
        </is>
      </c>
      <c r="I21" t="n">
        <v>7</v>
      </c>
      <c r="J21" t="n">
        <v>9</v>
      </c>
      <c r="K21" t="n">
        <v>80</v>
      </c>
      <c r="L21" t="n">
        <v>5</v>
      </c>
      <c r="M21" t="n">
        <v>5</v>
      </c>
      <c r="N21" t="n">
        <v>4</v>
      </c>
    </row>
    <row r="22">
      <c r="A22" t="inlineStr">
        <is>
          <t>Langbogen</t>
        </is>
      </c>
      <c r="B22" t="inlineStr">
        <is>
          <t>Ork</t>
        </is>
      </c>
      <c r="C22" t="inlineStr">
        <is>
          <t>Holz</t>
        </is>
      </c>
      <c r="D22" t="n">
        <v>16</v>
      </c>
      <c r="E22" t="inlineStr">
        <is>
          <t>1W6+2</t>
        </is>
      </c>
      <c r="F22" t="n">
        <v>3</v>
      </c>
      <c r="G22" t="inlineStr">
        <is>
          <t>+4/+1/-9/-21/-31</t>
        </is>
      </c>
      <c r="H22" t="inlineStr">
        <is>
          <t>60m</t>
        </is>
      </c>
      <c r="I22" t="n">
        <v>8</v>
      </c>
      <c r="J22" t="n">
        <v>9</v>
      </c>
      <c r="K22" t="n">
        <v>125</v>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n">
        <v>250</v>
      </c>
      <c r="L23" t="n">
        <v>7</v>
      </c>
      <c r="M23" t="n">
        <v>7</v>
      </c>
      <c r="N23" t="n">
        <v>5</v>
      </c>
    </row>
    <row r="24">
      <c r="A24" t="inlineStr">
        <is>
          <t>Kompositbogen kurz</t>
        </is>
      </c>
      <c r="B24" t="inlineStr">
        <is>
          <t>Zwerg</t>
        </is>
      </c>
      <c r="C24" t="inlineStr">
        <is>
          <t>Holz, Horn, Leim</t>
        </is>
      </c>
      <c r="D24" t="n">
        <v>12</v>
      </c>
      <c r="E24" t="inlineStr">
        <is>
          <t>1W6+1</t>
        </is>
      </c>
      <c r="F24" t="n">
        <v>3</v>
      </c>
      <c r="G24" t="inlineStr">
        <is>
          <t>+9/+3/-9/-22/x</t>
        </is>
      </c>
      <c r="H24" t="inlineStr">
        <is>
          <t>22m</t>
        </is>
      </c>
      <c r="I24" t="n">
        <v>6</v>
      </c>
      <c r="J24" t="n">
        <v>9</v>
      </c>
      <c r="K24" t="n">
        <v>200</v>
      </c>
      <c r="L24" t="n">
        <v>5</v>
      </c>
      <c r="M24" t="n">
        <v>4</v>
      </c>
      <c r="N24" t="n">
        <v>3</v>
      </c>
    </row>
    <row r="25">
      <c r="A25" t="inlineStr">
        <is>
          <t>Kompositbogen lang</t>
        </is>
      </c>
      <c r="B25" t="inlineStr">
        <is>
          <t>Zwerg</t>
        </is>
      </c>
      <c r="C25" t="inlineStr">
        <is>
          <t>Holz, Horn, Leim</t>
        </is>
      </c>
      <c r="D25" t="n">
        <v>13</v>
      </c>
      <c r="E25" t="inlineStr">
        <is>
          <t>1W8+1</t>
        </is>
      </c>
      <c r="F25" t="n">
        <v>4</v>
      </c>
      <c r="G25" t="inlineStr">
        <is>
          <t>+6/+2/-6/-17/x</t>
        </is>
      </c>
      <c r="H25" t="inlineStr">
        <is>
          <t>23m</t>
        </is>
      </c>
      <c r="I25" t="n">
        <v>6</v>
      </c>
      <c r="J25" t="n">
        <v>9</v>
      </c>
      <c r="K25" t="n">
        <v>250</v>
      </c>
      <c r="L25" t="n">
        <v>5</v>
      </c>
      <c r="M25" t="n">
        <v>4</v>
      </c>
      <c r="N25" t="n">
        <v>3</v>
      </c>
    </row>
    <row r="26">
      <c r="A26" t="inlineStr">
        <is>
          <t>Umspannbogen</t>
        </is>
      </c>
      <c r="B26" t="inlineStr">
        <is>
          <t>Zwerg</t>
        </is>
      </c>
      <c r="C26" t="inlineStr">
        <is>
          <t>Holz, ZW Federstahl, ZW Stahl</t>
        </is>
      </c>
      <c r="D26" t="n">
        <v>13</v>
      </c>
      <c r="E26" t="inlineStr">
        <is>
          <t>1W8+1</t>
        </is>
      </c>
      <c r="F26" t="n">
        <v>5</v>
      </c>
      <c r="G26" t="inlineStr">
        <is>
          <t>+6/+2/-6/-17/-25</t>
        </is>
      </c>
      <c r="H26" t="inlineStr">
        <is>
          <t>75m</t>
        </is>
      </c>
      <c r="I26" t="n">
        <v>5</v>
      </c>
      <c r="J26" t="n">
        <v>10</v>
      </c>
      <c r="K26" t="n">
        <v>10000</v>
      </c>
      <c r="L26" t="n">
        <v>7</v>
      </c>
      <c r="M26" t="n">
        <v>7</v>
      </c>
      <c r="N26" t="n">
        <v>5</v>
      </c>
    </row>
    <row r="27">
      <c r="A27" t="inlineStr">
        <is>
          <t>Kurzbogen</t>
        </is>
      </c>
      <c r="B27" t="inlineStr">
        <is>
          <t>Katzenmensch</t>
        </is>
      </c>
      <c r="C27" t="inlineStr">
        <is>
          <t>Holz</t>
        </is>
      </c>
      <c r="D27" t="n">
        <v>11</v>
      </c>
      <c r="E27" t="inlineStr">
        <is>
          <t>1W4+1</t>
        </is>
      </c>
      <c r="F27" t="n">
        <v>2</v>
      </c>
      <c r="G27" t="inlineStr">
        <is>
          <t>+7/+2/-11/-25/x</t>
        </is>
      </c>
      <c r="H27" t="inlineStr">
        <is>
          <t>25m</t>
        </is>
      </c>
      <c r="I27" t="n">
        <v>6</v>
      </c>
      <c r="J27" t="n">
        <v>9</v>
      </c>
      <c r="K27" t="n">
        <v>70</v>
      </c>
      <c r="L27" t="n">
        <v>7</v>
      </c>
      <c r="M27" t="n">
        <v>6</v>
      </c>
      <c r="N27" t="n">
        <v>1</v>
      </c>
    </row>
    <row r="28">
      <c r="A28" t="inlineStr">
        <is>
          <t>Jagdbogen</t>
        </is>
      </c>
      <c r="B28" t="inlineStr">
        <is>
          <t>Katzenmensch</t>
        </is>
      </c>
      <c r="C28" t="inlineStr">
        <is>
          <t>Holz</t>
        </is>
      </c>
      <c r="D28" t="n">
        <v>13</v>
      </c>
      <c r="E28" t="inlineStr">
        <is>
          <t>1W6+1</t>
        </is>
      </c>
      <c r="F28" t="n">
        <v>2</v>
      </c>
      <c r="G28" t="inlineStr">
        <is>
          <t>+6/+2/-8/-22/x</t>
        </is>
      </c>
      <c r="H28" t="inlineStr">
        <is>
          <t>32m</t>
        </is>
      </c>
      <c r="I28" t="n">
        <v>6</v>
      </c>
      <c r="J28" t="n">
        <v>9</v>
      </c>
      <c r="K28" t="n">
        <v>90</v>
      </c>
      <c r="L28" t="n">
        <v>7</v>
      </c>
      <c r="M28" t="n">
        <v>6</v>
      </c>
      <c r="N28" t="n">
        <v>1</v>
      </c>
    </row>
    <row r="29">
      <c r="A29" t="inlineStr">
        <is>
          <t>Langbogen</t>
        </is>
      </c>
      <c r="B29" t="inlineStr">
        <is>
          <t>Katzenmensch</t>
        </is>
      </c>
      <c r="C29" t="inlineStr">
        <is>
          <t>Holz</t>
        </is>
      </c>
      <c r="D29" t="n">
        <v>15</v>
      </c>
      <c r="E29" t="inlineStr">
        <is>
          <t>1W6+1</t>
        </is>
      </c>
      <c r="F29" t="n">
        <v>3</v>
      </c>
      <c r="G29" t="inlineStr">
        <is>
          <t>+5/+2/-8/-20/-30</t>
        </is>
      </c>
      <c r="H29" t="inlineStr">
        <is>
          <t>90m</t>
        </is>
      </c>
      <c r="I29" t="n">
        <v>7</v>
      </c>
      <c r="J29" t="n">
        <v>9</v>
      </c>
      <c r="K29" t="n">
        <v>135</v>
      </c>
      <c r="L29" t="n">
        <v>7</v>
      </c>
      <c r="M29" t="n">
        <v>6</v>
      </c>
      <c r="N29" t="n">
        <v>2</v>
      </c>
    </row>
    <row r="30">
      <c r="A30" t="inlineStr">
        <is>
          <t>Kurzbogen</t>
        </is>
      </c>
      <c r="B30" t="inlineStr">
        <is>
          <t>Zentaur</t>
        </is>
      </c>
      <c r="C30" t="inlineStr">
        <is>
          <t>Holz</t>
        </is>
      </c>
      <c r="D30" t="n">
        <v>10</v>
      </c>
      <c r="E30" t="inlineStr">
        <is>
          <t>1W4+2</t>
        </is>
      </c>
      <c r="F30" t="n">
        <v>2</v>
      </c>
      <c r="G30" t="inlineStr">
        <is>
          <t>+7/+1/-15/-29/x</t>
        </is>
      </c>
      <c r="H30" t="inlineStr">
        <is>
          <t>20m</t>
        </is>
      </c>
      <c r="I30" t="n">
        <v>6</v>
      </c>
      <c r="J30" t="n">
        <v>9</v>
      </c>
      <c r="K30" t="n">
        <v>60</v>
      </c>
      <c r="L30" t="n">
        <v>6</v>
      </c>
      <c r="M30" t="n">
        <v>6</v>
      </c>
      <c r="N30" t="n">
        <v>1</v>
      </c>
    </row>
    <row r="31">
      <c r="A31" t="inlineStr">
        <is>
          <t>Kompositbogen kurz</t>
        </is>
      </c>
      <c r="B31" t="inlineStr">
        <is>
          <t>Zentaur</t>
        </is>
      </c>
      <c r="C31" t="inlineStr">
        <is>
          <t>Holz, Horn, Leim</t>
        </is>
      </c>
      <c r="D31" t="n">
        <v>12</v>
      </c>
      <c r="E31" t="inlineStr">
        <is>
          <t>1W6+1</t>
        </is>
      </c>
      <c r="F31" t="n">
        <v>3</v>
      </c>
      <c r="G31" t="inlineStr">
        <is>
          <t>+9/+3/-9/-22/x</t>
        </is>
      </c>
      <c r="H31" t="inlineStr">
        <is>
          <t>22m</t>
        </is>
      </c>
      <c r="I31" t="n">
        <v>6</v>
      </c>
      <c r="J31" t="n">
        <v>9</v>
      </c>
      <c r="K31" t="n">
        <v>200</v>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n">
        <v>0.001</v>
      </c>
      <c r="L32" t="n">
        <v>1</v>
      </c>
      <c r="M32" t="n">
        <v>1</v>
      </c>
      <c r="N32" t="n">
        <v>1</v>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n">
        <v>100</v>
      </c>
      <c r="L33" t="n">
        <v>6</v>
      </c>
      <c r="M33" t="n">
        <v>7</v>
      </c>
      <c r="N33" t="n">
        <v>5</v>
      </c>
    </row>
    <row r="34">
      <c r="A34" t="inlineStr">
        <is>
          <t>Kurzbogen</t>
        </is>
      </c>
      <c r="B34" t="inlineStr">
        <is>
          <t>Drow</t>
        </is>
      </c>
      <c r="C34" t="inlineStr">
        <is>
          <t>Noristawurz</t>
        </is>
      </c>
      <c r="D34" t="n">
        <v>10</v>
      </c>
      <c r="E34" t="inlineStr">
        <is>
          <t>1W4+2</t>
        </is>
      </c>
      <c r="F34" t="n">
        <v>2</v>
      </c>
      <c r="G34" t="inlineStr">
        <is>
          <t>+8/+3/-11/-25/x</t>
        </is>
      </c>
      <c r="H34" t="inlineStr">
        <is>
          <t>15m</t>
        </is>
      </c>
      <c r="I34" t="n">
        <v>6</v>
      </c>
      <c r="J34" t="n">
        <v>9</v>
      </c>
      <c r="K34" t="n">
        <v>60</v>
      </c>
      <c r="L34" t="n">
        <v>6</v>
      </c>
      <c r="M34" t="n">
        <v>6</v>
      </c>
      <c r="N34" t="n">
        <v>1</v>
      </c>
    </row>
    <row r="35">
      <c r="A35" t="inlineStr">
        <is>
          <t>Jagdbogen</t>
        </is>
      </c>
      <c r="B35" t="inlineStr">
        <is>
          <t>Drow</t>
        </is>
      </c>
      <c r="C35" t="inlineStr">
        <is>
          <t>Noristawurz</t>
        </is>
      </c>
      <c r="D35" t="n">
        <v>12</v>
      </c>
      <c r="E35" t="inlineStr">
        <is>
          <t>1W6+2</t>
        </is>
      </c>
      <c r="F35" t="n">
        <v>2</v>
      </c>
      <c r="G35" t="inlineStr">
        <is>
          <t>+7/+3/-8/-22/x</t>
        </is>
      </c>
      <c r="H35" t="inlineStr">
        <is>
          <t>22m</t>
        </is>
      </c>
      <c r="I35" t="n">
        <v>6</v>
      </c>
      <c r="J35" t="n">
        <v>9</v>
      </c>
      <c r="K35" t="n">
        <v>80</v>
      </c>
      <c r="L35" t="n">
        <v>6</v>
      </c>
      <c r="M35" t="n">
        <v>6</v>
      </c>
      <c r="N35" t="n">
        <v>4</v>
      </c>
    </row>
    <row r="36">
      <c r="A36" t="inlineStr">
        <is>
          <t>Langbogen</t>
        </is>
      </c>
      <c r="B36" t="inlineStr">
        <is>
          <t>Drow</t>
        </is>
      </c>
      <c r="C36" t="inlineStr">
        <is>
          <t>Noristawurz</t>
        </is>
      </c>
      <c r="D36" t="n">
        <v>13</v>
      </c>
      <c r="E36" t="inlineStr">
        <is>
          <t>1W6+2</t>
        </is>
      </c>
      <c r="F36" t="n">
        <v>3</v>
      </c>
      <c r="G36" t="inlineStr">
        <is>
          <t>+5/+2/-8/-20/-30</t>
        </is>
      </c>
      <c r="H36" t="inlineStr">
        <is>
          <t>60m</t>
        </is>
      </c>
      <c r="I36" t="n">
        <v>7</v>
      </c>
      <c r="J36" t="n">
        <v>9</v>
      </c>
      <c r="K36" t="n">
        <v>125</v>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n">
        <v>250</v>
      </c>
      <c r="L37" t="n">
        <v>6</v>
      </c>
      <c r="M37" t="n">
        <v>6</v>
      </c>
      <c r="N37" t="n">
        <v>5</v>
      </c>
    </row>
    <row r="38">
      <c r="A38" t="inlineStr">
        <is>
          <t>Kurzbogen</t>
        </is>
      </c>
      <c r="B38" t="inlineStr">
        <is>
          <t>Gnom</t>
        </is>
      </c>
      <c r="C38" t="inlineStr">
        <is>
          <t>Holz</t>
        </is>
      </c>
      <c r="D38" t="n">
        <v>4</v>
      </c>
      <c r="E38" t="inlineStr">
        <is>
          <t>1W2+1</t>
        </is>
      </c>
      <c r="F38" t="n">
        <v>2</v>
      </c>
      <c r="G38" t="inlineStr">
        <is>
          <t>+7/+2/-11/-25/x</t>
        </is>
      </c>
      <c r="H38" t="inlineStr">
        <is>
          <t>10m</t>
        </is>
      </c>
      <c r="I38" t="n">
        <v>5</v>
      </c>
      <c r="J38" t="n">
        <v>9</v>
      </c>
      <c r="K38" t="n">
        <v>60</v>
      </c>
      <c r="L38" t="n">
        <v>7</v>
      </c>
      <c r="M38" t="n">
        <v>7</v>
      </c>
      <c r="N38" t="n">
        <v>1</v>
      </c>
    </row>
    <row r="39">
      <c r="A39" t="inlineStr">
        <is>
          <t>Jagdbogen</t>
        </is>
      </c>
      <c r="B39" t="inlineStr">
        <is>
          <t>Gnom</t>
        </is>
      </c>
      <c r="C39" t="inlineStr">
        <is>
          <t>Holz</t>
        </is>
      </c>
      <c r="D39" t="n">
        <v>6</v>
      </c>
      <c r="E39" t="inlineStr">
        <is>
          <t>1W4+1</t>
        </is>
      </c>
      <c r="F39" t="n">
        <v>2</v>
      </c>
      <c r="G39" t="inlineStr">
        <is>
          <t>+6/+2/-8/-22/x</t>
        </is>
      </c>
      <c r="H39" t="inlineStr">
        <is>
          <t>14m</t>
        </is>
      </c>
      <c r="I39" t="n">
        <v>5</v>
      </c>
      <c r="J39" t="n">
        <v>9</v>
      </c>
      <c r="K39" t="n">
        <v>80</v>
      </c>
      <c r="L39" t="n">
        <v>7</v>
      </c>
      <c r="M39" t="n">
        <v>7</v>
      </c>
      <c r="N39" t="n">
        <v>1</v>
      </c>
    </row>
    <row r="40">
      <c r="A40" t="inlineStr">
        <is>
          <t>Langbogen</t>
        </is>
      </c>
      <c r="B40" t="inlineStr">
        <is>
          <t>Gnom</t>
        </is>
      </c>
      <c r="C40" t="inlineStr">
        <is>
          <t>Holz</t>
        </is>
      </c>
      <c r="D40" t="n">
        <v>7</v>
      </c>
      <c r="E40" t="inlineStr">
        <is>
          <t>1W4+1</t>
        </is>
      </c>
      <c r="F40" t="n">
        <v>3</v>
      </c>
      <c r="G40" t="inlineStr">
        <is>
          <t>+5/+2/-8/-20/-30</t>
        </is>
      </c>
      <c r="H40" t="inlineStr">
        <is>
          <t>30m</t>
        </is>
      </c>
      <c r="I40" t="n">
        <v>6</v>
      </c>
      <c r="J40" t="n">
        <v>9</v>
      </c>
      <c r="K40" t="n">
        <v>125</v>
      </c>
      <c r="L40" t="n">
        <v>7</v>
      </c>
      <c r="M40" t="n">
        <v>7</v>
      </c>
      <c r="N40" t="n">
        <v>1</v>
      </c>
    </row>
    <row r="41">
      <c r="A41" t="inlineStr">
        <is>
          <t>Umspannbogen</t>
        </is>
      </c>
      <c r="B41" t="inlineStr">
        <is>
          <t>Gnom</t>
        </is>
      </c>
      <c r="C41" t="inlineStr">
        <is>
          <t>Holz, G Federstahl, G Stahl</t>
        </is>
      </c>
      <c r="D41" t="n">
        <v>10</v>
      </c>
      <c r="E41" t="inlineStr">
        <is>
          <t>1W6+1</t>
        </is>
      </c>
      <c r="F41" t="n">
        <v>5</v>
      </c>
      <c r="G41" t="inlineStr">
        <is>
          <t>+6/+2/-6/-17/-25</t>
        </is>
      </c>
      <c r="H41" t="inlineStr">
        <is>
          <t>25m</t>
        </is>
      </c>
      <c r="I41" t="n">
        <v>4</v>
      </c>
      <c r="J41" t="n">
        <v>10</v>
      </c>
      <c r="K41" t="n">
        <v>10000</v>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n">
        <v>1000000</v>
      </c>
      <c r="L42" t="n">
        <v>7</v>
      </c>
      <c r="M42" t="n">
        <v>7</v>
      </c>
      <c r="N42" t="n">
        <v>7</v>
      </c>
    </row>
  </sheetData>
  <pageMargins left="0.7" right="0.7" top="0.75" bottom="0.75" header="0.3" footer="0.3"/>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SP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 right="0.7" top="0.75" bottom="0.75" header="0.3" footer="0.3"/>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cols>
    <col width="31" customWidth="1" style="48" min="1" max="1"/>
  </cols>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n">
        <v>0.001</v>
      </c>
      <c r="I2" t="n">
        <v>1</v>
      </c>
      <c r="J2" t="n">
        <v>1</v>
      </c>
      <c r="K2" t="n">
        <v>1</v>
      </c>
    </row>
    <row r="3">
      <c r="A3" t="inlineStr">
        <is>
          <t>Hand Armbrust</t>
        </is>
      </c>
      <c r="B3" t="inlineStr">
        <is>
          <t>Daikini</t>
        </is>
      </c>
      <c r="C3" t="inlineStr">
        <is>
          <t>Hand: 9,14sec:4 / Geissfuss: 5,30sec:2 / Winde: 3,60sec:1</t>
        </is>
      </c>
      <c r="D3" t="inlineStr">
        <is>
          <t>1W6</t>
        </is>
      </c>
      <c r="E3" t="n">
        <v>3</v>
      </c>
      <c r="F3" t="inlineStr">
        <is>
          <t>+11/-3/-24/-38/x</t>
        </is>
      </c>
      <c r="G3" t="inlineStr">
        <is>
          <t>5m</t>
        </is>
      </c>
      <c r="H3" t="n">
        <v>100</v>
      </c>
      <c r="I3" t="n">
        <v>6</v>
      </c>
      <c r="J3" t="n">
        <v>7</v>
      </c>
      <c r="K3" t="n">
        <v>4</v>
      </c>
    </row>
    <row r="4">
      <c r="A4" t="inlineStr">
        <is>
          <t>Leichte Armbrust</t>
        </is>
      </c>
      <c r="B4" t="inlineStr">
        <is>
          <t>Daikini</t>
        </is>
      </c>
      <c r="C4" t="inlineStr">
        <is>
          <t>Hand: 12,14sec:4 / Geissfuss: 7,30sec:2 / Winde: 4,60sec:1</t>
        </is>
      </c>
      <c r="D4" t="inlineStr">
        <is>
          <t>1W8</t>
        </is>
      </c>
      <c r="E4" t="n">
        <v>4</v>
      </c>
      <c r="F4" t="inlineStr">
        <is>
          <t>+10/+2/-14/-31/x</t>
        </is>
      </c>
      <c r="G4" t="inlineStr">
        <is>
          <t>10m</t>
        </is>
      </c>
      <c r="H4" t="n">
        <v>120</v>
      </c>
      <c r="I4" t="n">
        <v>6</v>
      </c>
      <c r="J4" t="n">
        <v>7</v>
      </c>
      <c r="K4" t="n">
        <v>2</v>
      </c>
    </row>
    <row r="5">
      <c r="A5" t="inlineStr">
        <is>
          <t>Mittelschwere Armbrust</t>
        </is>
      </c>
      <c r="B5" t="inlineStr">
        <is>
          <t>Daikini</t>
        </is>
      </c>
      <c r="C5" t="inlineStr">
        <is>
          <t>Hand: 25,14sec:4 / Geissfuss: 12,30sec:2 / Winde: 7,60sec:1</t>
        </is>
      </c>
      <c r="D5" t="inlineStr">
        <is>
          <t>1W10</t>
        </is>
      </c>
      <c r="E5" t="n">
        <v>5</v>
      </c>
      <c r="F5" t="inlineStr">
        <is>
          <t>+9/+6/-9/-25/x</t>
        </is>
      </c>
      <c r="G5" t="inlineStr">
        <is>
          <t>15m</t>
        </is>
      </c>
      <c r="H5" t="n">
        <v>200</v>
      </c>
      <c r="I5" t="n">
        <v>6</v>
      </c>
      <c r="J5" t="n">
        <v>7</v>
      </c>
      <c r="K5" t="n">
        <v>3</v>
      </c>
    </row>
    <row r="6">
      <c r="A6" t="inlineStr">
        <is>
          <t>Schwere Armbrust</t>
        </is>
      </c>
      <c r="B6" t="inlineStr">
        <is>
          <t>Daikini</t>
        </is>
      </c>
      <c r="C6" t="inlineStr">
        <is>
          <t>Hand: 37,14sec:4 / Geissfuss: 20,30sec:2 / Winde: 14,60sec:1</t>
        </is>
      </c>
      <c r="D6" t="inlineStr">
        <is>
          <t>1W12</t>
        </is>
      </c>
      <c r="E6" t="n">
        <v>6</v>
      </c>
      <c r="F6" t="inlineStr">
        <is>
          <t>+8/+5/-5/-21/x</t>
        </is>
      </c>
      <c r="G6" t="inlineStr">
        <is>
          <t>20m</t>
        </is>
      </c>
      <c r="H6" t="n">
        <v>800</v>
      </c>
      <c r="I6" t="n">
        <v>6</v>
      </c>
      <c r="J6" t="n">
        <v>7</v>
      </c>
      <c r="K6" t="n">
        <v>4</v>
      </c>
    </row>
    <row r="7">
      <c r="A7" t="inlineStr">
        <is>
          <t>Repetier Armbrust</t>
        </is>
      </c>
      <c r="B7" t="inlineStr">
        <is>
          <t>Daikini</t>
        </is>
      </c>
      <c r="C7" t="inlineStr">
        <is>
          <t>Repetiern:11,6sec:10 / 5xBolzen nachladen: 1,16sec:6(Erg:5 fuer 1)</t>
        </is>
      </c>
      <c r="D7" t="inlineStr">
        <is>
          <t>1W4</t>
        </is>
      </c>
      <c r="E7" t="n">
        <v>4</v>
      </c>
      <c r="F7" t="inlineStr">
        <is>
          <t>+7/0/-17/-34/x</t>
        </is>
      </c>
      <c r="G7" t="inlineStr">
        <is>
          <t>5m</t>
        </is>
      </c>
      <c r="H7" t="n">
        <v>900</v>
      </c>
      <c r="I7" t="n">
        <v>6</v>
      </c>
      <c r="J7" t="n">
        <v>7</v>
      </c>
      <c r="K7" t="n">
        <v>6</v>
      </c>
      <c r="L7" t="inlineStr">
        <is>
          <t>Nur normale Bolzen mit normaler Spitze im 5-Schuss-Magazin</t>
        </is>
      </c>
    </row>
    <row r="8">
      <c r="A8" t="inlineStr">
        <is>
          <t>Hand Armbrust</t>
        </is>
      </c>
      <c r="B8" t="inlineStr">
        <is>
          <t>Goblin</t>
        </is>
      </c>
      <c r="C8" t="inlineStr">
        <is>
          <t>Hand: 7,14sec:4 / Geissfuss: 3,30sec:2 / Winde: 1,60sec:1</t>
        </is>
      </c>
      <c r="D8" t="inlineStr">
        <is>
          <t>1W6</t>
        </is>
      </c>
      <c r="E8" t="n">
        <v>2</v>
      </c>
      <c r="F8" t="inlineStr">
        <is>
          <t>+10/-4/-25/-39/x</t>
        </is>
      </c>
      <c r="G8" t="inlineStr">
        <is>
          <t>5m</t>
        </is>
      </c>
      <c r="H8" t="n">
        <v>75</v>
      </c>
      <c r="I8" t="n">
        <v>5</v>
      </c>
      <c r="J8" t="n">
        <v>5</v>
      </c>
      <c r="K8" t="n">
        <v>3</v>
      </c>
    </row>
    <row r="9">
      <c r="A9" t="inlineStr">
        <is>
          <t>Leichte Armbrust</t>
        </is>
      </c>
      <c r="B9" t="inlineStr">
        <is>
          <t>Goblin</t>
        </is>
      </c>
      <c r="C9" t="inlineStr">
        <is>
          <t>Hand: 10,14sec:4 / Geissfuss: 5,30sec:2 / Winde: 2,60sec:1</t>
        </is>
      </c>
      <c r="D9" t="inlineStr">
        <is>
          <t>1W8</t>
        </is>
      </c>
      <c r="E9" t="n">
        <v>2</v>
      </c>
      <c r="F9" t="inlineStr">
        <is>
          <t>+9/+3/-15/-32/x</t>
        </is>
      </c>
      <c r="G9" t="inlineStr">
        <is>
          <t>10m</t>
        </is>
      </c>
      <c r="H9" t="n">
        <v>90</v>
      </c>
      <c r="I9" t="n">
        <v>4</v>
      </c>
      <c r="J9" t="n">
        <v>4</v>
      </c>
      <c r="K9" t="n">
        <v>1</v>
      </c>
    </row>
    <row r="10">
      <c r="A10" t="inlineStr">
        <is>
          <t>Mittelschwere Armbrust</t>
        </is>
      </c>
      <c r="B10" t="inlineStr">
        <is>
          <t>Goblin</t>
        </is>
      </c>
      <c r="C10" t="inlineStr">
        <is>
          <t>Hand: 23,14sec:4 / Geissfuss: 10,30sec:2 / Winde: 5,60sec:1</t>
        </is>
      </c>
      <c r="D10" t="inlineStr">
        <is>
          <t>1W10</t>
        </is>
      </c>
      <c r="E10" t="n">
        <v>4</v>
      </c>
      <c r="F10" t="inlineStr">
        <is>
          <t>+8/+5/-10/-26/x</t>
        </is>
      </c>
      <c r="G10" t="inlineStr">
        <is>
          <t>15m</t>
        </is>
      </c>
      <c r="H10" t="n">
        <v>150</v>
      </c>
      <c r="I10" t="n">
        <v>4</v>
      </c>
      <c r="J10" t="n">
        <v>4</v>
      </c>
      <c r="K10" t="n">
        <v>2</v>
      </c>
    </row>
    <row r="11">
      <c r="A11" t="inlineStr">
        <is>
          <t>Schwere Armbrust</t>
        </is>
      </c>
      <c r="B11" t="inlineStr">
        <is>
          <t>Goblin</t>
        </is>
      </c>
      <c r="C11" t="inlineStr">
        <is>
          <t>Hand: 35,14sec:4 / Geissfuss: 18,30sec:2 / Winde: 12,60sec:1</t>
        </is>
      </c>
      <c r="D11" t="inlineStr">
        <is>
          <t>1W12</t>
        </is>
      </c>
      <c r="E11" t="n">
        <v>5</v>
      </c>
      <c r="F11" t="inlineStr">
        <is>
          <t>+7/+4/-6/-22/x</t>
        </is>
      </c>
      <c r="G11" t="inlineStr">
        <is>
          <t>20m</t>
        </is>
      </c>
      <c r="H11" t="n">
        <v>600</v>
      </c>
      <c r="I11" t="n">
        <v>4</v>
      </c>
      <c r="J11" t="n">
        <v>4</v>
      </c>
      <c r="K11" t="n">
        <v>3</v>
      </c>
    </row>
    <row r="12">
      <c r="A12" t="inlineStr">
        <is>
          <t>Repetier Armbrust</t>
        </is>
      </c>
      <c r="B12" t="inlineStr">
        <is>
          <t>Goblin</t>
        </is>
      </c>
      <c r="C12" t="inlineStr">
        <is>
          <t>Repetiern:9,6sec:10 / 5xBolzen nachladen: 1,16sec:6(Erg:5 fuer 1)</t>
        </is>
      </c>
      <c r="D12" t="inlineStr">
        <is>
          <t>1W4</t>
        </is>
      </c>
      <c r="E12" t="n">
        <v>3</v>
      </c>
      <c r="F12" t="inlineStr">
        <is>
          <t>+6/-1/-18/-35/x</t>
        </is>
      </c>
      <c r="G12" t="inlineStr">
        <is>
          <t>5m</t>
        </is>
      </c>
      <c r="H12" t="n">
        <v>675</v>
      </c>
      <c r="I12" t="n">
        <v>4</v>
      </c>
      <c r="J12" t="n">
        <v>4</v>
      </c>
      <c r="K12" t="n">
        <v>5</v>
      </c>
      <c r="L12" t="inlineStr">
        <is>
          <t>Nur normale Bolzen mit normaler Spitze im 5-Schuss-Magazin</t>
        </is>
      </c>
    </row>
    <row r="13">
      <c r="A13" t="inlineStr">
        <is>
          <t>Hand Armbrust</t>
        </is>
      </c>
      <c r="B13" t="inlineStr">
        <is>
          <t>Ork</t>
        </is>
      </c>
      <c r="C13" t="inlineStr">
        <is>
          <t>Hand: 13,14sec:4 / Geissfuss: 9,30sec:2 / Winde: 7,60sec:1</t>
        </is>
      </c>
      <c r="D13" t="inlineStr">
        <is>
          <t>1W6</t>
        </is>
      </c>
      <c r="E13" t="n">
        <v>4</v>
      </c>
      <c r="F13" t="inlineStr">
        <is>
          <t>+11/-3/-24/-38/x</t>
        </is>
      </c>
      <c r="G13" t="inlineStr">
        <is>
          <t>5m</t>
        </is>
      </c>
      <c r="H13" t="n">
        <v>100</v>
      </c>
      <c r="I13" t="n">
        <v>6</v>
      </c>
      <c r="J13" t="n">
        <v>6</v>
      </c>
      <c r="K13" t="n">
        <v>4</v>
      </c>
    </row>
    <row r="14">
      <c r="A14" t="inlineStr">
        <is>
          <t>Leichte Armbrust</t>
        </is>
      </c>
      <c r="B14" t="inlineStr">
        <is>
          <t>Ork</t>
        </is>
      </c>
      <c r="C14" t="inlineStr">
        <is>
          <t>Hand: 16,14sec:4 / Geissfuss: 11,30sec:2 / Winde: 8,60sec:1</t>
        </is>
      </c>
      <c r="D14" t="inlineStr">
        <is>
          <t>1W8</t>
        </is>
      </c>
      <c r="E14" t="n">
        <v>5</v>
      </c>
      <c r="F14" t="inlineStr">
        <is>
          <t>+10/+2/-14/-31/x</t>
        </is>
      </c>
      <c r="G14" t="inlineStr">
        <is>
          <t>10m</t>
        </is>
      </c>
      <c r="H14" t="n">
        <v>120</v>
      </c>
      <c r="I14" t="n">
        <v>5</v>
      </c>
      <c r="J14" t="n">
        <v>5</v>
      </c>
      <c r="K14" t="n">
        <v>2</v>
      </c>
    </row>
    <row r="15">
      <c r="A15" t="inlineStr">
        <is>
          <t>Mittelschwere Armbrust</t>
        </is>
      </c>
      <c r="B15" t="inlineStr">
        <is>
          <t>Ork</t>
        </is>
      </c>
      <c r="C15" t="inlineStr">
        <is>
          <t>Hand: 29,14sec:4 / Geissfuss: 16,30sec:2 / Winde: 11,60sec:1</t>
        </is>
      </c>
      <c r="D15" t="inlineStr">
        <is>
          <t>1W10</t>
        </is>
      </c>
      <c r="E15" t="n">
        <v>6</v>
      </c>
      <c r="F15" t="inlineStr">
        <is>
          <t>+9/+6/-9/-25/x</t>
        </is>
      </c>
      <c r="G15" t="inlineStr">
        <is>
          <t>15m</t>
        </is>
      </c>
      <c r="H15" t="n">
        <v>200</v>
      </c>
      <c r="I15" t="n">
        <v>5</v>
      </c>
      <c r="J15" t="n">
        <v>5</v>
      </c>
      <c r="K15" t="n">
        <v>3</v>
      </c>
    </row>
    <row r="16">
      <c r="A16" t="inlineStr">
        <is>
          <t>Schwere Armbrust</t>
        </is>
      </c>
      <c r="B16" t="inlineStr">
        <is>
          <t>Ork</t>
        </is>
      </c>
      <c r="C16" t="inlineStr">
        <is>
          <t>Hand: 41,14sec:4 / Geissfuss: 24,30sec:2 / Winde: 18,60sec:1</t>
        </is>
      </c>
      <c r="D16" t="inlineStr">
        <is>
          <t>1W12</t>
        </is>
      </c>
      <c r="E16" t="n">
        <v>7</v>
      </c>
      <c r="F16" t="inlineStr">
        <is>
          <t>+8/+5/-5/-21/x</t>
        </is>
      </c>
      <c r="G16" t="inlineStr">
        <is>
          <t>20m</t>
        </is>
      </c>
      <c r="H16" t="n">
        <v>800</v>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n">
        <v>1500</v>
      </c>
      <c r="I17" t="n">
        <v>5</v>
      </c>
      <c r="J17" t="n">
        <v>5</v>
      </c>
      <c r="K17" t="n">
        <v>5</v>
      </c>
    </row>
    <row r="18">
      <c r="A18" t="inlineStr">
        <is>
          <t>Repetier Armbrust</t>
        </is>
      </c>
      <c r="B18" t="inlineStr">
        <is>
          <t>Ork</t>
        </is>
      </c>
      <c r="C18" t="inlineStr">
        <is>
          <t>Repetiern:15,6sec:10 / 5xBolzen nachladen: 1,16sec:6(Erg:5 fuer 1)</t>
        </is>
      </c>
      <c r="D18" t="inlineStr">
        <is>
          <t>1W4</t>
        </is>
      </c>
      <c r="E18" t="n">
        <v>5</v>
      </c>
      <c r="F18" t="inlineStr">
        <is>
          <t>+7/0/-17/-34/x</t>
        </is>
      </c>
      <c r="G18" t="inlineStr">
        <is>
          <t>5m</t>
        </is>
      </c>
      <c r="H18" t="n">
        <v>900</v>
      </c>
      <c r="I18" t="n">
        <v>7</v>
      </c>
      <c r="J18" t="n">
        <v>7</v>
      </c>
      <c r="K18" t="n">
        <v>7</v>
      </c>
      <c r="L18" t="inlineStr">
        <is>
          <t>Nur normale Bolzen mit normaler Spitze im 5-Schuss-Magazin</t>
        </is>
      </c>
    </row>
    <row r="19">
      <c r="A19" t="inlineStr">
        <is>
          <t>Hand Armbrust</t>
        </is>
      </c>
      <c r="B19" t="inlineStr">
        <is>
          <t>Elf</t>
        </is>
      </c>
      <c r="C19" t="inlineStr">
        <is>
          <t>Hand: 9,14sec:4 / Geissfuss: 5,30sec:2 / Winde: 3,60sec:1</t>
        </is>
      </c>
      <c r="D19" t="inlineStr">
        <is>
          <t>1W6</t>
        </is>
      </c>
      <c r="E19" t="n">
        <v>2</v>
      </c>
      <c r="F19" t="inlineStr">
        <is>
          <t>+13/-1/-22/-36/x</t>
        </is>
      </c>
      <c r="G19" t="inlineStr">
        <is>
          <t>5m</t>
        </is>
      </c>
      <c r="H19" t="n">
        <v>125</v>
      </c>
      <c r="I19" t="n">
        <v>6</v>
      </c>
      <c r="J19" t="n">
        <v>6</v>
      </c>
      <c r="K19" t="n">
        <v>4</v>
      </c>
    </row>
    <row r="20">
      <c r="A20" t="inlineStr">
        <is>
          <t>Leichte Armbrust</t>
        </is>
      </c>
      <c r="B20" t="inlineStr">
        <is>
          <t>Elf</t>
        </is>
      </c>
      <c r="C20" t="inlineStr">
        <is>
          <t>Hand: 12,14sec:4 / Geissfuss: 7,30sec:2 / Winde: 4,60sec:1</t>
        </is>
      </c>
      <c r="D20" t="inlineStr">
        <is>
          <t>1W8</t>
        </is>
      </c>
      <c r="E20" t="n">
        <v>3</v>
      </c>
      <c r="F20" t="inlineStr">
        <is>
          <t>+12/+4/-12/-29/x</t>
        </is>
      </c>
      <c r="G20" t="inlineStr">
        <is>
          <t>10m</t>
        </is>
      </c>
      <c r="H20" t="n">
        <v>150</v>
      </c>
      <c r="I20" t="n">
        <v>6</v>
      </c>
      <c r="J20" t="n">
        <v>6</v>
      </c>
      <c r="K20" t="n">
        <v>2</v>
      </c>
    </row>
    <row r="21">
      <c r="A21" t="inlineStr">
        <is>
          <t>Mittelschwere Armbrust</t>
        </is>
      </c>
      <c r="B21" t="inlineStr">
        <is>
          <t>Elf</t>
        </is>
      </c>
      <c r="C21" t="inlineStr">
        <is>
          <t>Hand: 25,14sec:4 / Geissfuss: 12,30sec:2 / Winde: 7,60sec:1</t>
        </is>
      </c>
      <c r="D21" t="inlineStr">
        <is>
          <t>1W10</t>
        </is>
      </c>
      <c r="E21" t="n">
        <v>4</v>
      </c>
      <c r="F21" t="inlineStr">
        <is>
          <t>+11/+7/-7/-23/x</t>
        </is>
      </c>
      <c r="G21" t="inlineStr">
        <is>
          <t>15m</t>
        </is>
      </c>
      <c r="H21" t="n">
        <v>250</v>
      </c>
      <c r="I21" t="n">
        <v>6</v>
      </c>
      <c r="J21" t="n">
        <v>6</v>
      </c>
      <c r="K21" t="n">
        <v>3</v>
      </c>
    </row>
    <row r="22">
      <c r="A22" t="inlineStr">
        <is>
          <t>Schwere Armbrust</t>
        </is>
      </c>
      <c r="B22" t="inlineStr">
        <is>
          <t>Elf</t>
        </is>
      </c>
      <c r="C22" t="inlineStr">
        <is>
          <t>Hand: 37,14sec:4 / Geissfuss: 20,30sec:2 / Winde: 14,60sec:1</t>
        </is>
      </c>
      <c r="D22" t="inlineStr">
        <is>
          <t>1W12</t>
        </is>
      </c>
      <c r="E22" t="n">
        <v>5</v>
      </c>
      <c r="F22" t="inlineStr">
        <is>
          <t>+10/+6/-3/-19/x</t>
        </is>
      </c>
      <c r="G22" t="inlineStr">
        <is>
          <t>20m</t>
        </is>
      </c>
      <c r="H22" t="n">
        <v>1000</v>
      </c>
      <c r="I22" t="n">
        <v>6</v>
      </c>
      <c r="J22" t="n">
        <v>6</v>
      </c>
      <c r="K22" t="n">
        <v>4</v>
      </c>
    </row>
    <row r="23">
      <c r="A23" t="inlineStr">
        <is>
          <t>Repetier Armbrust</t>
        </is>
      </c>
      <c r="B23" t="inlineStr">
        <is>
          <t>Elf</t>
        </is>
      </c>
      <c r="C23" t="inlineStr">
        <is>
          <t>Repetiern:11,6sec:10 / 5xBolzen nachladen: 1,16sec:6(Erg:5 fuer 1)</t>
        </is>
      </c>
      <c r="D23" t="inlineStr">
        <is>
          <t>1W4</t>
        </is>
      </c>
      <c r="E23" t="n">
        <v>3</v>
      </c>
      <c r="F23" t="inlineStr">
        <is>
          <t>+9/+2/-15/-32/x</t>
        </is>
      </c>
      <c r="G23" t="inlineStr">
        <is>
          <t>5m</t>
        </is>
      </c>
      <c r="H23" t="n">
        <v>1125</v>
      </c>
      <c r="I23" t="n">
        <v>6</v>
      </c>
      <c r="J23" t="n">
        <v>6</v>
      </c>
      <c r="K23" t="n">
        <v>6</v>
      </c>
      <c r="L23" t="inlineStr">
        <is>
          <t>Nur normale Bolzen mit normaler Spitze im 5-Schuss-Magazin</t>
        </is>
      </c>
    </row>
    <row r="24">
      <c r="A24" t="inlineStr">
        <is>
          <t>Hand Armbrust</t>
        </is>
      </c>
      <c r="B24" t="inlineStr">
        <is>
          <t>Drow</t>
        </is>
      </c>
      <c r="C24" t="inlineStr">
        <is>
          <t>Hand: 9,14sec:4 / Geissfuss: 5,30sec:2 / Winde: 3,60sec:1</t>
        </is>
      </c>
      <c r="D24" t="inlineStr">
        <is>
          <t>1W6+1</t>
        </is>
      </c>
      <c r="E24" t="n">
        <v>3</v>
      </c>
      <c r="F24" t="inlineStr">
        <is>
          <t>+10/-4/-25/-39/x</t>
        </is>
      </c>
      <c r="G24" t="inlineStr">
        <is>
          <t>5m</t>
        </is>
      </c>
      <c r="H24" t="n">
        <v>120</v>
      </c>
      <c r="I24" t="n">
        <v>7</v>
      </c>
      <c r="J24" t="n">
        <v>7</v>
      </c>
      <c r="K24" t="n">
        <v>4</v>
      </c>
    </row>
    <row r="25">
      <c r="A25" t="inlineStr">
        <is>
          <t>Leichte Armbrust</t>
        </is>
      </c>
      <c r="B25" t="inlineStr">
        <is>
          <t>Drow</t>
        </is>
      </c>
      <c r="C25" t="inlineStr">
        <is>
          <t>Hand: 12,14sec:4 / Geissfuss: 7,30sec:2 / Winde: 4,60sec:1</t>
        </is>
      </c>
      <c r="D25" t="inlineStr">
        <is>
          <t>1W8+1</t>
        </is>
      </c>
      <c r="E25" t="n">
        <v>4</v>
      </c>
      <c r="F25" t="inlineStr">
        <is>
          <t>+9/+1/-15/-32/x</t>
        </is>
      </c>
      <c r="G25" t="inlineStr">
        <is>
          <t>10m</t>
        </is>
      </c>
      <c r="H25" t="n">
        <v>145</v>
      </c>
      <c r="I25" t="n">
        <v>7</v>
      </c>
      <c r="J25" t="n">
        <v>7</v>
      </c>
      <c r="K25" t="n">
        <v>2</v>
      </c>
    </row>
    <row r="26">
      <c r="A26" t="inlineStr">
        <is>
          <t>Mittelschwere Armbrust</t>
        </is>
      </c>
      <c r="B26" t="inlineStr">
        <is>
          <t>Drow</t>
        </is>
      </c>
      <c r="C26" t="inlineStr">
        <is>
          <t>Hand: 25,14sec:4 / Geissfuss: 12,30sec:2 / Winde: 7,60sec:1</t>
        </is>
      </c>
      <c r="D26" t="inlineStr">
        <is>
          <t>1W10+1</t>
        </is>
      </c>
      <c r="E26" t="n">
        <v>5</v>
      </c>
      <c r="F26" t="inlineStr">
        <is>
          <t>+8/+5/-10/-26/x</t>
        </is>
      </c>
      <c r="G26" t="inlineStr">
        <is>
          <t>15m</t>
        </is>
      </c>
      <c r="H26" t="n">
        <v>245</v>
      </c>
      <c r="I26" t="n">
        <v>7</v>
      </c>
      <c r="J26" t="n">
        <v>7</v>
      </c>
      <c r="K26" t="n">
        <v>3</v>
      </c>
    </row>
    <row r="27">
      <c r="A27" t="inlineStr">
        <is>
          <t>Schwere Armbrust</t>
        </is>
      </c>
      <c r="B27" t="inlineStr">
        <is>
          <t>Drow</t>
        </is>
      </c>
      <c r="C27" t="inlineStr">
        <is>
          <t>Hand: 37,14sec:4 / Geissfuss: 20,30sec:2 / Winde: 14,60sec:1</t>
        </is>
      </c>
      <c r="D27" t="inlineStr">
        <is>
          <t>1W12+1</t>
        </is>
      </c>
      <c r="E27" t="n">
        <v>6</v>
      </c>
      <c r="F27" t="inlineStr">
        <is>
          <t>+7/+4/-6/-22/x</t>
        </is>
      </c>
      <c r="G27" t="inlineStr">
        <is>
          <t>20m</t>
        </is>
      </c>
      <c r="H27" t="n">
        <v>995</v>
      </c>
      <c r="I27" t="n">
        <v>7</v>
      </c>
      <c r="J27" t="n">
        <v>7</v>
      </c>
      <c r="K27" t="n">
        <v>4</v>
      </c>
    </row>
    <row r="28">
      <c r="A28" t="inlineStr">
        <is>
          <t>Repetier Armbrust</t>
        </is>
      </c>
      <c r="B28" t="inlineStr">
        <is>
          <t>Drow</t>
        </is>
      </c>
      <c r="C28" t="inlineStr">
        <is>
          <t>Repetiern:11,6sec:10 / 5xBolzen nachladen: 1,16sec:6(Erg:5 fuer 1)</t>
        </is>
      </c>
      <c r="D28" t="inlineStr">
        <is>
          <t>1W4+1</t>
        </is>
      </c>
      <c r="E28" t="n">
        <v>4</v>
      </c>
      <c r="F28" t="inlineStr">
        <is>
          <t>+6/-1/-18/-35/x</t>
        </is>
      </c>
      <c r="G28" t="inlineStr">
        <is>
          <t>5m</t>
        </is>
      </c>
      <c r="H28" t="n">
        <v>1120</v>
      </c>
      <c r="I28" t="n">
        <v>7</v>
      </c>
      <c r="J28" t="n">
        <v>7</v>
      </c>
      <c r="K28" t="n">
        <v>6</v>
      </c>
      <c r="L28" t="inlineStr">
        <is>
          <t>Nur normale Bolzen mit normaler Spitze im 5-Schuss-Magazin</t>
        </is>
      </c>
    </row>
    <row r="29">
      <c r="A29" t="inlineStr">
        <is>
          <t>Hand Armbrust</t>
        </is>
      </c>
      <c r="B29" t="inlineStr">
        <is>
          <t>Gnom</t>
        </is>
      </c>
      <c r="C29" t="inlineStr">
        <is>
          <t>Hand: 5,14sec:4 / Geissfuss: 1,30sec:2 / Winde: 1,60sec:1</t>
        </is>
      </c>
      <c r="D29" t="inlineStr">
        <is>
          <t>1W2</t>
        </is>
      </c>
      <c r="E29" t="n">
        <v>2</v>
      </c>
      <c r="F29" t="inlineStr">
        <is>
          <t>+11/-3/-24/-38/x</t>
        </is>
      </c>
      <c r="G29" t="inlineStr">
        <is>
          <t>5m</t>
        </is>
      </c>
      <c r="H29" t="n">
        <v>125</v>
      </c>
      <c r="I29" t="n">
        <v>7</v>
      </c>
      <c r="J29" t="n">
        <v>7</v>
      </c>
      <c r="K29" t="n">
        <v>4</v>
      </c>
    </row>
    <row r="30">
      <c r="A30" t="inlineStr">
        <is>
          <t>Leichte Armbrust</t>
        </is>
      </c>
      <c r="B30" t="inlineStr">
        <is>
          <t>Gnom</t>
        </is>
      </c>
      <c r="C30" t="inlineStr">
        <is>
          <t>Hand: 8,14sec:4 / Geissfuss: 3,30sec:2 / Winde: 1,60sec:1</t>
        </is>
      </c>
      <c r="D30" t="inlineStr">
        <is>
          <t>1W4</t>
        </is>
      </c>
      <c r="E30" t="n">
        <v>2</v>
      </c>
      <c r="F30" t="inlineStr">
        <is>
          <t>+10/+2/-14/-31/x</t>
        </is>
      </c>
      <c r="G30" t="inlineStr">
        <is>
          <t>10m</t>
        </is>
      </c>
      <c r="H30" t="n">
        <v>150</v>
      </c>
      <c r="I30" t="n">
        <v>7</v>
      </c>
      <c r="J30" t="n">
        <v>7</v>
      </c>
      <c r="K30" t="n">
        <v>2</v>
      </c>
    </row>
    <row r="31">
      <c r="A31" t="inlineStr">
        <is>
          <t>Mittelschwere Armbrust</t>
        </is>
      </c>
      <c r="B31" t="inlineStr">
        <is>
          <t>Gnom</t>
        </is>
      </c>
      <c r="C31" t="inlineStr">
        <is>
          <t>Hand: 21,14sec:4 / Geissfuss: 8,30sec:2 / Winde: 3,60sec:1</t>
        </is>
      </c>
      <c r="D31" t="inlineStr">
        <is>
          <t>1W6</t>
        </is>
      </c>
      <c r="E31" t="n">
        <v>3</v>
      </c>
      <c r="F31" t="inlineStr">
        <is>
          <t>+9/+6/-9/-25/x</t>
        </is>
      </c>
      <c r="G31" t="inlineStr">
        <is>
          <t>15m</t>
        </is>
      </c>
      <c r="H31" t="n">
        <v>250</v>
      </c>
      <c r="I31" t="n">
        <v>7</v>
      </c>
      <c r="J31" t="n">
        <v>7</v>
      </c>
      <c r="K31" t="n">
        <v>3</v>
      </c>
    </row>
    <row r="32">
      <c r="A32" t="inlineStr">
        <is>
          <t>Schwere Armbrust</t>
        </is>
      </c>
      <c r="B32" t="inlineStr">
        <is>
          <t>Gnom</t>
        </is>
      </c>
      <c r="C32" t="inlineStr">
        <is>
          <t>Hand: 33,14sec:4 / Geissfuss: 16,30sec:2 / Winde: 10,60sec:1</t>
        </is>
      </c>
      <c r="D32" t="inlineStr">
        <is>
          <t>1W8</t>
        </is>
      </c>
      <c r="E32" t="n">
        <v>4</v>
      </c>
      <c r="F32" t="inlineStr">
        <is>
          <t>+8/+5/-5/-21/x</t>
        </is>
      </c>
      <c r="G32" t="inlineStr">
        <is>
          <t>20m</t>
        </is>
      </c>
      <c r="H32" t="n">
        <v>1000</v>
      </c>
      <c r="I32" t="n">
        <v>7</v>
      </c>
      <c r="J32" t="n">
        <v>7</v>
      </c>
      <c r="K32" t="n">
        <v>4</v>
      </c>
    </row>
    <row r="33">
      <c r="A33" t="inlineStr">
        <is>
          <t>Repetier Armbrust</t>
        </is>
      </c>
      <c r="B33" t="inlineStr">
        <is>
          <t>Gnom</t>
        </is>
      </c>
      <c r="C33" t="inlineStr">
        <is>
          <t>Repetiern:8,6sec:10 / 5xBolzen nachladen: 1,16sec:6(Erg:5 fuer 1)</t>
        </is>
      </c>
      <c r="D33" t="inlineStr">
        <is>
          <t>1W2</t>
        </is>
      </c>
      <c r="E33" t="n">
        <v>2</v>
      </c>
      <c r="F33" t="inlineStr">
        <is>
          <t>+7/0/-17/-34/x</t>
        </is>
      </c>
      <c r="G33" t="inlineStr">
        <is>
          <t>5m</t>
        </is>
      </c>
      <c r="H33" t="n">
        <v>1125</v>
      </c>
      <c r="I33" t="n">
        <v>7</v>
      </c>
      <c r="J33" t="n">
        <v>7</v>
      </c>
      <c r="K33" t="n">
        <v>6</v>
      </c>
      <c r="L33" t="inlineStr">
        <is>
          <t>Nur normale Bolzen mit normaler Spitze im 5-Schuss-Magazin</t>
        </is>
      </c>
    </row>
    <row r="34">
      <c r="A34" t="inlineStr">
        <is>
          <t>Hand Armbrust</t>
        </is>
      </c>
      <c r="B34" t="inlineStr">
        <is>
          <t>Zwerg</t>
        </is>
      </c>
      <c r="C34" t="inlineStr">
        <is>
          <t>Hand: 10,14sec:4 / Geissfuss: 6,30sec:2 / Winde: 4,60sec:1</t>
        </is>
      </c>
      <c r="D34" t="inlineStr">
        <is>
          <t>1W6</t>
        </is>
      </c>
      <c r="E34" t="n">
        <v>3</v>
      </c>
      <c r="F34" t="inlineStr">
        <is>
          <t>+12/-2/-23/-37/x</t>
        </is>
      </c>
      <c r="G34" t="inlineStr">
        <is>
          <t>10m</t>
        </is>
      </c>
      <c r="H34" t="n">
        <v>160</v>
      </c>
      <c r="I34" t="n">
        <v>6</v>
      </c>
      <c r="J34" t="n">
        <v>5</v>
      </c>
      <c r="K34" t="n">
        <v>4</v>
      </c>
    </row>
    <row r="35">
      <c r="A35" t="inlineStr">
        <is>
          <t>Leichte Armbrust</t>
        </is>
      </c>
      <c r="B35" t="inlineStr">
        <is>
          <t>Zwerg</t>
        </is>
      </c>
      <c r="C35" t="inlineStr">
        <is>
          <t>Hand: 13,14sec:4 / Geissfuss: 8,30sec:2 / Winde: 5,60sec:1</t>
        </is>
      </c>
      <c r="D35" t="inlineStr">
        <is>
          <t>1W8</t>
        </is>
      </c>
      <c r="E35" t="n">
        <v>4</v>
      </c>
      <c r="F35" t="inlineStr">
        <is>
          <t>+11/+3/-13/-30/x</t>
        </is>
      </c>
      <c r="G35" t="inlineStr">
        <is>
          <t>15m</t>
        </is>
      </c>
      <c r="H35" t="n">
        <v>180</v>
      </c>
      <c r="I35" t="n">
        <v>6</v>
      </c>
      <c r="J35" t="n">
        <v>5</v>
      </c>
      <c r="K35" t="n">
        <v>2</v>
      </c>
    </row>
    <row r="36">
      <c r="A36" t="inlineStr">
        <is>
          <t>Mittelschwere Armbrust</t>
        </is>
      </c>
      <c r="B36" t="inlineStr">
        <is>
          <t>Zwerg</t>
        </is>
      </c>
      <c r="C36" t="inlineStr">
        <is>
          <t>Hand: 26,14sec:4 / Geissfuss: 13,30sec:2 / Winde: 8,60sec:1</t>
        </is>
      </c>
      <c r="D36" t="inlineStr">
        <is>
          <t>1W10</t>
        </is>
      </c>
      <c r="E36" t="n">
        <v>5</v>
      </c>
      <c r="F36" t="inlineStr">
        <is>
          <t>+10/+7/-8/-24/x</t>
        </is>
      </c>
      <c r="G36" t="inlineStr">
        <is>
          <t>20m</t>
        </is>
      </c>
      <c r="H36" t="n">
        <v>300</v>
      </c>
      <c r="I36" t="n">
        <v>6</v>
      </c>
      <c r="J36" t="n">
        <v>5</v>
      </c>
      <c r="K36" t="n">
        <v>3</v>
      </c>
    </row>
    <row r="37">
      <c r="A37" t="inlineStr">
        <is>
          <t>Schwere Armbrust</t>
        </is>
      </c>
      <c r="B37" t="inlineStr">
        <is>
          <t>Zwerg</t>
        </is>
      </c>
      <c r="C37" t="inlineStr">
        <is>
          <t>Hand: 38,14sec:4 / Geissfuss: 21,30sec:2 / Winde: 15,60sec:1</t>
        </is>
      </c>
      <c r="D37" t="inlineStr">
        <is>
          <t>1W12</t>
        </is>
      </c>
      <c r="E37" t="n">
        <v>6</v>
      </c>
      <c r="F37" t="inlineStr">
        <is>
          <t>+9/+6/-4/-20/x</t>
        </is>
      </c>
      <c r="G37" t="inlineStr">
        <is>
          <t>25m</t>
        </is>
      </c>
      <c r="H37" t="n">
        <v>1200</v>
      </c>
      <c r="I37" t="n">
        <v>6</v>
      </c>
      <c r="J37" t="n">
        <v>5</v>
      </c>
      <c r="K37" t="n">
        <v>4</v>
      </c>
    </row>
    <row r="38">
      <c r="A38" t="inlineStr">
        <is>
          <t>Repetier Armbrust</t>
        </is>
      </c>
      <c r="B38" t="inlineStr">
        <is>
          <t>Zwerg</t>
        </is>
      </c>
      <c r="C38" t="inlineStr">
        <is>
          <t>Repetiern:12,6sec:10 / 5xBolzen nachladen: 1,16sec:6(Erg:5 fuer 1)</t>
        </is>
      </c>
      <c r="D38" t="inlineStr">
        <is>
          <t>1W4</t>
        </is>
      </c>
      <c r="E38" t="n">
        <v>4</v>
      </c>
      <c r="F38" t="inlineStr">
        <is>
          <t>+8/+1/-16/-33/x</t>
        </is>
      </c>
      <c r="G38" t="inlineStr">
        <is>
          <t>10m</t>
        </is>
      </c>
      <c r="H38" t="n">
        <v>1350</v>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n">
        <v>300</v>
      </c>
      <c r="I39" t="n">
        <v>7</v>
      </c>
      <c r="J39" t="n">
        <v>4</v>
      </c>
      <c r="K39" t="n">
        <v>5</v>
      </c>
      <c r="L39" t="inlineStr">
        <is>
          <t>Zur Steinschleuder umgebaute Armbrust fuer die Vogeljagd; Munition kullert leicht aus der Abschusshalterung</t>
        </is>
      </c>
    </row>
  </sheetData>
  <pageMargins left="0.7" right="0.7" top="0.75" bottom="0.75" header="0.3" footer="0.3"/>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SP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 right="0.7" top="0.75" bottom="0.75" header="0.3" footer="0.3"/>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 right="0.7" top="0.75" bottom="0.75" header="0.3" footer="0.3"/>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 right="0.7" top="0.75" bottom="0.75" header="0.3" footer="0.3"/>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 right="0.7" top="0.75" bottom="0.75" header="0.3" footer="0.3"/>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K42"/>
  <sheetViews>
    <sheetView workbookViewId="0">
      <selection activeCell="A1" sqref="A1"/>
    </sheetView>
  </sheetViews>
  <sheetFormatPr baseColWidth="10" defaultColWidth="9.140625" defaultRowHeight="15"/>
  <sheetData>
    <row r="1">
      <c r="A1" t="inlineStr">
        <is>
          <t>Name</t>
        </is>
      </c>
      <c r="B1" t="inlineStr">
        <is>
          <t>Volk</t>
        </is>
      </c>
      <c r="C1" t="inlineStr">
        <is>
          <t>Typ</t>
        </is>
      </c>
      <c r="D1" t="inlineStr">
        <is>
          <t>Material</t>
        </is>
      </c>
      <c r="E1" t="inlineStr">
        <is>
          <t>Gewicht</t>
        </is>
      </c>
      <c r="F1" t="inlineStr">
        <is>
          <t>Min. Stä</t>
        </is>
      </c>
      <c r="G1" t="inlineStr">
        <is>
          <t>1.W</t>
        </is>
      </c>
      <c r="H1" t="inlineStr">
        <is>
          <t>2.W</t>
        </is>
      </c>
      <c r="I1" t="inlineStr">
        <is>
          <t>Fixschaden</t>
        </is>
      </c>
      <c r="J1" t="inlineStr">
        <is>
          <t>RB</t>
        </is>
      </c>
      <c r="K1" t="inlineStr">
        <is>
          <t>10m</t>
        </is>
      </c>
      <c r="L1" t="inlineStr">
        <is>
          <t>30m</t>
        </is>
      </c>
      <c r="M1" t="inlineStr">
        <is>
          <t>60m</t>
        </is>
      </c>
      <c r="N1" t="inlineStr">
        <is>
          <t>100m</t>
        </is>
      </c>
      <c r="O1" t="inlineStr">
        <is>
          <t>150m</t>
        </is>
      </c>
      <c r="P1" t="inlineStr">
        <is>
          <t>210m</t>
        </is>
      </c>
      <c r="Q1" t="inlineStr">
        <is>
          <t>RW</t>
        </is>
      </c>
      <c r="R1" t="inlineStr">
        <is>
          <t>Nachladezeit</t>
        </is>
      </c>
      <c r="S1" t="inlineStr">
        <is>
          <t>Nachladen TaW-Teiler</t>
        </is>
      </c>
      <c r="T1" t="inlineStr">
        <is>
          <t>Patzermodifikator</t>
        </is>
      </c>
      <c r="U1" t="inlineStr">
        <is>
          <t>Verfügbarkeit</t>
        </is>
      </c>
      <c r="V1" t="inlineStr">
        <is>
          <t>Preis</t>
        </is>
      </c>
      <c r="W1" t="inlineStr">
        <is>
          <t>Herstellungszeit</t>
        </is>
      </c>
      <c r="X1" t="inlineStr">
        <is>
          <t>Materialpreis</t>
        </is>
      </c>
      <c r="Y1" s="28" t="inlineStr">
        <is>
          <t>Hauptfertigkeit</t>
        </is>
      </c>
      <c r="Z1" s="28" t="inlineStr">
        <is>
          <t>Spezialisierung</t>
        </is>
      </c>
      <c r="AA1" t="inlineStr">
        <is>
          <t>WK-Basis</t>
        </is>
      </c>
      <c r="AB1" t="inlineStr">
        <is>
          <t>Schadenswuerfel-1</t>
        </is>
      </c>
      <c r="AC1" t="inlineStr">
        <is>
          <t>Schadenswuerfel-2</t>
        </is>
      </c>
      <c r="AD1" t="inlineStr">
        <is>
          <t>Staerke-Teiler</t>
        </is>
      </c>
      <c r="AE1" t="inlineStr">
        <is>
          <t>Staerke-Malus-Basis</t>
        </is>
      </c>
      <c r="AF1" t="inlineStr">
        <is>
          <t>AT-Basis</t>
        </is>
      </c>
      <c r="AG1" t="inlineStr">
        <is>
          <t>PA-Basis</t>
        </is>
      </c>
      <c r="AH1" t="inlineStr">
        <is>
          <t>Min-Staerke-1H-Basis</t>
        </is>
      </c>
      <c r="AI1" t="inlineStr">
        <is>
          <t>Min-Staerke-2H-Basis</t>
        </is>
      </c>
      <c r="AJ1" t="inlineStr">
        <is>
          <t>Klingenbrecher-Basis</t>
        </is>
      </c>
      <c r="AK1" t="inlineStr">
        <is>
          <t>Klingenschutz-Basis</t>
        </is>
      </c>
    </row>
    <row r="2">
      <c r="A2" t="inlineStr">
        <is>
          <t>Improvisierter Bogen</t>
        </is>
      </c>
      <c r="B2" t="inlineStr">
        <is>
          <t>Alle</t>
        </is>
      </c>
      <c r="D2" t="inlineStr">
        <is>
          <t>Holz</t>
        </is>
      </c>
      <c r="F2" t="n">
        <v>7</v>
      </c>
      <c r="G2" t="inlineStr">
        <is>
          <t>1W4</t>
        </is>
      </c>
      <c r="J2" t="n">
        <v>0</v>
      </c>
      <c r="K2" t="inlineStr">
        <is>
          <t>+4</t>
        </is>
      </c>
      <c r="L2" t="inlineStr">
        <is>
          <t>0</t>
        </is>
      </c>
      <c r="M2" t="inlineStr">
        <is>
          <t>-15</t>
        </is>
      </c>
      <c r="N2" t="inlineStr">
        <is>
          <t>x</t>
        </is>
      </c>
      <c r="O2" t="inlineStr">
        <is>
          <t>x</t>
        </is>
      </c>
      <c r="P2" t="inlineStr">
        <is>
          <t>x</t>
        </is>
      </c>
      <c r="Q2" t="inlineStr">
        <is>
          <t>15m</t>
        </is>
      </c>
      <c r="R2" t="n">
        <v>6</v>
      </c>
      <c r="S2" t="n">
        <v>9</v>
      </c>
      <c r="V2" t="inlineStr">
        <is>
          <t>nicht V.</t>
        </is>
      </c>
      <c r="Y2" s="28" t="inlineStr">
        <is>
          <t>Stangenwaffen</t>
        </is>
      </c>
      <c r="Z2" s="28" t="inlineStr">
        <is>
          <t>Improvisierte Stangenwaffen</t>
        </is>
      </c>
      <c r="AA2" s="56" t="n">
        <v>3</v>
      </c>
      <c r="AB2" s="56" t="inlineStr">
        <is>
          <t>W8</t>
        </is>
      </c>
      <c r="AC2" s="56" t="inlineStr">
        <is>
          <t>W4</t>
        </is>
      </c>
      <c r="AD2" s="56" t="n">
        <v>3</v>
      </c>
      <c r="AE2" s="56" t="n">
        <v>5</v>
      </c>
      <c r="AF2" s="56" t="n">
        <v>4</v>
      </c>
      <c r="AG2" s="56" t="n">
        <v>4</v>
      </c>
      <c r="AH2" s="56" t="n">
        <v>7</v>
      </c>
      <c r="AI2" s="56" t="n">
        <v>10</v>
      </c>
      <c r="AJ2" s="56" t="n">
        <v>5</v>
      </c>
      <c r="AK2" s="56" t="n">
        <v>6</v>
      </c>
    </row>
    <row r="3">
      <c r="A3" t="inlineStr">
        <is>
          <t>Goblin Kurzbogen</t>
        </is>
      </c>
      <c r="B3" t="inlineStr">
        <is>
          <t>Goblin</t>
        </is>
      </c>
      <c r="D3" t="inlineStr">
        <is>
          <t>Holz</t>
        </is>
      </c>
      <c r="F3" t="n">
        <v>5</v>
      </c>
      <c r="G3" t="inlineStr">
        <is>
          <t>1W4</t>
        </is>
      </c>
      <c r="I3" t="inlineStr">
        <is>
          <t>+1</t>
        </is>
      </c>
      <c r="J3" t="n">
        <v>1</v>
      </c>
      <c r="K3" t="inlineStr">
        <is>
          <t>+8</t>
        </is>
      </c>
      <c r="L3" t="inlineStr">
        <is>
          <t>+2</t>
        </is>
      </c>
      <c r="M3" t="inlineStr">
        <is>
          <t>-13</t>
        </is>
      </c>
      <c r="N3" t="inlineStr">
        <is>
          <t>-25</t>
        </is>
      </c>
      <c r="O3" t="inlineStr">
        <is>
          <t>x</t>
        </is>
      </c>
      <c r="P3" t="inlineStr">
        <is>
          <t>x</t>
        </is>
      </c>
      <c r="Q3" t="inlineStr">
        <is>
          <t>15m</t>
        </is>
      </c>
      <c r="R3" t="n">
        <v>6</v>
      </c>
      <c r="S3" t="n">
        <v>9</v>
      </c>
      <c r="U3" t="n">
        <v>1</v>
      </c>
      <c r="V3" t="inlineStr">
        <is>
          <t>50D</t>
        </is>
      </c>
      <c r="Y3" s="28" t="inlineStr">
        <is>
          <t>Stangenwaffen</t>
        </is>
      </c>
      <c r="Z3" s="28" t="inlineStr">
        <is>
          <t>Improvisierte Stangenwaffen</t>
        </is>
      </c>
      <c r="AA3" s="56" t="n">
        <v>3</v>
      </c>
      <c r="AB3" s="56" t="inlineStr">
        <is>
          <t>W8</t>
        </is>
      </c>
      <c r="AC3" s="56" t="inlineStr">
        <is>
          <t>W4</t>
        </is>
      </c>
      <c r="AD3" s="56" t="n">
        <v>3</v>
      </c>
      <c r="AE3" s="56" t="n">
        <v>5</v>
      </c>
      <c r="AF3" s="56" t="n">
        <v>4</v>
      </c>
      <c r="AG3" s="56" t="n">
        <v>4</v>
      </c>
      <c r="AH3" s="56" t="n">
        <v>5</v>
      </c>
      <c r="AI3" s="56" t="n">
        <v>7</v>
      </c>
      <c r="AJ3" s="56" t="n">
        <v>5</v>
      </c>
      <c r="AK3" s="56" t="n">
        <v>6</v>
      </c>
    </row>
    <row r="4">
      <c r="A4" t="inlineStr">
        <is>
          <t>Goblin Jagdbogen</t>
        </is>
      </c>
      <c r="B4" t="inlineStr">
        <is>
          <t>Goblin</t>
        </is>
      </c>
      <c r="D4" t="inlineStr">
        <is>
          <t>Holz</t>
        </is>
      </c>
      <c r="F4" t="n">
        <v>7</v>
      </c>
      <c r="G4" t="inlineStr">
        <is>
          <t>1W6</t>
        </is>
      </c>
      <c r="I4" t="inlineStr">
        <is>
          <t>+1</t>
        </is>
      </c>
      <c r="J4" t="n">
        <v>2</v>
      </c>
      <c r="K4" t="inlineStr">
        <is>
          <t>+6</t>
        </is>
      </c>
      <c r="L4" t="inlineStr">
        <is>
          <t>+2</t>
        </is>
      </c>
      <c r="M4" t="inlineStr">
        <is>
          <t>-8</t>
        </is>
      </c>
      <c r="N4" t="inlineStr">
        <is>
          <t>-22</t>
        </is>
      </c>
      <c r="O4" t="inlineStr">
        <is>
          <t>x</t>
        </is>
      </c>
      <c r="P4" t="inlineStr">
        <is>
          <t>x</t>
        </is>
      </c>
      <c r="Q4" t="inlineStr">
        <is>
          <t>20m</t>
        </is>
      </c>
      <c r="R4" t="n">
        <v>6</v>
      </c>
      <c r="S4" t="n">
        <v>9</v>
      </c>
      <c r="U4" t="n">
        <v>1</v>
      </c>
      <c r="V4" t="inlineStr">
        <is>
          <t>60D</t>
        </is>
      </c>
      <c r="Y4" s="28" t="inlineStr">
        <is>
          <t>Stangenwaffen</t>
        </is>
      </c>
      <c r="Z4" s="28" t="inlineStr">
        <is>
          <t>Improvisierte Stangenwaffen</t>
        </is>
      </c>
      <c r="AA4" s="56" t="n">
        <v>3</v>
      </c>
      <c r="AB4" s="56" t="inlineStr">
        <is>
          <t>W8</t>
        </is>
      </c>
      <c r="AC4" s="56" t="inlineStr">
        <is>
          <t>W4</t>
        </is>
      </c>
      <c r="AD4" s="56" t="n">
        <v>3</v>
      </c>
      <c r="AE4" s="56" t="n">
        <v>5</v>
      </c>
      <c r="AF4" s="56" t="n">
        <v>4</v>
      </c>
      <c r="AG4" s="56" t="n">
        <v>4</v>
      </c>
      <c r="AH4" s="56" t="n">
        <v>7</v>
      </c>
      <c r="AI4" s="56" t="n">
        <v>10</v>
      </c>
      <c r="AJ4" s="56" t="n">
        <v>5</v>
      </c>
      <c r="AK4" s="56" t="n">
        <v>6</v>
      </c>
    </row>
    <row r="5">
      <c r="A5" t="inlineStr">
        <is>
          <t>Goblin Langbogen</t>
        </is>
      </c>
      <c r="B5" t="inlineStr">
        <is>
          <t>Goblin</t>
        </is>
      </c>
      <c r="D5" t="inlineStr">
        <is>
          <t>Holz</t>
        </is>
      </c>
      <c r="F5" t="n">
        <v>10</v>
      </c>
      <c r="G5" t="inlineStr">
        <is>
          <t>1W6</t>
        </is>
      </c>
      <c r="I5" t="inlineStr">
        <is>
          <t>+1</t>
        </is>
      </c>
      <c r="J5" t="n">
        <v>3</v>
      </c>
      <c r="K5" t="inlineStr">
        <is>
          <t>+5</t>
        </is>
      </c>
      <c r="L5" t="inlineStr">
        <is>
          <t>+2</t>
        </is>
      </c>
      <c r="M5" t="inlineStr">
        <is>
          <t>-8</t>
        </is>
      </c>
      <c r="N5" t="inlineStr">
        <is>
          <t>-20</t>
        </is>
      </c>
      <c r="O5" t="inlineStr">
        <is>
          <t>-30</t>
        </is>
      </c>
      <c r="P5" t="inlineStr">
        <is>
          <t>x</t>
        </is>
      </c>
      <c r="Q5" t="inlineStr">
        <is>
          <t>60m</t>
        </is>
      </c>
      <c r="R5" t="n">
        <v>7</v>
      </c>
      <c r="S5" t="n">
        <v>9</v>
      </c>
      <c r="U5" t="n">
        <v>1</v>
      </c>
      <c r="V5" t="inlineStr">
        <is>
          <t>100D</t>
        </is>
      </c>
      <c r="Y5" s="28" t="inlineStr">
        <is>
          <t>Stangenwaffen</t>
        </is>
      </c>
      <c r="Z5" s="28" t="inlineStr">
        <is>
          <t>Improvisierte Stangenwaffen</t>
        </is>
      </c>
      <c r="AA5" s="56" t="n">
        <v>3</v>
      </c>
      <c r="AB5" s="56" t="inlineStr">
        <is>
          <t>W8</t>
        </is>
      </c>
      <c r="AC5" s="56" t="inlineStr">
        <is>
          <t>W4</t>
        </is>
      </c>
      <c r="AD5" s="56" t="n">
        <v>3</v>
      </c>
      <c r="AE5" s="56" t="n">
        <v>5</v>
      </c>
      <c r="AF5" s="56" t="n">
        <v>4</v>
      </c>
      <c r="AG5" s="56" t="n">
        <v>4</v>
      </c>
      <c r="AH5" s="56" t="n">
        <v>10</v>
      </c>
      <c r="AI5" s="56" t="n">
        <v>14</v>
      </c>
      <c r="AJ5" s="56" t="n">
        <v>5</v>
      </c>
      <c r="AK5" s="56" t="n">
        <v>6</v>
      </c>
    </row>
    <row r="6">
      <c r="A6" t="inlineStr">
        <is>
          <t>Bogen von der Firma Froggler</t>
        </is>
      </c>
      <c r="B6" t="inlineStr">
        <is>
          <t>Goblin</t>
        </is>
      </c>
      <c r="D6" t="inlineStr">
        <is>
          <t>Holz</t>
        </is>
      </c>
      <c r="F6" t="n">
        <v>7</v>
      </c>
      <c r="G6" t="inlineStr">
        <is>
          <t>1W6</t>
        </is>
      </c>
      <c r="J6" t="n">
        <v>1</v>
      </c>
      <c r="K6" t="inlineStr">
        <is>
          <t>+6</t>
        </is>
      </c>
      <c r="L6" t="inlineStr">
        <is>
          <t>+2</t>
        </is>
      </c>
      <c r="M6" t="inlineStr">
        <is>
          <t>-8</t>
        </is>
      </c>
      <c r="N6" t="inlineStr">
        <is>
          <t>-22</t>
        </is>
      </c>
      <c r="O6" t="inlineStr">
        <is>
          <t>x</t>
        </is>
      </c>
      <c r="P6" t="inlineStr">
        <is>
          <t>x</t>
        </is>
      </c>
      <c r="Q6" t="inlineStr">
        <is>
          <t>25m</t>
        </is>
      </c>
      <c r="R6" t="n">
        <v>7</v>
      </c>
      <c r="S6" t="n">
        <v>9</v>
      </c>
      <c r="U6" t="n">
        <v>1</v>
      </c>
      <c r="V6" t="inlineStr">
        <is>
          <t>55D</t>
        </is>
      </c>
      <c r="Y6" s="28" t="inlineStr">
        <is>
          <t>Stangenwaffen</t>
        </is>
      </c>
      <c r="Z6" s="28" t="inlineStr">
        <is>
          <t>Improvisierte Stangenwaffen</t>
        </is>
      </c>
      <c r="AA6" s="56" t="n">
        <v>3</v>
      </c>
      <c r="AB6" s="56" t="inlineStr">
        <is>
          <t>W8</t>
        </is>
      </c>
      <c r="AC6" s="56" t="inlineStr">
        <is>
          <t>W4</t>
        </is>
      </c>
      <c r="AD6" s="56" t="n">
        <v>3</v>
      </c>
      <c r="AE6" s="56" t="n">
        <v>5</v>
      </c>
      <c r="AF6" s="56" t="n">
        <v>4</v>
      </c>
      <c r="AG6" s="56" t="n">
        <v>4</v>
      </c>
      <c r="AH6" s="56" t="n">
        <v>7</v>
      </c>
      <c r="AI6" s="56" t="n">
        <v>10</v>
      </c>
      <c r="AJ6" s="56" t="n">
        <v>5</v>
      </c>
      <c r="AK6" s="56" t="n">
        <v>6</v>
      </c>
    </row>
    <row r="7">
      <c r="A7" t="inlineStr">
        <is>
          <t>Indianer Bogen</t>
        </is>
      </c>
      <c r="B7" t="inlineStr">
        <is>
          <t>Indianer</t>
        </is>
      </c>
      <c r="D7" t="inlineStr">
        <is>
          <t>Holz</t>
        </is>
      </c>
      <c r="F7" t="n">
        <v>9</v>
      </c>
      <c r="G7" t="inlineStr">
        <is>
          <t>1W6</t>
        </is>
      </c>
      <c r="I7" t="inlineStr">
        <is>
          <t>+1</t>
        </is>
      </c>
      <c r="J7" t="n">
        <v>2</v>
      </c>
      <c r="K7" t="inlineStr">
        <is>
          <t>+7</t>
        </is>
      </c>
      <c r="L7" t="inlineStr">
        <is>
          <t>+2</t>
        </is>
      </c>
      <c r="M7" t="inlineStr">
        <is>
          <t>-8</t>
        </is>
      </c>
      <c r="N7" t="inlineStr">
        <is>
          <t>-23</t>
        </is>
      </c>
      <c r="O7" t="inlineStr">
        <is>
          <t>x</t>
        </is>
      </c>
      <c r="P7" t="inlineStr">
        <is>
          <t>x</t>
        </is>
      </c>
      <c r="Q7" t="inlineStr">
        <is>
          <t>25m</t>
        </is>
      </c>
      <c r="R7" t="n">
        <v>6</v>
      </c>
      <c r="S7" t="n">
        <v>9</v>
      </c>
      <c r="U7" t="n">
        <v>1</v>
      </c>
      <c r="V7" t="inlineStr">
        <is>
          <t>1D</t>
        </is>
      </c>
      <c r="Y7" s="28" t="inlineStr">
        <is>
          <t>Stangenwaffen</t>
        </is>
      </c>
      <c r="Z7" s="28" t="inlineStr">
        <is>
          <t>Improvisierte Stangenwaffen</t>
        </is>
      </c>
      <c r="AA7" s="56" t="n">
        <v>3</v>
      </c>
      <c r="AB7" s="56" t="inlineStr">
        <is>
          <t>W8</t>
        </is>
      </c>
      <c r="AC7" s="56" t="inlineStr">
        <is>
          <t>W4</t>
        </is>
      </c>
      <c r="AD7" s="56" t="n">
        <v>3</v>
      </c>
      <c r="AE7" s="56" t="n">
        <v>5</v>
      </c>
      <c r="AF7" s="56" t="n">
        <v>4</v>
      </c>
      <c r="AG7" s="56" t="n">
        <v>4</v>
      </c>
      <c r="AH7" s="56" t="n">
        <v>9</v>
      </c>
      <c r="AI7" s="56" t="n">
        <v>12</v>
      </c>
      <c r="AJ7" s="56" t="n">
        <v>5</v>
      </c>
      <c r="AK7" s="56" t="n">
        <v>6</v>
      </c>
    </row>
    <row r="8">
      <c r="A8" t="inlineStr">
        <is>
          <t>Indianer Langbogen</t>
        </is>
      </c>
      <c r="B8" t="inlineStr">
        <is>
          <t>Indianer</t>
        </is>
      </c>
      <c r="D8" t="inlineStr">
        <is>
          <t>Holz</t>
        </is>
      </c>
      <c r="F8" t="n">
        <v>12</v>
      </c>
      <c r="G8" t="inlineStr">
        <is>
          <t>1W6</t>
        </is>
      </c>
      <c r="I8" t="inlineStr">
        <is>
          <t>+1</t>
        </is>
      </c>
      <c r="J8" t="n">
        <v>3</v>
      </c>
      <c r="K8" t="inlineStr">
        <is>
          <t>+6</t>
        </is>
      </c>
      <c r="L8" t="inlineStr">
        <is>
          <t>+2</t>
        </is>
      </c>
      <c r="M8" t="inlineStr">
        <is>
          <t>-8</t>
        </is>
      </c>
      <c r="N8" t="inlineStr">
        <is>
          <t>-21</t>
        </is>
      </c>
      <c r="O8" t="inlineStr">
        <is>
          <t>x</t>
        </is>
      </c>
      <c r="P8" t="inlineStr">
        <is>
          <t>x</t>
        </is>
      </c>
      <c r="Q8" t="inlineStr">
        <is>
          <t>75m</t>
        </is>
      </c>
      <c r="R8" t="n">
        <v>7</v>
      </c>
      <c r="S8" t="n">
        <v>9</v>
      </c>
      <c r="U8" t="n">
        <v>4</v>
      </c>
      <c r="V8" t="inlineStr">
        <is>
          <t>2D</t>
        </is>
      </c>
      <c r="Y8" s="28" t="inlineStr">
        <is>
          <t>Stangenwaffen</t>
        </is>
      </c>
      <c r="Z8" s="28" t="inlineStr">
        <is>
          <t>Improvisierte Stangenwaffen</t>
        </is>
      </c>
      <c r="AA8" s="56" t="n">
        <v>3</v>
      </c>
      <c r="AB8" s="56" t="inlineStr">
        <is>
          <t>W8</t>
        </is>
      </c>
      <c r="AC8" s="56" t="inlineStr">
        <is>
          <t>W4</t>
        </is>
      </c>
      <c r="AD8" s="56" t="n">
        <v>3</v>
      </c>
      <c r="AE8" s="56" t="n">
        <v>5</v>
      </c>
      <c r="AF8" s="56" t="n">
        <v>4</v>
      </c>
      <c r="AG8" s="56" t="n">
        <v>4</v>
      </c>
      <c r="AH8" s="56" t="n">
        <v>12</v>
      </c>
      <c r="AI8" s="56" t="n">
        <v>16</v>
      </c>
      <c r="AJ8" s="56" t="n">
        <v>5</v>
      </c>
      <c r="AK8" s="56" t="n">
        <v>6</v>
      </c>
    </row>
    <row r="9">
      <c r="A9" t="inlineStr">
        <is>
          <t>Schwarzfels Bogen</t>
        </is>
      </c>
      <c r="B9" t="inlineStr">
        <is>
          <t>Indianer</t>
        </is>
      </c>
      <c r="D9" t="inlineStr">
        <is>
          <t>Holz, Schwarzfels, Seil, Leim</t>
        </is>
      </c>
      <c r="F9" t="n">
        <v>15</v>
      </c>
      <c r="G9" t="inlineStr">
        <is>
          <t>1W8</t>
        </is>
      </c>
      <c r="I9" t="inlineStr">
        <is>
          <t>+1</t>
        </is>
      </c>
      <c r="J9" t="n">
        <v>3</v>
      </c>
      <c r="K9" t="inlineStr">
        <is>
          <t>+6</t>
        </is>
      </c>
      <c r="L9" t="inlineStr">
        <is>
          <t>+2</t>
        </is>
      </c>
      <c r="M9" t="inlineStr">
        <is>
          <t>-7</t>
        </is>
      </c>
      <c r="N9" t="inlineStr">
        <is>
          <t>-22</t>
        </is>
      </c>
      <c r="O9" t="inlineStr">
        <is>
          <t>x</t>
        </is>
      </c>
      <c r="P9" t="inlineStr">
        <is>
          <t>x</t>
        </is>
      </c>
      <c r="Q9" t="inlineStr">
        <is>
          <t>40m</t>
        </is>
      </c>
      <c r="R9" t="n">
        <v>9</v>
      </c>
      <c r="S9" t="n">
        <v>9</v>
      </c>
      <c r="U9" t="n">
        <v>6</v>
      </c>
      <c r="V9" t="inlineStr">
        <is>
          <t>nicht V.</t>
        </is>
      </c>
      <c r="Y9" s="28" t="inlineStr">
        <is>
          <t>Stangenwaffen</t>
        </is>
      </c>
      <c r="Z9" s="28" t="inlineStr">
        <is>
          <t>Improvisierte Stangenwaffen</t>
        </is>
      </c>
      <c r="AA9" s="56" t="n">
        <v>3</v>
      </c>
      <c r="AB9" s="56" t="inlineStr">
        <is>
          <t>W8</t>
        </is>
      </c>
      <c r="AC9" s="56" t="inlineStr">
        <is>
          <t>W4</t>
        </is>
      </c>
      <c r="AD9" s="56" t="n">
        <v>3</v>
      </c>
      <c r="AE9" s="56" t="n">
        <v>5</v>
      </c>
      <c r="AF9" s="56" t="n">
        <v>4</v>
      </c>
      <c r="AG9" s="56" t="n">
        <v>4</v>
      </c>
      <c r="AH9" s="56" t="n">
        <v>15</v>
      </c>
      <c r="AI9" s="56" t="n">
        <v>20</v>
      </c>
      <c r="AJ9" s="56" t="n">
        <v>5</v>
      </c>
      <c r="AK9" s="56" t="n">
        <v>6</v>
      </c>
    </row>
    <row r="10">
      <c r="A10" t="inlineStr">
        <is>
          <t>Daikini Kurzbogen</t>
        </is>
      </c>
      <c r="B10" t="inlineStr">
        <is>
          <t>Daikini</t>
        </is>
      </c>
      <c r="D10" t="inlineStr">
        <is>
          <t>Holz</t>
        </is>
      </c>
      <c r="F10" t="n">
        <v>9</v>
      </c>
      <c r="G10" t="inlineStr">
        <is>
          <t>1W4</t>
        </is>
      </c>
      <c r="I10" t="inlineStr">
        <is>
          <t>+1</t>
        </is>
      </c>
      <c r="J10" t="n">
        <v>2</v>
      </c>
      <c r="K10" t="inlineStr">
        <is>
          <t>+7</t>
        </is>
      </c>
      <c r="L10" t="inlineStr">
        <is>
          <t>+2</t>
        </is>
      </c>
      <c r="M10" t="inlineStr">
        <is>
          <t>-11</t>
        </is>
      </c>
      <c r="N10" t="inlineStr">
        <is>
          <t>-25</t>
        </is>
      </c>
      <c r="O10" t="inlineStr">
        <is>
          <t>x</t>
        </is>
      </c>
      <c r="P10" t="inlineStr">
        <is>
          <t>x</t>
        </is>
      </c>
      <c r="Q10" t="inlineStr">
        <is>
          <t>20m</t>
        </is>
      </c>
      <c r="R10" t="n">
        <v>6</v>
      </c>
      <c r="S10" t="n">
        <v>9</v>
      </c>
      <c r="U10" t="n">
        <v>1</v>
      </c>
      <c r="V10" t="inlineStr">
        <is>
          <t>60D</t>
        </is>
      </c>
      <c r="Y10" s="28" t="inlineStr">
        <is>
          <t>Stangenwaffen</t>
        </is>
      </c>
      <c r="Z10" s="28" t="inlineStr">
        <is>
          <t>Improvisierte Stangenwaffen</t>
        </is>
      </c>
      <c r="AA10" s="56" t="n">
        <v>3</v>
      </c>
      <c r="AB10" s="56" t="inlineStr">
        <is>
          <t>W8</t>
        </is>
      </c>
      <c r="AC10" s="56" t="inlineStr">
        <is>
          <t>W4</t>
        </is>
      </c>
      <c r="AD10" s="56" t="n">
        <v>3</v>
      </c>
      <c r="AE10" s="56" t="n">
        <v>5</v>
      </c>
      <c r="AF10" s="56" t="n">
        <v>4</v>
      </c>
      <c r="AG10" s="56" t="n">
        <v>4</v>
      </c>
      <c r="AH10" s="56" t="n">
        <v>9</v>
      </c>
      <c r="AI10" s="56" t="n">
        <v>12</v>
      </c>
      <c r="AJ10" s="56" t="n">
        <v>5</v>
      </c>
      <c r="AK10" s="56" t="n">
        <v>6</v>
      </c>
    </row>
    <row r="11">
      <c r="A11" t="inlineStr">
        <is>
          <t>Daikini Jagdbogen</t>
        </is>
      </c>
      <c r="B11" t="inlineStr">
        <is>
          <t>Daikini</t>
        </is>
      </c>
      <c r="D11" t="inlineStr">
        <is>
          <t>Holz</t>
        </is>
      </c>
      <c r="F11" t="n">
        <v>11</v>
      </c>
      <c r="G11" t="inlineStr">
        <is>
          <t>1W6</t>
        </is>
      </c>
      <c r="I11" t="inlineStr">
        <is>
          <t>+1</t>
        </is>
      </c>
      <c r="J11" t="n">
        <v>2</v>
      </c>
      <c r="K11" t="inlineStr">
        <is>
          <t>+6</t>
        </is>
      </c>
      <c r="L11" t="inlineStr">
        <is>
          <t>+2</t>
        </is>
      </c>
      <c r="M11" t="inlineStr">
        <is>
          <t>-8</t>
        </is>
      </c>
      <c r="N11" t="inlineStr">
        <is>
          <t>-22</t>
        </is>
      </c>
      <c r="O11" t="inlineStr">
        <is>
          <t>x</t>
        </is>
      </c>
      <c r="P11" t="inlineStr">
        <is>
          <t>x</t>
        </is>
      </c>
      <c r="Q11" t="inlineStr">
        <is>
          <t>27m</t>
        </is>
      </c>
      <c r="R11" t="n">
        <v>6</v>
      </c>
      <c r="S11" t="n">
        <v>9</v>
      </c>
      <c r="U11" t="n">
        <v>1</v>
      </c>
      <c r="V11" t="inlineStr">
        <is>
          <t>80D</t>
        </is>
      </c>
      <c r="Y11" s="28" t="inlineStr">
        <is>
          <t>Stangenwaffen</t>
        </is>
      </c>
      <c r="Z11" s="28" t="inlineStr">
        <is>
          <t>Improvisierte Stangenwaffen</t>
        </is>
      </c>
      <c r="AA11" s="56" t="n">
        <v>3</v>
      </c>
      <c r="AB11" s="56" t="inlineStr">
        <is>
          <t>W8</t>
        </is>
      </c>
      <c r="AC11" s="56" t="inlineStr">
        <is>
          <t>W4</t>
        </is>
      </c>
      <c r="AD11" s="56" t="n">
        <v>3</v>
      </c>
      <c r="AE11" s="56" t="n">
        <v>5</v>
      </c>
      <c r="AF11" s="56" t="n">
        <v>4</v>
      </c>
      <c r="AG11" s="56" t="n">
        <v>4</v>
      </c>
      <c r="AH11" s="56" t="n">
        <v>11</v>
      </c>
      <c r="AI11" s="56" t="n">
        <v>15</v>
      </c>
      <c r="AJ11" s="56" t="n">
        <v>5</v>
      </c>
      <c r="AK11" s="56" t="n">
        <v>6</v>
      </c>
    </row>
    <row r="12">
      <c r="A12" t="inlineStr">
        <is>
          <t>Daikini Langbogen</t>
        </is>
      </c>
      <c r="B12" t="inlineStr">
        <is>
          <t>Daikini</t>
        </is>
      </c>
      <c r="D12" t="inlineStr">
        <is>
          <t>Holz</t>
        </is>
      </c>
      <c r="F12" t="n">
        <v>12</v>
      </c>
      <c r="G12" t="inlineStr">
        <is>
          <t>1W6</t>
        </is>
      </c>
      <c r="I12" t="inlineStr">
        <is>
          <t>+1</t>
        </is>
      </c>
      <c r="J12" t="n">
        <v>3</v>
      </c>
      <c r="K12" t="inlineStr">
        <is>
          <t>+5</t>
        </is>
      </c>
      <c r="L12" t="inlineStr">
        <is>
          <t>+2</t>
        </is>
      </c>
      <c r="M12" t="inlineStr">
        <is>
          <t>-8</t>
        </is>
      </c>
      <c r="N12" t="inlineStr">
        <is>
          <t>-20</t>
        </is>
      </c>
      <c r="O12" t="inlineStr">
        <is>
          <t>-30</t>
        </is>
      </c>
      <c r="P12" t="inlineStr">
        <is>
          <t>x</t>
        </is>
      </c>
      <c r="Q12" t="inlineStr">
        <is>
          <t>50m</t>
        </is>
      </c>
      <c r="R12" t="n">
        <v>7</v>
      </c>
      <c r="S12" t="n">
        <v>9</v>
      </c>
      <c r="U12" t="n">
        <v>2</v>
      </c>
      <c r="V12" t="inlineStr">
        <is>
          <t>125D</t>
        </is>
      </c>
      <c r="Y12" s="28" t="inlineStr">
        <is>
          <t>Stangenwaffen</t>
        </is>
      </c>
      <c r="Z12" s="28" t="inlineStr">
        <is>
          <t>Improvisierte Stangenwaffen</t>
        </is>
      </c>
      <c r="AA12" s="56" t="n">
        <v>3</v>
      </c>
      <c r="AB12" s="56" t="inlineStr">
        <is>
          <t>W8</t>
        </is>
      </c>
      <c r="AC12" s="56" t="inlineStr">
        <is>
          <t>W4</t>
        </is>
      </c>
      <c r="AD12" s="56" t="n">
        <v>3</v>
      </c>
      <c r="AE12" s="56" t="n">
        <v>5</v>
      </c>
      <c r="AF12" s="56" t="n">
        <v>4</v>
      </c>
      <c r="AG12" s="56" t="n">
        <v>4</v>
      </c>
      <c r="AH12" s="56" t="n">
        <v>12</v>
      </c>
      <c r="AI12" s="56" t="n">
        <v>16</v>
      </c>
      <c r="AJ12" s="56" t="n">
        <v>5</v>
      </c>
      <c r="AK12" s="56" t="n">
        <v>6</v>
      </c>
    </row>
    <row r="13">
      <c r="A13" t="inlineStr">
        <is>
          <t>Asymmetrischer Bogen</t>
        </is>
      </c>
      <c r="B13" t="inlineStr">
        <is>
          <t>Daikini</t>
        </is>
      </c>
      <c r="D13" t="inlineStr">
        <is>
          <t>Holz</t>
        </is>
      </c>
      <c r="F13" t="n">
        <v>13</v>
      </c>
      <c r="G13" t="inlineStr">
        <is>
          <t>1W6</t>
        </is>
      </c>
      <c r="I13" t="inlineStr">
        <is>
          <t>+1</t>
        </is>
      </c>
      <c r="J13" t="n">
        <v>3</v>
      </c>
      <c r="K13" t="inlineStr">
        <is>
          <t>+7</t>
        </is>
      </c>
      <c r="L13" t="inlineStr">
        <is>
          <t>+2</t>
        </is>
      </c>
      <c r="M13" t="inlineStr">
        <is>
          <t>-8</t>
        </is>
      </c>
      <c r="N13" t="inlineStr">
        <is>
          <t>-20</t>
        </is>
      </c>
      <c r="O13" t="inlineStr">
        <is>
          <t>-30</t>
        </is>
      </c>
      <c r="P13" t="inlineStr">
        <is>
          <t>x</t>
        </is>
      </c>
      <c r="Q13" t="inlineStr">
        <is>
          <t>75m</t>
        </is>
      </c>
      <c r="R13" t="n">
        <v>6</v>
      </c>
      <c r="S13" t="n">
        <v>9</v>
      </c>
      <c r="U13" t="n">
        <v>6</v>
      </c>
      <c r="V13" t="inlineStr">
        <is>
          <t>1000D</t>
        </is>
      </c>
      <c r="Y13" s="28" t="inlineStr">
        <is>
          <t>Stangenwaffen</t>
        </is>
      </c>
      <c r="Z13" s="28" t="inlineStr">
        <is>
          <t>Improvisierte Stangenwaffen</t>
        </is>
      </c>
      <c r="AA13" s="56" t="n">
        <v>3</v>
      </c>
      <c r="AB13" s="56" t="inlineStr">
        <is>
          <t>W8</t>
        </is>
      </c>
      <c r="AC13" s="56" t="inlineStr">
        <is>
          <t>W4</t>
        </is>
      </c>
      <c r="AD13" s="56" t="n">
        <v>3</v>
      </c>
      <c r="AE13" s="56" t="n">
        <v>5</v>
      </c>
      <c r="AF13" s="56" t="n">
        <v>4</v>
      </c>
      <c r="AG13" s="56" t="n">
        <v>4</v>
      </c>
      <c r="AH13" s="56" t="n">
        <v>13</v>
      </c>
      <c r="AI13" s="56" t="n">
        <v>18</v>
      </c>
      <c r="AJ13" s="56" t="n">
        <v>5</v>
      </c>
      <c r="AK13" s="56" t="n">
        <v>6</v>
      </c>
    </row>
    <row r="14">
      <c r="A14" t="inlineStr">
        <is>
          <t>Elfen Kurzbogen</t>
        </is>
      </c>
      <c r="B14" t="inlineStr">
        <is>
          <t>Elf</t>
        </is>
      </c>
      <c r="D14" t="inlineStr">
        <is>
          <t>Holz</t>
        </is>
      </c>
      <c r="F14" t="n">
        <v>9</v>
      </c>
      <c r="G14" t="inlineStr">
        <is>
          <t>1W4</t>
        </is>
      </c>
      <c r="I14" t="inlineStr">
        <is>
          <t>+1</t>
        </is>
      </c>
      <c r="J14" t="n">
        <v>2</v>
      </c>
      <c r="K14" t="inlineStr">
        <is>
          <t>+8</t>
        </is>
      </c>
      <c r="L14" t="inlineStr">
        <is>
          <t>+3</t>
        </is>
      </c>
      <c r="M14" t="inlineStr">
        <is>
          <t>-9</t>
        </is>
      </c>
      <c r="N14" t="inlineStr">
        <is>
          <t>-22</t>
        </is>
      </c>
      <c r="O14" t="inlineStr">
        <is>
          <t>x</t>
        </is>
      </c>
      <c r="P14" t="inlineStr">
        <is>
          <t>x</t>
        </is>
      </c>
      <c r="Q14" t="inlineStr">
        <is>
          <t>25m</t>
        </is>
      </c>
      <c r="R14" t="n">
        <v>6</v>
      </c>
      <c r="S14" t="n">
        <v>9</v>
      </c>
      <c r="U14" t="n">
        <v>1</v>
      </c>
      <c r="V14" t="inlineStr">
        <is>
          <t>85D</t>
        </is>
      </c>
      <c r="Y14" s="28" t="inlineStr">
        <is>
          <t>Stangenwaffen</t>
        </is>
      </c>
      <c r="Z14" s="28" t="inlineStr">
        <is>
          <t>Improvisierte Stangenwaffen</t>
        </is>
      </c>
      <c r="AA14" s="56" t="n">
        <v>3</v>
      </c>
      <c r="AB14" s="56" t="inlineStr">
        <is>
          <t>W8</t>
        </is>
      </c>
      <c r="AC14" s="56" t="inlineStr">
        <is>
          <t>W4</t>
        </is>
      </c>
      <c r="AD14" s="56" t="n">
        <v>3</v>
      </c>
      <c r="AE14" s="56" t="n">
        <v>5</v>
      </c>
      <c r="AF14" s="56" t="n">
        <v>4</v>
      </c>
      <c r="AG14" s="56" t="n">
        <v>4</v>
      </c>
      <c r="AH14" s="56" t="n">
        <v>9</v>
      </c>
      <c r="AI14" s="56" t="n">
        <v>12</v>
      </c>
      <c r="AJ14" s="56" t="n">
        <v>5</v>
      </c>
      <c r="AK14" s="56" t="n">
        <v>6</v>
      </c>
    </row>
    <row r="15">
      <c r="A15" t="inlineStr">
        <is>
          <t>Elfen Jagdbogen</t>
        </is>
      </c>
      <c r="B15" t="inlineStr">
        <is>
          <t>Elf</t>
        </is>
      </c>
      <c r="D15" t="inlineStr">
        <is>
          <t>Holz</t>
        </is>
      </c>
      <c r="F15" t="n">
        <v>11</v>
      </c>
      <c r="G15" t="inlineStr">
        <is>
          <t>1W6</t>
        </is>
      </c>
      <c r="I15" t="inlineStr">
        <is>
          <t>+1</t>
        </is>
      </c>
      <c r="J15" t="n">
        <v>2</v>
      </c>
      <c r="K15" t="inlineStr">
        <is>
          <t>+7</t>
        </is>
      </c>
      <c r="L15" t="inlineStr">
        <is>
          <t>+3</t>
        </is>
      </c>
      <c r="M15" t="inlineStr">
        <is>
          <t>-8</t>
        </is>
      </c>
      <c r="N15" t="inlineStr">
        <is>
          <t>-20</t>
        </is>
      </c>
      <c r="O15" t="inlineStr">
        <is>
          <t>x</t>
        </is>
      </c>
      <c r="P15" t="inlineStr">
        <is>
          <t>x</t>
        </is>
      </c>
      <c r="Q15" t="inlineStr">
        <is>
          <t>33m</t>
        </is>
      </c>
      <c r="R15" t="n">
        <v>6</v>
      </c>
      <c r="S15" t="n">
        <v>9</v>
      </c>
      <c r="U15" t="n">
        <v>1</v>
      </c>
      <c r="V15" t="inlineStr">
        <is>
          <t>130D</t>
        </is>
      </c>
      <c r="Y15" s="28" t="inlineStr">
        <is>
          <t>Stangenwaffen</t>
        </is>
      </c>
      <c r="Z15" s="28" t="inlineStr">
        <is>
          <t>Improvisierte Stangenwaffen</t>
        </is>
      </c>
      <c r="AA15" s="56" t="n">
        <v>3</v>
      </c>
      <c r="AB15" s="56" t="inlineStr">
        <is>
          <t>W8</t>
        </is>
      </c>
      <c r="AC15" s="56" t="inlineStr">
        <is>
          <t>W4</t>
        </is>
      </c>
      <c r="AD15" s="56" t="n">
        <v>3</v>
      </c>
      <c r="AE15" s="56" t="n">
        <v>5</v>
      </c>
      <c r="AF15" s="56" t="n">
        <v>4</v>
      </c>
      <c r="AG15" s="56" t="n">
        <v>4</v>
      </c>
      <c r="AH15" s="56" t="n">
        <v>11</v>
      </c>
      <c r="AI15" s="56" t="n">
        <v>15</v>
      </c>
      <c r="AJ15" s="56" t="n">
        <v>5</v>
      </c>
      <c r="AK15" s="56" t="n">
        <v>6</v>
      </c>
    </row>
    <row r="16">
      <c r="A16" t="inlineStr">
        <is>
          <t>Elfen Langbogen</t>
        </is>
      </c>
      <c r="B16" t="inlineStr">
        <is>
          <t>Elf</t>
        </is>
      </c>
      <c r="D16" t="inlineStr">
        <is>
          <t>Holz</t>
        </is>
      </c>
      <c r="F16" t="n">
        <v>12</v>
      </c>
      <c r="G16" t="inlineStr">
        <is>
          <t>1W6</t>
        </is>
      </c>
      <c r="I16" t="inlineStr">
        <is>
          <t>+1</t>
        </is>
      </c>
      <c r="J16" t="n">
        <v>2</v>
      </c>
      <c r="K16" t="inlineStr">
        <is>
          <t>+5</t>
        </is>
      </c>
      <c r="L16" t="inlineStr">
        <is>
          <t>+2</t>
        </is>
      </c>
      <c r="M16" t="inlineStr">
        <is>
          <t>-6</t>
        </is>
      </c>
      <c r="N16" t="inlineStr">
        <is>
          <t>-17</t>
        </is>
      </c>
      <c r="O16" t="inlineStr">
        <is>
          <t>x</t>
        </is>
      </c>
      <c r="P16" t="inlineStr">
        <is>
          <t>x</t>
        </is>
      </c>
      <c r="Q16" t="inlineStr">
        <is>
          <t>110m</t>
        </is>
      </c>
      <c r="R16" t="n">
        <v>6</v>
      </c>
      <c r="S16" t="n">
        <v>9</v>
      </c>
      <c r="U16" t="n">
        <v>1</v>
      </c>
      <c r="V16" t="inlineStr">
        <is>
          <t>180D</t>
        </is>
      </c>
      <c r="Y16" s="28" t="inlineStr">
        <is>
          <t>Stangenwaffen</t>
        </is>
      </c>
      <c r="Z16" s="28" t="inlineStr">
        <is>
          <t>Improvisierte Stangenwaffen</t>
        </is>
      </c>
      <c r="AA16" s="56" t="n">
        <v>3</v>
      </c>
      <c r="AB16" s="56" t="inlineStr">
        <is>
          <t>W8</t>
        </is>
      </c>
      <c r="AC16" s="56" t="inlineStr">
        <is>
          <t>W4</t>
        </is>
      </c>
      <c r="AD16" s="56" t="n">
        <v>3</v>
      </c>
      <c r="AE16" s="56" t="n">
        <v>5</v>
      </c>
      <c r="AF16" s="56" t="n">
        <v>4</v>
      </c>
      <c r="AG16" s="56" t="n">
        <v>4</v>
      </c>
      <c r="AH16" s="56" t="n">
        <v>12</v>
      </c>
      <c r="AI16" s="56" t="n">
        <v>16</v>
      </c>
      <c r="AJ16" s="56" t="n">
        <v>5</v>
      </c>
      <c r="AK16" s="56" t="n">
        <v>6</v>
      </c>
    </row>
    <row r="17">
      <c r="A17" t="inlineStr">
        <is>
          <t>Kompositbogen kurz (Elf)</t>
        </is>
      </c>
      <c r="B17" t="inlineStr">
        <is>
          <t>Elf</t>
        </is>
      </c>
      <c r="D17" t="inlineStr">
        <is>
          <t>Holz, Horn, Leim</t>
        </is>
      </c>
      <c r="F17" t="n">
        <v>12</v>
      </c>
      <c r="G17" t="inlineStr">
        <is>
          <t>1W6</t>
        </is>
      </c>
      <c r="I17" t="inlineStr">
        <is>
          <t>+1</t>
        </is>
      </c>
      <c r="J17" t="n">
        <v>2</v>
      </c>
      <c r="K17" t="inlineStr">
        <is>
          <t>+9</t>
        </is>
      </c>
      <c r="L17" t="inlineStr">
        <is>
          <t>+3</t>
        </is>
      </c>
      <c r="M17" t="inlineStr">
        <is>
          <t>-9</t>
        </is>
      </c>
      <c r="N17" t="inlineStr">
        <is>
          <t>-22</t>
        </is>
      </c>
      <c r="O17" t="inlineStr">
        <is>
          <t>x</t>
        </is>
      </c>
      <c r="P17" t="inlineStr">
        <is>
          <t>x</t>
        </is>
      </c>
      <c r="Q17" t="inlineStr">
        <is>
          <t>22m</t>
        </is>
      </c>
      <c r="R17" t="n">
        <v>6</v>
      </c>
      <c r="S17" t="n">
        <v>9</v>
      </c>
      <c r="U17" t="n">
        <v>3</v>
      </c>
      <c r="V17" t="inlineStr">
        <is>
          <t>200D</t>
        </is>
      </c>
      <c r="Y17" s="28" t="inlineStr">
        <is>
          <t>Stangenwaffen</t>
        </is>
      </c>
      <c r="Z17" s="28" t="inlineStr">
        <is>
          <t>Improvisierte Stangenwaffen</t>
        </is>
      </c>
      <c r="AA17" s="56" t="n">
        <v>3</v>
      </c>
      <c r="AB17" s="56" t="inlineStr">
        <is>
          <t>W8</t>
        </is>
      </c>
      <c r="AC17" s="56" t="inlineStr">
        <is>
          <t>W4</t>
        </is>
      </c>
      <c r="AD17" s="56" t="n">
        <v>3</v>
      </c>
      <c r="AE17" s="56" t="n">
        <v>5</v>
      </c>
      <c r="AF17" s="56" t="n">
        <v>4</v>
      </c>
      <c r="AG17" s="56" t="n">
        <v>4</v>
      </c>
      <c r="AH17" s="56" t="n">
        <v>12</v>
      </c>
      <c r="AI17" s="56" t="n">
        <v>16</v>
      </c>
      <c r="AJ17" s="56" t="n">
        <v>5</v>
      </c>
      <c r="AK17" s="56" t="n">
        <v>6</v>
      </c>
    </row>
    <row r="18">
      <c r="A18" t="inlineStr">
        <is>
          <t>Kompositbogen lang (Elf)</t>
        </is>
      </c>
      <c r="B18" t="inlineStr">
        <is>
          <t>Elf</t>
        </is>
      </c>
      <c r="D18" t="inlineStr">
        <is>
          <t>Holz, Horn, Leim</t>
        </is>
      </c>
      <c r="F18" t="n">
        <v>13</v>
      </c>
      <c r="G18" t="inlineStr">
        <is>
          <t>1W8</t>
        </is>
      </c>
      <c r="I18" t="inlineStr">
        <is>
          <t>+1</t>
        </is>
      </c>
      <c r="J18" t="n">
        <v>2</v>
      </c>
      <c r="K18" t="inlineStr">
        <is>
          <t>+6</t>
        </is>
      </c>
      <c r="L18" t="inlineStr">
        <is>
          <t>+2</t>
        </is>
      </c>
      <c r="M18" t="inlineStr">
        <is>
          <t>-6</t>
        </is>
      </c>
      <c r="N18" t="inlineStr">
        <is>
          <t>-17</t>
        </is>
      </c>
      <c r="O18" t="inlineStr">
        <is>
          <t>x</t>
        </is>
      </c>
      <c r="P18" t="inlineStr">
        <is>
          <t>x</t>
        </is>
      </c>
      <c r="Q18" t="inlineStr">
        <is>
          <t>23m</t>
        </is>
      </c>
      <c r="R18" t="n">
        <v>6</v>
      </c>
      <c r="S18" t="n">
        <v>9</v>
      </c>
      <c r="U18" t="n">
        <v>3</v>
      </c>
      <c r="V18" t="inlineStr">
        <is>
          <t>250D</t>
        </is>
      </c>
      <c r="Y18" s="28" t="inlineStr">
        <is>
          <t>Stangenwaffen</t>
        </is>
      </c>
      <c r="Z18" s="28" t="inlineStr">
        <is>
          <t>Improvisierte Stangenwaffen</t>
        </is>
      </c>
      <c r="AA18" s="56" t="n">
        <v>3</v>
      </c>
      <c r="AB18" s="56" t="inlineStr">
        <is>
          <t>W8</t>
        </is>
      </c>
      <c r="AC18" s="56" t="inlineStr">
        <is>
          <t>W4</t>
        </is>
      </c>
      <c r="AD18" s="56" t="n">
        <v>3</v>
      </c>
      <c r="AE18" s="56" t="n">
        <v>5</v>
      </c>
      <c r="AF18" s="56" t="n">
        <v>4</v>
      </c>
      <c r="AG18" s="56" t="n">
        <v>4</v>
      </c>
      <c r="AH18" s="56" t="n">
        <v>13</v>
      </c>
      <c r="AI18" s="56" t="n">
        <v>18</v>
      </c>
      <c r="AJ18" s="56" t="n">
        <v>5</v>
      </c>
      <c r="AK18" s="56" t="n">
        <v>6</v>
      </c>
    </row>
    <row r="19">
      <c r="A19" t="inlineStr">
        <is>
          <t>Uriebenwurzel-Bogen</t>
        </is>
      </c>
      <c r="B19" t="inlineStr">
        <is>
          <t>Elf</t>
        </is>
      </c>
      <c r="D19" t="inlineStr">
        <is>
          <t>Uriebenwurzelholz</t>
        </is>
      </c>
      <c r="F19" t="n">
        <v>12</v>
      </c>
      <c r="G19" t="inlineStr">
        <is>
          <t>1W8</t>
        </is>
      </c>
      <c r="I19" t="inlineStr">
        <is>
          <t>+1</t>
        </is>
      </c>
      <c r="J19" t="n">
        <v>3</v>
      </c>
      <c r="K19" t="inlineStr">
        <is>
          <t>+6</t>
        </is>
      </c>
      <c r="L19" t="inlineStr">
        <is>
          <t>+3</t>
        </is>
      </c>
      <c r="M19" t="inlineStr">
        <is>
          <t>-6</t>
        </is>
      </c>
      <c r="N19" t="inlineStr">
        <is>
          <t>-17</t>
        </is>
      </c>
      <c r="O19" t="inlineStr">
        <is>
          <t>-29</t>
        </is>
      </c>
      <c r="P19" t="inlineStr">
        <is>
          <t>x</t>
        </is>
      </c>
      <c r="Q19" t="inlineStr">
        <is>
          <t>50m</t>
        </is>
      </c>
      <c r="R19" t="n">
        <v>7</v>
      </c>
      <c r="S19" t="n">
        <v>9</v>
      </c>
      <c r="U19" t="n">
        <v>6</v>
      </c>
      <c r="V19" t="inlineStr">
        <is>
          <t>1500D</t>
        </is>
      </c>
      <c r="Y19" s="28" t="inlineStr">
        <is>
          <t>Stangenwaffen</t>
        </is>
      </c>
      <c r="Z19" s="28" t="inlineStr">
        <is>
          <t>Improvisierte Stangenwaffen</t>
        </is>
      </c>
      <c r="AA19" s="56" t="n">
        <v>3</v>
      </c>
      <c r="AB19" s="56" t="inlineStr">
        <is>
          <t>W8</t>
        </is>
      </c>
      <c r="AC19" s="56" t="inlineStr">
        <is>
          <t>W4</t>
        </is>
      </c>
      <c r="AD19" s="56" t="n">
        <v>3</v>
      </c>
      <c r="AE19" s="56" t="n">
        <v>5</v>
      </c>
      <c r="AF19" s="56" t="n">
        <v>4</v>
      </c>
      <c r="AG19" s="56" t="n">
        <v>4</v>
      </c>
      <c r="AH19" s="56" t="n">
        <v>12</v>
      </c>
      <c r="AI19" s="56" t="n">
        <v>16</v>
      </c>
      <c r="AJ19" s="56" t="n">
        <v>5</v>
      </c>
      <c r="AK19" s="56" t="n">
        <v>6</v>
      </c>
    </row>
    <row r="20">
      <c r="A20" t="inlineStr">
        <is>
          <t>Ork Kurzbogen</t>
        </is>
      </c>
      <c r="B20" t="inlineStr">
        <is>
          <t>Ork</t>
        </is>
      </c>
      <c r="D20" t="inlineStr">
        <is>
          <t>Holz</t>
        </is>
      </c>
      <c r="F20" t="n">
        <v>12</v>
      </c>
      <c r="G20" t="inlineStr">
        <is>
          <t>1W6</t>
        </is>
      </c>
      <c r="I20" t="inlineStr">
        <is>
          <t>+1</t>
        </is>
      </c>
      <c r="J20" t="n">
        <v>2</v>
      </c>
      <c r="K20" t="inlineStr">
        <is>
          <t>+6</t>
        </is>
      </c>
      <c r="L20" t="inlineStr">
        <is>
          <t>+1</t>
        </is>
      </c>
      <c r="M20" t="inlineStr">
        <is>
          <t>-12</t>
        </is>
      </c>
      <c r="N20" t="inlineStr">
        <is>
          <t>-26</t>
        </is>
      </c>
      <c r="O20" t="inlineStr">
        <is>
          <t>x</t>
        </is>
      </c>
      <c r="P20" t="inlineStr">
        <is>
          <t>x</t>
        </is>
      </c>
      <c r="Q20" t="inlineStr">
        <is>
          <t>15m</t>
        </is>
      </c>
      <c r="R20" t="n">
        <v>7</v>
      </c>
      <c r="S20" t="n">
        <v>9</v>
      </c>
      <c r="U20" t="n">
        <v>4</v>
      </c>
      <c r="V20" t="inlineStr">
        <is>
          <t>60D</t>
        </is>
      </c>
      <c r="Y20" s="28" t="inlineStr">
        <is>
          <t>Stangenwaffen</t>
        </is>
      </c>
      <c r="Z20" s="28" t="inlineStr">
        <is>
          <t>Improvisierte Stangenwaffen</t>
        </is>
      </c>
      <c r="AA20" s="56" t="n">
        <v>3</v>
      </c>
      <c r="AB20" s="56" t="inlineStr">
        <is>
          <t>W8</t>
        </is>
      </c>
      <c r="AC20" s="56" t="inlineStr">
        <is>
          <t>W4</t>
        </is>
      </c>
      <c r="AD20" s="56" t="n">
        <v>3</v>
      </c>
      <c r="AE20" s="56" t="n">
        <v>5</v>
      </c>
      <c r="AF20" s="56" t="n">
        <v>4</v>
      </c>
      <c r="AG20" s="56" t="n">
        <v>4</v>
      </c>
      <c r="AH20" s="56" t="n">
        <v>12</v>
      </c>
      <c r="AI20" s="56" t="n">
        <v>16</v>
      </c>
      <c r="AJ20" s="56" t="n">
        <v>5</v>
      </c>
      <c r="AK20" s="56" t="n">
        <v>6</v>
      </c>
    </row>
    <row r="21">
      <c r="A21" t="inlineStr">
        <is>
          <t>Ork Jagdbogen</t>
        </is>
      </c>
      <c r="B21" t="inlineStr">
        <is>
          <t>Ork</t>
        </is>
      </c>
      <c r="D21" t="inlineStr">
        <is>
          <t>Holz</t>
        </is>
      </c>
      <c r="F21" t="n">
        <v>14</v>
      </c>
      <c r="G21" t="inlineStr">
        <is>
          <t>1W6</t>
        </is>
      </c>
      <c r="I21" t="inlineStr">
        <is>
          <t>+2</t>
        </is>
      </c>
      <c r="J21" t="n">
        <v>2</v>
      </c>
      <c r="K21" t="inlineStr">
        <is>
          <t>+5</t>
        </is>
      </c>
      <c r="L21" t="inlineStr">
        <is>
          <t>+1</t>
        </is>
      </c>
      <c r="M21" t="inlineStr">
        <is>
          <t>-9</t>
        </is>
      </c>
      <c r="N21" t="inlineStr">
        <is>
          <t>-23</t>
        </is>
      </c>
      <c r="O21" t="inlineStr">
        <is>
          <t>x</t>
        </is>
      </c>
      <c r="P21" t="inlineStr">
        <is>
          <t>x</t>
        </is>
      </c>
      <c r="Q21" t="inlineStr">
        <is>
          <t>22m</t>
        </is>
      </c>
      <c r="R21" t="n">
        <v>7</v>
      </c>
      <c r="S21" t="n">
        <v>9</v>
      </c>
      <c r="U21" t="n">
        <v>4</v>
      </c>
      <c r="V21" t="inlineStr">
        <is>
          <t>80D</t>
        </is>
      </c>
      <c r="Y21" s="28" t="inlineStr">
        <is>
          <t>Stangenwaffen</t>
        </is>
      </c>
      <c r="Z21" s="28" t="inlineStr">
        <is>
          <t>Improvisierte Stangenwaffen</t>
        </is>
      </c>
      <c r="AA21" s="56" t="n">
        <v>3</v>
      </c>
      <c r="AB21" s="56" t="inlineStr">
        <is>
          <t>W8</t>
        </is>
      </c>
      <c r="AC21" s="56" t="inlineStr">
        <is>
          <t>W4</t>
        </is>
      </c>
      <c r="AD21" s="56" t="n">
        <v>3</v>
      </c>
      <c r="AE21" s="56" t="n">
        <v>5</v>
      </c>
      <c r="AF21" s="56" t="n">
        <v>4</v>
      </c>
      <c r="AG21" s="56" t="n">
        <v>4</v>
      </c>
      <c r="AH21" s="56" t="n">
        <v>14</v>
      </c>
      <c r="AI21" s="56" t="n">
        <v>19</v>
      </c>
      <c r="AJ21" s="56" t="n">
        <v>5</v>
      </c>
      <c r="AK21" s="56" t="n">
        <v>6</v>
      </c>
    </row>
    <row r="22">
      <c r="A22" t="inlineStr">
        <is>
          <t>Ork Langbogen</t>
        </is>
      </c>
      <c r="B22" t="inlineStr">
        <is>
          <t>Ork</t>
        </is>
      </c>
      <c r="D22" t="inlineStr">
        <is>
          <t>Holz</t>
        </is>
      </c>
      <c r="F22" t="n">
        <v>16</v>
      </c>
      <c r="G22" t="inlineStr">
        <is>
          <t>1W6</t>
        </is>
      </c>
      <c r="I22" t="inlineStr">
        <is>
          <t>+2</t>
        </is>
      </c>
      <c r="J22" t="n">
        <v>3</v>
      </c>
      <c r="K22" t="inlineStr">
        <is>
          <t>+4</t>
        </is>
      </c>
      <c r="L22" t="inlineStr">
        <is>
          <t>+1</t>
        </is>
      </c>
      <c r="M22" t="inlineStr">
        <is>
          <t>-9</t>
        </is>
      </c>
      <c r="N22" t="inlineStr">
        <is>
          <t>-21</t>
        </is>
      </c>
      <c r="O22" t="inlineStr">
        <is>
          <t>-31</t>
        </is>
      </c>
      <c r="P22" t="inlineStr">
        <is>
          <t>x</t>
        </is>
      </c>
      <c r="Q22" t="inlineStr">
        <is>
          <t>60m</t>
        </is>
      </c>
      <c r="R22" t="n">
        <v>8</v>
      </c>
      <c r="S22" t="n">
        <v>9</v>
      </c>
      <c r="U22" t="n">
        <v>4</v>
      </c>
      <c r="V22" t="inlineStr">
        <is>
          <t>125D</t>
        </is>
      </c>
      <c r="Y22" s="28" t="inlineStr">
        <is>
          <t>Stangenwaffen</t>
        </is>
      </c>
      <c r="Z22" s="28" t="inlineStr">
        <is>
          <t>Improvisierte Stangenwaffen</t>
        </is>
      </c>
      <c r="AA22" s="56" t="n">
        <v>3</v>
      </c>
      <c r="AB22" s="56" t="inlineStr">
        <is>
          <t>W8</t>
        </is>
      </c>
      <c r="AC22" s="56" t="inlineStr">
        <is>
          <t>W4</t>
        </is>
      </c>
      <c r="AD22" s="56" t="n">
        <v>3</v>
      </c>
      <c r="AE22" s="56" t="n">
        <v>5</v>
      </c>
      <c r="AF22" s="56" t="n">
        <v>4</v>
      </c>
      <c r="AG22" s="56" t="n">
        <v>4</v>
      </c>
      <c r="AH22" s="56" t="n">
        <v>16</v>
      </c>
      <c r="AI22" s="56" t="n">
        <v>22</v>
      </c>
      <c r="AJ22" s="56" t="n">
        <v>5</v>
      </c>
      <c r="AK22" s="56" t="n">
        <v>6</v>
      </c>
    </row>
    <row r="23">
      <c r="A23" t="inlineStr">
        <is>
          <t>Kriegsbogen</t>
        </is>
      </c>
      <c r="B23" t="inlineStr">
        <is>
          <t>Ork</t>
        </is>
      </c>
      <c r="D23" t="inlineStr">
        <is>
          <t>Holz, Horn, Stahl, Leim</t>
        </is>
      </c>
      <c r="F23" t="n">
        <v>20</v>
      </c>
      <c r="G23" t="inlineStr">
        <is>
          <t>1W10</t>
        </is>
      </c>
      <c r="I23" t="inlineStr">
        <is>
          <t>+1</t>
        </is>
      </c>
      <c r="J23" t="n">
        <v>3</v>
      </c>
      <c r="K23" t="inlineStr">
        <is>
          <t>+6</t>
        </is>
      </c>
      <c r="L23" t="inlineStr">
        <is>
          <t>0</t>
        </is>
      </c>
      <c r="M23" t="inlineStr">
        <is>
          <t>-14</t>
        </is>
      </c>
      <c r="N23" t="inlineStr">
        <is>
          <t>-30</t>
        </is>
      </c>
      <c r="O23" t="inlineStr">
        <is>
          <t>x</t>
        </is>
      </c>
      <c r="P23" t="inlineStr">
        <is>
          <t>x</t>
        </is>
      </c>
      <c r="Q23" t="inlineStr">
        <is>
          <t>20m</t>
        </is>
      </c>
      <c r="R23" t="n">
        <v>9</v>
      </c>
      <c r="S23" t="n">
        <v>9</v>
      </c>
      <c r="U23" t="n">
        <v>5</v>
      </c>
      <c r="V23" t="inlineStr">
        <is>
          <t>250D</t>
        </is>
      </c>
      <c r="Y23" s="28" t="inlineStr">
        <is>
          <t>Stangenwaffen</t>
        </is>
      </c>
      <c r="Z23" s="28" t="inlineStr">
        <is>
          <t>Improvisierte Stangenwaffen</t>
        </is>
      </c>
      <c r="AA23" s="56" t="n">
        <v>3</v>
      </c>
      <c r="AB23" s="56" t="inlineStr">
        <is>
          <t>W8</t>
        </is>
      </c>
      <c r="AC23" s="56" t="inlineStr">
        <is>
          <t>W4</t>
        </is>
      </c>
      <c r="AD23" s="56" t="n">
        <v>3</v>
      </c>
      <c r="AE23" s="56" t="n">
        <v>5</v>
      </c>
      <c r="AF23" s="56" t="n">
        <v>4</v>
      </c>
      <c r="AG23" s="56" t="n">
        <v>4</v>
      </c>
      <c r="AH23" s="56" t="n">
        <v>20</v>
      </c>
      <c r="AI23" s="56" t="n">
        <v>27</v>
      </c>
      <c r="AJ23" s="56" t="n">
        <v>5</v>
      </c>
      <c r="AK23" s="56" t="n">
        <v>6</v>
      </c>
    </row>
    <row r="24">
      <c r="A24" t="inlineStr">
        <is>
          <t>Kompositbogen kurz (Zwerg)</t>
        </is>
      </c>
      <c r="B24" t="inlineStr">
        <is>
          <t>Zwerg</t>
        </is>
      </c>
      <c r="D24" t="inlineStr">
        <is>
          <t>Holz, Horn, Leim</t>
        </is>
      </c>
      <c r="F24" t="n">
        <v>12</v>
      </c>
      <c r="G24" t="inlineStr">
        <is>
          <t>1W6</t>
        </is>
      </c>
      <c r="I24" t="inlineStr">
        <is>
          <t>+1</t>
        </is>
      </c>
      <c r="J24" t="n">
        <v>3</v>
      </c>
      <c r="K24" t="inlineStr">
        <is>
          <t>+9</t>
        </is>
      </c>
      <c r="L24" t="inlineStr">
        <is>
          <t>+3</t>
        </is>
      </c>
      <c r="M24" t="inlineStr">
        <is>
          <t>-9</t>
        </is>
      </c>
      <c r="N24" t="inlineStr">
        <is>
          <t>-22</t>
        </is>
      </c>
      <c r="O24" t="inlineStr">
        <is>
          <t>x</t>
        </is>
      </c>
      <c r="P24" t="inlineStr">
        <is>
          <t>x</t>
        </is>
      </c>
      <c r="Q24" t="inlineStr">
        <is>
          <t>22m</t>
        </is>
      </c>
      <c r="R24" t="n">
        <v>6</v>
      </c>
      <c r="S24" t="n">
        <v>9</v>
      </c>
      <c r="U24" t="n">
        <v>3</v>
      </c>
      <c r="V24" t="inlineStr">
        <is>
          <t>200D</t>
        </is>
      </c>
      <c r="Y24" s="28" t="inlineStr">
        <is>
          <t>Stangenwaffen</t>
        </is>
      </c>
      <c r="Z24" s="28" t="inlineStr">
        <is>
          <t>Improvisierte Stangenwaffen</t>
        </is>
      </c>
      <c r="AA24" s="56" t="n">
        <v>3</v>
      </c>
      <c r="AB24" s="56" t="inlineStr">
        <is>
          <t>W8</t>
        </is>
      </c>
      <c r="AC24" s="56" t="inlineStr">
        <is>
          <t>W4</t>
        </is>
      </c>
      <c r="AD24" s="56" t="n">
        <v>3</v>
      </c>
      <c r="AE24" s="56" t="n">
        <v>5</v>
      </c>
      <c r="AF24" s="56" t="n">
        <v>4</v>
      </c>
      <c r="AG24" s="56" t="n">
        <v>4</v>
      </c>
      <c r="AH24" s="56" t="n">
        <v>12</v>
      </c>
      <c r="AI24" s="56" t="n">
        <v>16</v>
      </c>
      <c r="AJ24" s="56" t="n">
        <v>5</v>
      </c>
      <c r="AK24" s="56" t="n">
        <v>6</v>
      </c>
    </row>
    <row r="25">
      <c r="A25" t="inlineStr">
        <is>
          <t>Kompositbogen lang (Zwerg)</t>
        </is>
      </c>
      <c r="B25" t="inlineStr">
        <is>
          <t>Zwerg</t>
        </is>
      </c>
      <c r="D25" t="inlineStr">
        <is>
          <t>Holz, Horn, Leim</t>
        </is>
      </c>
      <c r="F25" t="n">
        <v>13</v>
      </c>
      <c r="G25" t="inlineStr">
        <is>
          <t>1W8</t>
        </is>
      </c>
      <c r="I25" t="inlineStr">
        <is>
          <t>+1</t>
        </is>
      </c>
      <c r="J25" t="n">
        <v>4</v>
      </c>
      <c r="K25" t="inlineStr">
        <is>
          <t>+6</t>
        </is>
      </c>
      <c r="L25" t="inlineStr">
        <is>
          <t>+2</t>
        </is>
      </c>
      <c r="M25" t="inlineStr">
        <is>
          <t>-6</t>
        </is>
      </c>
      <c r="N25" t="inlineStr">
        <is>
          <t>-17</t>
        </is>
      </c>
      <c r="O25" t="inlineStr">
        <is>
          <t>x</t>
        </is>
      </c>
      <c r="P25" t="inlineStr">
        <is>
          <t>x</t>
        </is>
      </c>
      <c r="Q25" t="inlineStr">
        <is>
          <t>23m</t>
        </is>
      </c>
      <c r="R25" t="n">
        <v>6</v>
      </c>
      <c r="S25" t="n">
        <v>9</v>
      </c>
      <c r="U25" t="n">
        <v>3</v>
      </c>
      <c r="V25" t="inlineStr">
        <is>
          <t>250D</t>
        </is>
      </c>
      <c r="Y25" s="28" t="inlineStr">
        <is>
          <t>Stangenwaffen</t>
        </is>
      </c>
      <c r="Z25" s="28" t="inlineStr">
        <is>
          <t>Improvisierte Stangenwaffen</t>
        </is>
      </c>
      <c r="AA25" s="56" t="n">
        <v>3</v>
      </c>
      <c r="AB25" s="56" t="inlineStr">
        <is>
          <t>W8</t>
        </is>
      </c>
      <c r="AC25" s="56" t="inlineStr">
        <is>
          <t>W4</t>
        </is>
      </c>
      <c r="AD25" s="56" t="n">
        <v>3</v>
      </c>
      <c r="AE25" s="56" t="n">
        <v>5</v>
      </c>
      <c r="AF25" s="56" t="n">
        <v>4</v>
      </c>
      <c r="AG25" s="56" t="n">
        <v>4</v>
      </c>
      <c r="AH25" s="56" t="n">
        <v>13</v>
      </c>
      <c r="AI25" s="56" t="n">
        <v>18</v>
      </c>
      <c r="AJ25" s="56" t="n">
        <v>5</v>
      </c>
      <c r="AK25" s="56" t="n">
        <v>6</v>
      </c>
    </row>
    <row r="26">
      <c r="A26" t="inlineStr">
        <is>
          <t>Umspannbogen (Zwerg)</t>
        </is>
      </c>
      <c r="B26" t="inlineStr">
        <is>
          <t>Zwerg</t>
        </is>
      </c>
      <c r="D26" t="inlineStr">
        <is>
          <t>Holz, ZW Federstahl, ZW Stahl</t>
        </is>
      </c>
      <c r="F26" t="n">
        <v>13</v>
      </c>
      <c r="G26" t="inlineStr">
        <is>
          <t>1W8</t>
        </is>
      </c>
      <c r="I26" t="inlineStr">
        <is>
          <t>+1</t>
        </is>
      </c>
      <c r="J26" t="n">
        <v>5</v>
      </c>
      <c r="K26" t="inlineStr">
        <is>
          <t>+6</t>
        </is>
      </c>
      <c r="L26" t="inlineStr">
        <is>
          <t>+2</t>
        </is>
      </c>
      <c r="M26" t="inlineStr">
        <is>
          <t>-6</t>
        </is>
      </c>
      <c r="N26" t="inlineStr">
        <is>
          <t>-17</t>
        </is>
      </c>
      <c r="O26" t="inlineStr">
        <is>
          <t>-25</t>
        </is>
      </c>
      <c r="P26" t="inlineStr">
        <is>
          <t>x</t>
        </is>
      </c>
      <c r="Q26" t="inlineStr">
        <is>
          <t>75m</t>
        </is>
      </c>
      <c r="R26" t="n">
        <v>5</v>
      </c>
      <c r="S26" t="n">
        <v>10</v>
      </c>
      <c r="U26" t="n">
        <v>5</v>
      </c>
      <c r="V26" t="inlineStr">
        <is>
          <t>10000D</t>
        </is>
      </c>
      <c r="Y26" s="28" t="inlineStr">
        <is>
          <t>Stangenwaffen</t>
        </is>
      </c>
      <c r="Z26" s="28" t="inlineStr">
        <is>
          <t>Improvisierte Stangenwaffen</t>
        </is>
      </c>
      <c r="AA26" s="56" t="n">
        <v>3</v>
      </c>
      <c r="AB26" s="56" t="inlineStr">
        <is>
          <t>W8</t>
        </is>
      </c>
      <c r="AC26" s="56" t="inlineStr">
        <is>
          <t>W4</t>
        </is>
      </c>
      <c r="AD26" s="56" t="n">
        <v>3</v>
      </c>
      <c r="AE26" s="56" t="n">
        <v>5</v>
      </c>
      <c r="AF26" s="56" t="n">
        <v>4</v>
      </c>
      <c r="AG26" s="56" t="n">
        <v>4</v>
      </c>
      <c r="AH26" s="56" t="n">
        <v>13</v>
      </c>
      <c r="AI26" s="56" t="n">
        <v>18</v>
      </c>
      <c r="AJ26" s="56" t="n">
        <v>5</v>
      </c>
      <c r="AK26" s="56" t="n">
        <v>6</v>
      </c>
    </row>
    <row r="27">
      <c r="A27" t="inlineStr">
        <is>
          <t>Katzen Kurzbogen</t>
        </is>
      </c>
      <c r="B27" t="inlineStr">
        <is>
          <t>Katzenmensch</t>
        </is>
      </c>
      <c r="D27" t="inlineStr">
        <is>
          <t>Holz</t>
        </is>
      </c>
      <c r="F27" t="n">
        <v>11</v>
      </c>
      <c r="G27" t="inlineStr">
        <is>
          <t>1W4</t>
        </is>
      </c>
      <c r="I27" t="inlineStr">
        <is>
          <t>+1</t>
        </is>
      </c>
      <c r="J27" t="n">
        <v>2</v>
      </c>
      <c r="K27" t="inlineStr">
        <is>
          <t>+7</t>
        </is>
      </c>
      <c r="L27" t="inlineStr">
        <is>
          <t>+2</t>
        </is>
      </c>
      <c r="M27" t="inlineStr">
        <is>
          <t>-11</t>
        </is>
      </c>
      <c r="N27" t="inlineStr">
        <is>
          <t>-25</t>
        </is>
      </c>
      <c r="O27" t="inlineStr">
        <is>
          <t>x</t>
        </is>
      </c>
      <c r="P27" t="inlineStr">
        <is>
          <t>x</t>
        </is>
      </c>
      <c r="Q27" t="inlineStr">
        <is>
          <t>25m</t>
        </is>
      </c>
      <c r="R27" t="n">
        <v>6</v>
      </c>
      <c r="S27" t="n">
        <v>9</v>
      </c>
      <c r="U27" t="n">
        <v>1</v>
      </c>
      <c r="V27" t="inlineStr">
        <is>
          <t>70D</t>
        </is>
      </c>
      <c r="Y27" s="28" t="inlineStr">
        <is>
          <t>Stangenwaffen</t>
        </is>
      </c>
      <c r="Z27" s="28" t="inlineStr">
        <is>
          <t>Improvisierte Stangenwaffen</t>
        </is>
      </c>
      <c r="AA27" s="56" t="n">
        <v>3</v>
      </c>
      <c r="AB27" s="56" t="inlineStr">
        <is>
          <t>W8</t>
        </is>
      </c>
      <c r="AC27" s="56" t="inlineStr">
        <is>
          <t>W4</t>
        </is>
      </c>
      <c r="AD27" s="56" t="n">
        <v>3</v>
      </c>
      <c r="AE27" s="56" t="n">
        <v>5</v>
      </c>
      <c r="AF27" s="56" t="n">
        <v>4</v>
      </c>
      <c r="AG27" s="56" t="n">
        <v>4</v>
      </c>
      <c r="AH27" s="56" t="n">
        <v>11</v>
      </c>
      <c r="AI27" s="56" t="n">
        <v>15</v>
      </c>
      <c r="AJ27" s="56" t="n">
        <v>5</v>
      </c>
      <c r="AK27" s="56" t="n">
        <v>6</v>
      </c>
    </row>
    <row r="28">
      <c r="A28" t="inlineStr">
        <is>
          <t>Katzen Jagdbogen</t>
        </is>
      </c>
      <c r="B28" t="inlineStr">
        <is>
          <t>Katzenmensch</t>
        </is>
      </c>
      <c r="D28" t="inlineStr">
        <is>
          <t>Holz</t>
        </is>
      </c>
      <c r="F28" t="n">
        <v>13</v>
      </c>
      <c r="G28" t="inlineStr">
        <is>
          <t>1W6</t>
        </is>
      </c>
      <c r="I28" t="inlineStr">
        <is>
          <t>+1</t>
        </is>
      </c>
      <c r="J28" t="n">
        <v>2</v>
      </c>
      <c r="K28" t="inlineStr">
        <is>
          <t>+6</t>
        </is>
      </c>
      <c r="L28" t="inlineStr">
        <is>
          <t>+2</t>
        </is>
      </c>
      <c r="M28" t="inlineStr">
        <is>
          <t>-8</t>
        </is>
      </c>
      <c r="N28" t="inlineStr">
        <is>
          <t>-22</t>
        </is>
      </c>
      <c r="O28" t="inlineStr">
        <is>
          <t>x</t>
        </is>
      </c>
      <c r="P28" t="inlineStr">
        <is>
          <t>x</t>
        </is>
      </c>
      <c r="Q28" t="inlineStr">
        <is>
          <t>32m</t>
        </is>
      </c>
      <c r="R28" t="n">
        <v>6</v>
      </c>
      <c r="S28" t="n">
        <v>9</v>
      </c>
      <c r="U28" t="n">
        <v>1</v>
      </c>
      <c r="V28" t="inlineStr">
        <is>
          <t>90D</t>
        </is>
      </c>
      <c r="Y28" s="28" t="inlineStr">
        <is>
          <t>Stangenwaffen</t>
        </is>
      </c>
      <c r="Z28" s="28" t="inlineStr">
        <is>
          <t>Improvisierte Stangenwaffen</t>
        </is>
      </c>
      <c r="AA28" s="56" t="n">
        <v>3</v>
      </c>
      <c r="AB28" s="56" t="inlineStr">
        <is>
          <t>W8</t>
        </is>
      </c>
      <c r="AC28" s="56" t="inlineStr">
        <is>
          <t>W4</t>
        </is>
      </c>
      <c r="AD28" s="56" t="n">
        <v>3</v>
      </c>
      <c r="AE28" s="56" t="n">
        <v>5</v>
      </c>
      <c r="AF28" s="56" t="n">
        <v>4</v>
      </c>
      <c r="AG28" s="56" t="n">
        <v>4</v>
      </c>
      <c r="AH28" s="56" t="n">
        <v>13</v>
      </c>
      <c r="AI28" s="56" t="n">
        <v>18</v>
      </c>
      <c r="AJ28" s="56" t="n">
        <v>5</v>
      </c>
      <c r="AK28" s="56" t="n">
        <v>6</v>
      </c>
    </row>
    <row r="29">
      <c r="A29" t="inlineStr">
        <is>
          <t>Katzen Langbogen</t>
        </is>
      </c>
      <c r="B29" t="inlineStr">
        <is>
          <t>Katzenmensch</t>
        </is>
      </c>
      <c r="D29" t="inlineStr">
        <is>
          <t>Holz</t>
        </is>
      </c>
      <c r="F29" t="n">
        <v>15</v>
      </c>
      <c r="G29" t="inlineStr">
        <is>
          <t>1W6</t>
        </is>
      </c>
      <c r="I29" t="inlineStr">
        <is>
          <t>+1</t>
        </is>
      </c>
      <c r="J29" t="n">
        <v>3</v>
      </c>
      <c r="K29" t="inlineStr">
        <is>
          <t>+5</t>
        </is>
      </c>
      <c r="L29" t="inlineStr">
        <is>
          <t>+2</t>
        </is>
      </c>
      <c r="M29" t="inlineStr">
        <is>
          <t>-8</t>
        </is>
      </c>
      <c r="N29" t="inlineStr">
        <is>
          <t>-20</t>
        </is>
      </c>
      <c r="O29" t="inlineStr">
        <is>
          <t>-30</t>
        </is>
      </c>
      <c r="P29" t="inlineStr">
        <is>
          <t>x</t>
        </is>
      </c>
      <c r="Q29" t="inlineStr">
        <is>
          <t>90m</t>
        </is>
      </c>
      <c r="R29" t="n">
        <v>7</v>
      </c>
      <c r="S29" t="n">
        <v>9</v>
      </c>
      <c r="U29" t="n">
        <v>2</v>
      </c>
      <c r="V29" t="inlineStr">
        <is>
          <t>135D</t>
        </is>
      </c>
      <c r="Y29" s="28" t="inlineStr">
        <is>
          <t>Stangenwaffen</t>
        </is>
      </c>
      <c r="Z29" s="28" t="inlineStr">
        <is>
          <t>Improvisierte Stangenwaffen</t>
        </is>
      </c>
      <c r="AA29" s="56" t="n">
        <v>3</v>
      </c>
      <c r="AB29" s="56" t="inlineStr">
        <is>
          <t>W8</t>
        </is>
      </c>
      <c r="AC29" s="56" t="inlineStr">
        <is>
          <t>W4</t>
        </is>
      </c>
      <c r="AD29" s="56" t="n">
        <v>3</v>
      </c>
      <c r="AE29" s="56" t="n">
        <v>5</v>
      </c>
      <c r="AF29" s="56" t="n">
        <v>4</v>
      </c>
      <c r="AG29" s="56" t="n">
        <v>4</v>
      </c>
      <c r="AH29" s="56" t="n">
        <v>15</v>
      </c>
      <c r="AI29" s="56" t="n">
        <v>20</v>
      </c>
      <c r="AJ29" s="56" t="n">
        <v>5</v>
      </c>
      <c r="AK29" s="56" t="n">
        <v>6</v>
      </c>
    </row>
    <row r="30">
      <c r="A30" t="inlineStr">
        <is>
          <t>Zentauren Kurzbogen</t>
        </is>
      </c>
      <c r="B30" t="inlineStr">
        <is>
          <t>Zentaur</t>
        </is>
      </c>
      <c r="D30" t="inlineStr">
        <is>
          <t>Holz</t>
        </is>
      </c>
      <c r="F30" t="n">
        <v>10</v>
      </c>
      <c r="G30" t="inlineStr">
        <is>
          <t>1W4</t>
        </is>
      </c>
      <c r="I30" t="inlineStr">
        <is>
          <t>+2</t>
        </is>
      </c>
      <c r="J30" t="n">
        <v>2</v>
      </c>
      <c r="K30" t="inlineStr">
        <is>
          <t>+7</t>
        </is>
      </c>
      <c r="L30" t="inlineStr">
        <is>
          <t>+1</t>
        </is>
      </c>
      <c r="M30" t="inlineStr">
        <is>
          <t>-15</t>
        </is>
      </c>
      <c r="N30" t="inlineStr">
        <is>
          <t>-29</t>
        </is>
      </c>
      <c r="O30" t="inlineStr">
        <is>
          <t>x</t>
        </is>
      </c>
      <c r="P30" t="inlineStr">
        <is>
          <t>x</t>
        </is>
      </c>
      <c r="Q30" t="inlineStr">
        <is>
          <t>20m</t>
        </is>
      </c>
      <c r="R30" t="n">
        <v>6</v>
      </c>
      <c r="S30" t="n">
        <v>9</v>
      </c>
      <c r="U30" t="n">
        <v>1</v>
      </c>
      <c r="V30" t="inlineStr">
        <is>
          <t>60D</t>
        </is>
      </c>
      <c r="Y30" s="28" t="inlineStr">
        <is>
          <t>Stangenwaffen</t>
        </is>
      </c>
      <c r="Z30" s="28" t="inlineStr">
        <is>
          <t>Improvisierte Stangenwaffen</t>
        </is>
      </c>
      <c r="AA30" s="56" t="n">
        <v>3</v>
      </c>
      <c r="AB30" s="56" t="inlineStr">
        <is>
          <t>W8</t>
        </is>
      </c>
      <c r="AC30" s="56" t="inlineStr">
        <is>
          <t>W4</t>
        </is>
      </c>
      <c r="AD30" s="56" t="n">
        <v>3</v>
      </c>
      <c r="AE30" s="56" t="n">
        <v>5</v>
      </c>
      <c r="AF30" s="56" t="n">
        <v>4</v>
      </c>
      <c r="AG30" s="56" t="n">
        <v>4</v>
      </c>
      <c r="AH30" s="56" t="n">
        <v>10</v>
      </c>
      <c r="AI30" s="56" t="n">
        <v>14</v>
      </c>
      <c r="AJ30" s="56" t="n">
        <v>5</v>
      </c>
      <c r="AK30" s="56" t="n">
        <v>6</v>
      </c>
    </row>
    <row r="31">
      <c r="A31" t="inlineStr">
        <is>
          <t>Kompositbogen kurz (Zentaur)</t>
        </is>
      </c>
      <c r="B31" t="inlineStr">
        <is>
          <t>Zentaur</t>
        </is>
      </c>
      <c r="D31" t="inlineStr">
        <is>
          <t>Holz, Horn, Leim</t>
        </is>
      </c>
      <c r="F31" t="n">
        <v>12</v>
      </c>
      <c r="G31" t="inlineStr">
        <is>
          <t>1W6</t>
        </is>
      </c>
      <c r="I31" t="inlineStr">
        <is>
          <t>+1</t>
        </is>
      </c>
      <c r="J31" t="n">
        <v>3</v>
      </c>
      <c r="K31" t="inlineStr">
        <is>
          <t>+9</t>
        </is>
      </c>
      <c r="L31" t="inlineStr">
        <is>
          <t>+3</t>
        </is>
      </c>
      <c r="M31" t="inlineStr">
        <is>
          <t>-9</t>
        </is>
      </c>
      <c r="N31" t="inlineStr">
        <is>
          <t>-22</t>
        </is>
      </c>
      <c r="O31" t="inlineStr">
        <is>
          <t>x</t>
        </is>
      </c>
      <c r="P31" t="inlineStr">
        <is>
          <t>x</t>
        </is>
      </c>
      <c r="Q31" t="inlineStr">
        <is>
          <t>22m</t>
        </is>
      </c>
      <c r="R31" t="n">
        <v>6</v>
      </c>
      <c r="S31" t="n">
        <v>9</v>
      </c>
      <c r="U31" t="n">
        <v>3</v>
      </c>
      <c r="V31" t="inlineStr">
        <is>
          <t>200D</t>
        </is>
      </c>
      <c r="Y31" s="28" t="inlineStr">
        <is>
          <t>Stangenwaffen</t>
        </is>
      </c>
      <c r="Z31" s="28" t="inlineStr">
        <is>
          <t>Improvisierte Stangenwaffen</t>
        </is>
      </c>
      <c r="AA31" s="56" t="n">
        <v>3</v>
      </c>
      <c r="AB31" s="56" t="inlineStr">
        <is>
          <t>W8</t>
        </is>
      </c>
      <c r="AC31" s="56" t="inlineStr">
        <is>
          <t>W4</t>
        </is>
      </c>
      <c r="AD31" s="56" t="n">
        <v>3</v>
      </c>
      <c r="AE31" s="56" t="n">
        <v>5</v>
      </c>
      <c r="AF31" s="56" t="n">
        <v>4</v>
      </c>
      <c r="AG31" s="56" t="n">
        <v>4</v>
      </c>
      <c r="AH31" s="56" t="n">
        <v>12</v>
      </c>
      <c r="AI31" s="56" t="n">
        <v>16</v>
      </c>
      <c r="AJ31" s="56" t="n">
        <v>5</v>
      </c>
      <c r="AK31" s="56" t="n">
        <v>6</v>
      </c>
    </row>
    <row r="32">
      <c r="A32" t="inlineStr">
        <is>
          <t>Improvisierter Trollbogen</t>
        </is>
      </c>
      <c r="B32" t="inlineStr">
        <is>
          <t>Troll</t>
        </is>
      </c>
      <c r="D32" t="inlineStr">
        <is>
          <t>1 Junger Baum</t>
        </is>
      </c>
      <c r="F32" t="n">
        <v>33</v>
      </c>
      <c r="G32" t="inlineStr">
        <is>
          <t>1W20</t>
        </is>
      </c>
      <c r="I32" t="inlineStr">
        <is>
          <t>+1</t>
        </is>
      </c>
      <c r="J32" t="n">
        <v>0</v>
      </c>
      <c r="K32" t="inlineStr">
        <is>
          <t>0</t>
        </is>
      </c>
      <c r="L32" t="inlineStr">
        <is>
          <t>-5</t>
        </is>
      </c>
      <c r="M32" t="inlineStr">
        <is>
          <t>-25</t>
        </is>
      </c>
      <c r="N32" t="inlineStr">
        <is>
          <t>x</t>
        </is>
      </c>
      <c r="O32" t="inlineStr">
        <is>
          <t>x</t>
        </is>
      </c>
      <c r="P32" t="inlineStr">
        <is>
          <t>x</t>
        </is>
      </c>
      <c r="Q32" t="inlineStr">
        <is>
          <t>10m</t>
        </is>
      </c>
      <c r="R32" t="n">
        <v>15</v>
      </c>
      <c r="S32" t="n">
        <v>10</v>
      </c>
      <c r="V32" t="inlineStr">
        <is>
          <t>nicht V.</t>
        </is>
      </c>
      <c r="Y32" s="28" t="inlineStr">
        <is>
          <t>Stangenwaffen</t>
        </is>
      </c>
      <c r="Z32" s="28" t="inlineStr">
        <is>
          <t>Improvisierte Stangenwaffen</t>
        </is>
      </c>
      <c r="AA32" s="56" t="n">
        <v>3</v>
      </c>
      <c r="AB32" s="56" t="inlineStr">
        <is>
          <t>W8</t>
        </is>
      </c>
      <c r="AC32" s="56" t="inlineStr">
        <is>
          <t>W4</t>
        </is>
      </c>
      <c r="AD32" s="56" t="n">
        <v>3</v>
      </c>
      <c r="AE32" s="56" t="n">
        <v>5</v>
      </c>
      <c r="AF32" s="56" t="n">
        <v>4</v>
      </c>
      <c r="AG32" s="56" t="n">
        <v>4</v>
      </c>
      <c r="AH32" s="56" t="n">
        <v>33</v>
      </c>
      <c r="AI32" s="56" t="n">
        <v>44</v>
      </c>
      <c r="AJ32" s="56" t="n">
        <v>5</v>
      </c>
      <c r="AK32" s="56" t="n">
        <v>6</v>
      </c>
    </row>
    <row r="33">
      <c r="A33" t="inlineStr">
        <is>
          <t>Trollbogen</t>
        </is>
      </c>
      <c r="B33" t="inlineStr">
        <is>
          <t>Troll</t>
        </is>
      </c>
      <c r="D33" t="inlineStr">
        <is>
          <t>1 Junger Baum</t>
        </is>
      </c>
      <c r="F33" t="n">
        <v>28</v>
      </c>
      <c r="G33" t="inlineStr">
        <is>
          <t>1W30</t>
        </is>
      </c>
      <c r="I33" t="inlineStr">
        <is>
          <t>+1</t>
        </is>
      </c>
      <c r="J33" t="n">
        <v>0</v>
      </c>
      <c r="K33" t="inlineStr">
        <is>
          <t>+4</t>
        </is>
      </c>
      <c r="L33" t="inlineStr">
        <is>
          <t>0</t>
        </is>
      </c>
      <c r="M33" t="inlineStr">
        <is>
          <t>-15</t>
        </is>
      </c>
      <c r="N33" t="inlineStr">
        <is>
          <t>x</t>
        </is>
      </c>
      <c r="O33" t="inlineStr">
        <is>
          <t>x</t>
        </is>
      </c>
      <c r="P33" t="inlineStr">
        <is>
          <t>x</t>
        </is>
      </c>
      <c r="Q33" t="inlineStr">
        <is>
          <t>25m</t>
        </is>
      </c>
      <c r="R33" t="n">
        <v>13</v>
      </c>
      <c r="S33" t="n">
        <v>10</v>
      </c>
      <c r="U33" t="n">
        <v>5</v>
      </c>
      <c r="V33" t="inlineStr">
        <is>
          <t>100D</t>
        </is>
      </c>
      <c r="Y33" s="28" t="inlineStr">
        <is>
          <t>Stangenwaffen</t>
        </is>
      </c>
      <c r="Z33" s="28" t="inlineStr">
        <is>
          <t>Improvisierte Stangenwaffen</t>
        </is>
      </c>
      <c r="AA33" s="56" t="n">
        <v>3</v>
      </c>
      <c r="AB33" s="56" t="inlineStr">
        <is>
          <t>W8</t>
        </is>
      </c>
      <c r="AC33" s="56" t="inlineStr">
        <is>
          <t>W4</t>
        </is>
      </c>
      <c r="AD33" s="56" t="n">
        <v>3</v>
      </c>
      <c r="AE33" s="56" t="n">
        <v>5</v>
      </c>
      <c r="AF33" s="56" t="n">
        <v>4</v>
      </c>
      <c r="AG33" s="56" t="n">
        <v>4</v>
      </c>
      <c r="AH33" s="56" t="n">
        <v>28</v>
      </c>
      <c r="AI33" s="56" t="n">
        <v>38</v>
      </c>
      <c r="AJ33" s="56" t="n">
        <v>5</v>
      </c>
      <c r="AK33" s="56" t="n">
        <v>6</v>
      </c>
    </row>
    <row r="34">
      <c r="A34" t="inlineStr">
        <is>
          <t>Drow Kurzbogen</t>
        </is>
      </c>
      <c r="B34" t="inlineStr">
        <is>
          <t>Drow</t>
        </is>
      </c>
      <c r="D34" t="inlineStr">
        <is>
          <t>Noristawurz</t>
        </is>
      </c>
      <c r="F34" t="n">
        <v>10</v>
      </c>
      <c r="G34" t="inlineStr">
        <is>
          <t>1W4</t>
        </is>
      </c>
      <c r="I34" t="inlineStr">
        <is>
          <t>+2</t>
        </is>
      </c>
      <c r="J34" t="n">
        <v>2</v>
      </c>
      <c r="K34" t="inlineStr">
        <is>
          <t>+8</t>
        </is>
      </c>
      <c r="L34" t="inlineStr">
        <is>
          <t>+3</t>
        </is>
      </c>
      <c r="M34" t="inlineStr">
        <is>
          <t>-11</t>
        </is>
      </c>
      <c r="N34" t="inlineStr">
        <is>
          <t>-25</t>
        </is>
      </c>
      <c r="O34" t="inlineStr">
        <is>
          <t>x</t>
        </is>
      </c>
      <c r="P34" t="inlineStr">
        <is>
          <t>x</t>
        </is>
      </c>
      <c r="Q34" t="inlineStr">
        <is>
          <t>15m</t>
        </is>
      </c>
      <c r="R34" t="n">
        <v>6</v>
      </c>
      <c r="S34" t="n">
        <v>9</v>
      </c>
      <c r="U34" t="n">
        <v>1</v>
      </c>
      <c r="V34" t="inlineStr">
        <is>
          <t>60D</t>
        </is>
      </c>
      <c r="Y34" s="28" t="inlineStr">
        <is>
          <t>Stangenwaffen</t>
        </is>
      </c>
      <c r="Z34" s="28" t="inlineStr">
        <is>
          <t>Improvisierte Stangenwaffen</t>
        </is>
      </c>
      <c r="AA34" s="56" t="n">
        <v>3</v>
      </c>
      <c r="AB34" s="56" t="inlineStr">
        <is>
          <t>W8</t>
        </is>
      </c>
      <c r="AC34" s="56" t="inlineStr">
        <is>
          <t>W4</t>
        </is>
      </c>
      <c r="AD34" s="56" t="n">
        <v>3</v>
      </c>
      <c r="AE34" s="56" t="n">
        <v>5</v>
      </c>
      <c r="AF34" s="56" t="n">
        <v>4</v>
      </c>
      <c r="AG34" s="56" t="n">
        <v>4</v>
      </c>
      <c r="AH34" s="56" t="n">
        <v>10</v>
      </c>
      <c r="AI34" s="56" t="n">
        <v>14</v>
      </c>
      <c r="AJ34" s="56" t="n">
        <v>5</v>
      </c>
      <c r="AK34" s="56" t="n">
        <v>6</v>
      </c>
    </row>
    <row r="35">
      <c r="A35" t="inlineStr">
        <is>
          <t>Drow Jagdbogen</t>
        </is>
      </c>
      <c r="B35" t="inlineStr">
        <is>
          <t>Drow</t>
        </is>
      </c>
      <c r="D35" t="inlineStr">
        <is>
          <t>Noristawurz</t>
        </is>
      </c>
      <c r="F35" t="n">
        <v>12</v>
      </c>
      <c r="G35" t="inlineStr">
        <is>
          <t>1W6</t>
        </is>
      </c>
      <c r="I35" t="inlineStr">
        <is>
          <t>+2</t>
        </is>
      </c>
      <c r="J35" t="n">
        <v>2</v>
      </c>
      <c r="K35" t="inlineStr">
        <is>
          <t>+7</t>
        </is>
      </c>
      <c r="L35" t="inlineStr">
        <is>
          <t>+3</t>
        </is>
      </c>
      <c r="M35" t="inlineStr">
        <is>
          <t>-8</t>
        </is>
      </c>
      <c r="N35" t="inlineStr">
        <is>
          <t>-22</t>
        </is>
      </c>
      <c r="O35" t="inlineStr">
        <is>
          <t>x</t>
        </is>
      </c>
      <c r="P35" t="inlineStr">
        <is>
          <t>x</t>
        </is>
      </c>
      <c r="Q35" t="inlineStr">
        <is>
          <t>22m</t>
        </is>
      </c>
      <c r="R35" t="n">
        <v>6</v>
      </c>
      <c r="S35" t="n">
        <v>9</v>
      </c>
      <c r="U35" t="n">
        <v>4</v>
      </c>
      <c r="V35" t="inlineStr">
        <is>
          <t>80D</t>
        </is>
      </c>
      <c r="Y35" s="28" t="inlineStr">
        <is>
          <t>Stangenwaffen</t>
        </is>
      </c>
      <c r="Z35" s="28" t="inlineStr">
        <is>
          <t>Improvisierte Stangenwaffen</t>
        </is>
      </c>
      <c r="AA35" s="56" t="n">
        <v>3</v>
      </c>
      <c r="AB35" s="56" t="inlineStr">
        <is>
          <t>W8</t>
        </is>
      </c>
      <c r="AC35" s="56" t="inlineStr">
        <is>
          <t>W4</t>
        </is>
      </c>
      <c r="AD35" s="56" t="n">
        <v>3</v>
      </c>
      <c r="AE35" s="56" t="n">
        <v>5</v>
      </c>
      <c r="AF35" s="56" t="n">
        <v>4</v>
      </c>
      <c r="AG35" s="56" t="n">
        <v>4</v>
      </c>
      <c r="AH35" s="56" t="n">
        <v>12</v>
      </c>
      <c r="AI35" s="56" t="n">
        <v>16</v>
      </c>
      <c r="AJ35" s="56" t="n">
        <v>5</v>
      </c>
      <c r="AK35" s="56" t="n">
        <v>6</v>
      </c>
    </row>
    <row r="36">
      <c r="A36" t="inlineStr">
        <is>
          <t>Drow Langbogen</t>
        </is>
      </c>
      <c r="B36" t="inlineStr">
        <is>
          <t>Drow</t>
        </is>
      </c>
      <c r="D36" t="inlineStr">
        <is>
          <t>Noristawurz</t>
        </is>
      </c>
      <c r="F36" t="n">
        <v>13</v>
      </c>
      <c r="G36" t="inlineStr">
        <is>
          <t>1W6</t>
        </is>
      </c>
      <c r="I36" t="inlineStr">
        <is>
          <t>+2</t>
        </is>
      </c>
      <c r="J36" t="n">
        <v>3</v>
      </c>
      <c r="K36" t="inlineStr">
        <is>
          <t>+5</t>
        </is>
      </c>
      <c r="L36" t="inlineStr">
        <is>
          <t>+2</t>
        </is>
      </c>
      <c r="M36" t="inlineStr">
        <is>
          <t>-8</t>
        </is>
      </c>
      <c r="N36" t="inlineStr">
        <is>
          <t>-20</t>
        </is>
      </c>
      <c r="O36" t="inlineStr">
        <is>
          <t>-30</t>
        </is>
      </c>
      <c r="P36" t="inlineStr">
        <is>
          <t>x</t>
        </is>
      </c>
      <c r="Q36" t="inlineStr">
        <is>
          <t>60m</t>
        </is>
      </c>
      <c r="R36" t="n">
        <v>7</v>
      </c>
      <c r="S36" t="n">
        <v>9</v>
      </c>
      <c r="U36" t="n">
        <v>5</v>
      </c>
      <c r="V36" t="inlineStr">
        <is>
          <t>125D</t>
        </is>
      </c>
      <c r="Y36" s="28" t="inlineStr">
        <is>
          <t>Stangenwaffen</t>
        </is>
      </c>
      <c r="Z36" s="28" t="inlineStr">
        <is>
          <t>Improvisierte Stangenwaffen</t>
        </is>
      </c>
      <c r="AA36" s="56" t="n">
        <v>3</v>
      </c>
      <c r="AB36" s="56" t="inlineStr">
        <is>
          <t>W8</t>
        </is>
      </c>
      <c r="AC36" s="56" t="inlineStr">
        <is>
          <t>W4</t>
        </is>
      </c>
      <c r="AD36" s="56" t="n">
        <v>3</v>
      </c>
      <c r="AE36" s="56" t="n">
        <v>5</v>
      </c>
      <c r="AF36" s="56" t="n">
        <v>4</v>
      </c>
      <c r="AG36" s="56" t="n">
        <v>4</v>
      </c>
      <c r="AH36" s="56" t="n">
        <v>13</v>
      </c>
      <c r="AI36" s="56" t="n">
        <v>18</v>
      </c>
      <c r="AJ36" s="56" t="n">
        <v>5</v>
      </c>
      <c r="AK36" s="56" t="n">
        <v>6</v>
      </c>
    </row>
    <row r="37">
      <c r="A37" t="inlineStr">
        <is>
          <t>Elbenbeinbogen</t>
        </is>
      </c>
      <c r="B37" t="inlineStr">
        <is>
          <t>Drow</t>
        </is>
      </c>
      <c r="D37" t="inlineStr">
        <is>
          <t>Noristawurz, Elbenbein, Leim</t>
        </is>
      </c>
      <c r="F37" t="n">
        <v>13</v>
      </c>
      <c r="G37" t="inlineStr">
        <is>
          <t>1W8</t>
        </is>
      </c>
      <c r="I37" t="inlineStr">
        <is>
          <t>+1</t>
        </is>
      </c>
      <c r="J37" t="n">
        <v>4</v>
      </c>
      <c r="K37" t="inlineStr">
        <is>
          <t>+6</t>
        </is>
      </c>
      <c r="L37" t="inlineStr">
        <is>
          <t>+2</t>
        </is>
      </c>
      <c r="M37" t="inlineStr">
        <is>
          <t>-6</t>
        </is>
      </c>
      <c r="N37" t="inlineStr">
        <is>
          <t>-17</t>
        </is>
      </c>
      <c r="O37" t="inlineStr">
        <is>
          <t>x</t>
        </is>
      </c>
      <c r="P37" t="inlineStr">
        <is>
          <t>x</t>
        </is>
      </c>
      <c r="Q37" t="inlineStr">
        <is>
          <t>23m</t>
        </is>
      </c>
      <c r="R37" t="n">
        <v>6</v>
      </c>
      <c r="S37" t="n">
        <v>9</v>
      </c>
      <c r="U37" t="n">
        <v>5</v>
      </c>
      <c r="V37" t="inlineStr">
        <is>
          <t>250D</t>
        </is>
      </c>
      <c r="Y37" s="28" t="inlineStr">
        <is>
          <t>Stangenwaffen</t>
        </is>
      </c>
      <c r="Z37" s="28" t="inlineStr">
        <is>
          <t>Improvisierte Stangenwaffen</t>
        </is>
      </c>
      <c r="AA37" s="56" t="n">
        <v>3</v>
      </c>
      <c r="AB37" s="56" t="inlineStr">
        <is>
          <t>W8</t>
        </is>
      </c>
      <c r="AC37" s="56" t="inlineStr">
        <is>
          <t>W4</t>
        </is>
      </c>
      <c r="AD37" s="56" t="n">
        <v>3</v>
      </c>
      <c r="AE37" s="56" t="n">
        <v>5</v>
      </c>
      <c r="AF37" s="56" t="n">
        <v>4</v>
      </c>
      <c r="AG37" s="56" t="n">
        <v>4</v>
      </c>
      <c r="AH37" s="56" t="n">
        <v>13</v>
      </c>
      <c r="AI37" s="56" t="n">
        <v>18</v>
      </c>
      <c r="AJ37" s="56" t="n">
        <v>5</v>
      </c>
      <c r="AK37" s="56" t="n">
        <v>6</v>
      </c>
    </row>
    <row r="38">
      <c r="A38" t="inlineStr">
        <is>
          <t>Gnom Kurzbogen</t>
        </is>
      </c>
      <c r="B38" t="inlineStr">
        <is>
          <t>Gnom</t>
        </is>
      </c>
      <c r="D38" t="inlineStr">
        <is>
          <t>Holz</t>
        </is>
      </c>
      <c r="F38" t="n">
        <v>4</v>
      </c>
      <c r="G38" t="inlineStr">
        <is>
          <t>1W2</t>
        </is>
      </c>
      <c r="I38" t="inlineStr">
        <is>
          <t>+1</t>
        </is>
      </c>
      <c r="J38" t="n">
        <v>2</v>
      </c>
      <c r="K38" t="inlineStr">
        <is>
          <t>+7</t>
        </is>
      </c>
      <c r="L38" t="inlineStr">
        <is>
          <t>+2</t>
        </is>
      </c>
      <c r="M38" t="inlineStr">
        <is>
          <t>-11</t>
        </is>
      </c>
      <c r="N38" t="inlineStr">
        <is>
          <t>-25</t>
        </is>
      </c>
      <c r="O38" t="inlineStr">
        <is>
          <t>x</t>
        </is>
      </c>
      <c r="P38" t="inlineStr">
        <is>
          <t>x</t>
        </is>
      </c>
      <c r="Q38" t="inlineStr">
        <is>
          <t>10m</t>
        </is>
      </c>
      <c r="R38" t="n">
        <v>5</v>
      </c>
      <c r="S38" t="n">
        <v>9</v>
      </c>
      <c r="U38" t="n">
        <v>1</v>
      </c>
      <c r="V38" t="inlineStr">
        <is>
          <t>60D</t>
        </is>
      </c>
      <c r="Y38" s="28" t="inlineStr">
        <is>
          <t>Stangenwaffen</t>
        </is>
      </c>
      <c r="Z38" s="28" t="inlineStr">
        <is>
          <t>Improvisierte Stangenwaffen</t>
        </is>
      </c>
      <c r="AA38" s="56" t="n">
        <v>3</v>
      </c>
      <c r="AB38" s="56" t="inlineStr">
        <is>
          <t>W8</t>
        </is>
      </c>
      <c r="AC38" s="56" t="inlineStr">
        <is>
          <t>W4</t>
        </is>
      </c>
      <c r="AD38" s="56" t="n">
        <v>3</v>
      </c>
      <c r="AE38" s="56" t="n">
        <v>5</v>
      </c>
      <c r="AF38" s="56" t="n">
        <v>4</v>
      </c>
      <c r="AG38" s="56" t="n">
        <v>4</v>
      </c>
      <c r="AH38" s="56" t="n">
        <v>4</v>
      </c>
      <c r="AI38" s="56" t="n">
        <v>6</v>
      </c>
      <c r="AJ38" s="56" t="n">
        <v>5</v>
      </c>
      <c r="AK38" s="56" t="n">
        <v>6</v>
      </c>
    </row>
    <row r="39">
      <c r="A39" t="inlineStr">
        <is>
          <t>Gnom Jagdbogen</t>
        </is>
      </c>
      <c r="B39" t="inlineStr">
        <is>
          <t>Gnom</t>
        </is>
      </c>
      <c r="D39" t="inlineStr">
        <is>
          <t>Holz</t>
        </is>
      </c>
      <c r="F39" t="n">
        <v>6</v>
      </c>
      <c r="G39" t="inlineStr">
        <is>
          <t>1W4</t>
        </is>
      </c>
      <c r="I39" t="inlineStr">
        <is>
          <t>+1</t>
        </is>
      </c>
      <c r="J39" t="n">
        <v>2</v>
      </c>
      <c r="K39" t="inlineStr">
        <is>
          <t>+6</t>
        </is>
      </c>
      <c r="L39" t="inlineStr">
        <is>
          <t>+2</t>
        </is>
      </c>
      <c r="M39" t="inlineStr">
        <is>
          <t>-8</t>
        </is>
      </c>
      <c r="N39" t="inlineStr">
        <is>
          <t>-22</t>
        </is>
      </c>
      <c r="O39" t="inlineStr">
        <is>
          <t>x</t>
        </is>
      </c>
      <c r="P39" t="inlineStr">
        <is>
          <t>x</t>
        </is>
      </c>
      <c r="Q39" t="inlineStr">
        <is>
          <t>14m</t>
        </is>
      </c>
      <c r="R39" t="n">
        <v>5</v>
      </c>
      <c r="S39" t="n">
        <v>9</v>
      </c>
      <c r="U39" t="n">
        <v>1</v>
      </c>
      <c r="V39" t="inlineStr">
        <is>
          <t>80D</t>
        </is>
      </c>
      <c r="Y39" s="28" t="inlineStr">
        <is>
          <t>Stangenwaffen</t>
        </is>
      </c>
      <c r="Z39" s="28" t="inlineStr">
        <is>
          <t>Improvisierte Stangenwaffen</t>
        </is>
      </c>
      <c r="AA39" s="56" t="n">
        <v>3</v>
      </c>
      <c r="AB39" s="56" t="inlineStr">
        <is>
          <t>W8</t>
        </is>
      </c>
      <c r="AC39" s="56" t="inlineStr">
        <is>
          <t>W4</t>
        </is>
      </c>
      <c r="AD39" s="56" t="n">
        <v>3</v>
      </c>
      <c r="AE39" s="56" t="n">
        <v>5</v>
      </c>
      <c r="AF39" s="56" t="n">
        <v>4</v>
      </c>
      <c r="AG39" s="56" t="n">
        <v>4</v>
      </c>
      <c r="AH39" s="56" t="n">
        <v>6</v>
      </c>
      <c r="AI39" s="56" t="n">
        <v>8</v>
      </c>
      <c r="AJ39" s="56" t="n">
        <v>5</v>
      </c>
      <c r="AK39" s="56" t="n">
        <v>6</v>
      </c>
    </row>
    <row r="40">
      <c r="A40" t="inlineStr">
        <is>
          <t>Gnom Langbogen</t>
        </is>
      </c>
      <c r="B40" t="inlineStr">
        <is>
          <t>Gnom</t>
        </is>
      </c>
      <c r="D40" t="inlineStr">
        <is>
          <t>Holz</t>
        </is>
      </c>
      <c r="F40" t="n">
        <v>7</v>
      </c>
      <c r="G40" t="inlineStr">
        <is>
          <t>1W4</t>
        </is>
      </c>
      <c r="I40" t="inlineStr">
        <is>
          <t>+1</t>
        </is>
      </c>
      <c r="J40" t="n">
        <v>3</v>
      </c>
      <c r="K40" t="inlineStr">
        <is>
          <t>+5</t>
        </is>
      </c>
      <c r="L40" t="inlineStr">
        <is>
          <t>+2</t>
        </is>
      </c>
      <c r="M40" t="inlineStr">
        <is>
          <t>-8</t>
        </is>
      </c>
      <c r="N40" t="inlineStr">
        <is>
          <t>-20</t>
        </is>
      </c>
      <c r="O40" t="inlineStr">
        <is>
          <t>-30</t>
        </is>
      </c>
      <c r="P40" t="inlineStr">
        <is>
          <t>x</t>
        </is>
      </c>
      <c r="Q40" t="inlineStr">
        <is>
          <t>30m</t>
        </is>
      </c>
      <c r="R40" t="n">
        <v>6</v>
      </c>
      <c r="S40" t="n">
        <v>9</v>
      </c>
      <c r="U40" t="n">
        <v>1</v>
      </c>
      <c r="V40" t="inlineStr">
        <is>
          <t>125D</t>
        </is>
      </c>
      <c r="Y40" s="28" t="inlineStr">
        <is>
          <t>Stangenwaffen</t>
        </is>
      </c>
      <c r="Z40" s="28" t="inlineStr">
        <is>
          <t>Improvisierte Stangenwaffen</t>
        </is>
      </c>
      <c r="AA40" s="56" t="n">
        <v>3</v>
      </c>
      <c r="AB40" s="56" t="inlineStr">
        <is>
          <t>W8</t>
        </is>
      </c>
      <c r="AC40" s="56" t="inlineStr">
        <is>
          <t>W4</t>
        </is>
      </c>
      <c r="AD40" s="56" t="n">
        <v>3</v>
      </c>
      <c r="AE40" s="56" t="n">
        <v>5</v>
      </c>
      <c r="AF40" s="56" t="n">
        <v>4</v>
      </c>
      <c r="AG40" s="56" t="n">
        <v>4</v>
      </c>
      <c r="AH40" s="56" t="n">
        <v>7</v>
      </c>
      <c r="AI40" s="56" t="n">
        <v>10</v>
      </c>
      <c r="AJ40" s="56" t="n">
        <v>5</v>
      </c>
      <c r="AK40" s="56" t="n">
        <v>6</v>
      </c>
    </row>
    <row r="41">
      <c r="A41" t="inlineStr">
        <is>
          <t>Umspannbogen (Gnom)</t>
        </is>
      </c>
      <c r="B41" t="inlineStr">
        <is>
          <t>Gnom</t>
        </is>
      </c>
      <c r="D41" t="inlineStr">
        <is>
          <t>Holz, G Federstahl, G Stahl</t>
        </is>
      </c>
      <c r="F41" t="n">
        <v>10</v>
      </c>
      <c r="G41" t="inlineStr">
        <is>
          <t>1W6</t>
        </is>
      </c>
      <c r="I41" t="inlineStr">
        <is>
          <t>+1</t>
        </is>
      </c>
      <c r="J41" t="n">
        <v>5</v>
      </c>
      <c r="K41" t="inlineStr">
        <is>
          <t>+6</t>
        </is>
      </c>
      <c r="L41" t="inlineStr">
        <is>
          <t>+2</t>
        </is>
      </c>
      <c r="M41" t="inlineStr">
        <is>
          <t>-6</t>
        </is>
      </c>
      <c r="N41" t="inlineStr">
        <is>
          <t>-17</t>
        </is>
      </c>
      <c r="O41" t="inlineStr">
        <is>
          <t>-25</t>
        </is>
      </c>
      <c r="P41" t="inlineStr">
        <is>
          <t>x</t>
        </is>
      </c>
      <c r="Q41" t="inlineStr">
        <is>
          <t>25m</t>
        </is>
      </c>
      <c r="R41" t="n">
        <v>4</v>
      </c>
      <c r="S41" t="n">
        <v>10</v>
      </c>
      <c r="U41" t="n">
        <v>5</v>
      </c>
      <c r="V41" t="inlineStr">
        <is>
          <t>10000D</t>
        </is>
      </c>
      <c r="Y41" s="28" t="inlineStr">
        <is>
          <t>Stangenwaffen</t>
        </is>
      </c>
      <c r="Z41" s="28" t="inlineStr">
        <is>
          <t>Improvisierte Stangenwaffen</t>
        </is>
      </c>
      <c r="AA41" s="56" t="n">
        <v>3</v>
      </c>
      <c r="AB41" s="56" t="inlineStr">
        <is>
          <t>W8</t>
        </is>
      </c>
      <c r="AC41" s="56" t="inlineStr">
        <is>
          <t>W4</t>
        </is>
      </c>
      <c r="AD41" s="56" t="n">
        <v>3</v>
      </c>
      <c r="AE41" s="56" t="n">
        <v>5</v>
      </c>
      <c r="AF41" s="56" t="n">
        <v>4</v>
      </c>
      <c r="AG41" s="56" t="n">
        <v>4</v>
      </c>
      <c r="AH41" s="56" t="n">
        <v>10</v>
      </c>
      <c r="AI41" s="56" t="n">
        <v>14</v>
      </c>
      <c r="AJ41" s="56" t="n">
        <v>5</v>
      </c>
      <c r="AK41" s="56" t="n">
        <v>6</v>
      </c>
    </row>
    <row r="42">
      <c r="A42" t="inlineStr">
        <is>
          <t>Drachenbogen</t>
        </is>
      </c>
      <c r="B42" t="inlineStr">
        <is>
          <t>Spezial/Legendaer</t>
        </is>
      </c>
      <c r="D42" t="inlineStr">
        <is>
          <t>Holz, Kaiserdrachen-Bein, Leim</t>
        </is>
      </c>
      <c r="F42" t="n">
        <v>21</v>
      </c>
      <c r="G42" t="inlineStr">
        <is>
          <t>1W12</t>
        </is>
      </c>
      <c r="I42" t="inlineStr">
        <is>
          <t>+1</t>
        </is>
      </c>
      <c r="J42" t="n">
        <v>3</v>
      </c>
      <c r="K42" t="inlineStr">
        <is>
          <t>+6</t>
        </is>
      </c>
      <c r="L42" t="inlineStr">
        <is>
          <t>+1</t>
        </is>
      </c>
      <c r="M42" t="inlineStr">
        <is>
          <t>-13</t>
        </is>
      </c>
      <c r="N42" t="inlineStr">
        <is>
          <t>-29</t>
        </is>
      </c>
      <c r="O42" t="inlineStr">
        <is>
          <t>x</t>
        </is>
      </c>
      <c r="P42" t="inlineStr">
        <is>
          <t>x</t>
        </is>
      </c>
      <c r="Q42" t="inlineStr">
        <is>
          <t>25m</t>
        </is>
      </c>
      <c r="R42" t="n">
        <v>8</v>
      </c>
      <c r="S42" t="n">
        <v>9</v>
      </c>
      <c r="U42" t="inlineStr">
        <is>
          <t>M</t>
        </is>
      </c>
      <c r="V42" t="n">
        <v>1000000</v>
      </c>
      <c r="Y42" s="28" t="inlineStr">
        <is>
          <t>Stangenwaffen</t>
        </is>
      </c>
      <c r="Z42" s="28" t="inlineStr">
        <is>
          <t>Improvisierte Stangenwaffen</t>
        </is>
      </c>
      <c r="AA42" s="56" t="n">
        <v>3</v>
      </c>
      <c r="AB42" s="56" t="inlineStr">
        <is>
          <t>W8</t>
        </is>
      </c>
      <c r="AC42" s="56" t="inlineStr">
        <is>
          <t>W4</t>
        </is>
      </c>
      <c r="AD42" s="56" t="n">
        <v>3</v>
      </c>
      <c r="AE42" s="56" t="n">
        <v>5</v>
      </c>
      <c r="AF42" s="56" t="n">
        <v>4</v>
      </c>
      <c r="AG42" s="56" t="n">
        <v>4</v>
      </c>
      <c r="AH42" s="56" t="n">
        <v>21</v>
      </c>
      <c r="AI42" s="56" t="n">
        <v>28</v>
      </c>
      <c r="AJ42" s="56" t="n">
        <v>5</v>
      </c>
      <c r="AK42" s="56" t="n">
        <v>6</v>
      </c>
    </row>
  </sheetData>
  <pageMargins left="0.7" right="0.7" top="0.75" bottom="0.75" header="0.3" footer="0.3"/>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A1:BA39"/>
  <sheetViews>
    <sheetView workbookViewId="0">
      <selection activeCell="A1" sqref="A1"/>
    </sheetView>
  </sheetViews>
  <sheetFormatPr baseColWidth="10" defaultColWidth="9.140625" defaultRowHeight="15"/>
  <cols>
    <col width="9.140625" customWidth="1" style="48" min="4" max="4"/>
    <col width="9.140625" customWidth="1" style="48" min="6" max="7"/>
    <col width="9.140625" customWidth="1" style="48" min="9" max="10"/>
    <col width="9.140625" customWidth="1" style="48" min="12" max="17"/>
  </cols>
  <sheetData>
    <row r="1">
      <c r="A1" t="inlineStr">
        <is>
          <t>Name</t>
        </is>
      </c>
      <c r="B1" t="inlineStr">
        <is>
          <t>Volk</t>
        </is>
      </c>
      <c r="C1" t="inlineStr">
        <is>
          <t>Typ</t>
        </is>
      </c>
      <c r="D1" t="inlineStr">
        <is>
          <t>Ladetechnik Hand: min.Stä</t>
        </is>
      </c>
      <c r="E1" t="inlineStr">
        <is>
          <t>Ladetechnik Hand: Ladezeit</t>
        </is>
      </c>
      <c r="F1" t="inlineStr">
        <is>
          <t>Ladetechnik Hand: Ladezeit-Teiler</t>
        </is>
      </c>
      <c r="G1" t="inlineStr">
        <is>
          <t>Ladetechnik Geißfuß: min.Stä</t>
        </is>
      </c>
      <c r="H1" t="inlineStr">
        <is>
          <t>Ladetechnik Geißfuß: Ladezeit</t>
        </is>
      </c>
      <c r="I1" t="inlineStr">
        <is>
          <t>Ladetechnik Geißfuß: Ladezeit-Teiler</t>
        </is>
      </c>
      <c r="J1" t="inlineStr">
        <is>
          <t>Ladetechnik Winde: min.Stä</t>
        </is>
      </c>
      <c r="K1" t="inlineStr">
        <is>
          <t>Ladetechnik Winde: Ladezeit</t>
        </is>
      </c>
      <c r="L1" t="inlineStr">
        <is>
          <t>Ladetechnik Winde: Ladezeit-Teiler</t>
        </is>
      </c>
      <c r="M1" t="inlineStr">
        <is>
          <t>Ladetechnik Repetieren: min.Stä</t>
        </is>
      </c>
      <c r="N1" t="inlineStr">
        <is>
          <t>Ladetechnik Repetieren: Ladezeit</t>
        </is>
      </c>
      <c r="O1" t="inlineStr">
        <is>
          <t>Ladetechnik Repetieren: Ladezeit-Teiler</t>
        </is>
      </c>
      <c r="P1" t="inlineStr">
        <is>
          <t>Ladetechnik Repetierer Nachladen: min.Stä</t>
        </is>
      </c>
      <c r="Q1" t="inlineStr">
        <is>
          <t>Ladetechnik Repetierer Nachladen: Ladezeit</t>
        </is>
      </c>
      <c r="R1" t="inlineStr">
        <is>
          <t>Ladetechnik Nachladen: Ladezeit-Teiler</t>
        </is>
      </c>
      <c r="S1" t="inlineStr">
        <is>
          <t>Gewicht</t>
        </is>
      </c>
      <c r="T1" t="inlineStr">
        <is>
          <t>Min. Stä</t>
        </is>
      </c>
      <c r="U1" t="inlineStr">
        <is>
          <t>1.W</t>
        </is>
      </c>
      <c r="V1" t="inlineStr">
        <is>
          <t>2.W</t>
        </is>
      </c>
      <c r="W1" t="inlineStr">
        <is>
          <t>Fixschaden</t>
        </is>
      </c>
      <c r="X1" t="inlineStr">
        <is>
          <t>RB</t>
        </is>
      </c>
      <c r="Y1" t="inlineStr">
        <is>
          <t>10m</t>
        </is>
      </c>
      <c r="Z1" t="inlineStr">
        <is>
          <t>30m</t>
        </is>
      </c>
      <c r="AA1" t="inlineStr">
        <is>
          <t>60m</t>
        </is>
      </c>
      <c r="AB1" t="inlineStr">
        <is>
          <t>100m</t>
        </is>
      </c>
      <c r="AC1" t="inlineStr">
        <is>
          <t>150m</t>
        </is>
      </c>
      <c r="AD1" t="inlineStr">
        <is>
          <t>210m</t>
        </is>
      </c>
      <c r="AE1" t="inlineStr">
        <is>
          <t>RW</t>
        </is>
      </c>
      <c r="AF1" t="inlineStr">
        <is>
          <t>Nachladezeit</t>
        </is>
      </c>
      <c r="AG1" t="inlineStr">
        <is>
          <t>Nachladen TaW-Teiler</t>
        </is>
      </c>
      <c r="AH1" t="inlineStr">
        <is>
          <t>Patzermodifikator</t>
        </is>
      </c>
      <c r="AI1" t="inlineStr">
        <is>
          <t>Verfügbarkeit</t>
        </is>
      </c>
      <c r="AJ1" t="inlineStr">
        <is>
          <t>Preis</t>
        </is>
      </c>
      <c r="AK1" t="inlineStr">
        <is>
          <t>Herstellungszeit</t>
        </is>
      </c>
      <c r="AL1" t="inlineStr">
        <is>
          <t>Material</t>
        </is>
      </c>
      <c r="AM1" t="inlineStr">
        <is>
          <t>Materialpreis</t>
        </is>
      </c>
      <c r="AN1" t="inlineStr">
        <is>
          <t>Notiz</t>
        </is>
      </c>
      <c r="AO1" t="inlineStr">
        <is>
          <t>Hauptfertigkeit</t>
        </is>
      </c>
      <c r="AP1" t="inlineStr">
        <is>
          <t>Spezialisierung</t>
        </is>
      </c>
      <c r="AQ1" t="inlineStr">
        <is>
          <t>WK-Basis</t>
        </is>
      </c>
      <c r="AR1" t="inlineStr">
        <is>
          <t>Schadenswuerfel-1</t>
        </is>
      </c>
      <c r="AS1" t="inlineStr">
        <is>
          <t>Schadenswuerfel-2</t>
        </is>
      </c>
      <c r="AT1" t="inlineStr">
        <is>
          <t>Staerke-Teiler</t>
        </is>
      </c>
      <c r="AU1" t="inlineStr">
        <is>
          <t>Staerke-Malus-Basis</t>
        </is>
      </c>
      <c r="AV1" t="inlineStr">
        <is>
          <t>AT-Basis</t>
        </is>
      </c>
      <c r="AW1" t="inlineStr">
        <is>
          <t>PA-Basis</t>
        </is>
      </c>
      <c r="AX1" t="inlineStr">
        <is>
          <t>Min-Staerke-1H-Basis</t>
        </is>
      </c>
      <c r="AY1" t="inlineStr">
        <is>
          <t>Min-Staerke-2H-Basis</t>
        </is>
      </c>
      <c r="AZ1" t="inlineStr">
        <is>
          <t>Klingenbrecher-Basis</t>
        </is>
      </c>
      <c r="BA1" t="inlineStr">
        <is>
          <t>Klingenschutz-Basis</t>
        </is>
      </c>
    </row>
    <row r="2">
      <c r="A2" t="inlineStr">
        <is>
          <t>Improvisierte Armbrust</t>
        </is>
      </c>
      <c r="B2" t="inlineStr">
        <is>
          <t>Alle</t>
        </is>
      </c>
      <c r="C2" t="inlineStr">
        <is>
          <t>Armbrust</t>
        </is>
      </c>
      <c r="D2" t="n">
        <v>9</v>
      </c>
      <c r="E2" t="n">
        <v>13</v>
      </c>
      <c r="F2" t="n">
        <v>4</v>
      </c>
      <c r="T2" t="n">
        <v>9</v>
      </c>
      <c r="U2" t="inlineStr">
        <is>
          <t>1W6</t>
        </is>
      </c>
      <c r="X2" t="n">
        <v>2</v>
      </c>
      <c r="Y2" t="inlineStr">
        <is>
          <t>+8</t>
        </is>
      </c>
      <c r="Z2" t="inlineStr">
        <is>
          <t>-4</t>
        </is>
      </c>
      <c r="AA2" t="inlineStr">
        <is>
          <t>-25</t>
        </is>
      </c>
      <c r="AB2" t="inlineStr">
        <is>
          <t>-39</t>
        </is>
      </c>
      <c r="AC2" t="inlineStr">
        <is>
          <t>x</t>
        </is>
      </c>
      <c r="AD2" t="inlineStr">
        <is>
          <t>x</t>
        </is>
      </c>
      <c r="AE2" t="inlineStr">
        <is>
          <t>5m</t>
        </is>
      </c>
      <c r="AF2" t="inlineStr">
        <is>
          <t>13sec</t>
        </is>
      </c>
      <c r="AG2" t="n">
        <v>4</v>
      </c>
      <c r="AJ2" t="inlineStr">
        <is>
          <t>nicht V.</t>
        </is>
      </c>
      <c r="AO2" s="56" t="inlineStr">
        <is>
          <t>Stangenwaffen</t>
        </is>
      </c>
      <c r="AP2" s="56" t="inlineStr">
        <is>
          <t>Improvisierte Stangenwaffen</t>
        </is>
      </c>
      <c r="AQ2" s="56" t="n">
        <v>3</v>
      </c>
      <c r="AR2" s="56" t="inlineStr">
        <is>
          <t>W8</t>
        </is>
      </c>
      <c r="AS2" s="56" t="inlineStr">
        <is>
          <t>W4</t>
        </is>
      </c>
      <c r="AT2" s="56" t="n">
        <v>3</v>
      </c>
      <c r="AU2" s="56" t="n">
        <v>5</v>
      </c>
      <c r="AV2" s="56" t="n">
        <v>4</v>
      </c>
      <c r="AW2" s="56" t="n">
        <v>4</v>
      </c>
      <c r="AX2" s="56" t="n">
        <v>9</v>
      </c>
      <c r="AY2" s="56" t="n">
        <v>7</v>
      </c>
      <c r="AZ2" s="56" t="n">
        <v>5</v>
      </c>
      <c r="BA2" s="56" t="n">
        <v>6</v>
      </c>
    </row>
    <row r="3">
      <c r="A3" t="inlineStr">
        <is>
          <t>Hand Armbrust (Daikini)</t>
        </is>
      </c>
      <c r="B3" t="inlineStr">
        <is>
          <t>Daikini</t>
        </is>
      </c>
      <c r="C3" t="inlineStr">
        <is>
          <t>Armbrust</t>
        </is>
      </c>
      <c r="D3" t="n">
        <v>9</v>
      </c>
      <c r="E3" t="n">
        <v>14</v>
      </c>
      <c r="F3" t="n">
        <v>4</v>
      </c>
      <c r="G3" t="n">
        <v>5</v>
      </c>
      <c r="H3" t="n">
        <v>30</v>
      </c>
      <c r="I3" t="n">
        <v>2</v>
      </c>
      <c r="J3" t="n">
        <v>3</v>
      </c>
      <c r="K3" t="n">
        <v>60</v>
      </c>
      <c r="L3" t="n">
        <v>1</v>
      </c>
      <c r="T3" t="n">
        <v>9</v>
      </c>
      <c r="U3" t="inlineStr">
        <is>
          <t>1W6</t>
        </is>
      </c>
      <c r="X3" t="n">
        <v>3</v>
      </c>
      <c r="Y3" t="inlineStr">
        <is>
          <t>+11</t>
        </is>
      </c>
      <c r="Z3" t="inlineStr">
        <is>
          <t>-3</t>
        </is>
      </c>
      <c r="AA3" t="inlineStr">
        <is>
          <t>-24</t>
        </is>
      </c>
      <c r="AB3" t="inlineStr">
        <is>
          <t>-38</t>
        </is>
      </c>
      <c r="AC3" t="inlineStr">
        <is>
          <t>x</t>
        </is>
      </c>
      <c r="AD3" t="inlineStr">
        <is>
          <t>x</t>
        </is>
      </c>
      <c r="AE3" t="inlineStr">
        <is>
          <t>5m</t>
        </is>
      </c>
      <c r="AF3" t="inlineStr">
        <is>
          <t>14sec</t>
        </is>
      </c>
      <c r="AG3" t="n">
        <v>4</v>
      </c>
      <c r="AI3" t="n">
        <v>4</v>
      </c>
      <c r="AJ3" t="inlineStr">
        <is>
          <t>100D</t>
        </is>
      </c>
      <c r="AO3" s="56" t="inlineStr">
        <is>
          <t>Stangenwaffen</t>
        </is>
      </c>
      <c r="AP3" s="56" t="inlineStr">
        <is>
          <t>Improvisierte Stangenwaffen</t>
        </is>
      </c>
      <c r="AQ3" s="56" t="n">
        <v>3</v>
      </c>
      <c r="AR3" s="56" t="inlineStr">
        <is>
          <t>W8</t>
        </is>
      </c>
      <c r="AS3" s="56" t="inlineStr">
        <is>
          <t>W4</t>
        </is>
      </c>
      <c r="AT3" s="56" t="n">
        <v>3</v>
      </c>
      <c r="AU3" s="56" t="n">
        <v>5</v>
      </c>
      <c r="AV3" s="56" t="n">
        <v>4</v>
      </c>
      <c r="AW3" s="56" t="n">
        <v>4</v>
      </c>
      <c r="AX3" t="n">
        <v>5</v>
      </c>
      <c r="AY3" s="56" t="n">
        <v>4</v>
      </c>
      <c r="AZ3" s="56" t="n">
        <v>5</v>
      </c>
      <c r="BA3" s="56" t="n">
        <v>6</v>
      </c>
    </row>
    <row r="4">
      <c r="A4" t="inlineStr">
        <is>
          <t>Leichte Armbrust (Daikini)</t>
        </is>
      </c>
      <c r="B4" t="inlineStr">
        <is>
          <t>Daikini</t>
        </is>
      </c>
      <c r="C4" t="inlineStr">
        <is>
          <t>Armbrust</t>
        </is>
      </c>
      <c r="D4" t="n">
        <v>12</v>
      </c>
      <c r="E4" t="n">
        <v>14</v>
      </c>
      <c r="F4" t="n">
        <v>4</v>
      </c>
      <c r="G4" t="n">
        <v>7</v>
      </c>
      <c r="H4" t="n">
        <v>30</v>
      </c>
      <c r="I4" t="n">
        <v>2</v>
      </c>
      <c r="J4" t="n">
        <v>4</v>
      </c>
      <c r="K4" t="n">
        <v>60</v>
      </c>
      <c r="L4" t="n">
        <v>1</v>
      </c>
      <c r="T4" t="n">
        <v>12</v>
      </c>
      <c r="U4" t="inlineStr">
        <is>
          <t>1W8</t>
        </is>
      </c>
      <c r="X4" t="n">
        <v>4</v>
      </c>
      <c r="Y4" t="inlineStr">
        <is>
          <t>+10</t>
        </is>
      </c>
      <c r="Z4" t="inlineStr">
        <is>
          <t>+2</t>
        </is>
      </c>
      <c r="AA4" t="inlineStr">
        <is>
          <t>-14</t>
        </is>
      </c>
      <c r="AB4" t="inlineStr">
        <is>
          <t>-31</t>
        </is>
      </c>
      <c r="AC4" t="inlineStr">
        <is>
          <t>x</t>
        </is>
      </c>
      <c r="AD4" t="inlineStr">
        <is>
          <t>x</t>
        </is>
      </c>
      <c r="AE4" t="inlineStr">
        <is>
          <t>10m</t>
        </is>
      </c>
      <c r="AF4" t="inlineStr">
        <is>
          <t>14sec</t>
        </is>
      </c>
      <c r="AG4" t="n">
        <v>4</v>
      </c>
      <c r="AI4" t="n">
        <v>2</v>
      </c>
      <c r="AJ4" t="inlineStr">
        <is>
          <t>120D</t>
        </is>
      </c>
      <c r="AO4" s="56" t="inlineStr">
        <is>
          <t>Stangenwaffen</t>
        </is>
      </c>
      <c r="AP4" s="56" t="inlineStr">
        <is>
          <t>Improvisierte Stangenwaffen</t>
        </is>
      </c>
      <c r="AQ4" s="56" t="n">
        <v>3</v>
      </c>
      <c r="AR4" s="56" t="inlineStr">
        <is>
          <t>W8</t>
        </is>
      </c>
      <c r="AS4" s="56" t="inlineStr">
        <is>
          <t>W4</t>
        </is>
      </c>
      <c r="AT4" s="56" t="n">
        <v>3</v>
      </c>
      <c r="AU4" s="56" t="n">
        <v>5</v>
      </c>
      <c r="AV4" s="56" t="n">
        <v>4</v>
      </c>
      <c r="AW4" s="56" t="n">
        <v>4</v>
      </c>
      <c r="AX4" t="n">
        <v>7</v>
      </c>
      <c r="AY4" s="56" t="n">
        <v>6</v>
      </c>
      <c r="AZ4" s="56" t="n">
        <v>5</v>
      </c>
      <c r="BA4" s="56" t="n">
        <v>6</v>
      </c>
    </row>
    <row r="5">
      <c r="A5" t="inlineStr">
        <is>
          <t>Mittelschwere Armbrust (Daikini)</t>
        </is>
      </c>
      <c r="B5" t="inlineStr">
        <is>
          <t>Daikini</t>
        </is>
      </c>
      <c r="C5" t="inlineStr">
        <is>
          <t>Armbrust</t>
        </is>
      </c>
      <c r="D5" t="n">
        <v>25</v>
      </c>
      <c r="E5" t="n">
        <v>14</v>
      </c>
      <c r="F5" t="n">
        <v>4</v>
      </c>
      <c r="G5" t="n">
        <v>12</v>
      </c>
      <c r="H5" t="n">
        <v>30</v>
      </c>
      <c r="I5" t="n">
        <v>2</v>
      </c>
      <c r="J5" t="n">
        <v>7</v>
      </c>
      <c r="K5" t="n">
        <v>60</v>
      </c>
      <c r="L5" t="n">
        <v>1</v>
      </c>
      <c r="T5" t="n">
        <v>25</v>
      </c>
      <c r="U5" t="inlineStr">
        <is>
          <t>1W10</t>
        </is>
      </c>
      <c r="X5" t="n">
        <v>5</v>
      </c>
      <c r="Y5" t="inlineStr">
        <is>
          <t>+9</t>
        </is>
      </c>
      <c r="Z5" t="inlineStr">
        <is>
          <t>+6</t>
        </is>
      </c>
      <c r="AA5" t="inlineStr">
        <is>
          <t>-9</t>
        </is>
      </c>
      <c r="AB5" t="inlineStr">
        <is>
          <t>-25</t>
        </is>
      </c>
      <c r="AC5" t="inlineStr">
        <is>
          <t>x</t>
        </is>
      </c>
      <c r="AD5" t="inlineStr">
        <is>
          <t>x</t>
        </is>
      </c>
      <c r="AE5" t="inlineStr">
        <is>
          <t>15m</t>
        </is>
      </c>
      <c r="AF5" t="inlineStr">
        <is>
          <t>14sec</t>
        </is>
      </c>
      <c r="AG5" t="n">
        <v>4</v>
      </c>
      <c r="AI5" t="n">
        <v>3</v>
      </c>
      <c r="AJ5" t="inlineStr">
        <is>
          <t>200D</t>
        </is>
      </c>
      <c r="AO5" s="56" t="inlineStr">
        <is>
          <t>Stangenwaffen</t>
        </is>
      </c>
      <c r="AP5" s="56" t="inlineStr">
        <is>
          <t>Improvisierte Stangenwaffen</t>
        </is>
      </c>
      <c r="AQ5" s="56" t="n">
        <v>3</v>
      </c>
      <c r="AR5" s="56" t="inlineStr">
        <is>
          <t>W8</t>
        </is>
      </c>
      <c r="AS5" s="56" t="inlineStr">
        <is>
          <t>W4</t>
        </is>
      </c>
      <c r="AT5" s="56" t="n">
        <v>3</v>
      </c>
      <c r="AU5" s="56" t="n">
        <v>5</v>
      </c>
      <c r="AV5" s="56" t="n">
        <v>4</v>
      </c>
      <c r="AW5" s="56" t="n">
        <v>4</v>
      </c>
      <c r="AX5" t="n">
        <v>12</v>
      </c>
      <c r="AY5" s="56" t="n">
        <v>9</v>
      </c>
      <c r="AZ5" s="56" t="n">
        <v>5</v>
      </c>
      <c r="BA5" s="56" t="n">
        <v>6</v>
      </c>
    </row>
    <row r="6">
      <c r="A6" t="inlineStr">
        <is>
          <t>Schwere Armbrust (Daikini)</t>
        </is>
      </c>
      <c r="B6" t="inlineStr">
        <is>
          <t>Daikini</t>
        </is>
      </c>
      <c r="C6" t="inlineStr">
        <is>
          <t>Armbrust</t>
        </is>
      </c>
      <c r="D6" t="n">
        <v>37</v>
      </c>
      <c r="E6" t="n">
        <v>14</v>
      </c>
      <c r="F6" t="n">
        <v>4</v>
      </c>
      <c r="G6" t="n">
        <v>20</v>
      </c>
      <c r="H6" t="n">
        <v>30</v>
      </c>
      <c r="I6" t="n">
        <v>2</v>
      </c>
      <c r="J6" t="n">
        <v>14</v>
      </c>
      <c r="K6" t="n">
        <v>60</v>
      </c>
      <c r="L6" t="n">
        <v>1</v>
      </c>
      <c r="T6" t="n">
        <v>37</v>
      </c>
      <c r="U6" t="inlineStr">
        <is>
          <t>1W12</t>
        </is>
      </c>
      <c r="X6" t="n">
        <v>6</v>
      </c>
      <c r="Y6" t="inlineStr">
        <is>
          <t>+8</t>
        </is>
      </c>
      <c r="Z6" t="inlineStr">
        <is>
          <t>+5</t>
        </is>
      </c>
      <c r="AA6" t="inlineStr">
        <is>
          <t>-5</t>
        </is>
      </c>
      <c r="AB6" t="inlineStr">
        <is>
          <t>-21</t>
        </is>
      </c>
      <c r="AC6" t="inlineStr">
        <is>
          <t>x</t>
        </is>
      </c>
      <c r="AD6" t="inlineStr">
        <is>
          <t>x</t>
        </is>
      </c>
      <c r="AE6" t="inlineStr">
        <is>
          <t>20m</t>
        </is>
      </c>
      <c r="AF6" t="inlineStr">
        <is>
          <t>14sec</t>
        </is>
      </c>
      <c r="AG6" t="n">
        <v>4</v>
      </c>
      <c r="AI6" t="n">
        <v>4</v>
      </c>
      <c r="AJ6" t="inlineStr">
        <is>
          <t>800D</t>
        </is>
      </c>
      <c r="AO6" s="56" t="inlineStr">
        <is>
          <t>Stangenwaffen</t>
        </is>
      </c>
      <c r="AP6" s="56" t="inlineStr">
        <is>
          <t>Improvisierte Stangenwaffen</t>
        </is>
      </c>
      <c r="AQ6" s="56" t="n">
        <v>3</v>
      </c>
      <c r="AR6" s="56" t="inlineStr">
        <is>
          <t>W8</t>
        </is>
      </c>
      <c r="AS6" s="56" t="inlineStr">
        <is>
          <t>W4</t>
        </is>
      </c>
      <c r="AT6" s="56" t="n">
        <v>3</v>
      </c>
      <c r="AU6" s="56" t="n">
        <v>5</v>
      </c>
      <c r="AV6" s="56" t="n">
        <v>4</v>
      </c>
      <c r="AW6" s="56" t="n">
        <v>4</v>
      </c>
      <c r="AX6" t="n">
        <v>20</v>
      </c>
      <c r="AY6" s="56" t="n">
        <v>15</v>
      </c>
      <c r="AZ6" s="56" t="n">
        <v>5</v>
      </c>
      <c r="BA6" s="56" t="n">
        <v>6</v>
      </c>
    </row>
    <row r="7">
      <c r="A7" t="inlineStr">
        <is>
          <t>Repetier Armbrust (Daikini)</t>
        </is>
      </c>
      <c r="B7" t="inlineStr">
        <is>
          <t>Daikini</t>
        </is>
      </c>
      <c r="C7" t="inlineStr">
        <is>
          <t>Repetier-Armbrust</t>
        </is>
      </c>
      <c r="M7" t="n">
        <v>11</v>
      </c>
      <c r="N7" t="n">
        <v>6</v>
      </c>
      <c r="O7" t="n">
        <v>10</v>
      </c>
      <c r="P7" t="n">
        <v>1</v>
      </c>
      <c r="Q7" t="n">
        <v>16</v>
      </c>
      <c r="R7" t="n">
        <v>6</v>
      </c>
      <c r="U7" t="inlineStr">
        <is>
          <t>1W4</t>
        </is>
      </c>
      <c r="X7" t="n">
        <v>4</v>
      </c>
      <c r="Y7" t="inlineStr">
        <is>
          <t>+7</t>
        </is>
      </c>
      <c r="Z7" t="inlineStr">
        <is>
          <t>0</t>
        </is>
      </c>
      <c r="AA7" t="inlineStr">
        <is>
          <t>-17</t>
        </is>
      </c>
      <c r="AB7" t="inlineStr">
        <is>
          <t>-34</t>
        </is>
      </c>
      <c r="AC7" t="inlineStr">
        <is>
          <t>x</t>
        </is>
      </c>
      <c r="AD7" t="inlineStr">
        <is>
          <t>x</t>
        </is>
      </c>
      <c r="AE7" t="inlineStr">
        <is>
          <t>5m</t>
        </is>
      </c>
      <c r="AI7" t="n">
        <v>6</v>
      </c>
      <c r="AJ7" t="inlineStr">
        <is>
          <t>900D</t>
        </is>
      </c>
      <c r="AN7" t="inlineStr">
        <is>
          <t>Nur normale Bolzen mit normaler Spitze im 5-Schuss-Magazin, Nachladen immer 5 Schuss.</t>
        </is>
      </c>
      <c r="AO7" s="56" t="inlineStr">
        <is>
          <t>Stangenwaffen</t>
        </is>
      </c>
      <c r="AP7" s="56" t="inlineStr">
        <is>
          <t>Improvisierte Stangenwaffen</t>
        </is>
      </c>
      <c r="AQ7" s="56" t="n">
        <v>3</v>
      </c>
      <c r="AR7" s="56" t="inlineStr">
        <is>
          <t>W8</t>
        </is>
      </c>
      <c r="AS7" s="56" t="inlineStr">
        <is>
          <t>W4</t>
        </is>
      </c>
      <c r="AT7" s="56" t="n">
        <v>3</v>
      </c>
      <c r="AU7" s="56" t="n">
        <v>5</v>
      </c>
      <c r="AV7" s="56" t="n">
        <v>4</v>
      </c>
      <c r="AW7" s="56" t="n">
        <v>4</v>
      </c>
      <c r="AX7" s="56" t="n">
        <v>11</v>
      </c>
      <c r="AY7" s="56" t="n">
        <v>9</v>
      </c>
      <c r="AZ7" s="56" t="n">
        <v>5</v>
      </c>
      <c r="BA7" s="56" t="n">
        <v>6</v>
      </c>
    </row>
    <row r="8">
      <c r="A8" t="inlineStr">
        <is>
          <t>Hand Armbrust (Goblin)</t>
        </is>
      </c>
      <c r="B8" t="inlineStr">
        <is>
          <t>Goblin</t>
        </is>
      </c>
      <c r="C8" t="inlineStr">
        <is>
          <t>Armbrust</t>
        </is>
      </c>
      <c r="D8" t="n">
        <v>7</v>
      </c>
      <c r="E8" t="n">
        <v>14</v>
      </c>
      <c r="F8" t="n">
        <v>4</v>
      </c>
      <c r="G8" t="n">
        <v>3</v>
      </c>
      <c r="H8" t="n">
        <v>30</v>
      </c>
      <c r="I8" t="n">
        <v>2</v>
      </c>
      <c r="J8" t="n">
        <v>1</v>
      </c>
      <c r="K8" t="n">
        <v>60</v>
      </c>
      <c r="L8" t="n">
        <v>1</v>
      </c>
      <c r="T8" t="n">
        <v>7</v>
      </c>
      <c r="U8" t="inlineStr">
        <is>
          <t>1W6</t>
        </is>
      </c>
      <c r="X8" t="n">
        <v>2</v>
      </c>
      <c r="Y8" t="inlineStr">
        <is>
          <t>+10</t>
        </is>
      </c>
      <c r="Z8" t="inlineStr">
        <is>
          <t>-4</t>
        </is>
      </c>
      <c r="AA8" t="inlineStr">
        <is>
          <t>-25</t>
        </is>
      </c>
      <c r="AB8" t="inlineStr">
        <is>
          <t>-39</t>
        </is>
      </c>
      <c r="AC8" t="inlineStr">
        <is>
          <t>x</t>
        </is>
      </c>
      <c r="AD8" t="inlineStr">
        <is>
          <t>x</t>
        </is>
      </c>
      <c r="AE8" t="inlineStr">
        <is>
          <t>5m</t>
        </is>
      </c>
      <c r="AF8" t="inlineStr">
        <is>
          <t>14sec</t>
        </is>
      </c>
      <c r="AG8" t="n">
        <v>4</v>
      </c>
      <c r="AI8" t="n">
        <v>3</v>
      </c>
      <c r="AJ8" t="inlineStr">
        <is>
          <t>75D</t>
        </is>
      </c>
      <c r="AO8" s="56" t="inlineStr">
        <is>
          <t>Stangenwaffen</t>
        </is>
      </c>
      <c r="AP8" s="56" t="inlineStr">
        <is>
          <t>Improvisierte Stangenwaffen</t>
        </is>
      </c>
      <c r="AQ8" s="56" t="n">
        <v>3</v>
      </c>
      <c r="AR8" s="56" t="inlineStr">
        <is>
          <t>W8</t>
        </is>
      </c>
      <c r="AS8" s="56" t="inlineStr">
        <is>
          <t>W4</t>
        </is>
      </c>
      <c r="AT8" s="56" t="n">
        <v>3</v>
      </c>
      <c r="AU8" s="56" t="n">
        <v>5</v>
      </c>
      <c r="AV8" s="56" t="n">
        <v>4</v>
      </c>
      <c r="AW8" s="56" t="n">
        <v>4</v>
      </c>
      <c r="AX8" t="n">
        <v>3</v>
      </c>
      <c r="AY8" s="56" t="n">
        <v>3</v>
      </c>
      <c r="AZ8" s="56" t="n">
        <v>5</v>
      </c>
      <c r="BA8" s="56" t="n">
        <v>6</v>
      </c>
    </row>
    <row r="9">
      <c r="A9" t="inlineStr">
        <is>
          <t>Leichte Armbrust (Goblin)</t>
        </is>
      </c>
      <c r="B9" t="inlineStr">
        <is>
          <t>Goblin</t>
        </is>
      </c>
      <c r="C9" t="inlineStr">
        <is>
          <t>Armbrust</t>
        </is>
      </c>
      <c r="D9" t="n">
        <v>10</v>
      </c>
      <c r="E9" t="n">
        <v>14</v>
      </c>
      <c r="F9" t="n">
        <v>4</v>
      </c>
      <c r="G9" t="n">
        <v>5</v>
      </c>
      <c r="H9" t="n">
        <v>30</v>
      </c>
      <c r="I9" t="n">
        <v>2</v>
      </c>
      <c r="J9" t="n">
        <v>2</v>
      </c>
      <c r="K9" t="n">
        <v>60</v>
      </c>
      <c r="L9" t="n">
        <v>1</v>
      </c>
      <c r="T9" t="n">
        <v>10</v>
      </c>
      <c r="U9" t="inlineStr">
        <is>
          <t>1W8</t>
        </is>
      </c>
      <c r="X9" t="n">
        <v>2</v>
      </c>
      <c r="Y9" t="inlineStr">
        <is>
          <t>+9</t>
        </is>
      </c>
      <c r="Z9" t="inlineStr">
        <is>
          <t>+3</t>
        </is>
      </c>
      <c r="AA9" t="inlineStr">
        <is>
          <t>-15</t>
        </is>
      </c>
      <c r="AB9" t="inlineStr">
        <is>
          <t>-32</t>
        </is>
      </c>
      <c r="AC9" t="inlineStr">
        <is>
          <t>x</t>
        </is>
      </c>
      <c r="AD9" t="inlineStr">
        <is>
          <t>x</t>
        </is>
      </c>
      <c r="AE9" t="inlineStr">
        <is>
          <t>10m</t>
        </is>
      </c>
      <c r="AF9" t="inlineStr">
        <is>
          <t>14sec</t>
        </is>
      </c>
      <c r="AG9" t="n">
        <v>4</v>
      </c>
      <c r="AI9" t="n">
        <v>1</v>
      </c>
      <c r="AJ9" t="inlineStr">
        <is>
          <t>90D</t>
        </is>
      </c>
      <c r="AO9" s="56" t="inlineStr">
        <is>
          <t>Stangenwaffen</t>
        </is>
      </c>
      <c r="AP9" s="56" t="inlineStr">
        <is>
          <t>Improvisierte Stangenwaffen</t>
        </is>
      </c>
      <c r="AQ9" s="56" t="n">
        <v>3</v>
      </c>
      <c r="AR9" s="56" t="inlineStr">
        <is>
          <t>W8</t>
        </is>
      </c>
      <c r="AS9" s="56" t="inlineStr">
        <is>
          <t>W4</t>
        </is>
      </c>
      <c r="AT9" s="56" t="n">
        <v>3</v>
      </c>
      <c r="AU9" s="56" t="n">
        <v>5</v>
      </c>
      <c r="AV9" s="56" t="n">
        <v>4</v>
      </c>
      <c r="AW9" s="56" t="n">
        <v>4</v>
      </c>
      <c r="AX9" t="n">
        <v>5</v>
      </c>
      <c r="AY9" s="56" t="n">
        <v>4</v>
      </c>
      <c r="AZ9" s="56" t="n">
        <v>5</v>
      </c>
      <c r="BA9" s="56" t="n">
        <v>6</v>
      </c>
    </row>
    <row r="10">
      <c r="A10" t="inlineStr">
        <is>
          <t>Mittelschwere Armbrust (Goblin)</t>
        </is>
      </c>
      <c r="B10" t="inlineStr">
        <is>
          <t>Goblin</t>
        </is>
      </c>
      <c r="C10" t="inlineStr">
        <is>
          <t>Armbrust</t>
        </is>
      </c>
      <c r="D10" t="n">
        <v>23</v>
      </c>
      <c r="E10" t="n">
        <v>14</v>
      </c>
      <c r="F10" t="n">
        <v>4</v>
      </c>
      <c r="G10" t="n">
        <v>10</v>
      </c>
      <c r="H10" t="n">
        <v>30</v>
      </c>
      <c r="I10" t="n">
        <v>2</v>
      </c>
      <c r="J10" t="n">
        <v>5</v>
      </c>
      <c r="K10" t="n">
        <v>60</v>
      </c>
      <c r="L10" t="n">
        <v>1</v>
      </c>
      <c r="T10" t="n">
        <v>23</v>
      </c>
      <c r="U10" t="inlineStr">
        <is>
          <t>1W10</t>
        </is>
      </c>
      <c r="X10" t="n">
        <v>4</v>
      </c>
      <c r="Y10" t="inlineStr">
        <is>
          <t>+8</t>
        </is>
      </c>
      <c r="Z10" t="inlineStr">
        <is>
          <t>+5</t>
        </is>
      </c>
      <c r="AA10" t="inlineStr">
        <is>
          <t>-10</t>
        </is>
      </c>
      <c r="AB10" t="inlineStr">
        <is>
          <t>-26</t>
        </is>
      </c>
      <c r="AC10" t="inlineStr">
        <is>
          <t>x</t>
        </is>
      </c>
      <c r="AD10" t="inlineStr">
        <is>
          <t>x</t>
        </is>
      </c>
      <c r="AE10" t="inlineStr">
        <is>
          <t>15m</t>
        </is>
      </c>
      <c r="AF10" t="inlineStr">
        <is>
          <t>14sec</t>
        </is>
      </c>
      <c r="AG10" t="n">
        <v>4</v>
      </c>
      <c r="AI10" t="n">
        <v>2</v>
      </c>
      <c r="AJ10" t="inlineStr">
        <is>
          <t>150D</t>
        </is>
      </c>
      <c r="AO10" s="56" t="inlineStr">
        <is>
          <t>Stangenwaffen</t>
        </is>
      </c>
      <c r="AP10" s="56" t="inlineStr">
        <is>
          <t>Improvisierte Stangenwaffen</t>
        </is>
      </c>
      <c r="AQ10" s="56" t="n">
        <v>3</v>
      </c>
      <c r="AR10" s="56" t="inlineStr">
        <is>
          <t>W8</t>
        </is>
      </c>
      <c r="AS10" s="56" t="inlineStr">
        <is>
          <t>W4</t>
        </is>
      </c>
      <c r="AT10" s="56" t="n">
        <v>3</v>
      </c>
      <c r="AU10" s="56" t="n">
        <v>5</v>
      </c>
      <c r="AV10" s="56" t="n">
        <v>4</v>
      </c>
      <c r="AW10" s="56" t="n">
        <v>4</v>
      </c>
      <c r="AX10" t="n">
        <v>10</v>
      </c>
      <c r="AY10" s="56" t="n">
        <v>8</v>
      </c>
      <c r="AZ10" s="56" t="n">
        <v>5</v>
      </c>
      <c r="BA10" s="56" t="n">
        <v>6</v>
      </c>
    </row>
    <row r="11">
      <c r="A11" t="inlineStr">
        <is>
          <t>Schwere Armbrust (Goblin)</t>
        </is>
      </c>
      <c r="B11" t="inlineStr">
        <is>
          <t>Goblin</t>
        </is>
      </c>
      <c r="C11" t="inlineStr">
        <is>
          <t>Armbrust</t>
        </is>
      </c>
      <c r="D11" t="n">
        <v>35</v>
      </c>
      <c r="E11" t="n">
        <v>14</v>
      </c>
      <c r="F11" t="n">
        <v>4</v>
      </c>
      <c r="G11" t="n">
        <v>18</v>
      </c>
      <c r="H11" t="n">
        <v>30</v>
      </c>
      <c r="I11" t="n">
        <v>2</v>
      </c>
      <c r="J11" t="n">
        <v>12</v>
      </c>
      <c r="K11" t="n">
        <v>60</v>
      </c>
      <c r="L11" t="n">
        <v>1</v>
      </c>
      <c r="T11" t="n">
        <v>35</v>
      </c>
      <c r="U11" t="inlineStr">
        <is>
          <t>1W12</t>
        </is>
      </c>
      <c r="X11" t="n">
        <v>5</v>
      </c>
      <c r="Y11" t="inlineStr">
        <is>
          <t>+7</t>
        </is>
      </c>
      <c r="Z11" t="inlineStr">
        <is>
          <t>+4</t>
        </is>
      </c>
      <c r="AA11" t="inlineStr">
        <is>
          <t>-6</t>
        </is>
      </c>
      <c r="AB11" t="inlineStr">
        <is>
          <t>-22</t>
        </is>
      </c>
      <c r="AC11" t="inlineStr">
        <is>
          <t>x</t>
        </is>
      </c>
      <c r="AD11" t="inlineStr">
        <is>
          <t>x</t>
        </is>
      </c>
      <c r="AE11" t="inlineStr">
        <is>
          <t>20m</t>
        </is>
      </c>
      <c r="AF11" t="inlineStr">
        <is>
          <t>14sec</t>
        </is>
      </c>
      <c r="AG11" t="n">
        <v>4</v>
      </c>
      <c r="AI11" t="n">
        <v>3</v>
      </c>
      <c r="AJ11" t="inlineStr">
        <is>
          <t>600D</t>
        </is>
      </c>
      <c r="AO11" s="56" t="inlineStr">
        <is>
          <t>Stangenwaffen</t>
        </is>
      </c>
      <c r="AP11" s="56" t="inlineStr">
        <is>
          <t>Improvisierte Stangenwaffen</t>
        </is>
      </c>
      <c r="AQ11" s="56" t="n">
        <v>3</v>
      </c>
      <c r="AR11" s="56" t="inlineStr">
        <is>
          <t>W8</t>
        </is>
      </c>
      <c r="AS11" s="56" t="inlineStr">
        <is>
          <t>W4</t>
        </is>
      </c>
      <c r="AT11" s="56" t="n">
        <v>3</v>
      </c>
      <c r="AU11" s="56" t="n">
        <v>5</v>
      </c>
      <c r="AV11" s="56" t="n">
        <v>4</v>
      </c>
      <c r="AW11" s="56" t="n">
        <v>4</v>
      </c>
      <c r="AX11" t="n">
        <v>18</v>
      </c>
      <c r="AY11" s="56" t="n">
        <v>14</v>
      </c>
      <c r="AZ11" s="56" t="n">
        <v>5</v>
      </c>
      <c r="BA11" s="56" t="n">
        <v>6</v>
      </c>
    </row>
    <row r="12">
      <c r="A12" t="inlineStr">
        <is>
          <t>Repetier Armbrust (Goblin)</t>
        </is>
      </c>
      <c r="B12" t="inlineStr">
        <is>
          <t>Goblin</t>
        </is>
      </c>
      <c r="C12" t="inlineStr">
        <is>
          <t>Repetier-Armbrust</t>
        </is>
      </c>
      <c r="M12" t="n">
        <v>9</v>
      </c>
      <c r="N12" t="n">
        <v>6</v>
      </c>
      <c r="O12" t="n">
        <v>10</v>
      </c>
      <c r="P12" t="n">
        <v>1</v>
      </c>
      <c r="Q12" t="n">
        <v>16</v>
      </c>
      <c r="R12" t="n">
        <v>6</v>
      </c>
      <c r="U12" t="inlineStr">
        <is>
          <t>1W4</t>
        </is>
      </c>
      <c r="X12" t="n">
        <v>3</v>
      </c>
      <c r="Y12" t="inlineStr">
        <is>
          <t>+6</t>
        </is>
      </c>
      <c r="Z12" t="inlineStr">
        <is>
          <t>-1</t>
        </is>
      </c>
      <c r="AA12" t="inlineStr">
        <is>
          <t>-18</t>
        </is>
      </c>
      <c r="AB12" t="inlineStr">
        <is>
          <t>-35</t>
        </is>
      </c>
      <c r="AC12" t="inlineStr">
        <is>
          <t>x</t>
        </is>
      </c>
      <c r="AD12" t="inlineStr">
        <is>
          <t>x</t>
        </is>
      </c>
      <c r="AE12" t="inlineStr">
        <is>
          <t>5m</t>
        </is>
      </c>
      <c r="AI12" t="n">
        <v>5</v>
      </c>
      <c r="AJ12" t="inlineStr">
        <is>
          <t>675D</t>
        </is>
      </c>
      <c r="AN12" t="inlineStr">
        <is>
          <t>Nur normale Bolzen mit normaler Spitze im 5-Schuss-Magazin, Nachladen immer 5 Schuss.</t>
        </is>
      </c>
      <c r="AO12" s="56" t="inlineStr">
        <is>
          <t>Stangenwaffen</t>
        </is>
      </c>
      <c r="AP12" s="56" t="inlineStr">
        <is>
          <t>Improvisierte Stangenwaffen</t>
        </is>
      </c>
      <c r="AQ12" s="56" t="n">
        <v>3</v>
      </c>
      <c r="AR12" s="56" t="inlineStr">
        <is>
          <t>W8</t>
        </is>
      </c>
      <c r="AS12" s="56" t="inlineStr">
        <is>
          <t>W4</t>
        </is>
      </c>
      <c r="AT12" s="56" t="n">
        <v>3</v>
      </c>
      <c r="AU12" s="56" t="n">
        <v>5</v>
      </c>
      <c r="AV12" s="56" t="n">
        <v>4</v>
      </c>
      <c r="AW12" s="56" t="n">
        <v>4</v>
      </c>
      <c r="AX12" s="56" t="n">
        <v>9</v>
      </c>
      <c r="AY12" s="56" t="n">
        <v>7</v>
      </c>
      <c r="AZ12" s="56" t="n">
        <v>5</v>
      </c>
      <c r="BA12" s="56" t="n">
        <v>6</v>
      </c>
    </row>
    <row r="13">
      <c r="A13" t="inlineStr">
        <is>
          <t>Hand Armbrust (Ork)</t>
        </is>
      </c>
      <c r="B13" t="inlineStr">
        <is>
          <t>Ork</t>
        </is>
      </c>
      <c r="C13" t="inlineStr">
        <is>
          <t>Armbrust</t>
        </is>
      </c>
      <c r="D13" t="n">
        <v>13</v>
      </c>
      <c r="E13" t="n">
        <v>14</v>
      </c>
      <c r="F13" t="n">
        <v>4</v>
      </c>
      <c r="G13" t="n">
        <v>9</v>
      </c>
      <c r="H13" t="n">
        <v>30</v>
      </c>
      <c r="I13" t="n">
        <v>2</v>
      </c>
      <c r="J13" t="n">
        <v>7</v>
      </c>
      <c r="K13" t="n">
        <v>60</v>
      </c>
      <c r="L13" t="n">
        <v>1</v>
      </c>
      <c r="T13" t="n">
        <v>13</v>
      </c>
      <c r="U13" t="inlineStr">
        <is>
          <t>1W6</t>
        </is>
      </c>
      <c r="X13" t="n">
        <v>4</v>
      </c>
      <c r="Y13" t="inlineStr">
        <is>
          <t>+11</t>
        </is>
      </c>
      <c r="Z13" t="inlineStr">
        <is>
          <t>-3</t>
        </is>
      </c>
      <c r="AA13" t="inlineStr">
        <is>
          <t>-24</t>
        </is>
      </c>
      <c r="AB13" t="inlineStr">
        <is>
          <t>-38</t>
        </is>
      </c>
      <c r="AC13" t="inlineStr">
        <is>
          <t>x</t>
        </is>
      </c>
      <c r="AD13" t="inlineStr">
        <is>
          <t>x</t>
        </is>
      </c>
      <c r="AE13" t="inlineStr">
        <is>
          <t>5m</t>
        </is>
      </c>
      <c r="AF13" t="inlineStr">
        <is>
          <t>14sec</t>
        </is>
      </c>
      <c r="AG13" t="n">
        <v>4</v>
      </c>
      <c r="AI13" t="n">
        <v>4</v>
      </c>
      <c r="AJ13" t="inlineStr">
        <is>
          <t>100D</t>
        </is>
      </c>
      <c r="AO13" s="56" t="inlineStr">
        <is>
          <t>Stangenwaffen</t>
        </is>
      </c>
      <c r="AP13" s="56" t="inlineStr">
        <is>
          <t>Improvisierte Stangenwaffen</t>
        </is>
      </c>
      <c r="AQ13" s="56" t="n">
        <v>3</v>
      </c>
      <c r="AR13" s="56" t="inlineStr">
        <is>
          <t>W8</t>
        </is>
      </c>
      <c r="AS13" s="56" t="inlineStr">
        <is>
          <t>W4</t>
        </is>
      </c>
      <c r="AT13" s="56" t="n">
        <v>3</v>
      </c>
      <c r="AU13" s="56" t="n">
        <v>5</v>
      </c>
      <c r="AV13" s="56" t="n">
        <v>4</v>
      </c>
      <c r="AW13" s="56" t="n">
        <v>4</v>
      </c>
      <c r="AX13" t="n">
        <v>9</v>
      </c>
      <c r="AY13" s="56" t="n">
        <v>7</v>
      </c>
      <c r="AZ13" s="56" t="n">
        <v>5</v>
      </c>
      <c r="BA13" s="56" t="n">
        <v>6</v>
      </c>
    </row>
    <row r="14">
      <c r="A14" t="inlineStr">
        <is>
          <t>Leichte Armbrust (Ork)</t>
        </is>
      </c>
      <c r="B14" t="inlineStr">
        <is>
          <t>Ork</t>
        </is>
      </c>
      <c r="C14" t="inlineStr">
        <is>
          <t>Armbrust</t>
        </is>
      </c>
      <c r="D14" t="n">
        <v>16</v>
      </c>
      <c r="E14" t="n">
        <v>14</v>
      </c>
      <c r="F14" t="n">
        <v>4</v>
      </c>
      <c r="G14" t="n">
        <v>11</v>
      </c>
      <c r="H14" t="n">
        <v>30</v>
      </c>
      <c r="I14" t="n">
        <v>2</v>
      </c>
      <c r="J14" t="n">
        <v>8</v>
      </c>
      <c r="K14" t="n">
        <v>60</v>
      </c>
      <c r="L14" t="n">
        <v>1</v>
      </c>
      <c r="T14" t="n">
        <v>16</v>
      </c>
      <c r="U14" t="inlineStr">
        <is>
          <t>1W8</t>
        </is>
      </c>
      <c r="X14" t="n">
        <v>5</v>
      </c>
      <c r="Y14" t="inlineStr">
        <is>
          <t>+10</t>
        </is>
      </c>
      <c r="Z14" t="inlineStr">
        <is>
          <t>+2</t>
        </is>
      </c>
      <c r="AA14" t="inlineStr">
        <is>
          <t>-14</t>
        </is>
      </c>
      <c r="AB14" t="inlineStr">
        <is>
          <t>-31</t>
        </is>
      </c>
      <c r="AC14" t="inlineStr">
        <is>
          <t>x</t>
        </is>
      </c>
      <c r="AD14" t="inlineStr">
        <is>
          <t>x</t>
        </is>
      </c>
      <c r="AE14" t="inlineStr">
        <is>
          <t>10m</t>
        </is>
      </c>
      <c r="AF14" t="inlineStr">
        <is>
          <t>14sec</t>
        </is>
      </c>
      <c r="AG14" t="n">
        <v>4</v>
      </c>
      <c r="AI14" t="n">
        <v>2</v>
      </c>
      <c r="AJ14" t="inlineStr">
        <is>
          <t>120D</t>
        </is>
      </c>
      <c r="AO14" s="56" t="inlineStr">
        <is>
          <t>Stangenwaffen</t>
        </is>
      </c>
      <c r="AP14" s="56" t="inlineStr">
        <is>
          <t>Improvisierte Stangenwaffen</t>
        </is>
      </c>
      <c r="AQ14" s="56" t="n">
        <v>3</v>
      </c>
      <c r="AR14" s="56" t="inlineStr">
        <is>
          <t>W8</t>
        </is>
      </c>
      <c r="AS14" s="56" t="inlineStr">
        <is>
          <t>W4</t>
        </is>
      </c>
      <c r="AT14" s="56" t="n">
        <v>3</v>
      </c>
      <c r="AU14" s="56" t="n">
        <v>5</v>
      </c>
      <c r="AV14" s="56" t="n">
        <v>4</v>
      </c>
      <c r="AW14" s="56" t="n">
        <v>4</v>
      </c>
      <c r="AX14" t="n">
        <v>11</v>
      </c>
      <c r="AY14" s="56" t="n">
        <v>9</v>
      </c>
      <c r="AZ14" s="56" t="n">
        <v>5</v>
      </c>
      <c r="BA14" s="56" t="n">
        <v>6</v>
      </c>
    </row>
    <row r="15">
      <c r="A15" t="inlineStr">
        <is>
          <t>Mittelschwere Armbrust (Ork)</t>
        </is>
      </c>
      <c r="B15" t="inlineStr">
        <is>
          <t>Ork</t>
        </is>
      </c>
      <c r="C15" t="inlineStr">
        <is>
          <t>Armbrust</t>
        </is>
      </c>
      <c r="D15" t="n">
        <v>29</v>
      </c>
      <c r="E15" t="n">
        <v>14</v>
      </c>
      <c r="F15" t="n">
        <v>4</v>
      </c>
      <c r="G15" t="n">
        <v>16</v>
      </c>
      <c r="H15" t="n">
        <v>30</v>
      </c>
      <c r="I15" t="n">
        <v>2</v>
      </c>
      <c r="J15" t="n">
        <v>11</v>
      </c>
      <c r="K15" t="n">
        <v>60</v>
      </c>
      <c r="L15" t="n">
        <v>1</v>
      </c>
      <c r="T15" t="n">
        <v>29</v>
      </c>
      <c r="U15" t="inlineStr">
        <is>
          <t>1W10</t>
        </is>
      </c>
      <c r="X15" t="n">
        <v>6</v>
      </c>
      <c r="Y15" t="inlineStr">
        <is>
          <t>+9</t>
        </is>
      </c>
      <c r="Z15" t="inlineStr">
        <is>
          <t>+6</t>
        </is>
      </c>
      <c r="AA15" t="inlineStr">
        <is>
          <t>-9</t>
        </is>
      </c>
      <c r="AB15" t="inlineStr">
        <is>
          <t>-25</t>
        </is>
      </c>
      <c r="AC15" t="inlineStr">
        <is>
          <t>x</t>
        </is>
      </c>
      <c r="AD15" t="inlineStr">
        <is>
          <t>x</t>
        </is>
      </c>
      <c r="AE15" t="inlineStr">
        <is>
          <t>15m</t>
        </is>
      </c>
      <c r="AF15" t="inlineStr">
        <is>
          <t>14sec</t>
        </is>
      </c>
      <c r="AG15" t="n">
        <v>4</v>
      </c>
      <c r="AI15" t="n">
        <v>3</v>
      </c>
      <c r="AJ15" t="inlineStr">
        <is>
          <t>200D</t>
        </is>
      </c>
      <c r="AO15" s="56" t="inlineStr">
        <is>
          <t>Stangenwaffen</t>
        </is>
      </c>
      <c r="AP15" s="56" t="inlineStr">
        <is>
          <t>Improvisierte Stangenwaffen</t>
        </is>
      </c>
      <c r="AQ15" s="56" t="n">
        <v>3</v>
      </c>
      <c r="AR15" s="56" t="inlineStr">
        <is>
          <t>W8</t>
        </is>
      </c>
      <c r="AS15" s="56" t="inlineStr">
        <is>
          <t>W4</t>
        </is>
      </c>
      <c r="AT15" s="56" t="n">
        <v>3</v>
      </c>
      <c r="AU15" s="56" t="n">
        <v>5</v>
      </c>
      <c r="AV15" s="56" t="n">
        <v>4</v>
      </c>
      <c r="AW15" s="56" t="n">
        <v>4</v>
      </c>
      <c r="AX15" t="n">
        <v>16</v>
      </c>
      <c r="AY15" s="56" t="n">
        <v>12</v>
      </c>
      <c r="AZ15" s="56" t="n">
        <v>5</v>
      </c>
      <c r="BA15" s="56" t="n">
        <v>6</v>
      </c>
    </row>
    <row r="16">
      <c r="A16" t="inlineStr">
        <is>
          <t>Schwere Armbrust (Ork)</t>
        </is>
      </c>
      <c r="B16" t="inlineStr">
        <is>
          <t>Ork</t>
        </is>
      </c>
      <c r="C16" t="inlineStr">
        <is>
          <t>Armbrust</t>
        </is>
      </c>
      <c r="D16" t="n">
        <v>41</v>
      </c>
      <c r="E16" t="n">
        <v>14</v>
      </c>
      <c r="F16" t="n">
        <v>4</v>
      </c>
      <c r="G16" t="n">
        <v>24</v>
      </c>
      <c r="H16" t="n">
        <v>30</v>
      </c>
      <c r="I16" t="n">
        <v>2</v>
      </c>
      <c r="J16" t="n">
        <v>18</v>
      </c>
      <c r="K16" t="n">
        <v>60</v>
      </c>
      <c r="L16" t="n">
        <v>1</v>
      </c>
      <c r="T16" t="n">
        <v>41</v>
      </c>
      <c r="U16" t="inlineStr">
        <is>
          <t>1W12</t>
        </is>
      </c>
      <c r="X16" t="n">
        <v>7</v>
      </c>
      <c r="Y16" t="inlineStr">
        <is>
          <t>+8</t>
        </is>
      </c>
      <c r="Z16" t="inlineStr">
        <is>
          <t>+5</t>
        </is>
      </c>
      <c r="AA16" t="inlineStr">
        <is>
          <t>-5</t>
        </is>
      </c>
      <c r="AB16" t="inlineStr">
        <is>
          <t>-21</t>
        </is>
      </c>
      <c r="AC16" t="inlineStr">
        <is>
          <t>x</t>
        </is>
      </c>
      <c r="AD16" t="inlineStr">
        <is>
          <t>x</t>
        </is>
      </c>
      <c r="AE16" t="inlineStr">
        <is>
          <t>20m</t>
        </is>
      </c>
      <c r="AF16" t="inlineStr">
        <is>
          <t>14sec</t>
        </is>
      </c>
      <c r="AG16" t="n">
        <v>4</v>
      </c>
      <c r="AI16" t="n">
        <v>4</v>
      </c>
      <c r="AJ16" t="inlineStr">
        <is>
          <t>800D</t>
        </is>
      </c>
      <c r="AO16" s="56" t="inlineStr">
        <is>
          <t>Stangenwaffen</t>
        </is>
      </c>
      <c r="AP16" s="56" t="inlineStr">
        <is>
          <t>Improvisierte Stangenwaffen</t>
        </is>
      </c>
      <c r="AQ16" s="56" t="n">
        <v>3</v>
      </c>
      <c r="AR16" s="56" t="inlineStr">
        <is>
          <t>W8</t>
        </is>
      </c>
      <c r="AS16" s="56" t="inlineStr">
        <is>
          <t>W4</t>
        </is>
      </c>
      <c r="AT16" s="56" t="n">
        <v>3</v>
      </c>
      <c r="AU16" s="56" t="n">
        <v>5</v>
      </c>
      <c r="AV16" s="56" t="n">
        <v>4</v>
      </c>
      <c r="AW16" s="56" t="n">
        <v>4</v>
      </c>
      <c r="AX16" t="n">
        <v>24</v>
      </c>
      <c r="AY16" s="56" t="n">
        <v>18</v>
      </c>
      <c r="AZ16" s="56" t="n">
        <v>5</v>
      </c>
      <c r="BA16" s="56" t="n">
        <v>6</v>
      </c>
    </row>
    <row r="17">
      <c r="A17" t="inlineStr">
        <is>
          <t>Schwerer Kriegsweiler</t>
        </is>
      </c>
      <c r="B17" t="inlineStr">
        <is>
          <t>Ork</t>
        </is>
      </c>
      <c r="C17" t="inlineStr">
        <is>
          <t>Armbrust</t>
        </is>
      </c>
      <c r="D17" t="n">
        <v>46</v>
      </c>
      <c r="E17" t="n">
        <v>15</v>
      </c>
      <c r="F17" t="n">
        <v>4</v>
      </c>
      <c r="G17" t="n">
        <v>29</v>
      </c>
      <c r="H17" t="n">
        <v>30</v>
      </c>
      <c r="I17" t="n">
        <v>2</v>
      </c>
      <c r="J17" t="n">
        <v>23</v>
      </c>
      <c r="K17" t="n">
        <v>60</v>
      </c>
      <c r="L17" t="n">
        <v>1</v>
      </c>
      <c r="T17" t="n">
        <v>46</v>
      </c>
      <c r="U17" t="inlineStr">
        <is>
          <t>1W15</t>
        </is>
      </c>
      <c r="X17" t="n">
        <v>7</v>
      </c>
      <c r="Y17" t="inlineStr">
        <is>
          <t>+8</t>
        </is>
      </c>
      <c r="Z17" t="inlineStr">
        <is>
          <t>+5</t>
        </is>
      </c>
      <c r="AA17" t="inlineStr">
        <is>
          <t>-5</t>
        </is>
      </c>
      <c r="AB17" t="inlineStr">
        <is>
          <t>-21</t>
        </is>
      </c>
      <c r="AC17" t="inlineStr">
        <is>
          <t>x</t>
        </is>
      </c>
      <c r="AD17" t="inlineStr">
        <is>
          <t>x</t>
        </is>
      </c>
      <c r="AE17" t="inlineStr">
        <is>
          <t>25m</t>
        </is>
      </c>
      <c r="AF17" t="inlineStr">
        <is>
          <t>15sec</t>
        </is>
      </c>
      <c r="AG17" t="n">
        <v>4</v>
      </c>
      <c r="AI17" t="n">
        <v>5</v>
      </c>
      <c r="AJ17" t="inlineStr">
        <is>
          <t>1500D</t>
        </is>
      </c>
      <c r="AO17" s="56" t="inlineStr">
        <is>
          <t>Stangenwaffen</t>
        </is>
      </c>
      <c r="AP17" s="56" t="inlineStr">
        <is>
          <t>Improvisierte Stangenwaffen</t>
        </is>
      </c>
      <c r="AQ17" s="56" t="n">
        <v>3</v>
      </c>
      <c r="AR17" s="56" t="inlineStr">
        <is>
          <t>W8</t>
        </is>
      </c>
      <c r="AS17" s="56" t="inlineStr">
        <is>
          <t>W4</t>
        </is>
      </c>
      <c r="AT17" s="56" t="n">
        <v>3</v>
      </c>
      <c r="AU17" s="56" t="n">
        <v>5</v>
      </c>
      <c r="AV17" s="56" t="n">
        <v>4</v>
      </c>
      <c r="AW17" s="56" t="n">
        <v>4</v>
      </c>
      <c r="AX17" t="n">
        <v>29</v>
      </c>
      <c r="AY17" s="56" t="n">
        <v>22</v>
      </c>
      <c r="AZ17" s="56" t="n">
        <v>5</v>
      </c>
      <c r="BA17" s="56" t="n">
        <v>6</v>
      </c>
    </row>
    <row r="18">
      <c r="A18" t="inlineStr">
        <is>
          <t>Repetier Armbrust (Ork)</t>
        </is>
      </c>
      <c r="B18" t="inlineStr">
        <is>
          <t>Ork</t>
        </is>
      </c>
      <c r="C18" t="inlineStr">
        <is>
          <t>Repetier-Armbrust</t>
        </is>
      </c>
      <c r="M18" t="n">
        <v>15</v>
      </c>
      <c r="N18" t="n">
        <v>6</v>
      </c>
      <c r="O18" t="n">
        <v>10</v>
      </c>
      <c r="P18" t="n">
        <v>1</v>
      </c>
      <c r="Q18" t="n">
        <v>16</v>
      </c>
      <c r="R18" t="n">
        <v>6</v>
      </c>
      <c r="U18" t="inlineStr">
        <is>
          <t>1W4</t>
        </is>
      </c>
      <c r="X18" t="n">
        <v>5</v>
      </c>
      <c r="Y18" t="inlineStr">
        <is>
          <t>+7</t>
        </is>
      </c>
      <c r="Z18" t="inlineStr">
        <is>
          <t>0</t>
        </is>
      </c>
      <c r="AA18" t="inlineStr">
        <is>
          <t>-17</t>
        </is>
      </c>
      <c r="AB18" t="inlineStr">
        <is>
          <t>-34</t>
        </is>
      </c>
      <c r="AC18" t="inlineStr">
        <is>
          <t>x</t>
        </is>
      </c>
      <c r="AD18" t="inlineStr">
        <is>
          <t>x</t>
        </is>
      </c>
      <c r="AE18" t="inlineStr">
        <is>
          <t>5m</t>
        </is>
      </c>
      <c r="AI18" t="n">
        <v>7</v>
      </c>
      <c r="AJ18" t="inlineStr">
        <is>
          <t>900D</t>
        </is>
      </c>
      <c r="AN18" t="inlineStr">
        <is>
          <t>Nur normale Bolzen mit normaler Spitze im 5-Schuss-Magazin, Nachladen immer 5 Schuss.</t>
        </is>
      </c>
      <c r="AO18" s="56" t="inlineStr">
        <is>
          <t>Stangenwaffen</t>
        </is>
      </c>
      <c r="AP18" s="56" t="inlineStr">
        <is>
          <t>Improvisierte Stangenwaffen</t>
        </is>
      </c>
      <c r="AQ18" s="56" t="n">
        <v>3</v>
      </c>
      <c r="AR18" s="56" t="inlineStr">
        <is>
          <t>W8</t>
        </is>
      </c>
      <c r="AS18" s="56" t="inlineStr">
        <is>
          <t>W4</t>
        </is>
      </c>
      <c r="AT18" s="56" t="n">
        <v>3</v>
      </c>
      <c r="AU18" s="56" t="n">
        <v>5</v>
      </c>
      <c r="AV18" s="56" t="n">
        <v>4</v>
      </c>
      <c r="AW18" s="56" t="n">
        <v>4</v>
      </c>
      <c r="AX18" s="56" t="n">
        <v>15</v>
      </c>
      <c r="AY18" s="56" t="n">
        <v>12</v>
      </c>
      <c r="AZ18" s="56" t="n">
        <v>5</v>
      </c>
      <c r="BA18" s="56" t="n">
        <v>6</v>
      </c>
    </row>
    <row r="19">
      <c r="A19" t="inlineStr">
        <is>
          <t>Hand Armbrust (Elf)</t>
        </is>
      </c>
      <c r="B19" t="inlineStr">
        <is>
          <t>Elf</t>
        </is>
      </c>
      <c r="C19" t="inlineStr">
        <is>
          <t>Armbrust</t>
        </is>
      </c>
      <c r="D19" t="n">
        <v>9</v>
      </c>
      <c r="E19" t="n">
        <v>14</v>
      </c>
      <c r="F19" t="n">
        <v>4</v>
      </c>
      <c r="G19" t="n">
        <v>5</v>
      </c>
      <c r="H19" t="n">
        <v>30</v>
      </c>
      <c r="I19" t="n">
        <v>2</v>
      </c>
      <c r="J19" t="n">
        <v>3</v>
      </c>
      <c r="K19" t="n">
        <v>60</v>
      </c>
      <c r="L19" t="n">
        <v>1</v>
      </c>
      <c r="T19" t="n">
        <v>9</v>
      </c>
      <c r="U19" t="inlineStr">
        <is>
          <t>1W6</t>
        </is>
      </c>
      <c r="X19" t="n">
        <v>2</v>
      </c>
      <c r="Y19" t="inlineStr">
        <is>
          <t>+13</t>
        </is>
      </c>
      <c r="Z19" t="inlineStr">
        <is>
          <t>-1</t>
        </is>
      </c>
      <c r="AA19" t="inlineStr">
        <is>
          <t>-22</t>
        </is>
      </c>
      <c r="AB19" t="inlineStr">
        <is>
          <t>-36</t>
        </is>
      </c>
      <c r="AC19" t="inlineStr">
        <is>
          <t>x</t>
        </is>
      </c>
      <c r="AD19" t="inlineStr">
        <is>
          <t>x</t>
        </is>
      </c>
      <c r="AE19" t="inlineStr">
        <is>
          <t>5m</t>
        </is>
      </c>
      <c r="AF19" t="inlineStr">
        <is>
          <t>14sec</t>
        </is>
      </c>
      <c r="AG19" t="n">
        <v>4</v>
      </c>
      <c r="AI19" t="n">
        <v>4</v>
      </c>
      <c r="AJ19" t="inlineStr">
        <is>
          <t>125D</t>
        </is>
      </c>
      <c r="AO19" s="56" t="inlineStr">
        <is>
          <t>Stangenwaffen</t>
        </is>
      </c>
      <c r="AP19" s="56" t="inlineStr">
        <is>
          <t>Improvisierte Stangenwaffen</t>
        </is>
      </c>
      <c r="AQ19" s="56" t="n">
        <v>3</v>
      </c>
      <c r="AR19" s="56" t="inlineStr">
        <is>
          <t>W8</t>
        </is>
      </c>
      <c r="AS19" s="56" t="inlineStr">
        <is>
          <t>W4</t>
        </is>
      </c>
      <c r="AT19" s="56" t="n">
        <v>3</v>
      </c>
      <c r="AU19" s="56" t="n">
        <v>5</v>
      </c>
      <c r="AV19" s="56" t="n">
        <v>4</v>
      </c>
      <c r="AW19" s="56" t="n">
        <v>4</v>
      </c>
      <c r="AX19" t="n">
        <v>5</v>
      </c>
      <c r="AY19" s="56" t="n">
        <v>4</v>
      </c>
      <c r="AZ19" s="56" t="n">
        <v>5</v>
      </c>
      <c r="BA19" s="56" t="n">
        <v>6</v>
      </c>
    </row>
    <row r="20">
      <c r="A20" t="inlineStr">
        <is>
          <t>Leichte Armbrust (Elf)</t>
        </is>
      </c>
      <c r="B20" t="inlineStr">
        <is>
          <t>Elf</t>
        </is>
      </c>
      <c r="C20" t="inlineStr">
        <is>
          <t>Armbrust</t>
        </is>
      </c>
      <c r="D20" t="n">
        <v>12</v>
      </c>
      <c r="E20" t="n">
        <v>14</v>
      </c>
      <c r="F20" t="n">
        <v>4</v>
      </c>
      <c r="G20" t="n">
        <v>7</v>
      </c>
      <c r="H20" t="n">
        <v>30</v>
      </c>
      <c r="I20" t="n">
        <v>2</v>
      </c>
      <c r="J20" t="n">
        <v>4</v>
      </c>
      <c r="K20" t="n">
        <v>60</v>
      </c>
      <c r="L20" t="n">
        <v>1</v>
      </c>
      <c r="T20" t="n">
        <v>12</v>
      </c>
      <c r="U20" t="inlineStr">
        <is>
          <t>1W8</t>
        </is>
      </c>
      <c r="X20" t="n">
        <v>3</v>
      </c>
      <c r="Y20" t="inlineStr">
        <is>
          <t>+12</t>
        </is>
      </c>
      <c r="Z20" t="inlineStr">
        <is>
          <t>+4</t>
        </is>
      </c>
      <c r="AA20" t="inlineStr">
        <is>
          <t>-12</t>
        </is>
      </c>
      <c r="AB20" t="inlineStr">
        <is>
          <t>-29</t>
        </is>
      </c>
      <c r="AC20" t="inlineStr">
        <is>
          <t>x</t>
        </is>
      </c>
      <c r="AD20" t="inlineStr">
        <is>
          <t>x</t>
        </is>
      </c>
      <c r="AE20" t="inlineStr">
        <is>
          <t>10m</t>
        </is>
      </c>
      <c r="AF20" t="inlineStr">
        <is>
          <t>14sec</t>
        </is>
      </c>
      <c r="AG20" t="n">
        <v>4</v>
      </c>
      <c r="AI20" t="n">
        <v>2</v>
      </c>
      <c r="AJ20" t="inlineStr">
        <is>
          <t>150D</t>
        </is>
      </c>
      <c r="AO20" s="56" t="inlineStr">
        <is>
          <t>Stangenwaffen</t>
        </is>
      </c>
      <c r="AP20" s="56" t="inlineStr">
        <is>
          <t>Improvisierte Stangenwaffen</t>
        </is>
      </c>
      <c r="AQ20" s="56" t="n">
        <v>3</v>
      </c>
      <c r="AR20" s="56" t="inlineStr">
        <is>
          <t>W8</t>
        </is>
      </c>
      <c r="AS20" s="56" t="inlineStr">
        <is>
          <t>W4</t>
        </is>
      </c>
      <c r="AT20" s="56" t="n">
        <v>3</v>
      </c>
      <c r="AU20" s="56" t="n">
        <v>5</v>
      </c>
      <c r="AV20" s="56" t="n">
        <v>4</v>
      </c>
      <c r="AW20" s="56" t="n">
        <v>4</v>
      </c>
      <c r="AX20" t="n">
        <v>7</v>
      </c>
      <c r="AY20" s="56" t="n">
        <v>6</v>
      </c>
      <c r="AZ20" s="56" t="n">
        <v>5</v>
      </c>
      <c r="BA20" s="56" t="n">
        <v>6</v>
      </c>
    </row>
    <row r="21">
      <c r="A21" t="inlineStr">
        <is>
          <t>Mittelschwere Armbrust (Elf)</t>
        </is>
      </c>
      <c r="B21" t="inlineStr">
        <is>
          <t>Elf</t>
        </is>
      </c>
      <c r="C21" t="inlineStr">
        <is>
          <t>Armbrust</t>
        </is>
      </c>
      <c r="D21" t="n">
        <v>25</v>
      </c>
      <c r="E21" t="n">
        <v>14</v>
      </c>
      <c r="F21" t="n">
        <v>4</v>
      </c>
      <c r="G21" t="n">
        <v>12</v>
      </c>
      <c r="H21" t="n">
        <v>30</v>
      </c>
      <c r="I21" t="n">
        <v>2</v>
      </c>
      <c r="J21" t="n">
        <v>7</v>
      </c>
      <c r="K21" t="n">
        <v>60</v>
      </c>
      <c r="L21" t="n">
        <v>1</v>
      </c>
      <c r="T21" t="n">
        <v>25</v>
      </c>
      <c r="U21" t="inlineStr">
        <is>
          <t>1W10</t>
        </is>
      </c>
      <c r="X21" t="n">
        <v>4</v>
      </c>
      <c r="Y21" t="inlineStr">
        <is>
          <t>+11</t>
        </is>
      </c>
      <c r="Z21" t="inlineStr">
        <is>
          <t>+7</t>
        </is>
      </c>
      <c r="AA21" t="inlineStr">
        <is>
          <t>-7</t>
        </is>
      </c>
      <c r="AB21" t="inlineStr">
        <is>
          <t>-23</t>
        </is>
      </c>
      <c r="AC21" t="inlineStr">
        <is>
          <t>x</t>
        </is>
      </c>
      <c r="AD21" t="inlineStr">
        <is>
          <t>x</t>
        </is>
      </c>
      <c r="AE21" t="inlineStr">
        <is>
          <t>15m</t>
        </is>
      </c>
      <c r="AF21" t="inlineStr">
        <is>
          <t>14sec</t>
        </is>
      </c>
      <c r="AG21" t="n">
        <v>4</v>
      </c>
      <c r="AI21" t="n">
        <v>3</v>
      </c>
      <c r="AJ21" t="inlineStr">
        <is>
          <t>250D</t>
        </is>
      </c>
      <c r="AO21" s="56" t="inlineStr">
        <is>
          <t>Stangenwaffen</t>
        </is>
      </c>
      <c r="AP21" s="56" t="inlineStr">
        <is>
          <t>Improvisierte Stangenwaffen</t>
        </is>
      </c>
      <c r="AQ21" s="56" t="n">
        <v>3</v>
      </c>
      <c r="AR21" s="56" t="inlineStr">
        <is>
          <t>W8</t>
        </is>
      </c>
      <c r="AS21" s="56" t="inlineStr">
        <is>
          <t>W4</t>
        </is>
      </c>
      <c r="AT21" s="56" t="n">
        <v>3</v>
      </c>
      <c r="AU21" s="56" t="n">
        <v>5</v>
      </c>
      <c r="AV21" s="56" t="n">
        <v>4</v>
      </c>
      <c r="AW21" s="56" t="n">
        <v>4</v>
      </c>
      <c r="AX21" t="n">
        <v>12</v>
      </c>
      <c r="AY21" s="56" t="n">
        <v>9</v>
      </c>
      <c r="AZ21" s="56" t="n">
        <v>5</v>
      </c>
      <c r="BA21" s="56" t="n">
        <v>6</v>
      </c>
    </row>
    <row r="22">
      <c r="A22" t="inlineStr">
        <is>
          <t>Schwere Armbrust (Elf)</t>
        </is>
      </c>
      <c r="B22" t="inlineStr">
        <is>
          <t>Elf</t>
        </is>
      </c>
      <c r="C22" t="inlineStr">
        <is>
          <t>Armbrust</t>
        </is>
      </c>
      <c r="D22" t="n">
        <v>37</v>
      </c>
      <c r="E22" t="n">
        <v>14</v>
      </c>
      <c r="F22" t="n">
        <v>4</v>
      </c>
      <c r="G22" t="n">
        <v>20</v>
      </c>
      <c r="H22" t="n">
        <v>30</v>
      </c>
      <c r="I22" t="n">
        <v>2</v>
      </c>
      <c r="J22" t="n">
        <v>14</v>
      </c>
      <c r="K22" t="n">
        <v>60</v>
      </c>
      <c r="L22" t="n">
        <v>1</v>
      </c>
      <c r="T22" t="n">
        <v>37</v>
      </c>
      <c r="U22" t="inlineStr">
        <is>
          <t>1W12</t>
        </is>
      </c>
      <c r="X22" t="n">
        <v>5</v>
      </c>
      <c r="Y22" t="inlineStr">
        <is>
          <t>+10</t>
        </is>
      </c>
      <c r="Z22" t="inlineStr">
        <is>
          <t>+6</t>
        </is>
      </c>
      <c r="AA22" t="inlineStr">
        <is>
          <t>-3</t>
        </is>
      </c>
      <c r="AB22" t="inlineStr">
        <is>
          <t>-19</t>
        </is>
      </c>
      <c r="AC22" t="inlineStr">
        <is>
          <t>x</t>
        </is>
      </c>
      <c r="AD22" t="inlineStr">
        <is>
          <t>x</t>
        </is>
      </c>
      <c r="AE22" t="inlineStr">
        <is>
          <t>20m</t>
        </is>
      </c>
      <c r="AF22" t="inlineStr">
        <is>
          <t>14sec</t>
        </is>
      </c>
      <c r="AG22" t="n">
        <v>4</v>
      </c>
      <c r="AI22" t="n">
        <v>4</v>
      </c>
      <c r="AJ22" t="inlineStr">
        <is>
          <t>1000D</t>
        </is>
      </c>
      <c r="AO22" s="56" t="inlineStr">
        <is>
          <t>Stangenwaffen</t>
        </is>
      </c>
      <c r="AP22" s="56" t="inlineStr">
        <is>
          <t>Improvisierte Stangenwaffen</t>
        </is>
      </c>
      <c r="AQ22" s="56" t="n">
        <v>3</v>
      </c>
      <c r="AR22" s="56" t="inlineStr">
        <is>
          <t>W8</t>
        </is>
      </c>
      <c r="AS22" s="56" t="inlineStr">
        <is>
          <t>W4</t>
        </is>
      </c>
      <c r="AT22" s="56" t="n">
        <v>3</v>
      </c>
      <c r="AU22" s="56" t="n">
        <v>5</v>
      </c>
      <c r="AV22" s="56" t="n">
        <v>4</v>
      </c>
      <c r="AW22" s="56" t="n">
        <v>4</v>
      </c>
      <c r="AX22" t="n">
        <v>20</v>
      </c>
      <c r="AY22" s="56" t="n">
        <v>15</v>
      </c>
      <c r="AZ22" s="56" t="n">
        <v>5</v>
      </c>
      <c r="BA22" s="56" t="n">
        <v>6</v>
      </c>
    </row>
    <row r="23">
      <c r="A23" t="inlineStr">
        <is>
          <t>Repetier Armbrust (Elf)</t>
        </is>
      </c>
      <c r="B23" t="inlineStr">
        <is>
          <t>Elf</t>
        </is>
      </c>
      <c r="C23" t="inlineStr">
        <is>
          <t>Repetier-Armbrust</t>
        </is>
      </c>
      <c r="M23" t="n">
        <v>11</v>
      </c>
      <c r="N23" t="n">
        <v>6</v>
      </c>
      <c r="O23" t="n">
        <v>10</v>
      </c>
      <c r="P23" t="n">
        <v>1</v>
      </c>
      <c r="Q23" t="n">
        <v>16</v>
      </c>
      <c r="R23" t="n">
        <v>6</v>
      </c>
      <c r="U23" t="inlineStr">
        <is>
          <t>1W4</t>
        </is>
      </c>
      <c r="X23" t="n">
        <v>3</v>
      </c>
      <c r="Y23" t="inlineStr">
        <is>
          <t>+9</t>
        </is>
      </c>
      <c r="Z23" t="inlineStr">
        <is>
          <t>+2</t>
        </is>
      </c>
      <c r="AA23" t="inlineStr">
        <is>
          <t>-15</t>
        </is>
      </c>
      <c r="AB23" t="inlineStr">
        <is>
          <t>-32</t>
        </is>
      </c>
      <c r="AC23" t="inlineStr">
        <is>
          <t>x</t>
        </is>
      </c>
      <c r="AD23" t="inlineStr">
        <is>
          <t>x</t>
        </is>
      </c>
      <c r="AE23" t="inlineStr">
        <is>
          <t>5m</t>
        </is>
      </c>
      <c r="AI23" t="n">
        <v>6</v>
      </c>
      <c r="AJ23" t="inlineStr">
        <is>
          <t>1125D</t>
        </is>
      </c>
      <c r="AN23" t="inlineStr">
        <is>
          <t>Nur normale Bolzen mit normaler Spitze im 5-Schuss-Magazin, Nachladen immer 5 Schuss.</t>
        </is>
      </c>
      <c r="AO23" s="56" t="inlineStr">
        <is>
          <t>Stangenwaffen</t>
        </is>
      </c>
      <c r="AP23" s="56" t="inlineStr">
        <is>
          <t>Improvisierte Stangenwaffen</t>
        </is>
      </c>
      <c r="AQ23" s="56" t="n">
        <v>3</v>
      </c>
      <c r="AR23" s="56" t="inlineStr">
        <is>
          <t>W8</t>
        </is>
      </c>
      <c r="AS23" s="56" t="inlineStr">
        <is>
          <t>W4</t>
        </is>
      </c>
      <c r="AT23" s="56" t="n">
        <v>3</v>
      </c>
      <c r="AU23" s="56" t="n">
        <v>5</v>
      </c>
      <c r="AV23" s="56" t="n">
        <v>4</v>
      </c>
      <c r="AW23" s="56" t="n">
        <v>4</v>
      </c>
      <c r="AX23" s="56" t="n">
        <v>11</v>
      </c>
      <c r="AY23" s="56" t="n">
        <v>9</v>
      </c>
      <c r="AZ23" s="56" t="n">
        <v>5</v>
      </c>
      <c r="BA23" s="56" t="n">
        <v>6</v>
      </c>
    </row>
    <row r="24">
      <c r="A24" t="inlineStr">
        <is>
          <t>Hand Armbrust (Drow)</t>
        </is>
      </c>
      <c r="B24" t="inlineStr">
        <is>
          <t>Drow</t>
        </is>
      </c>
      <c r="C24" t="inlineStr">
        <is>
          <t>Armbrust</t>
        </is>
      </c>
      <c r="D24" t="n">
        <v>9</v>
      </c>
      <c r="E24" t="n">
        <v>14</v>
      </c>
      <c r="F24" t="n">
        <v>4</v>
      </c>
      <c r="G24" t="n">
        <v>5</v>
      </c>
      <c r="H24" t="n">
        <v>30</v>
      </c>
      <c r="I24" t="n">
        <v>2</v>
      </c>
      <c r="J24" t="n">
        <v>3</v>
      </c>
      <c r="K24" t="n">
        <v>60</v>
      </c>
      <c r="L24" t="n">
        <v>1</v>
      </c>
      <c r="T24" t="n">
        <v>9</v>
      </c>
      <c r="U24" t="inlineStr">
        <is>
          <t>1W6</t>
        </is>
      </c>
      <c r="W24" t="inlineStr">
        <is>
          <t>+1</t>
        </is>
      </c>
      <c r="X24" t="n">
        <v>3</v>
      </c>
      <c r="Y24" t="inlineStr">
        <is>
          <t>+10</t>
        </is>
      </c>
      <c r="Z24" t="inlineStr">
        <is>
          <t>-4</t>
        </is>
      </c>
      <c r="AA24" t="inlineStr">
        <is>
          <t>-25</t>
        </is>
      </c>
      <c r="AB24" t="inlineStr">
        <is>
          <t>-39</t>
        </is>
      </c>
      <c r="AC24" t="inlineStr">
        <is>
          <t>x</t>
        </is>
      </c>
      <c r="AD24" t="inlineStr">
        <is>
          <t>x</t>
        </is>
      </c>
      <c r="AE24" t="inlineStr">
        <is>
          <t>5m</t>
        </is>
      </c>
      <c r="AF24" t="inlineStr">
        <is>
          <t>14sec</t>
        </is>
      </c>
      <c r="AG24" t="n">
        <v>4</v>
      </c>
      <c r="AI24" t="n">
        <v>4</v>
      </c>
      <c r="AJ24" t="inlineStr">
        <is>
          <t>120D</t>
        </is>
      </c>
      <c r="AO24" s="56" t="inlineStr">
        <is>
          <t>Stangenwaffen</t>
        </is>
      </c>
      <c r="AP24" s="56" t="inlineStr">
        <is>
          <t>Improvisierte Stangenwaffen</t>
        </is>
      </c>
      <c r="AQ24" s="56" t="n">
        <v>3</v>
      </c>
      <c r="AR24" s="56" t="inlineStr">
        <is>
          <t>W8</t>
        </is>
      </c>
      <c r="AS24" s="56" t="inlineStr">
        <is>
          <t>W4</t>
        </is>
      </c>
      <c r="AT24" s="56" t="n">
        <v>3</v>
      </c>
      <c r="AU24" s="56" t="n">
        <v>5</v>
      </c>
      <c r="AV24" s="56" t="n">
        <v>4</v>
      </c>
      <c r="AW24" s="56" t="n">
        <v>4</v>
      </c>
      <c r="AX24" t="n">
        <v>5</v>
      </c>
      <c r="AY24" s="56" t="n">
        <v>4</v>
      </c>
      <c r="AZ24" s="56" t="n">
        <v>5</v>
      </c>
      <c r="BA24" s="56" t="n">
        <v>6</v>
      </c>
    </row>
    <row r="25">
      <c r="A25" t="inlineStr">
        <is>
          <t>Leichte Armbrust (Drow)</t>
        </is>
      </c>
      <c r="B25" t="inlineStr">
        <is>
          <t>Drow</t>
        </is>
      </c>
      <c r="C25" t="inlineStr">
        <is>
          <t>Armbrust</t>
        </is>
      </c>
      <c r="D25" t="n">
        <v>12</v>
      </c>
      <c r="E25" t="n">
        <v>14</v>
      </c>
      <c r="F25" t="n">
        <v>4</v>
      </c>
      <c r="G25" t="n">
        <v>7</v>
      </c>
      <c r="H25" t="n">
        <v>30</v>
      </c>
      <c r="I25" t="n">
        <v>2</v>
      </c>
      <c r="J25" t="n">
        <v>4</v>
      </c>
      <c r="K25" t="n">
        <v>60</v>
      </c>
      <c r="L25" t="n">
        <v>1</v>
      </c>
      <c r="T25" t="n">
        <v>12</v>
      </c>
      <c r="U25" t="inlineStr">
        <is>
          <t>1W8</t>
        </is>
      </c>
      <c r="W25" t="inlineStr">
        <is>
          <t>+1</t>
        </is>
      </c>
      <c r="X25" t="n">
        <v>4</v>
      </c>
      <c r="Y25" t="inlineStr">
        <is>
          <t>+9</t>
        </is>
      </c>
      <c r="Z25" t="inlineStr">
        <is>
          <t>+1</t>
        </is>
      </c>
      <c r="AA25" t="inlineStr">
        <is>
          <t>-15</t>
        </is>
      </c>
      <c r="AB25" t="inlineStr">
        <is>
          <t>-32</t>
        </is>
      </c>
      <c r="AC25" t="inlineStr">
        <is>
          <t>x</t>
        </is>
      </c>
      <c r="AD25" t="inlineStr">
        <is>
          <t>x</t>
        </is>
      </c>
      <c r="AE25" t="inlineStr">
        <is>
          <t>10m</t>
        </is>
      </c>
      <c r="AF25" t="inlineStr">
        <is>
          <t>14sec</t>
        </is>
      </c>
      <c r="AG25" t="n">
        <v>4</v>
      </c>
      <c r="AI25" t="n">
        <v>2</v>
      </c>
      <c r="AJ25" t="inlineStr">
        <is>
          <t>145D</t>
        </is>
      </c>
      <c r="AO25" s="56" t="inlineStr">
        <is>
          <t>Stangenwaffen</t>
        </is>
      </c>
      <c r="AP25" s="56" t="inlineStr">
        <is>
          <t>Improvisierte Stangenwaffen</t>
        </is>
      </c>
      <c r="AQ25" s="56" t="n">
        <v>3</v>
      </c>
      <c r="AR25" s="56" t="inlineStr">
        <is>
          <t>W8</t>
        </is>
      </c>
      <c r="AS25" s="56" t="inlineStr">
        <is>
          <t>W4</t>
        </is>
      </c>
      <c r="AT25" s="56" t="n">
        <v>3</v>
      </c>
      <c r="AU25" s="56" t="n">
        <v>5</v>
      </c>
      <c r="AV25" s="56" t="n">
        <v>4</v>
      </c>
      <c r="AW25" s="56" t="n">
        <v>4</v>
      </c>
      <c r="AX25" t="n">
        <v>7</v>
      </c>
      <c r="AY25" s="56" t="n">
        <v>6</v>
      </c>
      <c r="AZ25" s="56" t="n">
        <v>5</v>
      </c>
      <c r="BA25" s="56" t="n">
        <v>6</v>
      </c>
    </row>
    <row r="26">
      <c r="A26" t="inlineStr">
        <is>
          <t>Mittelschwere Armbrust (Drow)</t>
        </is>
      </c>
      <c r="B26" t="inlineStr">
        <is>
          <t>Drow</t>
        </is>
      </c>
      <c r="C26" t="inlineStr">
        <is>
          <t>Armbrust</t>
        </is>
      </c>
      <c r="D26" t="n">
        <v>25</v>
      </c>
      <c r="E26" t="n">
        <v>14</v>
      </c>
      <c r="F26" t="n">
        <v>4</v>
      </c>
      <c r="G26" t="n">
        <v>12</v>
      </c>
      <c r="H26" t="n">
        <v>30</v>
      </c>
      <c r="I26" t="n">
        <v>2</v>
      </c>
      <c r="J26" t="n">
        <v>7</v>
      </c>
      <c r="K26" t="n">
        <v>60</v>
      </c>
      <c r="L26" t="n">
        <v>1</v>
      </c>
      <c r="T26" t="n">
        <v>25</v>
      </c>
      <c r="U26" t="inlineStr">
        <is>
          <t>1W10</t>
        </is>
      </c>
      <c r="W26" t="inlineStr">
        <is>
          <t>+1</t>
        </is>
      </c>
      <c r="X26" t="n">
        <v>5</v>
      </c>
      <c r="Y26" t="inlineStr">
        <is>
          <t>+8</t>
        </is>
      </c>
      <c r="Z26" t="inlineStr">
        <is>
          <t>+5</t>
        </is>
      </c>
      <c r="AA26" t="inlineStr">
        <is>
          <t>-10</t>
        </is>
      </c>
      <c r="AB26" t="inlineStr">
        <is>
          <t>-26</t>
        </is>
      </c>
      <c r="AC26" t="inlineStr">
        <is>
          <t>x</t>
        </is>
      </c>
      <c r="AD26" t="inlineStr">
        <is>
          <t>x</t>
        </is>
      </c>
      <c r="AE26" t="inlineStr">
        <is>
          <t>15m</t>
        </is>
      </c>
      <c r="AF26" t="inlineStr">
        <is>
          <t>14sec</t>
        </is>
      </c>
      <c r="AG26" t="n">
        <v>4</v>
      </c>
      <c r="AI26" t="n">
        <v>3</v>
      </c>
      <c r="AJ26" t="inlineStr">
        <is>
          <t>245D</t>
        </is>
      </c>
      <c r="AO26" s="56" t="inlineStr">
        <is>
          <t>Stangenwaffen</t>
        </is>
      </c>
      <c r="AP26" s="56" t="inlineStr">
        <is>
          <t>Improvisierte Stangenwaffen</t>
        </is>
      </c>
      <c r="AQ26" s="56" t="n">
        <v>3</v>
      </c>
      <c r="AR26" s="56" t="inlineStr">
        <is>
          <t>W8</t>
        </is>
      </c>
      <c r="AS26" s="56" t="inlineStr">
        <is>
          <t>W4</t>
        </is>
      </c>
      <c r="AT26" s="56" t="n">
        <v>3</v>
      </c>
      <c r="AU26" s="56" t="n">
        <v>5</v>
      </c>
      <c r="AV26" s="56" t="n">
        <v>4</v>
      </c>
      <c r="AW26" s="56" t="n">
        <v>4</v>
      </c>
      <c r="AX26" t="n">
        <v>12</v>
      </c>
      <c r="AY26" s="56" t="n">
        <v>9</v>
      </c>
      <c r="AZ26" s="56" t="n">
        <v>5</v>
      </c>
      <c r="BA26" s="56" t="n">
        <v>6</v>
      </c>
    </row>
    <row r="27">
      <c r="A27" t="inlineStr">
        <is>
          <t>Schwere Armbrust (Drow)</t>
        </is>
      </c>
      <c r="B27" t="inlineStr">
        <is>
          <t>Drow</t>
        </is>
      </c>
      <c r="C27" t="inlineStr">
        <is>
          <t>Armbrust</t>
        </is>
      </c>
      <c r="D27" t="n">
        <v>37</v>
      </c>
      <c r="E27" t="n">
        <v>14</v>
      </c>
      <c r="F27" t="n">
        <v>4</v>
      </c>
      <c r="G27" t="n">
        <v>20</v>
      </c>
      <c r="H27" t="n">
        <v>30</v>
      </c>
      <c r="I27" t="n">
        <v>2</v>
      </c>
      <c r="J27" t="n">
        <v>14</v>
      </c>
      <c r="K27" t="n">
        <v>60</v>
      </c>
      <c r="L27" t="n">
        <v>1</v>
      </c>
      <c r="T27" t="n">
        <v>37</v>
      </c>
      <c r="U27" t="inlineStr">
        <is>
          <t>1W12</t>
        </is>
      </c>
      <c r="W27" t="inlineStr">
        <is>
          <t>+1</t>
        </is>
      </c>
      <c r="X27" t="n">
        <v>6</v>
      </c>
      <c r="Y27" t="inlineStr">
        <is>
          <t>+7</t>
        </is>
      </c>
      <c r="Z27" t="inlineStr">
        <is>
          <t>+4</t>
        </is>
      </c>
      <c r="AA27" t="inlineStr">
        <is>
          <t>-6</t>
        </is>
      </c>
      <c r="AB27" t="inlineStr">
        <is>
          <t>-22</t>
        </is>
      </c>
      <c r="AC27" t="inlineStr">
        <is>
          <t>x</t>
        </is>
      </c>
      <c r="AD27" t="inlineStr">
        <is>
          <t>x</t>
        </is>
      </c>
      <c r="AE27" t="inlineStr">
        <is>
          <t>20m</t>
        </is>
      </c>
      <c r="AF27" t="inlineStr">
        <is>
          <t>14sec</t>
        </is>
      </c>
      <c r="AG27" t="n">
        <v>4</v>
      </c>
      <c r="AI27" t="n">
        <v>4</v>
      </c>
      <c r="AJ27" t="inlineStr">
        <is>
          <t>995D</t>
        </is>
      </c>
      <c r="AO27" s="56" t="inlineStr">
        <is>
          <t>Stangenwaffen</t>
        </is>
      </c>
      <c r="AP27" s="56" t="inlineStr">
        <is>
          <t>Improvisierte Stangenwaffen</t>
        </is>
      </c>
      <c r="AQ27" s="56" t="n">
        <v>3</v>
      </c>
      <c r="AR27" s="56" t="inlineStr">
        <is>
          <t>W8</t>
        </is>
      </c>
      <c r="AS27" s="56" t="inlineStr">
        <is>
          <t>W4</t>
        </is>
      </c>
      <c r="AT27" s="56" t="n">
        <v>3</v>
      </c>
      <c r="AU27" s="56" t="n">
        <v>5</v>
      </c>
      <c r="AV27" s="56" t="n">
        <v>4</v>
      </c>
      <c r="AW27" s="56" t="n">
        <v>4</v>
      </c>
      <c r="AX27" t="n">
        <v>20</v>
      </c>
      <c r="AY27" s="56" t="n">
        <v>15</v>
      </c>
      <c r="AZ27" s="56" t="n">
        <v>5</v>
      </c>
      <c r="BA27" s="56" t="n">
        <v>6</v>
      </c>
    </row>
    <row r="28">
      <c r="A28" t="inlineStr">
        <is>
          <t>Repetier Armbrust (Drow)</t>
        </is>
      </c>
      <c r="B28" t="inlineStr">
        <is>
          <t>Drow</t>
        </is>
      </c>
      <c r="C28" t="inlineStr">
        <is>
          <t>Repetier-Armbrust</t>
        </is>
      </c>
      <c r="M28" t="n">
        <v>11</v>
      </c>
      <c r="N28" t="n">
        <v>6</v>
      </c>
      <c r="O28" t="n">
        <v>10</v>
      </c>
      <c r="P28" t="n">
        <v>1</v>
      </c>
      <c r="Q28" t="n">
        <v>16</v>
      </c>
      <c r="R28" t="n">
        <v>6</v>
      </c>
      <c r="U28" t="inlineStr">
        <is>
          <t>1W4</t>
        </is>
      </c>
      <c r="W28" t="inlineStr">
        <is>
          <t>+1</t>
        </is>
      </c>
      <c r="X28" t="n">
        <v>4</v>
      </c>
      <c r="Y28" t="inlineStr">
        <is>
          <t>+6</t>
        </is>
      </c>
      <c r="Z28" t="inlineStr">
        <is>
          <t>-1</t>
        </is>
      </c>
      <c r="AA28" t="inlineStr">
        <is>
          <t>-18</t>
        </is>
      </c>
      <c r="AB28" t="inlineStr">
        <is>
          <t>-35</t>
        </is>
      </c>
      <c r="AC28" t="inlineStr">
        <is>
          <t>x</t>
        </is>
      </c>
      <c r="AD28" t="inlineStr">
        <is>
          <t>x</t>
        </is>
      </c>
      <c r="AE28" t="inlineStr">
        <is>
          <t>5m</t>
        </is>
      </c>
      <c r="AI28" t="n">
        <v>6</v>
      </c>
      <c r="AJ28" t="inlineStr">
        <is>
          <t>1120D</t>
        </is>
      </c>
      <c r="AN28" t="inlineStr">
        <is>
          <t>Nur normale Bolzen mit normaler Spitze im 5-Schuss-Magazin, Nachladen immer 5 Schuss.</t>
        </is>
      </c>
      <c r="AO28" s="56" t="inlineStr">
        <is>
          <t>Stangenwaffen</t>
        </is>
      </c>
      <c r="AP28" s="56" t="inlineStr">
        <is>
          <t>Improvisierte Stangenwaffen</t>
        </is>
      </c>
      <c r="AQ28" s="56" t="n">
        <v>3</v>
      </c>
      <c r="AR28" s="56" t="inlineStr">
        <is>
          <t>W8</t>
        </is>
      </c>
      <c r="AS28" s="56" t="inlineStr">
        <is>
          <t>W4</t>
        </is>
      </c>
      <c r="AT28" s="56" t="n">
        <v>3</v>
      </c>
      <c r="AU28" s="56" t="n">
        <v>5</v>
      </c>
      <c r="AV28" s="56" t="n">
        <v>4</v>
      </c>
      <c r="AW28" s="56" t="n">
        <v>4</v>
      </c>
      <c r="AX28" s="56" t="n">
        <v>11</v>
      </c>
      <c r="AY28" s="56" t="n">
        <v>9</v>
      </c>
      <c r="AZ28" s="56" t="n">
        <v>5</v>
      </c>
      <c r="BA28" s="56" t="n">
        <v>6</v>
      </c>
    </row>
    <row r="29">
      <c r="A29" t="inlineStr">
        <is>
          <t>Hand Armbrust (Gnom)</t>
        </is>
      </c>
      <c r="B29" t="inlineStr">
        <is>
          <t>Gnom</t>
        </is>
      </c>
      <c r="C29" t="inlineStr">
        <is>
          <t>Armbrust</t>
        </is>
      </c>
      <c r="D29" t="n">
        <v>5</v>
      </c>
      <c r="E29" t="n">
        <v>14</v>
      </c>
      <c r="F29" t="n">
        <v>4</v>
      </c>
      <c r="G29" t="n">
        <v>1</v>
      </c>
      <c r="H29" t="n">
        <v>30</v>
      </c>
      <c r="I29" t="n">
        <v>2</v>
      </c>
      <c r="J29" t="n">
        <v>1</v>
      </c>
      <c r="K29" t="n">
        <v>60</v>
      </c>
      <c r="L29" t="n">
        <v>1</v>
      </c>
      <c r="T29" t="n">
        <v>5</v>
      </c>
      <c r="U29" t="inlineStr">
        <is>
          <t>1W2</t>
        </is>
      </c>
      <c r="X29" t="n">
        <v>2</v>
      </c>
      <c r="Y29" t="inlineStr">
        <is>
          <t>+11</t>
        </is>
      </c>
      <c r="Z29" t="inlineStr">
        <is>
          <t>-3</t>
        </is>
      </c>
      <c r="AA29" t="inlineStr">
        <is>
          <t>-24</t>
        </is>
      </c>
      <c r="AB29" t="inlineStr">
        <is>
          <t>-38</t>
        </is>
      </c>
      <c r="AC29" t="inlineStr">
        <is>
          <t>x</t>
        </is>
      </c>
      <c r="AD29" t="inlineStr">
        <is>
          <t>x</t>
        </is>
      </c>
      <c r="AE29" t="inlineStr">
        <is>
          <t>5m</t>
        </is>
      </c>
      <c r="AF29" t="inlineStr">
        <is>
          <t>14sec</t>
        </is>
      </c>
      <c r="AG29" t="n">
        <v>4</v>
      </c>
      <c r="AI29" t="n">
        <v>4</v>
      </c>
      <c r="AJ29" t="inlineStr">
        <is>
          <t>125D</t>
        </is>
      </c>
      <c r="AO29" s="56" t="inlineStr">
        <is>
          <t>Stangenwaffen</t>
        </is>
      </c>
      <c r="AP29" s="56" t="inlineStr">
        <is>
          <t>Improvisierte Stangenwaffen</t>
        </is>
      </c>
      <c r="AQ29" s="56" t="n">
        <v>3</v>
      </c>
      <c r="AR29" s="56" t="inlineStr">
        <is>
          <t>W8</t>
        </is>
      </c>
      <c r="AS29" s="56" t="inlineStr">
        <is>
          <t>W4</t>
        </is>
      </c>
      <c r="AT29" s="56" t="n">
        <v>3</v>
      </c>
      <c r="AU29" s="56" t="n">
        <v>5</v>
      </c>
      <c r="AV29" s="56" t="n">
        <v>4</v>
      </c>
      <c r="AW29" s="56" t="n">
        <v>4</v>
      </c>
      <c r="AX29" t="n">
        <v>1</v>
      </c>
      <c r="AY29" s="56" t="n">
        <v>1</v>
      </c>
      <c r="AZ29" s="56" t="n">
        <v>5</v>
      </c>
      <c r="BA29" s="56" t="n">
        <v>6</v>
      </c>
    </row>
    <row r="30">
      <c r="A30" t="inlineStr">
        <is>
          <t>Leichte Armbrust (Gnom)</t>
        </is>
      </c>
      <c r="B30" t="inlineStr">
        <is>
          <t>Gnom</t>
        </is>
      </c>
      <c r="C30" t="inlineStr">
        <is>
          <t>Armbrust</t>
        </is>
      </c>
      <c r="D30" t="n">
        <v>8</v>
      </c>
      <c r="E30" t="n">
        <v>14</v>
      </c>
      <c r="F30" t="n">
        <v>4</v>
      </c>
      <c r="G30" t="n">
        <v>3</v>
      </c>
      <c r="H30" t="n">
        <v>30</v>
      </c>
      <c r="I30" t="n">
        <v>2</v>
      </c>
      <c r="J30" t="n">
        <v>1</v>
      </c>
      <c r="K30" t="n">
        <v>60</v>
      </c>
      <c r="L30" t="n">
        <v>1</v>
      </c>
      <c r="T30" t="n">
        <v>8</v>
      </c>
      <c r="U30" t="inlineStr">
        <is>
          <t>1W4</t>
        </is>
      </c>
      <c r="X30" t="n">
        <v>2</v>
      </c>
      <c r="Y30" t="inlineStr">
        <is>
          <t>+10</t>
        </is>
      </c>
      <c r="Z30" t="inlineStr">
        <is>
          <t>+2</t>
        </is>
      </c>
      <c r="AA30" t="inlineStr">
        <is>
          <t>-14</t>
        </is>
      </c>
      <c r="AB30" t="inlineStr">
        <is>
          <t>-31</t>
        </is>
      </c>
      <c r="AC30" t="inlineStr">
        <is>
          <t>x</t>
        </is>
      </c>
      <c r="AD30" t="inlineStr">
        <is>
          <t>x</t>
        </is>
      </c>
      <c r="AE30" t="inlineStr">
        <is>
          <t>10m</t>
        </is>
      </c>
      <c r="AF30" t="inlineStr">
        <is>
          <t>14sec</t>
        </is>
      </c>
      <c r="AG30" t="n">
        <v>4</v>
      </c>
      <c r="AI30" t="n">
        <v>2</v>
      </c>
      <c r="AJ30" t="inlineStr">
        <is>
          <t>150D</t>
        </is>
      </c>
      <c r="AO30" s="56" t="inlineStr">
        <is>
          <t>Stangenwaffen</t>
        </is>
      </c>
      <c r="AP30" s="56" t="inlineStr">
        <is>
          <t>Improvisierte Stangenwaffen</t>
        </is>
      </c>
      <c r="AQ30" s="56" t="n">
        <v>3</v>
      </c>
      <c r="AR30" s="56" t="inlineStr">
        <is>
          <t>W8</t>
        </is>
      </c>
      <c r="AS30" s="56" t="inlineStr">
        <is>
          <t>W4</t>
        </is>
      </c>
      <c r="AT30" s="56" t="n">
        <v>3</v>
      </c>
      <c r="AU30" s="56" t="n">
        <v>5</v>
      </c>
      <c r="AV30" s="56" t="n">
        <v>4</v>
      </c>
      <c r="AW30" s="56" t="n">
        <v>4</v>
      </c>
      <c r="AX30" t="n">
        <v>3</v>
      </c>
      <c r="AY30" s="56" t="n">
        <v>3</v>
      </c>
      <c r="AZ30" s="56" t="n">
        <v>5</v>
      </c>
      <c r="BA30" s="56" t="n">
        <v>6</v>
      </c>
    </row>
    <row r="31">
      <c r="A31" t="inlineStr">
        <is>
          <t>Mittelschwere Armbrust (Gnom)</t>
        </is>
      </c>
      <c r="B31" t="inlineStr">
        <is>
          <t>Gnom</t>
        </is>
      </c>
      <c r="C31" t="inlineStr">
        <is>
          <t>Armbrust</t>
        </is>
      </c>
      <c r="D31" t="n">
        <v>21</v>
      </c>
      <c r="E31" t="n">
        <v>14</v>
      </c>
      <c r="F31" t="n">
        <v>4</v>
      </c>
      <c r="G31" t="n">
        <v>8</v>
      </c>
      <c r="H31" t="n">
        <v>30</v>
      </c>
      <c r="I31" t="n">
        <v>2</v>
      </c>
      <c r="J31" t="n">
        <v>3</v>
      </c>
      <c r="K31" t="n">
        <v>60</v>
      </c>
      <c r="L31" t="n">
        <v>1</v>
      </c>
      <c r="T31" t="n">
        <v>21</v>
      </c>
      <c r="U31" t="inlineStr">
        <is>
          <t>1W6</t>
        </is>
      </c>
      <c r="X31" t="n">
        <v>3</v>
      </c>
      <c r="Y31" t="inlineStr">
        <is>
          <t>+9</t>
        </is>
      </c>
      <c r="Z31" t="inlineStr">
        <is>
          <t>+6</t>
        </is>
      </c>
      <c r="AA31" t="inlineStr">
        <is>
          <t>-9</t>
        </is>
      </c>
      <c r="AB31" t="inlineStr">
        <is>
          <t>-25</t>
        </is>
      </c>
      <c r="AC31" t="inlineStr">
        <is>
          <t>x</t>
        </is>
      </c>
      <c r="AD31" t="inlineStr">
        <is>
          <t>x</t>
        </is>
      </c>
      <c r="AE31" t="inlineStr">
        <is>
          <t>15m</t>
        </is>
      </c>
      <c r="AF31" t="inlineStr">
        <is>
          <t>14sec</t>
        </is>
      </c>
      <c r="AG31" t="n">
        <v>4</v>
      </c>
      <c r="AI31" t="n">
        <v>3</v>
      </c>
      <c r="AJ31" t="inlineStr">
        <is>
          <t>250D</t>
        </is>
      </c>
      <c r="AO31" s="56" t="inlineStr">
        <is>
          <t>Stangenwaffen</t>
        </is>
      </c>
      <c r="AP31" s="56" t="inlineStr">
        <is>
          <t>Improvisierte Stangenwaffen</t>
        </is>
      </c>
      <c r="AQ31" s="56" t="n">
        <v>3</v>
      </c>
      <c r="AR31" s="56" t="inlineStr">
        <is>
          <t>W8</t>
        </is>
      </c>
      <c r="AS31" s="56" t="inlineStr">
        <is>
          <t>W4</t>
        </is>
      </c>
      <c r="AT31" s="56" t="n">
        <v>3</v>
      </c>
      <c r="AU31" s="56" t="n">
        <v>5</v>
      </c>
      <c r="AV31" s="56" t="n">
        <v>4</v>
      </c>
      <c r="AW31" s="56" t="n">
        <v>4</v>
      </c>
      <c r="AX31" t="n">
        <v>8</v>
      </c>
      <c r="AY31" s="56" t="n">
        <v>6</v>
      </c>
      <c r="AZ31" s="56" t="n">
        <v>5</v>
      </c>
      <c r="BA31" s="56" t="n">
        <v>6</v>
      </c>
    </row>
    <row r="32">
      <c r="A32" t="inlineStr">
        <is>
          <t>Schwere Armbrust (Gnom)</t>
        </is>
      </c>
      <c r="B32" t="inlineStr">
        <is>
          <t>Gnom</t>
        </is>
      </c>
      <c r="C32" t="inlineStr">
        <is>
          <t>Armbrust</t>
        </is>
      </c>
      <c r="D32" t="n">
        <v>33</v>
      </c>
      <c r="E32" t="n">
        <v>14</v>
      </c>
      <c r="F32" t="n">
        <v>4</v>
      </c>
      <c r="G32" t="n">
        <v>16</v>
      </c>
      <c r="H32" t="n">
        <v>30</v>
      </c>
      <c r="I32" t="n">
        <v>2</v>
      </c>
      <c r="J32" t="n">
        <v>10</v>
      </c>
      <c r="K32" t="n">
        <v>60</v>
      </c>
      <c r="L32" t="n">
        <v>1</v>
      </c>
      <c r="T32" t="n">
        <v>33</v>
      </c>
      <c r="U32" t="inlineStr">
        <is>
          <t>1W8</t>
        </is>
      </c>
      <c r="X32" t="n">
        <v>4</v>
      </c>
      <c r="Y32" t="inlineStr">
        <is>
          <t>+8</t>
        </is>
      </c>
      <c r="Z32" t="inlineStr">
        <is>
          <t>+5</t>
        </is>
      </c>
      <c r="AA32" t="inlineStr">
        <is>
          <t>-5</t>
        </is>
      </c>
      <c r="AB32" t="inlineStr">
        <is>
          <t>-21</t>
        </is>
      </c>
      <c r="AC32" t="inlineStr">
        <is>
          <t>x</t>
        </is>
      </c>
      <c r="AD32" t="inlineStr">
        <is>
          <t>x</t>
        </is>
      </c>
      <c r="AE32" t="inlineStr">
        <is>
          <t>20m</t>
        </is>
      </c>
      <c r="AF32" t="inlineStr">
        <is>
          <t>14sec</t>
        </is>
      </c>
      <c r="AG32" t="n">
        <v>4</v>
      </c>
      <c r="AI32" t="n">
        <v>4</v>
      </c>
      <c r="AJ32" t="inlineStr">
        <is>
          <t>1000D</t>
        </is>
      </c>
      <c r="AO32" s="56" t="inlineStr">
        <is>
          <t>Stangenwaffen</t>
        </is>
      </c>
      <c r="AP32" s="56" t="inlineStr">
        <is>
          <t>Improvisierte Stangenwaffen</t>
        </is>
      </c>
      <c r="AQ32" s="56" t="n">
        <v>3</v>
      </c>
      <c r="AR32" s="56" t="inlineStr">
        <is>
          <t>W8</t>
        </is>
      </c>
      <c r="AS32" s="56" t="inlineStr">
        <is>
          <t>W4</t>
        </is>
      </c>
      <c r="AT32" s="56" t="n">
        <v>3</v>
      </c>
      <c r="AU32" s="56" t="n">
        <v>5</v>
      </c>
      <c r="AV32" s="56" t="n">
        <v>4</v>
      </c>
      <c r="AW32" s="56" t="n">
        <v>4</v>
      </c>
      <c r="AX32" t="n">
        <v>16</v>
      </c>
      <c r="AY32" s="56" t="n">
        <v>12</v>
      </c>
      <c r="AZ32" s="56" t="n">
        <v>5</v>
      </c>
      <c r="BA32" s="56" t="n">
        <v>6</v>
      </c>
    </row>
    <row r="33">
      <c r="A33" t="inlineStr">
        <is>
          <t>Repetier Armbrust (Gnom)</t>
        </is>
      </c>
      <c r="B33" t="inlineStr">
        <is>
          <t>Gnom</t>
        </is>
      </c>
      <c r="C33" t="inlineStr">
        <is>
          <t>Repetier-Armbrust</t>
        </is>
      </c>
      <c r="M33" t="n">
        <v>8</v>
      </c>
      <c r="N33" t="n">
        <v>6</v>
      </c>
      <c r="O33" t="n">
        <v>10</v>
      </c>
      <c r="P33" t="n">
        <v>1</v>
      </c>
      <c r="Q33" t="n">
        <v>16</v>
      </c>
      <c r="R33" t="n">
        <v>6</v>
      </c>
      <c r="U33" t="inlineStr">
        <is>
          <t>1W2</t>
        </is>
      </c>
      <c r="X33" t="n">
        <v>2</v>
      </c>
      <c r="Y33" t="inlineStr">
        <is>
          <t>+7</t>
        </is>
      </c>
      <c r="Z33" t="inlineStr">
        <is>
          <t>0</t>
        </is>
      </c>
      <c r="AA33" t="inlineStr">
        <is>
          <t>-17</t>
        </is>
      </c>
      <c r="AB33" t="inlineStr">
        <is>
          <t>-34</t>
        </is>
      </c>
      <c r="AC33" t="inlineStr">
        <is>
          <t>x</t>
        </is>
      </c>
      <c r="AD33" t="inlineStr">
        <is>
          <t>x</t>
        </is>
      </c>
      <c r="AE33" t="inlineStr">
        <is>
          <t>5m</t>
        </is>
      </c>
      <c r="AI33" t="n">
        <v>6</v>
      </c>
      <c r="AJ33" t="inlineStr">
        <is>
          <t>1125D</t>
        </is>
      </c>
      <c r="AN33" t="inlineStr">
        <is>
          <t>Nur normale Bolzen mit normaler Spitze im 5-Schuss-Magazin, Nachladen immer 5 Schuss.</t>
        </is>
      </c>
      <c r="AO33" s="56" t="inlineStr">
        <is>
          <t>Stangenwaffen</t>
        </is>
      </c>
      <c r="AP33" s="56" t="inlineStr">
        <is>
          <t>Improvisierte Stangenwaffen</t>
        </is>
      </c>
      <c r="AQ33" s="56" t="n">
        <v>3</v>
      </c>
      <c r="AR33" s="56" t="inlineStr">
        <is>
          <t>W8</t>
        </is>
      </c>
      <c r="AS33" s="56" t="inlineStr">
        <is>
          <t>W4</t>
        </is>
      </c>
      <c r="AT33" s="56" t="n">
        <v>3</v>
      </c>
      <c r="AU33" s="56" t="n">
        <v>5</v>
      </c>
      <c r="AV33" s="56" t="n">
        <v>4</v>
      </c>
      <c r="AW33" s="56" t="n">
        <v>4</v>
      </c>
      <c r="AX33" s="56" t="n">
        <v>8</v>
      </c>
      <c r="AY33" s="56" t="n">
        <v>6</v>
      </c>
      <c r="AZ33" s="56" t="n">
        <v>5</v>
      </c>
      <c r="BA33" s="56" t="n">
        <v>6</v>
      </c>
    </row>
    <row r="34">
      <c r="A34" t="inlineStr">
        <is>
          <t>Hand Armbrust (Zwerg)</t>
        </is>
      </c>
      <c r="B34" t="inlineStr">
        <is>
          <t>Zwerg</t>
        </is>
      </c>
      <c r="C34" t="inlineStr">
        <is>
          <t>Armbrust</t>
        </is>
      </c>
      <c r="D34" t="n">
        <v>10</v>
      </c>
      <c r="E34" t="n">
        <v>14</v>
      </c>
      <c r="F34" t="n">
        <v>4</v>
      </c>
      <c r="G34" t="n">
        <v>6</v>
      </c>
      <c r="H34" t="n">
        <v>30</v>
      </c>
      <c r="I34" t="n">
        <v>2</v>
      </c>
      <c r="J34" t="n">
        <v>4</v>
      </c>
      <c r="K34" t="n">
        <v>60</v>
      </c>
      <c r="L34" t="n">
        <v>1</v>
      </c>
      <c r="T34" t="n">
        <v>10</v>
      </c>
      <c r="U34" t="inlineStr">
        <is>
          <t>1W6</t>
        </is>
      </c>
      <c r="X34" t="n">
        <v>3</v>
      </c>
      <c r="Y34" t="inlineStr">
        <is>
          <t>+12</t>
        </is>
      </c>
      <c r="Z34" t="inlineStr">
        <is>
          <t>-2</t>
        </is>
      </c>
      <c r="AA34" t="inlineStr">
        <is>
          <t>-23</t>
        </is>
      </c>
      <c r="AB34" t="inlineStr">
        <is>
          <t>-37</t>
        </is>
      </c>
      <c r="AC34" t="inlineStr">
        <is>
          <t>x</t>
        </is>
      </c>
      <c r="AD34" t="inlineStr">
        <is>
          <t>x</t>
        </is>
      </c>
      <c r="AE34" t="inlineStr">
        <is>
          <t>10m</t>
        </is>
      </c>
      <c r="AF34" t="inlineStr">
        <is>
          <t>14sec</t>
        </is>
      </c>
      <c r="AG34" t="n">
        <v>4</v>
      </c>
      <c r="AI34" t="n">
        <v>4</v>
      </c>
      <c r="AJ34" t="inlineStr">
        <is>
          <t>160D</t>
        </is>
      </c>
      <c r="AO34" s="56" t="inlineStr">
        <is>
          <t>Stangenwaffen</t>
        </is>
      </c>
      <c r="AP34" s="56" t="inlineStr">
        <is>
          <t>Improvisierte Stangenwaffen</t>
        </is>
      </c>
      <c r="AQ34" s="56" t="n">
        <v>3</v>
      </c>
      <c r="AR34" s="56" t="inlineStr">
        <is>
          <t>W8</t>
        </is>
      </c>
      <c r="AS34" s="56" t="inlineStr">
        <is>
          <t>W4</t>
        </is>
      </c>
      <c r="AT34" s="56" t="n">
        <v>3</v>
      </c>
      <c r="AU34" s="56" t="n">
        <v>5</v>
      </c>
      <c r="AV34" s="56" t="n">
        <v>4</v>
      </c>
      <c r="AW34" s="56" t="n">
        <v>4</v>
      </c>
      <c r="AX34" t="n">
        <v>6</v>
      </c>
      <c r="AY34" s="56" t="n">
        <v>5</v>
      </c>
      <c r="AZ34" s="56" t="n">
        <v>5</v>
      </c>
      <c r="BA34" s="56" t="n">
        <v>6</v>
      </c>
    </row>
    <row r="35">
      <c r="A35" t="inlineStr">
        <is>
          <t>Leichte Armbrust (Zwerg)</t>
        </is>
      </c>
      <c r="B35" t="inlineStr">
        <is>
          <t>Zwerg</t>
        </is>
      </c>
      <c r="C35" t="inlineStr">
        <is>
          <t>Armbrust</t>
        </is>
      </c>
      <c r="D35" t="n">
        <v>13</v>
      </c>
      <c r="E35" t="n">
        <v>14</v>
      </c>
      <c r="F35" t="n">
        <v>4</v>
      </c>
      <c r="G35" t="n">
        <v>8</v>
      </c>
      <c r="H35" t="n">
        <v>30</v>
      </c>
      <c r="I35" t="n">
        <v>2</v>
      </c>
      <c r="J35" t="n">
        <v>5</v>
      </c>
      <c r="K35" t="n">
        <v>60</v>
      </c>
      <c r="L35" t="n">
        <v>1</v>
      </c>
      <c r="T35" t="n">
        <v>13</v>
      </c>
      <c r="U35" t="inlineStr">
        <is>
          <t>1W8</t>
        </is>
      </c>
      <c r="X35" t="n">
        <v>4</v>
      </c>
      <c r="Y35" t="inlineStr">
        <is>
          <t>+11</t>
        </is>
      </c>
      <c r="Z35" t="inlineStr">
        <is>
          <t>+3</t>
        </is>
      </c>
      <c r="AA35" t="inlineStr">
        <is>
          <t>-13</t>
        </is>
      </c>
      <c r="AB35" t="inlineStr">
        <is>
          <t>-30</t>
        </is>
      </c>
      <c r="AC35" t="inlineStr">
        <is>
          <t>x</t>
        </is>
      </c>
      <c r="AD35" t="inlineStr">
        <is>
          <t>x</t>
        </is>
      </c>
      <c r="AE35" t="inlineStr">
        <is>
          <t>15m</t>
        </is>
      </c>
      <c r="AF35" t="inlineStr">
        <is>
          <t>14sec</t>
        </is>
      </c>
      <c r="AG35" t="n">
        <v>4</v>
      </c>
      <c r="AI35" t="n">
        <v>2</v>
      </c>
      <c r="AJ35" t="inlineStr">
        <is>
          <t>180D</t>
        </is>
      </c>
      <c r="AO35" s="56" t="inlineStr">
        <is>
          <t>Stangenwaffen</t>
        </is>
      </c>
      <c r="AP35" s="56" t="inlineStr">
        <is>
          <t>Improvisierte Stangenwaffen</t>
        </is>
      </c>
      <c r="AQ35" s="56" t="n">
        <v>3</v>
      </c>
      <c r="AR35" s="56" t="inlineStr">
        <is>
          <t>W8</t>
        </is>
      </c>
      <c r="AS35" s="56" t="inlineStr">
        <is>
          <t>W4</t>
        </is>
      </c>
      <c r="AT35" s="56" t="n">
        <v>3</v>
      </c>
      <c r="AU35" s="56" t="n">
        <v>5</v>
      </c>
      <c r="AV35" s="56" t="n">
        <v>4</v>
      </c>
      <c r="AW35" s="56" t="n">
        <v>4</v>
      </c>
      <c r="AX35" t="n">
        <v>8</v>
      </c>
      <c r="AY35" s="56" t="n">
        <v>6</v>
      </c>
      <c r="AZ35" s="56" t="n">
        <v>5</v>
      </c>
      <c r="BA35" s="56" t="n">
        <v>6</v>
      </c>
    </row>
    <row r="36">
      <c r="A36" t="inlineStr">
        <is>
          <t>Mittelschwere Armbrust (Zwerg)</t>
        </is>
      </c>
      <c r="B36" t="inlineStr">
        <is>
          <t>Zwerg</t>
        </is>
      </c>
      <c r="C36" t="inlineStr">
        <is>
          <t>Armbrust</t>
        </is>
      </c>
      <c r="D36" t="n">
        <v>26</v>
      </c>
      <c r="E36" t="n">
        <v>14</v>
      </c>
      <c r="F36" t="n">
        <v>4</v>
      </c>
      <c r="G36" t="n">
        <v>13</v>
      </c>
      <c r="H36" t="n">
        <v>30</v>
      </c>
      <c r="I36" t="n">
        <v>2</v>
      </c>
      <c r="J36" t="n">
        <v>8</v>
      </c>
      <c r="K36" t="n">
        <v>60</v>
      </c>
      <c r="L36" t="n">
        <v>1</v>
      </c>
      <c r="T36" t="n">
        <v>26</v>
      </c>
      <c r="U36" t="inlineStr">
        <is>
          <t>1W10</t>
        </is>
      </c>
      <c r="X36" t="n">
        <v>5</v>
      </c>
      <c r="Y36" t="inlineStr">
        <is>
          <t>+10</t>
        </is>
      </c>
      <c r="Z36" t="inlineStr">
        <is>
          <t>+7</t>
        </is>
      </c>
      <c r="AA36" t="inlineStr">
        <is>
          <t>-8</t>
        </is>
      </c>
      <c r="AB36" t="inlineStr">
        <is>
          <t>-24</t>
        </is>
      </c>
      <c r="AC36" t="inlineStr">
        <is>
          <t>x</t>
        </is>
      </c>
      <c r="AD36" t="inlineStr">
        <is>
          <t>x</t>
        </is>
      </c>
      <c r="AE36" t="inlineStr">
        <is>
          <t>20m</t>
        </is>
      </c>
      <c r="AF36" t="inlineStr">
        <is>
          <t>14sec</t>
        </is>
      </c>
      <c r="AG36" t="n">
        <v>4</v>
      </c>
      <c r="AI36" t="n">
        <v>3</v>
      </c>
      <c r="AJ36" t="inlineStr">
        <is>
          <t>300D</t>
        </is>
      </c>
      <c r="AO36" s="56" t="inlineStr">
        <is>
          <t>Stangenwaffen</t>
        </is>
      </c>
      <c r="AP36" s="56" t="inlineStr">
        <is>
          <t>Improvisierte Stangenwaffen</t>
        </is>
      </c>
      <c r="AQ36" s="56" t="n">
        <v>3</v>
      </c>
      <c r="AR36" s="56" t="inlineStr">
        <is>
          <t>W8</t>
        </is>
      </c>
      <c r="AS36" s="56" t="inlineStr">
        <is>
          <t>W4</t>
        </is>
      </c>
      <c r="AT36" s="56" t="n">
        <v>3</v>
      </c>
      <c r="AU36" s="56" t="n">
        <v>5</v>
      </c>
      <c r="AV36" s="56" t="n">
        <v>4</v>
      </c>
      <c r="AW36" s="56" t="n">
        <v>4</v>
      </c>
      <c r="AX36" t="n">
        <v>13</v>
      </c>
      <c r="AY36" s="56" t="n">
        <v>10</v>
      </c>
      <c r="AZ36" s="56" t="n">
        <v>5</v>
      </c>
      <c r="BA36" s="56" t="n">
        <v>6</v>
      </c>
    </row>
    <row r="37">
      <c r="A37" t="inlineStr">
        <is>
          <t>Schwere Armbrust (Zwerg)</t>
        </is>
      </c>
      <c r="B37" t="inlineStr">
        <is>
          <t>Zwerg</t>
        </is>
      </c>
      <c r="C37" t="inlineStr">
        <is>
          <t>Armbrust</t>
        </is>
      </c>
      <c r="D37" t="n">
        <v>38</v>
      </c>
      <c r="E37" t="n">
        <v>14</v>
      </c>
      <c r="F37" t="n">
        <v>4</v>
      </c>
      <c r="G37" t="n">
        <v>21</v>
      </c>
      <c r="H37" t="n">
        <v>30</v>
      </c>
      <c r="I37" t="n">
        <v>2</v>
      </c>
      <c r="J37" t="n">
        <v>15</v>
      </c>
      <c r="K37" t="n">
        <v>60</v>
      </c>
      <c r="L37" t="n">
        <v>1</v>
      </c>
      <c r="T37" t="n">
        <v>38</v>
      </c>
      <c r="U37" t="inlineStr">
        <is>
          <t>1W12</t>
        </is>
      </c>
      <c r="X37" t="n">
        <v>6</v>
      </c>
      <c r="Y37" t="inlineStr">
        <is>
          <t>+9</t>
        </is>
      </c>
      <c r="Z37" t="inlineStr">
        <is>
          <t>+6</t>
        </is>
      </c>
      <c r="AA37" t="inlineStr">
        <is>
          <t>-4</t>
        </is>
      </c>
      <c r="AB37" t="inlineStr">
        <is>
          <t>-20</t>
        </is>
      </c>
      <c r="AC37" t="inlineStr">
        <is>
          <t>x</t>
        </is>
      </c>
      <c r="AD37" t="inlineStr">
        <is>
          <t>x</t>
        </is>
      </c>
      <c r="AE37" t="inlineStr">
        <is>
          <t>25m</t>
        </is>
      </c>
      <c r="AF37" t="inlineStr">
        <is>
          <t>14sec</t>
        </is>
      </c>
      <c r="AG37" t="n">
        <v>4</v>
      </c>
      <c r="AI37" t="n">
        <v>4</v>
      </c>
      <c r="AJ37" t="inlineStr">
        <is>
          <t>1200D</t>
        </is>
      </c>
      <c r="AO37" s="56" t="inlineStr">
        <is>
          <t>Stangenwaffen</t>
        </is>
      </c>
      <c r="AP37" s="56" t="inlineStr">
        <is>
          <t>Improvisierte Stangenwaffen</t>
        </is>
      </c>
      <c r="AQ37" s="56" t="n">
        <v>3</v>
      </c>
      <c r="AR37" s="56" t="inlineStr">
        <is>
          <t>W8</t>
        </is>
      </c>
      <c r="AS37" s="56" t="inlineStr">
        <is>
          <t>W4</t>
        </is>
      </c>
      <c r="AT37" s="56" t="n">
        <v>3</v>
      </c>
      <c r="AU37" s="56" t="n">
        <v>5</v>
      </c>
      <c r="AV37" s="56" t="n">
        <v>4</v>
      </c>
      <c r="AW37" s="56" t="n">
        <v>4</v>
      </c>
      <c r="AX37" t="n">
        <v>21</v>
      </c>
      <c r="AY37" s="56" t="n">
        <v>16</v>
      </c>
      <c r="AZ37" s="56" t="n">
        <v>5</v>
      </c>
      <c r="BA37" s="56" t="n">
        <v>6</v>
      </c>
    </row>
    <row r="38">
      <c r="A38" t="inlineStr">
        <is>
          <t>Repetier Armbrust (Zwerg)</t>
        </is>
      </c>
      <c r="B38" t="inlineStr">
        <is>
          <t>Zwerg</t>
        </is>
      </c>
      <c r="C38" t="inlineStr">
        <is>
          <t>Repetier-Armbrust</t>
        </is>
      </c>
      <c r="M38" t="n">
        <v>12</v>
      </c>
      <c r="N38" t="n">
        <v>6</v>
      </c>
      <c r="O38" t="n">
        <v>10</v>
      </c>
      <c r="P38" t="n">
        <v>1</v>
      </c>
      <c r="Q38" t="n">
        <v>16</v>
      </c>
      <c r="R38" t="n">
        <v>6</v>
      </c>
      <c r="U38" t="inlineStr">
        <is>
          <t>1W4</t>
        </is>
      </c>
      <c r="X38" t="n">
        <v>4</v>
      </c>
      <c r="Y38" t="inlineStr">
        <is>
          <t>+8</t>
        </is>
      </c>
      <c r="Z38" t="inlineStr">
        <is>
          <t>+1</t>
        </is>
      </c>
      <c r="AA38" t="inlineStr">
        <is>
          <t>-16</t>
        </is>
      </c>
      <c r="AB38" t="inlineStr">
        <is>
          <t>-33</t>
        </is>
      </c>
      <c r="AC38" t="inlineStr">
        <is>
          <t>x</t>
        </is>
      </c>
      <c r="AD38" t="inlineStr">
        <is>
          <t>x</t>
        </is>
      </c>
      <c r="AE38" t="inlineStr">
        <is>
          <t>10m</t>
        </is>
      </c>
      <c r="AI38" t="n">
        <v>6</v>
      </c>
      <c r="AJ38" t="inlineStr">
        <is>
          <t>1350D</t>
        </is>
      </c>
      <c r="AN38" t="inlineStr">
        <is>
          <t>Nur normale Bolzen mit normaler Spitze im 5-Schuss-Magazin, Nachladen immer 5 Schuss.</t>
        </is>
      </c>
      <c r="AO38" s="56" t="inlineStr">
        <is>
          <t>Stangenwaffen</t>
        </is>
      </c>
      <c r="AP38" s="56" t="inlineStr">
        <is>
          <t>Improvisierte Stangenwaffen</t>
        </is>
      </c>
      <c r="AQ38" s="56" t="n">
        <v>3</v>
      </c>
      <c r="AR38" s="56" t="inlineStr">
        <is>
          <t>W8</t>
        </is>
      </c>
      <c r="AS38" s="56" t="inlineStr">
        <is>
          <t>W4</t>
        </is>
      </c>
      <c r="AT38" s="56" t="n">
        <v>3</v>
      </c>
      <c r="AU38" s="56" t="n">
        <v>5</v>
      </c>
      <c r="AV38" s="56" t="n">
        <v>4</v>
      </c>
      <c r="AW38" s="56" t="n">
        <v>4</v>
      </c>
      <c r="AX38" s="56" t="n">
        <v>12</v>
      </c>
      <c r="AY38" s="56" t="n">
        <v>9</v>
      </c>
      <c r="AZ38" s="56" t="n">
        <v>5</v>
      </c>
      <c r="BA38" s="56" t="n">
        <v>6</v>
      </c>
    </row>
    <row r="39">
      <c r="A39" t="inlineStr">
        <is>
          <t>Balläster</t>
        </is>
      </c>
      <c r="B39" t="inlineStr">
        <is>
          <t>Alle</t>
        </is>
      </c>
      <c r="C39" t="inlineStr">
        <is>
          <t>Armbrust</t>
        </is>
      </c>
      <c r="D39" t="n">
        <v>13</v>
      </c>
      <c r="E39" t="n">
        <v>14</v>
      </c>
      <c r="F39" t="n">
        <v>4</v>
      </c>
      <c r="T39" t="n">
        <v>13</v>
      </c>
      <c r="U39" t="inlineStr">
        <is>
          <t>1W4</t>
        </is>
      </c>
      <c r="X39" t="n">
        <v>2</v>
      </c>
      <c r="Y39" t="inlineStr">
        <is>
          <t>+11</t>
        </is>
      </c>
      <c r="Z39" t="inlineStr">
        <is>
          <t>+3</t>
        </is>
      </c>
      <c r="AA39" t="inlineStr">
        <is>
          <t>-13</t>
        </is>
      </c>
      <c r="AB39" t="inlineStr">
        <is>
          <t>-30</t>
        </is>
      </c>
      <c r="AC39" t="inlineStr">
        <is>
          <t>x</t>
        </is>
      </c>
      <c r="AD39" t="inlineStr">
        <is>
          <t>x</t>
        </is>
      </c>
      <c r="AE39" t="inlineStr">
        <is>
          <t>10m</t>
        </is>
      </c>
      <c r="AF39" t="inlineStr">
        <is>
          <t>14sec</t>
        </is>
      </c>
      <c r="AG39" t="n">
        <v>4</v>
      </c>
      <c r="AJ39" t="inlineStr">
        <is>
          <t>300D</t>
        </is>
      </c>
      <c r="AN39" t="inlineStr">
        <is>
          <t>Zur Steinschleuder umgebaute Armbrust fuer die Vogeljagd; Munition kullert leicht aus der Abschusshalterung</t>
        </is>
      </c>
      <c r="AO39" s="56" t="inlineStr">
        <is>
          <t>Stangenwaffen</t>
        </is>
      </c>
      <c r="AP39" s="56" t="inlineStr">
        <is>
          <t>Improvisierte Stangenwaffen</t>
        </is>
      </c>
      <c r="AQ39" s="56" t="n">
        <v>3</v>
      </c>
      <c r="AR39" s="56" t="inlineStr">
        <is>
          <t>W8</t>
        </is>
      </c>
      <c r="AS39" s="56" t="inlineStr">
        <is>
          <t>W4</t>
        </is>
      </c>
      <c r="AT39" s="56" t="n">
        <v>3</v>
      </c>
      <c r="AU39" s="56" t="n">
        <v>5</v>
      </c>
      <c r="AV39" s="56" t="n">
        <v>4</v>
      </c>
      <c r="AW39" s="56" t="n">
        <v>4</v>
      </c>
      <c r="AX39" s="56" t="n">
        <v>13</v>
      </c>
      <c r="AY39" s="56" t="n">
        <v>10</v>
      </c>
      <c r="AZ39" s="56" t="n">
        <v>5</v>
      </c>
      <c r="BA39" s="56" t="n">
        <v>6</v>
      </c>
    </row>
  </sheetData>
  <pageMargins left="0.7" right="0.7" top="0.75" bottom="0.75" header="0.3" footer="0.3"/>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A1:K87"/>
  <sheetViews>
    <sheetView workbookViewId="0">
      <selection activeCell="A1" sqref="A1"/>
    </sheetView>
  </sheetViews>
  <sheetFormatPr baseColWidth="10" defaultColWidth="9.140625" defaultRowHeight="15"/>
  <sheetData>
    <row r="1">
      <c r="A1" t="inlineStr">
        <is>
          <t>Name</t>
        </is>
      </c>
      <c r="B1" t="inlineStr">
        <is>
          <t>Volk</t>
        </is>
      </c>
      <c r="C1" t="inlineStr">
        <is>
          <t>Lademechanik</t>
        </is>
      </c>
      <c r="D1" t="inlineStr">
        <is>
          <t>Munition (Waffen-Bezeichnung)</t>
        </is>
      </c>
      <c r="E1" t="inlineStr">
        <is>
          <t>Kaliber</t>
        </is>
      </c>
      <c r="F1" t="inlineStr">
        <is>
          <t>Munition-Art (primaer)</t>
        </is>
      </c>
      <c r="G1" t="inlineStr">
        <is>
          <t>Preis-1-Schuss (primaer)</t>
        </is>
      </c>
      <c r="H1" t="inlineStr">
        <is>
          <t>Munition-Art (alternativ)</t>
        </is>
      </c>
      <c r="I1" t="inlineStr">
        <is>
          <t>Preis-1-Schuss (alternativ)</t>
        </is>
      </c>
      <c r="J1" t="inlineStr">
        <is>
          <t>Alternativ-Effekt</t>
        </is>
      </c>
      <c r="K1" t="inlineStr">
        <is>
          <t>Notiz</t>
        </is>
      </c>
    </row>
    <row r="2">
      <c r="A2" t="inlineStr">
        <is>
          <t>Hakenbüchse</t>
        </is>
      </c>
      <c r="B2" t="inlineStr">
        <is>
          <t>Dalkinisch</t>
        </is>
      </c>
      <c r="C2" t="inlineStr">
        <is>
          <t>Vorderlader</t>
        </is>
      </c>
      <c r="D2" t="inlineStr">
        <is>
          <t>Blei</t>
        </is>
      </c>
      <c r="E2" t="n">
        <v>19</v>
      </c>
      <c r="F2" t="inlineStr">
        <is>
          <t>S.P.&amp;Blei</t>
        </is>
      </c>
      <c r="G2">
        <f>IF(F2="","",IF(COUNTIFS('Munition-Feuerwaffen'!$B$2:$B$35,F2,'Munition-Feuerwaffen'!$C$2:$C$35,E2)=0,"",SUMPRODUCT(('Munition-Feuerwaffen'!$B$2:$B$35=F2)*('Munition-Feuerwaffen'!$C$2:$C$35=E2)*'Munition-Feuerwaffen'!$D$2:$D$35)))</f>
        <v/>
      </c>
      <c r="H2" t="inlineStr">
        <is>
          <t>VL. Papierpatrone</t>
        </is>
      </c>
      <c r="I2">
        <f>IF(H2="","",IF(COUNTIFS('Munition-Feuerwaffen'!$B$2:$B$35,H2,'Munition-Feuerwaffen'!$C$2:$C$35,E2)=0,"",SUMPRODUCT(('Munition-Feuerwaffen'!$B$2:$B$35=H2)*('Munition-Feuerwaffen'!$C$2:$C$35=E2)*'Munition-Feuerwaffen'!$D$2:$D$35)))</f>
        <v/>
      </c>
      <c r="J2" t="inlineStr">
        <is>
          <t>Reduziert die Nachladezeit um 5 Sekunden</t>
        </is>
      </c>
    </row>
    <row r="3">
      <c r="A3" t="inlineStr">
        <is>
          <t>Muskete</t>
        </is>
      </c>
      <c r="B3" t="inlineStr">
        <is>
          <t>Dalkinisch</t>
        </is>
      </c>
      <c r="C3" t="inlineStr">
        <is>
          <t>Vorderlader</t>
        </is>
      </c>
      <c r="D3" t="inlineStr">
        <is>
          <t>Blei</t>
        </is>
      </c>
      <c r="E3" t="n">
        <v>17</v>
      </c>
      <c r="F3" t="inlineStr">
        <is>
          <t>S.P.&amp;Blei</t>
        </is>
      </c>
      <c r="G3">
        <f>IF(F3="","",IF(COUNTIFS('Munition-Feuerwaffen'!$B$2:$B$35,F3,'Munition-Feuerwaffen'!$C$2:$C$35,E3)=0,"",SUMPRODUCT(('Munition-Feuerwaffen'!$B$2:$B$35=F3)*('Munition-Feuerwaffen'!$C$2:$C$35=E3)*'Munition-Feuerwaffen'!$D$2:$D$35)))</f>
        <v/>
      </c>
      <c r="H3" t="inlineStr">
        <is>
          <t>VL. Papierpatrone</t>
        </is>
      </c>
      <c r="I3">
        <f>IF(H3="","",IF(COUNTIFS('Munition-Feuerwaffen'!$B$2:$B$35,H3,'Munition-Feuerwaffen'!$C$2:$C$35,E3)=0,"",SUMPRODUCT(('Munition-Feuerwaffen'!$B$2:$B$35=H3)*('Munition-Feuerwaffen'!$C$2:$C$35=E3)*'Munition-Feuerwaffen'!$D$2:$D$35)))</f>
        <v/>
      </c>
      <c r="J3" t="inlineStr">
        <is>
          <t>Reduziert die Nachladezeit um 5 Sekunden</t>
        </is>
      </c>
    </row>
    <row r="4">
      <c r="A4" t="inlineStr">
        <is>
          <t>Schweres Gewehr</t>
        </is>
      </c>
      <c r="B4" t="inlineStr">
        <is>
          <t>Dalkinisch</t>
        </is>
      </c>
      <c r="C4" t="inlineStr">
        <is>
          <t>Vorderlader</t>
        </is>
      </c>
      <c r="D4" t="inlineStr">
        <is>
          <t>Blei</t>
        </is>
      </c>
      <c r="E4" t="n">
        <v>18</v>
      </c>
      <c r="F4" t="inlineStr">
        <is>
          <t>S.P.&amp;Blei</t>
        </is>
      </c>
      <c r="G4">
        <f>IF(F4="","",IF(COUNTIFS('Munition-Feuerwaffen'!$B$2:$B$35,F4,'Munition-Feuerwaffen'!$C$2:$C$35,E4)=0,"",SUMPRODUCT(('Munition-Feuerwaffen'!$B$2:$B$35=F4)*('Munition-Feuerwaffen'!$C$2:$C$35=E4)*'Munition-Feuerwaffen'!$D$2:$D$35)))</f>
        <v/>
      </c>
      <c r="H4" t="inlineStr">
        <is>
          <t>VL. Papierpatrone</t>
        </is>
      </c>
      <c r="I4">
        <f>IF(H4="","",IF(COUNTIFS('Munition-Feuerwaffen'!$B$2:$B$35,H4,'Munition-Feuerwaffen'!$C$2:$C$35,E4)=0,"",SUMPRODUCT(('Munition-Feuerwaffen'!$B$2:$B$35=H4)*('Munition-Feuerwaffen'!$C$2:$C$35=E4)*'Munition-Feuerwaffen'!$D$2:$D$35)))</f>
        <v/>
      </c>
      <c r="J4" t="inlineStr">
        <is>
          <t>Reduziert die Nachladezeit um 5 Sekunden</t>
        </is>
      </c>
    </row>
    <row r="5">
      <c r="A5" t="inlineStr">
        <is>
          <t>Langpistole</t>
        </is>
      </c>
      <c r="B5" t="inlineStr">
        <is>
          <t>Dalkinisch</t>
        </is>
      </c>
      <c r="C5" t="inlineStr">
        <is>
          <t>Vorderlader</t>
        </is>
      </c>
      <c r="D5" t="inlineStr">
        <is>
          <t>Blei</t>
        </is>
      </c>
      <c r="E5" t="n">
        <v>14</v>
      </c>
      <c r="F5" t="inlineStr">
        <is>
          <t>S.P.&amp;Blei</t>
        </is>
      </c>
      <c r="G5">
        <f>IF(F5="","",IF(COUNTIFS('Munition-Feuerwaffen'!$B$2:$B$35,F5,'Munition-Feuerwaffen'!$C$2:$C$35,E5)=0,"",SUMPRODUCT(('Munition-Feuerwaffen'!$B$2:$B$35=F5)*('Munition-Feuerwaffen'!$C$2:$C$35=E5)*'Munition-Feuerwaffen'!$D$2:$D$35)))</f>
        <v/>
      </c>
      <c r="H5" t="inlineStr">
        <is>
          <t>VL. Papierpatrone</t>
        </is>
      </c>
      <c r="I5">
        <f>IF(H5="","",IF(COUNTIFS('Munition-Feuerwaffen'!$B$2:$B$35,H5,'Munition-Feuerwaffen'!$C$2:$C$35,E5)=0,"",SUMPRODUCT(('Munition-Feuerwaffen'!$B$2:$B$35=H5)*('Munition-Feuerwaffen'!$C$2:$C$35=E5)*'Munition-Feuerwaffen'!$D$2:$D$35)))</f>
        <v/>
      </c>
      <c r="J5" t="inlineStr">
        <is>
          <t>Reduziert die Nachladezeit um 5 Sekunden</t>
        </is>
      </c>
    </row>
    <row r="6">
      <c r="A6" t="inlineStr">
        <is>
          <t>Pistole</t>
        </is>
      </c>
      <c r="B6" t="inlineStr">
        <is>
          <t>Dalkinisch</t>
        </is>
      </c>
      <c r="C6" t="inlineStr">
        <is>
          <t>Vorderlader</t>
        </is>
      </c>
      <c r="D6" t="inlineStr">
        <is>
          <t>Blei</t>
        </is>
      </c>
      <c r="E6" t="n">
        <v>14</v>
      </c>
      <c r="F6" t="inlineStr">
        <is>
          <t>S.P.&amp;Blei</t>
        </is>
      </c>
      <c r="G6">
        <f>IF(F6="","",IF(COUNTIFS('Munition-Feuerwaffen'!$B$2:$B$35,F6,'Munition-Feuerwaffen'!$C$2:$C$35,E6)=0,"",SUMPRODUCT(('Munition-Feuerwaffen'!$B$2:$B$35=F6)*('Munition-Feuerwaffen'!$C$2:$C$35=E6)*'Munition-Feuerwaffen'!$D$2:$D$35)))</f>
        <v/>
      </c>
      <c r="H6" t="inlineStr">
        <is>
          <t>VL. Papierpatrone</t>
        </is>
      </c>
      <c r="I6">
        <f>IF(H6="","",IF(COUNTIFS('Munition-Feuerwaffen'!$B$2:$B$35,H6,'Munition-Feuerwaffen'!$C$2:$C$35,E6)=0,"",SUMPRODUCT(('Munition-Feuerwaffen'!$B$2:$B$35=H6)*('Munition-Feuerwaffen'!$C$2:$C$35=E6)*'Munition-Feuerwaffen'!$D$2:$D$35)))</f>
        <v/>
      </c>
      <c r="J6" t="inlineStr">
        <is>
          <t>Reduziert die Nachladezeit um 5 Sekunden</t>
        </is>
      </c>
    </row>
    <row r="7">
      <c r="A7" t="inlineStr">
        <is>
          <t>verb. Langpistole</t>
        </is>
      </c>
      <c r="B7" t="inlineStr">
        <is>
          <t>Dalkinisch</t>
        </is>
      </c>
      <c r="C7" t="inlineStr">
        <is>
          <t>Vorderlader</t>
        </is>
      </c>
      <c r="D7" t="inlineStr">
        <is>
          <t>Blei</t>
        </is>
      </c>
      <c r="E7" t="n">
        <v>14</v>
      </c>
      <c r="F7" t="inlineStr">
        <is>
          <t>S.P.&amp;Blei</t>
        </is>
      </c>
      <c r="G7">
        <f>IF(F7="","",IF(COUNTIFS('Munition-Feuerwaffen'!$B$2:$B$35,F7,'Munition-Feuerwaffen'!$C$2:$C$35,E7)=0,"",SUMPRODUCT(('Munition-Feuerwaffen'!$B$2:$B$35=F7)*('Munition-Feuerwaffen'!$C$2:$C$35=E7)*'Munition-Feuerwaffen'!$D$2:$D$35)))</f>
        <v/>
      </c>
      <c r="H7" t="inlineStr">
        <is>
          <t>VL. Papierpatrone</t>
        </is>
      </c>
      <c r="I7">
        <f>IF(H7="","",IF(COUNTIFS('Munition-Feuerwaffen'!$B$2:$B$35,H7,'Munition-Feuerwaffen'!$C$2:$C$35,E7)=0,"",SUMPRODUCT(('Munition-Feuerwaffen'!$B$2:$B$35=H7)*('Munition-Feuerwaffen'!$C$2:$C$35=E7)*'Munition-Feuerwaffen'!$D$2:$D$35)))</f>
        <v/>
      </c>
      <c r="J7" t="inlineStr">
        <is>
          <t>Reduziert die Nachladezeit um 5 Sekunden</t>
        </is>
      </c>
    </row>
    <row r="8">
      <c r="A8" t="inlineStr">
        <is>
          <t>Schalarr</t>
        </is>
      </c>
      <c r="B8" t="inlineStr">
        <is>
          <t>Drow</t>
        </is>
      </c>
      <c r="C8" t="inlineStr">
        <is>
          <t>Hinterlader</t>
        </is>
      </c>
      <c r="D8" t="inlineStr">
        <is>
          <t>Papier Patrone</t>
        </is>
      </c>
      <c r="E8" t="n">
        <v>18</v>
      </c>
      <c r="F8" t="inlineStr">
        <is>
          <t>Papierpatrone</t>
        </is>
      </c>
      <c r="G8">
        <f>IF(F8="","",IF(COUNTIFS('Munition-Feuerwaffen'!$B$2:$B$35,F8,'Munition-Feuerwaffen'!$C$2:$C$35,E8)=0,"",SUMPRODUCT(('Munition-Feuerwaffen'!$B$2:$B$35=F8)*('Munition-Feuerwaffen'!$C$2:$C$35=E8)*'Munition-Feuerwaffen'!$D$2:$D$35)))</f>
        <v/>
      </c>
    </row>
    <row r="9">
      <c r="A9" t="inlineStr">
        <is>
          <t>Schapschu</t>
        </is>
      </c>
      <c r="B9" t="inlineStr">
        <is>
          <t>Drow</t>
        </is>
      </c>
      <c r="C9" t="inlineStr">
        <is>
          <t>Klapplauf</t>
        </is>
      </c>
      <c r="D9" t="inlineStr">
        <is>
          <t>Messing Patrone</t>
        </is>
      </c>
      <c r="E9" t="n">
        <v>12</v>
      </c>
      <c r="F9" t="inlineStr">
        <is>
          <t>Messingpatrone</t>
        </is>
      </c>
      <c r="G9">
        <f>IF(F9="","",IF(COUNTIFS('Munition-Feuerwaffen'!$B$2:$B$35,F9,'Munition-Feuerwaffen'!$C$2:$C$35,E9)=0,"",SUMPRODUCT(('Munition-Feuerwaffen'!$B$2:$B$35=F9)*('Munition-Feuerwaffen'!$C$2:$C$35=E9)*'Munition-Feuerwaffen'!$D$2:$D$35)))</f>
        <v/>
      </c>
    </row>
    <row r="10">
      <c r="A10" t="inlineStr">
        <is>
          <t>Ssussun</t>
        </is>
      </c>
      <c r="B10" t="inlineStr">
        <is>
          <t>Drow</t>
        </is>
      </c>
      <c r="C10" t="inlineStr">
        <is>
          <t>Vorderlader</t>
        </is>
      </c>
      <c r="D10" t="inlineStr">
        <is>
          <t>Blei</t>
        </is>
      </c>
      <c r="E10" t="n">
        <v>18</v>
      </c>
      <c r="F10" t="inlineStr">
        <is>
          <t>S.P.&amp;Blei</t>
        </is>
      </c>
      <c r="G10">
        <f>IF(F10="","",IF(COUNTIFS('Munition-Feuerwaffen'!$B$2:$B$35,F10,'Munition-Feuerwaffen'!$C$2:$C$35,E10)=0,"",SUMPRODUCT(('Munition-Feuerwaffen'!$B$2:$B$35=F10)*('Munition-Feuerwaffen'!$C$2:$C$35=E10)*'Munition-Feuerwaffen'!$D$2:$D$35)))</f>
        <v/>
      </c>
      <c r="H10" t="inlineStr">
        <is>
          <t>VL. Papierpatrone</t>
        </is>
      </c>
      <c r="I10">
        <f>IF(H10="","",IF(COUNTIFS('Munition-Feuerwaffen'!$B$2:$B$35,H10,'Munition-Feuerwaffen'!$C$2:$C$35,E10)=0,"",SUMPRODUCT(('Munition-Feuerwaffen'!$B$2:$B$35=H10)*('Munition-Feuerwaffen'!$C$2:$C$35=E10)*'Munition-Feuerwaffen'!$D$2:$D$35)))</f>
        <v/>
      </c>
      <c r="J10" t="inlineStr">
        <is>
          <t>Reduziert die Nachladezeit um 5 Sekunden</t>
        </is>
      </c>
    </row>
    <row r="11">
      <c r="A11" t="inlineStr">
        <is>
          <t>Wissperr</t>
        </is>
      </c>
      <c r="B11" t="inlineStr">
        <is>
          <t>Drow</t>
        </is>
      </c>
      <c r="C11" t="inlineStr">
        <is>
          <t>Hinterlader</t>
        </is>
      </c>
      <c r="D11" t="inlineStr">
        <is>
          <t>Papier Patrone</t>
        </is>
      </c>
      <c r="E11" t="n">
        <v>18</v>
      </c>
      <c r="F11" t="inlineStr">
        <is>
          <t>Papierpatrone</t>
        </is>
      </c>
      <c r="G11">
        <f>IF(F11="","",IF(COUNTIFS('Munition-Feuerwaffen'!$B$2:$B$35,F11,'Munition-Feuerwaffen'!$C$2:$C$35,E11)=0,"",SUMPRODUCT(('Munition-Feuerwaffen'!$B$2:$B$35=F11)*('Munition-Feuerwaffen'!$C$2:$C$35=E11)*'Munition-Feuerwaffen'!$D$2:$D$35)))</f>
        <v/>
      </c>
    </row>
    <row r="12">
      <c r="A12" t="inlineStr">
        <is>
          <t>Dunar</t>
        </is>
      </c>
      <c r="B12" t="inlineStr">
        <is>
          <t>Drow</t>
        </is>
      </c>
      <c r="C12" t="inlineStr">
        <is>
          <t>Klapplauf</t>
        </is>
      </c>
      <c r="D12" t="inlineStr">
        <is>
          <t>Messing Patrone</t>
        </is>
      </c>
      <c r="E12" t="n">
        <v>9</v>
      </c>
      <c r="F12" t="inlineStr">
        <is>
          <t>Messingpatrone</t>
        </is>
      </c>
      <c r="G12">
        <f>IF(F12="","",IF(COUNTIFS('Munition-Feuerwaffen'!$B$2:$B$35,F12,'Munition-Feuerwaffen'!$C$2:$C$35,E12)=0,"",SUMPRODUCT(('Munition-Feuerwaffen'!$B$2:$B$35=F12)*('Munition-Feuerwaffen'!$C$2:$C$35=E12)*'Munition-Feuerwaffen'!$D$2:$D$35)))</f>
        <v/>
      </c>
    </row>
    <row r="13">
      <c r="A13" t="inlineStr">
        <is>
          <t>Schatten</t>
        </is>
      </c>
      <c r="B13" t="inlineStr">
        <is>
          <t>Drow</t>
        </is>
      </c>
      <c r="C13" t="inlineStr">
        <is>
          <t>Klapplauf</t>
        </is>
      </c>
      <c r="D13" t="inlineStr">
        <is>
          <t>Messing Patrone</t>
        </is>
      </c>
      <c r="E13" t="n">
        <v>10</v>
      </c>
      <c r="F13" t="inlineStr">
        <is>
          <t>Messingpatrone</t>
        </is>
      </c>
      <c r="G13">
        <f>IF(F13="","",IF(COUNTIFS('Munition-Feuerwaffen'!$B$2:$B$35,F13,'Munition-Feuerwaffen'!$C$2:$C$35,E13)=0,"",SUMPRODUCT(('Munition-Feuerwaffen'!$B$2:$B$35=F13)*('Munition-Feuerwaffen'!$C$2:$C$35=E13)*'Munition-Feuerwaffen'!$D$2:$D$35)))</f>
        <v/>
      </c>
    </row>
    <row r="14">
      <c r="A14" t="inlineStr">
        <is>
          <t>Suliss</t>
        </is>
      </c>
      <c r="B14" t="inlineStr">
        <is>
          <t>Drow</t>
        </is>
      </c>
      <c r="C14" t="inlineStr">
        <is>
          <t>Vorderlader</t>
        </is>
      </c>
      <c r="D14" t="inlineStr">
        <is>
          <t>Blei</t>
        </is>
      </c>
      <c r="E14" t="n">
        <v>15</v>
      </c>
      <c r="F14" t="inlineStr">
        <is>
          <t>S.P.&amp;Blei</t>
        </is>
      </c>
      <c r="G14">
        <f>IF(F14="","",IF(COUNTIFS('Munition-Feuerwaffen'!$B$2:$B$35,F14,'Munition-Feuerwaffen'!$C$2:$C$35,E14)=0,"",SUMPRODUCT(('Munition-Feuerwaffen'!$B$2:$B$35=F14)*('Munition-Feuerwaffen'!$C$2:$C$35=E14)*'Munition-Feuerwaffen'!$D$2:$D$35)))</f>
        <v/>
      </c>
      <c r="H14" t="inlineStr">
        <is>
          <t>VL. Papierpatrone</t>
        </is>
      </c>
      <c r="I14">
        <f>IF(H14="","",IF(COUNTIFS('Munition-Feuerwaffen'!$B$2:$B$35,H14,'Munition-Feuerwaffen'!$C$2:$C$35,E14)=0,"",SUMPRODUCT(('Munition-Feuerwaffen'!$B$2:$B$35=H14)*('Munition-Feuerwaffen'!$C$2:$C$35=E14)*'Munition-Feuerwaffen'!$D$2:$D$35)))</f>
        <v/>
      </c>
      <c r="J14" t="inlineStr">
        <is>
          <t>Reduziert die Nachladezeit um 5 Sekunden</t>
        </is>
      </c>
    </row>
    <row r="15">
      <c r="A15" t="inlineStr">
        <is>
          <t>Taschenalb</t>
        </is>
      </c>
      <c r="B15" t="inlineStr">
        <is>
          <t>Drow</t>
        </is>
      </c>
      <c r="C15" t="inlineStr">
        <is>
          <t>Klapplauf</t>
        </is>
      </c>
      <c r="D15" t="inlineStr">
        <is>
          <t>Messing Patrone</t>
        </is>
      </c>
      <c r="E15" t="n">
        <v>7</v>
      </c>
      <c r="F15" t="inlineStr">
        <is>
          <t>Messingpatrone</t>
        </is>
      </c>
      <c r="G15">
        <f>IF(F15="","",IF(COUNTIFS('Munition-Feuerwaffen'!$B$2:$B$35,F15,'Munition-Feuerwaffen'!$C$2:$C$35,E15)=0,"",SUMPRODUCT(('Munition-Feuerwaffen'!$B$2:$B$35=F15)*('Munition-Feuerwaffen'!$C$2:$C$35=E15)*'Munition-Feuerwaffen'!$D$2:$D$35)))</f>
        <v/>
      </c>
    </row>
    <row r="16">
      <c r="A16" t="inlineStr">
        <is>
          <t>Adler</t>
        </is>
      </c>
      <c r="B16" t="inlineStr">
        <is>
          <t>Elfisch</t>
        </is>
      </c>
      <c r="C16" t="inlineStr">
        <is>
          <t>Vorderlader</t>
        </is>
      </c>
      <c r="D16" t="inlineStr">
        <is>
          <t>Blei</t>
        </is>
      </c>
      <c r="E16" t="n">
        <v>17</v>
      </c>
      <c r="F16" t="inlineStr">
        <is>
          <t>S.P.&amp;Blei</t>
        </is>
      </c>
      <c r="G16">
        <f>IF(F16="","",IF(COUNTIFS('Munition-Feuerwaffen'!$B$2:$B$35,F16,'Munition-Feuerwaffen'!$C$2:$C$35,E16)=0,"",SUMPRODUCT(('Munition-Feuerwaffen'!$B$2:$B$35=F16)*('Munition-Feuerwaffen'!$C$2:$C$35=E16)*'Munition-Feuerwaffen'!$D$2:$D$35)))</f>
        <v/>
      </c>
      <c r="H16" t="inlineStr">
        <is>
          <t>VL. Papierpatrone</t>
        </is>
      </c>
      <c r="I16">
        <f>IF(H16="","",IF(COUNTIFS('Munition-Feuerwaffen'!$B$2:$B$35,H16,'Munition-Feuerwaffen'!$C$2:$C$35,E16)=0,"",SUMPRODUCT(('Munition-Feuerwaffen'!$B$2:$B$35=H16)*('Munition-Feuerwaffen'!$C$2:$C$35=E16)*'Munition-Feuerwaffen'!$D$2:$D$35)))</f>
        <v/>
      </c>
      <c r="J16" t="inlineStr">
        <is>
          <t>Reduziert die Nachladezeit um 5 Sekunden</t>
        </is>
      </c>
    </row>
    <row r="17">
      <c r="A17" t="inlineStr">
        <is>
          <t>Bussard</t>
        </is>
      </c>
      <c r="B17" t="inlineStr">
        <is>
          <t>Elfisch</t>
        </is>
      </c>
      <c r="C17" t="inlineStr">
        <is>
          <t>Klapplauf</t>
        </is>
      </c>
      <c r="D17" t="inlineStr">
        <is>
          <t>Messing Patrone</t>
        </is>
      </c>
      <c r="E17" t="n">
        <v>11</v>
      </c>
      <c r="F17" t="inlineStr">
        <is>
          <t>Messingpatrone</t>
        </is>
      </c>
      <c r="G17">
        <f>IF(F17="","",IF(COUNTIFS('Munition-Feuerwaffen'!$B$2:$B$35,F17,'Munition-Feuerwaffen'!$C$2:$C$35,E17)=0,"",SUMPRODUCT(('Munition-Feuerwaffen'!$B$2:$B$35=F17)*('Munition-Feuerwaffen'!$C$2:$C$35=E17)*'Munition-Feuerwaffen'!$D$2:$D$35)))</f>
        <v/>
      </c>
    </row>
    <row r="18">
      <c r="A18" t="inlineStr">
        <is>
          <t>Kondor</t>
        </is>
      </c>
      <c r="B18" t="inlineStr">
        <is>
          <t>Elfisch</t>
        </is>
      </c>
      <c r="C18" t="inlineStr">
        <is>
          <t>Vorderlader</t>
        </is>
      </c>
      <c r="D18" t="inlineStr">
        <is>
          <t>Blei</t>
        </is>
      </c>
      <c r="E18" t="n">
        <v>17</v>
      </c>
      <c r="F18" t="inlineStr">
        <is>
          <t>S.P.&amp;Blei</t>
        </is>
      </c>
      <c r="G18">
        <f>IF(F18="","",IF(COUNTIFS('Munition-Feuerwaffen'!$B$2:$B$35,F18,'Munition-Feuerwaffen'!$C$2:$C$35,E18)=0,"",SUMPRODUCT(('Munition-Feuerwaffen'!$B$2:$B$35=F18)*('Munition-Feuerwaffen'!$C$2:$C$35=E18)*'Munition-Feuerwaffen'!$D$2:$D$35)))</f>
        <v/>
      </c>
      <c r="H18" t="inlineStr">
        <is>
          <t>VL. Papierpatrone</t>
        </is>
      </c>
      <c r="I18">
        <f>IF(H18="","",IF(COUNTIFS('Munition-Feuerwaffen'!$B$2:$B$35,H18,'Munition-Feuerwaffen'!$C$2:$C$35,E18)=0,"",SUMPRODUCT(('Munition-Feuerwaffen'!$B$2:$B$35=H18)*('Munition-Feuerwaffen'!$C$2:$C$35=E18)*'Munition-Feuerwaffen'!$D$2:$D$35)))</f>
        <v/>
      </c>
      <c r="J18" t="inlineStr">
        <is>
          <t>Reduziert die Nachladezeit um 5 Sekunden</t>
        </is>
      </c>
    </row>
    <row r="19">
      <c r="A19" t="inlineStr">
        <is>
          <t>Marodeur</t>
        </is>
      </c>
      <c r="B19" t="inlineStr">
        <is>
          <t>Elfisch</t>
        </is>
      </c>
      <c r="C19" t="inlineStr">
        <is>
          <t>Klapplauf</t>
        </is>
      </c>
      <c r="D19" t="inlineStr">
        <is>
          <t>Messing Patrone</t>
        </is>
      </c>
      <c r="E19" t="n">
        <v>11</v>
      </c>
      <c r="F19" t="inlineStr">
        <is>
          <t>Messingpatrone</t>
        </is>
      </c>
      <c r="G19">
        <f>IF(F19="","",IF(COUNTIFS('Munition-Feuerwaffen'!$B$2:$B$35,F19,'Munition-Feuerwaffen'!$C$2:$C$35,E19)=0,"",SUMPRODUCT(('Munition-Feuerwaffen'!$B$2:$B$35=F19)*('Munition-Feuerwaffen'!$C$2:$C$35=E19)*'Munition-Feuerwaffen'!$D$2:$D$35)))</f>
        <v/>
      </c>
    </row>
    <row r="20">
      <c r="A20" t="inlineStr">
        <is>
          <t>Minas</t>
        </is>
      </c>
      <c r="B20" t="inlineStr">
        <is>
          <t>Elfisch</t>
        </is>
      </c>
      <c r="C20" t="inlineStr">
        <is>
          <t>Klapplauf</t>
        </is>
      </c>
      <c r="D20" t="inlineStr">
        <is>
          <t>Messing Patrone</t>
        </is>
      </c>
      <c r="E20" t="n">
        <v>11</v>
      </c>
      <c r="F20" t="inlineStr">
        <is>
          <t>Messingpatrone</t>
        </is>
      </c>
      <c r="G20">
        <f>IF(F20="","",IF(COUNTIFS('Munition-Feuerwaffen'!$B$2:$B$35,F20,'Munition-Feuerwaffen'!$C$2:$C$35,E20)=0,"",SUMPRODUCT(('Munition-Feuerwaffen'!$B$2:$B$35=F20)*('Munition-Feuerwaffen'!$C$2:$C$35=E20)*'Munition-Feuerwaffen'!$D$2:$D$35)))</f>
        <v/>
      </c>
    </row>
    <row r="21">
      <c r="A21" t="inlineStr">
        <is>
          <t>Seriemas</t>
        </is>
      </c>
      <c r="B21" t="inlineStr">
        <is>
          <t>Elfisch</t>
        </is>
      </c>
      <c r="C21" t="inlineStr">
        <is>
          <t>Vorderlader</t>
        </is>
      </c>
      <c r="D21" t="inlineStr">
        <is>
          <t>Blei</t>
        </is>
      </c>
      <c r="E21" t="n">
        <v>17</v>
      </c>
      <c r="F21" t="inlineStr">
        <is>
          <t>S.P.&amp;Blei</t>
        </is>
      </c>
      <c r="G21">
        <f>IF(F21="","",IF(COUNTIFS('Munition-Feuerwaffen'!$B$2:$B$35,F21,'Munition-Feuerwaffen'!$C$2:$C$35,E21)=0,"",SUMPRODUCT(('Munition-Feuerwaffen'!$B$2:$B$35=F21)*('Munition-Feuerwaffen'!$C$2:$C$35=E21)*'Munition-Feuerwaffen'!$D$2:$D$35)))</f>
        <v/>
      </c>
      <c r="H21" t="inlineStr">
        <is>
          <t>VL. Papierpatrone</t>
        </is>
      </c>
      <c r="I21">
        <f>IF(H21="","",IF(COUNTIFS('Munition-Feuerwaffen'!$B$2:$B$35,H21,'Munition-Feuerwaffen'!$C$2:$C$35,E21)=0,"",SUMPRODUCT(('Munition-Feuerwaffen'!$B$2:$B$35=H21)*('Munition-Feuerwaffen'!$C$2:$C$35=E21)*'Munition-Feuerwaffen'!$D$2:$D$35)))</f>
        <v/>
      </c>
      <c r="J21" t="inlineStr">
        <is>
          <t>Reduziert die Nachladezeit um 5 Sekunden</t>
        </is>
      </c>
    </row>
    <row r="22">
      <c r="A22" t="inlineStr">
        <is>
          <t>Blitz</t>
        </is>
      </c>
      <c r="B22" t="inlineStr">
        <is>
          <t>Elfisch</t>
        </is>
      </c>
      <c r="C22" t="inlineStr">
        <is>
          <t>Klapplauf</t>
        </is>
      </c>
      <c r="D22" t="inlineStr">
        <is>
          <t>Messing Patrone</t>
        </is>
      </c>
      <c r="E22" t="n">
        <v>8</v>
      </c>
      <c r="F22" t="inlineStr">
        <is>
          <t>Messingpatrone</t>
        </is>
      </c>
      <c r="G22">
        <f>IF(F22="","",IF(COUNTIFS('Munition-Feuerwaffen'!$B$2:$B$35,F22,'Munition-Feuerwaffen'!$C$2:$C$35,E22)=0,"",SUMPRODUCT(('Munition-Feuerwaffen'!$B$2:$B$35=F22)*('Munition-Feuerwaffen'!$C$2:$C$35=E22)*'Munition-Feuerwaffen'!$D$2:$D$35)))</f>
        <v/>
      </c>
    </row>
    <row r="23">
      <c r="A23" t="inlineStr">
        <is>
          <t>Falke</t>
        </is>
      </c>
      <c r="B23" t="inlineStr">
        <is>
          <t>Elfisch</t>
        </is>
      </c>
      <c r="C23" t="inlineStr">
        <is>
          <t>Vorderlader</t>
        </is>
      </c>
      <c r="D23" t="inlineStr">
        <is>
          <t>Blei</t>
        </is>
      </c>
      <c r="E23" t="n">
        <v>14</v>
      </c>
      <c r="F23" t="inlineStr">
        <is>
          <t>S.P.&amp;Blei</t>
        </is>
      </c>
      <c r="G23">
        <f>IF(F23="","",IF(COUNTIFS('Munition-Feuerwaffen'!$B$2:$B$35,F23,'Munition-Feuerwaffen'!$C$2:$C$35,E23)=0,"",SUMPRODUCT(('Munition-Feuerwaffen'!$B$2:$B$35=F23)*('Munition-Feuerwaffen'!$C$2:$C$35=E23)*'Munition-Feuerwaffen'!$D$2:$D$35)))</f>
        <v/>
      </c>
      <c r="H23" t="inlineStr">
        <is>
          <t>VL. Papierpatrone</t>
        </is>
      </c>
      <c r="I23">
        <f>IF(H23="","",IF(COUNTIFS('Munition-Feuerwaffen'!$B$2:$B$35,H23,'Munition-Feuerwaffen'!$C$2:$C$35,E23)=0,"",SUMPRODUCT(('Munition-Feuerwaffen'!$B$2:$B$35=H23)*('Munition-Feuerwaffen'!$C$2:$C$35=E23)*'Munition-Feuerwaffen'!$D$2:$D$35)))</f>
        <v/>
      </c>
      <c r="J23" t="inlineStr">
        <is>
          <t>Reduziert die Nachladezeit um 5 Sekunden</t>
        </is>
      </c>
    </row>
    <row r="24">
      <c r="A24" t="inlineStr">
        <is>
          <t>Schantie</t>
        </is>
      </c>
      <c r="B24" t="inlineStr">
        <is>
          <t>Elfisch</t>
        </is>
      </c>
      <c r="C24" t="inlineStr">
        <is>
          <t>Klapplauf</t>
        </is>
      </c>
      <c r="D24" t="inlineStr">
        <is>
          <t>Messing Patrone</t>
        </is>
      </c>
      <c r="E24" t="n">
        <v>8</v>
      </c>
      <c r="F24" t="inlineStr">
        <is>
          <t>Messingpatrone</t>
        </is>
      </c>
      <c r="G24">
        <f>IF(F24="","",IF(COUNTIFS('Munition-Feuerwaffen'!$B$2:$B$35,F24,'Munition-Feuerwaffen'!$C$2:$C$35,E24)=0,"",SUMPRODUCT(('Munition-Feuerwaffen'!$B$2:$B$35=F24)*('Munition-Feuerwaffen'!$C$2:$C$35=E24)*'Munition-Feuerwaffen'!$D$2:$D$35)))</f>
        <v/>
      </c>
    </row>
    <row r="25">
      <c r="A25" t="inlineStr">
        <is>
          <t>Schwalbe</t>
        </is>
      </c>
      <c r="B25" t="inlineStr">
        <is>
          <t>Elfisch</t>
        </is>
      </c>
      <c r="C25" t="inlineStr">
        <is>
          <t>Vorderlader</t>
        </is>
      </c>
      <c r="D25" t="inlineStr">
        <is>
          <t>Blei</t>
        </is>
      </c>
      <c r="E25" t="n">
        <v>14</v>
      </c>
      <c r="F25" t="inlineStr">
        <is>
          <t>S.P.&amp;Blei</t>
        </is>
      </c>
      <c r="G25">
        <f>IF(F25="","",IF(COUNTIFS('Munition-Feuerwaffen'!$B$2:$B$35,F25,'Munition-Feuerwaffen'!$C$2:$C$35,E25)=0,"",SUMPRODUCT(('Munition-Feuerwaffen'!$B$2:$B$35=F25)*('Munition-Feuerwaffen'!$C$2:$C$35=E25)*'Munition-Feuerwaffen'!$D$2:$D$35)))</f>
        <v/>
      </c>
      <c r="H25" t="inlineStr">
        <is>
          <t>VL. Papierpatrone</t>
        </is>
      </c>
      <c r="I25">
        <f>IF(H25="","",IF(COUNTIFS('Munition-Feuerwaffen'!$B$2:$B$35,H25,'Munition-Feuerwaffen'!$C$2:$C$35,E25)=0,"",SUMPRODUCT(('Munition-Feuerwaffen'!$B$2:$B$35=H25)*('Munition-Feuerwaffen'!$C$2:$C$35=E25)*'Munition-Feuerwaffen'!$D$2:$D$35)))</f>
        <v/>
      </c>
      <c r="J25" t="inlineStr">
        <is>
          <t>Reduziert die Nachladezeit um 5 Sekunden</t>
        </is>
      </c>
    </row>
    <row r="26">
      <c r="A26" t="inlineStr">
        <is>
          <t>Bestgarr</t>
        </is>
      </c>
      <c r="B26" t="inlineStr">
        <is>
          <t>Goblinisch</t>
        </is>
      </c>
      <c r="C26" t="inlineStr">
        <is>
          <t>Block- oder Scharnierverschluss</t>
        </is>
      </c>
      <c r="D26" t="inlineStr">
        <is>
          <t>Messing Patrone</t>
        </is>
      </c>
      <c r="E26" t="n">
        <v>10</v>
      </c>
      <c r="F26" t="inlineStr">
        <is>
          <t>Messingpatrone</t>
        </is>
      </c>
      <c r="G26">
        <f>IF(F26="","",IF(COUNTIFS('Munition-Feuerwaffen'!$B$2:$B$35,F26,'Munition-Feuerwaffen'!$C$2:$C$35,E26)=0,"",SUMPRODUCT(('Munition-Feuerwaffen'!$B$2:$B$35=F26)*('Munition-Feuerwaffen'!$C$2:$C$35=E26)*'Munition-Feuerwaffen'!$D$2:$D$35)))</f>
        <v/>
      </c>
    </row>
    <row r="27">
      <c r="A27" t="inlineStr">
        <is>
          <t>Boogarr</t>
        </is>
      </c>
      <c r="B27" t="inlineStr">
        <is>
          <t>Goblinisch</t>
        </is>
      </c>
      <c r="C27" t="inlineStr">
        <is>
          <t>Vorderlader</t>
        </is>
      </c>
      <c r="D27" t="inlineStr">
        <is>
          <t>Blei</t>
        </is>
      </c>
      <c r="E27" t="n">
        <v>19</v>
      </c>
      <c r="F27" t="inlineStr">
        <is>
          <t>S.P.&amp;Blei</t>
        </is>
      </c>
      <c r="G27">
        <f>IF(F27="","",IF(COUNTIFS('Munition-Feuerwaffen'!$B$2:$B$35,F27,'Munition-Feuerwaffen'!$C$2:$C$35,E27)=0,"",SUMPRODUCT(('Munition-Feuerwaffen'!$B$2:$B$35=F27)*('Munition-Feuerwaffen'!$C$2:$C$35=E27)*'Munition-Feuerwaffen'!$D$2:$D$35)))</f>
        <v/>
      </c>
      <c r="H27" t="inlineStr">
        <is>
          <t>VL. Papierpatrone</t>
        </is>
      </c>
      <c r="I27">
        <f>IF(H27="","",IF(COUNTIFS('Munition-Feuerwaffen'!$B$2:$B$35,H27,'Munition-Feuerwaffen'!$C$2:$C$35,E27)=0,"",SUMPRODUCT(('Munition-Feuerwaffen'!$B$2:$B$35=H27)*('Munition-Feuerwaffen'!$C$2:$C$35=E27)*'Munition-Feuerwaffen'!$D$2:$D$35)))</f>
        <v/>
      </c>
      <c r="J27" t="inlineStr">
        <is>
          <t>Reduziert die Nachladezeit um 5 Sekunden</t>
        </is>
      </c>
    </row>
    <row r="28">
      <c r="A28" t="inlineStr">
        <is>
          <t>Deegarr</t>
        </is>
      </c>
      <c r="B28" t="inlineStr">
        <is>
          <t>Goblinisch</t>
        </is>
      </c>
      <c r="C28" t="inlineStr">
        <is>
          <t>Klapplauf</t>
        </is>
      </c>
      <c r="D28" t="inlineStr">
        <is>
          <t>Messing Patrone</t>
        </is>
      </c>
      <c r="E28" t="n">
        <v>10</v>
      </c>
      <c r="F28" t="inlineStr">
        <is>
          <t>Messingpatrone</t>
        </is>
      </c>
      <c r="G28">
        <f>IF(F28="","",IF(COUNTIFS('Munition-Feuerwaffen'!$B$2:$B$35,F28,'Munition-Feuerwaffen'!$C$2:$C$35,E28)=0,"",SUMPRODUCT(('Munition-Feuerwaffen'!$B$2:$B$35=F28)*('Munition-Feuerwaffen'!$C$2:$C$35=E28)*'Munition-Feuerwaffen'!$D$2:$D$35)))</f>
        <v/>
      </c>
    </row>
    <row r="29">
      <c r="A29" t="inlineStr">
        <is>
          <t>Duegarr</t>
        </is>
      </c>
      <c r="B29" t="inlineStr">
        <is>
          <t>Goblinisch</t>
        </is>
      </c>
      <c r="C29" t="inlineStr">
        <is>
          <t>Vorderlader</t>
        </is>
      </c>
      <c r="D29" t="inlineStr">
        <is>
          <t>Blei</t>
        </is>
      </c>
      <c r="E29" t="n">
        <v>15</v>
      </c>
      <c r="F29" t="inlineStr">
        <is>
          <t>S.P.&amp;Blei</t>
        </is>
      </c>
      <c r="G29">
        <f>IF(F29="","",IF(COUNTIFS('Munition-Feuerwaffen'!$B$2:$B$35,F29,'Munition-Feuerwaffen'!$C$2:$C$35,E29)=0,"",SUMPRODUCT(('Munition-Feuerwaffen'!$B$2:$B$35=F29)*('Munition-Feuerwaffen'!$C$2:$C$35=E29)*'Munition-Feuerwaffen'!$D$2:$D$35)))</f>
        <v/>
      </c>
      <c r="H29" t="inlineStr">
        <is>
          <t>VL. Papierpatrone</t>
        </is>
      </c>
      <c r="I29">
        <f>IF(H29="","",IF(COUNTIFS('Munition-Feuerwaffen'!$B$2:$B$35,H29,'Munition-Feuerwaffen'!$C$2:$C$35,E29)=0,"",SUMPRODUCT(('Munition-Feuerwaffen'!$B$2:$B$35=H29)*('Munition-Feuerwaffen'!$C$2:$C$35=E29)*'Munition-Feuerwaffen'!$D$2:$D$35)))</f>
        <v/>
      </c>
      <c r="J29" t="inlineStr">
        <is>
          <t>Reduziert die Nachladezeit um 5 Sekunden</t>
        </is>
      </c>
    </row>
    <row r="30">
      <c r="A30" t="inlineStr">
        <is>
          <t>Felpgarr</t>
        </is>
      </c>
      <c r="B30" t="inlineStr">
        <is>
          <t>Goblinisch</t>
        </is>
      </c>
      <c r="C30" t="inlineStr">
        <is>
          <t>Hinterlader</t>
        </is>
      </c>
      <c r="D30" t="inlineStr">
        <is>
          <t>Papier Patrone</t>
        </is>
      </c>
      <c r="E30" t="n">
        <v>16</v>
      </c>
      <c r="F30" t="inlineStr">
        <is>
          <t>Papierpatrone</t>
        </is>
      </c>
      <c r="G30">
        <f>IF(F30="","",IF(COUNTIFS('Munition-Feuerwaffen'!$B$2:$B$35,F30,'Munition-Feuerwaffen'!$C$2:$C$35,E30)=0,"",SUMPRODUCT(('Munition-Feuerwaffen'!$B$2:$B$35=F30)*('Munition-Feuerwaffen'!$C$2:$C$35=E30)*'Munition-Feuerwaffen'!$D$2:$D$35)))</f>
        <v/>
      </c>
    </row>
    <row r="31">
      <c r="A31" t="inlineStr">
        <is>
          <t>Felpteske</t>
        </is>
      </c>
      <c r="B31" t="inlineStr">
        <is>
          <t>Goblinisch</t>
        </is>
      </c>
      <c r="C31" t="inlineStr">
        <is>
          <t>Hinterlader</t>
        </is>
      </c>
      <c r="D31" t="inlineStr">
        <is>
          <t>Papier Patrone</t>
        </is>
      </c>
      <c r="E31" t="n">
        <v>16</v>
      </c>
      <c r="F31" t="inlineStr">
        <is>
          <t>Papierpatrone</t>
        </is>
      </c>
      <c r="G31">
        <f>IF(F31="","",IF(COUNTIFS('Munition-Feuerwaffen'!$B$2:$B$35,F31,'Munition-Feuerwaffen'!$C$2:$C$35,E31)=0,"",SUMPRODUCT(('Munition-Feuerwaffen'!$B$2:$B$35=F31)*('Munition-Feuerwaffen'!$C$2:$C$35=E31)*'Munition-Feuerwaffen'!$D$2:$D$35)))</f>
        <v/>
      </c>
    </row>
    <row r="32">
      <c r="A32" t="inlineStr">
        <is>
          <t>Froggler</t>
        </is>
      </c>
      <c r="B32" t="inlineStr">
        <is>
          <t>Goblinisch</t>
        </is>
      </c>
      <c r="C32" t="inlineStr">
        <is>
          <t>Vorderlader</t>
        </is>
      </c>
      <c r="D32" t="inlineStr">
        <is>
          <t>Blei</t>
        </is>
      </c>
      <c r="E32" t="n">
        <v>16</v>
      </c>
      <c r="F32" t="inlineStr">
        <is>
          <t>S.P.&amp;Blei</t>
        </is>
      </c>
      <c r="G32">
        <f>IF(F32="","",IF(COUNTIFS('Munition-Feuerwaffen'!$B$2:$B$35,F32,'Munition-Feuerwaffen'!$C$2:$C$35,E32)=0,"",SUMPRODUCT(('Munition-Feuerwaffen'!$B$2:$B$35=F32)*('Munition-Feuerwaffen'!$C$2:$C$35=E32)*'Munition-Feuerwaffen'!$D$2:$D$35)))</f>
        <v/>
      </c>
      <c r="H32" t="inlineStr">
        <is>
          <t>VL. Papierpatrone</t>
        </is>
      </c>
      <c r="I32">
        <f>IF(H32="","",IF(COUNTIFS('Munition-Feuerwaffen'!$B$2:$B$35,H32,'Munition-Feuerwaffen'!$C$2:$C$35,E32)=0,"",SUMPRODUCT(('Munition-Feuerwaffen'!$B$2:$B$35=H32)*('Munition-Feuerwaffen'!$C$2:$C$35=E32)*'Munition-Feuerwaffen'!$D$2:$D$35)))</f>
        <v/>
      </c>
      <c r="J32" t="inlineStr">
        <is>
          <t>Reduziert die Nachladezeit um 5 Sekunden</t>
        </is>
      </c>
    </row>
    <row r="33">
      <c r="A33" t="inlineStr">
        <is>
          <t>Garr</t>
        </is>
      </c>
      <c r="B33" t="inlineStr">
        <is>
          <t>Goblinisch</t>
        </is>
      </c>
      <c r="C33" t="inlineStr">
        <is>
          <t>Vorderlader</t>
        </is>
      </c>
      <c r="D33" t="inlineStr">
        <is>
          <t>Blei</t>
        </is>
      </c>
      <c r="E33" t="n">
        <v>16</v>
      </c>
      <c r="F33" t="inlineStr">
        <is>
          <t>S.P.&amp;Blei</t>
        </is>
      </c>
      <c r="G33">
        <f>IF(F33="","",IF(COUNTIFS('Munition-Feuerwaffen'!$B$2:$B$35,F33,'Munition-Feuerwaffen'!$C$2:$C$35,E33)=0,"",SUMPRODUCT(('Munition-Feuerwaffen'!$B$2:$B$35=F33)*('Munition-Feuerwaffen'!$C$2:$C$35=E33)*'Munition-Feuerwaffen'!$D$2:$D$35)))</f>
        <v/>
      </c>
      <c r="H33" t="inlineStr">
        <is>
          <t>VL. Papierpatrone</t>
        </is>
      </c>
      <c r="I33">
        <f>IF(H33="","",IF(COUNTIFS('Munition-Feuerwaffen'!$B$2:$B$35,H33,'Munition-Feuerwaffen'!$C$2:$C$35,E33)=0,"",SUMPRODUCT(('Munition-Feuerwaffen'!$B$2:$B$35=H33)*('Munition-Feuerwaffen'!$C$2:$C$35=E33)*'Munition-Feuerwaffen'!$D$2:$D$35)))</f>
        <v/>
      </c>
      <c r="J33" t="inlineStr">
        <is>
          <t>Reduziert die Nachladezeit um 5 Sekunden</t>
        </is>
      </c>
    </row>
    <row r="34">
      <c r="A34" t="inlineStr">
        <is>
          <t>Gliksik</t>
        </is>
      </c>
      <c r="B34" t="inlineStr">
        <is>
          <t>Goblinisch</t>
        </is>
      </c>
      <c r="C34" t="inlineStr">
        <is>
          <t>Klapplauf</t>
        </is>
      </c>
      <c r="D34" t="inlineStr">
        <is>
          <t>Messing Patrone</t>
        </is>
      </c>
      <c r="E34" t="n">
        <v>10</v>
      </c>
      <c r="F34" t="inlineStr">
        <is>
          <t>Messingpatrone</t>
        </is>
      </c>
      <c r="G34">
        <f>IF(F34="","",IF(COUNTIFS('Munition-Feuerwaffen'!$B$2:$B$35,F34,'Munition-Feuerwaffen'!$C$2:$C$35,E34)=0,"",SUMPRODUCT(('Munition-Feuerwaffen'!$B$2:$B$35=F34)*('Munition-Feuerwaffen'!$C$2:$C$35=E34)*'Munition-Feuerwaffen'!$D$2:$D$35)))</f>
        <v/>
      </c>
    </row>
    <row r="35">
      <c r="A35" t="inlineStr">
        <is>
          <t>Gnarrgarr</t>
        </is>
      </c>
      <c r="B35" t="inlineStr">
        <is>
          <t>Goblinisch</t>
        </is>
      </c>
      <c r="C35" t="inlineStr">
        <is>
          <t>Vorderlader</t>
        </is>
      </c>
      <c r="D35" t="inlineStr">
        <is>
          <t>Blei</t>
        </is>
      </c>
      <c r="E35" t="n">
        <v>18</v>
      </c>
      <c r="F35" t="inlineStr">
        <is>
          <t>S.P.&amp;Blei</t>
        </is>
      </c>
      <c r="G35">
        <f>IF(F35="","",IF(COUNTIFS('Munition-Feuerwaffen'!$B$2:$B$35,F35,'Munition-Feuerwaffen'!$C$2:$C$35,E35)=0,"",SUMPRODUCT(('Munition-Feuerwaffen'!$B$2:$B$35=F35)*('Munition-Feuerwaffen'!$C$2:$C$35=E35)*'Munition-Feuerwaffen'!$D$2:$D$35)))</f>
        <v/>
      </c>
      <c r="H35" t="inlineStr">
        <is>
          <t>VL. Papierpatrone</t>
        </is>
      </c>
      <c r="I35">
        <f>IF(H35="","",IF(COUNTIFS('Munition-Feuerwaffen'!$B$2:$B$35,H35,'Munition-Feuerwaffen'!$C$2:$C$35,E35)=0,"",SUMPRODUCT(('Munition-Feuerwaffen'!$B$2:$B$35=H35)*('Munition-Feuerwaffen'!$C$2:$C$35=E35)*'Munition-Feuerwaffen'!$D$2:$D$35)))</f>
        <v/>
      </c>
      <c r="J35" t="inlineStr">
        <is>
          <t>Reduziert die Nachladezeit um 5 Sekunden</t>
        </is>
      </c>
    </row>
    <row r="36">
      <c r="A36" t="inlineStr">
        <is>
          <t>Goldbeißer</t>
        </is>
      </c>
      <c r="B36" t="inlineStr">
        <is>
          <t>Goblinisch</t>
        </is>
      </c>
      <c r="C36" t="inlineStr">
        <is>
          <t>Block- oder Scharnierverschluss</t>
        </is>
      </c>
      <c r="D36" t="inlineStr">
        <is>
          <t>Messing Patrone</t>
        </is>
      </c>
      <c r="E36" t="n">
        <v>11</v>
      </c>
      <c r="F36" t="inlineStr">
        <is>
          <t>Messingpatrone</t>
        </is>
      </c>
      <c r="G36">
        <f>IF(F36="","",IF(COUNTIFS('Munition-Feuerwaffen'!$B$2:$B$35,F36,'Munition-Feuerwaffen'!$C$2:$C$35,E36)=0,"",SUMPRODUCT(('Munition-Feuerwaffen'!$B$2:$B$35=F36)*('Munition-Feuerwaffen'!$C$2:$C$35=E36)*'Munition-Feuerwaffen'!$D$2:$D$35)))</f>
        <v/>
      </c>
    </row>
    <row r="37">
      <c r="A37" t="inlineStr">
        <is>
          <t>Kickgarr</t>
        </is>
      </c>
      <c r="B37" t="inlineStr">
        <is>
          <t>Goblinisch</t>
        </is>
      </c>
      <c r="C37" t="inlineStr">
        <is>
          <t>Klapplauf</t>
        </is>
      </c>
      <c r="D37" t="inlineStr">
        <is>
          <t>Messing Patrone</t>
        </is>
      </c>
      <c r="E37" t="n">
        <v>10</v>
      </c>
      <c r="F37" t="inlineStr">
        <is>
          <t>Messingpatrone</t>
        </is>
      </c>
      <c r="G37">
        <f>IF(F37="","",IF(COUNTIFS('Munition-Feuerwaffen'!$B$2:$B$35,F37,'Munition-Feuerwaffen'!$C$2:$C$35,E37)=0,"",SUMPRODUCT(('Munition-Feuerwaffen'!$B$2:$B$35=F37)*('Munition-Feuerwaffen'!$C$2:$C$35=E37)*'Munition-Feuerwaffen'!$D$2:$D$35)))</f>
        <v/>
      </c>
    </row>
    <row r="38">
      <c r="A38" t="inlineStr">
        <is>
          <t>Metgarr</t>
        </is>
      </c>
      <c r="B38" t="inlineStr">
        <is>
          <t>Goblinisch</t>
        </is>
      </c>
      <c r="C38" t="inlineStr">
        <is>
          <t>Vorderlader</t>
        </is>
      </c>
      <c r="D38" t="inlineStr">
        <is>
          <t>Blei</t>
        </is>
      </c>
      <c r="E38" t="n">
        <v>20</v>
      </c>
      <c r="F38" t="inlineStr">
        <is>
          <t>S.P.&amp;Blei</t>
        </is>
      </c>
      <c r="G38">
        <f>IF(F38="","",IF(COUNTIFS('Munition-Feuerwaffen'!$B$2:$B$35,F38,'Munition-Feuerwaffen'!$C$2:$C$35,E38)=0,"",SUMPRODUCT(('Munition-Feuerwaffen'!$B$2:$B$35=F38)*('Munition-Feuerwaffen'!$C$2:$C$35=E38)*'Munition-Feuerwaffen'!$D$2:$D$35)))</f>
        <v/>
      </c>
      <c r="H38" t="inlineStr">
        <is>
          <t>VL. Papierpatrone</t>
        </is>
      </c>
      <c r="I38">
        <f>IF(H38="","",IF(COUNTIFS('Munition-Feuerwaffen'!$B$2:$B$35,H38,'Munition-Feuerwaffen'!$C$2:$C$35,E38)=0,"",SUMPRODUCT(('Munition-Feuerwaffen'!$B$2:$B$35=H38)*('Munition-Feuerwaffen'!$C$2:$C$35=E38)*'Munition-Feuerwaffen'!$D$2:$D$35)))</f>
        <v/>
      </c>
      <c r="J38" t="inlineStr">
        <is>
          <t>Reduziert die Nachladezeit um 5 Sekunden</t>
        </is>
      </c>
    </row>
    <row r="39">
      <c r="A39" t="inlineStr">
        <is>
          <t>Modsgarr</t>
        </is>
      </c>
      <c r="B39" t="inlineStr">
        <is>
          <t>Goblinisch</t>
        </is>
      </c>
      <c r="C39" t="inlineStr">
        <is>
          <t>Klapplauf</t>
        </is>
      </c>
      <c r="D39" t="inlineStr">
        <is>
          <t>Messing Patrone</t>
        </is>
      </c>
      <c r="E39" t="n">
        <v>9</v>
      </c>
      <c r="F39" t="inlineStr">
        <is>
          <t>Messingpatrone</t>
        </is>
      </c>
      <c r="G39">
        <f>IF(F39="","",IF(COUNTIFS('Munition-Feuerwaffen'!$B$2:$B$35,F39,'Munition-Feuerwaffen'!$C$2:$C$35,E39)=0,"",SUMPRODUCT(('Munition-Feuerwaffen'!$B$2:$B$35=F39)*('Munition-Feuerwaffen'!$C$2:$C$35=E39)*'Munition-Feuerwaffen'!$D$2:$D$35)))</f>
        <v/>
      </c>
    </row>
    <row r="40">
      <c r="A40" t="inlineStr">
        <is>
          <t>Nargarr</t>
        </is>
      </c>
      <c r="B40" t="inlineStr">
        <is>
          <t>Goblinisch</t>
        </is>
      </c>
      <c r="C40" t="inlineStr">
        <is>
          <t>Vorderlader</t>
        </is>
      </c>
      <c r="D40" t="inlineStr">
        <is>
          <t>Blei</t>
        </is>
      </c>
      <c r="E40" t="n">
        <v>16</v>
      </c>
      <c r="F40" t="inlineStr">
        <is>
          <t>S.P.&amp;Blei</t>
        </is>
      </c>
      <c r="G40">
        <f>IF(F40="","",IF(COUNTIFS('Munition-Feuerwaffen'!$B$2:$B$35,F40,'Munition-Feuerwaffen'!$C$2:$C$35,E40)=0,"",SUMPRODUCT(('Munition-Feuerwaffen'!$B$2:$B$35=F40)*('Munition-Feuerwaffen'!$C$2:$C$35=E40)*'Munition-Feuerwaffen'!$D$2:$D$35)))</f>
        <v/>
      </c>
      <c r="H40" t="inlineStr">
        <is>
          <t>VL. Papierpatrone</t>
        </is>
      </c>
      <c r="I40">
        <f>IF(H40="","",IF(COUNTIFS('Munition-Feuerwaffen'!$B$2:$B$35,H40,'Munition-Feuerwaffen'!$C$2:$C$35,E40)=0,"",SUMPRODUCT(('Munition-Feuerwaffen'!$B$2:$B$35=H40)*('Munition-Feuerwaffen'!$C$2:$C$35=E40)*'Munition-Feuerwaffen'!$D$2:$D$35)))</f>
        <v/>
      </c>
      <c r="J40" t="inlineStr">
        <is>
          <t>Reduziert die Nachladezeit um 5 Sekunden</t>
        </is>
      </c>
    </row>
    <row r="41">
      <c r="A41" t="inlineStr">
        <is>
          <t>Scopgarr</t>
        </is>
      </c>
      <c r="B41" t="inlineStr">
        <is>
          <t>Goblinisch</t>
        </is>
      </c>
      <c r="C41" t="inlineStr">
        <is>
          <t>Vorderlader</t>
        </is>
      </c>
      <c r="D41" t="inlineStr">
        <is>
          <t>Harpune</t>
        </is>
      </c>
      <c r="E41" t="n">
        <v>16</v>
      </c>
      <c r="G41">
        <f>IF(F41="","",IF(COUNTIFS('Munition-Feuerwaffen'!$B$2:$B$35,F41,'Munition-Feuerwaffen'!$C$2:$C$35,E41)=0,"",SUMPRODUCT(('Munition-Feuerwaffen'!$B$2:$B$35=F41)*('Munition-Feuerwaffen'!$C$2:$C$35=E41)*'Munition-Feuerwaffen'!$D$2:$D$35)))</f>
        <v/>
      </c>
      <c r="K41" t="inlineStr">
        <is>
          <t>Munition-Typ 'Harpune' nicht in Munition-Feuerwaffen-Tabelle vorhanden (kein Preis in Quelle)</t>
        </is>
      </c>
    </row>
    <row r="42">
      <c r="A42" t="inlineStr">
        <is>
          <t>Silberbeißer</t>
        </is>
      </c>
      <c r="B42" t="inlineStr">
        <is>
          <t>Goblinisch</t>
        </is>
      </c>
      <c r="C42" t="inlineStr">
        <is>
          <t>Block- oder Scharnierverschluss</t>
        </is>
      </c>
      <c r="D42" t="inlineStr">
        <is>
          <t>Messing Patrone</t>
        </is>
      </c>
      <c r="E42" t="n">
        <v>10</v>
      </c>
      <c r="F42" t="inlineStr">
        <is>
          <t>Messingpatrone</t>
        </is>
      </c>
      <c r="G42">
        <f>IF(F42="","",IF(COUNTIFS('Munition-Feuerwaffen'!$B$2:$B$35,F42,'Munition-Feuerwaffen'!$C$2:$C$35,E42)=0,"",SUMPRODUCT(('Munition-Feuerwaffen'!$B$2:$B$35=F42)*('Munition-Feuerwaffen'!$C$2:$C$35=E42)*'Munition-Feuerwaffen'!$D$2:$D$35)))</f>
        <v/>
      </c>
    </row>
    <row r="43">
      <c r="A43" t="inlineStr">
        <is>
          <t>Slipgarr</t>
        </is>
      </c>
      <c r="B43" t="inlineStr">
        <is>
          <t>Goblinisch</t>
        </is>
      </c>
      <c r="C43" t="inlineStr">
        <is>
          <t>Vorderlader</t>
        </is>
      </c>
      <c r="D43" t="inlineStr">
        <is>
          <t>Blei</t>
        </is>
      </c>
      <c r="E43" t="n">
        <v>16</v>
      </c>
      <c r="F43" t="inlineStr">
        <is>
          <t>S.P.&amp;Blei</t>
        </is>
      </c>
      <c r="G43">
        <f>IF(F43="","",IF(COUNTIFS('Munition-Feuerwaffen'!$B$2:$B$35,F43,'Munition-Feuerwaffen'!$C$2:$C$35,E43)=0,"",SUMPRODUCT(('Munition-Feuerwaffen'!$B$2:$B$35=F43)*('Munition-Feuerwaffen'!$C$2:$C$35=E43)*'Munition-Feuerwaffen'!$D$2:$D$35)))</f>
        <v/>
      </c>
      <c r="H43" t="inlineStr">
        <is>
          <t>VL. Papierpatrone</t>
        </is>
      </c>
      <c r="I43">
        <f>IF(H43="","",IF(COUNTIFS('Munition-Feuerwaffen'!$B$2:$B$35,H43,'Munition-Feuerwaffen'!$C$2:$C$35,E43)=0,"",SUMPRODUCT(('Munition-Feuerwaffen'!$B$2:$B$35=H43)*('Munition-Feuerwaffen'!$C$2:$C$35=E43)*'Munition-Feuerwaffen'!$D$2:$D$35)))</f>
        <v/>
      </c>
      <c r="J43" t="inlineStr">
        <is>
          <t>Reduziert die Nachladezeit um 5 Sekunden</t>
        </is>
      </c>
    </row>
    <row r="44">
      <c r="A44" t="inlineStr">
        <is>
          <t>Tikgarr</t>
        </is>
      </c>
      <c r="B44" t="inlineStr">
        <is>
          <t>Goblinisch</t>
        </is>
      </c>
      <c r="C44" t="inlineStr">
        <is>
          <t>Vorderlader</t>
        </is>
      </c>
      <c r="D44" t="inlineStr">
        <is>
          <t>Blei</t>
        </is>
      </c>
      <c r="E44" t="n">
        <v>17</v>
      </c>
      <c r="F44" t="inlineStr">
        <is>
          <t>S.P.&amp;Blei</t>
        </is>
      </c>
      <c r="G44">
        <f>IF(F44="","",IF(COUNTIFS('Munition-Feuerwaffen'!$B$2:$B$35,F44,'Munition-Feuerwaffen'!$C$2:$C$35,E44)=0,"",SUMPRODUCT(('Munition-Feuerwaffen'!$B$2:$B$35=F44)*('Munition-Feuerwaffen'!$C$2:$C$35=E44)*'Munition-Feuerwaffen'!$D$2:$D$35)))</f>
        <v/>
      </c>
      <c r="H44" t="inlineStr">
        <is>
          <t>VL. Papierpatrone</t>
        </is>
      </c>
      <c r="I44">
        <f>IF(H44="","",IF(COUNTIFS('Munition-Feuerwaffen'!$B$2:$B$35,H44,'Munition-Feuerwaffen'!$C$2:$C$35,E44)=0,"",SUMPRODUCT(('Munition-Feuerwaffen'!$B$2:$B$35=H44)*('Munition-Feuerwaffen'!$C$2:$C$35=E44)*'Munition-Feuerwaffen'!$D$2:$D$35)))</f>
        <v/>
      </c>
      <c r="J44" t="inlineStr">
        <is>
          <t>Reduziert die Nachladezeit um 5 Sekunden</t>
        </is>
      </c>
    </row>
    <row r="45">
      <c r="A45" t="inlineStr">
        <is>
          <t>Bestskueek</t>
        </is>
      </c>
      <c r="B45" t="inlineStr">
        <is>
          <t>Goblinisch</t>
        </is>
      </c>
      <c r="C45" t="inlineStr">
        <is>
          <t>Klapplauf</t>
        </is>
      </c>
      <c r="D45" t="inlineStr">
        <is>
          <t>Messing Patrone</t>
        </is>
      </c>
      <c r="E45" t="n">
        <v>7</v>
      </c>
      <c r="F45" t="inlineStr">
        <is>
          <t>Messingpatrone</t>
        </is>
      </c>
      <c r="G45">
        <f>IF(F45="","",IF(COUNTIFS('Munition-Feuerwaffen'!$B$2:$B$35,F45,'Munition-Feuerwaffen'!$C$2:$C$35,E45)=0,"",SUMPRODUCT(('Munition-Feuerwaffen'!$B$2:$B$35=F45)*('Munition-Feuerwaffen'!$C$2:$C$35=E45)*'Munition-Feuerwaffen'!$D$2:$D$35)))</f>
        <v/>
      </c>
    </row>
    <row r="46">
      <c r="A46" t="inlineStr">
        <is>
          <t>Blizskueek</t>
        </is>
      </c>
      <c r="B46" t="inlineStr">
        <is>
          <t>Goblinisch</t>
        </is>
      </c>
      <c r="C46" t="inlineStr">
        <is>
          <t>Vorderlader</t>
        </is>
      </c>
      <c r="D46" t="inlineStr">
        <is>
          <t>Blei</t>
        </is>
      </c>
      <c r="E46" t="n">
        <v>13</v>
      </c>
      <c r="F46" t="inlineStr">
        <is>
          <t>S.P.&amp;Blei</t>
        </is>
      </c>
      <c r="G46">
        <f>IF(F46="","",IF(COUNTIFS('Munition-Feuerwaffen'!$B$2:$B$35,F46,'Munition-Feuerwaffen'!$C$2:$C$35,E46)=0,"",SUMPRODUCT(('Munition-Feuerwaffen'!$B$2:$B$35=F46)*('Munition-Feuerwaffen'!$C$2:$C$35=E46)*'Munition-Feuerwaffen'!$D$2:$D$35)))</f>
        <v/>
      </c>
      <c r="H46" t="inlineStr">
        <is>
          <t>VL. Papierpatrone</t>
        </is>
      </c>
      <c r="I46">
        <f>IF(H46="","",IF(COUNTIFS('Munition-Feuerwaffen'!$B$2:$B$35,H46,'Munition-Feuerwaffen'!$C$2:$C$35,E46)=0,"",SUMPRODUCT(('Munition-Feuerwaffen'!$B$2:$B$35=H46)*('Munition-Feuerwaffen'!$C$2:$C$35=E46)*'Munition-Feuerwaffen'!$D$2:$D$35)))</f>
        <v/>
      </c>
      <c r="J46" t="inlineStr">
        <is>
          <t>Reduziert die Nachladezeit um 5 Sekunden</t>
        </is>
      </c>
    </row>
    <row r="47">
      <c r="A47" t="inlineStr">
        <is>
          <t>Booskueek</t>
        </is>
      </c>
      <c r="B47" t="inlineStr">
        <is>
          <t>Goblinisch</t>
        </is>
      </c>
      <c r="C47" t="inlineStr">
        <is>
          <t>Vorderlader</t>
        </is>
      </c>
      <c r="D47" t="inlineStr">
        <is>
          <t>Blei</t>
        </is>
      </c>
      <c r="E47" t="n">
        <v>16</v>
      </c>
      <c r="F47" t="inlineStr">
        <is>
          <t>S.P.&amp;Blei</t>
        </is>
      </c>
      <c r="G47">
        <f>IF(F47="","",IF(COUNTIFS('Munition-Feuerwaffen'!$B$2:$B$35,F47,'Munition-Feuerwaffen'!$C$2:$C$35,E47)=0,"",SUMPRODUCT(('Munition-Feuerwaffen'!$B$2:$B$35=F47)*('Munition-Feuerwaffen'!$C$2:$C$35=E47)*'Munition-Feuerwaffen'!$D$2:$D$35)))</f>
        <v/>
      </c>
      <c r="H47" t="inlineStr">
        <is>
          <t>VL. Papierpatrone</t>
        </is>
      </c>
      <c r="I47">
        <f>IF(H47="","",IF(COUNTIFS('Munition-Feuerwaffen'!$B$2:$B$35,H47,'Munition-Feuerwaffen'!$C$2:$C$35,E47)=0,"",SUMPRODUCT(('Munition-Feuerwaffen'!$B$2:$B$35=H47)*('Munition-Feuerwaffen'!$C$2:$C$35=E47)*'Munition-Feuerwaffen'!$D$2:$D$35)))</f>
        <v/>
      </c>
      <c r="J47" t="inlineStr">
        <is>
          <t>Reduziert die Nachladezeit um 5 Sekunden</t>
        </is>
      </c>
    </row>
    <row r="48">
      <c r="A48" t="inlineStr">
        <is>
          <t>Dueskueek</t>
        </is>
      </c>
      <c r="B48" t="inlineStr">
        <is>
          <t>Goblinisch</t>
        </is>
      </c>
      <c r="C48" t="inlineStr">
        <is>
          <t>Vorderlader</t>
        </is>
      </c>
      <c r="D48" t="inlineStr">
        <is>
          <t>Blei</t>
        </is>
      </c>
      <c r="E48" t="n">
        <v>12</v>
      </c>
      <c r="F48" t="inlineStr">
        <is>
          <t>S.P.&amp;Blei</t>
        </is>
      </c>
      <c r="G48">
        <f>IF(F48="","",IF(COUNTIFS('Munition-Feuerwaffen'!$B$2:$B$35,F48,'Munition-Feuerwaffen'!$C$2:$C$35,E48)=0,"",SUMPRODUCT(('Munition-Feuerwaffen'!$B$2:$B$35=F48)*('Munition-Feuerwaffen'!$C$2:$C$35=E48)*'Munition-Feuerwaffen'!$D$2:$D$35)))</f>
        <v/>
      </c>
      <c r="H48" t="inlineStr">
        <is>
          <t>VL. Papierpatrone</t>
        </is>
      </c>
      <c r="I48">
        <f>IF(H48="","",IF(COUNTIFS('Munition-Feuerwaffen'!$B$2:$B$35,H48,'Munition-Feuerwaffen'!$C$2:$C$35,E48)=0,"",SUMPRODUCT(('Munition-Feuerwaffen'!$B$2:$B$35=H48)*('Munition-Feuerwaffen'!$C$2:$C$35=E48)*'Munition-Feuerwaffen'!$D$2:$D$35)))</f>
        <v/>
      </c>
      <c r="J48" t="inlineStr">
        <is>
          <t>Reduziert die Nachladezeit um 5 Sekunden</t>
        </is>
      </c>
    </row>
    <row r="49">
      <c r="A49" t="inlineStr">
        <is>
          <t>Duetarskueek</t>
        </is>
      </c>
      <c r="B49" t="inlineStr">
        <is>
          <t>Goblinisch</t>
        </is>
      </c>
      <c r="C49" t="inlineStr">
        <is>
          <t>Klapplauf</t>
        </is>
      </c>
      <c r="D49" t="inlineStr">
        <is>
          <t>Messing Patrone</t>
        </is>
      </c>
      <c r="E49" t="n">
        <v>6</v>
      </c>
      <c r="F49" t="inlineStr">
        <is>
          <t>Messingpatrone</t>
        </is>
      </c>
      <c r="G49">
        <f>IF(F49="","",IF(COUNTIFS('Munition-Feuerwaffen'!$B$2:$B$35,F49,'Munition-Feuerwaffen'!$C$2:$C$35,E49)=0,"",SUMPRODUCT(('Munition-Feuerwaffen'!$B$2:$B$35=F49)*('Munition-Feuerwaffen'!$C$2:$C$35=E49)*'Munition-Feuerwaffen'!$D$2:$D$35)))</f>
        <v/>
      </c>
      <c r="K49" t="inlineStr">
        <is>
          <t>Kaliber 6 fuer 'Messingpatrone' nicht in Munition-Feuerwaffen-Tabelle vorhanden (kein Preis in Quelle)</t>
        </is>
      </c>
    </row>
    <row r="50">
      <c r="A50" t="inlineStr">
        <is>
          <t>Fips</t>
        </is>
      </c>
      <c r="B50" t="inlineStr">
        <is>
          <t>Goblinisch</t>
        </is>
      </c>
      <c r="C50" t="inlineStr">
        <is>
          <t>Klapplauf</t>
        </is>
      </c>
      <c r="D50" t="inlineStr">
        <is>
          <t>Messing Patrone</t>
        </is>
      </c>
      <c r="E50" t="n">
        <v>5</v>
      </c>
      <c r="F50" t="inlineStr">
        <is>
          <t>Messingpatrone</t>
        </is>
      </c>
      <c r="G50">
        <f>IF(F50="","",IF(COUNTIFS('Munition-Feuerwaffen'!$B$2:$B$35,F50,'Munition-Feuerwaffen'!$C$2:$C$35,E50)=0,"",SUMPRODUCT(('Munition-Feuerwaffen'!$B$2:$B$35=F50)*('Munition-Feuerwaffen'!$C$2:$C$35=E50)*'Munition-Feuerwaffen'!$D$2:$D$35)))</f>
        <v/>
      </c>
      <c r="K50" t="inlineStr">
        <is>
          <t>Kaliber 5 fuer 'Messingpatrone' nicht in Munition-Feuerwaffen-Tabelle vorhanden (kein Preis in Quelle)</t>
        </is>
      </c>
    </row>
    <row r="51">
      <c r="A51" t="inlineStr">
        <is>
          <t>Hydra</t>
        </is>
      </c>
      <c r="B51" t="inlineStr">
        <is>
          <t>Goblinisch</t>
        </is>
      </c>
      <c r="C51" t="inlineStr">
        <is>
          <t>Vorderlader</t>
        </is>
      </c>
      <c r="D51" t="inlineStr">
        <is>
          <t>Blei</t>
        </is>
      </c>
      <c r="E51" t="n">
        <v>12</v>
      </c>
      <c r="F51" t="inlineStr">
        <is>
          <t>S.P.&amp;Blei</t>
        </is>
      </c>
      <c r="G51">
        <f>IF(F51="","",IF(COUNTIFS('Munition-Feuerwaffen'!$B$2:$B$35,F51,'Munition-Feuerwaffen'!$C$2:$C$35,E51)=0,"",SUMPRODUCT(('Munition-Feuerwaffen'!$B$2:$B$35=F51)*('Munition-Feuerwaffen'!$C$2:$C$35=E51)*'Munition-Feuerwaffen'!$D$2:$D$35)))</f>
        <v/>
      </c>
      <c r="H51" t="inlineStr">
        <is>
          <t>VL. Papierpatrone</t>
        </is>
      </c>
      <c r="I51">
        <f>IF(H51="","",IF(COUNTIFS('Munition-Feuerwaffen'!$B$2:$B$35,H51,'Munition-Feuerwaffen'!$C$2:$C$35,E51)=0,"",SUMPRODUCT(('Munition-Feuerwaffen'!$B$2:$B$35=H51)*('Munition-Feuerwaffen'!$C$2:$C$35=E51)*'Munition-Feuerwaffen'!$D$2:$D$35)))</f>
        <v/>
      </c>
      <c r="J51" t="inlineStr">
        <is>
          <t>Reduziert die Nachladezeit um 5 Sekunden</t>
        </is>
      </c>
    </row>
    <row r="52">
      <c r="A52" t="inlineStr">
        <is>
          <t>Nackskueek</t>
        </is>
      </c>
      <c r="B52" t="inlineStr">
        <is>
          <t>Goblinisch</t>
        </is>
      </c>
      <c r="C52" t="inlineStr">
        <is>
          <t>Vorderlader</t>
        </is>
      </c>
      <c r="D52" t="inlineStr">
        <is>
          <t>Blei</t>
        </is>
      </c>
      <c r="E52" t="n">
        <v>13</v>
      </c>
      <c r="F52" t="inlineStr">
        <is>
          <t>S.P.&amp;Blei</t>
        </is>
      </c>
      <c r="G52">
        <f>IF(F52="","",IF(COUNTIFS('Munition-Feuerwaffen'!$B$2:$B$35,F52,'Munition-Feuerwaffen'!$C$2:$C$35,E52)=0,"",SUMPRODUCT(('Munition-Feuerwaffen'!$B$2:$B$35=F52)*('Munition-Feuerwaffen'!$C$2:$C$35=E52)*'Munition-Feuerwaffen'!$D$2:$D$35)))</f>
        <v/>
      </c>
      <c r="H52" t="inlineStr">
        <is>
          <t>VL. Papierpatrone</t>
        </is>
      </c>
      <c r="I52">
        <f>IF(H52="","",IF(COUNTIFS('Munition-Feuerwaffen'!$B$2:$B$35,H52,'Munition-Feuerwaffen'!$C$2:$C$35,E52)=0,"",SUMPRODUCT(('Munition-Feuerwaffen'!$B$2:$B$35=H52)*('Munition-Feuerwaffen'!$C$2:$C$35=E52)*'Munition-Feuerwaffen'!$D$2:$D$35)))</f>
        <v/>
      </c>
      <c r="J52" t="inlineStr">
        <is>
          <t>Reduziert die Nachladezeit um 5 Sekunden</t>
        </is>
      </c>
    </row>
    <row r="53">
      <c r="A53" t="inlineStr">
        <is>
          <t>Skueek</t>
        </is>
      </c>
      <c r="B53" t="inlineStr">
        <is>
          <t>Goblinisch</t>
        </is>
      </c>
      <c r="C53" t="inlineStr">
        <is>
          <t>Vorderlader</t>
        </is>
      </c>
      <c r="D53" t="inlineStr">
        <is>
          <t>Blei</t>
        </is>
      </c>
      <c r="E53" t="n">
        <v>13</v>
      </c>
      <c r="F53" t="inlineStr">
        <is>
          <t>S.P.&amp;Blei</t>
        </is>
      </c>
      <c r="G53">
        <f>IF(F53="","",IF(COUNTIFS('Munition-Feuerwaffen'!$B$2:$B$35,F53,'Munition-Feuerwaffen'!$C$2:$C$35,E53)=0,"",SUMPRODUCT(('Munition-Feuerwaffen'!$B$2:$B$35=F53)*('Munition-Feuerwaffen'!$C$2:$C$35=E53)*'Munition-Feuerwaffen'!$D$2:$D$35)))</f>
        <v/>
      </c>
      <c r="H53" t="inlineStr">
        <is>
          <t>VL. Papierpatrone</t>
        </is>
      </c>
      <c r="I53">
        <f>IF(H53="","",IF(COUNTIFS('Munition-Feuerwaffen'!$B$2:$B$35,H53,'Munition-Feuerwaffen'!$C$2:$C$35,E53)=0,"",SUMPRODUCT(('Munition-Feuerwaffen'!$B$2:$B$35=H53)*('Munition-Feuerwaffen'!$C$2:$C$35=E53)*'Munition-Feuerwaffen'!$D$2:$D$35)))</f>
        <v/>
      </c>
      <c r="J53" t="inlineStr">
        <is>
          <t>Reduziert die Nachladezeit um 5 Sekunden</t>
        </is>
      </c>
    </row>
    <row r="54">
      <c r="A54" t="inlineStr">
        <is>
          <t>Slipskueek</t>
        </is>
      </c>
      <c r="B54" t="inlineStr">
        <is>
          <t>Goblinisch</t>
        </is>
      </c>
      <c r="C54" t="inlineStr">
        <is>
          <t>Vorderlader</t>
        </is>
      </c>
      <c r="D54" t="inlineStr">
        <is>
          <t>Blei</t>
        </is>
      </c>
      <c r="E54" t="n">
        <v>13</v>
      </c>
      <c r="F54" t="inlineStr">
        <is>
          <t>S.P.&amp;Blei</t>
        </is>
      </c>
      <c r="G54">
        <f>IF(F54="","",IF(COUNTIFS('Munition-Feuerwaffen'!$B$2:$B$35,F54,'Munition-Feuerwaffen'!$C$2:$C$35,E54)=0,"",SUMPRODUCT(('Munition-Feuerwaffen'!$B$2:$B$35=F54)*('Munition-Feuerwaffen'!$C$2:$C$35=E54)*'Munition-Feuerwaffen'!$D$2:$D$35)))</f>
        <v/>
      </c>
      <c r="H54" t="inlineStr">
        <is>
          <t>VL. Papierpatrone</t>
        </is>
      </c>
      <c r="I54">
        <f>IF(H54="","",IF(COUNTIFS('Munition-Feuerwaffen'!$B$2:$B$35,H54,'Munition-Feuerwaffen'!$C$2:$C$35,E54)=0,"",SUMPRODUCT(('Munition-Feuerwaffen'!$B$2:$B$35=H54)*('Munition-Feuerwaffen'!$C$2:$C$35=E54)*'Munition-Feuerwaffen'!$D$2:$D$35)))</f>
        <v/>
      </c>
      <c r="J54" t="inlineStr">
        <is>
          <t>Reduziert die Nachladezeit um 5 Sekunden</t>
        </is>
      </c>
    </row>
    <row r="55">
      <c r="A55" t="inlineStr">
        <is>
          <t>Tarskueek</t>
        </is>
      </c>
      <c r="B55" t="inlineStr">
        <is>
          <t>Goblinisch</t>
        </is>
      </c>
      <c r="C55" t="inlineStr">
        <is>
          <t>Klapplauf</t>
        </is>
      </c>
      <c r="D55" t="inlineStr">
        <is>
          <t>Messing Patrone</t>
        </is>
      </c>
      <c r="E55" t="n">
        <v>7</v>
      </c>
      <c r="F55" t="inlineStr">
        <is>
          <t>Messingpatrone</t>
        </is>
      </c>
      <c r="G55">
        <f>IF(F55="","",IF(COUNTIFS('Munition-Feuerwaffen'!$B$2:$B$35,F55,'Munition-Feuerwaffen'!$C$2:$C$35,E55)=0,"",SUMPRODUCT(('Munition-Feuerwaffen'!$B$2:$B$35=F55)*('Munition-Feuerwaffen'!$C$2:$C$35=E55)*'Munition-Feuerwaffen'!$D$2:$D$35)))</f>
        <v/>
      </c>
    </row>
    <row r="56">
      <c r="A56" t="inlineStr">
        <is>
          <t>Durass</t>
        </is>
      </c>
      <c r="B56" t="inlineStr">
        <is>
          <t>Orkisch</t>
        </is>
      </c>
      <c r="C56" t="inlineStr">
        <is>
          <t>Vorderlader</t>
        </is>
      </c>
      <c r="D56" t="inlineStr">
        <is>
          <t>Blei</t>
        </is>
      </c>
      <c r="E56" t="n">
        <v>21</v>
      </c>
      <c r="F56" t="inlineStr">
        <is>
          <t>S.P.&amp;Blei</t>
        </is>
      </c>
      <c r="G56">
        <f>IF(F56="","",IF(COUNTIFS('Munition-Feuerwaffen'!$B$2:$B$35,F56,'Munition-Feuerwaffen'!$C$2:$C$35,E56)=0,"",SUMPRODUCT(('Munition-Feuerwaffen'!$B$2:$B$35=F56)*('Munition-Feuerwaffen'!$C$2:$C$35=E56)*'Munition-Feuerwaffen'!$D$2:$D$35)))</f>
        <v/>
      </c>
      <c r="H56" t="inlineStr">
        <is>
          <t>VL. Papierpatrone</t>
        </is>
      </c>
      <c r="I56">
        <f>IF(H56="","",IF(COUNTIFS('Munition-Feuerwaffen'!$B$2:$B$35,H56,'Munition-Feuerwaffen'!$C$2:$C$35,E56)=0,"",SUMPRODUCT(('Munition-Feuerwaffen'!$B$2:$B$35=H56)*('Munition-Feuerwaffen'!$C$2:$C$35=E56)*'Munition-Feuerwaffen'!$D$2:$D$35)))</f>
        <v/>
      </c>
      <c r="J56" t="inlineStr">
        <is>
          <t>Reduziert die Nachladezeit um 5 Sekunden</t>
        </is>
      </c>
    </row>
    <row r="57">
      <c r="A57" t="inlineStr">
        <is>
          <t>Exekutierer</t>
        </is>
      </c>
      <c r="B57" t="inlineStr">
        <is>
          <t>Orkisch</t>
        </is>
      </c>
      <c r="C57" t="inlineStr">
        <is>
          <t>Vorderlader</t>
        </is>
      </c>
      <c r="D57" t="inlineStr">
        <is>
          <t>Blei</t>
        </is>
      </c>
      <c r="E57" t="n">
        <v>22</v>
      </c>
      <c r="F57" t="inlineStr">
        <is>
          <t>S.P.&amp;Blei</t>
        </is>
      </c>
      <c r="G57">
        <f>IF(F57="","",IF(COUNTIFS('Munition-Feuerwaffen'!$B$2:$B$35,F57,'Munition-Feuerwaffen'!$C$2:$C$35,E57)=0,"",SUMPRODUCT(('Munition-Feuerwaffen'!$B$2:$B$35=F57)*('Munition-Feuerwaffen'!$C$2:$C$35=E57)*'Munition-Feuerwaffen'!$D$2:$D$35)))</f>
        <v/>
      </c>
      <c r="H57" t="inlineStr">
        <is>
          <t>VL. Papierpatrone</t>
        </is>
      </c>
      <c r="I57">
        <f>IF(H57="","",IF(COUNTIFS('Munition-Feuerwaffen'!$B$2:$B$35,H57,'Munition-Feuerwaffen'!$C$2:$C$35,E57)=0,"",SUMPRODUCT(('Munition-Feuerwaffen'!$B$2:$B$35=H57)*('Munition-Feuerwaffen'!$C$2:$C$35=E57)*'Munition-Feuerwaffen'!$D$2:$D$35)))</f>
        <v/>
      </c>
      <c r="J57" t="inlineStr">
        <is>
          <t>Reduziert die Nachladezeit um 5 Sekunden</t>
        </is>
      </c>
    </row>
    <row r="58">
      <c r="A58" t="inlineStr">
        <is>
          <t>Irat</t>
        </is>
      </c>
      <c r="B58" t="inlineStr">
        <is>
          <t>Orkisch</t>
        </is>
      </c>
      <c r="C58" t="inlineStr">
        <is>
          <t>Vorderlader</t>
        </is>
      </c>
      <c r="D58" t="inlineStr">
        <is>
          <t>Blei</t>
        </is>
      </c>
      <c r="E58" t="n">
        <v>20</v>
      </c>
      <c r="F58" t="inlineStr">
        <is>
          <t>S.P.&amp;Blei</t>
        </is>
      </c>
      <c r="G58">
        <f>IF(F58="","",IF(COUNTIFS('Munition-Feuerwaffen'!$B$2:$B$35,F58,'Munition-Feuerwaffen'!$C$2:$C$35,E58)=0,"",SUMPRODUCT(('Munition-Feuerwaffen'!$B$2:$B$35=F58)*('Munition-Feuerwaffen'!$C$2:$C$35=E58)*'Munition-Feuerwaffen'!$D$2:$D$35)))</f>
        <v/>
      </c>
      <c r="H58" t="inlineStr">
        <is>
          <t>VL. Papierpatrone</t>
        </is>
      </c>
      <c r="I58">
        <f>IF(H58="","",IF(COUNTIFS('Munition-Feuerwaffen'!$B$2:$B$35,H58,'Munition-Feuerwaffen'!$C$2:$C$35,E58)=0,"",SUMPRODUCT(('Munition-Feuerwaffen'!$B$2:$B$35=H58)*('Munition-Feuerwaffen'!$C$2:$C$35=E58)*'Munition-Feuerwaffen'!$D$2:$D$35)))</f>
        <v/>
      </c>
      <c r="J58" t="inlineStr">
        <is>
          <t>Reduziert die Nachladezeit um 5 Sekunden</t>
        </is>
      </c>
    </row>
    <row r="59">
      <c r="A59" t="inlineStr">
        <is>
          <t>Kaboom</t>
        </is>
      </c>
      <c r="B59" t="inlineStr">
        <is>
          <t>Orkisch</t>
        </is>
      </c>
      <c r="C59" t="inlineStr">
        <is>
          <t>Vorderlader</t>
        </is>
      </c>
      <c r="D59" t="inlineStr">
        <is>
          <t>Blei</t>
        </is>
      </c>
      <c r="E59" t="n">
        <v>19</v>
      </c>
      <c r="F59" t="inlineStr">
        <is>
          <t>S.P.&amp;Blei</t>
        </is>
      </c>
      <c r="G59">
        <f>IF(F59="","",IF(COUNTIFS('Munition-Feuerwaffen'!$B$2:$B$35,F59,'Munition-Feuerwaffen'!$C$2:$C$35,E59)=0,"",SUMPRODUCT(('Munition-Feuerwaffen'!$B$2:$B$35=F59)*('Munition-Feuerwaffen'!$C$2:$C$35=E59)*'Munition-Feuerwaffen'!$D$2:$D$35)))</f>
        <v/>
      </c>
      <c r="H59" t="inlineStr">
        <is>
          <t>VL. Papierpatrone</t>
        </is>
      </c>
      <c r="I59">
        <f>IF(H59="","",IF(COUNTIFS('Munition-Feuerwaffen'!$B$2:$B$35,H59,'Munition-Feuerwaffen'!$C$2:$C$35,E59)=0,"",SUMPRODUCT(('Munition-Feuerwaffen'!$B$2:$B$35=H59)*('Munition-Feuerwaffen'!$C$2:$C$35=E59)*'Munition-Feuerwaffen'!$D$2:$D$35)))</f>
        <v/>
      </c>
      <c r="J59" t="inlineStr">
        <is>
          <t>Reduziert die Nachladezeit um 5 Sekunden</t>
        </is>
      </c>
    </row>
    <row r="60">
      <c r="A60" t="inlineStr">
        <is>
          <t>Kakrotz</t>
        </is>
      </c>
      <c r="B60" t="inlineStr">
        <is>
          <t>Orkisch</t>
        </is>
      </c>
      <c r="C60" t="inlineStr">
        <is>
          <t>Vorderlader</t>
        </is>
      </c>
      <c r="D60" t="inlineStr">
        <is>
          <t>Blei</t>
        </is>
      </c>
      <c r="E60" t="n">
        <v>19</v>
      </c>
      <c r="F60" t="inlineStr">
        <is>
          <t>S.P.&amp;Blei</t>
        </is>
      </c>
      <c r="G60">
        <f>IF(F60="","",IF(COUNTIFS('Munition-Feuerwaffen'!$B$2:$B$35,F60,'Munition-Feuerwaffen'!$C$2:$C$35,E60)=0,"",SUMPRODUCT(('Munition-Feuerwaffen'!$B$2:$B$35=F60)*('Munition-Feuerwaffen'!$C$2:$C$35=E60)*'Munition-Feuerwaffen'!$D$2:$D$35)))</f>
        <v/>
      </c>
      <c r="H60" t="inlineStr">
        <is>
          <t>VL. Papierpatrone</t>
        </is>
      </c>
      <c r="I60">
        <f>IF(H60="","",IF(COUNTIFS('Munition-Feuerwaffen'!$B$2:$B$35,H60,'Munition-Feuerwaffen'!$C$2:$C$35,E60)=0,"",SUMPRODUCT(('Munition-Feuerwaffen'!$B$2:$B$35=H60)*('Munition-Feuerwaffen'!$C$2:$C$35=E60)*'Munition-Feuerwaffen'!$D$2:$D$35)))</f>
        <v/>
      </c>
      <c r="J60" t="inlineStr">
        <is>
          <t>Reduziert die Nachladezeit um 5 Sekunden</t>
        </is>
      </c>
    </row>
    <row r="61">
      <c r="A61" t="inlineStr">
        <is>
          <t>Metnar</t>
        </is>
      </c>
      <c r="B61" t="inlineStr">
        <is>
          <t>Orkisch</t>
        </is>
      </c>
      <c r="C61" t="inlineStr">
        <is>
          <t>Vorderlader</t>
        </is>
      </c>
      <c r="D61" t="inlineStr">
        <is>
          <t>Blei</t>
        </is>
      </c>
      <c r="E61" t="n">
        <v>23</v>
      </c>
      <c r="F61" t="inlineStr">
        <is>
          <t>S.P.&amp;Blei</t>
        </is>
      </c>
      <c r="G61">
        <f>IF(F61="","",IF(COUNTIFS('Munition-Feuerwaffen'!$B$2:$B$35,F61,'Munition-Feuerwaffen'!$C$2:$C$35,E61)=0,"",SUMPRODUCT(('Munition-Feuerwaffen'!$B$2:$B$35=F61)*('Munition-Feuerwaffen'!$C$2:$C$35=E61)*'Munition-Feuerwaffen'!$D$2:$D$35)))</f>
        <v/>
      </c>
      <c r="H61" t="inlineStr">
        <is>
          <t>VL. Papierpatrone</t>
        </is>
      </c>
      <c r="I61">
        <f>IF(H61="","",IF(COUNTIFS('Munition-Feuerwaffen'!$B$2:$B$35,H61,'Munition-Feuerwaffen'!$C$2:$C$35,E61)=0,"",SUMPRODUCT(('Munition-Feuerwaffen'!$B$2:$B$35=H61)*('Munition-Feuerwaffen'!$C$2:$C$35=E61)*'Munition-Feuerwaffen'!$D$2:$D$35)))</f>
        <v/>
      </c>
      <c r="J61" t="inlineStr">
        <is>
          <t>Reduziert die Nachladezeit um 5 Sekunden</t>
        </is>
      </c>
    </row>
    <row r="62">
      <c r="A62" t="inlineStr">
        <is>
          <t>Scharwar</t>
        </is>
      </c>
      <c r="B62" t="inlineStr">
        <is>
          <t>Orkisch</t>
        </is>
      </c>
      <c r="C62" t="inlineStr">
        <is>
          <t>Hinterlader</t>
        </is>
      </c>
      <c r="D62" t="inlineStr">
        <is>
          <t>Papier Patrone</t>
        </is>
      </c>
      <c r="E62" t="n">
        <v>19</v>
      </c>
      <c r="F62" t="inlineStr">
        <is>
          <t>Papierpatrone</t>
        </is>
      </c>
      <c r="G62">
        <f>IF(F62="","",IF(COUNTIFS('Munition-Feuerwaffen'!$B$2:$B$35,F62,'Munition-Feuerwaffen'!$C$2:$C$35,E62)=0,"",SUMPRODUCT(('Munition-Feuerwaffen'!$B$2:$B$35=F62)*('Munition-Feuerwaffen'!$C$2:$C$35=E62)*'Munition-Feuerwaffen'!$D$2:$D$35)))</f>
        <v/>
      </c>
    </row>
    <row r="63">
      <c r="A63" t="inlineStr">
        <is>
          <t>Schopkrotz</t>
        </is>
      </c>
      <c r="B63" t="inlineStr">
        <is>
          <t>Orkisch</t>
        </is>
      </c>
      <c r="C63" t="inlineStr">
        <is>
          <t>Vorderlader</t>
        </is>
      </c>
      <c r="D63" t="inlineStr">
        <is>
          <t>Blei</t>
        </is>
      </c>
      <c r="E63" t="n">
        <v>19</v>
      </c>
      <c r="F63" t="inlineStr">
        <is>
          <t>S.P.&amp;Blei</t>
        </is>
      </c>
      <c r="G63">
        <f>IF(F63="","",IF(COUNTIFS('Munition-Feuerwaffen'!$B$2:$B$35,F63,'Munition-Feuerwaffen'!$C$2:$C$35,E63)=0,"",SUMPRODUCT(('Munition-Feuerwaffen'!$B$2:$B$35=F63)*('Munition-Feuerwaffen'!$C$2:$C$35=E63)*'Munition-Feuerwaffen'!$D$2:$D$35)))</f>
        <v/>
      </c>
      <c r="H63" t="inlineStr">
        <is>
          <t>VL. Papierpatrone</t>
        </is>
      </c>
      <c r="I63">
        <f>IF(H63="","",IF(COUNTIFS('Munition-Feuerwaffen'!$B$2:$B$35,H63,'Munition-Feuerwaffen'!$C$2:$C$35,E63)=0,"",SUMPRODUCT(('Munition-Feuerwaffen'!$B$2:$B$35=H63)*('Munition-Feuerwaffen'!$C$2:$C$35=E63)*'Munition-Feuerwaffen'!$D$2:$D$35)))</f>
        <v/>
      </c>
      <c r="J63" t="inlineStr">
        <is>
          <t>Reduziert die Nachladezeit um 5 Sekunden</t>
        </is>
      </c>
    </row>
    <row r="64">
      <c r="A64" t="inlineStr">
        <is>
          <t>Blobschlopsch</t>
        </is>
      </c>
      <c r="B64" t="inlineStr">
        <is>
          <t>Orkisch</t>
        </is>
      </c>
      <c r="C64" t="inlineStr">
        <is>
          <t>Vorderlader</t>
        </is>
      </c>
      <c r="D64" t="inlineStr">
        <is>
          <t>Blei</t>
        </is>
      </c>
      <c r="E64" t="n">
        <v>16</v>
      </c>
      <c r="F64" t="inlineStr">
        <is>
          <t>S.P.&amp;Blei</t>
        </is>
      </c>
      <c r="G64">
        <f>IF(F64="","",IF(COUNTIFS('Munition-Feuerwaffen'!$B$2:$B$35,F64,'Munition-Feuerwaffen'!$C$2:$C$35,E64)=0,"",SUMPRODUCT(('Munition-Feuerwaffen'!$B$2:$B$35=F64)*('Munition-Feuerwaffen'!$C$2:$C$35=E64)*'Munition-Feuerwaffen'!$D$2:$D$35)))</f>
        <v/>
      </c>
      <c r="H64" t="inlineStr">
        <is>
          <t>VL. Papierpatrone</t>
        </is>
      </c>
      <c r="I64">
        <f>IF(H64="","",IF(COUNTIFS('Munition-Feuerwaffen'!$B$2:$B$35,H64,'Munition-Feuerwaffen'!$C$2:$C$35,E64)=0,"",SUMPRODUCT(('Munition-Feuerwaffen'!$B$2:$B$35=H64)*('Munition-Feuerwaffen'!$C$2:$C$35=E64)*'Munition-Feuerwaffen'!$D$2:$D$35)))</f>
        <v/>
      </c>
      <c r="J64" t="inlineStr">
        <is>
          <t>Reduziert die Nachladezeit um 5 Sekunden</t>
        </is>
      </c>
    </row>
    <row r="65">
      <c r="A65" t="inlineStr">
        <is>
          <t>Boom</t>
        </is>
      </c>
      <c r="B65" t="inlineStr">
        <is>
          <t>Orkisch</t>
        </is>
      </c>
      <c r="C65" t="inlineStr">
        <is>
          <t>Vorderlader</t>
        </is>
      </c>
      <c r="D65" t="inlineStr">
        <is>
          <t>Blei</t>
        </is>
      </c>
      <c r="E65" t="n">
        <v>16</v>
      </c>
      <c r="F65" t="inlineStr">
        <is>
          <t>S.P.&amp;Blei</t>
        </is>
      </c>
      <c r="G65">
        <f>IF(F65="","",IF(COUNTIFS('Munition-Feuerwaffen'!$B$2:$B$35,F65,'Munition-Feuerwaffen'!$C$2:$C$35,E65)=0,"",SUMPRODUCT(('Munition-Feuerwaffen'!$B$2:$B$35=F65)*('Munition-Feuerwaffen'!$C$2:$C$35=E65)*'Munition-Feuerwaffen'!$D$2:$D$35)))</f>
        <v/>
      </c>
      <c r="H65" t="inlineStr">
        <is>
          <t>VL. Papierpatrone</t>
        </is>
      </c>
      <c r="I65">
        <f>IF(H65="","",IF(COUNTIFS('Munition-Feuerwaffen'!$B$2:$B$35,H65,'Munition-Feuerwaffen'!$C$2:$C$35,E65)=0,"",SUMPRODUCT(('Munition-Feuerwaffen'!$B$2:$B$35=H65)*('Munition-Feuerwaffen'!$C$2:$C$35=E65)*'Munition-Feuerwaffen'!$D$2:$D$35)))</f>
        <v/>
      </c>
      <c r="J65" t="inlineStr">
        <is>
          <t>Reduziert die Nachladezeit um 5 Sekunden</t>
        </is>
      </c>
    </row>
    <row r="66">
      <c r="A66" t="inlineStr">
        <is>
          <t>Kenp</t>
        </is>
      </c>
      <c r="B66" t="inlineStr">
        <is>
          <t>Orkisch</t>
        </is>
      </c>
      <c r="C66" t="inlineStr">
        <is>
          <t>Klapplauf</t>
        </is>
      </c>
      <c r="D66" t="inlineStr">
        <is>
          <t>Messing Patrone</t>
        </is>
      </c>
      <c r="E66" t="n">
        <v>10</v>
      </c>
      <c r="F66" t="inlineStr">
        <is>
          <t>Messingpatrone</t>
        </is>
      </c>
      <c r="G66">
        <f>IF(F66="","",IF(COUNTIFS('Munition-Feuerwaffen'!$B$2:$B$35,F66,'Munition-Feuerwaffen'!$C$2:$C$35,E66)=0,"",SUMPRODUCT(('Munition-Feuerwaffen'!$B$2:$B$35=F66)*('Munition-Feuerwaffen'!$C$2:$C$35=E66)*'Munition-Feuerwaffen'!$D$2:$D$35)))</f>
        <v/>
      </c>
    </row>
    <row r="67">
      <c r="A67" t="inlineStr">
        <is>
          <t>Kok'sche</t>
        </is>
      </c>
      <c r="B67" t="inlineStr">
        <is>
          <t>Orkisch</t>
        </is>
      </c>
      <c r="C67" t="inlineStr">
        <is>
          <t>Vorderlader</t>
        </is>
      </c>
      <c r="D67" t="inlineStr">
        <is>
          <t>Blei</t>
        </is>
      </c>
      <c r="E67" t="n">
        <v>17</v>
      </c>
      <c r="F67" t="inlineStr">
        <is>
          <t>S.P.&amp;Blei</t>
        </is>
      </c>
      <c r="G67">
        <f>IF(F67="","",IF(COUNTIFS('Munition-Feuerwaffen'!$B$2:$B$35,F67,'Munition-Feuerwaffen'!$C$2:$C$35,E67)=0,"",SUMPRODUCT(('Munition-Feuerwaffen'!$B$2:$B$35=F67)*('Munition-Feuerwaffen'!$C$2:$C$35=E67)*'Munition-Feuerwaffen'!$D$2:$D$35)))</f>
        <v/>
      </c>
      <c r="H67" t="inlineStr">
        <is>
          <t>VL. Papierpatrone</t>
        </is>
      </c>
      <c r="I67">
        <f>IF(H67="","",IF(COUNTIFS('Munition-Feuerwaffen'!$B$2:$B$35,H67,'Munition-Feuerwaffen'!$C$2:$C$35,E67)=0,"",SUMPRODUCT(('Munition-Feuerwaffen'!$B$2:$B$35=H67)*('Munition-Feuerwaffen'!$C$2:$C$35=E67)*'Munition-Feuerwaffen'!$D$2:$D$35)))</f>
        <v/>
      </c>
      <c r="J67" t="inlineStr">
        <is>
          <t>Reduziert die Nachladezeit um 5 Sekunden</t>
        </is>
      </c>
    </row>
    <row r="68">
      <c r="A68" t="inlineStr">
        <is>
          <t>Ork’sche</t>
        </is>
      </c>
      <c r="B68" t="inlineStr">
        <is>
          <t>Orkisch</t>
        </is>
      </c>
      <c r="C68" t="inlineStr">
        <is>
          <t>Vorderlader</t>
        </is>
      </c>
      <c r="D68" t="inlineStr">
        <is>
          <t>Blei</t>
        </is>
      </c>
      <c r="E68" t="n">
        <v>17</v>
      </c>
      <c r="F68" t="inlineStr">
        <is>
          <t>S.P.&amp;Blei</t>
        </is>
      </c>
      <c r="G68">
        <f>IF(F68="","",IF(COUNTIFS('Munition-Feuerwaffen'!$B$2:$B$35,F68,'Munition-Feuerwaffen'!$C$2:$C$35,E68)=0,"",SUMPRODUCT(('Munition-Feuerwaffen'!$B$2:$B$35=F68)*('Munition-Feuerwaffen'!$C$2:$C$35=E68)*'Munition-Feuerwaffen'!$D$2:$D$35)))</f>
        <v/>
      </c>
      <c r="H68" t="inlineStr">
        <is>
          <t>VL. Papierpatrone</t>
        </is>
      </c>
      <c r="I68">
        <f>IF(H68="","",IF(COUNTIFS('Munition-Feuerwaffen'!$B$2:$B$35,H68,'Munition-Feuerwaffen'!$C$2:$C$35,E68)=0,"",SUMPRODUCT(('Munition-Feuerwaffen'!$B$2:$B$35=H68)*('Munition-Feuerwaffen'!$C$2:$C$35=E68)*'Munition-Feuerwaffen'!$D$2:$D$35)))</f>
        <v/>
      </c>
      <c r="J68" t="inlineStr">
        <is>
          <t>Reduziert die Nachladezeit um 5 Sekunden</t>
        </is>
      </c>
    </row>
    <row r="69">
      <c r="A69" t="inlineStr">
        <is>
          <t>Balrog</t>
        </is>
      </c>
      <c r="B69" t="inlineStr">
        <is>
          <t>Zwergisch</t>
        </is>
      </c>
      <c r="C69" t="inlineStr">
        <is>
          <t>Klapplauf</t>
        </is>
      </c>
      <c r="D69" t="inlineStr">
        <is>
          <t>Messing Patrone</t>
        </is>
      </c>
      <c r="E69" t="n">
        <v>11</v>
      </c>
      <c r="F69" t="inlineStr">
        <is>
          <t>Messingpatrone</t>
        </is>
      </c>
      <c r="G69">
        <f>IF(F69="","",IF(COUNTIFS('Munition-Feuerwaffen'!$B$2:$B$35,F69,'Munition-Feuerwaffen'!$C$2:$C$35,E69)=0,"",SUMPRODUCT(('Munition-Feuerwaffen'!$B$2:$B$35=F69)*('Munition-Feuerwaffen'!$C$2:$C$35=E69)*'Munition-Feuerwaffen'!$D$2:$D$35)))</f>
        <v/>
      </c>
    </row>
    <row r="70">
      <c r="A70" t="inlineStr">
        <is>
          <t>Borstbüchse</t>
        </is>
      </c>
      <c r="B70" t="inlineStr">
        <is>
          <t>Zwergisch</t>
        </is>
      </c>
      <c r="C70" t="inlineStr">
        <is>
          <t>Vorderlader</t>
        </is>
      </c>
      <c r="D70" t="inlineStr">
        <is>
          <t>Blei</t>
        </is>
      </c>
      <c r="E70" t="n">
        <v>18</v>
      </c>
      <c r="F70" t="inlineStr">
        <is>
          <t>S.P.&amp;Blei</t>
        </is>
      </c>
      <c r="G70">
        <f>IF(F70="","",IF(COUNTIFS('Munition-Feuerwaffen'!$B$2:$B$35,F70,'Munition-Feuerwaffen'!$C$2:$C$35,E70)=0,"",SUMPRODUCT(('Munition-Feuerwaffen'!$B$2:$B$35=F70)*('Munition-Feuerwaffen'!$C$2:$C$35=E70)*'Munition-Feuerwaffen'!$D$2:$D$35)))</f>
        <v/>
      </c>
      <c r="H70" t="inlineStr">
        <is>
          <t>VL. Papierpatrone</t>
        </is>
      </c>
      <c r="I70">
        <f>IF(H70="","",IF(COUNTIFS('Munition-Feuerwaffen'!$B$2:$B$35,H70,'Munition-Feuerwaffen'!$C$2:$C$35,E70)=0,"",SUMPRODUCT(('Munition-Feuerwaffen'!$B$2:$B$35=H70)*('Munition-Feuerwaffen'!$C$2:$C$35=E70)*'Munition-Feuerwaffen'!$D$2:$D$35)))</f>
        <v/>
      </c>
      <c r="J70" t="inlineStr">
        <is>
          <t>Reduziert die Nachladezeit um 5 Sekunden</t>
        </is>
      </c>
    </row>
    <row r="71">
      <c r="A71" t="inlineStr">
        <is>
          <t>Eisenbeißer</t>
        </is>
      </c>
      <c r="B71" t="inlineStr">
        <is>
          <t>Zwergisch</t>
        </is>
      </c>
      <c r="C71" t="inlineStr">
        <is>
          <t>Block- oder Scharnierverschluss</t>
        </is>
      </c>
      <c r="D71" t="inlineStr">
        <is>
          <t>Messing Patrone</t>
        </is>
      </c>
      <c r="E71" t="n">
        <v>12</v>
      </c>
      <c r="F71" t="inlineStr">
        <is>
          <t>Messingpatrone</t>
        </is>
      </c>
      <c r="G71">
        <f>IF(F71="","",IF(COUNTIFS('Munition-Feuerwaffen'!$B$2:$B$35,F71,'Munition-Feuerwaffen'!$C$2:$C$35,E71)=0,"",SUMPRODUCT(('Munition-Feuerwaffen'!$B$2:$B$35=F71)*('Munition-Feuerwaffen'!$C$2:$C$35=E71)*'Munition-Feuerwaffen'!$D$2:$D$35)))</f>
        <v/>
      </c>
    </row>
    <row r="72">
      <c r="A72" t="inlineStr">
        <is>
          <t>Fafnir</t>
        </is>
      </c>
      <c r="B72" t="inlineStr">
        <is>
          <t>Zwergisch</t>
        </is>
      </c>
      <c r="C72" t="inlineStr">
        <is>
          <t>Hinterlader</t>
        </is>
      </c>
      <c r="D72" t="inlineStr">
        <is>
          <t>Papier Patrone</t>
        </is>
      </c>
      <c r="E72" t="n">
        <v>17</v>
      </c>
      <c r="F72" t="inlineStr">
        <is>
          <t>Papierpatrone</t>
        </is>
      </c>
      <c r="G72">
        <f>IF(F72="","",IF(COUNTIFS('Munition-Feuerwaffen'!$B$2:$B$35,F72,'Munition-Feuerwaffen'!$C$2:$C$35,E72)=0,"",SUMPRODUCT(('Munition-Feuerwaffen'!$B$2:$B$35=F72)*('Munition-Feuerwaffen'!$C$2:$C$35=E72)*'Munition-Feuerwaffen'!$D$2:$D$35)))</f>
        <v/>
      </c>
    </row>
    <row r="73">
      <c r="A73" t="inlineStr">
        <is>
          <t>Grimmbar</t>
        </is>
      </c>
      <c r="B73" t="inlineStr">
        <is>
          <t>Zwergisch</t>
        </is>
      </c>
      <c r="C73" t="inlineStr">
        <is>
          <t>Vorderlader</t>
        </is>
      </c>
      <c r="D73" t="inlineStr">
        <is>
          <t>Blei</t>
        </is>
      </c>
      <c r="E73" t="n">
        <v>17</v>
      </c>
      <c r="F73" t="inlineStr">
        <is>
          <t>S.P.&amp;Blei</t>
        </is>
      </c>
      <c r="G73">
        <f>IF(F73="","",IF(COUNTIFS('Munition-Feuerwaffen'!$B$2:$B$35,F73,'Munition-Feuerwaffen'!$C$2:$C$35,E73)=0,"",SUMPRODUCT(('Munition-Feuerwaffen'!$B$2:$B$35=F73)*('Munition-Feuerwaffen'!$C$2:$C$35=E73)*'Munition-Feuerwaffen'!$D$2:$D$35)))</f>
        <v/>
      </c>
      <c r="H73" t="inlineStr">
        <is>
          <t>VL. Papierpatrone</t>
        </is>
      </c>
      <c r="I73">
        <f>IF(H73="","",IF(COUNTIFS('Munition-Feuerwaffen'!$B$2:$B$35,H73,'Munition-Feuerwaffen'!$C$2:$C$35,E73)=0,"",SUMPRODUCT(('Munition-Feuerwaffen'!$B$2:$B$35=H73)*('Munition-Feuerwaffen'!$C$2:$C$35=E73)*'Munition-Feuerwaffen'!$D$2:$D$35)))</f>
        <v/>
      </c>
      <c r="J73" t="inlineStr">
        <is>
          <t>Reduziert die Nachladezeit um 5 Sekunden</t>
        </is>
      </c>
    </row>
    <row r="74">
      <c r="A74" t="inlineStr">
        <is>
          <t>Levitas</t>
        </is>
      </c>
      <c r="B74" t="inlineStr">
        <is>
          <t>Zwergisch</t>
        </is>
      </c>
      <c r="C74" t="inlineStr">
        <is>
          <t>Vorderlader</t>
        </is>
      </c>
      <c r="D74" t="inlineStr">
        <is>
          <t>Blei</t>
        </is>
      </c>
      <c r="E74" t="n">
        <v>17</v>
      </c>
      <c r="F74" t="inlineStr">
        <is>
          <t>S.P.&amp;Blei</t>
        </is>
      </c>
      <c r="G74">
        <f>IF(F74="","",IF(COUNTIFS('Munition-Feuerwaffen'!$B$2:$B$35,F74,'Munition-Feuerwaffen'!$C$2:$C$35,E74)=0,"",SUMPRODUCT(('Munition-Feuerwaffen'!$B$2:$B$35=F74)*('Munition-Feuerwaffen'!$C$2:$C$35=E74)*'Munition-Feuerwaffen'!$D$2:$D$35)))</f>
        <v/>
      </c>
      <c r="H74" t="inlineStr">
        <is>
          <t>VL. Papierpatrone</t>
        </is>
      </c>
      <c r="I74">
        <f>IF(H74="","",IF(COUNTIFS('Munition-Feuerwaffen'!$B$2:$B$35,H74,'Munition-Feuerwaffen'!$C$2:$C$35,E74)=0,"",SUMPRODUCT(('Munition-Feuerwaffen'!$B$2:$B$35=H74)*('Munition-Feuerwaffen'!$C$2:$C$35=E74)*'Munition-Feuerwaffen'!$D$2:$D$35)))</f>
        <v/>
      </c>
      <c r="J74" t="inlineStr">
        <is>
          <t>Reduziert die Nachladezeit um 5 Sekunden</t>
        </is>
      </c>
    </row>
    <row r="75">
      <c r="A75" t="inlineStr">
        <is>
          <t>Lindwurm</t>
        </is>
      </c>
      <c r="B75" t="inlineStr">
        <is>
          <t>Zwergisch</t>
        </is>
      </c>
      <c r="C75" t="inlineStr">
        <is>
          <t>Vorderlader</t>
        </is>
      </c>
      <c r="D75" t="inlineStr">
        <is>
          <t>Blei</t>
        </is>
      </c>
      <c r="E75" t="n">
        <v>17</v>
      </c>
      <c r="F75" t="inlineStr">
        <is>
          <t>S.P.&amp;Blei</t>
        </is>
      </c>
      <c r="G75">
        <f>IF(F75="","",IF(COUNTIFS('Munition-Feuerwaffen'!$B$2:$B$35,F75,'Munition-Feuerwaffen'!$C$2:$C$35,E75)=0,"",SUMPRODUCT(('Munition-Feuerwaffen'!$B$2:$B$35=F75)*('Munition-Feuerwaffen'!$C$2:$C$35=E75)*'Munition-Feuerwaffen'!$D$2:$D$35)))</f>
        <v/>
      </c>
      <c r="H75" t="inlineStr">
        <is>
          <t>VL. Papierpatrone</t>
        </is>
      </c>
      <c r="I75">
        <f>IF(H75="","",IF(COUNTIFS('Munition-Feuerwaffen'!$B$2:$B$35,H75,'Munition-Feuerwaffen'!$C$2:$C$35,E75)=0,"",SUMPRODUCT(('Munition-Feuerwaffen'!$B$2:$B$35=H75)*('Munition-Feuerwaffen'!$C$2:$C$35=E75)*'Munition-Feuerwaffen'!$D$2:$D$35)))</f>
        <v/>
      </c>
      <c r="J75" t="inlineStr">
        <is>
          <t>Reduziert die Nachladezeit um 5 Sekunden</t>
        </is>
      </c>
    </row>
    <row r="76">
      <c r="A76" t="inlineStr">
        <is>
          <t>Lohdrim</t>
        </is>
      </c>
      <c r="B76" t="inlineStr">
        <is>
          <t>Zwergisch</t>
        </is>
      </c>
      <c r="C76" t="inlineStr">
        <is>
          <t>Vorderlader</t>
        </is>
      </c>
      <c r="D76" t="inlineStr">
        <is>
          <t>Blei</t>
        </is>
      </c>
      <c r="E76" t="n">
        <v>19</v>
      </c>
      <c r="F76" t="inlineStr">
        <is>
          <t>S.P.&amp;Blei</t>
        </is>
      </c>
      <c r="G76">
        <f>IF(F76="","",IF(COUNTIFS('Munition-Feuerwaffen'!$B$2:$B$35,F76,'Munition-Feuerwaffen'!$C$2:$C$35,E76)=0,"",SUMPRODUCT(('Munition-Feuerwaffen'!$B$2:$B$35=F76)*('Munition-Feuerwaffen'!$C$2:$C$35=E76)*'Munition-Feuerwaffen'!$D$2:$D$35)))</f>
        <v/>
      </c>
      <c r="H76" t="inlineStr">
        <is>
          <t>VL. Papierpatrone</t>
        </is>
      </c>
      <c r="I76">
        <f>IF(H76="","",IF(COUNTIFS('Munition-Feuerwaffen'!$B$2:$B$35,H76,'Munition-Feuerwaffen'!$C$2:$C$35,E76)=0,"",SUMPRODUCT(('Munition-Feuerwaffen'!$B$2:$B$35=H76)*('Munition-Feuerwaffen'!$C$2:$C$35=E76)*'Munition-Feuerwaffen'!$D$2:$D$35)))</f>
        <v/>
      </c>
      <c r="J76" t="inlineStr">
        <is>
          <t>Reduziert die Nachladezeit um 5 Sekunden</t>
        </is>
      </c>
    </row>
    <row r="77">
      <c r="A77" t="inlineStr">
        <is>
          <t>Magmass</t>
        </is>
      </c>
      <c r="B77" t="inlineStr">
        <is>
          <t>Zwergisch</t>
        </is>
      </c>
      <c r="C77" t="inlineStr">
        <is>
          <t>Hinterlader</t>
        </is>
      </c>
      <c r="D77" t="inlineStr">
        <is>
          <t>Papier Patrone</t>
        </is>
      </c>
      <c r="E77" t="n">
        <v>17</v>
      </c>
      <c r="F77" t="inlineStr">
        <is>
          <t>Papierpatrone</t>
        </is>
      </c>
      <c r="G77">
        <f>IF(F77="","",IF(COUNTIFS('Munition-Feuerwaffen'!$B$2:$B$35,F77,'Munition-Feuerwaffen'!$C$2:$C$35,E77)=0,"",SUMPRODUCT(('Munition-Feuerwaffen'!$B$2:$B$35=F77)*('Munition-Feuerwaffen'!$C$2:$C$35=E77)*'Munition-Feuerwaffen'!$D$2:$D$35)))</f>
        <v/>
      </c>
    </row>
    <row r="78">
      <c r="A78" t="inlineStr">
        <is>
          <t>Mjölnir</t>
        </is>
      </c>
      <c r="B78" t="inlineStr">
        <is>
          <t>Zwergisch</t>
        </is>
      </c>
      <c r="C78" t="inlineStr">
        <is>
          <t>Vorderlader</t>
        </is>
      </c>
      <c r="D78" t="inlineStr">
        <is>
          <t>Blei</t>
        </is>
      </c>
      <c r="E78" t="n">
        <v>16</v>
      </c>
      <c r="F78" t="inlineStr">
        <is>
          <t>S.P.&amp;Blei</t>
        </is>
      </c>
      <c r="G78">
        <f>IF(F78="","",IF(COUNTIFS('Munition-Feuerwaffen'!$B$2:$B$35,F78,'Munition-Feuerwaffen'!$C$2:$C$35,E78)=0,"",SUMPRODUCT(('Munition-Feuerwaffen'!$B$2:$B$35=F78)*('Munition-Feuerwaffen'!$C$2:$C$35=E78)*'Munition-Feuerwaffen'!$D$2:$D$35)))</f>
        <v/>
      </c>
      <c r="H78" t="inlineStr">
        <is>
          <t>VL. Papierpatrone</t>
        </is>
      </c>
      <c r="I78">
        <f>IF(H78="","",IF(COUNTIFS('Munition-Feuerwaffen'!$B$2:$B$35,H78,'Munition-Feuerwaffen'!$C$2:$C$35,E78)=0,"",SUMPRODUCT(('Munition-Feuerwaffen'!$B$2:$B$35=H78)*('Munition-Feuerwaffen'!$C$2:$C$35=E78)*'Munition-Feuerwaffen'!$D$2:$D$35)))</f>
        <v/>
      </c>
      <c r="J78" t="inlineStr">
        <is>
          <t>Reduziert die Nachladezeit um 5 Sekunden</t>
        </is>
      </c>
    </row>
    <row r="79">
      <c r="A79" t="inlineStr">
        <is>
          <t>Skorpion</t>
        </is>
      </c>
      <c r="B79" t="inlineStr">
        <is>
          <t>Zwergisch</t>
        </is>
      </c>
      <c r="C79" t="inlineStr">
        <is>
          <t>Vorderlader</t>
        </is>
      </c>
      <c r="D79" t="inlineStr">
        <is>
          <t>Harpune</t>
        </is>
      </c>
      <c r="E79" t="n">
        <v>17</v>
      </c>
      <c r="G79">
        <f>IF(F79="","",IF(COUNTIFS('Munition-Feuerwaffen'!$B$2:$B$35,F79,'Munition-Feuerwaffen'!$C$2:$C$35,E79)=0,"",SUMPRODUCT(('Munition-Feuerwaffen'!$B$2:$B$35=F79)*('Munition-Feuerwaffen'!$C$2:$C$35=E79)*'Munition-Feuerwaffen'!$D$2:$D$35)))</f>
        <v/>
      </c>
      <c r="K79" t="inlineStr">
        <is>
          <t>Munition-Typ 'Harpune' nicht in Munition-Feuerwaffen-Tabelle vorhanden (kein Preis in Quelle)</t>
        </is>
      </c>
    </row>
    <row r="80">
      <c r="A80" t="inlineStr">
        <is>
          <t>Smaug</t>
        </is>
      </c>
      <c r="B80" t="inlineStr">
        <is>
          <t>Zwergisch</t>
        </is>
      </c>
      <c r="C80" t="inlineStr">
        <is>
          <t>Vorderlader</t>
        </is>
      </c>
      <c r="D80" t="inlineStr">
        <is>
          <t>Blei</t>
        </is>
      </c>
      <c r="E80" t="n">
        <v>20</v>
      </c>
      <c r="F80" t="inlineStr">
        <is>
          <t>S.P.&amp;Blei</t>
        </is>
      </c>
      <c r="G80">
        <f>IF(F80="","",IF(COUNTIFS('Munition-Feuerwaffen'!$B$2:$B$35,F80,'Munition-Feuerwaffen'!$C$2:$C$35,E80)=0,"",SUMPRODUCT(('Munition-Feuerwaffen'!$B$2:$B$35=F80)*('Munition-Feuerwaffen'!$C$2:$C$35=E80)*'Munition-Feuerwaffen'!$D$2:$D$35)))</f>
        <v/>
      </c>
      <c r="H80" t="inlineStr">
        <is>
          <t>VL. Papierpatrone</t>
        </is>
      </c>
      <c r="I80">
        <f>IF(H80="","",IF(COUNTIFS('Munition-Feuerwaffen'!$B$2:$B$35,H80,'Munition-Feuerwaffen'!$C$2:$C$35,E80)=0,"",SUMPRODUCT(('Munition-Feuerwaffen'!$B$2:$B$35=H80)*('Munition-Feuerwaffen'!$C$2:$C$35=E80)*'Munition-Feuerwaffen'!$D$2:$D$35)))</f>
        <v/>
      </c>
      <c r="J80" t="inlineStr">
        <is>
          <t>Reduziert die Nachladezeit um 5 Sekunden</t>
        </is>
      </c>
    </row>
    <row r="81">
      <c r="A81" t="inlineStr">
        <is>
          <t>Stahlbeisser</t>
        </is>
      </c>
      <c r="B81" t="inlineStr">
        <is>
          <t>Zwergisch</t>
        </is>
      </c>
      <c r="C81" t="inlineStr">
        <is>
          <t>Block- oder Scharnierverschluss</t>
        </is>
      </c>
      <c r="D81" t="inlineStr">
        <is>
          <t>Messing Patrone</t>
        </is>
      </c>
      <c r="E81" t="n">
        <v>11</v>
      </c>
      <c r="F81" t="inlineStr">
        <is>
          <t>Messingpatrone</t>
        </is>
      </c>
      <c r="G81">
        <f>IF(F81="","",IF(COUNTIFS('Munition-Feuerwaffen'!$B$2:$B$35,F81,'Munition-Feuerwaffen'!$C$2:$C$35,E81)=0,"",SUMPRODUCT(('Munition-Feuerwaffen'!$B$2:$B$35=F81)*('Munition-Feuerwaffen'!$C$2:$C$35=E81)*'Munition-Feuerwaffen'!$D$2:$D$35)))</f>
        <v/>
      </c>
    </row>
    <row r="82">
      <c r="A82" t="inlineStr">
        <is>
          <t>Wyvern</t>
        </is>
      </c>
      <c r="B82" t="inlineStr">
        <is>
          <t>Zwergisch</t>
        </is>
      </c>
      <c r="C82" t="inlineStr">
        <is>
          <t>Vorderlader</t>
        </is>
      </c>
      <c r="D82" t="inlineStr">
        <is>
          <t>Blei</t>
        </is>
      </c>
      <c r="E82" t="n">
        <v>17</v>
      </c>
      <c r="F82" t="inlineStr">
        <is>
          <t>S.P.&amp;Blei</t>
        </is>
      </c>
      <c r="G82">
        <f>IF(F82="","",IF(COUNTIFS('Munition-Feuerwaffen'!$B$2:$B$35,F82,'Munition-Feuerwaffen'!$C$2:$C$35,E82)=0,"",SUMPRODUCT(('Munition-Feuerwaffen'!$B$2:$B$35=F82)*('Munition-Feuerwaffen'!$C$2:$C$35=E82)*'Munition-Feuerwaffen'!$D$2:$D$35)))</f>
        <v/>
      </c>
      <c r="H82" t="inlineStr">
        <is>
          <t>VL. Papierpatrone</t>
        </is>
      </c>
      <c r="I82">
        <f>IF(H82="","",IF(COUNTIFS('Munition-Feuerwaffen'!$B$2:$B$35,H82,'Munition-Feuerwaffen'!$C$2:$C$35,E82)=0,"",SUMPRODUCT(('Munition-Feuerwaffen'!$B$2:$B$35=H82)*('Munition-Feuerwaffen'!$C$2:$C$35=E82)*'Munition-Feuerwaffen'!$D$2:$D$35)))</f>
        <v/>
      </c>
      <c r="J82" t="inlineStr">
        <is>
          <t>Reduziert die Nachladezeit um 5 Sekunden</t>
        </is>
      </c>
    </row>
    <row r="83">
      <c r="A83" t="inlineStr">
        <is>
          <t>Bifrost</t>
        </is>
      </c>
      <c r="B83" t="inlineStr">
        <is>
          <t>Zwergisch</t>
        </is>
      </c>
      <c r="C83" t="inlineStr">
        <is>
          <t>Vorderlader</t>
        </is>
      </c>
      <c r="D83" t="inlineStr">
        <is>
          <t>Blei</t>
        </is>
      </c>
      <c r="E83" t="n">
        <v>13</v>
      </c>
      <c r="F83" t="inlineStr">
        <is>
          <t>S.P.&amp;Blei</t>
        </is>
      </c>
      <c r="G83">
        <f>IF(F83="","",IF(COUNTIFS('Munition-Feuerwaffen'!$B$2:$B$35,F83,'Munition-Feuerwaffen'!$C$2:$C$35,E83)=0,"",SUMPRODUCT(('Munition-Feuerwaffen'!$B$2:$B$35=F83)*('Munition-Feuerwaffen'!$C$2:$C$35=E83)*'Munition-Feuerwaffen'!$D$2:$D$35)))</f>
        <v/>
      </c>
      <c r="H83" t="inlineStr">
        <is>
          <t>VL. Papierpatrone</t>
        </is>
      </c>
      <c r="I83">
        <f>IF(H83="","",IF(COUNTIFS('Munition-Feuerwaffen'!$B$2:$B$35,H83,'Munition-Feuerwaffen'!$C$2:$C$35,E83)=0,"",SUMPRODUCT(('Munition-Feuerwaffen'!$B$2:$B$35=H83)*('Munition-Feuerwaffen'!$C$2:$C$35=E83)*'Munition-Feuerwaffen'!$D$2:$D$35)))</f>
        <v/>
      </c>
      <c r="J83" t="inlineStr">
        <is>
          <t>Reduziert die Nachladezeit um 5 Sekunden</t>
        </is>
      </c>
    </row>
    <row r="84">
      <c r="A84" t="inlineStr">
        <is>
          <t>Drache</t>
        </is>
      </c>
      <c r="B84" t="inlineStr">
        <is>
          <t>Zwergisch</t>
        </is>
      </c>
      <c r="C84" t="inlineStr">
        <is>
          <t>Klapplauf</t>
        </is>
      </c>
      <c r="D84" t="inlineStr">
        <is>
          <t>Messing Patrone</t>
        </is>
      </c>
      <c r="E84" t="n">
        <v>8</v>
      </c>
      <c r="F84" t="inlineStr">
        <is>
          <t>Messingpatrone</t>
        </is>
      </c>
      <c r="G84">
        <f>IF(F84="","",IF(COUNTIFS('Munition-Feuerwaffen'!$B$2:$B$35,F84,'Munition-Feuerwaffen'!$C$2:$C$35,E84)=0,"",SUMPRODUCT(('Munition-Feuerwaffen'!$B$2:$B$35=F84)*('Munition-Feuerwaffen'!$C$2:$C$35=E84)*'Munition-Feuerwaffen'!$D$2:$D$35)))</f>
        <v/>
      </c>
    </row>
    <row r="85">
      <c r="A85" t="inlineStr">
        <is>
          <t>Drako</t>
        </is>
      </c>
      <c r="B85" t="inlineStr">
        <is>
          <t>Zwergisch</t>
        </is>
      </c>
      <c r="C85" t="inlineStr">
        <is>
          <t>Vorderlader</t>
        </is>
      </c>
      <c r="D85" t="inlineStr">
        <is>
          <t>Blei</t>
        </is>
      </c>
      <c r="E85" t="n">
        <v>17</v>
      </c>
      <c r="F85" t="inlineStr">
        <is>
          <t>S.P.&amp;Blei</t>
        </is>
      </c>
      <c r="G85">
        <f>IF(F85="","",IF(COUNTIFS('Munition-Feuerwaffen'!$B$2:$B$35,F85,'Munition-Feuerwaffen'!$C$2:$C$35,E85)=0,"",SUMPRODUCT(('Munition-Feuerwaffen'!$B$2:$B$35=F85)*('Munition-Feuerwaffen'!$C$2:$C$35=E85)*'Munition-Feuerwaffen'!$D$2:$D$35)))</f>
        <v/>
      </c>
      <c r="H85" t="inlineStr">
        <is>
          <t>VL. Papierpatrone</t>
        </is>
      </c>
      <c r="I85">
        <f>IF(H85="","",IF(COUNTIFS('Munition-Feuerwaffen'!$B$2:$B$35,H85,'Munition-Feuerwaffen'!$C$2:$C$35,E85)=0,"",SUMPRODUCT(('Munition-Feuerwaffen'!$B$2:$B$35=H85)*('Munition-Feuerwaffen'!$C$2:$C$35=E85)*'Munition-Feuerwaffen'!$D$2:$D$35)))</f>
        <v/>
      </c>
      <c r="J85" t="inlineStr">
        <is>
          <t>Reduziert die Nachladezeit um 5 Sekunden</t>
        </is>
      </c>
    </row>
    <row r="86">
      <c r="A86" t="inlineStr">
        <is>
          <t>Feuerspucker</t>
        </is>
      </c>
      <c r="B86" t="inlineStr">
        <is>
          <t>Zwergisch</t>
        </is>
      </c>
      <c r="C86" t="inlineStr">
        <is>
          <t>Klapplauf</t>
        </is>
      </c>
      <c r="D86" t="inlineStr">
        <is>
          <t>Messing Patrone</t>
        </is>
      </c>
      <c r="E86" t="n">
        <v>7</v>
      </c>
      <c r="F86" t="inlineStr">
        <is>
          <t>Messingpatrone</t>
        </is>
      </c>
      <c r="G86">
        <f>IF(F86="","",IF(COUNTIFS('Munition-Feuerwaffen'!$B$2:$B$35,F86,'Munition-Feuerwaffen'!$C$2:$C$35,E86)=0,"",SUMPRODUCT(('Munition-Feuerwaffen'!$B$2:$B$35=F86)*('Munition-Feuerwaffen'!$C$2:$C$35=E86)*'Munition-Feuerwaffen'!$D$2:$D$35)))</f>
        <v/>
      </c>
    </row>
    <row r="87">
      <c r="A87" t="inlineStr">
        <is>
          <t>Wyrm</t>
        </is>
      </c>
      <c r="B87" t="inlineStr">
        <is>
          <t>Zwergisch</t>
        </is>
      </c>
      <c r="C87" t="inlineStr">
        <is>
          <t>Vorderlader</t>
        </is>
      </c>
      <c r="D87" t="inlineStr">
        <is>
          <t>Blei</t>
        </is>
      </c>
      <c r="E87" t="n">
        <v>14</v>
      </c>
      <c r="F87" t="inlineStr">
        <is>
          <t>S.P.&amp;Blei</t>
        </is>
      </c>
      <c r="G87">
        <f>IF(F87="","",IF(COUNTIFS('Munition-Feuerwaffen'!$B$2:$B$35,F87,'Munition-Feuerwaffen'!$C$2:$C$35,E87)=0,"",SUMPRODUCT(('Munition-Feuerwaffen'!$B$2:$B$35=F87)*('Munition-Feuerwaffen'!$C$2:$C$35=E87)*'Munition-Feuerwaffen'!$D$2:$D$35)))</f>
        <v/>
      </c>
      <c r="H87" t="inlineStr">
        <is>
          <t>VL. Papierpatrone</t>
        </is>
      </c>
      <c r="I87">
        <f>IF(H87="","",IF(COUNTIFS('Munition-Feuerwaffen'!$B$2:$B$35,H87,'Munition-Feuerwaffen'!$C$2:$C$35,E87)=0,"",SUMPRODUCT(('Munition-Feuerwaffen'!$B$2:$B$35=H87)*('Munition-Feuerwaffen'!$C$2:$C$35=E87)*'Munition-Feuerwaffen'!$D$2:$D$35)))</f>
        <v/>
      </c>
      <c r="J87" t="inlineStr">
        <is>
          <t>Reduziert die Nachladezeit um 5 Sekunden</t>
        </is>
      </c>
    </row>
  </sheetData>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10" defaultColWidth="9.140625" defaultRowHeight="15"/>
  <cols>
    <col width="28" customWidth="1" style="48" min="1" max="1"/>
    <col width="20" customWidth="1" style="48" min="2" max="2"/>
    <col width="8" customWidth="1" style="48" min="3" max="3"/>
    <col width="10" customWidth="1" style="48" min="4" max="4"/>
    <col width="6" customWidth="1" style="48" min="5" max="5"/>
    <col width="8" customWidth="1" style="48" min="6" max="7"/>
    <col width="14" customWidth="1" style="48" min="8" max="8"/>
    <col width="6" customWidth="1" style="48" min="9" max="9"/>
    <col width="55" customWidth="1" style="48" min="10" max="10"/>
  </cols>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Improvisierter-Pfeil</t>
        </is>
      </c>
      <c r="B2" t="inlineStr">
        <is>
          <t>Normal</t>
        </is>
      </c>
      <c r="C2" t="inlineStr">
        <is>
          <t>1W4</t>
        </is>
      </c>
      <c r="E2" t="inlineStr">
        <is>
          <t>0</t>
        </is>
      </c>
      <c r="F2" t="inlineStr">
        <is>
          <t>-15m</t>
        </is>
      </c>
      <c r="G2" t="inlineStr">
        <is>
          <t>nichts</t>
        </is>
      </c>
      <c r="I2" t="inlineStr">
        <is>
          <t>1</t>
        </is>
      </c>
    </row>
    <row r="3">
      <c r="A3" t="inlineStr">
        <is>
          <t>Holzspitzen-Pfeil</t>
        </is>
      </c>
      <c r="B3" t="inlineStr">
        <is>
          <t>Normal</t>
        </is>
      </c>
      <c r="C3" t="inlineStr">
        <is>
          <t>1W6</t>
        </is>
      </c>
      <c r="E3" t="inlineStr">
        <is>
          <t>0</t>
        </is>
      </c>
      <c r="F3" t="inlineStr">
        <is>
          <t>-7m</t>
        </is>
      </c>
      <c r="G3" t="inlineStr">
        <is>
          <t>50 FZ</t>
        </is>
      </c>
      <c r="I3" t="inlineStr">
        <is>
          <t>1</t>
        </is>
      </c>
    </row>
    <row r="4">
      <c r="A4" t="inlineStr">
        <is>
          <t>Knochenspitzen-Pfeil</t>
        </is>
      </c>
      <c r="B4" t="inlineStr">
        <is>
          <t>Normal</t>
        </is>
      </c>
      <c r="C4" t="inlineStr">
        <is>
          <t>1W6</t>
        </is>
      </c>
      <c r="E4" t="inlineStr">
        <is>
          <t>0</t>
        </is>
      </c>
      <c r="F4" t="inlineStr">
        <is>
          <t>0</t>
        </is>
      </c>
      <c r="G4" t="inlineStr">
        <is>
          <t>100FZ</t>
        </is>
      </c>
      <c r="I4" t="inlineStr">
        <is>
          <t>1</t>
        </is>
      </c>
    </row>
    <row r="5">
      <c r="A5" t="inlineStr">
        <is>
          <t>Steinspitzen-Pfeil</t>
        </is>
      </c>
      <c r="B5" t="inlineStr">
        <is>
          <t>Normal</t>
        </is>
      </c>
      <c r="C5" t="inlineStr">
        <is>
          <t>1W8</t>
        </is>
      </c>
      <c r="E5" t="inlineStr">
        <is>
          <t>0</t>
        </is>
      </c>
      <c r="F5" t="inlineStr">
        <is>
          <t>0</t>
        </is>
      </c>
      <c r="G5" t="inlineStr">
        <is>
          <t>200 FZ</t>
        </is>
      </c>
      <c r="I5" t="inlineStr">
        <is>
          <t>1</t>
        </is>
      </c>
    </row>
    <row r="6">
      <c r="A6" t="inlineStr">
        <is>
          <t>Diamantspatspitzen-Pfeil</t>
        </is>
      </c>
      <c r="B6" t="inlineStr">
        <is>
          <t>Normal</t>
        </is>
      </c>
      <c r="C6" t="inlineStr">
        <is>
          <t>1W8</t>
        </is>
      </c>
      <c r="E6" t="inlineStr">
        <is>
          <t>+6</t>
        </is>
      </c>
      <c r="F6" t="inlineStr">
        <is>
          <t>0</t>
        </is>
      </c>
      <c r="G6" t="inlineStr">
        <is>
          <t>1,5D</t>
        </is>
      </c>
      <c r="H6" t="n">
        <v>2</v>
      </c>
      <c r="I6" t="inlineStr">
        <is>
          <t>1</t>
        </is>
      </c>
      <c r="J6" t="inlineStr">
        <is>
          <t>Wird durch UV-Strahlung zersetzt</t>
        </is>
      </c>
    </row>
    <row r="7">
      <c r="A7" t="inlineStr">
        <is>
          <t>Bronzespitzen-Pfeil</t>
        </is>
      </c>
      <c r="B7" t="inlineStr">
        <is>
          <t>Normal</t>
        </is>
      </c>
      <c r="C7" t="inlineStr">
        <is>
          <t>1W8</t>
        </is>
      </c>
      <c r="E7" t="inlineStr">
        <is>
          <t>+1</t>
        </is>
      </c>
      <c r="F7" t="inlineStr">
        <is>
          <t>0</t>
        </is>
      </c>
      <c r="G7" t="inlineStr">
        <is>
          <t>300 FZ</t>
        </is>
      </c>
      <c r="I7" t="inlineStr">
        <is>
          <t>1</t>
        </is>
      </c>
    </row>
    <row r="8">
      <c r="A8" t="inlineStr">
        <is>
          <t>Eisenspitzen-Pfeil</t>
        </is>
      </c>
      <c r="B8" t="inlineStr">
        <is>
          <t>Normal</t>
        </is>
      </c>
      <c r="C8" t="inlineStr">
        <is>
          <t>1W8</t>
        </is>
      </c>
      <c r="E8" t="inlineStr">
        <is>
          <t>+2</t>
        </is>
      </c>
      <c r="F8" t="inlineStr">
        <is>
          <t>0</t>
        </is>
      </c>
      <c r="G8" t="inlineStr">
        <is>
          <t>500 FZ</t>
        </is>
      </c>
      <c r="I8" t="inlineStr">
        <is>
          <t>1</t>
        </is>
      </c>
    </row>
    <row r="9">
      <c r="A9" t="inlineStr">
        <is>
          <t>Stahlspitzen-Pfeil</t>
        </is>
      </c>
      <c r="B9" t="inlineStr">
        <is>
          <t>Normal</t>
        </is>
      </c>
      <c r="C9" t="inlineStr">
        <is>
          <t>1W8</t>
        </is>
      </c>
      <c r="E9" t="inlineStr">
        <is>
          <t>+3</t>
        </is>
      </c>
      <c r="F9" t="inlineStr">
        <is>
          <t>0</t>
        </is>
      </c>
      <c r="G9" t="inlineStr">
        <is>
          <t>1D</t>
        </is>
      </c>
      <c r="I9" t="inlineStr">
        <is>
          <t>1</t>
        </is>
      </c>
    </row>
    <row r="10">
      <c r="A10" t="inlineStr">
        <is>
          <t>Edelstahlspitzen-Pfeil</t>
        </is>
      </c>
      <c r="B10" t="inlineStr">
        <is>
          <t>Normal</t>
        </is>
      </c>
      <c r="C10" t="inlineStr">
        <is>
          <t>1W8</t>
        </is>
      </c>
      <c r="E10" t="inlineStr">
        <is>
          <t>+4</t>
        </is>
      </c>
      <c r="F10" t="inlineStr">
        <is>
          <t>0</t>
        </is>
      </c>
      <c r="G10" t="inlineStr">
        <is>
          <t>2,5D</t>
        </is>
      </c>
      <c r="I10" t="inlineStr">
        <is>
          <t>1</t>
        </is>
      </c>
    </row>
    <row r="11">
      <c r="A11" t="inlineStr">
        <is>
          <t>Faltstahlspitzen-Pfeil</t>
        </is>
      </c>
      <c r="B11" t="inlineStr">
        <is>
          <t>Normal</t>
        </is>
      </c>
      <c r="C11" t="inlineStr">
        <is>
          <t>1W8</t>
        </is>
      </c>
      <c r="E11" t="inlineStr">
        <is>
          <t>+5</t>
        </is>
      </c>
      <c r="F11" t="inlineStr">
        <is>
          <t>0</t>
        </is>
      </c>
      <c r="G11" t="inlineStr">
        <is>
          <t>5D</t>
        </is>
      </c>
      <c r="I11" t="inlineStr">
        <is>
          <t>1</t>
        </is>
      </c>
    </row>
    <row r="12">
      <c r="A12" t="inlineStr">
        <is>
          <t>Nasiumspitzen-Pfeil</t>
        </is>
      </c>
      <c r="B12" t="inlineStr">
        <is>
          <t>Normal</t>
        </is>
      </c>
      <c r="C12" t="inlineStr">
        <is>
          <t>1W8</t>
        </is>
      </c>
      <c r="E12" t="inlineStr">
        <is>
          <t>+2</t>
        </is>
      </c>
      <c r="F12" t="inlineStr">
        <is>
          <t>0</t>
        </is>
      </c>
      <c r="G12" t="inlineStr">
        <is>
          <t>100D</t>
        </is>
      </c>
      <c r="I12" t="inlineStr">
        <is>
          <t>1</t>
        </is>
      </c>
      <c r="J12" t="inlineStr">
        <is>
          <t>Verzauberungskosten werden stark verringert</t>
        </is>
      </c>
    </row>
    <row r="13">
      <c r="A13" t="inlineStr">
        <is>
          <t>Adamantitspitzen-Pfeil</t>
        </is>
      </c>
      <c r="B13" t="inlineStr">
        <is>
          <t>Normal</t>
        </is>
      </c>
      <c r="C13" t="inlineStr">
        <is>
          <t>1W8</t>
        </is>
      </c>
      <c r="E13" t="inlineStr">
        <is>
          <t>+7</t>
        </is>
      </c>
      <c r="F13" t="inlineStr">
        <is>
          <t>0</t>
        </is>
      </c>
      <c r="G13" t="inlineStr">
        <is>
          <t>1000D</t>
        </is>
      </c>
      <c r="I13" t="inlineStr">
        <is>
          <t>1</t>
        </is>
      </c>
    </row>
    <row r="14">
      <c r="A14" t="inlineStr">
        <is>
          <t>Diamantspitzen-Pfeil</t>
        </is>
      </c>
      <c r="B14" t="inlineStr">
        <is>
          <t>Normal</t>
        </is>
      </c>
      <c r="C14" t="inlineStr">
        <is>
          <t>1W8</t>
        </is>
      </c>
      <c r="E14" t="inlineStr">
        <is>
          <t>+5</t>
        </is>
      </c>
      <c r="F14" t="inlineStr">
        <is>
          <t>0</t>
        </is>
      </c>
      <c r="G14" t="inlineStr">
        <is>
          <t>100D</t>
        </is>
      </c>
      <c r="I14" t="inlineStr">
        <is>
          <t>1</t>
        </is>
      </c>
    </row>
    <row r="15">
      <c r="A15" t="inlineStr">
        <is>
          <t>Silberspitzen-Pfeil</t>
        </is>
      </c>
      <c r="B15" t="inlineStr">
        <is>
          <t>Normal</t>
        </is>
      </c>
      <c r="C15" t="inlineStr">
        <is>
          <t>1W6</t>
        </is>
      </c>
      <c r="E15" t="inlineStr">
        <is>
          <t>-2</t>
        </is>
      </c>
      <c r="F15" t="inlineStr">
        <is>
          <t>0</t>
        </is>
      </c>
      <c r="G15" t="inlineStr">
        <is>
          <t>2,5D</t>
        </is>
      </c>
      <c r="I15" t="inlineStr">
        <is>
          <t>1</t>
        </is>
      </c>
      <c r="J15" t="inlineStr">
        <is>
          <t>Man sagt es gaebe Wesen die nur mit Silber verletzt oder getoetet werden koennen</t>
        </is>
      </c>
    </row>
    <row r="16">
      <c r="A16" t="inlineStr">
        <is>
          <t>Glasspitzen-Pfeil</t>
        </is>
      </c>
      <c r="B16" t="inlineStr">
        <is>
          <t>Normal</t>
        </is>
      </c>
      <c r="C16" t="inlineStr">
        <is>
          <t>1W8</t>
        </is>
      </c>
      <c r="E16" t="inlineStr">
        <is>
          <t>-2</t>
        </is>
      </c>
      <c r="F16" t="inlineStr">
        <is>
          <t>0</t>
        </is>
      </c>
      <c r="G16" t="inlineStr">
        <is>
          <t>10D</t>
        </is>
      </c>
      <c r="I16" t="inlineStr">
        <is>
          <t>2</t>
        </is>
      </c>
      <c r="J16" t="inlineStr">
        <is>
          <t>Die Spitze zersplittert beim Aufprall, die Splitter bohren sich bei jeder Bewegung ins Fleisch</t>
        </is>
      </c>
    </row>
    <row r="17">
      <c r="A17" t="inlineStr">
        <is>
          <t>Breitkopfspitzen-Pfeil</t>
        </is>
      </c>
      <c r="B17" t="inlineStr">
        <is>
          <t>Spitzen-Modifikator</t>
        </is>
      </c>
      <c r="D17" t="inlineStr">
        <is>
          <t>+3</t>
        </is>
      </c>
      <c r="E17" t="inlineStr">
        <is>
          <t>-1</t>
        </is>
      </c>
      <c r="F17" t="inlineStr">
        <is>
          <t>+10m</t>
        </is>
      </c>
      <c r="G17" t="inlineStr">
        <is>
          <t>+2D</t>
        </is>
      </c>
      <c r="I17" t="inlineStr">
        <is>
          <t>2</t>
        </is>
      </c>
    </row>
    <row r="18">
      <c r="A18" t="inlineStr">
        <is>
          <t>Hohlspitzen-Pfeil</t>
        </is>
      </c>
      <c r="B18" t="inlineStr">
        <is>
          <t>Spitzen-Modifikator</t>
        </is>
      </c>
      <c r="D18" t="inlineStr">
        <is>
          <t>+2</t>
        </is>
      </c>
      <c r="E18" t="inlineStr">
        <is>
          <t>+3</t>
        </is>
      </c>
      <c r="F18" t="inlineStr">
        <is>
          <t>+5m</t>
        </is>
      </c>
      <c r="G18" t="inlineStr">
        <is>
          <t>+10D</t>
        </is>
      </c>
      <c r="I18" t="inlineStr">
        <is>
          <t>1</t>
        </is>
      </c>
      <c r="J18" t="inlineStr">
        <is>
          <t>Moderner Arme-Pfeil: wird nur an staatlich Befugte weitergegeben</t>
        </is>
      </c>
    </row>
    <row r="19">
      <c r="A19" t="inlineStr">
        <is>
          <t>Widerhaken-Pfeil</t>
        </is>
      </c>
      <c r="B19" t="inlineStr">
        <is>
          <t>Spitzen-Modifikator</t>
        </is>
      </c>
      <c r="D19" t="inlineStr">
        <is>
          <t>0</t>
        </is>
      </c>
      <c r="E19" t="inlineStr">
        <is>
          <t>+1</t>
        </is>
      </c>
      <c r="F19" t="inlineStr">
        <is>
          <t>-5m</t>
        </is>
      </c>
      <c r="G19" t="inlineStr">
        <is>
          <t>+2D</t>
        </is>
      </c>
      <c r="I19" t="inlineStr">
        <is>
          <t>1</t>
        </is>
      </c>
      <c r="J19" t="inlineStr">
        <is>
          <t>Ges+Medizin erschwert um 15 beim Rausziehen, sonst 1W8+2 SP direkt auf die TZ</t>
        </is>
      </c>
    </row>
    <row r="20">
      <c r="A20" t="inlineStr">
        <is>
          <t>Kanuelen-Pfeil</t>
        </is>
      </c>
      <c r="B20" t="inlineStr">
        <is>
          <t>Spitzen-Modifikator</t>
        </is>
      </c>
      <c r="D20" t="inlineStr">
        <is>
          <t>-2</t>
        </is>
      </c>
      <c r="E20" t="inlineStr">
        <is>
          <t>+1</t>
        </is>
      </c>
      <c r="F20" t="inlineStr">
        <is>
          <t>-5m</t>
        </is>
      </c>
      <c r="G20" t="inlineStr">
        <is>
          <t>+3D</t>
        </is>
      </c>
      <c r="I20" t="inlineStr">
        <is>
          <t>1</t>
        </is>
      </c>
      <c r="J20" t="inlineStr">
        <is>
          <t>Kann eine groessere Menge Gift transportieren (2 statt 1 Anwendung)</t>
        </is>
      </c>
    </row>
    <row r="21">
      <c r="A21" t="inlineStr">
        <is>
          <t>Halbmond-Pfeil</t>
        </is>
      </c>
      <c r="B21" t="inlineStr">
        <is>
          <t>Spitzen-Modifikator</t>
        </is>
      </c>
      <c r="D21" t="inlineStr">
        <is>
          <t>+2</t>
        </is>
      </c>
      <c r="E21" t="inlineStr">
        <is>
          <t>-3</t>
        </is>
      </c>
      <c r="F21" t="inlineStr">
        <is>
          <t>0</t>
        </is>
      </c>
      <c r="G21" t="inlineStr">
        <is>
          <t>+2D</t>
        </is>
      </c>
      <c r="I21" t="inlineStr">
        <is>
          <t>2</t>
        </is>
      </c>
      <c r="J21" t="inlineStr">
        <is>
          <t>Man kann damit Seile durchschiessen</t>
        </is>
      </c>
    </row>
    <row r="22">
      <c r="A22" t="inlineStr">
        <is>
          <t>Dornspitzen-Pfeil</t>
        </is>
      </c>
      <c r="B22" t="inlineStr">
        <is>
          <t>Spitzen-Modifikator</t>
        </is>
      </c>
      <c r="D22" t="inlineStr">
        <is>
          <t>-2</t>
        </is>
      </c>
      <c r="E22" t="inlineStr">
        <is>
          <t>+7</t>
        </is>
      </c>
      <c r="F22" t="inlineStr">
        <is>
          <t>0</t>
        </is>
      </c>
      <c r="G22" t="inlineStr">
        <is>
          <t>+1D</t>
        </is>
      </c>
      <c r="I22" t="inlineStr">
        <is>
          <t>1</t>
        </is>
      </c>
    </row>
    <row r="23">
      <c r="A23" t="inlineStr">
        <is>
          <t>Hohlkoerper-Pfeil</t>
        </is>
      </c>
      <c r="B23" t="inlineStr">
        <is>
          <t>Spitzen-Modifikator</t>
        </is>
      </c>
      <c r="D23" t="inlineStr">
        <is>
          <t>0</t>
        </is>
      </c>
      <c r="E23" t="inlineStr">
        <is>
          <t>-2</t>
        </is>
      </c>
      <c r="F23" t="inlineStr">
        <is>
          <t>-10m</t>
        </is>
      </c>
      <c r="G23" t="inlineStr">
        <is>
          <t>+5D</t>
        </is>
      </c>
      <c r="I23" t="inlineStr">
        <is>
          <t>1</t>
        </is>
      </c>
      <c r="J23" t="inlineStr">
        <is>
          <t>In einer Tonkugel an der Spitze kann z.B. Zwergisches Feuer untergebracht werden</t>
        </is>
      </c>
    </row>
    <row r="24">
      <c r="A24" t="inlineStr">
        <is>
          <t>(Trolle) Trollbogen-Pfeil</t>
        </is>
      </c>
      <c r="B24" t="inlineStr">
        <is>
          <t>Rassen-Spezial</t>
        </is>
      </c>
      <c r="C24" t="inlineStr">
        <is>
          <t>1W15</t>
        </is>
      </c>
      <c r="E24" t="inlineStr">
        <is>
          <t>0</t>
        </is>
      </c>
      <c r="F24" t="inlineStr">
        <is>
          <t>0</t>
        </is>
      </c>
      <c r="G24" t="inlineStr">
        <is>
          <t>5D</t>
        </is>
      </c>
      <c r="H24" t="n">
        <v>6</v>
      </c>
      <c r="I24" t="inlineStr">
        <is>
          <t>10</t>
        </is>
      </c>
      <c r="J24" t="inlineStr">
        <is>
          <t>Kann nur mit dem Trollbogen abgeschossen werden</t>
        </is>
      </c>
    </row>
    <row r="25">
      <c r="A25" t="inlineStr">
        <is>
          <t>(Drow) Elbenbein-Pfeil</t>
        </is>
      </c>
      <c r="B25" t="inlineStr">
        <is>
          <t>Rassen-Spezial</t>
        </is>
      </c>
      <c r="C25" t="inlineStr">
        <is>
          <t>1W8</t>
        </is>
      </c>
      <c r="D25" t="inlineStr">
        <is>
          <t>+1</t>
        </is>
      </c>
      <c r="E25" t="inlineStr">
        <is>
          <t>+1</t>
        </is>
      </c>
      <c r="F25" t="inlineStr">
        <is>
          <t>0</t>
        </is>
      </c>
      <c r="G25" t="inlineStr">
        <is>
          <t>4D</t>
        </is>
      </c>
      <c r="H25" t="n">
        <v>4</v>
      </c>
      <c r="I25" t="inlineStr">
        <is>
          <t>1</t>
        </is>
      </c>
      <c r="J25" t="inlineStr">
        <is>
          <t>Traditioneller Drow-Pfeil</t>
        </is>
      </c>
    </row>
    <row r="26">
      <c r="A26" t="inlineStr">
        <is>
          <t>(Indianer) Schwarzfels-Pfeil</t>
        </is>
      </c>
      <c r="B26" t="inlineStr">
        <is>
          <t>Rassen-Spezial</t>
        </is>
      </c>
      <c r="C26" t="inlineStr">
        <is>
          <t>1W8</t>
        </is>
      </c>
      <c r="D26" t="inlineStr">
        <is>
          <t>+1</t>
        </is>
      </c>
      <c r="E26" t="inlineStr">
        <is>
          <t>+4</t>
        </is>
      </c>
      <c r="F26" t="inlineStr">
        <is>
          <t>-10m</t>
        </is>
      </c>
      <c r="G26" t="inlineStr">
        <is>
          <t>nicht V.</t>
        </is>
      </c>
      <c r="H26" t="n">
        <v>5</v>
      </c>
      <c r="I26" t="inlineStr">
        <is>
          <t>1</t>
        </is>
      </c>
      <c r="J26" t="inlineStr">
        <is>
          <t>Traditioneller Pfeil einiger Indianerstaemme am Rande der Schwarzen Zone</t>
        </is>
      </c>
    </row>
    <row r="27">
      <c r="A27" t="inlineStr">
        <is>
          <t>(Gnome) Kurz-Pfeil</t>
        </is>
      </c>
      <c r="B27" t="inlineStr">
        <is>
          <t>Rassen-Spezial</t>
        </is>
      </c>
      <c r="C27" t="inlineStr">
        <is>
          <t>1W6</t>
        </is>
      </c>
      <c r="D27" t="inlineStr">
        <is>
          <t>+1</t>
        </is>
      </c>
      <c r="E27" t="inlineStr">
        <is>
          <t>+2</t>
        </is>
      </c>
      <c r="F27" t="inlineStr">
        <is>
          <t>0</t>
        </is>
      </c>
      <c r="G27" t="inlineStr">
        <is>
          <t>500 FZ</t>
        </is>
      </c>
      <c r="H27" t="n">
        <v>1</v>
      </c>
      <c r="I27" t="inlineStr">
        <is>
          <t>1</t>
        </is>
      </c>
      <c r="J27" t="inlineStr">
        <is>
          <t>Kann nur mit den Gnomischen Boegen verschossen werden</t>
        </is>
      </c>
    </row>
  </sheetData>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10" defaultColWidth="9.140625" defaultRowHeight="15"/>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Improvisierter-Bolzen</t>
        </is>
      </c>
      <c r="B2" t="inlineStr">
        <is>
          <t>Normal</t>
        </is>
      </c>
      <c r="C2" t="inlineStr">
        <is>
          <t>1W4</t>
        </is>
      </c>
      <c r="E2" t="inlineStr">
        <is>
          <t>0</t>
        </is>
      </c>
      <c r="F2" t="inlineStr">
        <is>
          <t>-15</t>
        </is>
      </c>
      <c r="G2" t="inlineStr">
        <is>
          <t>nicht V</t>
        </is>
      </c>
      <c r="I2" t="inlineStr">
        <is>
          <t>1</t>
        </is>
      </c>
    </row>
    <row r="3">
      <c r="A3" t="inlineStr">
        <is>
          <t>Holzspitzen-Bolzen</t>
        </is>
      </c>
      <c r="B3" t="inlineStr">
        <is>
          <t>Normal</t>
        </is>
      </c>
      <c r="C3" t="inlineStr">
        <is>
          <t>1W4</t>
        </is>
      </c>
      <c r="E3" t="inlineStr">
        <is>
          <t>0</t>
        </is>
      </c>
      <c r="F3" t="inlineStr">
        <is>
          <t>-7</t>
        </is>
      </c>
      <c r="G3" t="inlineStr">
        <is>
          <t>200 FZ</t>
        </is>
      </c>
      <c r="I3" t="inlineStr">
        <is>
          <t>1</t>
        </is>
      </c>
    </row>
    <row r="4">
      <c r="A4" t="inlineStr">
        <is>
          <t>Knochenspitzen-Bolzen</t>
        </is>
      </c>
      <c r="B4" t="inlineStr">
        <is>
          <t>Normal</t>
        </is>
      </c>
      <c r="C4" t="inlineStr">
        <is>
          <t>1W6</t>
        </is>
      </c>
      <c r="E4" t="inlineStr">
        <is>
          <t>0</t>
        </is>
      </c>
      <c r="F4" t="inlineStr">
        <is>
          <t>0</t>
        </is>
      </c>
      <c r="G4" t="inlineStr">
        <is>
          <t>400FZ</t>
        </is>
      </c>
      <c r="I4" t="inlineStr">
        <is>
          <t>1</t>
        </is>
      </c>
    </row>
    <row r="5">
      <c r="A5" t="inlineStr">
        <is>
          <t>Steinspitzen-Bolzen</t>
        </is>
      </c>
      <c r="B5" t="inlineStr">
        <is>
          <t>Normal</t>
        </is>
      </c>
      <c r="C5" t="inlineStr">
        <is>
          <t>1W8</t>
        </is>
      </c>
      <c r="E5" t="inlineStr">
        <is>
          <t>0</t>
        </is>
      </c>
      <c r="F5" t="inlineStr">
        <is>
          <t>0</t>
        </is>
      </c>
      <c r="G5" t="inlineStr">
        <is>
          <t>800 FZ</t>
        </is>
      </c>
      <c r="I5" t="inlineStr">
        <is>
          <t>1</t>
        </is>
      </c>
    </row>
    <row r="6">
      <c r="A6" t="inlineStr">
        <is>
          <t>Diamantspatspitzen-Bolzen</t>
        </is>
      </c>
      <c r="B6" t="inlineStr">
        <is>
          <t>Normal</t>
        </is>
      </c>
      <c r="C6" t="inlineStr">
        <is>
          <t>1W10</t>
        </is>
      </c>
      <c r="E6" t="inlineStr">
        <is>
          <t>+6</t>
        </is>
      </c>
      <c r="F6" t="inlineStr">
        <is>
          <t>0</t>
        </is>
      </c>
      <c r="G6" t="inlineStr">
        <is>
          <t>3,5D</t>
        </is>
      </c>
      <c r="H6" t="n">
        <v>3</v>
      </c>
      <c r="I6" t="inlineStr">
        <is>
          <t>1</t>
        </is>
      </c>
      <c r="J6" t="inlineStr">
        <is>
          <t>Wird durch UV-Strahlung zersetzt</t>
        </is>
      </c>
    </row>
    <row r="7">
      <c r="A7" t="inlineStr">
        <is>
          <t>Bronzespitzen-Bolzen</t>
        </is>
      </c>
      <c r="B7" t="inlineStr">
        <is>
          <t>Normal</t>
        </is>
      </c>
      <c r="C7" t="inlineStr">
        <is>
          <t>1W8</t>
        </is>
      </c>
      <c r="E7" t="inlineStr">
        <is>
          <t>+1</t>
        </is>
      </c>
      <c r="F7" t="inlineStr">
        <is>
          <t>0</t>
        </is>
      </c>
      <c r="G7" t="inlineStr">
        <is>
          <t>1,2D</t>
        </is>
      </c>
      <c r="I7" t="inlineStr">
        <is>
          <t>1</t>
        </is>
      </c>
    </row>
    <row r="8">
      <c r="A8" t="inlineStr">
        <is>
          <t>Eisenspitzen-Bolzen</t>
        </is>
      </c>
      <c r="B8" t="inlineStr">
        <is>
          <t>Normal</t>
        </is>
      </c>
      <c r="C8" t="inlineStr">
        <is>
          <t>1W10</t>
        </is>
      </c>
      <c r="E8" t="inlineStr">
        <is>
          <t>+2</t>
        </is>
      </c>
      <c r="F8" t="inlineStr">
        <is>
          <t>0</t>
        </is>
      </c>
      <c r="G8" t="inlineStr">
        <is>
          <t>2D</t>
        </is>
      </c>
      <c r="I8" t="inlineStr">
        <is>
          <t>1</t>
        </is>
      </c>
    </row>
    <row r="9">
      <c r="A9" t="inlineStr">
        <is>
          <t>Stahlspitzen-Bolzen</t>
        </is>
      </c>
      <c r="B9" t="inlineStr">
        <is>
          <t>Normal</t>
        </is>
      </c>
      <c r="C9" t="inlineStr">
        <is>
          <t>1W10</t>
        </is>
      </c>
      <c r="E9" t="inlineStr">
        <is>
          <t>+3</t>
        </is>
      </c>
      <c r="F9" t="inlineStr">
        <is>
          <t>0</t>
        </is>
      </c>
      <c r="G9" t="inlineStr">
        <is>
          <t>4D</t>
        </is>
      </c>
      <c r="I9" t="inlineStr">
        <is>
          <t>1</t>
        </is>
      </c>
    </row>
    <row r="10">
      <c r="A10" t="inlineStr">
        <is>
          <t>Edelstahlspitzen-Bolzen</t>
        </is>
      </c>
      <c r="B10" t="inlineStr">
        <is>
          <t>Normal</t>
        </is>
      </c>
      <c r="C10" t="inlineStr">
        <is>
          <t>1W10</t>
        </is>
      </c>
      <c r="E10" t="inlineStr">
        <is>
          <t>+4</t>
        </is>
      </c>
      <c r="F10" t="inlineStr">
        <is>
          <t>0</t>
        </is>
      </c>
      <c r="G10" t="inlineStr">
        <is>
          <t>10D</t>
        </is>
      </c>
      <c r="I10" t="inlineStr">
        <is>
          <t>1</t>
        </is>
      </c>
    </row>
    <row r="11">
      <c r="A11" t="inlineStr">
        <is>
          <t>Faltstahlspitzen-Bolzen</t>
        </is>
      </c>
      <c r="B11" t="inlineStr">
        <is>
          <t>Normal</t>
        </is>
      </c>
      <c r="C11" t="inlineStr">
        <is>
          <t>1W10</t>
        </is>
      </c>
      <c r="E11" t="inlineStr">
        <is>
          <t>+5</t>
        </is>
      </c>
      <c r="F11" t="inlineStr">
        <is>
          <t>0</t>
        </is>
      </c>
      <c r="G11" t="inlineStr">
        <is>
          <t>20D</t>
        </is>
      </c>
      <c r="I11" t="inlineStr">
        <is>
          <t>1</t>
        </is>
      </c>
    </row>
    <row r="12">
      <c r="A12" t="inlineStr">
        <is>
          <t>Nasiumspitzen-Bolzen</t>
        </is>
      </c>
      <c r="B12" t="inlineStr">
        <is>
          <t>Normal</t>
        </is>
      </c>
      <c r="C12" t="inlineStr">
        <is>
          <t>1W10</t>
        </is>
      </c>
      <c r="E12" t="inlineStr">
        <is>
          <t>+2</t>
        </is>
      </c>
      <c r="F12" t="inlineStr">
        <is>
          <t>0</t>
        </is>
      </c>
      <c r="G12" t="inlineStr">
        <is>
          <t>400D</t>
        </is>
      </c>
      <c r="I12" t="inlineStr">
        <is>
          <t>1</t>
        </is>
      </c>
      <c r="J12" t="inlineStr">
        <is>
          <t>Verzauberungskosten werden stark verringert</t>
        </is>
      </c>
    </row>
    <row r="13">
      <c r="A13" t="inlineStr">
        <is>
          <t>Adamantidspitzen-Bolzen</t>
        </is>
      </c>
      <c r="B13" t="inlineStr">
        <is>
          <t>Normal</t>
        </is>
      </c>
      <c r="C13" t="inlineStr">
        <is>
          <t>1W10</t>
        </is>
      </c>
      <c r="E13" t="inlineStr">
        <is>
          <t>+7</t>
        </is>
      </c>
      <c r="F13" t="inlineStr">
        <is>
          <t>0</t>
        </is>
      </c>
      <c r="G13" t="inlineStr">
        <is>
          <t>10000D</t>
        </is>
      </c>
      <c r="I13" t="inlineStr">
        <is>
          <t>1</t>
        </is>
      </c>
    </row>
    <row r="14">
      <c r="A14" t="inlineStr">
        <is>
          <t>Diamantspitzen-Bolzen</t>
        </is>
      </c>
      <c r="B14" t="inlineStr">
        <is>
          <t>Normal</t>
        </is>
      </c>
      <c r="C14" t="inlineStr">
        <is>
          <t>1W10</t>
        </is>
      </c>
      <c r="E14" t="inlineStr">
        <is>
          <t>+6</t>
        </is>
      </c>
      <c r="F14" t="inlineStr">
        <is>
          <t>0</t>
        </is>
      </c>
      <c r="G14" t="inlineStr">
        <is>
          <t>400D</t>
        </is>
      </c>
      <c r="I14" t="inlineStr">
        <is>
          <t>1</t>
        </is>
      </c>
    </row>
    <row r="15">
      <c r="A15" t="inlineStr">
        <is>
          <t>Silberspitzen-Bolzen</t>
        </is>
      </c>
      <c r="B15" t="inlineStr">
        <is>
          <t>Normal</t>
        </is>
      </c>
      <c r="C15" t="inlineStr">
        <is>
          <t>1W8</t>
        </is>
      </c>
      <c r="E15" t="inlineStr">
        <is>
          <t>-2</t>
        </is>
      </c>
      <c r="F15" t="inlineStr">
        <is>
          <t>0</t>
        </is>
      </c>
      <c r="G15" t="inlineStr">
        <is>
          <t>10D</t>
        </is>
      </c>
      <c r="I15" t="inlineStr">
        <is>
          <t>1</t>
        </is>
      </c>
      <c r="J15" t="inlineStr">
        <is>
          <t>Man sagt es gaebe Wesen die nur mit Silber verletzt oder getoetet werden koennen</t>
        </is>
      </c>
    </row>
    <row r="16">
      <c r="A16" t="inlineStr">
        <is>
          <t>Glasspitzen-Bolzen</t>
        </is>
      </c>
      <c r="B16" t="inlineStr">
        <is>
          <t>Normal</t>
        </is>
      </c>
      <c r="C16" t="inlineStr">
        <is>
          <t>1W8</t>
        </is>
      </c>
      <c r="E16" t="inlineStr">
        <is>
          <t>-2</t>
        </is>
      </c>
      <c r="F16" t="inlineStr">
        <is>
          <t>0</t>
        </is>
      </c>
      <c r="G16" t="inlineStr">
        <is>
          <t>40D</t>
        </is>
      </c>
      <c r="I16" t="inlineStr">
        <is>
          <t>2</t>
        </is>
      </c>
      <c r="J16" t="inlineStr">
        <is>
          <t>Die Spitze zersplittert beim Aufprall, die Splitter bohren sich bei jeder Bewegung ins Fleisch</t>
        </is>
      </c>
    </row>
    <row r="17">
      <c r="A17" t="inlineStr">
        <is>
          <t>Breitkopfspitzen-Bolzen</t>
        </is>
      </c>
      <c r="B17" t="inlineStr">
        <is>
          <t>Spitzen-Modifikator</t>
        </is>
      </c>
      <c r="D17" t="inlineStr">
        <is>
          <t>+3</t>
        </is>
      </c>
      <c r="E17" t="inlineStr">
        <is>
          <t>-4</t>
        </is>
      </c>
      <c r="F17" t="inlineStr">
        <is>
          <t>+5m</t>
        </is>
      </c>
      <c r="G17" t="inlineStr">
        <is>
          <t>+8D</t>
        </is>
      </c>
      <c r="I17" t="inlineStr">
        <is>
          <t>3</t>
        </is>
      </c>
    </row>
    <row r="18">
      <c r="A18" t="inlineStr">
        <is>
          <t>Hohlspitzen-Bolzen</t>
        </is>
      </c>
      <c r="B18" t="inlineStr">
        <is>
          <t>Spitzen-Modifikator</t>
        </is>
      </c>
      <c r="D18" t="inlineStr">
        <is>
          <t>+2</t>
        </is>
      </c>
      <c r="E18" t="inlineStr">
        <is>
          <t>+4</t>
        </is>
      </c>
      <c r="F18" t="inlineStr">
        <is>
          <t>+5m</t>
        </is>
      </c>
      <c r="G18" t="inlineStr">
        <is>
          <t>+40D</t>
        </is>
      </c>
      <c r="I18" t="inlineStr">
        <is>
          <t>1</t>
        </is>
      </c>
      <c r="J18" t="inlineStr">
        <is>
          <t>Moderner Arme-Bolzen: wird nur an staatlich Befugte weitergegeben</t>
        </is>
      </c>
    </row>
    <row r="19">
      <c r="A19" t="inlineStr">
        <is>
          <t>Widerhaken-Bolzen</t>
        </is>
      </c>
      <c r="B19" t="inlineStr">
        <is>
          <t>Spitzen-Modifikator</t>
        </is>
      </c>
      <c r="D19" t="inlineStr">
        <is>
          <t>0</t>
        </is>
      </c>
      <c r="E19" t="inlineStr">
        <is>
          <t>+2</t>
        </is>
      </c>
      <c r="F19" t="inlineStr">
        <is>
          <t>-5m</t>
        </is>
      </c>
      <c r="G19" t="inlineStr">
        <is>
          <t>+8D</t>
        </is>
      </c>
      <c r="I19" t="inlineStr">
        <is>
          <t>1</t>
        </is>
      </c>
      <c r="J19" t="inlineStr">
        <is>
          <t>Ges+Medizin erschwert um 15 beim Rausziehen, sonst 1W8+4 SP direkt auf die TZ</t>
        </is>
      </c>
    </row>
    <row r="20">
      <c r="A20" t="inlineStr">
        <is>
          <t>Kanuelen-Bolzen</t>
        </is>
      </c>
      <c r="B20" t="inlineStr">
        <is>
          <t>Spitzen-Modifikator</t>
        </is>
      </c>
      <c r="D20" t="inlineStr">
        <is>
          <t>-2</t>
        </is>
      </c>
      <c r="E20" t="inlineStr">
        <is>
          <t>+1</t>
        </is>
      </c>
      <c r="F20" t="inlineStr">
        <is>
          <t>-5m</t>
        </is>
      </c>
      <c r="G20" t="inlineStr">
        <is>
          <t>+12D</t>
        </is>
      </c>
      <c r="I20" t="inlineStr">
        <is>
          <t>1</t>
        </is>
      </c>
      <c r="J20" t="inlineStr">
        <is>
          <t>Kann eine groessere Menge Gift transportieren (2 statt 1 Anwendung)</t>
        </is>
      </c>
    </row>
    <row r="21">
      <c r="A21" t="inlineStr">
        <is>
          <t>Halbmond-Bolzen</t>
        </is>
      </c>
      <c r="B21" t="inlineStr">
        <is>
          <t>Spitzen-Modifikator</t>
        </is>
      </c>
      <c r="D21" t="inlineStr">
        <is>
          <t>+2</t>
        </is>
      </c>
      <c r="E21" t="inlineStr">
        <is>
          <t>-4</t>
        </is>
      </c>
      <c r="F21" t="inlineStr">
        <is>
          <t>0</t>
        </is>
      </c>
      <c r="G21" t="inlineStr">
        <is>
          <t>+8D</t>
        </is>
      </c>
      <c r="I21" t="inlineStr">
        <is>
          <t>3</t>
        </is>
      </c>
      <c r="J21" t="inlineStr">
        <is>
          <t>Man kann damit Seile durchschiessen</t>
        </is>
      </c>
    </row>
    <row r="22">
      <c r="A22" t="inlineStr">
        <is>
          <t>Dornspitzen-Bolzen</t>
        </is>
      </c>
      <c r="B22" t="inlineStr">
        <is>
          <t>Spitzen-Modifikator</t>
        </is>
      </c>
      <c r="D22" t="inlineStr">
        <is>
          <t>-2</t>
        </is>
      </c>
      <c r="E22" t="inlineStr">
        <is>
          <t>+10</t>
        </is>
      </c>
      <c r="F22" t="inlineStr">
        <is>
          <t>0</t>
        </is>
      </c>
      <c r="G22" t="inlineStr">
        <is>
          <t>+4D</t>
        </is>
      </c>
      <c r="I22" t="inlineStr">
        <is>
          <t>1</t>
        </is>
      </c>
    </row>
    <row r="23">
      <c r="A23" t="inlineStr">
        <is>
          <t>Hohlkoerper-Bolzen</t>
        </is>
      </c>
      <c r="B23" t="inlineStr">
        <is>
          <t>Spitzen-Modifikator</t>
        </is>
      </c>
      <c r="D23" t="inlineStr">
        <is>
          <t>0</t>
        </is>
      </c>
      <c r="E23" t="inlineStr">
        <is>
          <t>-2</t>
        </is>
      </c>
      <c r="F23" t="inlineStr">
        <is>
          <t>-10m</t>
        </is>
      </c>
      <c r="G23" t="inlineStr">
        <is>
          <t>+20D</t>
        </is>
      </c>
      <c r="I23" t="inlineStr">
        <is>
          <t>1</t>
        </is>
      </c>
      <c r="J23" t="inlineStr">
        <is>
          <t>In einer Tonkugel an der Spitze kann z.B. Zwergisches Feuer untergebracht werden</t>
        </is>
      </c>
    </row>
    <row r="24">
      <c r="A24" t="inlineStr">
        <is>
          <t>Improvisierte Balläster-Munition</t>
        </is>
      </c>
      <c r="B24" t="inlineStr">
        <is>
          <t>Spezial-Munition</t>
        </is>
      </c>
      <c r="C24" t="inlineStr">
        <is>
          <t>1W4</t>
        </is>
      </c>
      <c r="E24" t="inlineStr">
        <is>
          <t>0</t>
        </is>
      </c>
      <c r="F24" t="inlineStr">
        <is>
          <t>-5m</t>
        </is>
      </c>
      <c r="G24" t="inlineStr">
        <is>
          <t>nicht V</t>
        </is>
      </c>
      <c r="I24" t="inlineStr">
        <is>
          <t>0</t>
        </is>
      </c>
      <c r="J24" t="inlineStr">
        <is>
          <t>Meistens ein Stein</t>
        </is>
      </c>
    </row>
    <row r="25">
      <c r="A25" t="inlineStr">
        <is>
          <t>Balläster-Munition</t>
        </is>
      </c>
      <c r="B25" t="inlineStr">
        <is>
          <t>Spezial-Munition</t>
        </is>
      </c>
      <c r="C25" t="inlineStr">
        <is>
          <t>1W6</t>
        </is>
      </c>
      <c r="E25" t="inlineStr">
        <is>
          <t>0</t>
        </is>
      </c>
      <c r="F25" t="inlineStr">
        <is>
          <t>0</t>
        </is>
      </c>
      <c r="G25" t="inlineStr">
        <is>
          <t>600 FZ</t>
        </is>
      </c>
      <c r="I25" t="inlineStr">
        <is>
          <t>0</t>
        </is>
      </c>
      <c r="J25" t="inlineStr">
        <is>
          <t>Meistens eine murmelgrosse Stahlkugel</t>
        </is>
      </c>
    </row>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T87"/>
  <sheetViews>
    <sheetView workbookViewId="0">
      <selection activeCell="A1" sqref="A1"/>
    </sheetView>
  </sheetViews>
  <sheetFormatPr baseColWidth="10" defaultColWidth="9.140625" defaultRowHeight="15"/>
  <cols>
    <col width="27" customWidth="1" style="48" min="1" max="1"/>
    <col width="16" customWidth="1" style="48" min="2" max="10"/>
    <col width="12" customWidth="1" style="48" min="11" max="24"/>
    <col width="20" customWidth="1" style="48" min="25" max="26"/>
    <col width="12" customWidth="1" style="48" min="27" max="27"/>
    <col width="18" customWidth="1" style="48" min="28" max="32"/>
    <col width="12" customWidth="1" style="48" min="33" max="33"/>
    <col width="9.140625" customWidth="1" style="28" min="34" max="35"/>
  </cols>
  <sheetData>
    <row r="1" ht="33.9500007629394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 Stä</t>
        </is>
      </c>
      <c r="M1" s="46" t="inlineStr">
        <is>
          <t>1.W</t>
        </is>
      </c>
      <c r="N1" s="46" t="inlineStr">
        <is>
          <t>2.W</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Materialpreis</t>
        </is>
      </c>
      <c r="AF1" s="46" t="inlineStr">
        <is>
          <t>Verfuegbarkeit (1-7)</t>
        </is>
      </c>
      <c r="AG1" s="47" t="inlineStr">
        <is>
          <t>Ini</t>
        </is>
      </c>
      <c r="AH1" s="28" t="inlineStr">
        <is>
          <t>Hauptfertigkeit</t>
        </is>
      </c>
      <c r="AI1" s="28" t="inlineStr">
        <is>
          <t>Spezialisierung</t>
        </is>
      </c>
      <c r="AJ1" t="inlineStr">
        <is>
          <t>WK-Basis</t>
        </is>
      </c>
      <c r="AK1" t="inlineStr">
        <is>
          <t>Schadenswuerfel-1</t>
        </is>
      </c>
      <c r="AL1" t="inlineStr">
        <is>
          <t>Schadenswuerfel-2</t>
        </is>
      </c>
      <c r="AM1" t="inlineStr">
        <is>
          <t>Staerke-Teiler</t>
        </is>
      </c>
      <c r="AN1" t="inlineStr">
        <is>
          <t>Staerke-Malus-Basis</t>
        </is>
      </c>
      <c r="AO1" t="inlineStr">
        <is>
          <t>AT-Basis</t>
        </is>
      </c>
      <c r="AP1" t="inlineStr">
        <is>
          <t>PA-Basis</t>
        </is>
      </c>
      <c r="AQ1" t="inlineStr">
        <is>
          <t>Min-Staerke-1H-Basis</t>
        </is>
      </c>
      <c r="AR1" t="inlineStr">
        <is>
          <t>Min-Staerke-2H-Basis</t>
        </is>
      </c>
      <c r="AS1" t="inlineStr">
        <is>
          <t>Klingenbrecher-Basis</t>
        </is>
      </c>
      <c r="AT1" t="inlineStr">
        <is>
          <t>Klingenschutz-Basis</t>
        </is>
      </c>
    </row>
    <row r="2">
      <c r="A2" s="49" t="inlineStr">
        <is>
          <t>Hakenbüchse</t>
        </is>
      </c>
      <c r="B2" s="49" t="inlineStr">
        <is>
          <t>Dalkinisch</t>
        </is>
      </c>
      <c r="C2" s="49" t="inlineStr">
        <is>
          <t>Gewehr</t>
        </is>
      </c>
      <c r="D2" s="49" t="inlineStr">
        <is>
          <t>Hakenbüchse</t>
        </is>
      </c>
      <c r="E2" s="49" t="inlineStr">
        <is>
          <t>Vorderlader</t>
        </is>
      </c>
      <c r="F2" s="49" t="inlineStr">
        <is>
          <t>Luntenschloss</t>
        </is>
      </c>
      <c r="G2" s="49" t="inlineStr">
        <is>
          <t>Glattlauf</t>
        </is>
      </c>
      <c r="H2" s="49" t="inlineStr">
        <is>
          <t>Blei</t>
        </is>
      </c>
      <c r="I2" s="49" t="inlineStr">
        <is>
          <t>Massenfabrikation</t>
        </is>
      </c>
      <c r="J2" s="49" t="inlineStr">
        <is>
          <t>Von der Stange</t>
        </is>
      </c>
      <c r="K2" s="51">
        <f>VLOOKUP(B2,'Feuerwaffen-Ressourcen'!$A$2:$AI$54,11,0)+VLOOKUP(C2,'Feuerwaffen-Ressourcen'!$A$2:$AI$54,11,0)+VLOOKUP(D2,'Feuerwaffen-Ressourcen'!$A$2:$AI$54,11,0)+VLOOKUP(E2,'Feuerwaffen-Ressourcen'!$A$2:$AI$54,11,0)+VLOOKUP(G2,'Feuerwaffen-Ressourcen'!$A$2:$AI$54,11,0)</f>
        <v/>
      </c>
      <c r="L2" s="50">
        <f>VLOOKUP(B2,'Feuerwaffen-Ressourcen'!$A$2:$AI$54,12,0)+VLOOKUP(C2,'Feuerwaffen-Ressourcen'!$A$2:$AI$54,12,0)+VLOOKUP(D2,'Feuerwaffen-Ressourcen'!$A$2:$AI$54,12,0)+VLOOKUP(J2,'Feuerwaffen-Ressourcen'!$A$2:$AI$54,12,0)</f>
        <v/>
      </c>
      <c r="M2" s="50">
        <f>VLOOKUP(VLOOKUP(B2,'Feuerwaffen-Ressourcen'!$A$2:$AI$54,13,0)+VLOOKUP(C2,'Feuerwaffen-Ressourcen'!$A$2:$AI$54,13,0)+VLOOKUP(D2,'Feuerwaffen-Ressourcen'!$A$2:$AI$54,13,0),'Feuerwaffen-Ressourcen'!$AJ$3:$AK$12,2,0)</f>
        <v/>
      </c>
      <c r="N2" s="50">
        <f>VLOOKUP(VLOOKUP(B2,'Feuerwaffen-Ressourcen'!$A$2:$AI$54,14,0)+VLOOKUP(C2,'Feuerwaffen-Ressourcen'!$A$2:$AI$54,14,0)+VLOOKUP(D2,'Feuerwaffen-Ressourcen'!$A$2:$AI$54,14,0),'Feuerwaffen-Ressourcen'!$AJ$3:$AK$12,2,0)</f>
        <v/>
      </c>
      <c r="O2" s="50">
        <f>VLOOKUP(B2,'Feuerwaffen-Ressourcen'!$A$2:$AI$54,15,0)+VLOOKUP(C2,'Feuerwaffen-Ressourcen'!$A$2:$AI$54,15,0)+VLOOKUP(D2,'Feuerwaffen-Ressourcen'!$A$2:$AI$54,15,0)</f>
        <v/>
      </c>
      <c r="P2" s="50">
        <f>VLOOKUP(B2,'Feuerwaffen-Ressourcen'!$A$2:$AI$54,16,0)+VLOOKUP(C2,'Feuerwaffen-Ressourcen'!$A$2:$AI$54,16,0)+VLOOKUP(D2,'Feuerwaffen-Ressourcen'!$A$2:$AI$54,16,0)+VLOOKUP(E2,'Feuerwaffen-Ressourcen'!$A$2:$AI$54,16,0)</f>
        <v/>
      </c>
      <c r="Q2" s="52">
        <f>VLOOKUP(B2,'Feuerwaffen-Ressourcen'!$A$2:$AI$54,17,0)+VLOOKUP(C2,'Feuerwaffen-Ressourcen'!$A$2:$AI$54,17,0)+VLOOKUP(D2,'Feuerwaffen-Ressourcen'!$A$2:$AI$54,17,0)+VLOOKUP(E2,'Feuerwaffen-Ressourcen'!$A$2:$AI$54,17,0)</f>
        <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
      </c>
      <c r="X2" s="50">
        <f>VLOOKUP(B2,'Feuerwaffen-Ressourcen'!$A$2:$AI$54,24,0)+VLOOKUP(C2,'Feuerwaffen-Ressourcen'!$A$2:$AI$54,24,0)+VLOOKUP(D2,'Feuerwaffen-Ressourcen'!$A$2:$AI$54,24,0)+VLOOKUP(G2,'Feuerwaffen-Ressourcen'!$A$2:$AI$54,24,0)</f>
        <v/>
      </c>
      <c r="Y2" s="50">
        <f>VLOOKUP(D2,'Feuerwaffen-Ressourcen'!$A$2:$AI$54,25,0)+VLOOKUP(E2,'Feuerwaffen-Ressourcen'!$A$2:$AI$54,25,0)+VLOOKUP(F2,'Feuerwaffen-Ressourcen'!$A$2:$AI$54,25,0)</f>
        <v/>
      </c>
      <c r="Z2" s="50">
        <f>VLOOKUP(E2,'Feuerwaffen-Ressourcen'!$A$2:$AI$54,26,0)</f>
        <v/>
      </c>
      <c r="AA2" s="50">
        <f>VLOOKUP(B2,'Feuerwaffen-Ressourcen'!$A$2:$AI$54,27,0)+VLOOKUP(D2,'Feuerwaffen-Ressourcen'!$A$2:$AI$54,27,0)+VLOOKUP(F2,'Feuerwaffen-Ressourcen'!$A$2:$AI$54,27,0)+VLOOKUP(I2,'Feuerwaffen-Ressourcen'!$A$2:$AI$54,27,0)</f>
        <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
      </c>
      <c r="AC2" s="53">
        <f>VLOOKUP(I2,'Feuerwaffen-Ressourcen'!$A$2:$AI$54,31,0)*AD2+AE2</f>
        <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
      </c>
      <c r="AF2" s="55">
        <f>VLOOKUP(AB2,'Feuerwaffen-Ressourcen'!$AO$3:$AP$9,2,1)</f>
        <v/>
      </c>
      <c r="AG2" s="55" t="n">
        <v>0</v>
      </c>
      <c r="AH2" s="28" t="inlineStr">
        <is>
          <t>Stangenwaffen</t>
        </is>
      </c>
      <c r="AI2" s="28" t="inlineStr">
        <is>
          <t>Improvisierte Stangenwaffen</t>
        </is>
      </c>
      <c r="AJ2" s="56" t="n">
        <v>3</v>
      </c>
      <c r="AK2" s="56" t="inlineStr">
        <is>
          <t>W8</t>
        </is>
      </c>
      <c r="AL2" s="56" t="inlineStr">
        <is>
          <t>W4</t>
        </is>
      </c>
      <c r="AM2" s="56" t="n">
        <v>3</v>
      </c>
      <c r="AN2" s="56" t="n">
        <v>5</v>
      </c>
      <c r="AO2" s="56" t="n">
        <v>4</v>
      </c>
      <c r="AP2" s="56" t="n">
        <v>4</v>
      </c>
      <c r="AQ2" s="56" t="n">
        <v>14</v>
      </c>
      <c r="AR2" s="56" t="n">
        <v>14</v>
      </c>
      <c r="AS2" s="56" t="n">
        <v>5</v>
      </c>
      <c r="AT2" s="56" t="n">
        <v>6</v>
      </c>
    </row>
    <row r="3">
      <c r="A3" s="49" t="inlineStr">
        <is>
          <t>Muskete</t>
        </is>
      </c>
      <c r="B3" s="49" t="inlineStr">
        <is>
          <t>Dalkinisch</t>
        </is>
      </c>
      <c r="C3" s="49" t="inlineStr">
        <is>
          <t>Gewehr</t>
        </is>
      </c>
      <c r="D3" s="49" t="inlineStr">
        <is>
          <t>Normal</t>
        </is>
      </c>
      <c r="E3" s="49" t="inlineStr">
        <is>
          <t>Vorderlader</t>
        </is>
      </c>
      <c r="F3" s="49" t="inlineStr">
        <is>
          <t>Luntenschloss</t>
        </is>
      </c>
      <c r="G3" s="49" t="inlineStr">
        <is>
          <t>Glattlauf</t>
        </is>
      </c>
      <c r="H3" s="49" t="inlineStr">
        <is>
          <t>Blei</t>
        </is>
      </c>
      <c r="I3" s="49" t="inlineStr">
        <is>
          <t>Massenfabrikation</t>
        </is>
      </c>
      <c r="J3" s="49" t="inlineStr">
        <is>
          <t>Von der Stange</t>
        </is>
      </c>
      <c r="K3" s="51">
        <f>VLOOKUP(B3,'Feuerwaffen-Ressourcen'!$A$2:$AI$54,11,0)+VLOOKUP(C3,'Feuerwaffen-Ressourcen'!$A$2:$AI$54,11,0)+VLOOKUP(D3,'Feuerwaffen-Ressourcen'!$A$2:$AI$54,11,0)+VLOOKUP(E3,'Feuerwaffen-Ressourcen'!$A$2:$AI$54,11,0)+VLOOKUP(G3,'Feuerwaffen-Ressourcen'!$A$2:$AI$54,11,0)</f>
        <v/>
      </c>
      <c r="L3" s="50">
        <f>VLOOKUP(B3,'Feuerwaffen-Ressourcen'!$A$2:$AI$54,12,0)+VLOOKUP(C3,'Feuerwaffen-Ressourcen'!$A$2:$AI$54,12,0)+VLOOKUP(D3,'Feuerwaffen-Ressourcen'!$A$2:$AI$54,12,0)+VLOOKUP(J3,'Feuerwaffen-Ressourcen'!$A$2:$AI$54,12,0)</f>
        <v/>
      </c>
      <c r="M3" s="50">
        <f>VLOOKUP(VLOOKUP(B3,'Feuerwaffen-Ressourcen'!$A$2:$AI$54,13,0)+VLOOKUP(C3,'Feuerwaffen-Ressourcen'!$A$2:$AI$54,13,0)+VLOOKUP(D3,'Feuerwaffen-Ressourcen'!$A$2:$AI$54,13,0),'Feuerwaffen-Ressourcen'!$AJ$3:$AK$12,2,0)</f>
        <v/>
      </c>
      <c r="N3" s="50">
        <f>VLOOKUP(VLOOKUP(B3,'Feuerwaffen-Ressourcen'!$A$2:$AI$54,14,0)+VLOOKUP(C3,'Feuerwaffen-Ressourcen'!$A$2:$AI$54,14,0)+VLOOKUP(D3,'Feuerwaffen-Ressourcen'!$A$2:$AI$54,14,0),'Feuerwaffen-Ressourcen'!$AJ$3:$AK$12,2,0)</f>
        <v/>
      </c>
      <c r="O3" s="50">
        <f>VLOOKUP(B3,'Feuerwaffen-Ressourcen'!$A$2:$AI$54,15,0)+VLOOKUP(C3,'Feuerwaffen-Ressourcen'!$A$2:$AI$54,15,0)+VLOOKUP(D3,'Feuerwaffen-Ressourcen'!$A$2:$AI$54,15,0)</f>
        <v/>
      </c>
      <c r="P3" s="50">
        <f>VLOOKUP(B3,'Feuerwaffen-Ressourcen'!$A$2:$AI$54,16,0)+VLOOKUP(C3,'Feuerwaffen-Ressourcen'!$A$2:$AI$54,16,0)+VLOOKUP(D3,'Feuerwaffen-Ressourcen'!$A$2:$AI$54,16,0)+VLOOKUP(E3,'Feuerwaffen-Ressourcen'!$A$2:$AI$54,16,0)</f>
        <v/>
      </c>
      <c r="Q3" s="52">
        <f>VLOOKUP(B3,'Feuerwaffen-Ressourcen'!$A$2:$AI$54,17,0)+VLOOKUP(C3,'Feuerwaffen-Ressourcen'!$A$2:$AI$54,17,0)+VLOOKUP(D3,'Feuerwaffen-Ressourcen'!$A$2:$AI$54,17,0)+VLOOKUP(E3,'Feuerwaffen-Ressourcen'!$A$2:$AI$54,17,0)</f>
        <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
      </c>
      <c r="X3" s="50">
        <f>VLOOKUP(B3,'Feuerwaffen-Ressourcen'!$A$2:$AI$54,24,0)+VLOOKUP(C3,'Feuerwaffen-Ressourcen'!$A$2:$AI$54,24,0)+VLOOKUP(D3,'Feuerwaffen-Ressourcen'!$A$2:$AI$54,24,0)+VLOOKUP(G3,'Feuerwaffen-Ressourcen'!$A$2:$AI$54,24,0)</f>
        <v/>
      </c>
      <c r="Y3" s="50">
        <f>VLOOKUP(D3,'Feuerwaffen-Ressourcen'!$A$2:$AI$54,25,0)+VLOOKUP(E3,'Feuerwaffen-Ressourcen'!$A$2:$AI$54,25,0)+VLOOKUP(F3,'Feuerwaffen-Ressourcen'!$A$2:$AI$54,25,0)</f>
        <v/>
      </c>
      <c r="Z3" s="50">
        <f>VLOOKUP(E3,'Feuerwaffen-Ressourcen'!$A$2:$AI$54,26,0)</f>
        <v/>
      </c>
      <c r="AA3" s="50">
        <f>VLOOKUP(B3,'Feuerwaffen-Ressourcen'!$A$2:$AI$54,27,0)+VLOOKUP(D3,'Feuerwaffen-Ressourcen'!$A$2:$AI$54,27,0)+VLOOKUP(F3,'Feuerwaffen-Ressourcen'!$A$2:$AI$54,27,0)+VLOOKUP(I3,'Feuerwaffen-Ressourcen'!$A$2:$AI$54,27,0)</f>
        <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
      </c>
      <c r="AC3" s="53">
        <f>VLOOKUP(I3,'Feuerwaffen-Ressourcen'!$A$2:$AI$54,31,0)*AD3+AE3</f>
        <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
      </c>
      <c r="AF3" s="55">
        <f>VLOOKUP(AB3,'Feuerwaffen-Ressourcen'!$AO$3:$AP$9,2,1)</f>
        <v/>
      </c>
      <c r="AG3" s="55" t="n">
        <v>0</v>
      </c>
      <c r="AH3" s="28" t="inlineStr">
        <is>
          <t>Stangenwaffen</t>
        </is>
      </c>
      <c r="AI3" s="28" t="inlineStr">
        <is>
          <t>Improvisierte Stangenwaffen</t>
        </is>
      </c>
      <c r="AJ3" s="56" t="n">
        <v>3</v>
      </c>
      <c r="AK3" s="56" t="inlineStr">
        <is>
          <t>W8</t>
        </is>
      </c>
      <c r="AL3" s="56" t="inlineStr">
        <is>
          <t>W4</t>
        </is>
      </c>
      <c r="AM3" s="56" t="n">
        <v>3</v>
      </c>
      <c r="AN3" s="56" t="n">
        <v>5</v>
      </c>
      <c r="AO3" s="56" t="n">
        <v>4</v>
      </c>
      <c r="AP3" s="56" t="n">
        <v>4</v>
      </c>
      <c r="AQ3" s="56" t="n">
        <v>10</v>
      </c>
      <c r="AR3" s="56" t="n">
        <v>10</v>
      </c>
      <c r="AS3" s="56" t="n">
        <v>5</v>
      </c>
      <c r="AT3" s="56" t="n">
        <v>6</v>
      </c>
    </row>
    <row r="4">
      <c r="A4" s="49" t="inlineStr">
        <is>
          <t>Schweres Gewehr</t>
        </is>
      </c>
      <c r="B4" s="49" t="inlineStr">
        <is>
          <t>Dalkinisch</t>
        </is>
      </c>
      <c r="C4" s="49" t="inlineStr">
        <is>
          <t>Gewehr</t>
        </is>
      </c>
      <c r="D4" s="49" t="inlineStr">
        <is>
          <t>Schwer</t>
        </is>
      </c>
      <c r="E4" s="49" t="inlineStr">
        <is>
          <t>Vorderlader</t>
        </is>
      </c>
      <c r="F4" s="49" t="inlineStr">
        <is>
          <t>Luntenschloss</t>
        </is>
      </c>
      <c r="G4" s="49" t="inlineStr">
        <is>
          <t>Glattlauf</t>
        </is>
      </c>
      <c r="H4" s="49" t="inlineStr">
        <is>
          <t>Blei</t>
        </is>
      </c>
      <c r="I4" s="49" t="inlineStr">
        <is>
          <t>Massenfabrikation</t>
        </is>
      </c>
      <c r="J4" s="49" t="inlineStr">
        <is>
          <t>Von der Stange</t>
        </is>
      </c>
      <c r="K4" s="51">
        <f>VLOOKUP(B4,'Feuerwaffen-Ressourcen'!$A$2:$AI$54,11,0)+VLOOKUP(C4,'Feuerwaffen-Ressourcen'!$A$2:$AI$54,11,0)+VLOOKUP(D4,'Feuerwaffen-Ressourcen'!$A$2:$AI$54,11,0)+VLOOKUP(E4,'Feuerwaffen-Ressourcen'!$A$2:$AI$54,11,0)+VLOOKUP(G4,'Feuerwaffen-Ressourcen'!$A$2:$AI$54,11,0)</f>
        <v/>
      </c>
      <c r="L4" s="50">
        <f>VLOOKUP(B4,'Feuerwaffen-Ressourcen'!$A$2:$AI$54,12,0)+VLOOKUP(C4,'Feuerwaffen-Ressourcen'!$A$2:$AI$54,12,0)+VLOOKUP(D4,'Feuerwaffen-Ressourcen'!$A$2:$AI$54,12,0)+VLOOKUP(J4,'Feuerwaffen-Ressourcen'!$A$2:$AI$54,12,0)</f>
        <v/>
      </c>
      <c r="M4" s="50">
        <f>VLOOKUP(VLOOKUP(B4,'Feuerwaffen-Ressourcen'!$A$2:$AI$54,13,0)+VLOOKUP(C4,'Feuerwaffen-Ressourcen'!$A$2:$AI$54,13,0)+VLOOKUP(D4,'Feuerwaffen-Ressourcen'!$A$2:$AI$54,13,0),'Feuerwaffen-Ressourcen'!$AJ$3:$AK$12,2,0)</f>
        <v/>
      </c>
      <c r="N4" s="50">
        <f>VLOOKUP(VLOOKUP(B4,'Feuerwaffen-Ressourcen'!$A$2:$AI$54,14,0)+VLOOKUP(C4,'Feuerwaffen-Ressourcen'!$A$2:$AI$54,14,0)+VLOOKUP(D4,'Feuerwaffen-Ressourcen'!$A$2:$AI$54,14,0),'Feuerwaffen-Ressourcen'!$AJ$3:$AK$12,2,0)</f>
        <v/>
      </c>
      <c r="O4" s="50">
        <f>VLOOKUP(B4,'Feuerwaffen-Ressourcen'!$A$2:$AI$54,15,0)+VLOOKUP(C4,'Feuerwaffen-Ressourcen'!$A$2:$AI$54,15,0)+VLOOKUP(D4,'Feuerwaffen-Ressourcen'!$A$2:$AI$54,15,0)</f>
        <v/>
      </c>
      <c r="P4" s="50">
        <f>VLOOKUP(B4,'Feuerwaffen-Ressourcen'!$A$2:$AI$54,16,0)+VLOOKUP(C4,'Feuerwaffen-Ressourcen'!$A$2:$AI$54,16,0)+VLOOKUP(D4,'Feuerwaffen-Ressourcen'!$A$2:$AI$54,16,0)+VLOOKUP(E4,'Feuerwaffen-Ressourcen'!$A$2:$AI$54,16,0)</f>
        <v/>
      </c>
      <c r="Q4" s="52">
        <f>VLOOKUP(B4,'Feuerwaffen-Ressourcen'!$A$2:$AI$54,17,0)+VLOOKUP(C4,'Feuerwaffen-Ressourcen'!$A$2:$AI$54,17,0)+VLOOKUP(D4,'Feuerwaffen-Ressourcen'!$A$2:$AI$54,17,0)+VLOOKUP(E4,'Feuerwaffen-Ressourcen'!$A$2:$AI$54,17,0)</f>
        <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
      </c>
      <c r="X4" s="50">
        <f>VLOOKUP(B4,'Feuerwaffen-Ressourcen'!$A$2:$AI$54,24,0)+VLOOKUP(C4,'Feuerwaffen-Ressourcen'!$A$2:$AI$54,24,0)+VLOOKUP(D4,'Feuerwaffen-Ressourcen'!$A$2:$AI$54,24,0)+VLOOKUP(G4,'Feuerwaffen-Ressourcen'!$A$2:$AI$54,24,0)</f>
        <v/>
      </c>
      <c r="Y4" s="50">
        <f>VLOOKUP(D4,'Feuerwaffen-Ressourcen'!$A$2:$AI$54,25,0)+VLOOKUP(E4,'Feuerwaffen-Ressourcen'!$A$2:$AI$54,25,0)+VLOOKUP(F4,'Feuerwaffen-Ressourcen'!$A$2:$AI$54,25,0)</f>
        <v/>
      </c>
      <c r="Z4" s="50">
        <f>VLOOKUP(E4,'Feuerwaffen-Ressourcen'!$A$2:$AI$54,26,0)</f>
        <v/>
      </c>
      <c r="AA4" s="50">
        <f>VLOOKUP(B4,'Feuerwaffen-Ressourcen'!$A$2:$AI$54,27,0)+VLOOKUP(D4,'Feuerwaffen-Ressourcen'!$A$2:$AI$54,27,0)+VLOOKUP(F4,'Feuerwaffen-Ressourcen'!$A$2:$AI$54,27,0)+VLOOKUP(I4,'Feuerwaffen-Ressourcen'!$A$2:$AI$54,27,0)</f>
        <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
      </c>
      <c r="AC4" s="53">
        <f>VLOOKUP(I4,'Feuerwaffen-Ressourcen'!$A$2:$AI$54,31,0)*AD4+AE4</f>
        <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
      </c>
      <c r="AF4" s="55">
        <f>VLOOKUP(AB4,'Feuerwaffen-Ressourcen'!$AO$3:$AP$9,2,1)</f>
        <v/>
      </c>
      <c r="AG4" s="55" t="n">
        <v>0</v>
      </c>
      <c r="AH4" s="28" t="inlineStr">
        <is>
          <t>Stangenwaffen</t>
        </is>
      </c>
      <c r="AI4" s="28" t="inlineStr">
        <is>
          <t>Improvisierte Stangenwaffen</t>
        </is>
      </c>
      <c r="AJ4" s="56" t="n">
        <v>3</v>
      </c>
      <c r="AK4" s="56" t="inlineStr">
        <is>
          <t>W8</t>
        </is>
      </c>
      <c r="AL4" s="56" t="inlineStr">
        <is>
          <t>W4</t>
        </is>
      </c>
      <c r="AM4" s="56" t="n">
        <v>3</v>
      </c>
      <c r="AN4" s="56" t="n">
        <v>5</v>
      </c>
      <c r="AO4" s="56" t="n">
        <v>4</v>
      </c>
      <c r="AP4" s="56" t="n">
        <v>4</v>
      </c>
      <c r="AQ4" s="56" t="n">
        <v>12</v>
      </c>
      <c r="AR4" s="56" t="n">
        <v>12</v>
      </c>
      <c r="AS4" s="56" t="n">
        <v>5</v>
      </c>
      <c r="AT4" s="56" t="n">
        <v>6</v>
      </c>
    </row>
    <row r="5">
      <c r="A5" s="49" t="inlineStr">
        <is>
          <t>Langpistole</t>
        </is>
      </c>
      <c r="B5" s="49" t="inlineStr">
        <is>
          <t>Dalkinisch</t>
        </is>
      </c>
      <c r="C5" s="49" t="inlineStr">
        <is>
          <t>Pistole</t>
        </is>
      </c>
      <c r="D5" s="49" t="inlineStr">
        <is>
          <t>Langlauf</t>
        </is>
      </c>
      <c r="E5" s="49" t="inlineStr">
        <is>
          <t>Vorderlader</t>
        </is>
      </c>
      <c r="F5" s="49" t="inlineStr">
        <is>
          <t>Luntenschloss</t>
        </is>
      </c>
      <c r="G5" s="49" t="inlineStr">
        <is>
          <t>Glattlauf</t>
        </is>
      </c>
      <c r="H5" s="49" t="inlineStr">
        <is>
          <t>Blei</t>
        </is>
      </c>
      <c r="I5" s="49" t="inlineStr">
        <is>
          <t>Massenfabrikation</t>
        </is>
      </c>
      <c r="J5" s="49" t="inlineStr">
        <is>
          <t>Von der Stange</t>
        </is>
      </c>
      <c r="K5" s="51">
        <f>VLOOKUP(B5,'Feuerwaffen-Ressourcen'!$A$2:$AI$54,11,0)+VLOOKUP(C5,'Feuerwaffen-Ressourcen'!$A$2:$AI$54,11,0)+VLOOKUP(D5,'Feuerwaffen-Ressourcen'!$A$2:$AI$54,11,0)+VLOOKUP(E5,'Feuerwaffen-Ressourcen'!$A$2:$AI$54,11,0)+VLOOKUP(G5,'Feuerwaffen-Ressourcen'!$A$2:$AI$54,11,0)</f>
        <v/>
      </c>
      <c r="L5" s="50">
        <f>VLOOKUP(B5,'Feuerwaffen-Ressourcen'!$A$2:$AI$54,12,0)+VLOOKUP(C5,'Feuerwaffen-Ressourcen'!$A$2:$AI$54,12,0)+VLOOKUP(D5,'Feuerwaffen-Ressourcen'!$A$2:$AI$54,12,0)+VLOOKUP(J5,'Feuerwaffen-Ressourcen'!$A$2:$AI$54,12,0)</f>
        <v/>
      </c>
      <c r="M5" s="50">
        <f>VLOOKUP(VLOOKUP(B5,'Feuerwaffen-Ressourcen'!$A$2:$AI$54,13,0)+VLOOKUP(C5,'Feuerwaffen-Ressourcen'!$A$2:$AI$54,13,0)+VLOOKUP(D5,'Feuerwaffen-Ressourcen'!$A$2:$AI$54,13,0),'Feuerwaffen-Ressourcen'!$AJ$3:$AK$12,2,0)</f>
        <v/>
      </c>
      <c r="N5" s="50">
        <f>VLOOKUP(VLOOKUP(B5,'Feuerwaffen-Ressourcen'!$A$2:$AI$54,14,0)+VLOOKUP(C5,'Feuerwaffen-Ressourcen'!$A$2:$AI$54,14,0)+VLOOKUP(D5,'Feuerwaffen-Ressourcen'!$A$2:$AI$54,14,0),'Feuerwaffen-Ressourcen'!$AJ$3:$AK$12,2,0)</f>
        <v/>
      </c>
      <c r="O5" s="50">
        <f>VLOOKUP(B5,'Feuerwaffen-Ressourcen'!$A$2:$AI$54,15,0)+VLOOKUP(C5,'Feuerwaffen-Ressourcen'!$A$2:$AI$54,15,0)+VLOOKUP(D5,'Feuerwaffen-Ressourcen'!$A$2:$AI$54,15,0)</f>
        <v/>
      </c>
      <c r="P5" s="50">
        <f>VLOOKUP(B5,'Feuerwaffen-Ressourcen'!$A$2:$AI$54,16,0)+VLOOKUP(C5,'Feuerwaffen-Ressourcen'!$A$2:$AI$54,16,0)+VLOOKUP(D5,'Feuerwaffen-Ressourcen'!$A$2:$AI$54,16,0)+VLOOKUP(E5,'Feuerwaffen-Ressourcen'!$A$2:$AI$54,16,0)</f>
        <v/>
      </c>
      <c r="Q5" s="52">
        <f>VLOOKUP(B5,'Feuerwaffen-Ressourcen'!$A$2:$AI$54,17,0)+VLOOKUP(C5,'Feuerwaffen-Ressourcen'!$A$2:$AI$54,17,0)+VLOOKUP(D5,'Feuerwaffen-Ressourcen'!$A$2:$AI$54,17,0)+VLOOKUP(E5,'Feuerwaffen-Ressourcen'!$A$2:$AI$54,17,0)</f>
        <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
      </c>
      <c r="X5" s="50">
        <f>VLOOKUP(B5,'Feuerwaffen-Ressourcen'!$A$2:$AI$54,24,0)+VLOOKUP(C5,'Feuerwaffen-Ressourcen'!$A$2:$AI$54,24,0)+VLOOKUP(D5,'Feuerwaffen-Ressourcen'!$A$2:$AI$54,24,0)+VLOOKUP(G5,'Feuerwaffen-Ressourcen'!$A$2:$AI$54,24,0)</f>
        <v/>
      </c>
      <c r="Y5" s="50">
        <f>VLOOKUP(D5,'Feuerwaffen-Ressourcen'!$A$2:$AI$54,25,0)+VLOOKUP(E5,'Feuerwaffen-Ressourcen'!$A$2:$AI$54,25,0)+VLOOKUP(F5,'Feuerwaffen-Ressourcen'!$A$2:$AI$54,25,0)</f>
        <v/>
      </c>
      <c r="Z5" s="50">
        <f>VLOOKUP(E5,'Feuerwaffen-Ressourcen'!$A$2:$AI$54,26,0)</f>
        <v/>
      </c>
      <c r="AA5" s="50">
        <f>VLOOKUP(B5,'Feuerwaffen-Ressourcen'!$A$2:$AI$54,27,0)+VLOOKUP(D5,'Feuerwaffen-Ressourcen'!$A$2:$AI$54,27,0)+VLOOKUP(F5,'Feuerwaffen-Ressourcen'!$A$2:$AI$54,27,0)+VLOOKUP(I5,'Feuerwaffen-Ressourcen'!$A$2:$AI$54,27,0)</f>
        <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
      </c>
      <c r="AC5" s="53">
        <f>VLOOKUP(I5,'Feuerwaffen-Ressourcen'!$A$2:$AI$54,31,0)*AD5+AE5</f>
        <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
      </c>
      <c r="AF5" s="55">
        <f>VLOOKUP(AB5,'Feuerwaffen-Ressourcen'!$AO$3:$AP$9,2,1)</f>
        <v/>
      </c>
      <c r="AG5" s="55" t="n">
        <v>0</v>
      </c>
      <c r="AH5" s="28" t="inlineStr">
        <is>
          <t>Hiebwaffen</t>
        </is>
      </c>
      <c r="AI5" s="28" t="inlineStr">
        <is>
          <t>Improvisierte Hiebwaffen</t>
        </is>
      </c>
      <c r="AJ5" s="56" t="n">
        <v>1.5</v>
      </c>
      <c r="AK5" s="56" t="inlineStr">
        <is>
          <t>W8</t>
        </is>
      </c>
      <c r="AL5" s="56" t="inlineStr">
        <is>
          <t>-</t>
        </is>
      </c>
      <c r="AM5" s="56" t="n">
        <v>3</v>
      </c>
      <c r="AN5" s="56" t="n">
        <v>5</v>
      </c>
      <c r="AO5" s="56" t="n">
        <v>-2</v>
      </c>
      <c r="AP5" s="56" t="n">
        <v>-7</v>
      </c>
      <c r="AQ5" s="56" t="n">
        <v>7</v>
      </c>
      <c r="AR5" s="56" t="inlineStr">
        <is>
          <t>-</t>
        </is>
      </c>
      <c r="AS5" s="56" t="n">
        <v>2</v>
      </c>
      <c r="AT5" s="56" t="n">
        <v>10</v>
      </c>
    </row>
    <row r="6">
      <c r="A6" s="49" t="inlineStr">
        <is>
          <t>Pistole</t>
        </is>
      </c>
      <c r="B6" s="49" t="inlineStr">
        <is>
          <t>Dalkinisch</t>
        </is>
      </c>
      <c r="C6" s="49" t="inlineStr">
        <is>
          <t>Pistole</t>
        </is>
      </c>
      <c r="D6" s="49" t="inlineStr">
        <is>
          <t>Normal P</t>
        </is>
      </c>
      <c r="E6" s="49" t="inlineStr">
        <is>
          <t>Vorderlader</t>
        </is>
      </c>
      <c r="F6" s="49" t="inlineStr">
        <is>
          <t>Luntenschloss</t>
        </is>
      </c>
      <c r="G6" s="49" t="inlineStr">
        <is>
          <t>Glattlauf</t>
        </is>
      </c>
      <c r="H6" s="49" t="inlineStr">
        <is>
          <t>Blei</t>
        </is>
      </c>
      <c r="I6" s="49" t="inlineStr">
        <is>
          <t>Massenfabrikation</t>
        </is>
      </c>
      <c r="J6" s="49" t="inlineStr">
        <is>
          <t>Von der Stange</t>
        </is>
      </c>
      <c r="K6" s="51">
        <f>VLOOKUP(B6,'Feuerwaffen-Ressourcen'!$A$2:$AI$54,11,0)+VLOOKUP(C6,'Feuerwaffen-Ressourcen'!$A$2:$AI$54,11,0)+VLOOKUP(D6,'Feuerwaffen-Ressourcen'!$A$2:$AI$54,11,0)+VLOOKUP(E6,'Feuerwaffen-Ressourcen'!$A$2:$AI$54,11,0)+VLOOKUP(G6,'Feuerwaffen-Ressourcen'!$A$2:$AI$54,11,0)</f>
        <v/>
      </c>
      <c r="L6" s="50">
        <f>VLOOKUP(B6,'Feuerwaffen-Ressourcen'!$A$2:$AI$54,12,0)+VLOOKUP(C6,'Feuerwaffen-Ressourcen'!$A$2:$AI$54,12,0)+VLOOKUP(D6,'Feuerwaffen-Ressourcen'!$A$2:$AI$54,12,0)+VLOOKUP(J6,'Feuerwaffen-Ressourcen'!$A$2:$AI$54,12,0)</f>
        <v/>
      </c>
      <c r="M6" s="50">
        <f>VLOOKUP(VLOOKUP(B6,'Feuerwaffen-Ressourcen'!$A$2:$AI$54,13,0)+VLOOKUP(C6,'Feuerwaffen-Ressourcen'!$A$2:$AI$54,13,0)+VLOOKUP(D6,'Feuerwaffen-Ressourcen'!$A$2:$AI$54,13,0),'Feuerwaffen-Ressourcen'!$AJ$3:$AK$12,2,0)</f>
        <v/>
      </c>
      <c r="N6" s="50">
        <f>VLOOKUP(VLOOKUP(B6,'Feuerwaffen-Ressourcen'!$A$2:$AI$54,14,0)+VLOOKUP(C6,'Feuerwaffen-Ressourcen'!$A$2:$AI$54,14,0)+VLOOKUP(D6,'Feuerwaffen-Ressourcen'!$A$2:$AI$54,14,0),'Feuerwaffen-Ressourcen'!$AJ$3:$AK$12,2,0)</f>
        <v/>
      </c>
      <c r="O6" s="50">
        <f>VLOOKUP(B6,'Feuerwaffen-Ressourcen'!$A$2:$AI$54,15,0)+VLOOKUP(C6,'Feuerwaffen-Ressourcen'!$A$2:$AI$54,15,0)+VLOOKUP(D6,'Feuerwaffen-Ressourcen'!$A$2:$AI$54,15,0)</f>
        <v/>
      </c>
      <c r="P6" s="50">
        <f>VLOOKUP(B6,'Feuerwaffen-Ressourcen'!$A$2:$AI$54,16,0)+VLOOKUP(C6,'Feuerwaffen-Ressourcen'!$A$2:$AI$54,16,0)+VLOOKUP(D6,'Feuerwaffen-Ressourcen'!$A$2:$AI$54,16,0)+VLOOKUP(E6,'Feuerwaffen-Ressourcen'!$A$2:$AI$54,16,0)</f>
        <v/>
      </c>
      <c r="Q6" s="52">
        <f>VLOOKUP(B6,'Feuerwaffen-Ressourcen'!$A$2:$AI$54,17,0)+VLOOKUP(C6,'Feuerwaffen-Ressourcen'!$A$2:$AI$54,17,0)+VLOOKUP(D6,'Feuerwaffen-Ressourcen'!$A$2:$AI$54,17,0)+VLOOKUP(E6,'Feuerwaffen-Ressourcen'!$A$2:$AI$54,17,0)</f>
        <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
      </c>
      <c r="X6" s="50">
        <f>VLOOKUP(B6,'Feuerwaffen-Ressourcen'!$A$2:$AI$54,24,0)+VLOOKUP(C6,'Feuerwaffen-Ressourcen'!$A$2:$AI$54,24,0)+VLOOKUP(D6,'Feuerwaffen-Ressourcen'!$A$2:$AI$54,24,0)+VLOOKUP(G6,'Feuerwaffen-Ressourcen'!$A$2:$AI$54,24,0)</f>
        <v/>
      </c>
      <c r="Y6" s="50">
        <f>VLOOKUP(D6,'Feuerwaffen-Ressourcen'!$A$2:$AI$54,25,0)+VLOOKUP(E6,'Feuerwaffen-Ressourcen'!$A$2:$AI$54,25,0)+VLOOKUP(F6,'Feuerwaffen-Ressourcen'!$A$2:$AI$54,25,0)</f>
        <v/>
      </c>
      <c r="Z6" s="50">
        <f>VLOOKUP(E6,'Feuerwaffen-Ressourcen'!$A$2:$AI$54,26,0)</f>
        <v/>
      </c>
      <c r="AA6" s="50">
        <f>VLOOKUP(B6,'Feuerwaffen-Ressourcen'!$A$2:$AI$54,27,0)+VLOOKUP(D6,'Feuerwaffen-Ressourcen'!$A$2:$AI$54,27,0)+VLOOKUP(F6,'Feuerwaffen-Ressourcen'!$A$2:$AI$54,27,0)+VLOOKUP(I6,'Feuerwaffen-Ressourcen'!$A$2:$AI$54,27,0)</f>
        <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
      </c>
      <c r="AC6" s="53">
        <f>VLOOKUP(I6,'Feuerwaffen-Ressourcen'!$A$2:$AI$54,31,0)*AD6+AE6</f>
        <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
      </c>
      <c r="AF6" s="55">
        <f>VLOOKUP(AB6,'Feuerwaffen-Ressourcen'!$AO$3:$AP$9,2,1)</f>
        <v/>
      </c>
      <c r="AG6" s="55" t="n">
        <v>0</v>
      </c>
      <c r="AH6" s="28" t="inlineStr">
        <is>
          <t>Hiebwaffen</t>
        </is>
      </c>
      <c r="AI6" s="28" t="inlineStr">
        <is>
          <t>Improvisierte Hiebwaffen</t>
        </is>
      </c>
      <c r="AJ6" s="56" t="n">
        <v>1.5</v>
      </c>
      <c r="AK6" s="56" t="inlineStr">
        <is>
          <t>W8</t>
        </is>
      </c>
      <c r="AL6" s="56" t="inlineStr">
        <is>
          <t>-</t>
        </is>
      </c>
      <c r="AM6" s="56" t="n">
        <v>3</v>
      </c>
      <c r="AN6" s="56" t="n">
        <v>5</v>
      </c>
      <c r="AO6" s="56" t="n">
        <v>-2</v>
      </c>
      <c r="AP6" s="56" t="n">
        <v>-7</v>
      </c>
      <c r="AQ6" s="56" t="n">
        <v>7</v>
      </c>
      <c r="AR6" s="56" t="inlineStr">
        <is>
          <t>-</t>
        </is>
      </c>
      <c r="AS6" s="56" t="n">
        <v>2</v>
      </c>
      <c r="AT6" s="56" t="n">
        <v>10</v>
      </c>
    </row>
    <row r="7">
      <c r="A7" s="49" t="inlineStr">
        <is>
          <t>verb. Langpistole</t>
        </is>
      </c>
      <c r="B7" s="49" t="inlineStr">
        <is>
          <t>Dalkinisch</t>
        </is>
      </c>
      <c r="C7" s="49" t="inlineStr">
        <is>
          <t>Pistole</t>
        </is>
      </c>
      <c r="D7" s="49" t="inlineStr">
        <is>
          <t>Langlauf</t>
        </is>
      </c>
      <c r="E7" s="49" t="inlineStr">
        <is>
          <t>Vorderlader</t>
        </is>
      </c>
      <c r="F7" s="49" t="inlineStr">
        <is>
          <t>Steinschloss</t>
        </is>
      </c>
      <c r="G7" s="49" t="inlineStr">
        <is>
          <t>Glattlauf</t>
        </is>
      </c>
      <c r="H7" s="49" t="inlineStr">
        <is>
          <t>Blei</t>
        </is>
      </c>
      <c r="I7" s="49" t="inlineStr">
        <is>
          <t>Massenfabrikation</t>
        </is>
      </c>
      <c r="J7" s="49" t="inlineStr">
        <is>
          <t>Von der Stange</t>
        </is>
      </c>
      <c r="K7" s="51">
        <f>VLOOKUP(B7,'Feuerwaffen-Ressourcen'!$A$2:$AI$54,11,0)+VLOOKUP(C7,'Feuerwaffen-Ressourcen'!$A$2:$AI$54,11,0)+VLOOKUP(D7,'Feuerwaffen-Ressourcen'!$A$2:$AI$54,11,0)+VLOOKUP(E7,'Feuerwaffen-Ressourcen'!$A$2:$AI$54,11,0)+VLOOKUP(G7,'Feuerwaffen-Ressourcen'!$A$2:$AI$54,11,0)</f>
        <v/>
      </c>
      <c r="L7" s="50">
        <f>VLOOKUP(B7,'Feuerwaffen-Ressourcen'!$A$2:$AI$54,12,0)+VLOOKUP(C7,'Feuerwaffen-Ressourcen'!$A$2:$AI$54,12,0)+VLOOKUP(D7,'Feuerwaffen-Ressourcen'!$A$2:$AI$54,12,0)+VLOOKUP(J7,'Feuerwaffen-Ressourcen'!$A$2:$AI$54,12,0)</f>
        <v/>
      </c>
      <c r="M7" s="50">
        <f>VLOOKUP(VLOOKUP(B7,'Feuerwaffen-Ressourcen'!$A$2:$AI$54,13,0)+VLOOKUP(C7,'Feuerwaffen-Ressourcen'!$A$2:$AI$54,13,0)+VLOOKUP(D7,'Feuerwaffen-Ressourcen'!$A$2:$AI$54,13,0),'Feuerwaffen-Ressourcen'!$AJ$3:$AK$12,2,0)</f>
        <v/>
      </c>
      <c r="N7" s="50">
        <f>VLOOKUP(VLOOKUP(B7,'Feuerwaffen-Ressourcen'!$A$2:$AI$54,14,0)+VLOOKUP(C7,'Feuerwaffen-Ressourcen'!$A$2:$AI$54,14,0)+VLOOKUP(D7,'Feuerwaffen-Ressourcen'!$A$2:$AI$54,14,0),'Feuerwaffen-Ressourcen'!$AJ$3:$AK$12,2,0)</f>
        <v/>
      </c>
      <c r="O7" s="50">
        <f>VLOOKUP(B7,'Feuerwaffen-Ressourcen'!$A$2:$AI$54,15,0)+VLOOKUP(C7,'Feuerwaffen-Ressourcen'!$A$2:$AI$54,15,0)+VLOOKUP(D7,'Feuerwaffen-Ressourcen'!$A$2:$AI$54,15,0)</f>
        <v/>
      </c>
      <c r="P7" s="50">
        <f>VLOOKUP(B7,'Feuerwaffen-Ressourcen'!$A$2:$AI$54,16,0)+VLOOKUP(C7,'Feuerwaffen-Ressourcen'!$A$2:$AI$54,16,0)+VLOOKUP(D7,'Feuerwaffen-Ressourcen'!$A$2:$AI$54,16,0)+VLOOKUP(E7,'Feuerwaffen-Ressourcen'!$A$2:$AI$54,16,0)</f>
        <v/>
      </c>
      <c r="Q7" s="52">
        <f>VLOOKUP(B7,'Feuerwaffen-Ressourcen'!$A$2:$AI$54,17,0)+VLOOKUP(C7,'Feuerwaffen-Ressourcen'!$A$2:$AI$54,17,0)+VLOOKUP(D7,'Feuerwaffen-Ressourcen'!$A$2:$AI$54,17,0)+VLOOKUP(E7,'Feuerwaffen-Ressourcen'!$A$2:$AI$54,17,0)</f>
        <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
      </c>
      <c r="X7" s="50">
        <f>VLOOKUP(B7,'Feuerwaffen-Ressourcen'!$A$2:$AI$54,24,0)+VLOOKUP(C7,'Feuerwaffen-Ressourcen'!$A$2:$AI$54,24,0)+VLOOKUP(D7,'Feuerwaffen-Ressourcen'!$A$2:$AI$54,24,0)+VLOOKUP(G7,'Feuerwaffen-Ressourcen'!$A$2:$AI$54,24,0)</f>
        <v/>
      </c>
      <c r="Y7" s="50">
        <f>VLOOKUP(D7,'Feuerwaffen-Ressourcen'!$A$2:$AI$54,25,0)+VLOOKUP(E7,'Feuerwaffen-Ressourcen'!$A$2:$AI$54,25,0)+VLOOKUP(F7,'Feuerwaffen-Ressourcen'!$A$2:$AI$54,25,0)</f>
        <v/>
      </c>
      <c r="Z7" s="50">
        <f>VLOOKUP(E7,'Feuerwaffen-Ressourcen'!$A$2:$AI$54,26,0)</f>
        <v/>
      </c>
      <c r="AA7" s="50">
        <f>VLOOKUP(B7,'Feuerwaffen-Ressourcen'!$A$2:$AI$54,27,0)+VLOOKUP(D7,'Feuerwaffen-Ressourcen'!$A$2:$AI$54,27,0)+VLOOKUP(F7,'Feuerwaffen-Ressourcen'!$A$2:$AI$54,27,0)+VLOOKUP(I7,'Feuerwaffen-Ressourcen'!$A$2:$AI$54,27,0)</f>
        <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
      </c>
      <c r="AC7" s="53">
        <f>VLOOKUP(I7,'Feuerwaffen-Ressourcen'!$A$2:$AI$54,31,0)*AD7+AE7</f>
        <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
      </c>
      <c r="AF7" s="55">
        <f>VLOOKUP(AB7,'Feuerwaffen-Ressourcen'!$AO$3:$AP$9,2,1)</f>
        <v/>
      </c>
      <c r="AG7" s="55" t="n">
        <v>0</v>
      </c>
      <c r="AH7" s="28" t="inlineStr">
        <is>
          <t>Hiebwaffen</t>
        </is>
      </c>
      <c r="AI7" s="28" t="inlineStr">
        <is>
          <t>Improvisierte Hiebwaffen</t>
        </is>
      </c>
      <c r="AJ7" s="56" t="n">
        <v>1.5</v>
      </c>
      <c r="AK7" s="56" t="inlineStr">
        <is>
          <t>W8</t>
        </is>
      </c>
      <c r="AL7" s="56" t="inlineStr">
        <is>
          <t>-</t>
        </is>
      </c>
      <c r="AM7" s="56" t="n">
        <v>3</v>
      </c>
      <c r="AN7" s="56" t="n">
        <v>5</v>
      </c>
      <c r="AO7" s="56" t="n">
        <v>-2</v>
      </c>
      <c r="AP7" s="56" t="n">
        <v>-7</v>
      </c>
      <c r="AQ7" s="56" t="n">
        <v>7</v>
      </c>
      <c r="AR7" s="56" t="inlineStr">
        <is>
          <t>-</t>
        </is>
      </c>
      <c r="AS7" s="56" t="n">
        <v>2</v>
      </c>
      <c r="AT7" s="56" t="n">
        <v>10</v>
      </c>
    </row>
    <row r="8">
      <c r="A8" s="49" t="inlineStr">
        <is>
          <t>Schalarr</t>
        </is>
      </c>
      <c r="B8" s="49" t="inlineStr">
        <is>
          <t>Drow</t>
        </is>
      </c>
      <c r="C8" s="49" t="inlineStr">
        <is>
          <t>Gewehr</t>
        </is>
      </c>
      <c r="D8" s="49" t="inlineStr">
        <is>
          <t>Karabiner</t>
        </is>
      </c>
      <c r="E8" s="49" t="inlineStr">
        <is>
          <t>Hinterlader</t>
        </is>
      </c>
      <c r="F8" s="49" t="inlineStr">
        <is>
          <t>Nadelzündung</t>
        </is>
      </c>
      <c r="G8" s="49" t="inlineStr">
        <is>
          <t>Glattlauf</t>
        </is>
      </c>
      <c r="H8" s="49" t="inlineStr">
        <is>
          <t>Papier Patrone</t>
        </is>
      </c>
      <c r="I8" s="49" t="inlineStr">
        <is>
          <t>Massenfabrikation</t>
        </is>
      </c>
      <c r="J8" s="49" t="inlineStr">
        <is>
          <t>Von der Stange</t>
        </is>
      </c>
      <c r="K8" s="51">
        <f>VLOOKUP(B8,'Feuerwaffen-Ressourcen'!$A$2:$AI$54,11,0)+VLOOKUP(C8,'Feuerwaffen-Ressourcen'!$A$2:$AI$54,11,0)+VLOOKUP(D8,'Feuerwaffen-Ressourcen'!$A$2:$AI$54,11,0)+VLOOKUP(E8,'Feuerwaffen-Ressourcen'!$A$2:$AI$54,11,0)+VLOOKUP(G8,'Feuerwaffen-Ressourcen'!$A$2:$AI$54,11,0)</f>
        <v/>
      </c>
      <c r="L8" s="50">
        <f>VLOOKUP(B8,'Feuerwaffen-Ressourcen'!$A$2:$AI$54,12,0)+VLOOKUP(C8,'Feuerwaffen-Ressourcen'!$A$2:$AI$54,12,0)+VLOOKUP(D8,'Feuerwaffen-Ressourcen'!$A$2:$AI$54,12,0)+VLOOKUP(J8,'Feuerwaffen-Ressourcen'!$A$2:$AI$54,12,0)</f>
        <v/>
      </c>
      <c r="M8" s="50">
        <f>VLOOKUP(VLOOKUP(B8,'Feuerwaffen-Ressourcen'!$A$2:$AI$54,13,0)+VLOOKUP(C8,'Feuerwaffen-Ressourcen'!$A$2:$AI$54,13,0)+VLOOKUP(D8,'Feuerwaffen-Ressourcen'!$A$2:$AI$54,13,0),'Feuerwaffen-Ressourcen'!$AJ$3:$AK$12,2,0)</f>
        <v/>
      </c>
      <c r="N8" s="50">
        <f>VLOOKUP(VLOOKUP(B8,'Feuerwaffen-Ressourcen'!$A$2:$AI$54,14,0)+VLOOKUP(C8,'Feuerwaffen-Ressourcen'!$A$2:$AI$54,14,0)+VLOOKUP(D8,'Feuerwaffen-Ressourcen'!$A$2:$AI$54,14,0),'Feuerwaffen-Ressourcen'!$AJ$3:$AK$12,2,0)</f>
        <v/>
      </c>
      <c r="O8" s="50">
        <f>VLOOKUP(B8,'Feuerwaffen-Ressourcen'!$A$2:$AI$54,15,0)+VLOOKUP(C8,'Feuerwaffen-Ressourcen'!$A$2:$AI$54,15,0)+VLOOKUP(D8,'Feuerwaffen-Ressourcen'!$A$2:$AI$54,15,0)</f>
        <v/>
      </c>
      <c r="P8" s="50">
        <f>VLOOKUP(B8,'Feuerwaffen-Ressourcen'!$A$2:$AI$54,16,0)+VLOOKUP(C8,'Feuerwaffen-Ressourcen'!$A$2:$AI$54,16,0)+VLOOKUP(D8,'Feuerwaffen-Ressourcen'!$A$2:$AI$54,16,0)+VLOOKUP(E8,'Feuerwaffen-Ressourcen'!$A$2:$AI$54,16,0)</f>
        <v/>
      </c>
      <c r="Q8" s="52">
        <f>VLOOKUP(B8,'Feuerwaffen-Ressourcen'!$A$2:$AI$54,17,0)+VLOOKUP(C8,'Feuerwaffen-Ressourcen'!$A$2:$AI$54,17,0)+VLOOKUP(D8,'Feuerwaffen-Ressourcen'!$A$2:$AI$54,17,0)+VLOOKUP(E8,'Feuerwaffen-Ressourcen'!$A$2:$AI$54,17,0)</f>
        <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
      </c>
      <c r="X8" s="50">
        <f>VLOOKUP(B8,'Feuerwaffen-Ressourcen'!$A$2:$AI$54,24,0)+VLOOKUP(C8,'Feuerwaffen-Ressourcen'!$A$2:$AI$54,24,0)+VLOOKUP(D8,'Feuerwaffen-Ressourcen'!$A$2:$AI$54,24,0)+VLOOKUP(G8,'Feuerwaffen-Ressourcen'!$A$2:$AI$54,24,0)</f>
        <v/>
      </c>
      <c r="Y8" s="50">
        <f>VLOOKUP(D8,'Feuerwaffen-Ressourcen'!$A$2:$AI$54,25,0)+VLOOKUP(E8,'Feuerwaffen-Ressourcen'!$A$2:$AI$54,25,0)+VLOOKUP(F8,'Feuerwaffen-Ressourcen'!$A$2:$AI$54,25,0)</f>
        <v/>
      </c>
      <c r="Z8" s="50">
        <f>VLOOKUP(E8,'Feuerwaffen-Ressourcen'!$A$2:$AI$54,26,0)</f>
        <v/>
      </c>
      <c r="AA8" s="50">
        <f>VLOOKUP(B8,'Feuerwaffen-Ressourcen'!$A$2:$AI$54,27,0)+VLOOKUP(D8,'Feuerwaffen-Ressourcen'!$A$2:$AI$54,27,0)+VLOOKUP(F8,'Feuerwaffen-Ressourcen'!$A$2:$AI$54,27,0)+VLOOKUP(I8,'Feuerwaffen-Ressourcen'!$A$2:$AI$54,27,0)</f>
        <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
      </c>
      <c r="AC8" s="53">
        <f>VLOOKUP(I8,'Feuerwaffen-Ressourcen'!$A$2:$AI$54,31,0)*AD8+AE8</f>
        <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
      </c>
      <c r="AF8" s="55">
        <f>VLOOKUP(AB8,'Feuerwaffen-Ressourcen'!$AO$3:$AP$9,2,1)</f>
        <v/>
      </c>
      <c r="AG8" s="55" t="n">
        <v>0</v>
      </c>
      <c r="AH8" s="28" t="inlineStr">
        <is>
          <t>Stangenwaffen</t>
        </is>
      </c>
      <c r="AI8" s="28" t="inlineStr">
        <is>
          <t>Improvisierte Stangenwaffen</t>
        </is>
      </c>
      <c r="AJ8" s="56" t="n">
        <v>3</v>
      </c>
      <c r="AK8" s="56" t="inlineStr">
        <is>
          <t>W8</t>
        </is>
      </c>
      <c r="AL8" s="56" t="inlineStr">
        <is>
          <t>W4</t>
        </is>
      </c>
      <c r="AM8" s="56" t="n">
        <v>3</v>
      </c>
      <c r="AN8" s="56" t="n">
        <v>5</v>
      </c>
      <c r="AO8" s="56" t="n">
        <v>4</v>
      </c>
      <c r="AP8" s="56" t="n">
        <v>4</v>
      </c>
      <c r="AQ8" s="56" t="n">
        <v>10</v>
      </c>
      <c r="AR8" s="56" t="n">
        <v>10</v>
      </c>
      <c r="AS8" s="56" t="n">
        <v>5</v>
      </c>
      <c r="AT8" s="56" t="n">
        <v>6</v>
      </c>
    </row>
    <row r="9">
      <c r="A9" s="49" t="inlineStr">
        <is>
          <t>Schapschu</t>
        </is>
      </c>
      <c r="B9" s="49" t="inlineStr">
        <is>
          <t>Drow</t>
        </is>
      </c>
      <c r="C9" s="49" t="inlineStr">
        <is>
          <t>Gewehr</t>
        </is>
      </c>
      <c r="D9" s="49" t="inlineStr">
        <is>
          <t>Karabiner</t>
        </is>
      </c>
      <c r="E9" s="49" t="inlineStr">
        <is>
          <t>Klapplauf</t>
        </is>
      </c>
      <c r="F9" s="49" t="inlineStr">
        <is>
          <t>Schlagbolzen</t>
        </is>
      </c>
      <c r="G9" s="49" t="inlineStr">
        <is>
          <t>Gezogen</t>
        </is>
      </c>
      <c r="H9" s="49" t="inlineStr">
        <is>
          <t>Messing Patrone</t>
        </is>
      </c>
      <c r="I9" s="49" t="inlineStr">
        <is>
          <t>Massenfabrikation</t>
        </is>
      </c>
      <c r="J9" s="49" t="inlineStr">
        <is>
          <t>Von der Stange</t>
        </is>
      </c>
      <c r="K9" s="51">
        <f>VLOOKUP(B9,'Feuerwaffen-Ressourcen'!$A$2:$AI$54,11,0)+VLOOKUP(C9,'Feuerwaffen-Ressourcen'!$A$2:$AI$54,11,0)+VLOOKUP(D9,'Feuerwaffen-Ressourcen'!$A$2:$AI$54,11,0)+VLOOKUP(E9,'Feuerwaffen-Ressourcen'!$A$2:$AI$54,11,0)+VLOOKUP(G9,'Feuerwaffen-Ressourcen'!$A$2:$AI$54,11,0)</f>
        <v/>
      </c>
      <c r="L9" s="50">
        <f>VLOOKUP(B9,'Feuerwaffen-Ressourcen'!$A$2:$AI$54,12,0)+VLOOKUP(C9,'Feuerwaffen-Ressourcen'!$A$2:$AI$54,12,0)+VLOOKUP(D9,'Feuerwaffen-Ressourcen'!$A$2:$AI$54,12,0)+VLOOKUP(J9,'Feuerwaffen-Ressourcen'!$A$2:$AI$54,12,0)</f>
        <v/>
      </c>
      <c r="M9" s="50">
        <f>VLOOKUP(VLOOKUP(B9,'Feuerwaffen-Ressourcen'!$A$2:$AI$54,13,0)+VLOOKUP(C9,'Feuerwaffen-Ressourcen'!$A$2:$AI$54,13,0)+VLOOKUP(D9,'Feuerwaffen-Ressourcen'!$A$2:$AI$54,13,0),'Feuerwaffen-Ressourcen'!$AJ$3:$AK$12,2,0)</f>
        <v/>
      </c>
      <c r="N9" s="50">
        <f>VLOOKUP(VLOOKUP(B9,'Feuerwaffen-Ressourcen'!$A$2:$AI$54,14,0)+VLOOKUP(C9,'Feuerwaffen-Ressourcen'!$A$2:$AI$54,14,0)+VLOOKUP(D9,'Feuerwaffen-Ressourcen'!$A$2:$AI$54,14,0),'Feuerwaffen-Ressourcen'!$AJ$3:$AK$12,2,0)</f>
        <v/>
      </c>
      <c r="O9" s="50">
        <f>VLOOKUP(B9,'Feuerwaffen-Ressourcen'!$A$2:$AI$54,15,0)+VLOOKUP(C9,'Feuerwaffen-Ressourcen'!$A$2:$AI$54,15,0)+VLOOKUP(D9,'Feuerwaffen-Ressourcen'!$A$2:$AI$54,15,0)</f>
        <v/>
      </c>
      <c r="P9" s="50">
        <f>VLOOKUP(B9,'Feuerwaffen-Ressourcen'!$A$2:$AI$54,16,0)+VLOOKUP(C9,'Feuerwaffen-Ressourcen'!$A$2:$AI$54,16,0)+VLOOKUP(D9,'Feuerwaffen-Ressourcen'!$A$2:$AI$54,16,0)+VLOOKUP(E9,'Feuerwaffen-Ressourcen'!$A$2:$AI$54,16,0)</f>
        <v/>
      </c>
      <c r="Q9" s="52">
        <f>VLOOKUP(B9,'Feuerwaffen-Ressourcen'!$A$2:$AI$54,17,0)+VLOOKUP(C9,'Feuerwaffen-Ressourcen'!$A$2:$AI$54,17,0)+VLOOKUP(D9,'Feuerwaffen-Ressourcen'!$A$2:$AI$54,17,0)+VLOOKUP(E9,'Feuerwaffen-Ressourcen'!$A$2:$AI$54,17,0)</f>
        <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
      </c>
      <c r="X9" s="50">
        <f>VLOOKUP(B9,'Feuerwaffen-Ressourcen'!$A$2:$AI$54,24,0)+VLOOKUP(C9,'Feuerwaffen-Ressourcen'!$A$2:$AI$54,24,0)+VLOOKUP(D9,'Feuerwaffen-Ressourcen'!$A$2:$AI$54,24,0)+VLOOKUP(G9,'Feuerwaffen-Ressourcen'!$A$2:$AI$54,24,0)</f>
        <v/>
      </c>
      <c r="Y9" s="50">
        <f>VLOOKUP(D9,'Feuerwaffen-Ressourcen'!$A$2:$AI$54,25,0)+VLOOKUP(E9,'Feuerwaffen-Ressourcen'!$A$2:$AI$54,25,0)+VLOOKUP(F9,'Feuerwaffen-Ressourcen'!$A$2:$AI$54,25,0)</f>
        <v/>
      </c>
      <c r="Z9" s="50">
        <f>VLOOKUP(E9,'Feuerwaffen-Ressourcen'!$A$2:$AI$54,26,0)</f>
        <v/>
      </c>
      <c r="AA9" s="50">
        <f>VLOOKUP(B9,'Feuerwaffen-Ressourcen'!$A$2:$AI$54,27,0)+VLOOKUP(D9,'Feuerwaffen-Ressourcen'!$A$2:$AI$54,27,0)+VLOOKUP(F9,'Feuerwaffen-Ressourcen'!$A$2:$AI$54,27,0)+VLOOKUP(I9,'Feuerwaffen-Ressourcen'!$A$2:$AI$54,27,0)</f>
        <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
      </c>
      <c r="AC9" s="53">
        <f>VLOOKUP(I9,'Feuerwaffen-Ressourcen'!$A$2:$AI$54,31,0)*AD9+AE9</f>
        <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
      </c>
      <c r="AF9" s="55">
        <f>VLOOKUP(AB9,'Feuerwaffen-Ressourcen'!$AO$3:$AP$9,2,1)</f>
        <v/>
      </c>
      <c r="AG9" s="55" t="n">
        <v>0</v>
      </c>
      <c r="AH9" s="28" t="inlineStr">
        <is>
          <t>Stangenwaffen</t>
        </is>
      </c>
      <c r="AI9" s="28" t="inlineStr">
        <is>
          <t>Improvisierte Stangenwaffen</t>
        </is>
      </c>
      <c r="AJ9" s="56" t="n">
        <v>3</v>
      </c>
      <c r="AK9" s="56" t="inlineStr">
        <is>
          <t>W8</t>
        </is>
      </c>
      <c r="AL9" s="56" t="inlineStr">
        <is>
          <t>W4</t>
        </is>
      </c>
      <c r="AM9" s="56" t="n">
        <v>3</v>
      </c>
      <c r="AN9" s="56" t="n">
        <v>5</v>
      </c>
      <c r="AO9" s="56" t="n">
        <v>4</v>
      </c>
      <c r="AP9" s="56" t="n">
        <v>4</v>
      </c>
      <c r="AQ9" s="56" t="n">
        <v>10</v>
      </c>
      <c r="AR9" s="56" t="n">
        <v>10</v>
      </c>
      <c r="AS9" s="56" t="n">
        <v>5</v>
      </c>
      <c r="AT9" s="56" t="n">
        <v>6</v>
      </c>
    </row>
    <row r="10">
      <c r="A10" s="49" t="inlineStr">
        <is>
          <t>Ssussun</t>
        </is>
      </c>
      <c r="B10" s="49" t="inlineStr">
        <is>
          <t>Drow</t>
        </is>
      </c>
      <c r="C10" s="49" t="inlineStr">
        <is>
          <t>Gewehr</t>
        </is>
      </c>
      <c r="D10" s="49" t="inlineStr">
        <is>
          <t>Normal</t>
        </is>
      </c>
      <c r="E10" s="49" t="inlineStr">
        <is>
          <t>Vorderlader</t>
        </is>
      </c>
      <c r="F10" s="49" t="inlineStr">
        <is>
          <t>Steinschloss</t>
        </is>
      </c>
      <c r="G10" s="49" t="inlineStr">
        <is>
          <t>Glattlauf</t>
        </is>
      </c>
      <c r="H10" s="49" t="inlineStr">
        <is>
          <t>Blei</t>
        </is>
      </c>
      <c r="I10" s="49" t="inlineStr">
        <is>
          <t>Massenfabrikation</t>
        </is>
      </c>
      <c r="J10" s="49" t="inlineStr">
        <is>
          <t>Von der Stange</t>
        </is>
      </c>
      <c r="K10" s="51">
        <f>VLOOKUP(B10,'Feuerwaffen-Ressourcen'!$A$2:$AI$54,11,0)+VLOOKUP(C10,'Feuerwaffen-Ressourcen'!$A$2:$AI$54,11,0)+VLOOKUP(D10,'Feuerwaffen-Ressourcen'!$A$2:$AI$54,11,0)+VLOOKUP(E10,'Feuerwaffen-Ressourcen'!$A$2:$AI$54,11,0)+VLOOKUP(G10,'Feuerwaffen-Ressourcen'!$A$2:$AI$54,11,0)</f>
        <v/>
      </c>
      <c r="L10" s="50">
        <f>VLOOKUP(B10,'Feuerwaffen-Ressourcen'!$A$2:$AI$54,12,0)+VLOOKUP(C10,'Feuerwaffen-Ressourcen'!$A$2:$AI$54,12,0)+VLOOKUP(D10,'Feuerwaffen-Ressourcen'!$A$2:$AI$54,12,0)+VLOOKUP(J10,'Feuerwaffen-Ressourcen'!$A$2:$AI$54,12,0)</f>
        <v/>
      </c>
      <c r="M10" s="50">
        <f>VLOOKUP(VLOOKUP(B10,'Feuerwaffen-Ressourcen'!$A$2:$AI$54,13,0)+VLOOKUP(C10,'Feuerwaffen-Ressourcen'!$A$2:$AI$54,13,0)+VLOOKUP(D10,'Feuerwaffen-Ressourcen'!$A$2:$AI$54,13,0),'Feuerwaffen-Ressourcen'!$AJ$3:$AK$12,2,0)</f>
        <v/>
      </c>
      <c r="N10" s="50">
        <f>VLOOKUP(VLOOKUP(B10,'Feuerwaffen-Ressourcen'!$A$2:$AI$54,14,0)+VLOOKUP(C10,'Feuerwaffen-Ressourcen'!$A$2:$AI$54,14,0)+VLOOKUP(D10,'Feuerwaffen-Ressourcen'!$A$2:$AI$54,14,0),'Feuerwaffen-Ressourcen'!$AJ$3:$AK$12,2,0)</f>
        <v/>
      </c>
      <c r="O10" s="50">
        <f>VLOOKUP(B10,'Feuerwaffen-Ressourcen'!$A$2:$AI$54,15,0)+VLOOKUP(C10,'Feuerwaffen-Ressourcen'!$A$2:$AI$54,15,0)+VLOOKUP(D10,'Feuerwaffen-Ressourcen'!$A$2:$AI$54,15,0)</f>
        <v/>
      </c>
      <c r="P10" s="50">
        <f>VLOOKUP(B10,'Feuerwaffen-Ressourcen'!$A$2:$AI$54,16,0)+VLOOKUP(C10,'Feuerwaffen-Ressourcen'!$A$2:$AI$54,16,0)+VLOOKUP(D10,'Feuerwaffen-Ressourcen'!$A$2:$AI$54,16,0)+VLOOKUP(E10,'Feuerwaffen-Ressourcen'!$A$2:$AI$54,16,0)</f>
        <v/>
      </c>
      <c r="Q10" s="52">
        <f>VLOOKUP(B10,'Feuerwaffen-Ressourcen'!$A$2:$AI$54,17,0)+VLOOKUP(C10,'Feuerwaffen-Ressourcen'!$A$2:$AI$54,17,0)+VLOOKUP(D10,'Feuerwaffen-Ressourcen'!$A$2:$AI$54,17,0)+VLOOKUP(E10,'Feuerwaffen-Ressourcen'!$A$2:$AI$54,17,0)</f>
        <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
      </c>
      <c r="X10" s="50">
        <f>VLOOKUP(B10,'Feuerwaffen-Ressourcen'!$A$2:$AI$54,24,0)+VLOOKUP(C10,'Feuerwaffen-Ressourcen'!$A$2:$AI$54,24,0)+VLOOKUP(D10,'Feuerwaffen-Ressourcen'!$A$2:$AI$54,24,0)+VLOOKUP(G10,'Feuerwaffen-Ressourcen'!$A$2:$AI$54,24,0)</f>
        <v/>
      </c>
      <c r="Y10" s="50">
        <f>VLOOKUP(D10,'Feuerwaffen-Ressourcen'!$A$2:$AI$54,25,0)+VLOOKUP(E10,'Feuerwaffen-Ressourcen'!$A$2:$AI$54,25,0)+VLOOKUP(F10,'Feuerwaffen-Ressourcen'!$A$2:$AI$54,25,0)</f>
        <v/>
      </c>
      <c r="Z10" s="50">
        <f>VLOOKUP(E10,'Feuerwaffen-Ressourcen'!$A$2:$AI$54,26,0)</f>
        <v/>
      </c>
      <c r="AA10" s="50">
        <f>VLOOKUP(B10,'Feuerwaffen-Ressourcen'!$A$2:$AI$54,27,0)+VLOOKUP(D10,'Feuerwaffen-Ressourcen'!$A$2:$AI$54,27,0)+VLOOKUP(F10,'Feuerwaffen-Ressourcen'!$A$2:$AI$54,27,0)+VLOOKUP(I10,'Feuerwaffen-Ressourcen'!$A$2:$AI$54,27,0)</f>
        <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
      </c>
      <c r="AC10" s="53">
        <f>VLOOKUP(I10,'Feuerwaffen-Ressourcen'!$A$2:$AI$54,31,0)*AD10+AE10</f>
        <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
      </c>
      <c r="AF10" s="55">
        <f>VLOOKUP(AB10,'Feuerwaffen-Ressourcen'!$AO$3:$AP$9,2,1)</f>
        <v/>
      </c>
      <c r="AG10" s="55" t="n">
        <v>0</v>
      </c>
      <c r="AH10" s="28" t="inlineStr">
        <is>
          <t>Stangenwaffen</t>
        </is>
      </c>
      <c r="AI10" s="28" t="inlineStr">
        <is>
          <t>Improvisierte Stangenwaffen</t>
        </is>
      </c>
      <c r="AJ10" s="56" t="n">
        <v>3</v>
      </c>
      <c r="AK10" s="56" t="inlineStr">
        <is>
          <t>W8</t>
        </is>
      </c>
      <c r="AL10" s="56" t="inlineStr">
        <is>
          <t>W4</t>
        </is>
      </c>
      <c r="AM10" s="56" t="n">
        <v>3</v>
      </c>
      <c r="AN10" s="56" t="n">
        <v>5</v>
      </c>
      <c r="AO10" s="56" t="n">
        <v>4</v>
      </c>
      <c r="AP10" s="56" t="n">
        <v>4</v>
      </c>
      <c r="AQ10" s="56" t="n">
        <v>11</v>
      </c>
      <c r="AR10" s="56" t="n">
        <v>11</v>
      </c>
      <c r="AS10" s="56" t="n">
        <v>5</v>
      </c>
      <c r="AT10" s="56" t="n">
        <v>6</v>
      </c>
    </row>
    <row r="11">
      <c r="A11" s="49" t="inlineStr">
        <is>
          <t>Wissperr</t>
        </is>
      </c>
      <c r="B11" s="49" t="inlineStr">
        <is>
          <t>Drow</t>
        </is>
      </c>
      <c r="C11" s="49" t="inlineStr">
        <is>
          <t>Gewehr</t>
        </is>
      </c>
      <c r="D11" s="49" t="inlineStr">
        <is>
          <t>Normal</t>
        </is>
      </c>
      <c r="E11" s="49" t="inlineStr">
        <is>
          <t>Hinterlader</t>
        </is>
      </c>
      <c r="F11" s="49" t="inlineStr">
        <is>
          <t>Nadelzündung</t>
        </is>
      </c>
      <c r="G11" s="49" t="inlineStr">
        <is>
          <t>Glattlauf</t>
        </is>
      </c>
      <c r="H11" s="49" t="inlineStr">
        <is>
          <t>Papier Patrone</t>
        </is>
      </c>
      <c r="I11" s="49" t="inlineStr">
        <is>
          <t>Massenfabrikation</t>
        </is>
      </c>
      <c r="J11" s="49" t="inlineStr">
        <is>
          <t>Von der Stange</t>
        </is>
      </c>
      <c r="K11" s="51">
        <f>VLOOKUP(B11,'Feuerwaffen-Ressourcen'!$A$2:$AI$54,11,0)+VLOOKUP(C11,'Feuerwaffen-Ressourcen'!$A$2:$AI$54,11,0)+VLOOKUP(D11,'Feuerwaffen-Ressourcen'!$A$2:$AI$54,11,0)+VLOOKUP(E11,'Feuerwaffen-Ressourcen'!$A$2:$AI$54,11,0)+VLOOKUP(G11,'Feuerwaffen-Ressourcen'!$A$2:$AI$54,11,0)</f>
        <v/>
      </c>
      <c r="L11" s="50">
        <f>VLOOKUP(B11,'Feuerwaffen-Ressourcen'!$A$2:$AI$54,12,0)+VLOOKUP(C11,'Feuerwaffen-Ressourcen'!$A$2:$AI$54,12,0)+VLOOKUP(D11,'Feuerwaffen-Ressourcen'!$A$2:$AI$54,12,0)+VLOOKUP(J11,'Feuerwaffen-Ressourcen'!$A$2:$AI$54,12,0)</f>
        <v/>
      </c>
      <c r="M11" s="50">
        <f>VLOOKUP(VLOOKUP(B11,'Feuerwaffen-Ressourcen'!$A$2:$AI$54,13,0)+VLOOKUP(C11,'Feuerwaffen-Ressourcen'!$A$2:$AI$54,13,0)+VLOOKUP(D11,'Feuerwaffen-Ressourcen'!$A$2:$AI$54,13,0),'Feuerwaffen-Ressourcen'!$AJ$3:$AK$12,2,0)</f>
        <v/>
      </c>
      <c r="N11" s="50">
        <f>VLOOKUP(VLOOKUP(B11,'Feuerwaffen-Ressourcen'!$A$2:$AI$54,14,0)+VLOOKUP(C11,'Feuerwaffen-Ressourcen'!$A$2:$AI$54,14,0)+VLOOKUP(D11,'Feuerwaffen-Ressourcen'!$A$2:$AI$54,14,0),'Feuerwaffen-Ressourcen'!$AJ$3:$AK$12,2,0)</f>
        <v/>
      </c>
      <c r="O11" s="50">
        <f>VLOOKUP(B11,'Feuerwaffen-Ressourcen'!$A$2:$AI$54,15,0)+VLOOKUP(C11,'Feuerwaffen-Ressourcen'!$A$2:$AI$54,15,0)+VLOOKUP(D11,'Feuerwaffen-Ressourcen'!$A$2:$AI$54,15,0)</f>
        <v/>
      </c>
      <c r="P11" s="50">
        <f>VLOOKUP(B11,'Feuerwaffen-Ressourcen'!$A$2:$AI$54,16,0)+VLOOKUP(C11,'Feuerwaffen-Ressourcen'!$A$2:$AI$54,16,0)+VLOOKUP(D11,'Feuerwaffen-Ressourcen'!$A$2:$AI$54,16,0)+VLOOKUP(E11,'Feuerwaffen-Ressourcen'!$A$2:$AI$54,16,0)</f>
        <v/>
      </c>
      <c r="Q11" s="52">
        <f>VLOOKUP(B11,'Feuerwaffen-Ressourcen'!$A$2:$AI$54,17,0)+VLOOKUP(C11,'Feuerwaffen-Ressourcen'!$A$2:$AI$54,17,0)+VLOOKUP(D11,'Feuerwaffen-Ressourcen'!$A$2:$AI$54,17,0)+VLOOKUP(E11,'Feuerwaffen-Ressourcen'!$A$2:$AI$54,17,0)</f>
        <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
      </c>
      <c r="X11" s="50">
        <f>VLOOKUP(B11,'Feuerwaffen-Ressourcen'!$A$2:$AI$54,24,0)+VLOOKUP(C11,'Feuerwaffen-Ressourcen'!$A$2:$AI$54,24,0)+VLOOKUP(D11,'Feuerwaffen-Ressourcen'!$A$2:$AI$54,24,0)+VLOOKUP(G11,'Feuerwaffen-Ressourcen'!$A$2:$AI$54,24,0)</f>
        <v/>
      </c>
      <c r="Y11" s="50">
        <f>VLOOKUP(D11,'Feuerwaffen-Ressourcen'!$A$2:$AI$54,25,0)+VLOOKUP(E11,'Feuerwaffen-Ressourcen'!$A$2:$AI$54,25,0)+VLOOKUP(F11,'Feuerwaffen-Ressourcen'!$A$2:$AI$54,25,0)</f>
        <v/>
      </c>
      <c r="Z11" s="50">
        <f>VLOOKUP(E11,'Feuerwaffen-Ressourcen'!$A$2:$AI$54,26,0)</f>
        <v/>
      </c>
      <c r="AA11" s="50">
        <f>VLOOKUP(B11,'Feuerwaffen-Ressourcen'!$A$2:$AI$54,27,0)+VLOOKUP(D11,'Feuerwaffen-Ressourcen'!$A$2:$AI$54,27,0)+VLOOKUP(F11,'Feuerwaffen-Ressourcen'!$A$2:$AI$54,27,0)+VLOOKUP(I11,'Feuerwaffen-Ressourcen'!$A$2:$AI$54,27,0)</f>
        <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
      </c>
      <c r="AC11" s="53">
        <f>VLOOKUP(I11,'Feuerwaffen-Ressourcen'!$A$2:$AI$54,31,0)*AD11+AE11</f>
        <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
      </c>
      <c r="AF11" s="55">
        <f>VLOOKUP(AB11,'Feuerwaffen-Ressourcen'!$AO$3:$AP$9,2,1)</f>
        <v/>
      </c>
      <c r="AG11" s="55" t="n">
        <v>0</v>
      </c>
      <c r="AH11" s="28" t="inlineStr">
        <is>
          <t>Stangenwaffen</t>
        </is>
      </c>
      <c r="AI11" s="28" t="inlineStr">
        <is>
          <t>Improvisierte Stangenwaffen</t>
        </is>
      </c>
      <c r="AJ11" s="56" t="n">
        <v>3</v>
      </c>
      <c r="AK11" s="56" t="inlineStr">
        <is>
          <t>W8</t>
        </is>
      </c>
      <c r="AL11" s="56" t="inlineStr">
        <is>
          <t>W4</t>
        </is>
      </c>
      <c r="AM11" s="56" t="n">
        <v>3</v>
      </c>
      <c r="AN11" s="56" t="n">
        <v>5</v>
      </c>
      <c r="AO11" s="56" t="n">
        <v>4</v>
      </c>
      <c r="AP11" s="56" t="n">
        <v>4</v>
      </c>
      <c r="AQ11" s="56" t="n">
        <v>11</v>
      </c>
      <c r="AR11" s="56" t="n">
        <v>11</v>
      </c>
      <c r="AS11" s="56" t="n">
        <v>5</v>
      </c>
      <c r="AT11" s="56" t="n">
        <v>6</v>
      </c>
    </row>
    <row r="12">
      <c r="A12" s="49" t="inlineStr">
        <is>
          <t>Dunar</t>
        </is>
      </c>
      <c r="B12" s="49" t="inlineStr">
        <is>
          <t>Drow</t>
        </is>
      </c>
      <c r="C12" s="49" t="inlineStr">
        <is>
          <t>Pistole</t>
        </is>
      </c>
      <c r="D12" s="49" t="inlineStr">
        <is>
          <t>Normal P</t>
        </is>
      </c>
      <c r="E12" s="49" t="inlineStr">
        <is>
          <t>Klapplauf</t>
        </is>
      </c>
      <c r="F12" s="49" t="inlineStr">
        <is>
          <t>Schlagbolzen</t>
        </is>
      </c>
      <c r="G12" s="49" t="inlineStr">
        <is>
          <t>Gezogen</t>
        </is>
      </c>
      <c r="H12" s="49" t="inlineStr">
        <is>
          <t>Messing Patrone</t>
        </is>
      </c>
      <c r="I12" s="49" t="inlineStr">
        <is>
          <t>Massenfabrikation</t>
        </is>
      </c>
      <c r="J12" s="49" t="inlineStr">
        <is>
          <t>Von der Stange</t>
        </is>
      </c>
      <c r="K12" s="51">
        <f>VLOOKUP(B12,'Feuerwaffen-Ressourcen'!$A$2:$AI$54,11,0)+VLOOKUP(C12,'Feuerwaffen-Ressourcen'!$A$2:$AI$54,11,0)+VLOOKUP(D12,'Feuerwaffen-Ressourcen'!$A$2:$AI$54,11,0)+VLOOKUP(E12,'Feuerwaffen-Ressourcen'!$A$2:$AI$54,11,0)+VLOOKUP(G12,'Feuerwaffen-Ressourcen'!$A$2:$AI$54,11,0)</f>
        <v/>
      </c>
      <c r="L12" s="50">
        <f>VLOOKUP(B12,'Feuerwaffen-Ressourcen'!$A$2:$AI$54,12,0)+VLOOKUP(C12,'Feuerwaffen-Ressourcen'!$A$2:$AI$54,12,0)+VLOOKUP(D12,'Feuerwaffen-Ressourcen'!$A$2:$AI$54,12,0)+VLOOKUP(J12,'Feuerwaffen-Ressourcen'!$A$2:$AI$54,12,0)</f>
        <v/>
      </c>
      <c r="M12" s="50">
        <f>VLOOKUP(VLOOKUP(B12,'Feuerwaffen-Ressourcen'!$A$2:$AI$54,13,0)+VLOOKUP(C12,'Feuerwaffen-Ressourcen'!$A$2:$AI$54,13,0)+VLOOKUP(D12,'Feuerwaffen-Ressourcen'!$A$2:$AI$54,13,0),'Feuerwaffen-Ressourcen'!$AJ$3:$AK$12,2,0)</f>
        <v/>
      </c>
      <c r="N12" s="50">
        <f>VLOOKUP(VLOOKUP(B12,'Feuerwaffen-Ressourcen'!$A$2:$AI$54,14,0)+VLOOKUP(C12,'Feuerwaffen-Ressourcen'!$A$2:$AI$54,14,0)+VLOOKUP(D12,'Feuerwaffen-Ressourcen'!$A$2:$AI$54,14,0),'Feuerwaffen-Ressourcen'!$AJ$3:$AK$12,2,0)</f>
        <v/>
      </c>
      <c r="O12" s="50">
        <f>VLOOKUP(B12,'Feuerwaffen-Ressourcen'!$A$2:$AI$54,15,0)+VLOOKUP(C12,'Feuerwaffen-Ressourcen'!$A$2:$AI$54,15,0)+VLOOKUP(D12,'Feuerwaffen-Ressourcen'!$A$2:$AI$54,15,0)</f>
        <v/>
      </c>
      <c r="P12" s="50">
        <f>VLOOKUP(B12,'Feuerwaffen-Ressourcen'!$A$2:$AI$54,16,0)+VLOOKUP(C12,'Feuerwaffen-Ressourcen'!$A$2:$AI$54,16,0)+VLOOKUP(D12,'Feuerwaffen-Ressourcen'!$A$2:$AI$54,16,0)+VLOOKUP(E12,'Feuerwaffen-Ressourcen'!$A$2:$AI$54,16,0)</f>
        <v/>
      </c>
      <c r="Q12" s="52">
        <f>VLOOKUP(B12,'Feuerwaffen-Ressourcen'!$A$2:$AI$54,17,0)+VLOOKUP(C12,'Feuerwaffen-Ressourcen'!$A$2:$AI$54,17,0)+VLOOKUP(D12,'Feuerwaffen-Ressourcen'!$A$2:$AI$54,17,0)+VLOOKUP(E12,'Feuerwaffen-Ressourcen'!$A$2:$AI$54,17,0)</f>
        <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
      </c>
      <c r="X12" s="50">
        <f>VLOOKUP(B12,'Feuerwaffen-Ressourcen'!$A$2:$AI$54,24,0)+VLOOKUP(C12,'Feuerwaffen-Ressourcen'!$A$2:$AI$54,24,0)+VLOOKUP(D12,'Feuerwaffen-Ressourcen'!$A$2:$AI$54,24,0)+VLOOKUP(G12,'Feuerwaffen-Ressourcen'!$A$2:$AI$54,24,0)</f>
        <v/>
      </c>
      <c r="Y12" s="50">
        <f>VLOOKUP(D12,'Feuerwaffen-Ressourcen'!$A$2:$AI$54,25,0)+VLOOKUP(E12,'Feuerwaffen-Ressourcen'!$A$2:$AI$54,25,0)+VLOOKUP(F12,'Feuerwaffen-Ressourcen'!$A$2:$AI$54,25,0)</f>
        <v/>
      </c>
      <c r="Z12" s="50">
        <f>VLOOKUP(E12,'Feuerwaffen-Ressourcen'!$A$2:$AI$54,26,0)</f>
        <v/>
      </c>
      <c r="AA12" s="50">
        <f>VLOOKUP(B12,'Feuerwaffen-Ressourcen'!$A$2:$AI$54,27,0)+VLOOKUP(D12,'Feuerwaffen-Ressourcen'!$A$2:$AI$54,27,0)+VLOOKUP(F12,'Feuerwaffen-Ressourcen'!$A$2:$AI$54,27,0)+VLOOKUP(I12,'Feuerwaffen-Ressourcen'!$A$2:$AI$54,27,0)</f>
        <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
      </c>
      <c r="AC12" s="53">
        <f>VLOOKUP(I12,'Feuerwaffen-Ressourcen'!$A$2:$AI$54,31,0)*AD12+AE12</f>
        <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
      </c>
      <c r="AF12" s="55">
        <f>VLOOKUP(AB12,'Feuerwaffen-Ressourcen'!$AO$3:$AP$9,2,1)</f>
        <v/>
      </c>
      <c r="AG12" s="55" t="n">
        <v>0</v>
      </c>
      <c r="AH12" s="28" t="inlineStr">
        <is>
          <t>Hiebwaffen</t>
        </is>
      </c>
      <c r="AI12" s="28" t="inlineStr">
        <is>
          <t>Improvisierte Hiebwaffen</t>
        </is>
      </c>
      <c r="AJ12" s="56" t="n">
        <v>1.5</v>
      </c>
      <c r="AK12" s="56" t="inlineStr">
        <is>
          <t>W8</t>
        </is>
      </c>
      <c r="AL12" s="56" t="inlineStr">
        <is>
          <t>-</t>
        </is>
      </c>
      <c r="AM12" s="56" t="n">
        <v>3</v>
      </c>
      <c r="AN12" s="56" t="n">
        <v>5</v>
      </c>
      <c r="AO12" s="56" t="n">
        <v>-2</v>
      </c>
      <c r="AP12" s="56" t="n">
        <v>-7</v>
      </c>
      <c r="AQ12" s="56" t="n">
        <v>8</v>
      </c>
      <c r="AR12" s="56" t="inlineStr">
        <is>
          <t>-</t>
        </is>
      </c>
      <c r="AS12" s="56" t="n">
        <v>2</v>
      </c>
      <c r="AT12" s="56" t="n">
        <v>10</v>
      </c>
    </row>
    <row r="13">
      <c r="A13" s="49" t="inlineStr">
        <is>
          <t>Schatten</t>
        </is>
      </c>
      <c r="B13" s="49" t="inlineStr">
        <is>
          <t>Drow</t>
        </is>
      </c>
      <c r="C13" s="49" t="inlineStr">
        <is>
          <t>Pistole</t>
        </is>
      </c>
      <c r="D13" s="49" t="inlineStr">
        <is>
          <t>Schwer P</t>
        </is>
      </c>
      <c r="E13" s="49" t="inlineStr">
        <is>
          <t>Klapplauf</t>
        </is>
      </c>
      <c r="F13" s="49" t="inlineStr">
        <is>
          <t>Schlagbolzen</t>
        </is>
      </c>
      <c r="G13" s="49" t="inlineStr">
        <is>
          <t>Gezogen</t>
        </is>
      </c>
      <c r="H13" s="49" t="inlineStr">
        <is>
          <t>Messing Patrone</t>
        </is>
      </c>
      <c r="I13" s="49" t="inlineStr">
        <is>
          <t>Massenfabrikation</t>
        </is>
      </c>
      <c r="J13" s="49" t="inlineStr">
        <is>
          <t>Von der Stange</t>
        </is>
      </c>
      <c r="K13" s="51">
        <f>VLOOKUP(B13,'Feuerwaffen-Ressourcen'!$A$2:$AI$54,11,0)+VLOOKUP(C13,'Feuerwaffen-Ressourcen'!$A$2:$AI$54,11,0)+VLOOKUP(D13,'Feuerwaffen-Ressourcen'!$A$2:$AI$54,11,0)+VLOOKUP(E13,'Feuerwaffen-Ressourcen'!$A$2:$AI$54,11,0)+VLOOKUP(G13,'Feuerwaffen-Ressourcen'!$A$2:$AI$54,11,0)</f>
        <v/>
      </c>
      <c r="L13" s="50">
        <f>VLOOKUP(B13,'Feuerwaffen-Ressourcen'!$A$2:$AI$54,12,0)+VLOOKUP(C13,'Feuerwaffen-Ressourcen'!$A$2:$AI$54,12,0)+VLOOKUP(D13,'Feuerwaffen-Ressourcen'!$A$2:$AI$54,12,0)+VLOOKUP(J13,'Feuerwaffen-Ressourcen'!$A$2:$AI$54,12,0)</f>
        <v/>
      </c>
      <c r="M13" s="50">
        <f>VLOOKUP(VLOOKUP(B13,'Feuerwaffen-Ressourcen'!$A$2:$AI$54,13,0)+VLOOKUP(C13,'Feuerwaffen-Ressourcen'!$A$2:$AI$54,13,0)+VLOOKUP(D13,'Feuerwaffen-Ressourcen'!$A$2:$AI$54,13,0),'Feuerwaffen-Ressourcen'!$AJ$3:$AK$12,2,0)</f>
        <v/>
      </c>
      <c r="N13" s="50">
        <f>VLOOKUP(VLOOKUP(B13,'Feuerwaffen-Ressourcen'!$A$2:$AI$54,14,0)+VLOOKUP(C13,'Feuerwaffen-Ressourcen'!$A$2:$AI$54,14,0)+VLOOKUP(D13,'Feuerwaffen-Ressourcen'!$A$2:$AI$54,14,0),'Feuerwaffen-Ressourcen'!$AJ$3:$AK$12,2,0)</f>
        <v/>
      </c>
      <c r="O13" s="50">
        <f>VLOOKUP(B13,'Feuerwaffen-Ressourcen'!$A$2:$AI$54,15,0)+VLOOKUP(C13,'Feuerwaffen-Ressourcen'!$A$2:$AI$54,15,0)+VLOOKUP(D13,'Feuerwaffen-Ressourcen'!$A$2:$AI$54,15,0)</f>
        <v/>
      </c>
      <c r="P13" s="50">
        <f>VLOOKUP(B13,'Feuerwaffen-Ressourcen'!$A$2:$AI$54,16,0)+VLOOKUP(C13,'Feuerwaffen-Ressourcen'!$A$2:$AI$54,16,0)+VLOOKUP(D13,'Feuerwaffen-Ressourcen'!$A$2:$AI$54,16,0)+VLOOKUP(E13,'Feuerwaffen-Ressourcen'!$A$2:$AI$54,16,0)</f>
        <v/>
      </c>
      <c r="Q13" s="52">
        <f>VLOOKUP(B13,'Feuerwaffen-Ressourcen'!$A$2:$AI$54,17,0)+VLOOKUP(C13,'Feuerwaffen-Ressourcen'!$A$2:$AI$54,17,0)+VLOOKUP(D13,'Feuerwaffen-Ressourcen'!$A$2:$AI$54,17,0)+VLOOKUP(E13,'Feuerwaffen-Ressourcen'!$A$2:$AI$54,17,0)</f>
        <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
      </c>
      <c r="X13" s="50">
        <f>VLOOKUP(B13,'Feuerwaffen-Ressourcen'!$A$2:$AI$54,24,0)+VLOOKUP(C13,'Feuerwaffen-Ressourcen'!$A$2:$AI$54,24,0)+VLOOKUP(D13,'Feuerwaffen-Ressourcen'!$A$2:$AI$54,24,0)+VLOOKUP(G13,'Feuerwaffen-Ressourcen'!$A$2:$AI$54,24,0)</f>
        <v/>
      </c>
      <c r="Y13" s="50">
        <f>VLOOKUP(D13,'Feuerwaffen-Ressourcen'!$A$2:$AI$54,25,0)+VLOOKUP(E13,'Feuerwaffen-Ressourcen'!$A$2:$AI$54,25,0)+VLOOKUP(F13,'Feuerwaffen-Ressourcen'!$A$2:$AI$54,25,0)</f>
        <v/>
      </c>
      <c r="Z13" s="50">
        <f>VLOOKUP(E13,'Feuerwaffen-Ressourcen'!$A$2:$AI$54,26,0)</f>
        <v/>
      </c>
      <c r="AA13" s="50">
        <f>VLOOKUP(B13,'Feuerwaffen-Ressourcen'!$A$2:$AI$54,27,0)+VLOOKUP(D13,'Feuerwaffen-Ressourcen'!$A$2:$AI$54,27,0)+VLOOKUP(F13,'Feuerwaffen-Ressourcen'!$A$2:$AI$54,27,0)+VLOOKUP(I13,'Feuerwaffen-Ressourcen'!$A$2:$AI$54,27,0)</f>
        <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
      </c>
      <c r="AC13" s="53">
        <f>VLOOKUP(I13,'Feuerwaffen-Ressourcen'!$A$2:$AI$54,31,0)*AD13+AE13</f>
        <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
      </c>
      <c r="AF13" s="55">
        <f>VLOOKUP(AB13,'Feuerwaffen-Ressourcen'!$AO$3:$AP$9,2,1)</f>
        <v/>
      </c>
      <c r="AG13" s="55" t="n">
        <v>0</v>
      </c>
      <c r="AH13" s="28" t="inlineStr">
        <is>
          <t>Hiebwaffen</t>
        </is>
      </c>
      <c r="AI13" s="28" t="inlineStr">
        <is>
          <t>Improvisierte Hiebwaffen</t>
        </is>
      </c>
      <c r="AJ13" s="56" t="n">
        <v>1.5</v>
      </c>
      <c r="AK13" s="56" t="inlineStr">
        <is>
          <t>W8</t>
        </is>
      </c>
      <c r="AL13" s="56" t="inlineStr">
        <is>
          <t>-</t>
        </is>
      </c>
      <c r="AM13" s="56" t="n">
        <v>3</v>
      </c>
      <c r="AN13" s="56" t="n">
        <v>5</v>
      </c>
      <c r="AO13" s="56" t="n">
        <v>-2</v>
      </c>
      <c r="AP13" s="56" t="n">
        <v>-7</v>
      </c>
      <c r="AQ13" s="56" t="n">
        <v>10</v>
      </c>
      <c r="AR13" s="56" t="inlineStr">
        <is>
          <t>-</t>
        </is>
      </c>
      <c r="AS13" s="56" t="n">
        <v>2</v>
      </c>
      <c r="AT13" s="56" t="n">
        <v>10</v>
      </c>
    </row>
    <row r="14">
      <c r="A14" s="49" t="inlineStr">
        <is>
          <t>Suliss</t>
        </is>
      </c>
      <c r="B14" s="49" t="inlineStr">
        <is>
          <t>Drow</t>
        </is>
      </c>
      <c r="C14" s="49" t="inlineStr">
        <is>
          <t>Pistole</t>
        </is>
      </c>
      <c r="D14" s="49" t="inlineStr">
        <is>
          <t>Normal P</t>
        </is>
      </c>
      <c r="E14" s="49" t="inlineStr">
        <is>
          <t>Vorderlader</t>
        </is>
      </c>
      <c r="F14" s="49" t="inlineStr">
        <is>
          <t>Steinschloss</t>
        </is>
      </c>
      <c r="G14" s="49" t="inlineStr">
        <is>
          <t>Glattlauf</t>
        </is>
      </c>
      <c r="H14" s="49" t="inlineStr">
        <is>
          <t>Blei</t>
        </is>
      </c>
      <c r="I14" s="49" t="inlineStr">
        <is>
          <t>Massenfabrikation</t>
        </is>
      </c>
      <c r="J14" s="49" t="inlineStr">
        <is>
          <t>Von der Stange</t>
        </is>
      </c>
      <c r="K14" s="51">
        <f>VLOOKUP(B14,'Feuerwaffen-Ressourcen'!$A$2:$AI$54,11,0)+VLOOKUP(C14,'Feuerwaffen-Ressourcen'!$A$2:$AI$54,11,0)+VLOOKUP(D14,'Feuerwaffen-Ressourcen'!$A$2:$AI$54,11,0)+VLOOKUP(E14,'Feuerwaffen-Ressourcen'!$A$2:$AI$54,11,0)+VLOOKUP(G14,'Feuerwaffen-Ressourcen'!$A$2:$AI$54,11,0)</f>
        <v/>
      </c>
      <c r="L14" s="50">
        <f>VLOOKUP(B14,'Feuerwaffen-Ressourcen'!$A$2:$AI$54,12,0)+VLOOKUP(C14,'Feuerwaffen-Ressourcen'!$A$2:$AI$54,12,0)+VLOOKUP(D14,'Feuerwaffen-Ressourcen'!$A$2:$AI$54,12,0)+VLOOKUP(J14,'Feuerwaffen-Ressourcen'!$A$2:$AI$54,12,0)</f>
        <v/>
      </c>
      <c r="M14" s="50">
        <f>VLOOKUP(VLOOKUP(B14,'Feuerwaffen-Ressourcen'!$A$2:$AI$54,13,0)+VLOOKUP(C14,'Feuerwaffen-Ressourcen'!$A$2:$AI$54,13,0)+VLOOKUP(D14,'Feuerwaffen-Ressourcen'!$A$2:$AI$54,13,0),'Feuerwaffen-Ressourcen'!$AJ$3:$AK$12,2,0)</f>
        <v/>
      </c>
      <c r="N14" s="50">
        <f>VLOOKUP(VLOOKUP(B14,'Feuerwaffen-Ressourcen'!$A$2:$AI$54,14,0)+VLOOKUP(C14,'Feuerwaffen-Ressourcen'!$A$2:$AI$54,14,0)+VLOOKUP(D14,'Feuerwaffen-Ressourcen'!$A$2:$AI$54,14,0),'Feuerwaffen-Ressourcen'!$AJ$3:$AK$12,2,0)</f>
        <v/>
      </c>
      <c r="O14" s="50">
        <f>VLOOKUP(B14,'Feuerwaffen-Ressourcen'!$A$2:$AI$54,15,0)+VLOOKUP(C14,'Feuerwaffen-Ressourcen'!$A$2:$AI$54,15,0)+VLOOKUP(D14,'Feuerwaffen-Ressourcen'!$A$2:$AI$54,15,0)</f>
        <v/>
      </c>
      <c r="P14" s="50">
        <f>VLOOKUP(B14,'Feuerwaffen-Ressourcen'!$A$2:$AI$54,16,0)+VLOOKUP(C14,'Feuerwaffen-Ressourcen'!$A$2:$AI$54,16,0)+VLOOKUP(D14,'Feuerwaffen-Ressourcen'!$A$2:$AI$54,16,0)+VLOOKUP(E14,'Feuerwaffen-Ressourcen'!$A$2:$AI$54,16,0)</f>
        <v/>
      </c>
      <c r="Q14" s="52">
        <f>VLOOKUP(B14,'Feuerwaffen-Ressourcen'!$A$2:$AI$54,17,0)+VLOOKUP(C14,'Feuerwaffen-Ressourcen'!$A$2:$AI$54,17,0)+VLOOKUP(D14,'Feuerwaffen-Ressourcen'!$A$2:$AI$54,17,0)+VLOOKUP(E14,'Feuerwaffen-Ressourcen'!$A$2:$AI$54,17,0)</f>
        <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
      </c>
      <c r="X14" s="50">
        <f>VLOOKUP(B14,'Feuerwaffen-Ressourcen'!$A$2:$AI$54,24,0)+VLOOKUP(C14,'Feuerwaffen-Ressourcen'!$A$2:$AI$54,24,0)+VLOOKUP(D14,'Feuerwaffen-Ressourcen'!$A$2:$AI$54,24,0)+VLOOKUP(G14,'Feuerwaffen-Ressourcen'!$A$2:$AI$54,24,0)</f>
        <v/>
      </c>
      <c r="Y14" s="50">
        <f>VLOOKUP(D14,'Feuerwaffen-Ressourcen'!$A$2:$AI$54,25,0)+VLOOKUP(E14,'Feuerwaffen-Ressourcen'!$A$2:$AI$54,25,0)+VLOOKUP(F14,'Feuerwaffen-Ressourcen'!$A$2:$AI$54,25,0)</f>
        <v/>
      </c>
      <c r="Z14" s="50">
        <f>VLOOKUP(E14,'Feuerwaffen-Ressourcen'!$A$2:$AI$54,26,0)</f>
        <v/>
      </c>
      <c r="AA14" s="50">
        <f>VLOOKUP(B14,'Feuerwaffen-Ressourcen'!$A$2:$AI$54,27,0)+VLOOKUP(D14,'Feuerwaffen-Ressourcen'!$A$2:$AI$54,27,0)+VLOOKUP(F14,'Feuerwaffen-Ressourcen'!$A$2:$AI$54,27,0)+VLOOKUP(I14,'Feuerwaffen-Ressourcen'!$A$2:$AI$54,27,0)</f>
        <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
      </c>
      <c r="AC14" s="53">
        <f>VLOOKUP(I14,'Feuerwaffen-Ressourcen'!$A$2:$AI$54,31,0)*AD14+AE14</f>
        <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
      </c>
      <c r="AF14" s="55">
        <f>VLOOKUP(AB14,'Feuerwaffen-Ressourcen'!$AO$3:$AP$9,2,1)</f>
        <v/>
      </c>
      <c r="AG14" s="55" t="n">
        <v>0</v>
      </c>
      <c r="AH14" s="28" t="inlineStr">
        <is>
          <t>Hiebwaffen</t>
        </is>
      </c>
      <c r="AI14" s="28" t="inlineStr">
        <is>
          <t>Improvisierte Hiebwaffen</t>
        </is>
      </c>
      <c r="AJ14" s="56" t="n">
        <v>1.5</v>
      </c>
      <c r="AK14" s="56" t="inlineStr">
        <is>
          <t>W8</t>
        </is>
      </c>
      <c r="AL14" s="56" t="inlineStr">
        <is>
          <t>-</t>
        </is>
      </c>
      <c r="AM14" s="56" t="n">
        <v>3</v>
      </c>
      <c r="AN14" s="56" t="n">
        <v>5</v>
      </c>
      <c r="AO14" s="56" t="n">
        <v>-2</v>
      </c>
      <c r="AP14" s="56" t="n">
        <v>-7</v>
      </c>
      <c r="AQ14" s="56" t="n">
        <v>8</v>
      </c>
      <c r="AR14" s="56" t="inlineStr">
        <is>
          <t>-</t>
        </is>
      </c>
      <c r="AS14" s="56" t="n">
        <v>2</v>
      </c>
      <c r="AT14" s="56" t="n">
        <v>10</v>
      </c>
    </row>
    <row r="15">
      <c r="A15" s="49" t="inlineStr">
        <is>
          <t>Taschenalb</t>
        </is>
      </c>
      <c r="B15" s="49" t="inlineStr">
        <is>
          <t>Drow</t>
        </is>
      </c>
      <c r="C15" s="49" t="inlineStr">
        <is>
          <t>Pistole</t>
        </is>
      </c>
      <c r="D15" s="49" t="inlineStr">
        <is>
          <t>Pocket Pistol</t>
        </is>
      </c>
      <c r="E15" s="49" t="inlineStr">
        <is>
          <t>Klapplauf</t>
        </is>
      </c>
      <c r="F15" s="49" t="inlineStr">
        <is>
          <t>Schlagbolzen</t>
        </is>
      </c>
      <c r="G15" s="49" t="inlineStr">
        <is>
          <t>Gezogen</t>
        </is>
      </c>
      <c r="H15" s="49" t="inlineStr">
        <is>
          <t>Messing Patrone</t>
        </is>
      </c>
      <c r="I15" s="49" t="inlineStr">
        <is>
          <t>Massenfabrikation</t>
        </is>
      </c>
      <c r="J15" s="49" t="inlineStr">
        <is>
          <t>Von der Stange</t>
        </is>
      </c>
      <c r="K15" s="51">
        <f>VLOOKUP(B15,'Feuerwaffen-Ressourcen'!$A$2:$AI$54,11,0)+VLOOKUP(C15,'Feuerwaffen-Ressourcen'!$A$2:$AI$54,11,0)+VLOOKUP(D15,'Feuerwaffen-Ressourcen'!$A$2:$AI$54,11,0)+VLOOKUP(E15,'Feuerwaffen-Ressourcen'!$A$2:$AI$54,11,0)+VLOOKUP(G15,'Feuerwaffen-Ressourcen'!$A$2:$AI$54,11,0)</f>
        <v/>
      </c>
      <c r="L15" s="50">
        <f>VLOOKUP(B15,'Feuerwaffen-Ressourcen'!$A$2:$AI$54,12,0)+VLOOKUP(C15,'Feuerwaffen-Ressourcen'!$A$2:$AI$54,12,0)+VLOOKUP(D15,'Feuerwaffen-Ressourcen'!$A$2:$AI$54,12,0)+VLOOKUP(J15,'Feuerwaffen-Ressourcen'!$A$2:$AI$54,12,0)</f>
        <v/>
      </c>
      <c r="M15" s="50">
        <f>VLOOKUP(VLOOKUP(B15,'Feuerwaffen-Ressourcen'!$A$2:$AI$54,13,0)+VLOOKUP(C15,'Feuerwaffen-Ressourcen'!$A$2:$AI$54,13,0)+VLOOKUP(D15,'Feuerwaffen-Ressourcen'!$A$2:$AI$54,13,0),'Feuerwaffen-Ressourcen'!$AJ$3:$AK$12,2,0)</f>
        <v/>
      </c>
      <c r="N15" s="50">
        <f>VLOOKUP(VLOOKUP(B15,'Feuerwaffen-Ressourcen'!$A$2:$AI$54,14,0)+VLOOKUP(C15,'Feuerwaffen-Ressourcen'!$A$2:$AI$54,14,0)+VLOOKUP(D15,'Feuerwaffen-Ressourcen'!$A$2:$AI$54,14,0),'Feuerwaffen-Ressourcen'!$AJ$3:$AK$12,2,0)</f>
        <v/>
      </c>
      <c r="O15" s="50">
        <f>VLOOKUP(B15,'Feuerwaffen-Ressourcen'!$A$2:$AI$54,15,0)+VLOOKUP(C15,'Feuerwaffen-Ressourcen'!$A$2:$AI$54,15,0)+VLOOKUP(D15,'Feuerwaffen-Ressourcen'!$A$2:$AI$54,15,0)</f>
        <v/>
      </c>
      <c r="P15" s="50">
        <f>VLOOKUP(B15,'Feuerwaffen-Ressourcen'!$A$2:$AI$54,16,0)+VLOOKUP(C15,'Feuerwaffen-Ressourcen'!$A$2:$AI$54,16,0)+VLOOKUP(D15,'Feuerwaffen-Ressourcen'!$A$2:$AI$54,16,0)+VLOOKUP(E15,'Feuerwaffen-Ressourcen'!$A$2:$AI$54,16,0)</f>
        <v/>
      </c>
      <c r="Q15" s="52">
        <f>VLOOKUP(B15,'Feuerwaffen-Ressourcen'!$A$2:$AI$54,17,0)+VLOOKUP(C15,'Feuerwaffen-Ressourcen'!$A$2:$AI$54,17,0)+VLOOKUP(D15,'Feuerwaffen-Ressourcen'!$A$2:$AI$54,17,0)+VLOOKUP(E15,'Feuerwaffen-Ressourcen'!$A$2:$AI$54,17,0)</f>
        <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
      </c>
      <c r="X15" s="50">
        <f>VLOOKUP(B15,'Feuerwaffen-Ressourcen'!$A$2:$AI$54,24,0)+VLOOKUP(C15,'Feuerwaffen-Ressourcen'!$A$2:$AI$54,24,0)+VLOOKUP(D15,'Feuerwaffen-Ressourcen'!$A$2:$AI$54,24,0)+VLOOKUP(G15,'Feuerwaffen-Ressourcen'!$A$2:$AI$54,24,0)</f>
        <v/>
      </c>
      <c r="Y15" s="50">
        <f>VLOOKUP(D15,'Feuerwaffen-Ressourcen'!$A$2:$AI$54,25,0)+VLOOKUP(E15,'Feuerwaffen-Ressourcen'!$A$2:$AI$54,25,0)+VLOOKUP(F15,'Feuerwaffen-Ressourcen'!$A$2:$AI$54,25,0)</f>
        <v/>
      </c>
      <c r="Z15" s="50">
        <f>VLOOKUP(E15,'Feuerwaffen-Ressourcen'!$A$2:$AI$54,26,0)</f>
        <v/>
      </c>
      <c r="AA15" s="50">
        <f>VLOOKUP(B15,'Feuerwaffen-Ressourcen'!$A$2:$AI$54,27,0)+VLOOKUP(D15,'Feuerwaffen-Ressourcen'!$A$2:$AI$54,27,0)+VLOOKUP(F15,'Feuerwaffen-Ressourcen'!$A$2:$AI$54,27,0)+VLOOKUP(I15,'Feuerwaffen-Ressourcen'!$A$2:$AI$54,27,0)</f>
        <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
      </c>
      <c r="AC15" s="53">
        <f>VLOOKUP(I15,'Feuerwaffen-Ressourcen'!$A$2:$AI$54,31,0)*AD15+AE15</f>
        <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
      </c>
      <c r="AF15" s="55">
        <f>VLOOKUP(AB15,'Feuerwaffen-Ressourcen'!$AO$3:$AP$9,2,1)</f>
        <v/>
      </c>
      <c r="AG15" s="55" t="n">
        <v>0</v>
      </c>
      <c r="AH15" s="28" t="inlineStr">
        <is>
          <t>Hiebwaffen</t>
        </is>
      </c>
      <c r="AI15" s="28" t="inlineStr">
        <is>
          <t>Improvisierte Hiebwaffen</t>
        </is>
      </c>
      <c r="AJ15" s="56" t="n">
        <v>1.5</v>
      </c>
      <c r="AK15" s="56" t="inlineStr">
        <is>
          <t>W8</t>
        </is>
      </c>
      <c r="AL15" s="56" t="inlineStr">
        <is>
          <t>-</t>
        </is>
      </c>
      <c r="AM15" s="56" t="n">
        <v>3</v>
      </c>
      <c r="AN15" s="56" t="n">
        <v>5</v>
      </c>
      <c r="AO15" s="56" t="n">
        <v>-2</v>
      </c>
      <c r="AP15" s="56" t="n">
        <v>-7</v>
      </c>
      <c r="AQ15" s="56" t="n">
        <v>6</v>
      </c>
      <c r="AR15" s="56" t="inlineStr">
        <is>
          <t>-</t>
        </is>
      </c>
      <c r="AS15" s="56" t="n">
        <v>2</v>
      </c>
      <c r="AT15" s="56" t="n">
        <v>10</v>
      </c>
    </row>
    <row r="16">
      <c r="A16" s="49" t="inlineStr">
        <is>
          <t>Adler</t>
        </is>
      </c>
      <c r="B16" s="49" t="inlineStr">
        <is>
          <t>Elfisch</t>
        </is>
      </c>
      <c r="C16" s="49" t="inlineStr">
        <is>
          <t>Gewehr</t>
        </is>
      </c>
      <c r="D16" s="49" t="inlineStr">
        <is>
          <t>Normal</t>
        </is>
      </c>
      <c r="E16" s="49" t="inlineStr">
        <is>
          <t>Vorderlader</t>
        </is>
      </c>
      <c r="F16" s="49" t="inlineStr">
        <is>
          <t>Steinschloss</t>
        </is>
      </c>
      <c r="G16" s="49" t="inlineStr">
        <is>
          <t>Glattlauf</t>
        </is>
      </c>
      <c r="H16" s="49" t="inlineStr">
        <is>
          <t>Blei</t>
        </is>
      </c>
      <c r="I16" s="49" t="inlineStr">
        <is>
          <t>Massenfabrikation</t>
        </is>
      </c>
      <c r="J16" s="49" t="inlineStr">
        <is>
          <t>Von der Stange</t>
        </is>
      </c>
      <c r="K16" s="51">
        <f>VLOOKUP(B16,'Feuerwaffen-Ressourcen'!$A$2:$AI$54,11,0)+VLOOKUP(C16,'Feuerwaffen-Ressourcen'!$A$2:$AI$54,11,0)+VLOOKUP(D16,'Feuerwaffen-Ressourcen'!$A$2:$AI$54,11,0)+VLOOKUP(E16,'Feuerwaffen-Ressourcen'!$A$2:$AI$54,11,0)+VLOOKUP(G16,'Feuerwaffen-Ressourcen'!$A$2:$AI$54,11,0)</f>
        <v/>
      </c>
      <c r="L16" s="50">
        <f>VLOOKUP(B16,'Feuerwaffen-Ressourcen'!$A$2:$AI$54,12,0)+VLOOKUP(C16,'Feuerwaffen-Ressourcen'!$A$2:$AI$54,12,0)+VLOOKUP(D16,'Feuerwaffen-Ressourcen'!$A$2:$AI$54,12,0)+VLOOKUP(J16,'Feuerwaffen-Ressourcen'!$A$2:$AI$54,12,0)</f>
        <v/>
      </c>
      <c r="M16" s="50">
        <f>VLOOKUP(VLOOKUP(B16,'Feuerwaffen-Ressourcen'!$A$2:$AI$54,13,0)+VLOOKUP(C16,'Feuerwaffen-Ressourcen'!$A$2:$AI$54,13,0)+VLOOKUP(D16,'Feuerwaffen-Ressourcen'!$A$2:$AI$54,13,0),'Feuerwaffen-Ressourcen'!$AJ$3:$AK$12,2,0)</f>
        <v/>
      </c>
      <c r="N16" s="50">
        <f>VLOOKUP(VLOOKUP(B16,'Feuerwaffen-Ressourcen'!$A$2:$AI$54,14,0)+VLOOKUP(C16,'Feuerwaffen-Ressourcen'!$A$2:$AI$54,14,0)+VLOOKUP(D16,'Feuerwaffen-Ressourcen'!$A$2:$AI$54,14,0),'Feuerwaffen-Ressourcen'!$AJ$3:$AK$12,2,0)</f>
        <v/>
      </c>
      <c r="O16" s="50">
        <f>VLOOKUP(B16,'Feuerwaffen-Ressourcen'!$A$2:$AI$54,15,0)+VLOOKUP(C16,'Feuerwaffen-Ressourcen'!$A$2:$AI$54,15,0)+VLOOKUP(D16,'Feuerwaffen-Ressourcen'!$A$2:$AI$54,15,0)</f>
        <v/>
      </c>
      <c r="P16" s="50">
        <f>VLOOKUP(B16,'Feuerwaffen-Ressourcen'!$A$2:$AI$54,16,0)+VLOOKUP(C16,'Feuerwaffen-Ressourcen'!$A$2:$AI$54,16,0)+VLOOKUP(D16,'Feuerwaffen-Ressourcen'!$A$2:$AI$54,16,0)+VLOOKUP(E16,'Feuerwaffen-Ressourcen'!$A$2:$AI$54,16,0)</f>
        <v/>
      </c>
      <c r="Q16" s="52">
        <f>VLOOKUP(B16,'Feuerwaffen-Ressourcen'!$A$2:$AI$54,17,0)+VLOOKUP(C16,'Feuerwaffen-Ressourcen'!$A$2:$AI$54,17,0)+VLOOKUP(D16,'Feuerwaffen-Ressourcen'!$A$2:$AI$54,17,0)+VLOOKUP(E16,'Feuerwaffen-Ressourcen'!$A$2:$AI$54,17,0)</f>
        <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
      </c>
      <c r="X16" s="50">
        <f>VLOOKUP(B16,'Feuerwaffen-Ressourcen'!$A$2:$AI$54,24,0)+VLOOKUP(C16,'Feuerwaffen-Ressourcen'!$A$2:$AI$54,24,0)+VLOOKUP(D16,'Feuerwaffen-Ressourcen'!$A$2:$AI$54,24,0)+VLOOKUP(G16,'Feuerwaffen-Ressourcen'!$A$2:$AI$54,24,0)</f>
        <v/>
      </c>
      <c r="Y16" s="50">
        <f>VLOOKUP(D16,'Feuerwaffen-Ressourcen'!$A$2:$AI$54,25,0)+VLOOKUP(E16,'Feuerwaffen-Ressourcen'!$A$2:$AI$54,25,0)+VLOOKUP(F16,'Feuerwaffen-Ressourcen'!$A$2:$AI$54,25,0)</f>
        <v/>
      </c>
      <c r="Z16" s="50">
        <f>VLOOKUP(E16,'Feuerwaffen-Ressourcen'!$A$2:$AI$54,26,0)</f>
        <v/>
      </c>
      <c r="AA16" s="50">
        <f>VLOOKUP(B16,'Feuerwaffen-Ressourcen'!$A$2:$AI$54,27,0)+VLOOKUP(D16,'Feuerwaffen-Ressourcen'!$A$2:$AI$54,27,0)+VLOOKUP(F16,'Feuerwaffen-Ressourcen'!$A$2:$AI$54,27,0)+VLOOKUP(I16,'Feuerwaffen-Ressourcen'!$A$2:$AI$54,27,0)</f>
        <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
      </c>
      <c r="AC16" s="53">
        <f>VLOOKUP(I16,'Feuerwaffen-Ressourcen'!$A$2:$AI$54,31,0)*AD16+AE16</f>
        <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
      </c>
      <c r="AF16" s="55">
        <f>VLOOKUP(AB16,'Feuerwaffen-Ressourcen'!$AO$3:$AP$9,2,1)</f>
        <v/>
      </c>
      <c r="AG16" s="55" t="n">
        <v>0</v>
      </c>
      <c r="AH16" s="28" t="inlineStr">
        <is>
          <t>Stangenwaffen</t>
        </is>
      </c>
      <c r="AI16" s="28" t="inlineStr">
        <is>
          <t>Improvisierte Stangenwaffen</t>
        </is>
      </c>
      <c r="AJ16" s="56" t="n">
        <v>3</v>
      </c>
      <c r="AK16" s="56" t="inlineStr">
        <is>
          <t>W8</t>
        </is>
      </c>
      <c r="AL16" s="56" t="inlineStr">
        <is>
          <t>W4</t>
        </is>
      </c>
      <c r="AM16" s="56" t="n">
        <v>3</v>
      </c>
      <c r="AN16" s="56" t="n">
        <v>5</v>
      </c>
      <c r="AO16" s="56" t="n">
        <v>4</v>
      </c>
      <c r="AP16" s="56" t="n">
        <v>4</v>
      </c>
      <c r="AQ16" s="56" t="n">
        <v>10</v>
      </c>
      <c r="AR16" s="56" t="n">
        <v>10</v>
      </c>
      <c r="AS16" s="56" t="n">
        <v>5</v>
      </c>
      <c r="AT16" s="56" t="n">
        <v>6</v>
      </c>
    </row>
    <row r="17">
      <c r="A17" s="49" t="inlineStr">
        <is>
          <t>Bussard</t>
        </is>
      </c>
      <c r="B17" s="49" t="inlineStr">
        <is>
          <t>Elfisch</t>
        </is>
      </c>
      <c r="C17" s="49" t="inlineStr">
        <is>
          <t>Gewehr</t>
        </is>
      </c>
      <c r="D17" s="49" t="inlineStr">
        <is>
          <t>Karabiner</t>
        </is>
      </c>
      <c r="E17" s="49" t="inlineStr">
        <is>
          <t>Klapplauf</t>
        </is>
      </c>
      <c r="F17" s="49" t="inlineStr">
        <is>
          <t>Schlagbolzen</t>
        </is>
      </c>
      <c r="G17" s="49" t="inlineStr">
        <is>
          <t>Gezogen</t>
        </is>
      </c>
      <c r="H17" s="49" t="inlineStr">
        <is>
          <t>Messing Patrone</t>
        </is>
      </c>
      <c r="I17" s="49" t="inlineStr">
        <is>
          <t>Massenfabrikation</t>
        </is>
      </c>
      <c r="J17" s="49" t="inlineStr">
        <is>
          <t>Von der Stange</t>
        </is>
      </c>
      <c r="K17" s="51">
        <f>VLOOKUP(B17,'Feuerwaffen-Ressourcen'!$A$2:$AI$54,11,0)+VLOOKUP(C17,'Feuerwaffen-Ressourcen'!$A$2:$AI$54,11,0)+VLOOKUP(D17,'Feuerwaffen-Ressourcen'!$A$2:$AI$54,11,0)+VLOOKUP(E17,'Feuerwaffen-Ressourcen'!$A$2:$AI$54,11,0)+VLOOKUP(G17,'Feuerwaffen-Ressourcen'!$A$2:$AI$54,11,0)</f>
        <v/>
      </c>
      <c r="L17" s="50">
        <f>VLOOKUP(B17,'Feuerwaffen-Ressourcen'!$A$2:$AI$54,12,0)+VLOOKUP(C17,'Feuerwaffen-Ressourcen'!$A$2:$AI$54,12,0)+VLOOKUP(D17,'Feuerwaffen-Ressourcen'!$A$2:$AI$54,12,0)+VLOOKUP(J17,'Feuerwaffen-Ressourcen'!$A$2:$AI$54,12,0)</f>
        <v/>
      </c>
      <c r="M17" s="50">
        <f>VLOOKUP(VLOOKUP(B17,'Feuerwaffen-Ressourcen'!$A$2:$AI$54,13,0)+VLOOKUP(C17,'Feuerwaffen-Ressourcen'!$A$2:$AI$54,13,0)+VLOOKUP(D17,'Feuerwaffen-Ressourcen'!$A$2:$AI$54,13,0),'Feuerwaffen-Ressourcen'!$AJ$3:$AK$12,2,0)</f>
        <v/>
      </c>
      <c r="N17" s="50">
        <f>VLOOKUP(VLOOKUP(B17,'Feuerwaffen-Ressourcen'!$A$2:$AI$54,14,0)+VLOOKUP(C17,'Feuerwaffen-Ressourcen'!$A$2:$AI$54,14,0)+VLOOKUP(D17,'Feuerwaffen-Ressourcen'!$A$2:$AI$54,14,0),'Feuerwaffen-Ressourcen'!$AJ$3:$AK$12,2,0)</f>
        <v/>
      </c>
      <c r="O17" s="50">
        <f>VLOOKUP(B17,'Feuerwaffen-Ressourcen'!$A$2:$AI$54,15,0)+VLOOKUP(C17,'Feuerwaffen-Ressourcen'!$A$2:$AI$54,15,0)+VLOOKUP(D17,'Feuerwaffen-Ressourcen'!$A$2:$AI$54,15,0)</f>
        <v/>
      </c>
      <c r="P17" s="50">
        <f>VLOOKUP(B17,'Feuerwaffen-Ressourcen'!$A$2:$AI$54,16,0)+VLOOKUP(C17,'Feuerwaffen-Ressourcen'!$A$2:$AI$54,16,0)+VLOOKUP(D17,'Feuerwaffen-Ressourcen'!$A$2:$AI$54,16,0)+VLOOKUP(E17,'Feuerwaffen-Ressourcen'!$A$2:$AI$54,16,0)</f>
        <v/>
      </c>
      <c r="Q17" s="52">
        <f>VLOOKUP(B17,'Feuerwaffen-Ressourcen'!$A$2:$AI$54,17,0)+VLOOKUP(C17,'Feuerwaffen-Ressourcen'!$A$2:$AI$54,17,0)+VLOOKUP(D17,'Feuerwaffen-Ressourcen'!$A$2:$AI$54,17,0)+VLOOKUP(E17,'Feuerwaffen-Ressourcen'!$A$2:$AI$54,17,0)</f>
        <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
      </c>
      <c r="X17" s="50">
        <f>VLOOKUP(B17,'Feuerwaffen-Ressourcen'!$A$2:$AI$54,24,0)+VLOOKUP(C17,'Feuerwaffen-Ressourcen'!$A$2:$AI$54,24,0)+VLOOKUP(D17,'Feuerwaffen-Ressourcen'!$A$2:$AI$54,24,0)+VLOOKUP(G17,'Feuerwaffen-Ressourcen'!$A$2:$AI$54,24,0)</f>
        <v/>
      </c>
      <c r="Y17" s="50">
        <f>VLOOKUP(D17,'Feuerwaffen-Ressourcen'!$A$2:$AI$54,25,0)+VLOOKUP(E17,'Feuerwaffen-Ressourcen'!$A$2:$AI$54,25,0)+VLOOKUP(F17,'Feuerwaffen-Ressourcen'!$A$2:$AI$54,25,0)</f>
        <v/>
      </c>
      <c r="Z17" s="50">
        <f>VLOOKUP(E17,'Feuerwaffen-Ressourcen'!$A$2:$AI$54,26,0)</f>
        <v/>
      </c>
      <c r="AA17" s="50">
        <f>VLOOKUP(B17,'Feuerwaffen-Ressourcen'!$A$2:$AI$54,27,0)+VLOOKUP(D17,'Feuerwaffen-Ressourcen'!$A$2:$AI$54,27,0)+VLOOKUP(F17,'Feuerwaffen-Ressourcen'!$A$2:$AI$54,27,0)+VLOOKUP(I17,'Feuerwaffen-Ressourcen'!$A$2:$AI$54,27,0)</f>
        <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
      </c>
      <c r="AC17" s="53">
        <f>VLOOKUP(I17,'Feuerwaffen-Ressourcen'!$A$2:$AI$54,31,0)*AD17+AE17</f>
        <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
      </c>
      <c r="AF17" s="55">
        <f>VLOOKUP(AB17,'Feuerwaffen-Ressourcen'!$AO$3:$AP$9,2,1)</f>
        <v/>
      </c>
      <c r="AG17" s="55" t="n">
        <v>0</v>
      </c>
      <c r="AH17" s="28" t="inlineStr">
        <is>
          <t>Stangenwaffen</t>
        </is>
      </c>
      <c r="AI17" s="28" t="inlineStr">
        <is>
          <t>Improvisierte Stangenwaffen</t>
        </is>
      </c>
      <c r="AJ17" s="56" t="n">
        <v>3</v>
      </c>
      <c r="AK17" s="56" t="inlineStr">
        <is>
          <t>W8</t>
        </is>
      </c>
      <c r="AL17" s="56" t="inlineStr">
        <is>
          <t>W4</t>
        </is>
      </c>
      <c r="AM17" s="56" t="n">
        <v>3</v>
      </c>
      <c r="AN17" s="56" t="n">
        <v>5</v>
      </c>
      <c r="AO17" s="56" t="n">
        <v>4</v>
      </c>
      <c r="AP17" s="56" t="n">
        <v>4</v>
      </c>
      <c r="AQ17" s="56" t="n">
        <v>9</v>
      </c>
      <c r="AR17" s="56" t="n">
        <v>9</v>
      </c>
      <c r="AS17" s="56" t="n">
        <v>5</v>
      </c>
      <c r="AT17" s="56" t="n">
        <v>6</v>
      </c>
    </row>
    <row r="18">
      <c r="A18" s="49" t="inlineStr">
        <is>
          <t>Kondor</t>
        </is>
      </c>
      <c r="B18" s="49" t="inlineStr">
        <is>
          <t>Elfisch</t>
        </is>
      </c>
      <c r="C18" s="49" t="inlineStr">
        <is>
          <t>Gewehr</t>
        </is>
      </c>
      <c r="D18" s="49" t="inlineStr">
        <is>
          <t>Jagd</t>
        </is>
      </c>
      <c r="E18" s="49" t="inlineStr">
        <is>
          <t>Vorderlader</t>
        </is>
      </c>
      <c r="F18" s="49" t="inlineStr">
        <is>
          <t>Perkussionsschloss</t>
        </is>
      </c>
      <c r="G18" s="49" t="inlineStr">
        <is>
          <t>Gezogen</t>
        </is>
      </c>
      <c r="H18" s="49" t="inlineStr">
        <is>
          <t>Blei</t>
        </is>
      </c>
      <c r="I18" s="49" t="inlineStr">
        <is>
          <t>Massenfabrikation</t>
        </is>
      </c>
      <c r="J18" s="49" t="inlineStr">
        <is>
          <t>Von der Stange</t>
        </is>
      </c>
      <c r="K18" s="51">
        <f>VLOOKUP(B18,'Feuerwaffen-Ressourcen'!$A$2:$AI$54,11,0)+VLOOKUP(C18,'Feuerwaffen-Ressourcen'!$A$2:$AI$54,11,0)+VLOOKUP(D18,'Feuerwaffen-Ressourcen'!$A$2:$AI$54,11,0)+VLOOKUP(E18,'Feuerwaffen-Ressourcen'!$A$2:$AI$54,11,0)+VLOOKUP(G18,'Feuerwaffen-Ressourcen'!$A$2:$AI$54,11,0)</f>
        <v/>
      </c>
      <c r="L18" s="50">
        <f>VLOOKUP(B18,'Feuerwaffen-Ressourcen'!$A$2:$AI$54,12,0)+VLOOKUP(C18,'Feuerwaffen-Ressourcen'!$A$2:$AI$54,12,0)+VLOOKUP(D18,'Feuerwaffen-Ressourcen'!$A$2:$AI$54,12,0)+VLOOKUP(J18,'Feuerwaffen-Ressourcen'!$A$2:$AI$54,12,0)</f>
        <v/>
      </c>
      <c r="M18" s="50">
        <f>VLOOKUP(VLOOKUP(B18,'Feuerwaffen-Ressourcen'!$A$2:$AI$54,13,0)+VLOOKUP(C18,'Feuerwaffen-Ressourcen'!$A$2:$AI$54,13,0)+VLOOKUP(D18,'Feuerwaffen-Ressourcen'!$A$2:$AI$54,13,0),'Feuerwaffen-Ressourcen'!$AJ$3:$AK$12,2,0)</f>
        <v/>
      </c>
      <c r="N18" s="50">
        <f>VLOOKUP(VLOOKUP(B18,'Feuerwaffen-Ressourcen'!$A$2:$AI$54,14,0)+VLOOKUP(C18,'Feuerwaffen-Ressourcen'!$A$2:$AI$54,14,0)+VLOOKUP(D18,'Feuerwaffen-Ressourcen'!$A$2:$AI$54,14,0),'Feuerwaffen-Ressourcen'!$AJ$3:$AK$12,2,0)</f>
        <v/>
      </c>
      <c r="O18" s="50">
        <f>VLOOKUP(B18,'Feuerwaffen-Ressourcen'!$A$2:$AI$54,15,0)+VLOOKUP(C18,'Feuerwaffen-Ressourcen'!$A$2:$AI$54,15,0)+VLOOKUP(D18,'Feuerwaffen-Ressourcen'!$A$2:$AI$54,15,0)</f>
        <v/>
      </c>
      <c r="P18" s="50">
        <f>VLOOKUP(B18,'Feuerwaffen-Ressourcen'!$A$2:$AI$54,16,0)+VLOOKUP(C18,'Feuerwaffen-Ressourcen'!$A$2:$AI$54,16,0)+VLOOKUP(D18,'Feuerwaffen-Ressourcen'!$A$2:$AI$54,16,0)+VLOOKUP(E18,'Feuerwaffen-Ressourcen'!$A$2:$AI$54,16,0)</f>
        <v/>
      </c>
      <c r="Q18" s="52">
        <f>VLOOKUP(B18,'Feuerwaffen-Ressourcen'!$A$2:$AI$54,17,0)+VLOOKUP(C18,'Feuerwaffen-Ressourcen'!$A$2:$AI$54,17,0)+VLOOKUP(D18,'Feuerwaffen-Ressourcen'!$A$2:$AI$54,17,0)+VLOOKUP(E18,'Feuerwaffen-Ressourcen'!$A$2:$AI$54,17,0)</f>
        <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
      </c>
      <c r="X18" s="50">
        <f>VLOOKUP(B18,'Feuerwaffen-Ressourcen'!$A$2:$AI$54,24,0)+VLOOKUP(C18,'Feuerwaffen-Ressourcen'!$A$2:$AI$54,24,0)+VLOOKUP(D18,'Feuerwaffen-Ressourcen'!$A$2:$AI$54,24,0)+VLOOKUP(G18,'Feuerwaffen-Ressourcen'!$A$2:$AI$54,24,0)</f>
        <v/>
      </c>
      <c r="Y18" s="50">
        <f>VLOOKUP(D18,'Feuerwaffen-Ressourcen'!$A$2:$AI$54,25,0)+VLOOKUP(E18,'Feuerwaffen-Ressourcen'!$A$2:$AI$54,25,0)+VLOOKUP(F18,'Feuerwaffen-Ressourcen'!$A$2:$AI$54,25,0)</f>
        <v/>
      </c>
      <c r="Z18" s="50">
        <f>VLOOKUP(E18,'Feuerwaffen-Ressourcen'!$A$2:$AI$54,26,0)</f>
        <v/>
      </c>
      <c r="AA18" s="50">
        <f>VLOOKUP(B18,'Feuerwaffen-Ressourcen'!$A$2:$AI$54,27,0)+VLOOKUP(D18,'Feuerwaffen-Ressourcen'!$A$2:$AI$54,27,0)+VLOOKUP(F18,'Feuerwaffen-Ressourcen'!$A$2:$AI$54,27,0)+VLOOKUP(I18,'Feuerwaffen-Ressourcen'!$A$2:$AI$54,27,0)</f>
        <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
      </c>
      <c r="AC18" s="53">
        <f>VLOOKUP(I18,'Feuerwaffen-Ressourcen'!$A$2:$AI$54,31,0)*AD18+AE18</f>
        <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
      </c>
      <c r="AF18" s="55">
        <f>VLOOKUP(AB18,'Feuerwaffen-Ressourcen'!$AO$3:$AP$9,2,1)</f>
        <v/>
      </c>
      <c r="AG18" s="55" t="n">
        <v>0</v>
      </c>
      <c r="AH18" s="28" t="inlineStr">
        <is>
          <t>Stangenwaffen</t>
        </is>
      </c>
      <c r="AI18" s="28" t="inlineStr">
        <is>
          <t>Improvisierte Stangenwaffen</t>
        </is>
      </c>
      <c r="AJ18" s="56" t="n">
        <v>3</v>
      </c>
      <c r="AK18" s="56" t="inlineStr">
        <is>
          <t>W8</t>
        </is>
      </c>
      <c r="AL18" s="56" t="inlineStr">
        <is>
          <t>W4</t>
        </is>
      </c>
      <c r="AM18" s="56" t="n">
        <v>3</v>
      </c>
      <c r="AN18" s="56" t="n">
        <v>5</v>
      </c>
      <c r="AO18" s="56" t="n">
        <v>4</v>
      </c>
      <c r="AP18" s="56" t="n">
        <v>4</v>
      </c>
      <c r="AQ18" s="56" t="n">
        <v>10</v>
      </c>
      <c r="AR18" s="56" t="n">
        <v>10</v>
      </c>
      <c r="AS18" s="56" t="n">
        <v>5</v>
      </c>
      <c r="AT18" s="56" t="n">
        <v>6</v>
      </c>
    </row>
    <row r="19">
      <c r="A19" s="49" t="inlineStr">
        <is>
          <t>Marodeur</t>
        </is>
      </c>
      <c r="B19" s="49" t="inlineStr">
        <is>
          <t>Elfisch</t>
        </is>
      </c>
      <c r="C19" s="49" t="inlineStr">
        <is>
          <t>Gewehr</t>
        </is>
      </c>
      <c r="D19" s="49" t="inlineStr">
        <is>
          <t>Präzisionsgewehr</t>
        </is>
      </c>
      <c r="E19" s="49" t="inlineStr">
        <is>
          <t>Klapplauf</t>
        </is>
      </c>
      <c r="F19" s="49" t="inlineStr">
        <is>
          <t>Schlagbolzen</t>
        </is>
      </c>
      <c r="G19" s="49" t="inlineStr">
        <is>
          <t>Gezogen</t>
        </is>
      </c>
      <c r="H19" s="49" t="inlineStr">
        <is>
          <t>Messing Patrone</t>
        </is>
      </c>
      <c r="I19" s="49" t="inlineStr">
        <is>
          <t>Massenfabrikation</t>
        </is>
      </c>
      <c r="J19" s="49" t="inlineStr">
        <is>
          <t>Von der Stange</t>
        </is>
      </c>
      <c r="K19" s="51">
        <f>VLOOKUP(B19,'Feuerwaffen-Ressourcen'!$A$2:$AI$54,11,0)+VLOOKUP(C19,'Feuerwaffen-Ressourcen'!$A$2:$AI$54,11,0)+VLOOKUP(D19,'Feuerwaffen-Ressourcen'!$A$2:$AI$54,11,0)+VLOOKUP(E19,'Feuerwaffen-Ressourcen'!$A$2:$AI$54,11,0)+VLOOKUP(G19,'Feuerwaffen-Ressourcen'!$A$2:$AI$54,11,0)</f>
        <v/>
      </c>
      <c r="L19" s="50">
        <f>VLOOKUP(B19,'Feuerwaffen-Ressourcen'!$A$2:$AI$54,12,0)+VLOOKUP(C19,'Feuerwaffen-Ressourcen'!$A$2:$AI$54,12,0)+VLOOKUP(D19,'Feuerwaffen-Ressourcen'!$A$2:$AI$54,12,0)+VLOOKUP(J19,'Feuerwaffen-Ressourcen'!$A$2:$AI$54,12,0)</f>
        <v/>
      </c>
      <c r="M19" s="50">
        <f>VLOOKUP(VLOOKUP(B19,'Feuerwaffen-Ressourcen'!$A$2:$AI$54,13,0)+VLOOKUP(C19,'Feuerwaffen-Ressourcen'!$A$2:$AI$54,13,0)+VLOOKUP(D19,'Feuerwaffen-Ressourcen'!$A$2:$AI$54,13,0),'Feuerwaffen-Ressourcen'!$AJ$3:$AK$12,2,0)</f>
        <v/>
      </c>
      <c r="N19" s="50">
        <f>VLOOKUP(VLOOKUP(B19,'Feuerwaffen-Ressourcen'!$A$2:$AI$54,14,0)+VLOOKUP(C19,'Feuerwaffen-Ressourcen'!$A$2:$AI$54,14,0)+VLOOKUP(D19,'Feuerwaffen-Ressourcen'!$A$2:$AI$54,14,0),'Feuerwaffen-Ressourcen'!$AJ$3:$AK$12,2,0)</f>
        <v/>
      </c>
      <c r="O19" s="50">
        <f>VLOOKUP(B19,'Feuerwaffen-Ressourcen'!$A$2:$AI$54,15,0)+VLOOKUP(C19,'Feuerwaffen-Ressourcen'!$A$2:$AI$54,15,0)+VLOOKUP(D19,'Feuerwaffen-Ressourcen'!$A$2:$AI$54,15,0)</f>
        <v/>
      </c>
      <c r="P19" s="50">
        <f>VLOOKUP(B19,'Feuerwaffen-Ressourcen'!$A$2:$AI$54,16,0)+VLOOKUP(C19,'Feuerwaffen-Ressourcen'!$A$2:$AI$54,16,0)+VLOOKUP(D19,'Feuerwaffen-Ressourcen'!$A$2:$AI$54,16,0)+VLOOKUP(E19,'Feuerwaffen-Ressourcen'!$A$2:$AI$54,16,0)</f>
        <v/>
      </c>
      <c r="Q19" s="52">
        <f>VLOOKUP(B19,'Feuerwaffen-Ressourcen'!$A$2:$AI$54,17,0)+VLOOKUP(C19,'Feuerwaffen-Ressourcen'!$A$2:$AI$54,17,0)+VLOOKUP(D19,'Feuerwaffen-Ressourcen'!$A$2:$AI$54,17,0)+VLOOKUP(E19,'Feuerwaffen-Ressourcen'!$A$2:$AI$54,17,0)</f>
        <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
      </c>
      <c r="X19" s="50">
        <f>VLOOKUP(B19,'Feuerwaffen-Ressourcen'!$A$2:$AI$54,24,0)+VLOOKUP(C19,'Feuerwaffen-Ressourcen'!$A$2:$AI$54,24,0)+VLOOKUP(D19,'Feuerwaffen-Ressourcen'!$A$2:$AI$54,24,0)+VLOOKUP(G19,'Feuerwaffen-Ressourcen'!$A$2:$AI$54,24,0)</f>
        <v/>
      </c>
      <c r="Y19" s="50">
        <f>VLOOKUP(D19,'Feuerwaffen-Ressourcen'!$A$2:$AI$54,25,0)+VLOOKUP(E19,'Feuerwaffen-Ressourcen'!$A$2:$AI$54,25,0)+VLOOKUP(F19,'Feuerwaffen-Ressourcen'!$A$2:$AI$54,25,0)</f>
        <v/>
      </c>
      <c r="Z19" s="50">
        <f>VLOOKUP(E19,'Feuerwaffen-Ressourcen'!$A$2:$AI$54,26,0)</f>
        <v/>
      </c>
      <c r="AA19" s="50">
        <f>VLOOKUP(B19,'Feuerwaffen-Ressourcen'!$A$2:$AI$54,27,0)+VLOOKUP(D19,'Feuerwaffen-Ressourcen'!$A$2:$AI$54,27,0)+VLOOKUP(F19,'Feuerwaffen-Ressourcen'!$A$2:$AI$54,27,0)+VLOOKUP(I19,'Feuerwaffen-Ressourcen'!$A$2:$AI$54,27,0)</f>
        <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
      </c>
      <c r="AC19" s="53">
        <f>VLOOKUP(I19,'Feuerwaffen-Ressourcen'!$A$2:$AI$54,31,0)*AD19+AE19</f>
        <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
      </c>
      <c r="AF19" s="55">
        <f>VLOOKUP(AB19,'Feuerwaffen-Ressourcen'!$AO$3:$AP$9,2,1)</f>
        <v/>
      </c>
      <c r="AG19" s="55" t="n">
        <v>0</v>
      </c>
      <c r="AH19" s="28" t="inlineStr">
        <is>
          <t>Stangenwaffen</t>
        </is>
      </c>
      <c r="AI19" s="28" t="inlineStr">
        <is>
          <t>Improvisierte Stangenwaffen</t>
        </is>
      </c>
      <c r="AJ19" s="56" t="n">
        <v>3</v>
      </c>
      <c r="AK19" s="56" t="inlineStr">
        <is>
          <t>W8</t>
        </is>
      </c>
      <c r="AL19" s="56" t="inlineStr">
        <is>
          <t>W4</t>
        </is>
      </c>
      <c r="AM19" s="56" t="n">
        <v>3</v>
      </c>
      <c r="AN19" s="56" t="n">
        <v>5</v>
      </c>
      <c r="AO19" s="56" t="n">
        <v>4</v>
      </c>
      <c r="AP19" s="56" t="n">
        <v>4</v>
      </c>
      <c r="AQ19" s="56" t="n">
        <v>10</v>
      </c>
      <c r="AR19" s="56" t="n">
        <v>10</v>
      </c>
      <c r="AS19" s="56" t="n">
        <v>5</v>
      </c>
      <c r="AT19" s="56" t="n">
        <v>6</v>
      </c>
    </row>
    <row r="20">
      <c r="A20" s="49" t="inlineStr">
        <is>
          <t>Minas</t>
        </is>
      </c>
      <c r="B20" s="49" t="inlineStr">
        <is>
          <t>Elfisch</t>
        </is>
      </c>
      <c r="C20" s="49" t="inlineStr">
        <is>
          <t>Gewehr</t>
        </is>
      </c>
      <c r="D20" s="49" t="inlineStr">
        <is>
          <t>Jagd</t>
        </is>
      </c>
      <c r="E20" s="49" t="inlineStr">
        <is>
          <t>Klapplauf</t>
        </is>
      </c>
      <c r="F20" s="49" t="inlineStr">
        <is>
          <t>Schlagbolzen</t>
        </is>
      </c>
      <c r="G20" s="49" t="inlineStr">
        <is>
          <t>Gezogen</t>
        </is>
      </c>
      <c r="H20" s="49" t="inlineStr">
        <is>
          <t>Messing Patrone</t>
        </is>
      </c>
      <c r="I20" s="49" t="inlineStr">
        <is>
          <t>Massenfabrikation</t>
        </is>
      </c>
      <c r="J20" s="49" t="inlineStr">
        <is>
          <t>Von der Stange</t>
        </is>
      </c>
      <c r="K20" s="51">
        <f>VLOOKUP(B20,'Feuerwaffen-Ressourcen'!$A$2:$AI$54,11,0)+VLOOKUP(C20,'Feuerwaffen-Ressourcen'!$A$2:$AI$54,11,0)+VLOOKUP(D20,'Feuerwaffen-Ressourcen'!$A$2:$AI$54,11,0)+VLOOKUP(E20,'Feuerwaffen-Ressourcen'!$A$2:$AI$54,11,0)+VLOOKUP(G20,'Feuerwaffen-Ressourcen'!$A$2:$AI$54,11,0)</f>
        <v/>
      </c>
      <c r="L20" s="50">
        <f>VLOOKUP(B20,'Feuerwaffen-Ressourcen'!$A$2:$AI$54,12,0)+VLOOKUP(C20,'Feuerwaffen-Ressourcen'!$A$2:$AI$54,12,0)+VLOOKUP(D20,'Feuerwaffen-Ressourcen'!$A$2:$AI$54,12,0)+VLOOKUP(J20,'Feuerwaffen-Ressourcen'!$A$2:$AI$54,12,0)</f>
        <v/>
      </c>
      <c r="M20" s="50">
        <f>VLOOKUP(VLOOKUP(B20,'Feuerwaffen-Ressourcen'!$A$2:$AI$54,13,0)+VLOOKUP(C20,'Feuerwaffen-Ressourcen'!$A$2:$AI$54,13,0)+VLOOKUP(D20,'Feuerwaffen-Ressourcen'!$A$2:$AI$54,13,0),'Feuerwaffen-Ressourcen'!$AJ$3:$AK$12,2,0)</f>
        <v/>
      </c>
      <c r="N20" s="50">
        <f>VLOOKUP(VLOOKUP(B20,'Feuerwaffen-Ressourcen'!$A$2:$AI$54,14,0)+VLOOKUP(C20,'Feuerwaffen-Ressourcen'!$A$2:$AI$54,14,0)+VLOOKUP(D20,'Feuerwaffen-Ressourcen'!$A$2:$AI$54,14,0),'Feuerwaffen-Ressourcen'!$AJ$3:$AK$12,2,0)</f>
        <v/>
      </c>
      <c r="O20" s="50">
        <f>VLOOKUP(B20,'Feuerwaffen-Ressourcen'!$A$2:$AI$54,15,0)+VLOOKUP(C20,'Feuerwaffen-Ressourcen'!$A$2:$AI$54,15,0)+VLOOKUP(D20,'Feuerwaffen-Ressourcen'!$A$2:$AI$54,15,0)</f>
        <v/>
      </c>
      <c r="P20" s="50">
        <f>VLOOKUP(B20,'Feuerwaffen-Ressourcen'!$A$2:$AI$54,16,0)+VLOOKUP(C20,'Feuerwaffen-Ressourcen'!$A$2:$AI$54,16,0)+VLOOKUP(D20,'Feuerwaffen-Ressourcen'!$A$2:$AI$54,16,0)+VLOOKUP(E20,'Feuerwaffen-Ressourcen'!$A$2:$AI$54,16,0)</f>
        <v/>
      </c>
      <c r="Q20" s="52">
        <f>VLOOKUP(B20,'Feuerwaffen-Ressourcen'!$A$2:$AI$54,17,0)+VLOOKUP(C20,'Feuerwaffen-Ressourcen'!$A$2:$AI$54,17,0)+VLOOKUP(D20,'Feuerwaffen-Ressourcen'!$A$2:$AI$54,17,0)+VLOOKUP(E20,'Feuerwaffen-Ressourcen'!$A$2:$AI$54,17,0)</f>
        <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
      </c>
      <c r="X20" s="50">
        <f>VLOOKUP(B20,'Feuerwaffen-Ressourcen'!$A$2:$AI$54,24,0)+VLOOKUP(C20,'Feuerwaffen-Ressourcen'!$A$2:$AI$54,24,0)+VLOOKUP(D20,'Feuerwaffen-Ressourcen'!$A$2:$AI$54,24,0)+VLOOKUP(G20,'Feuerwaffen-Ressourcen'!$A$2:$AI$54,24,0)</f>
        <v/>
      </c>
      <c r="Y20" s="50">
        <f>VLOOKUP(D20,'Feuerwaffen-Ressourcen'!$A$2:$AI$54,25,0)+VLOOKUP(E20,'Feuerwaffen-Ressourcen'!$A$2:$AI$54,25,0)+VLOOKUP(F20,'Feuerwaffen-Ressourcen'!$A$2:$AI$54,25,0)</f>
        <v/>
      </c>
      <c r="Z20" s="50">
        <f>VLOOKUP(E20,'Feuerwaffen-Ressourcen'!$A$2:$AI$54,26,0)</f>
        <v/>
      </c>
      <c r="AA20" s="50">
        <f>VLOOKUP(B20,'Feuerwaffen-Ressourcen'!$A$2:$AI$54,27,0)+VLOOKUP(D20,'Feuerwaffen-Ressourcen'!$A$2:$AI$54,27,0)+VLOOKUP(F20,'Feuerwaffen-Ressourcen'!$A$2:$AI$54,27,0)+VLOOKUP(I20,'Feuerwaffen-Ressourcen'!$A$2:$AI$54,27,0)</f>
        <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
      </c>
      <c r="AC20" s="53">
        <f>VLOOKUP(I20,'Feuerwaffen-Ressourcen'!$A$2:$AI$54,31,0)*AD20+AE20</f>
        <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
      </c>
      <c r="AF20" s="55">
        <f>VLOOKUP(AB20,'Feuerwaffen-Ressourcen'!$AO$3:$AP$9,2,1)</f>
        <v/>
      </c>
      <c r="AG20" s="55" t="n">
        <v>0</v>
      </c>
      <c r="AH20" s="28" t="inlineStr">
        <is>
          <t>Stangenwaffen</t>
        </is>
      </c>
      <c r="AI20" s="28" t="inlineStr">
        <is>
          <t>Improvisierte Stangenwaffen</t>
        </is>
      </c>
      <c r="AJ20" s="56" t="n">
        <v>3</v>
      </c>
      <c r="AK20" s="56" t="inlineStr">
        <is>
          <t>W8</t>
        </is>
      </c>
      <c r="AL20" s="56" t="inlineStr">
        <is>
          <t>W4</t>
        </is>
      </c>
      <c r="AM20" s="56" t="n">
        <v>3</v>
      </c>
      <c r="AN20" s="56" t="n">
        <v>5</v>
      </c>
      <c r="AO20" s="56" t="n">
        <v>4</v>
      </c>
      <c r="AP20" s="56" t="n">
        <v>4</v>
      </c>
      <c r="AQ20" s="56" t="n">
        <v>10</v>
      </c>
      <c r="AR20" s="56" t="n">
        <v>10</v>
      </c>
      <c r="AS20" s="56" t="n">
        <v>5</v>
      </c>
      <c r="AT20" s="56" t="n">
        <v>6</v>
      </c>
    </row>
    <row r="21">
      <c r="A21" s="49" t="inlineStr">
        <is>
          <t>Seriemas</t>
        </is>
      </c>
      <c r="B21" s="49" t="inlineStr">
        <is>
          <t>Elfisch</t>
        </is>
      </c>
      <c r="C21" s="49" t="inlineStr">
        <is>
          <t>Gewehr</t>
        </is>
      </c>
      <c r="D21" s="49" t="inlineStr">
        <is>
          <t>Karabiner VL</t>
        </is>
      </c>
      <c r="E21" s="49" t="inlineStr">
        <is>
          <t>Vorderlader</t>
        </is>
      </c>
      <c r="F21" s="49" t="inlineStr">
        <is>
          <t>Perkussionsschloss</t>
        </is>
      </c>
      <c r="G21" s="49" t="inlineStr">
        <is>
          <t>Gezogen</t>
        </is>
      </c>
      <c r="H21" s="49" t="inlineStr">
        <is>
          <t>Blei</t>
        </is>
      </c>
      <c r="I21" s="49" t="inlineStr">
        <is>
          <t>Massenfabrikation</t>
        </is>
      </c>
      <c r="J21" s="49" t="inlineStr">
        <is>
          <t>Von der Stange</t>
        </is>
      </c>
      <c r="K21" s="51">
        <f>VLOOKUP(B21,'Feuerwaffen-Ressourcen'!$A$2:$AI$54,11,0)+VLOOKUP(C21,'Feuerwaffen-Ressourcen'!$A$2:$AI$54,11,0)+VLOOKUP(D21,'Feuerwaffen-Ressourcen'!$A$2:$AI$54,11,0)+VLOOKUP(E21,'Feuerwaffen-Ressourcen'!$A$2:$AI$54,11,0)+VLOOKUP(G21,'Feuerwaffen-Ressourcen'!$A$2:$AI$54,11,0)</f>
        <v/>
      </c>
      <c r="L21" s="50">
        <f>VLOOKUP(B21,'Feuerwaffen-Ressourcen'!$A$2:$AI$54,12,0)+VLOOKUP(C21,'Feuerwaffen-Ressourcen'!$A$2:$AI$54,12,0)+VLOOKUP(D21,'Feuerwaffen-Ressourcen'!$A$2:$AI$54,12,0)+VLOOKUP(J21,'Feuerwaffen-Ressourcen'!$A$2:$AI$54,12,0)</f>
        <v/>
      </c>
      <c r="M21" s="50">
        <f>VLOOKUP(VLOOKUP(B21,'Feuerwaffen-Ressourcen'!$A$2:$AI$54,13,0)+VLOOKUP(C21,'Feuerwaffen-Ressourcen'!$A$2:$AI$54,13,0)+VLOOKUP(D21,'Feuerwaffen-Ressourcen'!$A$2:$AI$54,13,0),'Feuerwaffen-Ressourcen'!$AJ$3:$AK$12,2,0)</f>
        <v/>
      </c>
      <c r="N21" s="50">
        <f>VLOOKUP(VLOOKUP(B21,'Feuerwaffen-Ressourcen'!$A$2:$AI$54,14,0)+VLOOKUP(C21,'Feuerwaffen-Ressourcen'!$A$2:$AI$54,14,0)+VLOOKUP(D21,'Feuerwaffen-Ressourcen'!$A$2:$AI$54,14,0),'Feuerwaffen-Ressourcen'!$AJ$3:$AK$12,2,0)</f>
        <v/>
      </c>
      <c r="O21" s="50">
        <f>VLOOKUP(B21,'Feuerwaffen-Ressourcen'!$A$2:$AI$54,15,0)+VLOOKUP(C21,'Feuerwaffen-Ressourcen'!$A$2:$AI$54,15,0)+VLOOKUP(D21,'Feuerwaffen-Ressourcen'!$A$2:$AI$54,15,0)</f>
        <v/>
      </c>
      <c r="P21" s="50">
        <f>VLOOKUP(B21,'Feuerwaffen-Ressourcen'!$A$2:$AI$54,16,0)+VLOOKUP(C21,'Feuerwaffen-Ressourcen'!$A$2:$AI$54,16,0)+VLOOKUP(D21,'Feuerwaffen-Ressourcen'!$A$2:$AI$54,16,0)+VLOOKUP(E21,'Feuerwaffen-Ressourcen'!$A$2:$AI$54,16,0)</f>
        <v/>
      </c>
      <c r="Q21" s="52">
        <f>VLOOKUP(B21,'Feuerwaffen-Ressourcen'!$A$2:$AI$54,17,0)+VLOOKUP(C21,'Feuerwaffen-Ressourcen'!$A$2:$AI$54,17,0)+VLOOKUP(D21,'Feuerwaffen-Ressourcen'!$A$2:$AI$54,17,0)+VLOOKUP(E21,'Feuerwaffen-Ressourcen'!$A$2:$AI$54,17,0)</f>
        <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
      </c>
      <c r="X21" s="50">
        <f>VLOOKUP(B21,'Feuerwaffen-Ressourcen'!$A$2:$AI$54,24,0)+VLOOKUP(C21,'Feuerwaffen-Ressourcen'!$A$2:$AI$54,24,0)+VLOOKUP(D21,'Feuerwaffen-Ressourcen'!$A$2:$AI$54,24,0)+VLOOKUP(G21,'Feuerwaffen-Ressourcen'!$A$2:$AI$54,24,0)</f>
        <v/>
      </c>
      <c r="Y21" s="50">
        <f>VLOOKUP(D21,'Feuerwaffen-Ressourcen'!$A$2:$AI$54,25,0)+VLOOKUP(E21,'Feuerwaffen-Ressourcen'!$A$2:$AI$54,25,0)+VLOOKUP(F21,'Feuerwaffen-Ressourcen'!$A$2:$AI$54,25,0)</f>
        <v/>
      </c>
      <c r="Z21" s="50">
        <f>VLOOKUP(E21,'Feuerwaffen-Ressourcen'!$A$2:$AI$54,26,0)</f>
        <v/>
      </c>
      <c r="AA21" s="50">
        <f>VLOOKUP(B21,'Feuerwaffen-Ressourcen'!$A$2:$AI$54,27,0)+VLOOKUP(D21,'Feuerwaffen-Ressourcen'!$A$2:$AI$54,27,0)+VLOOKUP(F21,'Feuerwaffen-Ressourcen'!$A$2:$AI$54,27,0)+VLOOKUP(I21,'Feuerwaffen-Ressourcen'!$A$2:$AI$54,27,0)</f>
        <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
      </c>
      <c r="AC21" s="53">
        <f>VLOOKUP(I21,'Feuerwaffen-Ressourcen'!$A$2:$AI$54,31,0)*AD21+AE21</f>
        <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
      </c>
      <c r="AF21" s="55">
        <f>VLOOKUP(AB21,'Feuerwaffen-Ressourcen'!$AO$3:$AP$9,2,1)</f>
        <v/>
      </c>
      <c r="AG21" s="55" t="n">
        <v>0</v>
      </c>
      <c r="AH21" s="28" t="inlineStr">
        <is>
          <t>Stangenwaffen</t>
        </is>
      </c>
      <c r="AI21" s="28" t="inlineStr">
        <is>
          <t>Improvisierte Stangenwaffen</t>
        </is>
      </c>
      <c r="AJ21" s="56" t="n">
        <v>3</v>
      </c>
      <c r="AK21" s="56" t="inlineStr">
        <is>
          <t>W8</t>
        </is>
      </c>
      <c r="AL21" s="56" t="inlineStr">
        <is>
          <t>W4</t>
        </is>
      </c>
      <c r="AM21" s="56" t="n">
        <v>3</v>
      </c>
      <c r="AN21" s="56" t="n">
        <v>5</v>
      </c>
      <c r="AO21" s="56" t="n">
        <v>4</v>
      </c>
      <c r="AP21" s="56" t="n">
        <v>4</v>
      </c>
      <c r="AQ21" s="56" t="n">
        <v>9</v>
      </c>
      <c r="AR21" s="56" t="n">
        <v>9</v>
      </c>
      <c r="AS21" s="56" t="n">
        <v>5</v>
      </c>
      <c r="AT21" s="56" t="n">
        <v>6</v>
      </c>
    </row>
    <row r="22">
      <c r="A22" s="49" t="inlineStr">
        <is>
          <t>Blitz</t>
        </is>
      </c>
      <c r="B22" s="49" t="inlineStr">
        <is>
          <t>Elfisch</t>
        </is>
      </c>
      <c r="C22" s="49" t="inlineStr">
        <is>
          <t>Pistole</t>
        </is>
      </c>
      <c r="D22" s="49" t="inlineStr">
        <is>
          <t>Normal P</t>
        </is>
      </c>
      <c r="E22" s="49" t="inlineStr">
        <is>
          <t>Klapplauf</t>
        </is>
      </c>
      <c r="F22" s="49" t="inlineStr">
        <is>
          <t>Schlagbolzen</t>
        </is>
      </c>
      <c r="G22" s="49" t="inlineStr">
        <is>
          <t>Gezogen</t>
        </is>
      </c>
      <c r="H22" s="49" t="inlineStr">
        <is>
          <t>Messing Patrone</t>
        </is>
      </c>
      <c r="I22" s="49" t="inlineStr">
        <is>
          <t>Massenfabrikation</t>
        </is>
      </c>
      <c r="J22" s="49" t="inlineStr">
        <is>
          <t>Von der Stange</t>
        </is>
      </c>
      <c r="K22" s="51">
        <f>VLOOKUP(B22,'Feuerwaffen-Ressourcen'!$A$2:$AI$54,11,0)+VLOOKUP(C22,'Feuerwaffen-Ressourcen'!$A$2:$AI$54,11,0)+VLOOKUP(D22,'Feuerwaffen-Ressourcen'!$A$2:$AI$54,11,0)+VLOOKUP(E22,'Feuerwaffen-Ressourcen'!$A$2:$AI$54,11,0)+VLOOKUP(G22,'Feuerwaffen-Ressourcen'!$A$2:$AI$54,11,0)</f>
        <v/>
      </c>
      <c r="L22" s="50">
        <f>VLOOKUP(B22,'Feuerwaffen-Ressourcen'!$A$2:$AI$54,12,0)+VLOOKUP(C22,'Feuerwaffen-Ressourcen'!$A$2:$AI$54,12,0)+VLOOKUP(D22,'Feuerwaffen-Ressourcen'!$A$2:$AI$54,12,0)+VLOOKUP(J22,'Feuerwaffen-Ressourcen'!$A$2:$AI$54,12,0)</f>
        <v/>
      </c>
      <c r="M22" s="50">
        <f>VLOOKUP(VLOOKUP(B22,'Feuerwaffen-Ressourcen'!$A$2:$AI$54,13,0)+VLOOKUP(C22,'Feuerwaffen-Ressourcen'!$A$2:$AI$54,13,0)+VLOOKUP(D22,'Feuerwaffen-Ressourcen'!$A$2:$AI$54,13,0),'Feuerwaffen-Ressourcen'!$AJ$3:$AK$12,2,0)</f>
        <v/>
      </c>
      <c r="N22" s="50">
        <f>VLOOKUP(VLOOKUP(B22,'Feuerwaffen-Ressourcen'!$A$2:$AI$54,14,0)+VLOOKUP(C22,'Feuerwaffen-Ressourcen'!$A$2:$AI$54,14,0)+VLOOKUP(D22,'Feuerwaffen-Ressourcen'!$A$2:$AI$54,14,0),'Feuerwaffen-Ressourcen'!$AJ$3:$AK$12,2,0)</f>
        <v/>
      </c>
      <c r="O22" s="50">
        <f>VLOOKUP(B22,'Feuerwaffen-Ressourcen'!$A$2:$AI$54,15,0)+VLOOKUP(C22,'Feuerwaffen-Ressourcen'!$A$2:$AI$54,15,0)+VLOOKUP(D22,'Feuerwaffen-Ressourcen'!$A$2:$AI$54,15,0)</f>
        <v/>
      </c>
      <c r="P22" s="50">
        <f>VLOOKUP(B22,'Feuerwaffen-Ressourcen'!$A$2:$AI$54,16,0)+VLOOKUP(C22,'Feuerwaffen-Ressourcen'!$A$2:$AI$54,16,0)+VLOOKUP(D22,'Feuerwaffen-Ressourcen'!$A$2:$AI$54,16,0)+VLOOKUP(E22,'Feuerwaffen-Ressourcen'!$A$2:$AI$54,16,0)</f>
        <v/>
      </c>
      <c r="Q22" s="52">
        <f>VLOOKUP(B22,'Feuerwaffen-Ressourcen'!$A$2:$AI$54,17,0)+VLOOKUP(C22,'Feuerwaffen-Ressourcen'!$A$2:$AI$54,17,0)+VLOOKUP(D22,'Feuerwaffen-Ressourcen'!$A$2:$AI$54,17,0)+VLOOKUP(E22,'Feuerwaffen-Ressourcen'!$A$2:$AI$54,17,0)</f>
        <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
      </c>
      <c r="X22" s="50">
        <f>VLOOKUP(B22,'Feuerwaffen-Ressourcen'!$A$2:$AI$54,24,0)+VLOOKUP(C22,'Feuerwaffen-Ressourcen'!$A$2:$AI$54,24,0)+VLOOKUP(D22,'Feuerwaffen-Ressourcen'!$A$2:$AI$54,24,0)+VLOOKUP(G22,'Feuerwaffen-Ressourcen'!$A$2:$AI$54,24,0)</f>
        <v/>
      </c>
      <c r="Y22" s="50">
        <f>VLOOKUP(D22,'Feuerwaffen-Ressourcen'!$A$2:$AI$54,25,0)+VLOOKUP(E22,'Feuerwaffen-Ressourcen'!$A$2:$AI$54,25,0)+VLOOKUP(F22,'Feuerwaffen-Ressourcen'!$A$2:$AI$54,25,0)</f>
        <v/>
      </c>
      <c r="Z22" s="50">
        <f>VLOOKUP(E22,'Feuerwaffen-Ressourcen'!$A$2:$AI$54,26,0)</f>
        <v/>
      </c>
      <c r="AA22" s="50">
        <f>VLOOKUP(B22,'Feuerwaffen-Ressourcen'!$A$2:$AI$54,27,0)+VLOOKUP(D22,'Feuerwaffen-Ressourcen'!$A$2:$AI$54,27,0)+VLOOKUP(F22,'Feuerwaffen-Ressourcen'!$A$2:$AI$54,27,0)+VLOOKUP(I22,'Feuerwaffen-Ressourcen'!$A$2:$AI$54,27,0)</f>
        <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
      </c>
      <c r="AC22" s="53">
        <f>VLOOKUP(I22,'Feuerwaffen-Ressourcen'!$A$2:$AI$54,31,0)*AD22+AE22</f>
        <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
      </c>
      <c r="AF22" s="55">
        <f>VLOOKUP(AB22,'Feuerwaffen-Ressourcen'!$AO$3:$AP$9,2,1)</f>
        <v/>
      </c>
      <c r="AG22" s="55" t="n">
        <v>0</v>
      </c>
      <c r="AH22" s="28" t="inlineStr">
        <is>
          <t>Hiebwaffen</t>
        </is>
      </c>
      <c r="AI22" s="28" t="inlineStr">
        <is>
          <t>Improvisierte Hiebwaffen</t>
        </is>
      </c>
      <c r="AJ22" s="56" t="n">
        <v>1.5</v>
      </c>
      <c r="AK22" s="56" t="inlineStr">
        <is>
          <t>W8</t>
        </is>
      </c>
      <c r="AL22" s="56" t="inlineStr">
        <is>
          <t>-</t>
        </is>
      </c>
      <c r="AM22" s="56" t="n">
        <v>3</v>
      </c>
      <c r="AN22" s="56" t="n">
        <v>5</v>
      </c>
      <c r="AO22" s="56" t="n">
        <v>-2</v>
      </c>
      <c r="AP22" s="56" t="n">
        <v>-7</v>
      </c>
      <c r="AQ22" s="56" t="n">
        <v>7</v>
      </c>
      <c r="AR22" s="56" t="inlineStr">
        <is>
          <t>-</t>
        </is>
      </c>
      <c r="AS22" s="56" t="n">
        <v>2</v>
      </c>
      <c r="AT22" s="56" t="n">
        <v>10</v>
      </c>
    </row>
    <row r="23">
      <c r="A23" s="49" t="inlineStr">
        <is>
          <t>Falke</t>
        </is>
      </c>
      <c r="B23" s="49" t="inlineStr">
        <is>
          <t>Elfisch</t>
        </is>
      </c>
      <c r="C23" s="49" t="inlineStr">
        <is>
          <t>Pistole</t>
        </is>
      </c>
      <c r="D23" s="49" t="inlineStr">
        <is>
          <t>Langlauf</t>
        </is>
      </c>
      <c r="E23" s="49" t="inlineStr">
        <is>
          <t>Vorderlader</t>
        </is>
      </c>
      <c r="F23" s="49" t="inlineStr">
        <is>
          <t>Radschloss</t>
        </is>
      </c>
      <c r="G23" s="49" t="inlineStr">
        <is>
          <t>Gezogen</t>
        </is>
      </c>
      <c r="H23" s="49" t="inlineStr">
        <is>
          <t>Blei</t>
        </is>
      </c>
      <c r="I23" s="49" t="inlineStr">
        <is>
          <t>Massenfabrikation</t>
        </is>
      </c>
      <c r="J23" s="49" t="inlineStr">
        <is>
          <t>Von der Stange</t>
        </is>
      </c>
      <c r="K23" s="51">
        <f>VLOOKUP(B23,'Feuerwaffen-Ressourcen'!$A$2:$AI$54,11,0)+VLOOKUP(C23,'Feuerwaffen-Ressourcen'!$A$2:$AI$54,11,0)+VLOOKUP(D23,'Feuerwaffen-Ressourcen'!$A$2:$AI$54,11,0)+VLOOKUP(E23,'Feuerwaffen-Ressourcen'!$A$2:$AI$54,11,0)+VLOOKUP(G23,'Feuerwaffen-Ressourcen'!$A$2:$AI$54,11,0)</f>
        <v/>
      </c>
      <c r="L23" s="50">
        <f>VLOOKUP(B23,'Feuerwaffen-Ressourcen'!$A$2:$AI$54,12,0)+VLOOKUP(C23,'Feuerwaffen-Ressourcen'!$A$2:$AI$54,12,0)+VLOOKUP(D23,'Feuerwaffen-Ressourcen'!$A$2:$AI$54,12,0)+VLOOKUP(J23,'Feuerwaffen-Ressourcen'!$A$2:$AI$54,12,0)</f>
        <v/>
      </c>
      <c r="M23" s="50">
        <f>VLOOKUP(VLOOKUP(B23,'Feuerwaffen-Ressourcen'!$A$2:$AI$54,13,0)+VLOOKUP(C23,'Feuerwaffen-Ressourcen'!$A$2:$AI$54,13,0)+VLOOKUP(D23,'Feuerwaffen-Ressourcen'!$A$2:$AI$54,13,0),'Feuerwaffen-Ressourcen'!$AJ$3:$AK$12,2,0)</f>
        <v/>
      </c>
      <c r="N23" s="50">
        <f>VLOOKUP(VLOOKUP(B23,'Feuerwaffen-Ressourcen'!$A$2:$AI$54,14,0)+VLOOKUP(C23,'Feuerwaffen-Ressourcen'!$A$2:$AI$54,14,0)+VLOOKUP(D23,'Feuerwaffen-Ressourcen'!$A$2:$AI$54,14,0),'Feuerwaffen-Ressourcen'!$AJ$3:$AK$12,2,0)</f>
        <v/>
      </c>
      <c r="O23" s="50">
        <f>VLOOKUP(B23,'Feuerwaffen-Ressourcen'!$A$2:$AI$54,15,0)+VLOOKUP(C23,'Feuerwaffen-Ressourcen'!$A$2:$AI$54,15,0)+VLOOKUP(D23,'Feuerwaffen-Ressourcen'!$A$2:$AI$54,15,0)</f>
        <v/>
      </c>
      <c r="P23" s="50">
        <f>VLOOKUP(B23,'Feuerwaffen-Ressourcen'!$A$2:$AI$54,16,0)+VLOOKUP(C23,'Feuerwaffen-Ressourcen'!$A$2:$AI$54,16,0)+VLOOKUP(D23,'Feuerwaffen-Ressourcen'!$A$2:$AI$54,16,0)+VLOOKUP(E23,'Feuerwaffen-Ressourcen'!$A$2:$AI$54,16,0)</f>
        <v/>
      </c>
      <c r="Q23" s="52">
        <f>VLOOKUP(B23,'Feuerwaffen-Ressourcen'!$A$2:$AI$54,17,0)+VLOOKUP(C23,'Feuerwaffen-Ressourcen'!$A$2:$AI$54,17,0)+VLOOKUP(D23,'Feuerwaffen-Ressourcen'!$A$2:$AI$54,17,0)+VLOOKUP(E23,'Feuerwaffen-Ressourcen'!$A$2:$AI$54,17,0)</f>
        <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
      </c>
      <c r="X23" s="50">
        <f>VLOOKUP(B23,'Feuerwaffen-Ressourcen'!$A$2:$AI$54,24,0)+VLOOKUP(C23,'Feuerwaffen-Ressourcen'!$A$2:$AI$54,24,0)+VLOOKUP(D23,'Feuerwaffen-Ressourcen'!$A$2:$AI$54,24,0)+VLOOKUP(G23,'Feuerwaffen-Ressourcen'!$A$2:$AI$54,24,0)</f>
        <v/>
      </c>
      <c r="Y23" s="50">
        <f>VLOOKUP(D23,'Feuerwaffen-Ressourcen'!$A$2:$AI$54,25,0)+VLOOKUP(E23,'Feuerwaffen-Ressourcen'!$A$2:$AI$54,25,0)+VLOOKUP(F23,'Feuerwaffen-Ressourcen'!$A$2:$AI$54,25,0)</f>
        <v/>
      </c>
      <c r="Z23" s="50">
        <f>VLOOKUP(E23,'Feuerwaffen-Ressourcen'!$A$2:$AI$54,26,0)</f>
        <v/>
      </c>
      <c r="AA23" s="50">
        <f>VLOOKUP(B23,'Feuerwaffen-Ressourcen'!$A$2:$AI$54,27,0)+VLOOKUP(D23,'Feuerwaffen-Ressourcen'!$A$2:$AI$54,27,0)+VLOOKUP(F23,'Feuerwaffen-Ressourcen'!$A$2:$AI$54,27,0)+VLOOKUP(I23,'Feuerwaffen-Ressourcen'!$A$2:$AI$54,27,0)</f>
        <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
      </c>
      <c r="AC23" s="53">
        <f>VLOOKUP(I23,'Feuerwaffen-Ressourcen'!$A$2:$AI$54,31,0)*AD23+AE23</f>
        <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
      </c>
      <c r="AF23" s="55">
        <f>VLOOKUP(AB23,'Feuerwaffen-Ressourcen'!$AO$3:$AP$9,2,1)</f>
        <v/>
      </c>
      <c r="AG23" s="55" t="n">
        <v>0</v>
      </c>
      <c r="AH23" s="28" t="inlineStr">
        <is>
          <t>Hiebwaffen</t>
        </is>
      </c>
      <c r="AI23" s="28" t="inlineStr">
        <is>
          <t>Improvisierte Hiebwaffen</t>
        </is>
      </c>
      <c r="AJ23" s="56" t="n">
        <v>1.5</v>
      </c>
      <c r="AK23" s="56" t="inlineStr">
        <is>
          <t>W8</t>
        </is>
      </c>
      <c r="AL23" s="56" t="inlineStr">
        <is>
          <t>-</t>
        </is>
      </c>
      <c r="AM23" s="56" t="n">
        <v>3</v>
      </c>
      <c r="AN23" s="56" t="n">
        <v>5</v>
      </c>
      <c r="AO23" s="56" t="n">
        <v>-2</v>
      </c>
      <c r="AP23" s="56" t="n">
        <v>-7</v>
      </c>
      <c r="AQ23" s="56" t="n">
        <v>7</v>
      </c>
      <c r="AR23" s="56" t="inlineStr">
        <is>
          <t>-</t>
        </is>
      </c>
      <c r="AS23" s="56" t="n">
        <v>2</v>
      </c>
      <c r="AT23" s="56" t="n">
        <v>10</v>
      </c>
    </row>
    <row r="24">
      <c r="A24" s="49" t="inlineStr">
        <is>
          <t>Schantie</t>
        </is>
      </c>
      <c r="B24" s="49" t="inlineStr">
        <is>
          <t>Elfisch</t>
        </is>
      </c>
      <c r="C24" s="49" t="inlineStr">
        <is>
          <t>Pistole</t>
        </is>
      </c>
      <c r="D24" s="49" t="inlineStr">
        <is>
          <t>Langlauf</t>
        </is>
      </c>
      <c r="E24" s="49" t="inlineStr">
        <is>
          <t>Klapplauf</t>
        </is>
      </c>
      <c r="F24" s="49" t="inlineStr">
        <is>
          <t>Schlagbolzen</t>
        </is>
      </c>
      <c r="G24" s="49" t="inlineStr">
        <is>
          <t>Gezogen</t>
        </is>
      </c>
      <c r="H24" s="49" t="inlineStr">
        <is>
          <t>Messing Patrone</t>
        </is>
      </c>
      <c r="I24" s="49" t="inlineStr">
        <is>
          <t>Massenfabrikation</t>
        </is>
      </c>
      <c r="J24" s="49" t="inlineStr">
        <is>
          <t>Von der Stange</t>
        </is>
      </c>
      <c r="K24" s="51">
        <f>VLOOKUP(B24,'Feuerwaffen-Ressourcen'!$A$2:$AI$54,11,0)+VLOOKUP(C24,'Feuerwaffen-Ressourcen'!$A$2:$AI$54,11,0)+VLOOKUP(D24,'Feuerwaffen-Ressourcen'!$A$2:$AI$54,11,0)+VLOOKUP(E24,'Feuerwaffen-Ressourcen'!$A$2:$AI$54,11,0)+VLOOKUP(G24,'Feuerwaffen-Ressourcen'!$A$2:$AI$54,11,0)</f>
        <v/>
      </c>
      <c r="L24" s="50">
        <f>VLOOKUP(B24,'Feuerwaffen-Ressourcen'!$A$2:$AI$54,12,0)+VLOOKUP(C24,'Feuerwaffen-Ressourcen'!$A$2:$AI$54,12,0)+VLOOKUP(D24,'Feuerwaffen-Ressourcen'!$A$2:$AI$54,12,0)+VLOOKUP(J24,'Feuerwaffen-Ressourcen'!$A$2:$AI$54,12,0)</f>
        <v/>
      </c>
      <c r="M24" s="50">
        <f>VLOOKUP(VLOOKUP(B24,'Feuerwaffen-Ressourcen'!$A$2:$AI$54,13,0)+VLOOKUP(C24,'Feuerwaffen-Ressourcen'!$A$2:$AI$54,13,0)+VLOOKUP(D24,'Feuerwaffen-Ressourcen'!$A$2:$AI$54,13,0),'Feuerwaffen-Ressourcen'!$AJ$3:$AK$12,2,0)</f>
        <v/>
      </c>
      <c r="N24" s="50">
        <f>VLOOKUP(VLOOKUP(B24,'Feuerwaffen-Ressourcen'!$A$2:$AI$54,14,0)+VLOOKUP(C24,'Feuerwaffen-Ressourcen'!$A$2:$AI$54,14,0)+VLOOKUP(D24,'Feuerwaffen-Ressourcen'!$A$2:$AI$54,14,0),'Feuerwaffen-Ressourcen'!$AJ$3:$AK$12,2,0)</f>
        <v/>
      </c>
      <c r="O24" s="50">
        <f>VLOOKUP(B24,'Feuerwaffen-Ressourcen'!$A$2:$AI$54,15,0)+VLOOKUP(C24,'Feuerwaffen-Ressourcen'!$A$2:$AI$54,15,0)+VLOOKUP(D24,'Feuerwaffen-Ressourcen'!$A$2:$AI$54,15,0)</f>
        <v/>
      </c>
      <c r="P24" s="50">
        <f>VLOOKUP(B24,'Feuerwaffen-Ressourcen'!$A$2:$AI$54,16,0)+VLOOKUP(C24,'Feuerwaffen-Ressourcen'!$A$2:$AI$54,16,0)+VLOOKUP(D24,'Feuerwaffen-Ressourcen'!$A$2:$AI$54,16,0)+VLOOKUP(E24,'Feuerwaffen-Ressourcen'!$A$2:$AI$54,16,0)</f>
        <v/>
      </c>
      <c r="Q24" s="52">
        <f>VLOOKUP(B24,'Feuerwaffen-Ressourcen'!$A$2:$AI$54,17,0)+VLOOKUP(C24,'Feuerwaffen-Ressourcen'!$A$2:$AI$54,17,0)+VLOOKUP(D24,'Feuerwaffen-Ressourcen'!$A$2:$AI$54,17,0)+VLOOKUP(E24,'Feuerwaffen-Ressourcen'!$A$2:$AI$54,17,0)</f>
        <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
      </c>
      <c r="X24" s="50">
        <f>VLOOKUP(B24,'Feuerwaffen-Ressourcen'!$A$2:$AI$54,24,0)+VLOOKUP(C24,'Feuerwaffen-Ressourcen'!$A$2:$AI$54,24,0)+VLOOKUP(D24,'Feuerwaffen-Ressourcen'!$A$2:$AI$54,24,0)+VLOOKUP(G24,'Feuerwaffen-Ressourcen'!$A$2:$AI$54,24,0)</f>
        <v/>
      </c>
      <c r="Y24" s="50">
        <f>VLOOKUP(D24,'Feuerwaffen-Ressourcen'!$A$2:$AI$54,25,0)+VLOOKUP(E24,'Feuerwaffen-Ressourcen'!$A$2:$AI$54,25,0)+VLOOKUP(F24,'Feuerwaffen-Ressourcen'!$A$2:$AI$54,25,0)</f>
        <v/>
      </c>
      <c r="Z24" s="50">
        <f>VLOOKUP(E24,'Feuerwaffen-Ressourcen'!$A$2:$AI$54,26,0)</f>
        <v/>
      </c>
      <c r="AA24" s="50">
        <f>VLOOKUP(B24,'Feuerwaffen-Ressourcen'!$A$2:$AI$54,27,0)+VLOOKUP(D24,'Feuerwaffen-Ressourcen'!$A$2:$AI$54,27,0)+VLOOKUP(F24,'Feuerwaffen-Ressourcen'!$A$2:$AI$54,27,0)+VLOOKUP(I24,'Feuerwaffen-Ressourcen'!$A$2:$AI$54,27,0)</f>
        <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
      </c>
      <c r="AC24" s="53">
        <f>VLOOKUP(I24,'Feuerwaffen-Ressourcen'!$A$2:$AI$54,31,0)*AD24+AE24</f>
        <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
      </c>
      <c r="AF24" s="55">
        <f>VLOOKUP(AB24,'Feuerwaffen-Ressourcen'!$AO$3:$AP$9,2,1)</f>
        <v/>
      </c>
      <c r="AG24" s="55" t="n">
        <v>0</v>
      </c>
      <c r="AH24" s="28" t="inlineStr">
        <is>
          <t>Hiebwaffen</t>
        </is>
      </c>
      <c r="AI24" s="28" t="inlineStr">
        <is>
          <t>Improvisierte Hiebwaffen</t>
        </is>
      </c>
      <c r="AJ24" s="56" t="n">
        <v>1.5</v>
      </c>
      <c r="AK24" s="56" t="inlineStr">
        <is>
          <t>W8</t>
        </is>
      </c>
      <c r="AL24" s="56" t="inlineStr">
        <is>
          <t>-</t>
        </is>
      </c>
      <c r="AM24" s="56" t="n">
        <v>3</v>
      </c>
      <c r="AN24" s="56" t="n">
        <v>5</v>
      </c>
      <c r="AO24" s="56" t="n">
        <v>-2</v>
      </c>
      <c r="AP24" s="56" t="n">
        <v>-7</v>
      </c>
      <c r="AQ24" s="56" t="n">
        <v>7</v>
      </c>
      <c r="AR24" s="56" t="inlineStr">
        <is>
          <t>-</t>
        </is>
      </c>
      <c r="AS24" s="56" t="n">
        <v>2</v>
      </c>
      <c r="AT24" s="56" t="n">
        <v>10</v>
      </c>
    </row>
    <row r="25">
      <c r="A25" s="49" t="inlineStr">
        <is>
          <t>Schwalbe</t>
        </is>
      </c>
      <c r="B25" s="49" t="inlineStr">
        <is>
          <t>Elfisch</t>
        </is>
      </c>
      <c r="C25" s="49" t="inlineStr">
        <is>
          <t>Pistole</t>
        </is>
      </c>
      <c r="D25" s="49" t="inlineStr">
        <is>
          <t>Normal P</t>
        </is>
      </c>
      <c r="E25" s="49" t="inlineStr">
        <is>
          <t>Vorderlader</t>
        </is>
      </c>
      <c r="F25" s="49" t="inlineStr">
        <is>
          <t>Steinschloss</t>
        </is>
      </c>
      <c r="G25" s="49" t="inlineStr">
        <is>
          <t>Glattlauf</t>
        </is>
      </c>
      <c r="H25" s="49" t="inlineStr">
        <is>
          <t>Blei</t>
        </is>
      </c>
      <c r="I25" s="49" t="inlineStr">
        <is>
          <t>Massenfabrikation</t>
        </is>
      </c>
      <c r="J25" s="49" t="inlineStr">
        <is>
          <t>Von der Stange</t>
        </is>
      </c>
      <c r="K25" s="51">
        <f>VLOOKUP(B25,'Feuerwaffen-Ressourcen'!$A$2:$AI$54,11,0)+VLOOKUP(C25,'Feuerwaffen-Ressourcen'!$A$2:$AI$54,11,0)+VLOOKUP(D25,'Feuerwaffen-Ressourcen'!$A$2:$AI$54,11,0)+VLOOKUP(E25,'Feuerwaffen-Ressourcen'!$A$2:$AI$54,11,0)+VLOOKUP(G25,'Feuerwaffen-Ressourcen'!$A$2:$AI$54,11,0)</f>
        <v/>
      </c>
      <c r="L25" s="50">
        <f>VLOOKUP(B25,'Feuerwaffen-Ressourcen'!$A$2:$AI$54,12,0)+VLOOKUP(C25,'Feuerwaffen-Ressourcen'!$A$2:$AI$54,12,0)+VLOOKUP(D25,'Feuerwaffen-Ressourcen'!$A$2:$AI$54,12,0)+VLOOKUP(J25,'Feuerwaffen-Ressourcen'!$A$2:$AI$54,12,0)</f>
        <v/>
      </c>
      <c r="M25" s="50">
        <f>VLOOKUP(VLOOKUP(B25,'Feuerwaffen-Ressourcen'!$A$2:$AI$54,13,0)+VLOOKUP(C25,'Feuerwaffen-Ressourcen'!$A$2:$AI$54,13,0)+VLOOKUP(D25,'Feuerwaffen-Ressourcen'!$A$2:$AI$54,13,0),'Feuerwaffen-Ressourcen'!$AJ$3:$AK$12,2,0)</f>
        <v/>
      </c>
      <c r="N25" s="50">
        <f>VLOOKUP(VLOOKUP(B25,'Feuerwaffen-Ressourcen'!$A$2:$AI$54,14,0)+VLOOKUP(C25,'Feuerwaffen-Ressourcen'!$A$2:$AI$54,14,0)+VLOOKUP(D25,'Feuerwaffen-Ressourcen'!$A$2:$AI$54,14,0),'Feuerwaffen-Ressourcen'!$AJ$3:$AK$12,2,0)</f>
        <v/>
      </c>
      <c r="O25" s="50">
        <f>VLOOKUP(B25,'Feuerwaffen-Ressourcen'!$A$2:$AI$54,15,0)+VLOOKUP(C25,'Feuerwaffen-Ressourcen'!$A$2:$AI$54,15,0)+VLOOKUP(D25,'Feuerwaffen-Ressourcen'!$A$2:$AI$54,15,0)</f>
        <v/>
      </c>
      <c r="P25" s="50">
        <f>VLOOKUP(B25,'Feuerwaffen-Ressourcen'!$A$2:$AI$54,16,0)+VLOOKUP(C25,'Feuerwaffen-Ressourcen'!$A$2:$AI$54,16,0)+VLOOKUP(D25,'Feuerwaffen-Ressourcen'!$A$2:$AI$54,16,0)+VLOOKUP(E25,'Feuerwaffen-Ressourcen'!$A$2:$AI$54,16,0)</f>
        <v/>
      </c>
      <c r="Q25" s="52">
        <f>VLOOKUP(B25,'Feuerwaffen-Ressourcen'!$A$2:$AI$54,17,0)+VLOOKUP(C25,'Feuerwaffen-Ressourcen'!$A$2:$AI$54,17,0)+VLOOKUP(D25,'Feuerwaffen-Ressourcen'!$A$2:$AI$54,17,0)+VLOOKUP(E25,'Feuerwaffen-Ressourcen'!$A$2:$AI$54,17,0)</f>
        <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
      </c>
      <c r="X25" s="50">
        <f>VLOOKUP(B25,'Feuerwaffen-Ressourcen'!$A$2:$AI$54,24,0)+VLOOKUP(C25,'Feuerwaffen-Ressourcen'!$A$2:$AI$54,24,0)+VLOOKUP(D25,'Feuerwaffen-Ressourcen'!$A$2:$AI$54,24,0)+VLOOKUP(G25,'Feuerwaffen-Ressourcen'!$A$2:$AI$54,24,0)</f>
        <v/>
      </c>
      <c r="Y25" s="50">
        <f>VLOOKUP(D25,'Feuerwaffen-Ressourcen'!$A$2:$AI$54,25,0)+VLOOKUP(E25,'Feuerwaffen-Ressourcen'!$A$2:$AI$54,25,0)+VLOOKUP(F25,'Feuerwaffen-Ressourcen'!$A$2:$AI$54,25,0)</f>
        <v/>
      </c>
      <c r="Z25" s="50">
        <f>VLOOKUP(E25,'Feuerwaffen-Ressourcen'!$A$2:$AI$54,26,0)</f>
        <v/>
      </c>
      <c r="AA25" s="50">
        <f>VLOOKUP(B25,'Feuerwaffen-Ressourcen'!$A$2:$AI$54,27,0)+VLOOKUP(D25,'Feuerwaffen-Ressourcen'!$A$2:$AI$54,27,0)+VLOOKUP(F25,'Feuerwaffen-Ressourcen'!$A$2:$AI$54,27,0)+VLOOKUP(I25,'Feuerwaffen-Ressourcen'!$A$2:$AI$54,27,0)</f>
        <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
      </c>
      <c r="AC25" s="53">
        <f>VLOOKUP(I25,'Feuerwaffen-Ressourcen'!$A$2:$AI$54,31,0)*AD25+AE25</f>
        <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
      </c>
      <c r="AF25" s="55">
        <f>VLOOKUP(AB25,'Feuerwaffen-Ressourcen'!$AO$3:$AP$9,2,1)</f>
        <v/>
      </c>
      <c r="AG25" s="55" t="n">
        <v>0</v>
      </c>
      <c r="AH25" s="28" t="inlineStr">
        <is>
          <t>Hiebwaffen</t>
        </is>
      </c>
      <c r="AI25" s="28" t="inlineStr">
        <is>
          <t>Improvisierte Hiebwaffen</t>
        </is>
      </c>
      <c r="AJ25" s="56" t="n">
        <v>1.5</v>
      </c>
      <c r="AK25" s="56" t="inlineStr">
        <is>
          <t>W8</t>
        </is>
      </c>
      <c r="AL25" s="56" t="inlineStr">
        <is>
          <t>-</t>
        </is>
      </c>
      <c r="AM25" s="56" t="n">
        <v>3</v>
      </c>
      <c r="AN25" s="56" t="n">
        <v>5</v>
      </c>
      <c r="AO25" s="56" t="n">
        <v>-2</v>
      </c>
      <c r="AP25" s="56" t="n">
        <v>-7</v>
      </c>
      <c r="AQ25" s="56" t="n">
        <v>7</v>
      </c>
      <c r="AR25" s="56" t="inlineStr">
        <is>
          <t>-</t>
        </is>
      </c>
      <c r="AS25" s="56" t="n">
        <v>2</v>
      </c>
      <c r="AT25" s="56" t="n">
        <v>10</v>
      </c>
    </row>
    <row r="26">
      <c r="A26" s="49" t="inlineStr">
        <is>
          <t>Bestgarr</t>
        </is>
      </c>
      <c r="B26" s="49" t="inlineStr">
        <is>
          <t>Goblinisch</t>
        </is>
      </c>
      <c r="C26" s="49" t="inlineStr">
        <is>
          <t>Gewehr</t>
        </is>
      </c>
      <c r="D26" s="49" t="inlineStr">
        <is>
          <t>Normal</t>
        </is>
      </c>
      <c r="E26" s="49" t="inlineStr">
        <is>
          <t>Block- oder Scharnierverschluss</t>
        </is>
      </c>
      <c r="F26" s="49" t="inlineStr">
        <is>
          <t>Schlagbolzen</t>
        </is>
      </c>
      <c r="G26" s="49" t="inlineStr">
        <is>
          <t>Gezogen</t>
        </is>
      </c>
      <c r="H26" s="49" t="inlineStr">
        <is>
          <t>Messing Patrone</t>
        </is>
      </c>
      <c r="I26" s="49" t="inlineStr">
        <is>
          <t>Massenfabrikation</t>
        </is>
      </c>
      <c r="J26" s="49" t="inlineStr">
        <is>
          <t>Von der Stange</t>
        </is>
      </c>
      <c r="K26" s="51">
        <f>VLOOKUP(B26,'Feuerwaffen-Ressourcen'!$A$2:$AI$54,11,0)+VLOOKUP(C26,'Feuerwaffen-Ressourcen'!$A$2:$AI$54,11,0)+VLOOKUP(D26,'Feuerwaffen-Ressourcen'!$A$2:$AI$54,11,0)+VLOOKUP(E26,'Feuerwaffen-Ressourcen'!$A$2:$AI$54,11,0)+VLOOKUP(G26,'Feuerwaffen-Ressourcen'!$A$2:$AI$54,11,0)</f>
        <v/>
      </c>
      <c r="L26" s="50">
        <f>VLOOKUP(B26,'Feuerwaffen-Ressourcen'!$A$2:$AI$54,12,0)+VLOOKUP(C26,'Feuerwaffen-Ressourcen'!$A$2:$AI$54,12,0)+VLOOKUP(D26,'Feuerwaffen-Ressourcen'!$A$2:$AI$54,12,0)+VLOOKUP(J26,'Feuerwaffen-Ressourcen'!$A$2:$AI$54,12,0)</f>
        <v/>
      </c>
      <c r="M26" s="50">
        <f>VLOOKUP(VLOOKUP(B26,'Feuerwaffen-Ressourcen'!$A$2:$AI$54,13,0)+VLOOKUP(C26,'Feuerwaffen-Ressourcen'!$A$2:$AI$54,13,0)+VLOOKUP(D26,'Feuerwaffen-Ressourcen'!$A$2:$AI$54,13,0),'Feuerwaffen-Ressourcen'!$AJ$3:$AK$12,2,0)</f>
        <v/>
      </c>
      <c r="N26" s="50">
        <f>VLOOKUP(VLOOKUP(B26,'Feuerwaffen-Ressourcen'!$A$2:$AI$54,14,0)+VLOOKUP(C26,'Feuerwaffen-Ressourcen'!$A$2:$AI$54,14,0)+VLOOKUP(D26,'Feuerwaffen-Ressourcen'!$A$2:$AI$54,14,0),'Feuerwaffen-Ressourcen'!$AJ$3:$AK$12,2,0)</f>
        <v/>
      </c>
      <c r="O26" s="50">
        <f>VLOOKUP(B26,'Feuerwaffen-Ressourcen'!$A$2:$AI$54,15,0)+VLOOKUP(C26,'Feuerwaffen-Ressourcen'!$A$2:$AI$54,15,0)+VLOOKUP(D26,'Feuerwaffen-Ressourcen'!$A$2:$AI$54,15,0)</f>
        <v/>
      </c>
      <c r="P26" s="50">
        <f>VLOOKUP(B26,'Feuerwaffen-Ressourcen'!$A$2:$AI$54,16,0)+VLOOKUP(C26,'Feuerwaffen-Ressourcen'!$A$2:$AI$54,16,0)+VLOOKUP(D26,'Feuerwaffen-Ressourcen'!$A$2:$AI$54,16,0)+VLOOKUP(E26,'Feuerwaffen-Ressourcen'!$A$2:$AI$54,16,0)</f>
        <v/>
      </c>
      <c r="Q26" s="52">
        <f>VLOOKUP(B26,'Feuerwaffen-Ressourcen'!$A$2:$AI$54,17,0)+VLOOKUP(C26,'Feuerwaffen-Ressourcen'!$A$2:$AI$54,17,0)+VLOOKUP(D26,'Feuerwaffen-Ressourcen'!$A$2:$AI$54,17,0)+VLOOKUP(E26,'Feuerwaffen-Ressourcen'!$A$2:$AI$54,17,0)</f>
        <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
      </c>
      <c r="X26" s="50">
        <f>VLOOKUP(B26,'Feuerwaffen-Ressourcen'!$A$2:$AI$54,24,0)+VLOOKUP(C26,'Feuerwaffen-Ressourcen'!$A$2:$AI$54,24,0)+VLOOKUP(D26,'Feuerwaffen-Ressourcen'!$A$2:$AI$54,24,0)+VLOOKUP(G26,'Feuerwaffen-Ressourcen'!$A$2:$AI$54,24,0)</f>
        <v/>
      </c>
      <c r="Y26" s="50">
        <f>VLOOKUP(D26,'Feuerwaffen-Ressourcen'!$A$2:$AI$54,25,0)+VLOOKUP(E26,'Feuerwaffen-Ressourcen'!$A$2:$AI$54,25,0)+VLOOKUP(F26,'Feuerwaffen-Ressourcen'!$A$2:$AI$54,25,0)</f>
        <v/>
      </c>
      <c r="Z26" s="50">
        <f>VLOOKUP(E26,'Feuerwaffen-Ressourcen'!$A$2:$AI$54,26,0)</f>
        <v/>
      </c>
      <c r="AA26" s="50">
        <f>VLOOKUP(B26,'Feuerwaffen-Ressourcen'!$A$2:$AI$54,27,0)+VLOOKUP(D26,'Feuerwaffen-Ressourcen'!$A$2:$AI$54,27,0)+VLOOKUP(F26,'Feuerwaffen-Ressourcen'!$A$2:$AI$54,27,0)+VLOOKUP(I26,'Feuerwaffen-Ressourcen'!$A$2:$AI$54,27,0)</f>
        <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
      </c>
      <c r="AC26" s="53">
        <f>VLOOKUP(I26,'Feuerwaffen-Ressourcen'!$A$2:$AI$54,31,0)*AD26+AE26</f>
        <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
      </c>
      <c r="AF26" s="55">
        <f>VLOOKUP(AB26,'Feuerwaffen-Ressourcen'!$AO$3:$AP$9,2,1)</f>
        <v/>
      </c>
      <c r="AG26" s="55" t="n">
        <v>0</v>
      </c>
      <c r="AH26" s="28" t="inlineStr">
        <is>
          <t>Stangenwaffen</t>
        </is>
      </c>
      <c r="AI26" s="28" t="inlineStr">
        <is>
          <t>Improvisierte Stangenwaffen</t>
        </is>
      </c>
      <c r="AJ26" s="56" t="n">
        <v>3</v>
      </c>
      <c r="AK26" s="56" t="inlineStr">
        <is>
          <t>W8</t>
        </is>
      </c>
      <c r="AL26" s="56" t="inlineStr">
        <is>
          <t>W4</t>
        </is>
      </c>
      <c r="AM26" s="56" t="n">
        <v>3</v>
      </c>
      <c r="AN26" s="56" t="n">
        <v>5</v>
      </c>
      <c r="AO26" s="56" t="n">
        <v>4</v>
      </c>
      <c r="AP26" s="56" t="n">
        <v>4</v>
      </c>
      <c r="AQ26" s="56" t="n">
        <v>7</v>
      </c>
      <c r="AR26" s="56" t="n">
        <v>7</v>
      </c>
      <c r="AS26" s="56" t="n">
        <v>5</v>
      </c>
      <c r="AT26" s="56" t="n">
        <v>6</v>
      </c>
    </row>
    <row r="27">
      <c r="A27" s="49" t="inlineStr">
        <is>
          <t>Boogarr</t>
        </is>
      </c>
      <c r="B27" s="49" t="inlineStr">
        <is>
          <t>Goblinisch</t>
        </is>
      </c>
      <c r="C27" s="49" t="inlineStr">
        <is>
          <t>Gewehr</t>
        </is>
      </c>
      <c r="D27" s="49" t="inlineStr">
        <is>
          <t>Donnerbüchse</t>
        </is>
      </c>
      <c r="E27" s="49" t="inlineStr">
        <is>
          <t>Vorderlader</t>
        </is>
      </c>
      <c r="F27" s="49" t="inlineStr">
        <is>
          <t>Steinschloss</t>
        </is>
      </c>
      <c r="G27" s="49" t="inlineStr">
        <is>
          <t>Glattlauf</t>
        </is>
      </c>
      <c r="H27" s="49" t="inlineStr">
        <is>
          <t>Blei</t>
        </is>
      </c>
      <c r="I27" s="49" t="inlineStr">
        <is>
          <t>Massenfabrikation</t>
        </is>
      </c>
      <c r="J27" s="49" t="inlineStr">
        <is>
          <t>Von der Stange</t>
        </is>
      </c>
      <c r="K27" s="51">
        <f>VLOOKUP(B27,'Feuerwaffen-Ressourcen'!$A$2:$AI$54,11,0)+VLOOKUP(C27,'Feuerwaffen-Ressourcen'!$A$2:$AI$54,11,0)+VLOOKUP(D27,'Feuerwaffen-Ressourcen'!$A$2:$AI$54,11,0)+VLOOKUP(E27,'Feuerwaffen-Ressourcen'!$A$2:$AI$54,11,0)+VLOOKUP(G27,'Feuerwaffen-Ressourcen'!$A$2:$AI$54,11,0)</f>
        <v/>
      </c>
      <c r="L27" s="50">
        <f>VLOOKUP(B27,'Feuerwaffen-Ressourcen'!$A$2:$AI$54,12,0)+VLOOKUP(C27,'Feuerwaffen-Ressourcen'!$A$2:$AI$54,12,0)+VLOOKUP(D27,'Feuerwaffen-Ressourcen'!$A$2:$AI$54,12,0)+VLOOKUP(J27,'Feuerwaffen-Ressourcen'!$A$2:$AI$54,12,0)</f>
        <v/>
      </c>
      <c r="M27" s="50">
        <f>VLOOKUP(VLOOKUP(B27,'Feuerwaffen-Ressourcen'!$A$2:$AI$54,13,0)+VLOOKUP(C27,'Feuerwaffen-Ressourcen'!$A$2:$AI$54,13,0)+VLOOKUP(D27,'Feuerwaffen-Ressourcen'!$A$2:$AI$54,13,0),'Feuerwaffen-Ressourcen'!$AJ$3:$AK$12,2,0)</f>
        <v/>
      </c>
      <c r="N27" s="50">
        <f>VLOOKUP(VLOOKUP(B27,'Feuerwaffen-Ressourcen'!$A$2:$AI$54,14,0)+VLOOKUP(C27,'Feuerwaffen-Ressourcen'!$A$2:$AI$54,14,0)+VLOOKUP(D27,'Feuerwaffen-Ressourcen'!$A$2:$AI$54,14,0),'Feuerwaffen-Ressourcen'!$AJ$3:$AK$12,2,0)</f>
        <v/>
      </c>
      <c r="O27" s="50">
        <f>VLOOKUP(B27,'Feuerwaffen-Ressourcen'!$A$2:$AI$54,15,0)+VLOOKUP(C27,'Feuerwaffen-Ressourcen'!$A$2:$AI$54,15,0)+VLOOKUP(D27,'Feuerwaffen-Ressourcen'!$A$2:$AI$54,15,0)</f>
        <v/>
      </c>
      <c r="P27" s="50">
        <f>VLOOKUP(B27,'Feuerwaffen-Ressourcen'!$A$2:$AI$54,16,0)+VLOOKUP(C27,'Feuerwaffen-Ressourcen'!$A$2:$AI$54,16,0)+VLOOKUP(D27,'Feuerwaffen-Ressourcen'!$A$2:$AI$54,16,0)+VLOOKUP(E27,'Feuerwaffen-Ressourcen'!$A$2:$AI$54,16,0)</f>
        <v/>
      </c>
      <c r="Q27" s="52">
        <f>VLOOKUP(B27,'Feuerwaffen-Ressourcen'!$A$2:$AI$54,17,0)+VLOOKUP(C27,'Feuerwaffen-Ressourcen'!$A$2:$AI$54,17,0)+VLOOKUP(D27,'Feuerwaffen-Ressourcen'!$A$2:$AI$54,17,0)+VLOOKUP(E27,'Feuerwaffen-Ressourcen'!$A$2:$AI$54,17,0)</f>
        <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
      </c>
      <c r="X27" s="50">
        <f>VLOOKUP(B27,'Feuerwaffen-Ressourcen'!$A$2:$AI$54,24,0)+VLOOKUP(C27,'Feuerwaffen-Ressourcen'!$A$2:$AI$54,24,0)+VLOOKUP(D27,'Feuerwaffen-Ressourcen'!$A$2:$AI$54,24,0)+VLOOKUP(G27,'Feuerwaffen-Ressourcen'!$A$2:$AI$54,24,0)</f>
        <v/>
      </c>
      <c r="Y27" s="50">
        <f>VLOOKUP(D27,'Feuerwaffen-Ressourcen'!$A$2:$AI$54,25,0)+VLOOKUP(E27,'Feuerwaffen-Ressourcen'!$A$2:$AI$54,25,0)+VLOOKUP(F27,'Feuerwaffen-Ressourcen'!$A$2:$AI$54,25,0)</f>
        <v/>
      </c>
      <c r="Z27" s="50">
        <f>VLOOKUP(E27,'Feuerwaffen-Ressourcen'!$A$2:$AI$54,26,0)</f>
        <v/>
      </c>
      <c r="AA27" s="50">
        <f>VLOOKUP(B27,'Feuerwaffen-Ressourcen'!$A$2:$AI$54,27,0)+VLOOKUP(D27,'Feuerwaffen-Ressourcen'!$A$2:$AI$54,27,0)+VLOOKUP(F27,'Feuerwaffen-Ressourcen'!$A$2:$AI$54,27,0)+VLOOKUP(I27,'Feuerwaffen-Ressourcen'!$A$2:$AI$54,27,0)</f>
        <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
      </c>
      <c r="AC27" s="53">
        <f>VLOOKUP(I27,'Feuerwaffen-Ressourcen'!$A$2:$AI$54,31,0)*AD27+AE27</f>
        <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
      </c>
      <c r="AF27" s="55">
        <f>VLOOKUP(AB27,'Feuerwaffen-Ressourcen'!$AO$3:$AP$9,2,1)</f>
        <v/>
      </c>
      <c r="AG27" s="55" t="n">
        <v>0</v>
      </c>
      <c r="AH27" s="28" t="inlineStr">
        <is>
          <t>Stangenwaffen</t>
        </is>
      </c>
      <c r="AI27" s="28" t="inlineStr">
        <is>
          <t>Improvisierte Stangenwaffen</t>
        </is>
      </c>
      <c r="AJ27" s="56" t="n">
        <v>3</v>
      </c>
      <c r="AK27" s="56" t="inlineStr">
        <is>
          <t>W8</t>
        </is>
      </c>
      <c r="AL27" s="56" t="inlineStr">
        <is>
          <t>W4</t>
        </is>
      </c>
      <c r="AM27" s="56" t="n">
        <v>3</v>
      </c>
      <c r="AN27" s="56" t="n">
        <v>5</v>
      </c>
      <c r="AO27" s="56" t="n">
        <v>4</v>
      </c>
      <c r="AP27" s="56" t="n">
        <v>4</v>
      </c>
      <c r="AQ27" s="56" t="n">
        <v>9</v>
      </c>
      <c r="AR27" s="56" t="n">
        <v>9</v>
      </c>
      <c r="AS27" s="56" t="n">
        <v>5</v>
      </c>
      <c r="AT27" s="56" t="n">
        <v>6</v>
      </c>
    </row>
    <row r="28">
      <c r="A28" s="49" t="inlineStr">
        <is>
          <t>Deegarr</t>
        </is>
      </c>
      <c r="B28" s="49" t="inlineStr">
        <is>
          <t>Goblinisch</t>
        </is>
      </c>
      <c r="C28" s="49" t="inlineStr">
        <is>
          <t>Gewehr</t>
        </is>
      </c>
      <c r="D28" s="49" t="inlineStr">
        <is>
          <t>Präzisionsgewehr</t>
        </is>
      </c>
      <c r="E28" s="49" t="inlineStr">
        <is>
          <t>Klapplauf</t>
        </is>
      </c>
      <c r="F28" s="49" t="inlineStr">
        <is>
          <t>Schlagbolzen</t>
        </is>
      </c>
      <c r="G28" s="49" t="inlineStr">
        <is>
          <t>Gezogen</t>
        </is>
      </c>
      <c r="H28" s="49" t="inlineStr">
        <is>
          <t>Messing Patrone</t>
        </is>
      </c>
      <c r="I28" s="49" t="inlineStr">
        <is>
          <t>Massenfabrikation</t>
        </is>
      </c>
      <c r="J28" s="49" t="inlineStr">
        <is>
          <t>Von der Stange</t>
        </is>
      </c>
      <c r="K28" s="51">
        <f>VLOOKUP(B28,'Feuerwaffen-Ressourcen'!$A$2:$AI$54,11,0)+VLOOKUP(C28,'Feuerwaffen-Ressourcen'!$A$2:$AI$54,11,0)+VLOOKUP(D28,'Feuerwaffen-Ressourcen'!$A$2:$AI$54,11,0)+VLOOKUP(E28,'Feuerwaffen-Ressourcen'!$A$2:$AI$54,11,0)+VLOOKUP(G28,'Feuerwaffen-Ressourcen'!$A$2:$AI$54,11,0)</f>
        <v/>
      </c>
      <c r="L28" s="50">
        <f>VLOOKUP(B28,'Feuerwaffen-Ressourcen'!$A$2:$AI$54,12,0)+VLOOKUP(C28,'Feuerwaffen-Ressourcen'!$A$2:$AI$54,12,0)+VLOOKUP(D28,'Feuerwaffen-Ressourcen'!$A$2:$AI$54,12,0)+VLOOKUP(J28,'Feuerwaffen-Ressourcen'!$A$2:$AI$54,12,0)</f>
        <v/>
      </c>
      <c r="M28" s="50">
        <f>VLOOKUP(VLOOKUP(B28,'Feuerwaffen-Ressourcen'!$A$2:$AI$54,13,0)+VLOOKUP(C28,'Feuerwaffen-Ressourcen'!$A$2:$AI$54,13,0)+VLOOKUP(D28,'Feuerwaffen-Ressourcen'!$A$2:$AI$54,13,0),'Feuerwaffen-Ressourcen'!$AJ$3:$AK$12,2,0)</f>
        <v/>
      </c>
      <c r="N28" s="50">
        <f>VLOOKUP(VLOOKUP(B28,'Feuerwaffen-Ressourcen'!$A$2:$AI$54,14,0)+VLOOKUP(C28,'Feuerwaffen-Ressourcen'!$A$2:$AI$54,14,0)+VLOOKUP(D28,'Feuerwaffen-Ressourcen'!$A$2:$AI$54,14,0),'Feuerwaffen-Ressourcen'!$AJ$3:$AK$12,2,0)</f>
        <v/>
      </c>
      <c r="O28" s="50">
        <f>VLOOKUP(B28,'Feuerwaffen-Ressourcen'!$A$2:$AI$54,15,0)+VLOOKUP(C28,'Feuerwaffen-Ressourcen'!$A$2:$AI$54,15,0)+VLOOKUP(D28,'Feuerwaffen-Ressourcen'!$A$2:$AI$54,15,0)</f>
        <v/>
      </c>
      <c r="P28" s="50">
        <f>VLOOKUP(B28,'Feuerwaffen-Ressourcen'!$A$2:$AI$54,16,0)+VLOOKUP(C28,'Feuerwaffen-Ressourcen'!$A$2:$AI$54,16,0)+VLOOKUP(D28,'Feuerwaffen-Ressourcen'!$A$2:$AI$54,16,0)+VLOOKUP(E28,'Feuerwaffen-Ressourcen'!$A$2:$AI$54,16,0)</f>
        <v/>
      </c>
      <c r="Q28" s="52">
        <f>VLOOKUP(B28,'Feuerwaffen-Ressourcen'!$A$2:$AI$54,17,0)+VLOOKUP(C28,'Feuerwaffen-Ressourcen'!$A$2:$AI$54,17,0)+VLOOKUP(D28,'Feuerwaffen-Ressourcen'!$A$2:$AI$54,17,0)+VLOOKUP(E28,'Feuerwaffen-Ressourcen'!$A$2:$AI$54,17,0)</f>
        <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
      </c>
      <c r="X28" s="50">
        <f>VLOOKUP(B28,'Feuerwaffen-Ressourcen'!$A$2:$AI$54,24,0)+VLOOKUP(C28,'Feuerwaffen-Ressourcen'!$A$2:$AI$54,24,0)+VLOOKUP(D28,'Feuerwaffen-Ressourcen'!$A$2:$AI$54,24,0)+VLOOKUP(G28,'Feuerwaffen-Ressourcen'!$A$2:$AI$54,24,0)</f>
        <v/>
      </c>
      <c r="Y28" s="50">
        <f>VLOOKUP(D28,'Feuerwaffen-Ressourcen'!$A$2:$AI$54,25,0)+VLOOKUP(E28,'Feuerwaffen-Ressourcen'!$A$2:$AI$54,25,0)+VLOOKUP(F28,'Feuerwaffen-Ressourcen'!$A$2:$AI$54,25,0)</f>
        <v/>
      </c>
      <c r="Z28" s="50">
        <f>VLOOKUP(E28,'Feuerwaffen-Ressourcen'!$A$2:$AI$54,26,0)</f>
        <v/>
      </c>
      <c r="AA28" s="50">
        <f>VLOOKUP(B28,'Feuerwaffen-Ressourcen'!$A$2:$AI$54,27,0)+VLOOKUP(D28,'Feuerwaffen-Ressourcen'!$A$2:$AI$54,27,0)+VLOOKUP(F28,'Feuerwaffen-Ressourcen'!$A$2:$AI$54,27,0)+VLOOKUP(I28,'Feuerwaffen-Ressourcen'!$A$2:$AI$54,27,0)</f>
        <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
      </c>
      <c r="AC28" s="53">
        <f>VLOOKUP(I28,'Feuerwaffen-Ressourcen'!$A$2:$AI$54,31,0)*AD28+AE28</f>
        <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
      </c>
      <c r="AF28" s="55">
        <f>VLOOKUP(AB28,'Feuerwaffen-Ressourcen'!$AO$3:$AP$9,2,1)</f>
        <v/>
      </c>
      <c r="AG28" s="55" t="n">
        <v>0</v>
      </c>
      <c r="AH28" s="28" t="inlineStr">
        <is>
          <t>Stangenwaffen</t>
        </is>
      </c>
      <c r="AI28" s="28" t="inlineStr">
        <is>
          <t>Improvisierte Stangenwaffen</t>
        </is>
      </c>
      <c r="AJ28" s="56" t="n">
        <v>3</v>
      </c>
      <c r="AK28" s="56" t="inlineStr">
        <is>
          <t>W8</t>
        </is>
      </c>
      <c r="AL28" s="56" t="inlineStr">
        <is>
          <t>W4</t>
        </is>
      </c>
      <c r="AM28" s="56" t="n">
        <v>3</v>
      </c>
      <c r="AN28" s="56" t="n">
        <v>5</v>
      </c>
      <c r="AO28" s="56" t="n">
        <v>4</v>
      </c>
      <c r="AP28" s="56" t="n">
        <v>4</v>
      </c>
      <c r="AQ28" s="56" t="n">
        <v>7</v>
      </c>
      <c r="AR28" s="56" t="n">
        <v>7</v>
      </c>
      <c r="AS28" s="56" t="n">
        <v>5</v>
      </c>
      <c r="AT28" s="56" t="n">
        <v>6</v>
      </c>
    </row>
    <row r="29">
      <c r="A29" s="49" t="inlineStr">
        <is>
          <t>Duegarr</t>
        </is>
      </c>
      <c r="B29" s="49" t="inlineStr">
        <is>
          <t>Goblinisch</t>
        </is>
      </c>
      <c r="C29" s="49" t="inlineStr">
        <is>
          <t>Gewehr</t>
        </is>
      </c>
      <c r="D29" s="49" t="inlineStr">
        <is>
          <t>Doppelläufig</t>
        </is>
      </c>
      <c r="E29" s="49" t="inlineStr">
        <is>
          <t>Vorderlader</t>
        </is>
      </c>
      <c r="F29" s="49" t="inlineStr">
        <is>
          <t>Steinschloss</t>
        </is>
      </c>
      <c r="G29" s="49" t="inlineStr">
        <is>
          <t>Glattlauf</t>
        </is>
      </c>
      <c r="H29" s="49" t="inlineStr">
        <is>
          <t>Blei</t>
        </is>
      </c>
      <c r="I29" s="49" t="inlineStr">
        <is>
          <t>Massenfabrikation</t>
        </is>
      </c>
      <c r="J29" s="49" t="inlineStr">
        <is>
          <t>Von der Stange</t>
        </is>
      </c>
      <c r="K29" s="51">
        <f>VLOOKUP(B29,'Feuerwaffen-Ressourcen'!$A$2:$AI$54,11,0)+VLOOKUP(C29,'Feuerwaffen-Ressourcen'!$A$2:$AI$54,11,0)+VLOOKUP(D29,'Feuerwaffen-Ressourcen'!$A$2:$AI$54,11,0)+VLOOKUP(E29,'Feuerwaffen-Ressourcen'!$A$2:$AI$54,11,0)+VLOOKUP(G29,'Feuerwaffen-Ressourcen'!$A$2:$AI$54,11,0)</f>
        <v/>
      </c>
      <c r="L29" s="50">
        <f>VLOOKUP(B29,'Feuerwaffen-Ressourcen'!$A$2:$AI$54,12,0)+VLOOKUP(C29,'Feuerwaffen-Ressourcen'!$A$2:$AI$54,12,0)+VLOOKUP(D29,'Feuerwaffen-Ressourcen'!$A$2:$AI$54,12,0)+VLOOKUP(J29,'Feuerwaffen-Ressourcen'!$A$2:$AI$54,12,0)</f>
        <v/>
      </c>
      <c r="M29" s="50">
        <f>VLOOKUP(VLOOKUP(B29,'Feuerwaffen-Ressourcen'!$A$2:$AI$54,13,0)+VLOOKUP(C29,'Feuerwaffen-Ressourcen'!$A$2:$AI$54,13,0)+VLOOKUP(D29,'Feuerwaffen-Ressourcen'!$A$2:$AI$54,13,0),'Feuerwaffen-Ressourcen'!$AJ$3:$AK$12,2,0)</f>
        <v/>
      </c>
      <c r="N29" s="50">
        <f>VLOOKUP(VLOOKUP(B29,'Feuerwaffen-Ressourcen'!$A$2:$AI$54,14,0)+VLOOKUP(C29,'Feuerwaffen-Ressourcen'!$A$2:$AI$54,14,0)+VLOOKUP(D29,'Feuerwaffen-Ressourcen'!$A$2:$AI$54,14,0),'Feuerwaffen-Ressourcen'!$AJ$3:$AK$12,2,0)</f>
        <v/>
      </c>
      <c r="O29" s="50">
        <f>VLOOKUP(B29,'Feuerwaffen-Ressourcen'!$A$2:$AI$54,15,0)+VLOOKUP(C29,'Feuerwaffen-Ressourcen'!$A$2:$AI$54,15,0)+VLOOKUP(D29,'Feuerwaffen-Ressourcen'!$A$2:$AI$54,15,0)</f>
        <v/>
      </c>
      <c r="P29" s="50">
        <f>VLOOKUP(B29,'Feuerwaffen-Ressourcen'!$A$2:$AI$54,16,0)+VLOOKUP(C29,'Feuerwaffen-Ressourcen'!$A$2:$AI$54,16,0)+VLOOKUP(D29,'Feuerwaffen-Ressourcen'!$A$2:$AI$54,16,0)+VLOOKUP(E29,'Feuerwaffen-Ressourcen'!$A$2:$AI$54,16,0)</f>
        <v/>
      </c>
      <c r="Q29" s="52">
        <f>VLOOKUP(B29,'Feuerwaffen-Ressourcen'!$A$2:$AI$54,17,0)+VLOOKUP(C29,'Feuerwaffen-Ressourcen'!$A$2:$AI$54,17,0)+VLOOKUP(D29,'Feuerwaffen-Ressourcen'!$A$2:$AI$54,17,0)+VLOOKUP(E29,'Feuerwaffen-Ressourcen'!$A$2:$AI$54,17,0)</f>
        <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
      </c>
      <c r="X29" s="50">
        <f>VLOOKUP(B29,'Feuerwaffen-Ressourcen'!$A$2:$AI$54,24,0)+VLOOKUP(C29,'Feuerwaffen-Ressourcen'!$A$2:$AI$54,24,0)+VLOOKUP(D29,'Feuerwaffen-Ressourcen'!$A$2:$AI$54,24,0)+VLOOKUP(G29,'Feuerwaffen-Ressourcen'!$A$2:$AI$54,24,0)</f>
        <v/>
      </c>
      <c r="Y29" s="50">
        <f>VLOOKUP(D29,'Feuerwaffen-Ressourcen'!$A$2:$AI$54,25,0)+VLOOKUP(E29,'Feuerwaffen-Ressourcen'!$A$2:$AI$54,25,0)+VLOOKUP(F29,'Feuerwaffen-Ressourcen'!$A$2:$AI$54,25,0)</f>
        <v/>
      </c>
      <c r="Z29" s="50">
        <f>VLOOKUP(E29,'Feuerwaffen-Ressourcen'!$A$2:$AI$54,26,0)</f>
        <v/>
      </c>
      <c r="AA29" s="50">
        <f>VLOOKUP(B29,'Feuerwaffen-Ressourcen'!$A$2:$AI$54,27,0)+VLOOKUP(D29,'Feuerwaffen-Ressourcen'!$A$2:$AI$54,27,0)+VLOOKUP(F29,'Feuerwaffen-Ressourcen'!$A$2:$AI$54,27,0)+VLOOKUP(I29,'Feuerwaffen-Ressourcen'!$A$2:$AI$54,27,0)</f>
        <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
      </c>
      <c r="AC29" s="53">
        <f>VLOOKUP(I29,'Feuerwaffen-Ressourcen'!$A$2:$AI$54,31,0)*AD29+AE29</f>
        <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
      </c>
      <c r="AF29" s="55">
        <f>VLOOKUP(AB29,'Feuerwaffen-Ressourcen'!$AO$3:$AP$9,2,1)</f>
        <v/>
      </c>
      <c r="AG29" s="55" t="n">
        <v>0</v>
      </c>
      <c r="AH29" s="28" t="inlineStr">
        <is>
          <t>Stangenwaffen</t>
        </is>
      </c>
      <c r="AI29" s="28" t="inlineStr">
        <is>
          <t>Improvisierte Stangenwaffen</t>
        </is>
      </c>
      <c r="AJ29" s="56" t="n">
        <v>3</v>
      </c>
      <c r="AK29" s="56" t="inlineStr">
        <is>
          <t>W8</t>
        </is>
      </c>
      <c r="AL29" s="56" t="inlineStr">
        <is>
          <t>W4</t>
        </is>
      </c>
      <c r="AM29" s="56" t="n">
        <v>3</v>
      </c>
      <c r="AN29" s="56" t="n">
        <v>5</v>
      </c>
      <c r="AO29" s="56" t="n">
        <v>4</v>
      </c>
      <c r="AP29" s="56" t="n">
        <v>4</v>
      </c>
      <c r="AQ29" s="56" t="n">
        <v>8</v>
      </c>
      <c r="AR29" s="56" t="n">
        <v>8</v>
      </c>
      <c r="AS29" s="56" t="n">
        <v>5</v>
      </c>
      <c r="AT29" s="56" t="n">
        <v>6</v>
      </c>
    </row>
    <row r="30">
      <c r="A30" s="49" t="inlineStr">
        <is>
          <t>Felpgarr</t>
        </is>
      </c>
      <c r="B30" s="49" t="inlineStr">
        <is>
          <t>Goblinisch</t>
        </is>
      </c>
      <c r="C30" s="49" t="inlineStr">
        <is>
          <t>Gewehr</t>
        </is>
      </c>
      <c r="D30" s="49" t="inlineStr">
        <is>
          <t>Karabiner</t>
        </is>
      </c>
      <c r="E30" s="49" t="inlineStr">
        <is>
          <t>Hinterlader</t>
        </is>
      </c>
      <c r="F30" s="49" t="inlineStr">
        <is>
          <t>Nadelzündung</t>
        </is>
      </c>
      <c r="G30" s="49" t="inlineStr">
        <is>
          <t>Gezogen</t>
        </is>
      </c>
      <c r="H30" s="49" t="inlineStr">
        <is>
          <t>Papier Patrone</t>
        </is>
      </c>
      <c r="I30" s="49" t="inlineStr">
        <is>
          <t>Massenfabrikation</t>
        </is>
      </c>
      <c r="J30" s="49" t="inlineStr">
        <is>
          <t>Von der Stange</t>
        </is>
      </c>
      <c r="K30" s="51">
        <f>VLOOKUP(B30,'Feuerwaffen-Ressourcen'!$A$2:$AI$54,11,0)+VLOOKUP(C30,'Feuerwaffen-Ressourcen'!$A$2:$AI$54,11,0)+VLOOKUP(D30,'Feuerwaffen-Ressourcen'!$A$2:$AI$54,11,0)+VLOOKUP(E30,'Feuerwaffen-Ressourcen'!$A$2:$AI$54,11,0)+VLOOKUP(G30,'Feuerwaffen-Ressourcen'!$A$2:$AI$54,11,0)</f>
        <v/>
      </c>
      <c r="L30" s="50">
        <f>VLOOKUP(B30,'Feuerwaffen-Ressourcen'!$A$2:$AI$54,12,0)+VLOOKUP(C30,'Feuerwaffen-Ressourcen'!$A$2:$AI$54,12,0)+VLOOKUP(D30,'Feuerwaffen-Ressourcen'!$A$2:$AI$54,12,0)+VLOOKUP(J30,'Feuerwaffen-Ressourcen'!$A$2:$AI$54,12,0)</f>
        <v/>
      </c>
      <c r="M30" s="50">
        <f>VLOOKUP(VLOOKUP(B30,'Feuerwaffen-Ressourcen'!$A$2:$AI$54,13,0)+VLOOKUP(C30,'Feuerwaffen-Ressourcen'!$A$2:$AI$54,13,0)+VLOOKUP(D30,'Feuerwaffen-Ressourcen'!$A$2:$AI$54,13,0),'Feuerwaffen-Ressourcen'!$AJ$3:$AK$12,2,0)</f>
        <v/>
      </c>
      <c r="N30" s="50">
        <f>VLOOKUP(VLOOKUP(B30,'Feuerwaffen-Ressourcen'!$A$2:$AI$54,14,0)+VLOOKUP(C30,'Feuerwaffen-Ressourcen'!$A$2:$AI$54,14,0)+VLOOKUP(D30,'Feuerwaffen-Ressourcen'!$A$2:$AI$54,14,0),'Feuerwaffen-Ressourcen'!$AJ$3:$AK$12,2,0)</f>
        <v/>
      </c>
      <c r="O30" s="50">
        <f>VLOOKUP(B30,'Feuerwaffen-Ressourcen'!$A$2:$AI$54,15,0)+VLOOKUP(C30,'Feuerwaffen-Ressourcen'!$A$2:$AI$54,15,0)+VLOOKUP(D30,'Feuerwaffen-Ressourcen'!$A$2:$AI$54,15,0)</f>
        <v/>
      </c>
      <c r="P30" s="50">
        <f>VLOOKUP(B30,'Feuerwaffen-Ressourcen'!$A$2:$AI$54,16,0)+VLOOKUP(C30,'Feuerwaffen-Ressourcen'!$A$2:$AI$54,16,0)+VLOOKUP(D30,'Feuerwaffen-Ressourcen'!$A$2:$AI$54,16,0)+VLOOKUP(E30,'Feuerwaffen-Ressourcen'!$A$2:$AI$54,16,0)</f>
        <v/>
      </c>
      <c r="Q30" s="52">
        <f>VLOOKUP(B30,'Feuerwaffen-Ressourcen'!$A$2:$AI$54,17,0)+VLOOKUP(C30,'Feuerwaffen-Ressourcen'!$A$2:$AI$54,17,0)+VLOOKUP(D30,'Feuerwaffen-Ressourcen'!$A$2:$AI$54,17,0)+VLOOKUP(E30,'Feuerwaffen-Ressourcen'!$A$2:$AI$54,17,0)</f>
        <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
      </c>
      <c r="X30" s="50">
        <f>VLOOKUP(B30,'Feuerwaffen-Ressourcen'!$A$2:$AI$54,24,0)+VLOOKUP(C30,'Feuerwaffen-Ressourcen'!$A$2:$AI$54,24,0)+VLOOKUP(D30,'Feuerwaffen-Ressourcen'!$A$2:$AI$54,24,0)+VLOOKUP(G30,'Feuerwaffen-Ressourcen'!$A$2:$AI$54,24,0)</f>
        <v/>
      </c>
      <c r="Y30" s="50">
        <f>VLOOKUP(D30,'Feuerwaffen-Ressourcen'!$A$2:$AI$54,25,0)+VLOOKUP(E30,'Feuerwaffen-Ressourcen'!$A$2:$AI$54,25,0)+VLOOKUP(F30,'Feuerwaffen-Ressourcen'!$A$2:$AI$54,25,0)</f>
        <v/>
      </c>
      <c r="Z30" s="50">
        <f>VLOOKUP(E30,'Feuerwaffen-Ressourcen'!$A$2:$AI$54,26,0)</f>
        <v/>
      </c>
      <c r="AA30" s="50">
        <f>VLOOKUP(B30,'Feuerwaffen-Ressourcen'!$A$2:$AI$54,27,0)+VLOOKUP(D30,'Feuerwaffen-Ressourcen'!$A$2:$AI$54,27,0)+VLOOKUP(F30,'Feuerwaffen-Ressourcen'!$A$2:$AI$54,27,0)+VLOOKUP(I30,'Feuerwaffen-Ressourcen'!$A$2:$AI$54,27,0)</f>
        <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
      </c>
      <c r="AC30" s="53">
        <f>VLOOKUP(I30,'Feuerwaffen-Ressourcen'!$A$2:$AI$54,31,0)*AD30+AE30</f>
        <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
      </c>
      <c r="AF30" s="55">
        <f>VLOOKUP(AB30,'Feuerwaffen-Ressourcen'!$AO$3:$AP$9,2,1)</f>
        <v/>
      </c>
      <c r="AG30" s="55" t="n">
        <v>0</v>
      </c>
      <c r="AH30" s="28" t="inlineStr">
        <is>
          <t>Stangenwaffen</t>
        </is>
      </c>
      <c r="AI30" s="28" t="inlineStr">
        <is>
          <t>Improvisierte Stangenwaffen</t>
        </is>
      </c>
      <c r="AJ30" s="56" t="n">
        <v>3</v>
      </c>
      <c r="AK30" s="56" t="inlineStr">
        <is>
          <t>W8</t>
        </is>
      </c>
      <c r="AL30" s="56" t="inlineStr">
        <is>
          <t>W4</t>
        </is>
      </c>
      <c r="AM30" s="56" t="n">
        <v>3</v>
      </c>
      <c r="AN30" s="56" t="n">
        <v>5</v>
      </c>
      <c r="AO30" s="56" t="n">
        <v>4</v>
      </c>
      <c r="AP30" s="56" t="n">
        <v>4</v>
      </c>
      <c r="AQ30" s="56" t="n">
        <v>6</v>
      </c>
      <c r="AR30" s="56" t="n">
        <v>6</v>
      </c>
      <c r="AS30" s="56" t="n">
        <v>5</v>
      </c>
      <c r="AT30" s="56" t="n">
        <v>6</v>
      </c>
    </row>
    <row r="31">
      <c r="A31" s="49" t="inlineStr">
        <is>
          <t>Felpteske</t>
        </is>
      </c>
      <c r="B31" s="49" t="inlineStr">
        <is>
          <t>Goblinisch</t>
        </is>
      </c>
      <c r="C31" s="49" t="inlineStr">
        <is>
          <t>Gewehr</t>
        </is>
      </c>
      <c r="D31" s="49" t="inlineStr">
        <is>
          <t>Normal</t>
        </is>
      </c>
      <c r="E31" s="49" t="inlineStr">
        <is>
          <t>Hinterlader</t>
        </is>
      </c>
      <c r="F31" s="49" t="inlineStr">
        <is>
          <t>Nadelzündung</t>
        </is>
      </c>
      <c r="G31" s="49" t="inlineStr">
        <is>
          <t>Gezogen</t>
        </is>
      </c>
      <c r="H31" s="49" t="inlineStr">
        <is>
          <t>Papier Patrone</t>
        </is>
      </c>
      <c r="I31" s="49" t="inlineStr">
        <is>
          <t>Massenfabrikation</t>
        </is>
      </c>
      <c r="J31" s="49" t="inlineStr">
        <is>
          <t>Von der Stange</t>
        </is>
      </c>
      <c r="K31" s="51">
        <f>VLOOKUP(B31,'Feuerwaffen-Ressourcen'!$A$2:$AI$54,11,0)+VLOOKUP(C31,'Feuerwaffen-Ressourcen'!$A$2:$AI$54,11,0)+VLOOKUP(D31,'Feuerwaffen-Ressourcen'!$A$2:$AI$54,11,0)+VLOOKUP(E31,'Feuerwaffen-Ressourcen'!$A$2:$AI$54,11,0)+VLOOKUP(G31,'Feuerwaffen-Ressourcen'!$A$2:$AI$54,11,0)</f>
        <v/>
      </c>
      <c r="L31" s="50">
        <f>VLOOKUP(B31,'Feuerwaffen-Ressourcen'!$A$2:$AI$54,12,0)+VLOOKUP(C31,'Feuerwaffen-Ressourcen'!$A$2:$AI$54,12,0)+VLOOKUP(D31,'Feuerwaffen-Ressourcen'!$A$2:$AI$54,12,0)+VLOOKUP(J31,'Feuerwaffen-Ressourcen'!$A$2:$AI$54,12,0)</f>
        <v/>
      </c>
      <c r="M31" s="50">
        <f>VLOOKUP(VLOOKUP(B31,'Feuerwaffen-Ressourcen'!$A$2:$AI$54,13,0)+VLOOKUP(C31,'Feuerwaffen-Ressourcen'!$A$2:$AI$54,13,0)+VLOOKUP(D31,'Feuerwaffen-Ressourcen'!$A$2:$AI$54,13,0),'Feuerwaffen-Ressourcen'!$AJ$3:$AK$12,2,0)</f>
        <v/>
      </c>
      <c r="N31" s="50">
        <f>VLOOKUP(VLOOKUP(B31,'Feuerwaffen-Ressourcen'!$A$2:$AI$54,14,0)+VLOOKUP(C31,'Feuerwaffen-Ressourcen'!$A$2:$AI$54,14,0)+VLOOKUP(D31,'Feuerwaffen-Ressourcen'!$A$2:$AI$54,14,0),'Feuerwaffen-Ressourcen'!$AJ$3:$AK$12,2,0)</f>
        <v/>
      </c>
      <c r="O31" s="50">
        <f>VLOOKUP(B31,'Feuerwaffen-Ressourcen'!$A$2:$AI$54,15,0)+VLOOKUP(C31,'Feuerwaffen-Ressourcen'!$A$2:$AI$54,15,0)+VLOOKUP(D31,'Feuerwaffen-Ressourcen'!$A$2:$AI$54,15,0)</f>
        <v/>
      </c>
      <c r="P31" s="50">
        <f>VLOOKUP(B31,'Feuerwaffen-Ressourcen'!$A$2:$AI$54,16,0)+VLOOKUP(C31,'Feuerwaffen-Ressourcen'!$A$2:$AI$54,16,0)+VLOOKUP(D31,'Feuerwaffen-Ressourcen'!$A$2:$AI$54,16,0)+VLOOKUP(E31,'Feuerwaffen-Ressourcen'!$A$2:$AI$54,16,0)</f>
        <v/>
      </c>
      <c r="Q31" s="52">
        <f>VLOOKUP(B31,'Feuerwaffen-Ressourcen'!$A$2:$AI$54,17,0)+VLOOKUP(C31,'Feuerwaffen-Ressourcen'!$A$2:$AI$54,17,0)+VLOOKUP(D31,'Feuerwaffen-Ressourcen'!$A$2:$AI$54,17,0)+VLOOKUP(E31,'Feuerwaffen-Ressourcen'!$A$2:$AI$54,17,0)</f>
        <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
      </c>
      <c r="X31" s="50">
        <f>VLOOKUP(B31,'Feuerwaffen-Ressourcen'!$A$2:$AI$54,24,0)+VLOOKUP(C31,'Feuerwaffen-Ressourcen'!$A$2:$AI$54,24,0)+VLOOKUP(D31,'Feuerwaffen-Ressourcen'!$A$2:$AI$54,24,0)+VLOOKUP(G31,'Feuerwaffen-Ressourcen'!$A$2:$AI$54,24,0)</f>
        <v/>
      </c>
      <c r="Y31" s="50">
        <f>VLOOKUP(D31,'Feuerwaffen-Ressourcen'!$A$2:$AI$54,25,0)+VLOOKUP(E31,'Feuerwaffen-Ressourcen'!$A$2:$AI$54,25,0)+VLOOKUP(F31,'Feuerwaffen-Ressourcen'!$A$2:$AI$54,25,0)</f>
        <v/>
      </c>
      <c r="Z31" s="50">
        <f>VLOOKUP(E31,'Feuerwaffen-Ressourcen'!$A$2:$AI$54,26,0)</f>
        <v/>
      </c>
      <c r="AA31" s="50">
        <f>VLOOKUP(B31,'Feuerwaffen-Ressourcen'!$A$2:$AI$54,27,0)+VLOOKUP(D31,'Feuerwaffen-Ressourcen'!$A$2:$AI$54,27,0)+VLOOKUP(F31,'Feuerwaffen-Ressourcen'!$A$2:$AI$54,27,0)+VLOOKUP(I31,'Feuerwaffen-Ressourcen'!$A$2:$AI$54,27,0)</f>
        <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
      </c>
      <c r="AC31" s="53">
        <f>VLOOKUP(I31,'Feuerwaffen-Ressourcen'!$A$2:$AI$54,31,0)*AD31+AE31</f>
        <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
      </c>
      <c r="AF31" s="55">
        <f>VLOOKUP(AB31,'Feuerwaffen-Ressourcen'!$AO$3:$AP$9,2,1)</f>
        <v/>
      </c>
      <c r="AG31" s="55" t="n">
        <v>0</v>
      </c>
      <c r="AH31" s="28" t="inlineStr">
        <is>
          <t>Stangenwaffen</t>
        </is>
      </c>
      <c r="AI31" s="28" t="inlineStr">
        <is>
          <t>Improvisierte Stangenwaffen</t>
        </is>
      </c>
      <c r="AJ31" s="56" t="n">
        <v>3</v>
      </c>
      <c r="AK31" s="56" t="inlineStr">
        <is>
          <t>W8</t>
        </is>
      </c>
      <c r="AL31" s="56" t="inlineStr">
        <is>
          <t>W4</t>
        </is>
      </c>
      <c r="AM31" s="56" t="n">
        <v>3</v>
      </c>
      <c r="AN31" s="56" t="n">
        <v>5</v>
      </c>
      <c r="AO31" s="56" t="n">
        <v>4</v>
      </c>
      <c r="AP31" s="56" t="n">
        <v>4</v>
      </c>
      <c r="AQ31" s="56" t="n">
        <v>7</v>
      </c>
      <c r="AR31" s="56" t="n">
        <v>7</v>
      </c>
      <c r="AS31" s="56" t="n">
        <v>5</v>
      </c>
      <c r="AT31" s="56" t="n">
        <v>6</v>
      </c>
    </row>
    <row r="32">
      <c r="A32" s="49" t="inlineStr">
        <is>
          <t>Froggler</t>
        </is>
      </c>
      <c r="B32" s="49" t="inlineStr">
        <is>
          <t>Goblinisch</t>
        </is>
      </c>
      <c r="C32" s="49" t="inlineStr">
        <is>
          <t>Gewehr</t>
        </is>
      </c>
      <c r="D32" s="49" t="inlineStr">
        <is>
          <t>Billig</t>
        </is>
      </c>
      <c r="E32" s="49" t="inlineStr">
        <is>
          <t>Vorderlader</t>
        </is>
      </c>
      <c r="F32" s="49" t="inlineStr">
        <is>
          <t>Steinschloss</t>
        </is>
      </c>
      <c r="G32" s="49" t="inlineStr">
        <is>
          <t>Glattlauf</t>
        </is>
      </c>
      <c r="H32" s="49" t="inlineStr">
        <is>
          <t>Blei</t>
        </is>
      </c>
      <c r="I32" s="49" t="inlineStr">
        <is>
          <t>Massenfabrikation</t>
        </is>
      </c>
      <c r="J32" s="49" t="inlineStr">
        <is>
          <t>Von der Stange</t>
        </is>
      </c>
      <c r="K32" s="51">
        <f>VLOOKUP(B32,'Feuerwaffen-Ressourcen'!$A$2:$AI$54,11,0)+VLOOKUP(C32,'Feuerwaffen-Ressourcen'!$A$2:$AI$54,11,0)+VLOOKUP(D32,'Feuerwaffen-Ressourcen'!$A$2:$AI$54,11,0)+VLOOKUP(E32,'Feuerwaffen-Ressourcen'!$A$2:$AI$54,11,0)+VLOOKUP(G32,'Feuerwaffen-Ressourcen'!$A$2:$AI$54,11,0)</f>
        <v/>
      </c>
      <c r="L32" s="50">
        <f>VLOOKUP(B32,'Feuerwaffen-Ressourcen'!$A$2:$AI$54,12,0)+VLOOKUP(C32,'Feuerwaffen-Ressourcen'!$A$2:$AI$54,12,0)+VLOOKUP(D32,'Feuerwaffen-Ressourcen'!$A$2:$AI$54,12,0)+VLOOKUP(J32,'Feuerwaffen-Ressourcen'!$A$2:$AI$54,12,0)</f>
        <v/>
      </c>
      <c r="M32" s="50">
        <f>VLOOKUP(VLOOKUP(B32,'Feuerwaffen-Ressourcen'!$A$2:$AI$54,13,0)+VLOOKUP(C32,'Feuerwaffen-Ressourcen'!$A$2:$AI$54,13,0)+VLOOKUP(D32,'Feuerwaffen-Ressourcen'!$A$2:$AI$54,13,0),'Feuerwaffen-Ressourcen'!$AJ$3:$AK$12,2,0)</f>
        <v/>
      </c>
      <c r="N32" s="50">
        <f>VLOOKUP(VLOOKUP(B32,'Feuerwaffen-Ressourcen'!$A$2:$AI$54,14,0)+VLOOKUP(C32,'Feuerwaffen-Ressourcen'!$A$2:$AI$54,14,0)+VLOOKUP(D32,'Feuerwaffen-Ressourcen'!$A$2:$AI$54,14,0),'Feuerwaffen-Ressourcen'!$AJ$3:$AK$12,2,0)</f>
        <v/>
      </c>
      <c r="O32" s="50">
        <f>VLOOKUP(B32,'Feuerwaffen-Ressourcen'!$A$2:$AI$54,15,0)+VLOOKUP(C32,'Feuerwaffen-Ressourcen'!$A$2:$AI$54,15,0)+VLOOKUP(D32,'Feuerwaffen-Ressourcen'!$A$2:$AI$54,15,0)</f>
        <v/>
      </c>
      <c r="P32" s="50">
        <f>VLOOKUP(B32,'Feuerwaffen-Ressourcen'!$A$2:$AI$54,16,0)+VLOOKUP(C32,'Feuerwaffen-Ressourcen'!$A$2:$AI$54,16,0)+VLOOKUP(D32,'Feuerwaffen-Ressourcen'!$A$2:$AI$54,16,0)+VLOOKUP(E32,'Feuerwaffen-Ressourcen'!$A$2:$AI$54,16,0)</f>
        <v/>
      </c>
      <c r="Q32" s="52">
        <f>VLOOKUP(B32,'Feuerwaffen-Ressourcen'!$A$2:$AI$54,17,0)+VLOOKUP(C32,'Feuerwaffen-Ressourcen'!$A$2:$AI$54,17,0)+VLOOKUP(D32,'Feuerwaffen-Ressourcen'!$A$2:$AI$54,17,0)+VLOOKUP(E32,'Feuerwaffen-Ressourcen'!$A$2:$AI$54,17,0)</f>
        <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
      </c>
      <c r="X32" s="50">
        <f>VLOOKUP(B32,'Feuerwaffen-Ressourcen'!$A$2:$AI$54,24,0)+VLOOKUP(C32,'Feuerwaffen-Ressourcen'!$A$2:$AI$54,24,0)+VLOOKUP(D32,'Feuerwaffen-Ressourcen'!$A$2:$AI$54,24,0)+VLOOKUP(G32,'Feuerwaffen-Ressourcen'!$A$2:$AI$54,24,0)</f>
        <v/>
      </c>
      <c r="Y32" s="50">
        <f>VLOOKUP(D32,'Feuerwaffen-Ressourcen'!$A$2:$AI$54,25,0)+VLOOKUP(E32,'Feuerwaffen-Ressourcen'!$A$2:$AI$54,25,0)+VLOOKUP(F32,'Feuerwaffen-Ressourcen'!$A$2:$AI$54,25,0)</f>
        <v/>
      </c>
      <c r="Z32" s="50">
        <f>VLOOKUP(E32,'Feuerwaffen-Ressourcen'!$A$2:$AI$54,26,0)</f>
        <v/>
      </c>
      <c r="AA32" s="50">
        <f>VLOOKUP(B32,'Feuerwaffen-Ressourcen'!$A$2:$AI$54,27,0)+VLOOKUP(D32,'Feuerwaffen-Ressourcen'!$A$2:$AI$54,27,0)+VLOOKUP(F32,'Feuerwaffen-Ressourcen'!$A$2:$AI$54,27,0)+VLOOKUP(I32,'Feuerwaffen-Ressourcen'!$A$2:$AI$54,27,0)</f>
        <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
      </c>
      <c r="AC32" s="53">
        <f>VLOOKUP(I32,'Feuerwaffen-Ressourcen'!$A$2:$AI$54,31,0)*AD32+AE32</f>
        <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
      </c>
      <c r="AF32" s="55">
        <f>VLOOKUP(AB32,'Feuerwaffen-Ressourcen'!$AO$3:$AP$9,2,1)</f>
        <v/>
      </c>
      <c r="AG32" s="55" t="n">
        <v>0</v>
      </c>
      <c r="AH32" s="28" t="inlineStr">
        <is>
          <t>Stangenwaffen</t>
        </is>
      </c>
      <c r="AI32" s="28" t="inlineStr">
        <is>
          <t>Improvisierte Stangenwaffen</t>
        </is>
      </c>
      <c r="AJ32" s="56" t="n">
        <v>3</v>
      </c>
      <c r="AK32" s="56" t="inlineStr">
        <is>
          <t>W8</t>
        </is>
      </c>
      <c r="AL32" s="56" t="inlineStr">
        <is>
          <t>W4</t>
        </is>
      </c>
      <c r="AM32" s="56" t="n">
        <v>3</v>
      </c>
      <c r="AN32" s="56" t="n">
        <v>5</v>
      </c>
      <c r="AO32" s="56" t="n">
        <v>4</v>
      </c>
      <c r="AP32" s="56" t="n">
        <v>4</v>
      </c>
      <c r="AQ32" s="56" t="n">
        <v>6</v>
      </c>
      <c r="AR32" s="56" t="n">
        <v>6</v>
      </c>
      <c r="AS32" s="56" t="n">
        <v>5</v>
      </c>
      <c r="AT32" s="56" t="n">
        <v>6</v>
      </c>
    </row>
    <row r="33">
      <c r="A33" s="49" t="inlineStr">
        <is>
          <t>Garr</t>
        </is>
      </c>
      <c r="B33" s="49" t="inlineStr">
        <is>
          <t>Goblinisch</t>
        </is>
      </c>
      <c r="C33" s="49" t="inlineStr">
        <is>
          <t>Gewehr</t>
        </is>
      </c>
      <c r="D33" s="49" t="inlineStr">
        <is>
          <t>Normal</t>
        </is>
      </c>
      <c r="E33" s="49" t="inlineStr">
        <is>
          <t>Vorderlader</t>
        </is>
      </c>
      <c r="F33" s="49" t="inlineStr">
        <is>
          <t>Steinschloss</t>
        </is>
      </c>
      <c r="G33" s="49" t="inlineStr">
        <is>
          <t>Glattlauf</t>
        </is>
      </c>
      <c r="H33" s="49" t="inlineStr">
        <is>
          <t>Blei</t>
        </is>
      </c>
      <c r="I33" s="49" t="inlineStr">
        <is>
          <t>Massenfabrikation</t>
        </is>
      </c>
      <c r="J33" s="49" t="inlineStr">
        <is>
          <t>Von der Stange</t>
        </is>
      </c>
      <c r="K33" s="51">
        <f>VLOOKUP(B33,'Feuerwaffen-Ressourcen'!$A$2:$AI$54,11,0)+VLOOKUP(C33,'Feuerwaffen-Ressourcen'!$A$2:$AI$54,11,0)+VLOOKUP(D33,'Feuerwaffen-Ressourcen'!$A$2:$AI$54,11,0)+VLOOKUP(E33,'Feuerwaffen-Ressourcen'!$A$2:$AI$54,11,0)+VLOOKUP(G33,'Feuerwaffen-Ressourcen'!$A$2:$AI$54,11,0)</f>
        <v/>
      </c>
      <c r="L33" s="50">
        <f>VLOOKUP(B33,'Feuerwaffen-Ressourcen'!$A$2:$AI$54,12,0)+VLOOKUP(C33,'Feuerwaffen-Ressourcen'!$A$2:$AI$54,12,0)+VLOOKUP(D33,'Feuerwaffen-Ressourcen'!$A$2:$AI$54,12,0)+VLOOKUP(J33,'Feuerwaffen-Ressourcen'!$A$2:$AI$54,12,0)</f>
        <v/>
      </c>
      <c r="M33" s="50">
        <f>VLOOKUP(VLOOKUP(B33,'Feuerwaffen-Ressourcen'!$A$2:$AI$54,13,0)+VLOOKUP(C33,'Feuerwaffen-Ressourcen'!$A$2:$AI$54,13,0)+VLOOKUP(D33,'Feuerwaffen-Ressourcen'!$A$2:$AI$54,13,0),'Feuerwaffen-Ressourcen'!$AJ$3:$AK$12,2,0)</f>
        <v/>
      </c>
      <c r="N33" s="50">
        <f>VLOOKUP(VLOOKUP(B33,'Feuerwaffen-Ressourcen'!$A$2:$AI$54,14,0)+VLOOKUP(C33,'Feuerwaffen-Ressourcen'!$A$2:$AI$54,14,0)+VLOOKUP(D33,'Feuerwaffen-Ressourcen'!$A$2:$AI$54,14,0),'Feuerwaffen-Ressourcen'!$AJ$3:$AK$12,2,0)</f>
        <v/>
      </c>
      <c r="O33" s="50">
        <f>VLOOKUP(B33,'Feuerwaffen-Ressourcen'!$A$2:$AI$54,15,0)+VLOOKUP(C33,'Feuerwaffen-Ressourcen'!$A$2:$AI$54,15,0)+VLOOKUP(D33,'Feuerwaffen-Ressourcen'!$A$2:$AI$54,15,0)</f>
        <v/>
      </c>
      <c r="P33" s="50">
        <f>VLOOKUP(B33,'Feuerwaffen-Ressourcen'!$A$2:$AI$54,16,0)+VLOOKUP(C33,'Feuerwaffen-Ressourcen'!$A$2:$AI$54,16,0)+VLOOKUP(D33,'Feuerwaffen-Ressourcen'!$A$2:$AI$54,16,0)+VLOOKUP(E33,'Feuerwaffen-Ressourcen'!$A$2:$AI$54,16,0)</f>
        <v/>
      </c>
      <c r="Q33" s="52">
        <f>VLOOKUP(B33,'Feuerwaffen-Ressourcen'!$A$2:$AI$54,17,0)+VLOOKUP(C33,'Feuerwaffen-Ressourcen'!$A$2:$AI$54,17,0)+VLOOKUP(D33,'Feuerwaffen-Ressourcen'!$A$2:$AI$54,17,0)+VLOOKUP(E33,'Feuerwaffen-Ressourcen'!$A$2:$AI$54,17,0)</f>
        <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
      </c>
      <c r="X33" s="50">
        <f>VLOOKUP(B33,'Feuerwaffen-Ressourcen'!$A$2:$AI$54,24,0)+VLOOKUP(C33,'Feuerwaffen-Ressourcen'!$A$2:$AI$54,24,0)+VLOOKUP(D33,'Feuerwaffen-Ressourcen'!$A$2:$AI$54,24,0)+VLOOKUP(G33,'Feuerwaffen-Ressourcen'!$A$2:$AI$54,24,0)</f>
        <v/>
      </c>
      <c r="Y33" s="50">
        <f>VLOOKUP(D33,'Feuerwaffen-Ressourcen'!$A$2:$AI$54,25,0)+VLOOKUP(E33,'Feuerwaffen-Ressourcen'!$A$2:$AI$54,25,0)+VLOOKUP(F33,'Feuerwaffen-Ressourcen'!$A$2:$AI$54,25,0)</f>
        <v/>
      </c>
      <c r="Z33" s="50">
        <f>VLOOKUP(E33,'Feuerwaffen-Ressourcen'!$A$2:$AI$54,26,0)</f>
        <v/>
      </c>
      <c r="AA33" s="50">
        <f>VLOOKUP(B33,'Feuerwaffen-Ressourcen'!$A$2:$AI$54,27,0)+VLOOKUP(D33,'Feuerwaffen-Ressourcen'!$A$2:$AI$54,27,0)+VLOOKUP(F33,'Feuerwaffen-Ressourcen'!$A$2:$AI$54,27,0)+VLOOKUP(I33,'Feuerwaffen-Ressourcen'!$A$2:$AI$54,27,0)</f>
        <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
      </c>
      <c r="AC33" s="53">
        <f>VLOOKUP(I33,'Feuerwaffen-Ressourcen'!$A$2:$AI$54,31,0)*AD33+AE33</f>
        <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
      </c>
      <c r="AF33" s="55">
        <f>VLOOKUP(AB33,'Feuerwaffen-Ressourcen'!$AO$3:$AP$9,2,1)</f>
        <v/>
      </c>
      <c r="AG33" s="55" t="n">
        <v>0</v>
      </c>
      <c r="AH33" s="28" t="inlineStr">
        <is>
          <t>Stangenwaffen</t>
        </is>
      </c>
      <c r="AI33" s="28" t="inlineStr">
        <is>
          <t>Improvisierte Stangenwaffen</t>
        </is>
      </c>
      <c r="AJ33" s="56" t="n">
        <v>3</v>
      </c>
      <c r="AK33" s="56" t="inlineStr">
        <is>
          <t>W8</t>
        </is>
      </c>
      <c r="AL33" s="56" t="inlineStr">
        <is>
          <t>W4</t>
        </is>
      </c>
      <c r="AM33" s="56" t="n">
        <v>3</v>
      </c>
      <c r="AN33" s="56" t="n">
        <v>5</v>
      </c>
      <c r="AO33" s="56" t="n">
        <v>4</v>
      </c>
      <c r="AP33" s="56" t="n">
        <v>4</v>
      </c>
      <c r="AQ33" s="56" t="n">
        <v>7</v>
      </c>
      <c r="AR33" s="56" t="n">
        <v>7</v>
      </c>
      <c r="AS33" s="56" t="n">
        <v>5</v>
      </c>
      <c r="AT33" s="56" t="n">
        <v>6</v>
      </c>
    </row>
    <row r="34">
      <c r="A34" s="49" t="inlineStr">
        <is>
          <t>Gliksik</t>
        </is>
      </c>
      <c r="B34" s="49" t="inlineStr">
        <is>
          <t>Goblinisch</t>
        </is>
      </c>
      <c r="C34" s="49" t="inlineStr">
        <is>
          <t>Gewehr</t>
        </is>
      </c>
      <c r="D34" s="49" t="inlineStr">
        <is>
          <t>Normal</t>
        </is>
      </c>
      <c r="E34" s="49" t="inlineStr">
        <is>
          <t>Klapplauf</t>
        </is>
      </c>
      <c r="F34" s="49" t="inlineStr">
        <is>
          <t>Schlagbolzen</t>
        </is>
      </c>
      <c r="G34" s="49" t="inlineStr">
        <is>
          <t>Gezogen</t>
        </is>
      </c>
      <c r="H34" s="49" t="inlineStr">
        <is>
          <t>Messing Patrone</t>
        </is>
      </c>
      <c r="I34" s="49" t="inlineStr">
        <is>
          <t>Massenfabrikation</t>
        </is>
      </c>
      <c r="J34" s="49" t="inlineStr">
        <is>
          <t>Von der Stange</t>
        </is>
      </c>
      <c r="K34" s="51">
        <f>VLOOKUP(B34,'Feuerwaffen-Ressourcen'!$A$2:$AI$54,11,0)+VLOOKUP(C34,'Feuerwaffen-Ressourcen'!$A$2:$AI$54,11,0)+VLOOKUP(D34,'Feuerwaffen-Ressourcen'!$A$2:$AI$54,11,0)+VLOOKUP(E34,'Feuerwaffen-Ressourcen'!$A$2:$AI$54,11,0)+VLOOKUP(G34,'Feuerwaffen-Ressourcen'!$A$2:$AI$54,11,0)</f>
        <v/>
      </c>
      <c r="L34" s="50">
        <f>VLOOKUP(B34,'Feuerwaffen-Ressourcen'!$A$2:$AI$54,12,0)+VLOOKUP(C34,'Feuerwaffen-Ressourcen'!$A$2:$AI$54,12,0)+VLOOKUP(D34,'Feuerwaffen-Ressourcen'!$A$2:$AI$54,12,0)+VLOOKUP(J34,'Feuerwaffen-Ressourcen'!$A$2:$AI$54,12,0)</f>
        <v/>
      </c>
      <c r="M34" s="50">
        <f>VLOOKUP(VLOOKUP(B34,'Feuerwaffen-Ressourcen'!$A$2:$AI$54,13,0)+VLOOKUP(C34,'Feuerwaffen-Ressourcen'!$A$2:$AI$54,13,0)+VLOOKUP(D34,'Feuerwaffen-Ressourcen'!$A$2:$AI$54,13,0),'Feuerwaffen-Ressourcen'!$AJ$3:$AK$12,2,0)</f>
        <v/>
      </c>
      <c r="N34" s="50">
        <f>VLOOKUP(VLOOKUP(B34,'Feuerwaffen-Ressourcen'!$A$2:$AI$54,14,0)+VLOOKUP(C34,'Feuerwaffen-Ressourcen'!$A$2:$AI$54,14,0)+VLOOKUP(D34,'Feuerwaffen-Ressourcen'!$A$2:$AI$54,14,0),'Feuerwaffen-Ressourcen'!$AJ$3:$AK$12,2,0)</f>
        <v/>
      </c>
      <c r="O34" s="50">
        <f>VLOOKUP(B34,'Feuerwaffen-Ressourcen'!$A$2:$AI$54,15,0)+VLOOKUP(C34,'Feuerwaffen-Ressourcen'!$A$2:$AI$54,15,0)+VLOOKUP(D34,'Feuerwaffen-Ressourcen'!$A$2:$AI$54,15,0)</f>
        <v/>
      </c>
      <c r="P34" s="50">
        <f>VLOOKUP(B34,'Feuerwaffen-Ressourcen'!$A$2:$AI$54,16,0)+VLOOKUP(C34,'Feuerwaffen-Ressourcen'!$A$2:$AI$54,16,0)+VLOOKUP(D34,'Feuerwaffen-Ressourcen'!$A$2:$AI$54,16,0)+VLOOKUP(E34,'Feuerwaffen-Ressourcen'!$A$2:$AI$54,16,0)</f>
        <v/>
      </c>
      <c r="Q34" s="52">
        <f>VLOOKUP(B34,'Feuerwaffen-Ressourcen'!$A$2:$AI$54,17,0)+VLOOKUP(C34,'Feuerwaffen-Ressourcen'!$A$2:$AI$54,17,0)+VLOOKUP(D34,'Feuerwaffen-Ressourcen'!$A$2:$AI$54,17,0)+VLOOKUP(E34,'Feuerwaffen-Ressourcen'!$A$2:$AI$54,17,0)</f>
        <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
      </c>
      <c r="X34" s="50">
        <f>VLOOKUP(B34,'Feuerwaffen-Ressourcen'!$A$2:$AI$54,24,0)+VLOOKUP(C34,'Feuerwaffen-Ressourcen'!$A$2:$AI$54,24,0)+VLOOKUP(D34,'Feuerwaffen-Ressourcen'!$A$2:$AI$54,24,0)+VLOOKUP(G34,'Feuerwaffen-Ressourcen'!$A$2:$AI$54,24,0)</f>
        <v/>
      </c>
      <c r="Y34" s="50">
        <f>VLOOKUP(D34,'Feuerwaffen-Ressourcen'!$A$2:$AI$54,25,0)+VLOOKUP(E34,'Feuerwaffen-Ressourcen'!$A$2:$AI$54,25,0)+VLOOKUP(F34,'Feuerwaffen-Ressourcen'!$A$2:$AI$54,25,0)</f>
        <v/>
      </c>
      <c r="Z34" s="50">
        <f>VLOOKUP(E34,'Feuerwaffen-Ressourcen'!$A$2:$AI$54,26,0)</f>
        <v/>
      </c>
      <c r="AA34" s="50">
        <f>VLOOKUP(B34,'Feuerwaffen-Ressourcen'!$A$2:$AI$54,27,0)+VLOOKUP(D34,'Feuerwaffen-Ressourcen'!$A$2:$AI$54,27,0)+VLOOKUP(F34,'Feuerwaffen-Ressourcen'!$A$2:$AI$54,27,0)+VLOOKUP(I34,'Feuerwaffen-Ressourcen'!$A$2:$AI$54,27,0)</f>
        <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
      </c>
      <c r="AC34" s="53">
        <f>VLOOKUP(I34,'Feuerwaffen-Ressourcen'!$A$2:$AI$54,31,0)*AD34+AE34</f>
        <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
      </c>
      <c r="AF34" s="55">
        <f>VLOOKUP(AB34,'Feuerwaffen-Ressourcen'!$AO$3:$AP$9,2,1)</f>
        <v/>
      </c>
      <c r="AG34" s="55" t="n">
        <v>0</v>
      </c>
      <c r="AH34" s="28" t="inlineStr">
        <is>
          <t>Stangenwaffen</t>
        </is>
      </c>
      <c r="AI34" s="28" t="inlineStr">
        <is>
          <t>Improvisierte Stangenwaffen</t>
        </is>
      </c>
      <c r="AJ34" s="56" t="n">
        <v>3</v>
      </c>
      <c r="AK34" s="56" t="inlineStr">
        <is>
          <t>W8</t>
        </is>
      </c>
      <c r="AL34" s="56" t="inlineStr">
        <is>
          <t>W4</t>
        </is>
      </c>
      <c r="AM34" s="56" t="n">
        <v>3</v>
      </c>
      <c r="AN34" s="56" t="n">
        <v>5</v>
      </c>
      <c r="AO34" s="56" t="n">
        <v>4</v>
      </c>
      <c r="AP34" s="56" t="n">
        <v>4</v>
      </c>
      <c r="AQ34" s="56" t="n">
        <v>7</v>
      </c>
      <c r="AR34" s="56" t="n">
        <v>7</v>
      </c>
      <c r="AS34" s="56" t="n">
        <v>5</v>
      </c>
      <c r="AT34" s="56" t="n">
        <v>6</v>
      </c>
    </row>
    <row r="35">
      <c r="A35" s="49" t="inlineStr">
        <is>
          <t>Gnarrgarr</t>
        </is>
      </c>
      <c r="B35" s="49" t="inlineStr">
        <is>
          <t>Goblinisch</t>
        </is>
      </c>
      <c r="C35" s="49" t="inlineStr">
        <is>
          <t>Gewehr</t>
        </is>
      </c>
      <c r="D35" s="49" t="inlineStr">
        <is>
          <t>Hakenbüchse</t>
        </is>
      </c>
      <c r="E35" s="49" t="inlineStr">
        <is>
          <t>Vorderlader</t>
        </is>
      </c>
      <c r="F35" s="49" t="inlineStr">
        <is>
          <t>Steinschloss</t>
        </is>
      </c>
      <c r="G35" s="49" t="inlineStr">
        <is>
          <t>Glattlauf</t>
        </is>
      </c>
      <c r="H35" s="49" t="inlineStr">
        <is>
          <t>Blei</t>
        </is>
      </c>
      <c r="I35" s="49" t="inlineStr">
        <is>
          <t>Massenfabrikation</t>
        </is>
      </c>
      <c r="J35" s="49" t="inlineStr">
        <is>
          <t>Von der Stange</t>
        </is>
      </c>
      <c r="K35" s="51">
        <f>VLOOKUP(B35,'Feuerwaffen-Ressourcen'!$A$2:$AI$54,11,0)+VLOOKUP(C35,'Feuerwaffen-Ressourcen'!$A$2:$AI$54,11,0)+VLOOKUP(D35,'Feuerwaffen-Ressourcen'!$A$2:$AI$54,11,0)+VLOOKUP(E35,'Feuerwaffen-Ressourcen'!$A$2:$AI$54,11,0)+VLOOKUP(G35,'Feuerwaffen-Ressourcen'!$A$2:$AI$54,11,0)</f>
        <v/>
      </c>
      <c r="L35" s="50">
        <f>VLOOKUP(B35,'Feuerwaffen-Ressourcen'!$A$2:$AI$54,12,0)+VLOOKUP(C35,'Feuerwaffen-Ressourcen'!$A$2:$AI$54,12,0)+VLOOKUP(D35,'Feuerwaffen-Ressourcen'!$A$2:$AI$54,12,0)+VLOOKUP(J35,'Feuerwaffen-Ressourcen'!$A$2:$AI$54,12,0)</f>
        <v/>
      </c>
      <c r="M35" s="50">
        <f>VLOOKUP(VLOOKUP(B35,'Feuerwaffen-Ressourcen'!$A$2:$AI$54,13,0)+VLOOKUP(C35,'Feuerwaffen-Ressourcen'!$A$2:$AI$54,13,0)+VLOOKUP(D35,'Feuerwaffen-Ressourcen'!$A$2:$AI$54,13,0),'Feuerwaffen-Ressourcen'!$AJ$3:$AK$12,2,0)</f>
        <v/>
      </c>
      <c r="N35" s="50">
        <f>VLOOKUP(VLOOKUP(B35,'Feuerwaffen-Ressourcen'!$A$2:$AI$54,14,0)+VLOOKUP(C35,'Feuerwaffen-Ressourcen'!$A$2:$AI$54,14,0)+VLOOKUP(D35,'Feuerwaffen-Ressourcen'!$A$2:$AI$54,14,0),'Feuerwaffen-Ressourcen'!$AJ$3:$AK$12,2,0)</f>
        <v/>
      </c>
      <c r="O35" s="50">
        <f>VLOOKUP(B35,'Feuerwaffen-Ressourcen'!$A$2:$AI$54,15,0)+VLOOKUP(C35,'Feuerwaffen-Ressourcen'!$A$2:$AI$54,15,0)+VLOOKUP(D35,'Feuerwaffen-Ressourcen'!$A$2:$AI$54,15,0)</f>
        <v/>
      </c>
      <c r="P35" s="50">
        <f>VLOOKUP(B35,'Feuerwaffen-Ressourcen'!$A$2:$AI$54,16,0)+VLOOKUP(C35,'Feuerwaffen-Ressourcen'!$A$2:$AI$54,16,0)+VLOOKUP(D35,'Feuerwaffen-Ressourcen'!$A$2:$AI$54,16,0)+VLOOKUP(E35,'Feuerwaffen-Ressourcen'!$A$2:$AI$54,16,0)</f>
        <v/>
      </c>
      <c r="Q35" s="52">
        <f>VLOOKUP(B35,'Feuerwaffen-Ressourcen'!$A$2:$AI$54,17,0)+VLOOKUP(C35,'Feuerwaffen-Ressourcen'!$A$2:$AI$54,17,0)+VLOOKUP(D35,'Feuerwaffen-Ressourcen'!$A$2:$AI$54,17,0)+VLOOKUP(E35,'Feuerwaffen-Ressourcen'!$A$2:$AI$54,17,0)</f>
        <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
      </c>
      <c r="X35" s="50">
        <f>VLOOKUP(B35,'Feuerwaffen-Ressourcen'!$A$2:$AI$54,24,0)+VLOOKUP(C35,'Feuerwaffen-Ressourcen'!$A$2:$AI$54,24,0)+VLOOKUP(D35,'Feuerwaffen-Ressourcen'!$A$2:$AI$54,24,0)+VLOOKUP(G35,'Feuerwaffen-Ressourcen'!$A$2:$AI$54,24,0)</f>
        <v/>
      </c>
      <c r="Y35" s="50">
        <f>VLOOKUP(D35,'Feuerwaffen-Ressourcen'!$A$2:$AI$54,25,0)+VLOOKUP(E35,'Feuerwaffen-Ressourcen'!$A$2:$AI$54,25,0)+VLOOKUP(F35,'Feuerwaffen-Ressourcen'!$A$2:$AI$54,25,0)</f>
        <v/>
      </c>
      <c r="Z35" s="50">
        <f>VLOOKUP(E35,'Feuerwaffen-Ressourcen'!$A$2:$AI$54,26,0)</f>
        <v/>
      </c>
      <c r="AA35" s="50">
        <f>VLOOKUP(B35,'Feuerwaffen-Ressourcen'!$A$2:$AI$54,27,0)+VLOOKUP(D35,'Feuerwaffen-Ressourcen'!$A$2:$AI$54,27,0)+VLOOKUP(F35,'Feuerwaffen-Ressourcen'!$A$2:$AI$54,27,0)+VLOOKUP(I35,'Feuerwaffen-Ressourcen'!$A$2:$AI$54,27,0)</f>
        <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
      </c>
      <c r="AC35" s="53">
        <f>VLOOKUP(I35,'Feuerwaffen-Ressourcen'!$A$2:$AI$54,31,0)*AD35+AE35</f>
        <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
      </c>
      <c r="AF35" s="55">
        <f>VLOOKUP(AB35,'Feuerwaffen-Ressourcen'!$AO$3:$AP$9,2,1)</f>
        <v/>
      </c>
      <c r="AG35" s="55" t="n">
        <v>0</v>
      </c>
      <c r="AH35" s="28" t="inlineStr">
        <is>
          <t>Stangenwaffen</t>
        </is>
      </c>
      <c r="AI35" s="28" t="inlineStr">
        <is>
          <t>Improvisierte Stangenwaffen</t>
        </is>
      </c>
      <c r="AJ35" s="56" t="n">
        <v>3</v>
      </c>
      <c r="AK35" s="56" t="inlineStr">
        <is>
          <t>W8</t>
        </is>
      </c>
      <c r="AL35" s="56" t="inlineStr">
        <is>
          <t>W4</t>
        </is>
      </c>
      <c r="AM35" s="56" t="n">
        <v>3</v>
      </c>
      <c r="AN35" s="56" t="n">
        <v>5</v>
      </c>
      <c r="AO35" s="56" t="n">
        <v>4</v>
      </c>
      <c r="AP35" s="56" t="n">
        <v>4</v>
      </c>
      <c r="AQ35" s="56" t="n">
        <v>11</v>
      </c>
      <c r="AR35" s="56" t="n">
        <v>11</v>
      </c>
      <c r="AS35" s="56" t="n">
        <v>5</v>
      </c>
      <c r="AT35" s="56" t="n">
        <v>6</v>
      </c>
    </row>
    <row r="36">
      <c r="A36" s="49" t="inlineStr">
        <is>
          <t>Goldbeißer</t>
        </is>
      </c>
      <c r="B36" s="49" t="inlineStr">
        <is>
          <t>Goblinisch</t>
        </is>
      </c>
      <c r="C36" s="49" t="inlineStr">
        <is>
          <t>Gewehr</t>
        </is>
      </c>
      <c r="D36" s="49" t="inlineStr">
        <is>
          <t>Schwer</t>
        </is>
      </c>
      <c r="E36" s="49" t="inlineStr">
        <is>
          <t>Block- oder Scharnierverschluss</t>
        </is>
      </c>
      <c r="F36" s="49" t="inlineStr">
        <is>
          <t>Schlagbolzen</t>
        </is>
      </c>
      <c r="G36" s="49" t="inlineStr">
        <is>
          <t>Gezogen</t>
        </is>
      </c>
      <c r="H36" s="49" t="inlineStr">
        <is>
          <t>Messing Patrone</t>
        </is>
      </c>
      <c r="I36" s="49" t="inlineStr">
        <is>
          <t>Massenfabrikation</t>
        </is>
      </c>
      <c r="J36" s="49" t="inlineStr">
        <is>
          <t>Von der Stange</t>
        </is>
      </c>
      <c r="K36" s="51">
        <f>VLOOKUP(B36,'Feuerwaffen-Ressourcen'!$A$2:$AI$54,11,0)+VLOOKUP(C36,'Feuerwaffen-Ressourcen'!$A$2:$AI$54,11,0)+VLOOKUP(D36,'Feuerwaffen-Ressourcen'!$A$2:$AI$54,11,0)+VLOOKUP(E36,'Feuerwaffen-Ressourcen'!$A$2:$AI$54,11,0)+VLOOKUP(G36,'Feuerwaffen-Ressourcen'!$A$2:$AI$54,11,0)</f>
        <v/>
      </c>
      <c r="L36" s="50">
        <f>VLOOKUP(B36,'Feuerwaffen-Ressourcen'!$A$2:$AI$54,12,0)+VLOOKUP(C36,'Feuerwaffen-Ressourcen'!$A$2:$AI$54,12,0)+VLOOKUP(D36,'Feuerwaffen-Ressourcen'!$A$2:$AI$54,12,0)+VLOOKUP(J36,'Feuerwaffen-Ressourcen'!$A$2:$AI$54,12,0)</f>
        <v/>
      </c>
      <c r="M36" s="50">
        <f>VLOOKUP(VLOOKUP(B36,'Feuerwaffen-Ressourcen'!$A$2:$AI$54,13,0)+VLOOKUP(C36,'Feuerwaffen-Ressourcen'!$A$2:$AI$54,13,0)+VLOOKUP(D36,'Feuerwaffen-Ressourcen'!$A$2:$AI$54,13,0),'Feuerwaffen-Ressourcen'!$AJ$3:$AK$12,2,0)</f>
        <v/>
      </c>
      <c r="N36" s="50">
        <f>VLOOKUP(VLOOKUP(B36,'Feuerwaffen-Ressourcen'!$A$2:$AI$54,14,0)+VLOOKUP(C36,'Feuerwaffen-Ressourcen'!$A$2:$AI$54,14,0)+VLOOKUP(D36,'Feuerwaffen-Ressourcen'!$A$2:$AI$54,14,0),'Feuerwaffen-Ressourcen'!$AJ$3:$AK$12,2,0)</f>
        <v/>
      </c>
      <c r="O36" s="50">
        <f>VLOOKUP(B36,'Feuerwaffen-Ressourcen'!$A$2:$AI$54,15,0)+VLOOKUP(C36,'Feuerwaffen-Ressourcen'!$A$2:$AI$54,15,0)+VLOOKUP(D36,'Feuerwaffen-Ressourcen'!$A$2:$AI$54,15,0)</f>
        <v/>
      </c>
      <c r="P36" s="50">
        <f>VLOOKUP(B36,'Feuerwaffen-Ressourcen'!$A$2:$AI$54,16,0)+VLOOKUP(C36,'Feuerwaffen-Ressourcen'!$A$2:$AI$54,16,0)+VLOOKUP(D36,'Feuerwaffen-Ressourcen'!$A$2:$AI$54,16,0)+VLOOKUP(E36,'Feuerwaffen-Ressourcen'!$A$2:$AI$54,16,0)</f>
        <v/>
      </c>
      <c r="Q36" s="52">
        <f>VLOOKUP(B36,'Feuerwaffen-Ressourcen'!$A$2:$AI$54,17,0)+VLOOKUP(C36,'Feuerwaffen-Ressourcen'!$A$2:$AI$54,17,0)+VLOOKUP(D36,'Feuerwaffen-Ressourcen'!$A$2:$AI$54,17,0)+VLOOKUP(E36,'Feuerwaffen-Ressourcen'!$A$2:$AI$54,17,0)</f>
        <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
      </c>
      <c r="X36" s="50">
        <f>VLOOKUP(B36,'Feuerwaffen-Ressourcen'!$A$2:$AI$54,24,0)+VLOOKUP(C36,'Feuerwaffen-Ressourcen'!$A$2:$AI$54,24,0)+VLOOKUP(D36,'Feuerwaffen-Ressourcen'!$A$2:$AI$54,24,0)+VLOOKUP(G36,'Feuerwaffen-Ressourcen'!$A$2:$AI$54,24,0)</f>
        <v/>
      </c>
      <c r="Y36" s="50">
        <f>VLOOKUP(D36,'Feuerwaffen-Ressourcen'!$A$2:$AI$54,25,0)+VLOOKUP(E36,'Feuerwaffen-Ressourcen'!$A$2:$AI$54,25,0)+VLOOKUP(F36,'Feuerwaffen-Ressourcen'!$A$2:$AI$54,25,0)</f>
        <v/>
      </c>
      <c r="Z36" s="50">
        <f>VLOOKUP(E36,'Feuerwaffen-Ressourcen'!$A$2:$AI$54,26,0)</f>
        <v/>
      </c>
      <c r="AA36" s="50">
        <f>VLOOKUP(B36,'Feuerwaffen-Ressourcen'!$A$2:$AI$54,27,0)+VLOOKUP(D36,'Feuerwaffen-Ressourcen'!$A$2:$AI$54,27,0)+VLOOKUP(F36,'Feuerwaffen-Ressourcen'!$A$2:$AI$54,27,0)+VLOOKUP(I36,'Feuerwaffen-Ressourcen'!$A$2:$AI$54,27,0)</f>
        <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
      </c>
      <c r="AC36" s="53">
        <f>VLOOKUP(I36,'Feuerwaffen-Ressourcen'!$A$2:$AI$54,31,0)*AD36+AE36</f>
        <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
      </c>
      <c r="AF36" s="55">
        <f>VLOOKUP(AB36,'Feuerwaffen-Ressourcen'!$AO$3:$AP$9,2,1)</f>
        <v/>
      </c>
      <c r="AG36" s="55" t="n">
        <v>0</v>
      </c>
      <c r="AH36" s="28" t="inlineStr">
        <is>
          <t>Stangenwaffen</t>
        </is>
      </c>
      <c r="AI36" s="28" t="inlineStr">
        <is>
          <t>Improvisierte Stangenwaffen</t>
        </is>
      </c>
      <c r="AJ36" s="56" t="n">
        <v>3</v>
      </c>
      <c r="AK36" s="56" t="inlineStr">
        <is>
          <t>W8</t>
        </is>
      </c>
      <c r="AL36" s="56" t="inlineStr">
        <is>
          <t>W4</t>
        </is>
      </c>
      <c r="AM36" s="56" t="n">
        <v>3</v>
      </c>
      <c r="AN36" s="56" t="n">
        <v>5</v>
      </c>
      <c r="AO36" s="56" t="n">
        <v>4</v>
      </c>
      <c r="AP36" s="56" t="n">
        <v>4</v>
      </c>
      <c r="AQ36" s="56" t="n">
        <v>9</v>
      </c>
      <c r="AR36" s="56" t="n">
        <v>9</v>
      </c>
      <c r="AS36" s="56" t="n">
        <v>5</v>
      </c>
      <c r="AT36" s="56" t="n">
        <v>6</v>
      </c>
    </row>
    <row r="37">
      <c r="A37" s="49" t="inlineStr">
        <is>
          <t>Kickgarr</t>
        </is>
      </c>
      <c r="B37" s="49" t="inlineStr">
        <is>
          <t>Goblinisch</t>
        </is>
      </c>
      <c r="C37" s="49" t="inlineStr">
        <is>
          <t>Gewehr</t>
        </is>
      </c>
      <c r="D37" s="49" t="inlineStr">
        <is>
          <t>Jagd</t>
        </is>
      </c>
      <c r="E37" s="49" t="inlineStr">
        <is>
          <t>Klapplauf</t>
        </is>
      </c>
      <c r="F37" s="49" t="inlineStr">
        <is>
          <t>Schlagbolzen</t>
        </is>
      </c>
      <c r="G37" s="49" t="inlineStr">
        <is>
          <t>Gezogen</t>
        </is>
      </c>
      <c r="H37" s="49" t="inlineStr">
        <is>
          <t>Messing Patrone</t>
        </is>
      </c>
      <c r="I37" s="49" t="inlineStr">
        <is>
          <t>Massenfabrikation</t>
        </is>
      </c>
      <c r="J37" s="49" t="inlineStr">
        <is>
          <t>Von der Stange</t>
        </is>
      </c>
      <c r="K37" s="51">
        <f>VLOOKUP(B37,'Feuerwaffen-Ressourcen'!$A$2:$AI$54,11,0)+VLOOKUP(C37,'Feuerwaffen-Ressourcen'!$A$2:$AI$54,11,0)+VLOOKUP(D37,'Feuerwaffen-Ressourcen'!$A$2:$AI$54,11,0)+VLOOKUP(E37,'Feuerwaffen-Ressourcen'!$A$2:$AI$54,11,0)+VLOOKUP(G37,'Feuerwaffen-Ressourcen'!$A$2:$AI$54,11,0)</f>
        <v/>
      </c>
      <c r="L37" s="50">
        <f>VLOOKUP(B37,'Feuerwaffen-Ressourcen'!$A$2:$AI$54,12,0)+VLOOKUP(C37,'Feuerwaffen-Ressourcen'!$A$2:$AI$54,12,0)+VLOOKUP(D37,'Feuerwaffen-Ressourcen'!$A$2:$AI$54,12,0)+VLOOKUP(J37,'Feuerwaffen-Ressourcen'!$A$2:$AI$54,12,0)</f>
        <v/>
      </c>
      <c r="M37" s="50">
        <f>VLOOKUP(VLOOKUP(B37,'Feuerwaffen-Ressourcen'!$A$2:$AI$54,13,0)+VLOOKUP(C37,'Feuerwaffen-Ressourcen'!$A$2:$AI$54,13,0)+VLOOKUP(D37,'Feuerwaffen-Ressourcen'!$A$2:$AI$54,13,0),'Feuerwaffen-Ressourcen'!$AJ$3:$AK$12,2,0)</f>
        <v/>
      </c>
      <c r="N37" s="50">
        <f>VLOOKUP(VLOOKUP(B37,'Feuerwaffen-Ressourcen'!$A$2:$AI$54,14,0)+VLOOKUP(C37,'Feuerwaffen-Ressourcen'!$A$2:$AI$54,14,0)+VLOOKUP(D37,'Feuerwaffen-Ressourcen'!$A$2:$AI$54,14,0),'Feuerwaffen-Ressourcen'!$AJ$3:$AK$12,2,0)</f>
        <v/>
      </c>
      <c r="O37" s="50">
        <f>VLOOKUP(B37,'Feuerwaffen-Ressourcen'!$A$2:$AI$54,15,0)+VLOOKUP(C37,'Feuerwaffen-Ressourcen'!$A$2:$AI$54,15,0)+VLOOKUP(D37,'Feuerwaffen-Ressourcen'!$A$2:$AI$54,15,0)</f>
        <v/>
      </c>
      <c r="P37" s="50">
        <f>VLOOKUP(B37,'Feuerwaffen-Ressourcen'!$A$2:$AI$54,16,0)+VLOOKUP(C37,'Feuerwaffen-Ressourcen'!$A$2:$AI$54,16,0)+VLOOKUP(D37,'Feuerwaffen-Ressourcen'!$A$2:$AI$54,16,0)+VLOOKUP(E37,'Feuerwaffen-Ressourcen'!$A$2:$AI$54,16,0)</f>
        <v/>
      </c>
      <c r="Q37" s="52">
        <f>VLOOKUP(B37,'Feuerwaffen-Ressourcen'!$A$2:$AI$54,17,0)+VLOOKUP(C37,'Feuerwaffen-Ressourcen'!$A$2:$AI$54,17,0)+VLOOKUP(D37,'Feuerwaffen-Ressourcen'!$A$2:$AI$54,17,0)+VLOOKUP(E37,'Feuerwaffen-Ressourcen'!$A$2:$AI$54,17,0)</f>
        <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
      </c>
      <c r="X37" s="50">
        <f>VLOOKUP(B37,'Feuerwaffen-Ressourcen'!$A$2:$AI$54,24,0)+VLOOKUP(C37,'Feuerwaffen-Ressourcen'!$A$2:$AI$54,24,0)+VLOOKUP(D37,'Feuerwaffen-Ressourcen'!$A$2:$AI$54,24,0)+VLOOKUP(G37,'Feuerwaffen-Ressourcen'!$A$2:$AI$54,24,0)</f>
        <v/>
      </c>
      <c r="Y37" s="50">
        <f>VLOOKUP(D37,'Feuerwaffen-Ressourcen'!$A$2:$AI$54,25,0)+VLOOKUP(E37,'Feuerwaffen-Ressourcen'!$A$2:$AI$54,25,0)+VLOOKUP(F37,'Feuerwaffen-Ressourcen'!$A$2:$AI$54,25,0)</f>
        <v/>
      </c>
      <c r="Z37" s="50">
        <f>VLOOKUP(E37,'Feuerwaffen-Ressourcen'!$A$2:$AI$54,26,0)</f>
        <v/>
      </c>
      <c r="AA37" s="50">
        <f>VLOOKUP(B37,'Feuerwaffen-Ressourcen'!$A$2:$AI$54,27,0)+VLOOKUP(D37,'Feuerwaffen-Ressourcen'!$A$2:$AI$54,27,0)+VLOOKUP(F37,'Feuerwaffen-Ressourcen'!$A$2:$AI$54,27,0)+VLOOKUP(I37,'Feuerwaffen-Ressourcen'!$A$2:$AI$54,27,0)</f>
        <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
      </c>
      <c r="AC37" s="53">
        <f>VLOOKUP(I37,'Feuerwaffen-Ressourcen'!$A$2:$AI$54,31,0)*AD37+AE37</f>
        <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
      </c>
      <c r="AF37" s="55">
        <f>VLOOKUP(AB37,'Feuerwaffen-Ressourcen'!$AO$3:$AP$9,2,1)</f>
        <v/>
      </c>
      <c r="AG37" s="55" t="n">
        <v>0</v>
      </c>
      <c r="AH37" s="28" t="inlineStr">
        <is>
          <t>Stangenwaffen</t>
        </is>
      </c>
      <c r="AI37" s="28" t="inlineStr">
        <is>
          <t>Improvisierte Stangenwaffen</t>
        </is>
      </c>
      <c r="AJ37" s="56" t="n">
        <v>3</v>
      </c>
      <c r="AK37" s="56" t="inlineStr">
        <is>
          <t>W8</t>
        </is>
      </c>
      <c r="AL37" s="56" t="inlineStr">
        <is>
          <t>W4</t>
        </is>
      </c>
      <c r="AM37" s="56" t="n">
        <v>3</v>
      </c>
      <c r="AN37" s="56" t="n">
        <v>5</v>
      </c>
      <c r="AO37" s="56" t="n">
        <v>4</v>
      </c>
      <c r="AP37" s="56" t="n">
        <v>4</v>
      </c>
      <c r="AQ37" s="56" t="n">
        <v>7</v>
      </c>
      <c r="AR37" s="56" t="n">
        <v>7</v>
      </c>
      <c r="AS37" s="56" t="n">
        <v>5</v>
      </c>
      <c r="AT37" s="56" t="n">
        <v>6</v>
      </c>
    </row>
    <row r="38">
      <c r="A38" s="49" t="inlineStr">
        <is>
          <t>Metgarr</t>
        </is>
      </c>
      <c r="B38" s="49" t="inlineStr">
        <is>
          <t>Goblinisch</t>
        </is>
      </c>
      <c r="C38" s="49" t="inlineStr">
        <is>
          <t>Gewehr</t>
        </is>
      </c>
      <c r="D38" s="49" t="inlineStr">
        <is>
          <t>Schwere Hakenbüchse (Trolltöter)</t>
        </is>
      </c>
      <c r="E38" s="49" t="inlineStr">
        <is>
          <t>Vorderlader</t>
        </is>
      </c>
      <c r="F38" s="49" t="inlineStr">
        <is>
          <t>Steinschloss</t>
        </is>
      </c>
      <c r="G38" s="49" t="inlineStr">
        <is>
          <t>Glattlauf</t>
        </is>
      </c>
      <c r="H38" s="49" t="inlineStr">
        <is>
          <t>Blei</t>
        </is>
      </c>
      <c r="I38" s="49" t="inlineStr">
        <is>
          <t>Massenfabrikation</t>
        </is>
      </c>
      <c r="J38" s="49" t="inlineStr">
        <is>
          <t>Von der Stange</t>
        </is>
      </c>
      <c r="K38" s="51">
        <f>VLOOKUP(B38,'Feuerwaffen-Ressourcen'!$A$2:$AI$54,11,0)+VLOOKUP(C38,'Feuerwaffen-Ressourcen'!$A$2:$AI$54,11,0)+VLOOKUP(D38,'Feuerwaffen-Ressourcen'!$A$2:$AI$54,11,0)+VLOOKUP(E38,'Feuerwaffen-Ressourcen'!$A$2:$AI$54,11,0)+VLOOKUP(G38,'Feuerwaffen-Ressourcen'!$A$2:$AI$54,11,0)</f>
        <v/>
      </c>
      <c r="L38" s="50">
        <f>VLOOKUP(B38,'Feuerwaffen-Ressourcen'!$A$2:$AI$54,12,0)+VLOOKUP(C38,'Feuerwaffen-Ressourcen'!$A$2:$AI$54,12,0)+VLOOKUP(D38,'Feuerwaffen-Ressourcen'!$A$2:$AI$54,12,0)+VLOOKUP(J38,'Feuerwaffen-Ressourcen'!$A$2:$AI$54,12,0)</f>
        <v/>
      </c>
      <c r="M38" s="50">
        <f>VLOOKUP(VLOOKUP(B38,'Feuerwaffen-Ressourcen'!$A$2:$AI$54,13,0)+VLOOKUP(C38,'Feuerwaffen-Ressourcen'!$A$2:$AI$54,13,0)+VLOOKUP(D38,'Feuerwaffen-Ressourcen'!$A$2:$AI$54,13,0),'Feuerwaffen-Ressourcen'!$AJ$3:$AK$12,2,0)</f>
        <v/>
      </c>
      <c r="N38" s="50">
        <f>VLOOKUP(VLOOKUP(B38,'Feuerwaffen-Ressourcen'!$A$2:$AI$54,14,0)+VLOOKUP(C38,'Feuerwaffen-Ressourcen'!$A$2:$AI$54,14,0)+VLOOKUP(D38,'Feuerwaffen-Ressourcen'!$A$2:$AI$54,14,0),'Feuerwaffen-Ressourcen'!$AJ$3:$AK$12,2,0)</f>
        <v/>
      </c>
      <c r="O38" s="50">
        <f>VLOOKUP(B38,'Feuerwaffen-Ressourcen'!$A$2:$AI$54,15,0)+VLOOKUP(C38,'Feuerwaffen-Ressourcen'!$A$2:$AI$54,15,0)+VLOOKUP(D38,'Feuerwaffen-Ressourcen'!$A$2:$AI$54,15,0)</f>
        <v/>
      </c>
      <c r="P38" s="50">
        <f>VLOOKUP(B38,'Feuerwaffen-Ressourcen'!$A$2:$AI$54,16,0)+VLOOKUP(C38,'Feuerwaffen-Ressourcen'!$A$2:$AI$54,16,0)+VLOOKUP(D38,'Feuerwaffen-Ressourcen'!$A$2:$AI$54,16,0)+VLOOKUP(E38,'Feuerwaffen-Ressourcen'!$A$2:$AI$54,16,0)</f>
        <v/>
      </c>
      <c r="Q38" s="52">
        <f>VLOOKUP(B38,'Feuerwaffen-Ressourcen'!$A$2:$AI$54,17,0)+VLOOKUP(C38,'Feuerwaffen-Ressourcen'!$A$2:$AI$54,17,0)+VLOOKUP(D38,'Feuerwaffen-Ressourcen'!$A$2:$AI$54,17,0)+VLOOKUP(E38,'Feuerwaffen-Ressourcen'!$A$2:$AI$54,17,0)</f>
        <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
      </c>
      <c r="X38" s="50">
        <f>VLOOKUP(B38,'Feuerwaffen-Ressourcen'!$A$2:$AI$54,24,0)+VLOOKUP(C38,'Feuerwaffen-Ressourcen'!$A$2:$AI$54,24,0)+VLOOKUP(D38,'Feuerwaffen-Ressourcen'!$A$2:$AI$54,24,0)+VLOOKUP(G38,'Feuerwaffen-Ressourcen'!$A$2:$AI$54,24,0)</f>
        <v/>
      </c>
      <c r="Y38" s="50">
        <f>VLOOKUP(D38,'Feuerwaffen-Ressourcen'!$A$2:$AI$54,25,0)+VLOOKUP(E38,'Feuerwaffen-Ressourcen'!$A$2:$AI$54,25,0)+VLOOKUP(F38,'Feuerwaffen-Ressourcen'!$A$2:$AI$54,25,0)</f>
        <v/>
      </c>
      <c r="Z38" s="50">
        <f>VLOOKUP(E38,'Feuerwaffen-Ressourcen'!$A$2:$AI$54,26,0)</f>
        <v/>
      </c>
      <c r="AA38" s="50">
        <f>VLOOKUP(B38,'Feuerwaffen-Ressourcen'!$A$2:$AI$54,27,0)+VLOOKUP(D38,'Feuerwaffen-Ressourcen'!$A$2:$AI$54,27,0)+VLOOKUP(F38,'Feuerwaffen-Ressourcen'!$A$2:$AI$54,27,0)+VLOOKUP(I38,'Feuerwaffen-Ressourcen'!$A$2:$AI$54,27,0)</f>
        <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
      </c>
      <c r="AC38" s="53">
        <f>VLOOKUP(I38,'Feuerwaffen-Ressourcen'!$A$2:$AI$54,31,0)*AD38+AE38</f>
        <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
      </c>
      <c r="AF38" s="55">
        <f>VLOOKUP(AB38,'Feuerwaffen-Ressourcen'!$AO$3:$AP$9,2,1)</f>
        <v/>
      </c>
      <c r="AG38" s="55" t="n">
        <v>0</v>
      </c>
      <c r="AH38" s="28" t="inlineStr">
        <is>
          <t>Stangenwaffen</t>
        </is>
      </c>
      <c r="AI38" s="28" t="inlineStr">
        <is>
          <t>Improvisierte Stangenwaffen</t>
        </is>
      </c>
      <c r="AJ38" s="56" t="n">
        <v>3</v>
      </c>
      <c r="AK38" s="56" t="inlineStr">
        <is>
          <t>W8</t>
        </is>
      </c>
      <c r="AL38" s="56" t="inlineStr">
        <is>
          <t>W4</t>
        </is>
      </c>
      <c r="AM38" s="56" t="n">
        <v>3</v>
      </c>
      <c r="AN38" s="56" t="n">
        <v>5</v>
      </c>
      <c r="AO38" s="56" t="n">
        <v>4</v>
      </c>
      <c r="AP38" s="56" t="n">
        <v>4</v>
      </c>
      <c r="AQ38" s="56" t="n">
        <v>15</v>
      </c>
      <c r="AR38" s="56" t="n">
        <v>15</v>
      </c>
      <c r="AS38" s="56" t="n">
        <v>5</v>
      </c>
      <c r="AT38" s="56" t="n">
        <v>6</v>
      </c>
    </row>
    <row r="39">
      <c r="A39" s="49" t="inlineStr">
        <is>
          <t>Modsgarr</t>
        </is>
      </c>
      <c r="B39" s="49" t="inlineStr">
        <is>
          <t>Goblinisch</t>
        </is>
      </c>
      <c r="C39" s="49" t="inlineStr">
        <is>
          <t>Gewehr</t>
        </is>
      </c>
      <c r="D39" s="49" t="inlineStr">
        <is>
          <t>Doppelläufig</t>
        </is>
      </c>
      <c r="E39" s="49" t="inlineStr">
        <is>
          <t>Klapplauf</t>
        </is>
      </c>
      <c r="F39" s="49" t="inlineStr">
        <is>
          <t>Schlagbolzen</t>
        </is>
      </c>
      <c r="G39" s="49" t="inlineStr">
        <is>
          <t>Gezogen</t>
        </is>
      </c>
      <c r="H39" s="49" t="inlineStr">
        <is>
          <t>Messing Patrone</t>
        </is>
      </c>
      <c r="I39" s="49" t="inlineStr">
        <is>
          <t>Massenfabrikation</t>
        </is>
      </c>
      <c r="J39" s="49" t="inlineStr">
        <is>
          <t>Von der Stange</t>
        </is>
      </c>
      <c r="K39" s="51">
        <f>VLOOKUP(B39,'Feuerwaffen-Ressourcen'!$A$2:$AI$54,11,0)+VLOOKUP(C39,'Feuerwaffen-Ressourcen'!$A$2:$AI$54,11,0)+VLOOKUP(D39,'Feuerwaffen-Ressourcen'!$A$2:$AI$54,11,0)+VLOOKUP(E39,'Feuerwaffen-Ressourcen'!$A$2:$AI$54,11,0)+VLOOKUP(G39,'Feuerwaffen-Ressourcen'!$A$2:$AI$54,11,0)</f>
        <v/>
      </c>
      <c r="L39" s="50">
        <f>VLOOKUP(B39,'Feuerwaffen-Ressourcen'!$A$2:$AI$54,12,0)+VLOOKUP(C39,'Feuerwaffen-Ressourcen'!$A$2:$AI$54,12,0)+VLOOKUP(D39,'Feuerwaffen-Ressourcen'!$A$2:$AI$54,12,0)+VLOOKUP(J39,'Feuerwaffen-Ressourcen'!$A$2:$AI$54,12,0)</f>
        <v/>
      </c>
      <c r="M39" s="50">
        <f>VLOOKUP(VLOOKUP(B39,'Feuerwaffen-Ressourcen'!$A$2:$AI$54,13,0)+VLOOKUP(C39,'Feuerwaffen-Ressourcen'!$A$2:$AI$54,13,0)+VLOOKUP(D39,'Feuerwaffen-Ressourcen'!$A$2:$AI$54,13,0),'Feuerwaffen-Ressourcen'!$AJ$3:$AK$12,2,0)</f>
        <v/>
      </c>
      <c r="N39" s="50">
        <f>VLOOKUP(VLOOKUP(B39,'Feuerwaffen-Ressourcen'!$A$2:$AI$54,14,0)+VLOOKUP(C39,'Feuerwaffen-Ressourcen'!$A$2:$AI$54,14,0)+VLOOKUP(D39,'Feuerwaffen-Ressourcen'!$A$2:$AI$54,14,0),'Feuerwaffen-Ressourcen'!$AJ$3:$AK$12,2,0)</f>
        <v/>
      </c>
      <c r="O39" s="50">
        <f>VLOOKUP(B39,'Feuerwaffen-Ressourcen'!$A$2:$AI$54,15,0)+VLOOKUP(C39,'Feuerwaffen-Ressourcen'!$A$2:$AI$54,15,0)+VLOOKUP(D39,'Feuerwaffen-Ressourcen'!$A$2:$AI$54,15,0)</f>
        <v/>
      </c>
      <c r="P39" s="50">
        <f>VLOOKUP(B39,'Feuerwaffen-Ressourcen'!$A$2:$AI$54,16,0)+VLOOKUP(C39,'Feuerwaffen-Ressourcen'!$A$2:$AI$54,16,0)+VLOOKUP(D39,'Feuerwaffen-Ressourcen'!$A$2:$AI$54,16,0)+VLOOKUP(E39,'Feuerwaffen-Ressourcen'!$A$2:$AI$54,16,0)</f>
        <v/>
      </c>
      <c r="Q39" s="52">
        <f>VLOOKUP(B39,'Feuerwaffen-Ressourcen'!$A$2:$AI$54,17,0)+VLOOKUP(C39,'Feuerwaffen-Ressourcen'!$A$2:$AI$54,17,0)+VLOOKUP(D39,'Feuerwaffen-Ressourcen'!$A$2:$AI$54,17,0)+VLOOKUP(E39,'Feuerwaffen-Ressourcen'!$A$2:$AI$54,17,0)</f>
        <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
      </c>
      <c r="X39" s="50">
        <f>VLOOKUP(B39,'Feuerwaffen-Ressourcen'!$A$2:$AI$54,24,0)+VLOOKUP(C39,'Feuerwaffen-Ressourcen'!$A$2:$AI$54,24,0)+VLOOKUP(D39,'Feuerwaffen-Ressourcen'!$A$2:$AI$54,24,0)+VLOOKUP(G39,'Feuerwaffen-Ressourcen'!$A$2:$AI$54,24,0)</f>
        <v/>
      </c>
      <c r="Y39" s="50">
        <f>VLOOKUP(D39,'Feuerwaffen-Ressourcen'!$A$2:$AI$54,25,0)+VLOOKUP(E39,'Feuerwaffen-Ressourcen'!$A$2:$AI$54,25,0)+VLOOKUP(F39,'Feuerwaffen-Ressourcen'!$A$2:$AI$54,25,0)</f>
        <v/>
      </c>
      <c r="Z39" s="50">
        <f>VLOOKUP(E39,'Feuerwaffen-Ressourcen'!$A$2:$AI$54,26,0)</f>
        <v/>
      </c>
      <c r="AA39" s="50">
        <f>VLOOKUP(B39,'Feuerwaffen-Ressourcen'!$A$2:$AI$54,27,0)+VLOOKUP(D39,'Feuerwaffen-Ressourcen'!$A$2:$AI$54,27,0)+VLOOKUP(F39,'Feuerwaffen-Ressourcen'!$A$2:$AI$54,27,0)+VLOOKUP(I39,'Feuerwaffen-Ressourcen'!$A$2:$AI$54,27,0)</f>
        <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
      </c>
      <c r="AC39" s="53">
        <f>VLOOKUP(I39,'Feuerwaffen-Ressourcen'!$A$2:$AI$54,31,0)*AD39+AE39</f>
        <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
      </c>
      <c r="AF39" s="55">
        <f>VLOOKUP(AB39,'Feuerwaffen-Ressourcen'!$AO$3:$AP$9,2,1)</f>
        <v/>
      </c>
      <c r="AG39" s="55" t="n">
        <v>0</v>
      </c>
      <c r="AH39" s="28" t="inlineStr">
        <is>
          <t>Hiebwaffen</t>
        </is>
      </c>
      <c r="AI39" s="28" t="inlineStr">
        <is>
          <t>Improvisierte Hiebwaffen</t>
        </is>
      </c>
      <c r="AJ39" s="56" t="n">
        <v>1.5</v>
      </c>
      <c r="AK39" s="56" t="inlineStr">
        <is>
          <t>W8</t>
        </is>
      </c>
      <c r="AL39" s="56" t="inlineStr">
        <is>
          <t>-</t>
        </is>
      </c>
      <c r="AM39" s="56" t="n">
        <v>3</v>
      </c>
      <c r="AN39" s="56" t="n">
        <v>5</v>
      </c>
      <c r="AO39" s="56" t="n">
        <v>-2</v>
      </c>
      <c r="AP39" s="56" t="n">
        <v>-7</v>
      </c>
      <c r="AQ39" s="56" t="n">
        <v>8</v>
      </c>
      <c r="AR39" s="56" t="inlineStr">
        <is>
          <t>-</t>
        </is>
      </c>
      <c r="AS39" s="56" t="n">
        <v>2</v>
      </c>
      <c r="AT39" s="56" t="n">
        <v>10</v>
      </c>
    </row>
    <row r="40">
      <c r="A40" s="49" t="inlineStr">
        <is>
          <t>Nargarr</t>
        </is>
      </c>
      <c r="B40" s="49" t="inlineStr">
        <is>
          <t>Goblinisch</t>
        </is>
      </c>
      <c r="C40" s="49" t="inlineStr">
        <is>
          <t>Gewehr</t>
        </is>
      </c>
      <c r="D40" s="49" t="inlineStr">
        <is>
          <t>Jagd</t>
        </is>
      </c>
      <c r="E40" s="49" t="inlineStr">
        <is>
          <t>Vorderlader</t>
        </is>
      </c>
      <c r="F40" s="49" t="inlineStr">
        <is>
          <t>Steinschloss</t>
        </is>
      </c>
      <c r="G40" s="49" t="inlineStr">
        <is>
          <t>Glattlauf</t>
        </is>
      </c>
      <c r="H40" s="49" t="inlineStr">
        <is>
          <t>Blei</t>
        </is>
      </c>
      <c r="I40" s="49" t="inlineStr">
        <is>
          <t>Massenfabrikation</t>
        </is>
      </c>
      <c r="J40" s="49" t="inlineStr">
        <is>
          <t>Von der Stange</t>
        </is>
      </c>
      <c r="K40" s="51">
        <f>VLOOKUP(B40,'Feuerwaffen-Ressourcen'!$A$2:$AI$54,11,0)+VLOOKUP(C40,'Feuerwaffen-Ressourcen'!$A$2:$AI$54,11,0)+VLOOKUP(D40,'Feuerwaffen-Ressourcen'!$A$2:$AI$54,11,0)+VLOOKUP(E40,'Feuerwaffen-Ressourcen'!$A$2:$AI$54,11,0)+VLOOKUP(G40,'Feuerwaffen-Ressourcen'!$A$2:$AI$54,11,0)</f>
        <v/>
      </c>
      <c r="L40" s="50">
        <f>VLOOKUP(B40,'Feuerwaffen-Ressourcen'!$A$2:$AI$54,12,0)+VLOOKUP(C40,'Feuerwaffen-Ressourcen'!$A$2:$AI$54,12,0)+VLOOKUP(D40,'Feuerwaffen-Ressourcen'!$A$2:$AI$54,12,0)+VLOOKUP(J40,'Feuerwaffen-Ressourcen'!$A$2:$AI$54,12,0)</f>
        <v/>
      </c>
      <c r="M40" s="50">
        <f>VLOOKUP(VLOOKUP(B40,'Feuerwaffen-Ressourcen'!$A$2:$AI$54,13,0)+VLOOKUP(C40,'Feuerwaffen-Ressourcen'!$A$2:$AI$54,13,0)+VLOOKUP(D40,'Feuerwaffen-Ressourcen'!$A$2:$AI$54,13,0),'Feuerwaffen-Ressourcen'!$AJ$3:$AK$12,2,0)</f>
        <v/>
      </c>
      <c r="N40" s="50">
        <f>VLOOKUP(VLOOKUP(B40,'Feuerwaffen-Ressourcen'!$A$2:$AI$54,14,0)+VLOOKUP(C40,'Feuerwaffen-Ressourcen'!$A$2:$AI$54,14,0)+VLOOKUP(D40,'Feuerwaffen-Ressourcen'!$A$2:$AI$54,14,0),'Feuerwaffen-Ressourcen'!$AJ$3:$AK$12,2,0)</f>
        <v/>
      </c>
      <c r="O40" s="50">
        <f>VLOOKUP(B40,'Feuerwaffen-Ressourcen'!$A$2:$AI$54,15,0)+VLOOKUP(C40,'Feuerwaffen-Ressourcen'!$A$2:$AI$54,15,0)+VLOOKUP(D40,'Feuerwaffen-Ressourcen'!$A$2:$AI$54,15,0)</f>
        <v/>
      </c>
      <c r="P40" s="50">
        <f>VLOOKUP(B40,'Feuerwaffen-Ressourcen'!$A$2:$AI$54,16,0)+VLOOKUP(C40,'Feuerwaffen-Ressourcen'!$A$2:$AI$54,16,0)+VLOOKUP(D40,'Feuerwaffen-Ressourcen'!$A$2:$AI$54,16,0)+VLOOKUP(E40,'Feuerwaffen-Ressourcen'!$A$2:$AI$54,16,0)</f>
        <v/>
      </c>
      <c r="Q40" s="52">
        <f>VLOOKUP(B40,'Feuerwaffen-Ressourcen'!$A$2:$AI$54,17,0)+VLOOKUP(C40,'Feuerwaffen-Ressourcen'!$A$2:$AI$54,17,0)+VLOOKUP(D40,'Feuerwaffen-Ressourcen'!$A$2:$AI$54,17,0)+VLOOKUP(E40,'Feuerwaffen-Ressourcen'!$A$2:$AI$54,17,0)</f>
        <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
      </c>
      <c r="X40" s="50">
        <f>VLOOKUP(B40,'Feuerwaffen-Ressourcen'!$A$2:$AI$54,24,0)+VLOOKUP(C40,'Feuerwaffen-Ressourcen'!$A$2:$AI$54,24,0)+VLOOKUP(D40,'Feuerwaffen-Ressourcen'!$A$2:$AI$54,24,0)+VLOOKUP(G40,'Feuerwaffen-Ressourcen'!$A$2:$AI$54,24,0)</f>
        <v/>
      </c>
      <c r="Y40" s="50">
        <f>VLOOKUP(D40,'Feuerwaffen-Ressourcen'!$A$2:$AI$54,25,0)+VLOOKUP(E40,'Feuerwaffen-Ressourcen'!$A$2:$AI$54,25,0)+VLOOKUP(F40,'Feuerwaffen-Ressourcen'!$A$2:$AI$54,25,0)</f>
        <v/>
      </c>
      <c r="Z40" s="50">
        <f>VLOOKUP(E40,'Feuerwaffen-Ressourcen'!$A$2:$AI$54,26,0)</f>
        <v/>
      </c>
      <c r="AA40" s="50">
        <f>VLOOKUP(B40,'Feuerwaffen-Ressourcen'!$A$2:$AI$54,27,0)+VLOOKUP(D40,'Feuerwaffen-Ressourcen'!$A$2:$AI$54,27,0)+VLOOKUP(F40,'Feuerwaffen-Ressourcen'!$A$2:$AI$54,27,0)+VLOOKUP(I40,'Feuerwaffen-Ressourcen'!$A$2:$AI$54,27,0)</f>
        <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
      </c>
      <c r="AC40" s="53">
        <f>VLOOKUP(I40,'Feuerwaffen-Ressourcen'!$A$2:$AI$54,31,0)*AD40+AE40</f>
        <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
      </c>
      <c r="AF40" s="55">
        <f>VLOOKUP(AB40,'Feuerwaffen-Ressourcen'!$AO$3:$AP$9,2,1)</f>
        <v/>
      </c>
      <c r="AG40" s="55" t="n">
        <v>0</v>
      </c>
      <c r="AH40" s="28" t="inlineStr">
        <is>
          <t>Hiebwaffen</t>
        </is>
      </c>
      <c r="AI40" s="28" t="inlineStr">
        <is>
          <t>Improvisierte Hiebwaffen</t>
        </is>
      </c>
      <c r="AJ40" s="56" t="n">
        <v>1.5</v>
      </c>
      <c r="AK40" s="56" t="inlineStr">
        <is>
          <t>W8</t>
        </is>
      </c>
      <c r="AL40" s="56" t="inlineStr">
        <is>
          <t>-</t>
        </is>
      </c>
      <c r="AM40" s="56" t="n">
        <v>3</v>
      </c>
      <c r="AN40" s="56" t="n">
        <v>5</v>
      </c>
      <c r="AO40" s="56" t="n">
        <v>-2</v>
      </c>
      <c r="AP40" s="56" t="n">
        <v>-7</v>
      </c>
      <c r="AQ40" s="56" t="n">
        <v>7</v>
      </c>
      <c r="AR40" s="56" t="inlineStr">
        <is>
          <t>-</t>
        </is>
      </c>
      <c r="AS40" s="56" t="n">
        <v>2</v>
      </c>
      <c r="AT40" s="56" t="n">
        <v>10</v>
      </c>
    </row>
    <row r="41">
      <c r="A41" s="49" t="inlineStr">
        <is>
          <t>Scopgarr</t>
        </is>
      </c>
      <c r="B41" s="49" t="inlineStr">
        <is>
          <t>Goblinisch</t>
        </is>
      </c>
      <c r="C41" s="49" t="inlineStr">
        <is>
          <t>Gewehr</t>
        </is>
      </c>
      <c r="D41" s="49" t="inlineStr">
        <is>
          <t>Harpunengewehr</t>
        </is>
      </c>
      <c r="E41" s="49" t="inlineStr">
        <is>
          <t>Vorderlader</t>
        </is>
      </c>
      <c r="F41" s="49" t="inlineStr">
        <is>
          <t>Radschloss</t>
        </is>
      </c>
      <c r="G41" s="49" t="inlineStr">
        <is>
          <t>Glattlauf</t>
        </is>
      </c>
      <c r="H41" s="49" t="inlineStr">
        <is>
          <t>Harpune</t>
        </is>
      </c>
      <c r="I41" s="49" t="inlineStr">
        <is>
          <t>Massenfabrikation</t>
        </is>
      </c>
      <c r="J41" s="49" t="inlineStr">
        <is>
          <t>Von der Stange</t>
        </is>
      </c>
      <c r="K41" s="51">
        <f>VLOOKUP(B41,'Feuerwaffen-Ressourcen'!$A$2:$AI$54,11,0)+VLOOKUP(C41,'Feuerwaffen-Ressourcen'!$A$2:$AI$54,11,0)+VLOOKUP(D41,'Feuerwaffen-Ressourcen'!$A$2:$AI$54,11,0)+VLOOKUP(E41,'Feuerwaffen-Ressourcen'!$A$2:$AI$54,11,0)+VLOOKUP(G41,'Feuerwaffen-Ressourcen'!$A$2:$AI$54,11,0)</f>
        <v/>
      </c>
      <c r="L41" s="50">
        <f>VLOOKUP(B41,'Feuerwaffen-Ressourcen'!$A$2:$AI$54,12,0)+VLOOKUP(C41,'Feuerwaffen-Ressourcen'!$A$2:$AI$54,12,0)+VLOOKUP(D41,'Feuerwaffen-Ressourcen'!$A$2:$AI$54,12,0)+VLOOKUP(J41,'Feuerwaffen-Ressourcen'!$A$2:$AI$54,12,0)</f>
        <v/>
      </c>
      <c r="M41" s="50">
        <f>VLOOKUP(VLOOKUP(B41,'Feuerwaffen-Ressourcen'!$A$2:$AI$54,13,0)+VLOOKUP(C41,'Feuerwaffen-Ressourcen'!$A$2:$AI$54,13,0)+VLOOKUP(D41,'Feuerwaffen-Ressourcen'!$A$2:$AI$54,13,0),'Feuerwaffen-Ressourcen'!$AJ$3:$AK$12,2,0)</f>
        <v/>
      </c>
      <c r="N41" s="50">
        <f>VLOOKUP(VLOOKUP(B41,'Feuerwaffen-Ressourcen'!$A$2:$AI$54,14,0)+VLOOKUP(C41,'Feuerwaffen-Ressourcen'!$A$2:$AI$54,14,0)+VLOOKUP(D41,'Feuerwaffen-Ressourcen'!$A$2:$AI$54,14,0),'Feuerwaffen-Ressourcen'!$AJ$3:$AK$12,2,0)</f>
        <v/>
      </c>
      <c r="O41" s="50">
        <f>VLOOKUP(B41,'Feuerwaffen-Ressourcen'!$A$2:$AI$54,15,0)+VLOOKUP(C41,'Feuerwaffen-Ressourcen'!$A$2:$AI$54,15,0)+VLOOKUP(D41,'Feuerwaffen-Ressourcen'!$A$2:$AI$54,15,0)</f>
        <v/>
      </c>
      <c r="P41" s="50">
        <f>VLOOKUP(B41,'Feuerwaffen-Ressourcen'!$A$2:$AI$54,16,0)+VLOOKUP(C41,'Feuerwaffen-Ressourcen'!$A$2:$AI$54,16,0)+VLOOKUP(D41,'Feuerwaffen-Ressourcen'!$A$2:$AI$54,16,0)+VLOOKUP(E41,'Feuerwaffen-Ressourcen'!$A$2:$AI$54,16,0)</f>
        <v/>
      </c>
      <c r="Q41" s="52">
        <f>VLOOKUP(B41,'Feuerwaffen-Ressourcen'!$A$2:$AI$54,17,0)+VLOOKUP(C41,'Feuerwaffen-Ressourcen'!$A$2:$AI$54,17,0)+VLOOKUP(D41,'Feuerwaffen-Ressourcen'!$A$2:$AI$54,17,0)+VLOOKUP(E41,'Feuerwaffen-Ressourcen'!$A$2:$AI$54,17,0)</f>
        <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
      </c>
      <c r="X41" s="50">
        <f>VLOOKUP(B41,'Feuerwaffen-Ressourcen'!$A$2:$AI$54,24,0)+VLOOKUP(C41,'Feuerwaffen-Ressourcen'!$A$2:$AI$54,24,0)+VLOOKUP(D41,'Feuerwaffen-Ressourcen'!$A$2:$AI$54,24,0)+VLOOKUP(G41,'Feuerwaffen-Ressourcen'!$A$2:$AI$54,24,0)</f>
        <v/>
      </c>
      <c r="Y41" s="50">
        <f>VLOOKUP(D41,'Feuerwaffen-Ressourcen'!$A$2:$AI$54,25,0)+VLOOKUP(E41,'Feuerwaffen-Ressourcen'!$A$2:$AI$54,25,0)+VLOOKUP(F41,'Feuerwaffen-Ressourcen'!$A$2:$AI$54,25,0)</f>
        <v/>
      </c>
      <c r="Z41" s="50">
        <f>VLOOKUP(E41,'Feuerwaffen-Ressourcen'!$A$2:$AI$54,26,0)</f>
        <v/>
      </c>
      <c r="AA41" s="50">
        <f>VLOOKUP(B41,'Feuerwaffen-Ressourcen'!$A$2:$AI$54,27,0)+VLOOKUP(D41,'Feuerwaffen-Ressourcen'!$A$2:$AI$54,27,0)+VLOOKUP(F41,'Feuerwaffen-Ressourcen'!$A$2:$AI$54,27,0)+VLOOKUP(I41,'Feuerwaffen-Ressourcen'!$A$2:$AI$54,27,0)</f>
        <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
      </c>
      <c r="AC41" s="53">
        <f>VLOOKUP(I41,'Feuerwaffen-Ressourcen'!$A$2:$AI$54,31,0)*AD41+AE41</f>
        <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
      </c>
      <c r="AF41" s="55">
        <f>VLOOKUP(AB41,'Feuerwaffen-Ressourcen'!$AO$3:$AP$9,2,1)</f>
        <v/>
      </c>
      <c r="AG41" s="55" t="n">
        <v>0</v>
      </c>
      <c r="AH41" s="28" t="inlineStr">
        <is>
          <t>Hiebwaffen</t>
        </is>
      </c>
      <c r="AI41" s="28" t="inlineStr">
        <is>
          <t>Improvisierte Hiebwaffen</t>
        </is>
      </c>
      <c r="AJ41" s="56" t="n">
        <v>1.5</v>
      </c>
      <c r="AK41" s="56" t="inlineStr">
        <is>
          <t>W8</t>
        </is>
      </c>
      <c r="AL41" s="56" t="inlineStr">
        <is>
          <t>-</t>
        </is>
      </c>
      <c r="AM41" s="56" t="n">
        <v>3</v>
      </c>
      <c r="AN41" s="56" t="n">
        <v>5</v>
      </c>
      <c r="AO41" s="56" t="n">
        <v>-2</v>
      </c>
      <c r="AP41" s="56" t="n">
        <v>-7</v>
      </c>
      <c r="AQ41" s="56" t="n">
        <v>7</v>
      </c>
      <c r="AR41" s="56" t="inlineStr">
        <is>
          <t>-</t>
        </is>
      </c>
      <c r="AS41" s="56" t="n">
        <v>2</v>
      </c>
      <c r="AT41" s="56" t="n">
        <v>10</v>
      </c>
    </row>
    <row r="42">
      <c r="A42" s="49" t="inlineStr">
        <is>
          <t>Silberbeißer</t>
        </is>
      </c>
      <c r="B42" s="49" t="inlineStr">
        <is>
          <t>Goblinisch</t>
        </is>
      </c>
      <c r="C42" s="49" t="inlineStr">
        <is>
          <t>Gewehr</t>
        </is>
      </c>
      <c r="D42" s="49" t="inlineStr">
        <is>
          <t>Karabiner</t>
        </is>
      </c>
      <c r="E42" s="49" t="inlineStr">
        <is>
          <t>Block- oder Scharnierverschluss</t>
        </is>
      </c>
      <c r="F42" s="49" t="inlineStr">
        <is>
          <t>Schlagbolzen</t>
        </is>
      </c>
      <c r="G42" s="49" t="inlineStr">
        <is>
          <t>Gezogen</t>
        </is>
      </c>
      <c r="H42" s="49" t="inlineStr">
        <is>
          <t>Messing Patrone</t>
        </is>
      </c>
      <c r="I42" s="49" t="inlineStr">
        <is>
          <t>Massenfabrikation</t>
        </is>
      </c>
      <c r="J42" s="49" t="inlineStr">
        <is>
          <t>Von der Stange</t>
        </is>
      </c>
      <c r="K42" s="51">
        <f>VLOOKUP(B42,'Feuerwaffen-Ressourcen'!$A$2:$AI$54,11,0)+VLOOKUP(C42,'Feuerwaffen-Ressourcen'!$A$2:$AI$54,11,0)+VLOOKUP(D42,'Feuerwaffen-Ressourcen'!$A$2:$AI$54,11,0)+VLOOKUP(E42,'Feuerwaffen-Ressourcen'!$A$2:$AI$54,11,0)+VLOOKUP(G42,'Feuerwaffen-Ressourcen'!$A$2:$AI$54,11,0)</f>
        <v/>
      </c>
      <c r="L42" s="50">
        <f>VLOOKUP(B42,'Feuerwaffen-Ressourcen'!$A$2:$AI$54,12,0)+VLOOKUP(C42,'Feuerwaffen-Ressourcen'!$A$2:$AI$54,12,0)+VLOOKUP(D42,'Feuerwaffen-Ressourcen'!$A$2:$AI$54,12,0)+VLOOKUP(J42,'Feuerwaffen-Ressourcen'!$A$2:$AI$54,12,0)</f>
        <v/>
      </c>
      <c r="M42" s="50">
        <f>VLOOKUP(VLOOKUP(B42,'Feuerwaffen-Ressourcen'!$A$2:$AI$54,13,0)+VLOOKUP(C42,'Feuerwaffen-Ressourcen'!$A$2:$AI$54,13,0)+VLOOKUP(D42,'Feuerwaffen-Ressourcen'!$A$2:$AI$54,13,0),'Feuerwaffen-Ressourcen'!$AJ$3:$AK$12,2,0)</f>
        <v/>
      </c>
      <c r="N42" s="50">
        <f>VLOOKUP(VLOOKUP(B42,'Feuerwaffen-Ressourcen'!$A$2:$AI$54,14,0)+VLOOKUP(C42,'Feuerwaffen-Ressourcen'!$A$2:$AI$54,14,0)+VLOOKUP(D42,'Feuerwaffen-Ressourcen'!$A$2:$AI$54,14,0),'Feuerwaffen-Ressourcen'!$AJ$3:$AK$12,2,0)</f>
        <v/>
      </c>
      <c r="O42" s="50">
        <f>VLOOKUP(B42,'Feuerwaffen-Ressourcen'!$A$2:$AI$54,15,0)+VLOOKUP(C42,'Feuerwaffen-Ressourcen'!$A$2:$AI$54,15,0)+VLOOKUP(D42,'Feuerwaffen-Ressourcen'!$A$2:$AI$54,15,0)</f>
        <v/>
      </c>
      <c r="P42" s="50">
        <f>VLOOKUP(B42,'Feuerwaffen-Ressourcen'!$A$2:$AI$54,16,0)+VLOOKUP(C42,'Feuerwaffen-Ressourcen'!$A$2:$AI$54,16,0)+VLOOKUP(D42,'Feuerwaffen-Ressourcen'!$A$2:$AI$54,16,0)+VLOOKUP(E42,'Feuerwaffen-Ressourcen'!$A$2:$AI$54,16,0)</f>
        <v/>
      </c>
      <c r="Q42" s="52">
        <f>VLOOKUP(B42,'Feuerwaffen-Ressourcen'!$A$2:$AI$54,17,0)+VLOOKUP(C42,'Feuerwaffen-Ressourcen'!$A$2:$AI$54,17,0)+VLOOKUP(D42,'Feuerwaffen-Ressourcen'!$A$2:$AI$54,17,0)+VLOOKUP(E42,'Feuerwaffen-Ressourcen'!$A$2:$AI$54,17,0)</f>
        <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
      </c>
      <c r="X42" s="50">
        <f>VLOOKUP(B42,'Feuerwaffen-Ressourcen'!$A$2:$AI$54,24,0)+VLOOKUP(C42,'Feuerwaffen-Ressourcen'!$A$2:$AI$54,24,0)+VLOOKUP(D42,'Feuerwaffen-Ressourcen'!$A$2:$AI$54,24,0)+VLOOKUP(G42,'Feuerwaffen-Ressourcen'!$A$2:$AI$54,24,0)</f>
        <v/>
      </c>
      <c r="Y42" s="50">
        <f>VLOOKUP(D42,'Feuerwaffen-Ressourcen'!$A$2:$AI$54,25,0)+VLOOKUP(E42,'Feuerwaffen-Ressourcen'!$A$2:$AI$54,25,0)+VLOOKUP(F42,'Feuerwaffen-Ressourcen'!$A$2:$AI$54,25,0)</f>
        <v/>
      </c>
      <c r="Z42" s="50">
        <f>VLOOKUP(E42,'Feuerwaffen-Ressourcen'!$A$2:$AI$54,26,0)</f>
        <v/>
      </c>
      <c r="AA42" s="50">
        <f>VLOOKUP(B42,'Feuerwaffen-Ressourcen'!$A$2:$AI$54,27,0)+VLOOKUP(D42,'Feuerwaffen-Ressourcen'!$A$2:$AI$54,27,0)+VLOOKUP(F42,'Feuerwaffen-Ressourcen'!$A$2:$AI$54,27,0)+VLOOKUP(I42,'Feuerwaffen-Ressourcen'!$A$2:$AI$54,27,0)</f>
        <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
      </c>
      <c r="AC42" s="53">
        <f>VLOOKUP(I42,'Feuerwaffen-Ressourcen'!$A$2:$AI$54,31,0)*AD42+AE42</f>
        <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
      </c>
      <c r="AF42" s="55">
        <f>VLOOKUP(AB42,'Feuerwaffen-Ressourcen'!$AO$3:$AP$9,2,1)</f>
        <v/>
      </c>
      <c r="AG42" s="55" t="n">
        <v>0</v>
      </c>
      <c r="AH42" s="28" t="inlineStr">
        <is>
          <t>Stangenwaffen</t>
        </is>
      </c>
      <c r="AI42" s="28" t="inlineStr">
        <is>
          <t>Improvisierte Stangenwaffen</t>
        </is>
      </c>
      <c r="AJ42" s="56" t="n">
        <v>3</v>
      </c>
      <c r="AK42" s="56" t="inlineStr">
        <is>
          <t>W8</t>
        </is>
      </c>
      <c r="AL42" s="56" t="inlineStr">
        <is>
          <t>W4</t>
        </is>
      </c>
      <c r="AM42" s="56" t="n">
        <v>3</v>
      </c>
      <c r="AN42" s="56" t="n">
        <v>5</v>
      </c>
      <c r="AO42" s="56" t="n">
        <v>4</v>
      </c>
      <c r="AP42" s="56" t="n">
        <v>4</v>
      </c>
      <c r="AQ42" s="56" t="n">
        <v>6</v>
      </c>
      <c r="AR42" s="56" t="n">
        <v>6</v>
      </c>
      <c r="AS42" s="56" t="n">
        <v>5</v>
      </c>
      <c r="AT42" s="56" t="n">
        <v>6</v>
      </c>
    </row>
    <row r="43">
      <c r="A43" s="49" t="inlineStr">
        <is>
          <t>Slipgarr</t>
        </is>
      </c>
      <c r="B43" s="49" t="inlineStr">
        <is>
          <t>Goblinisch</t>
        </is>
      </c>
      <c r="C43" s="49" t="inlineStr">
        <is>
          <t>Gewehr</t>
        </is>
      </c>
      <c r="D43" s="49" t="inlineStr">
        <is>
          <t>Karabiner VL</t>
        </is>
      </c>
      <c r="E43" s="49" t="inlineStr">
        <is>
          <t>Vorderlader</t>
        </is>
      </c>
      <c r="F43" s="49" t="inlineStr">
        <is>
          <t>Perkussionsschloss</t>
        </is>
      </c>
      <c r="G43" s="49" t="inlineStr">
        <is>
          <t>Gezogen</t>
        </is>
      </c>
      <c r="H43" s="49" t="inlineStr">
        <is>
          <t>Blei</t>
        </is>
      </c>
      <c r="I43" s="49" t="inlineStr">
        <is>
          <t>Massenfabrikation</t>
        </is>
      </c>
      <c r="J43" s="49" t="inlineStr">
        <is>
          <t>Von der Stange</t>
        </is>
      </c>
      <c r="K43" s="51">
        <f>VLOOKUP(B43,'Feuerwaffen-Ressourcen'!$A$2:$AI$54,11,0)+VLOOKUP(C43,'Feuerwaffen-Ressourcen'!$A$2:$AI$54,11,0)+VLOOKUP(D43,'Feuerwaffen-Ressourcen'!$A$2:$AI$54,11,0)+VLOOKUP(E43,'Feuerwaffen-Ressourcen'!$A$2:$AI$54,11,0)+VLOOKUP(G43,'Feuerwaffen-Ressourcen'!$A$2:$AI$54,11,0)</f>
        <v/>
      </c>
      <c r="L43" s="50">
        <f>VLOOKUP(B43,'Feuerwaffen-Ressourcen'!$A$2:$AI$54,12,0)+VLOOKUP(C43,'Feuerwaffen-Ressourcen'!$A$2:$AI$54,12,0)+VLOOKUP(D43,'Feuerwaffen-Ressourcen'!$A$2:$AI$54,12,0)+VLOOKUP(J43,'Feuerwaffen-Ressourcen'!$A$2:$AI$54,12,0)</f>
        <v/>
      </c>
      <c r="M43" s="50">
        <f>VLOOKUP(VLOOKUP(B43,'Feuerwaffen-Ressourcen'!$A$2:$AI$54,13,0)+VLOOKUP(C43,'Feuerwaffen-Ressourcen'!$A$2:$AI$54,13,0)+VLOOKUP(D43,'Feuerwaffen-Ressourcen'!$A$2:$AI$54,13,0),'Feuerwaffen-Ressourcen'!$AJ$3:$AK$12,2,0)</f>
        <v/>
      </c>
      <c r="N43" s="50">
        <f>VLOOKUP(VLOOKUP(B43,'Feuerwaffen-Ressourcen'!$A$2:$AI$54,14,0)+VLOOKUP(C43,'Feuerwaffen-Ressourcen'!$A$2:$AI$54,14,0)+VLOOKUP(D43,'Feuerwaffen-Ressourcen'!$A$2:$AI$54,14,0),'Feuerwaffen-Ressourcen'!$AJ$3:$AK$12,2,0)</f>
        <v/>
      </c>
      <c r="O43" s="50">
        <f>VLOOKUP(B43,'Feuerwaffen-Ressourcen'!$A$2:$AI$54,15,0)+VLOOKUP(C43,'Feuerwaffen-Ressourcen'!$A$2:$AI$54,15,0)+VLOOKUP(D43,'Feuerwaffen-Ressourcen'!$A$2:$AI$54,15,0)</f>
        <v/>
      </c>
      <c r="P43" s="50">
        <f>VLOOKUP(B43,'Feuerwaffen-Ressourcen'!$A$2:$AI$54,16,0)+VLOOKUP(C43,'Feuerwaffen-Ressourcen'!$A$2:$AI$54,16,0)+VLOOKUP(D43,'Feuerwaffen-Ressourcen'!$A$2:$AI$54,16,0)+VLOOKUP(E43,'Feuerwaffen-Ressourcen'!$A$2:$AI$54,16,0)</f>
        <v/>
      </c>
      <c r="Q43" s="52">
        <f>VLOOKUP(B43,'Feuerwaffen-Ressourcen'!$A$2:$AI$54,17,0)+VLOOKUP(C43,'Feuerwaffen-Ressourcen'!$A$2:$AI$54,17,0)+VLOOKUP(D43,'Feuerwaffen-Ressourcen'!$A$2:$AI$54,17,0)+VLOOKUP(E43,'Feuerwaffen-Ressourcen'!$A$2:$AI$54,17,0)</f>
        <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
      </c>
      <c r="X43" s="50">
        <f>VLOOKUP(B43,'Feuerwaffen-Ressourcen'!$A$2:$AI$54,24,0)+VLOOKUP(C43,'Feuerwaffen-Ressourcen'!$A$2:$AI$54,24,0)+VLOOKUP(D43,'Feuerwaffen-Ressourcen'!$A$2:$AI$54,24,0)+VLOOKUP(G43,'Feuerwaffen-Ressourcen'!$A$2:$AI$54,24,0)</f>
        <v/>
      </c>
      <c r="Y43" s="50">
        <f>VLOOKUP(D43,'Feuerwaffen-Ressourcen'!$A$2:$AI$54,25,0)+VLOOKUP(E43,'Feuerwaffen-Ressourcen'!$A$2:$AI$54,25,0)+VLOOKUP(F43,'Feuerwaffen-Ressourcen'!$A$2:$AI$54,25,0)</f>
        <v/>
      </c>
      <c r="Z43" s="50">
        <f>VLOOKUP(E43,'Feuerwaffen-Ressourcen'!$A$2:$AI$54,26,0)</f>
        <v/>
      </c>
      <c r="AA43" s="50">
        <f>VLOOKUP(B43,'Feuerwaffen-Ressourcen'!$A$2:$AI$54,27,0)+VLOOKUP(D43,'Feuerwaffen-Ressourcen'!$A$2:$AI$54,27,0)+VLOOKUP(F43,'Feuerwaffen-Ressourcen'!$A$2:$AI$54,27,0)+VLOOKUP(I43,'Feuerwaffen-Ressourcen'!$A$2:$AI$54,27,0)</f>
        <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
      </c>
      <c r="AC43" s="53">
        <f>VLOOKUP(I43,'Feuerwaffen-Ressourcen'!$A$2:$AI$54,31,0)*AD43+AE43</f>
        <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
      </c>
      <c r="AF43" s="55">
        <f>VLOOKUP(AB43,'Feuerwaffen-Ressourcen'!$AO$3:$AP$9,2,1)</f>
        <v/>
      </c>
      <c r="AG43" s="55" t="n">
        <v>0</v>
      </c>
      <c r="AH43" s="28" t="inlineStr">
        <is>
          <t>Stangenwaffen</t>
        </is>
      </c>
      <c r="AI43" s="28" t="inlineStr">
        <is>
          <t>Improvisierte Stangenwaffen</t>
        </is>
      </c>
      <c r="AJ43" s="56" t="n">
        <v>3</v>
      </c>
      <c r="AK43" s="56" t="inlineStr">
        <is>
          <t>W8</t>
        </is>
      </c>
      <c r="AL43" s="56" t="inlineStr">
        <is>
          <t>W4</t>
        </is>
      </c>
      <c r="AM43" s="56" t="n">
        <v>3</v>
      </c>
      <c r="AN43" s="56" t="n">
        <v>5</v>
      </c>
      <c r="AO43" s="56" t="n">
        <v>4</v>
      </c>
      <c r="AP43" s="56" t="n">
        <v>4</v>
      </c>
      <c r="AQ43" s="56" t="n">
        <v>6</v>
      </c>
      <c r="AR43" s="56" t="n">
        <v>6</v>
      </c>
      <c r="AS43" s="56" t="n">
        <v>5</v>
      </c>
      <c r="AT43" s="56" t="n">
        <v>6</v>
      </c>
    </row>
    <row r="44">
      <c r="A44" s="49" t="inlineStr">
        <is>
          <t>Tikgarr</t>
        </is>
      </c>
      <c r="B44" s="49" t="inlineStr">
        <is>
          <t>Goblinisch</t>
        </is>
      </c>
      <c r="C44" s="49" t="inlineStr">
        <is>
          <t>Gewehr</t>
        </is>
      </c>
      <c r="D44" s="49" t="inlineStr">
        <is>
          <t>Schwer</t>
        </is>
      </c>
      <c r="E44" s="49" t="inlineStr">
        <is>
          <t>Vorderlader</t>
        </is>
      </c>
      <c r="F44" s="49" t="inlineStr">
        <is>
          <t>Steinschloss</t>
        </is>
      </c>
      <c r="G44" s="49" t="inlineStr">
        <is>
          <t>Glattlauf</t>
        </is>
      </c>
      <c r="H44" s="49" t="inlineStr">
        <is>
          <t>Blei</t>
        </is>
      </c>
      <c r="I44" s="49" t="inlineStr">
        <is>
          <t>Massenfabrikation</t>
        </is>
      </c>
      <c r="J44" s="49" t="inlineStr">
        <is>
          <t>Von der Stange</t>
        </is>
      </c>
      <c r="K44" s="51">
        <f>VLOOKUP(B44,'Feuerwaffen-Ressourcen'!$A$2:$AI$54,11,0)+VLOOKUP(C44,'Feuerwaffen-Ressourcen'!$A$2:$AI$54,11,0)+VLOOKUP(D44,'Feuerwaffen-Ressourcen'!$A$2:$AI$54,11,0)+VLOOKUP(E44,'Feuerwaffen-Ressourcen'!$A$2:$AI$54,11,0)+VLOOKUP(G44,'Feuerwaffen-Ressourcen'!$A$2:$AI$54,11,0)</f>
        <v/>
      </c>
      <c r="L44" s="50">
        <f>VLOOKUP(B44,'Feuerwaffen-Ressourcen'!$A$2:$AI$54,12,0)+VLOOKUP(C44,'Feuerwaffen-Ressourcen'!$A$2:$AI$54,12,0)+VLOOKUP(D44,'Feuerwaffen-Ressourcen'!$A$2:$AI$54,12,0)+VLOOKUP(J44,'Feuerwaffen-Ressourcen'!$A$2:$AI$54,12,0)</f>
        <v/>
      </c>
      <c r="M44" s="50">
        <f>VLOOKUP(VLOOKUP(B44,'Feuerwaffen-Ressourcen'!$A$2:$AI$54,13,0)+VLOOKUP(C44,'Feuerwaffen-Ressourcen'!$A$2:$AI$54,13,0)+VLOOKUP(D44,'Feuerwaffen-Ressourcen'!$A$2:$AI$54,13,0),'Feuerwaffen-Ressourcen'!$AJ$3:$AK$12,2,0)</f>
        <v/>
      </c>
      <c r="N44" s="50">
        <f>VLOOKUP(VLOOKUP(B44,'Feuerwaffen-Ressourcen'!$A$2:$AI$54,14,0)+VLOOKUP(C44,'Feuerwaffen-Ressourcen'!$A$2:$AI$54,14,0)+VLOOKUP(D44,'Feuerwaffen-Ressourcen'!$A$2:$AI$54,14,0),'Feuerwaffen-Ressourcen'!$AJ$3:$AK$12,2,0)</f>
        <v/>
      </c>
      <c r="O44" s="50">
        <f>VLOOKUP(B44,'Feuerwaffen-Ressourcen'!$A$2:$AI$54,15,0)+VLOOKUP(C44,'Feuerwaffen-Ressourcen'!$A$2:$AI$54,15,0)+VLOOKUP(D44,'Feuerwaffen-Ressourcen'!$A$2:$AI$54,15,0)</f>
        <v/>
      </c>
      <c r="P44" s="50">
        <f>VLOOKUP(B44,'Feuerwaffen-Ressourcen'!$A$2:$AI$54,16,0)+VLOOKUP(C44,'Feuerwaffen-Ressourcen'!$A$2:$AI$54,16,0)+VLOOKUP(D44,'Feuerwaffen-Ressourcen'!$A$2:$AI$54,16,0)+VLOOKUP(E44,'Feuerwaffen-Ressourcen'!$A$2:$AI$54,16,0)</f>
        <v/>
      </c>
      <c r="Q44" s="52">
        <f>VLOOKUP(B44,'Feuerwaffen-Ressourcen'!$A$2:$AI$54,17,0)+VLOOKUP(C44,'Feuerwaffen-Ressourcen'!$A$2:$AI$54,17,0)+VLOOKUP(D44,'Feuerwaffen-Ressourcen'!$A$2:$AI$54,17,0)+VLOOKUP(E44,'Feuerwaffen-Ressourcen'!$A$2:$AI$54,17,0)</f>
        <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
      </c>
      <c r="X44" s="50">
        <f>VLOOKUP(B44,'Feuerwaffen-Ressourcen'!$A$2:$AI$54,24,0)+VLOOKUP(C44,'Feuerwaffen-Ressourcen'!$A$2:$AI$54,24,0)+VLOOKUP(D44,'Feuerwaffen-Ressourcen'!$A$2:$AI$54,24,0)+VLOOKUP(G44,'Feuerwaffen-Ressourcen'!$A$2:$AI$54,24,0)</f>
        <v/>
      </c>
      <c r="Y44" s="50">
        <f>VLOOKUP(D44,'Feuerwaffen-Ressourcen'!$A$2:$AI$54,25,0)+VLOOKUP(E44,'Feuerwaffen-Ressourcen'!$A$2:$AI$54,25,0)+VLOOKUP(F44,'Feuerwaffen-Ressourcen'!$A$2:$AI$54,25,0)</f>
        <v/>
      </c>
      <c r="Z44" s="50">
        <f>VLOOKUP(E44,'Feuerwaffen-Ressourcen'!$A$2:$AI$54,26,0)</f>
        <v/>
      </c>
      <c r="AA44" s="50">
        <f>VLOOKUP(B44,'Feuerwaffen-Ressourcen'!$A$2:$AI$54,27,0)+VLOOKUP(D44,'Feuerwaffen-Ressourcen'!$A$2:$AI$54,27,0)+VLOOKUP(F44,'Feuerwaffen-Ressourcen'!$A$2:$AI$54,27,0)+VLOOKUP(I44,'Feuerwaffen-Ressourcen'!$A$2:$AI$54,27,0)</f>
        <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
      </c>
      <c r="AC44" s="53">
        <f>VLOOKUP(I44,'Feuerwaffen-Ressourcen'!$A$2:$AI$54,31,0)*AD44+AE44</f>
        <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
      </c>
      <c r="AF44" s="55">
        <f>VLOOKUP(AB44,'Feuerwaffen-Ressourcen'!$AO$3:$AP$9,2,1)</f>
        <v/>
      </c>
      <c r="AG44" s="55" t="n">
        <v>0</v>
      </c>
      <c r="AH44" s="28" t="inlineStr">
        <is>
          <t>Stangenwaffen</t>
        </is>
      </c>
      <c r="AI44" s="28" t="inlineStr">
        <is>
          <t>Improvisierte Stangenwaffen</t>
        </is>
      </c>
      <c r="AJ44" s="56" t="n">
        <v>3</v>
      </c>
      <c r="AK44" s="56" t="inlineStr">
        <is>
          <t>W8</t>
        </is>
      </c>
      <c r="AL44" s="56" t="inlineStr">
        <is>
          <t>W4</t>
        </is>
      </c>
      <c r="AM44" s="56" t="n">
        <v>3</v>
      </c>
      <c r="AN44" s="56" t="n">
        <v>5</v>
      </c>
      <c r="AO44" s="56" t="n">
        <v>4</v>
      </c>
      <c r="AP44" s="56" t="n">
        <v>4</v>
      </c>
      <c r="AQ44" s="56" t="n">
        <v>9</v>
      </c>
      <c r="AR44" s="56" t="n">
        <v>9</v>
      </c>
      <c r="AS44" s="56" t="n">
        <v>5</v>
      </c>
      <c r="AT44" s="56" t="n">
        <v>6</v>
      </c>
    </row>
    <row r="45">
      <c r="A45" s="49" t="inlineStr">
        <is>
          <t>Bestskueek</t>
        </is>
      </c>
      <c r="B45" s="49" t="inlineStr">
        <is>
          <t>Goblinisch</t>
        </is>
      </c>
      <c r="C45" s="49" t="inlineStr">
        <is>
          <t>Pistole</t>
        </is>
      </c>
      <c r="D45" s="49" t="inlineStr">
        <is>
          <t>Langlauf</t>
        </is>
      </c>
      <c r="E45" s="49" t="inlineStr">
        <is>
          <t>Klapplauf</t>
        </is>
      </c>
      <c r="F45" s="49" t="inlineStr">
        <is>
          <t>Schlagbolzen</t>
        </is>
      </c>
      <c r="G45" s="49" t="inlineStr">
        <is>
          <t>Gezogen</t>
        </is>
      </c>
      <c r="H45" s="49" t="inlineStr">
        <is>
          <t>Messing Patrone</t>
        </is>
      </c>
      <c r="I45" s="49" t="inlineStr">
        <is>
          <t>Massenfabrikation</t>
        </is>
      </c>
      <c r="J45" s="49" t="inlineStr">
        <is>
          <t>Von der Stange</t>
        </is>
      </c>
      <c r="K45" s="51">
        <f>VLOOKUP(B45,'Feuerwaffen-Ressourcen'!$A$2:$AI$54,11,0)+VLOOKUP(C45,'Feuerwaffen-Ressourcen'!$A$2:$AI$54,11,0)+VLOOKUP(D45,'Feuerwaffen-Ressourcen'!$A$2:$AI$54,11,0)+VLOOKUP(E45,'Feuerwaffen-Ressourcen'!$A$2:$AI$54,11,0)+VLOOKUP(G45,'Feuerwaffen-Ressourcen'!$A$2:$AI$54,11,0)</f>
        <v/>
      </c>
      <c r="L45" s="50">
        <f>VLOOKUP(B45,'Feuerwaffen-Ressourcen'!$A$2:$AI$54,12,0)+VLOOKUP(C45,'Feuerwaffen-Ressourcen'!$A$2:$AI$54,12,0)+VLOOKUP(D45,'Feuerwaffen-Ressourcen'!$A$2:$AI$54,12,0)+VLOOKUP(J45,'Feuerwaffen-Ressourcen'!$A$2:$AI$54,12,0)</f>
        <v/>
      </c>
      <c r="M45" s="50">
        <f>VLOOKUP(VLOOKUP(B45,'Feuerwaffen-Ressourcen'!$A$2:$AI$54,13,0)+VLOOKUP(C45,'Feuerwaffen-Ressourcen'!$A$2:$AI$54,13,0)+VLOOKUP(D45,'Feuerwaffen-Ressourcen'!$A$2:$AI$54,13,0),'Feuerwaffen-Ressourcen'!$AJ$3:$AK$12,2,0)</f>
        <v/>
      </c>
      <c r="N45" s="50">
        <f>VLOOKUP(VLOOKUP(B45,'Feuerwaffen-Ressourcen'!$A$2:$AI$54,14,0)+VLOOKUP(C45,'Feuerwaffen-Ressourcen'!$A$2:$AI$54,14,0)+VLOOKUP(D45,'Feuerwaffen-Ressourcen'!$A$2:$AI$54,14,0),'Feuerwaffen-Ressourcen'!$AJ$3:$AK$12,2,0)</f>
        <v/>
      </c>
      <c r="O45" s="50">
        <f>VLOOKUP(B45,'Feuerwaffen-Ressourcen'!$A$2:$AI$54,15,0)+VLOOKUP(C45,'Feuerwaffen-Ressourcen'!$A$2:$AI$54,15,0)+VLOOKUP(D45,'Feuerwaffen-Ressourcen'!$A$2:$AI$54,15,0)</f>
        <v/>
      </c>
      <c r="P45" s="50">
        <f>VLOOKUP(B45,'Feuerwaffen-Ressourcen'!$A$2:$AI$54,16,0)+VLOOKUP(C45,'Feuerwaffen-Ressourcen'!$A$2:$AI$54,16,0)+VLOOKUP(D45,'Feuerwaffen-Ressourcen'!$A$2:$AI$54,16,0)+VLOOKUP(E45,'Feuerwaffen-Ressourcen'!$A$2:$AI$54,16,0)</f>
        <v/>
      </c>
      <c r="Q45" s="52">
        <f>VLOOKUP(B45,'Feuerwaffen-Ressourcen'!$A$2:$AI$54,17,0)+VLOOKUP(C45,'Feuerwaffen-Ressourcen'!$A$2:$AI$54,17,0)+VLOOKUP(D45,'Feuerwaffen-Ressourcen'!$A$2:$AI$54,17,0)+VLOOKUP(E45,'Feuerwaffen-Ressourcen'!$A$2:$AI$54,17,0)</f>
        <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
      </c>
      <c r="X45" s="50">
        <f>VLOOKUP(B45,'Feuerwaffen-Ressourcen'!$A$2:$AI$54,24,0)+VLOOKUP(C45,'Feuerwaffen-Ressourcen'!$A$2:$AI$54,24,0)+VLOOKUP(D45,'Feuerwaffen-Ressourcen'!$A$2:$AI$54,24,0)+VLOOKUP(G45,'Feuerwaffen-Ressourcen'!$A$2:$AI$54,24,0)</f>
        <v/>
      </c>
      <c r="Y45" s="50">
        <f>VLOOKUP(D45,'Feuerwaffen-Ressourcen'!$A$2:$AI$54,25,0)+VLOOKUP(E45,'Feuerwaffen-Ressourcen'!$A$2:$AI$54,25,0)+VLOOKUP(F45,'Feuerwaffen-Ressourcen'!$A$2:$AI$54,25,0)</f>
        <v/>
      </c>
      <c r="Z45" s="50">
        <f>VLOOKUP(E45,'Feuerwaffen-Ressourcen'!$A$2:$AI$54,26,0)</f>
        <v/>
      </c>
      <c r="AA45" s="50">
        <f>VLOOKUP(B45,'Feuerwaffen-Ressourcen'!$A$2:$AI$54,27,0)+VLOOKUP(D45,'Feuerwaffen-Ressourcen'!$A$2:$AI$54,27,0)+VLOOKUP(F45,'Feuerwaffen-Ressourcen'!$A$2:$AI$54,27,0)+VLOOKUP(I45,'Feuerwaffen-Ressourcen'!$A$2:$AI$54,27,0)</f>
        <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
      </c>
      <c r="AC45" s="53">
        <f>VLOOKUP(I45,'Feuerwaffen-Ressourcen'!$A$2:$AI$54,31,0)*AD45+AE45</f>
        <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
      </c>
      <c r="AF45" s="55">
        <f>VLOOKUP(AB45,'Feuerwaffen-Ressourcen'!$AO$3:$AP$9,2,1)</f>
        <v/>
      </c>
      <c r="AG45" s="55" t="n">
        <v>0</v>
      </c>
      <c r="AH45" s="28" t="inlineStr">
        <is>
          <t>Stangenwaffen</t>
        </is>
      </c>
      <c r="AI45" s="28" t="inlineStr">
        <is>
          <t>Improvisierte Stangenwaffen</t>
        </is>
      </c>
      <c r="AJ45" s="56" t="n">
        <v>3</v>
      </c>
      <c r="AK45" s="56" t="inlineStr">
        <is>
          <t>W8</t>
        </is>
      </c>
      <c r="AL45" s="56" t="inlineStr">
        <is>
          <t>W4</t>
        </is>
      </c>
      <c r="AM45" s="56" t="n">
        <v>3</v>
      </c>
      <c r="AN45" s="56" t="n">
        <v>5</v>
      </c>
      <c r="AO45" s="56" t="n">
        <v>4</v>
      </c>
      <c r="AP45" s="56" t="n">
        <v>4</v>
      </c>
      <c r="AQ45" s="56" t="n">
        <v>4</v>
      </c>
      <c r="AR45" s="56" t="n">
        <v>4</v>
      </c>
      <c r="AS45" s="56" t="n">
        <v>5</v>
      </c>
      <c r="AT45" s="56" t="n">
        <v>6</v>
      </c>
    </row>
    <row r="46">
      <c r="A46" s="49" t="inlineStr">
        <is>
          <t>Blizskueek</t>
        </is>
      </c>
      <c r="B46" s="49" t="inlineStr">
        <is>
          <t>Goblinisch</t>
        </is>
      </c>
      <c r="C46" s="49" t="inlineStr">
        <is>
          <t>Pistole</t>
        </is>
      </c>
      <c r="D46" s="49" t="inlineStr">
        <is>
          <t>Langlauf</t>
        </is>
      </c>
      <c r="E46" s="49" t="inlineStr">
        <is>
          <t>Vorderlader</t>
        </is>
      </c>
      <c r="F46" s="49" t="inlineStr">
        <is>
          <t>Perkussionsschloss</t>
        </is>
      </c>
      <c r="G46" s="49" t="inlineStr">
        <is>
          <t>Gezogen</t>
        </is>
      </c>
      <c r="H46" s="49" t="inlineStr">
        <is>
          <t>Blei</t>
        </is>
      </c>
      <c r="I46" s="49" t="inlineStr">
        <is>
          <t>Massenfabrikation</t>
        </is>
      </c>
      <c r="J46" s="49" t="inlineStr">
        <is>
          <t>Von der Stange</t>
        </is>
      </c>
      <c r="K46" s="51">
        <f>VLOOKUP(B46,'Feuerwaffen-Ressourcen'!$A$2:$AI$54,11,0)+VLOOKUP(C46,'Feuerwaffen-Ressourcen'!$A$2:$AI$54,11,0)+VLOOKUP(D46,'Feuerwaffen-Ressourcen'!$A$2:$AI$54,11,0)+VLOOKUP(E46,'Feuerwaffen-Ressourcen'!$A$2:$AI$54,11,0)+VLOOKUP(G46,'Feuerwaffen-Ressourcen'!$A$2:$AI$54,11,0)</f>
        <v/>
      </c>
      <c r="L46" s="50">
        <f>VLOOKUP(B46,'Feuerwaffen-Ressourcen'!$A$2:$AI$54,12,0)+VLOOKUP(C46,'Feuerwaffen-Ressourcen'!$A$2:$AI$54,12,0)+VLOOKUP(D46,'Feuerwaffen-Ressourcen'!$A$2:$AI$54,12,0)+VLOOKUP(J46,'Feuerwaffen-Ressourcen'!$A$2:$AI$54,12,0)</f>
        <v/>
      </c>
      <c r="M46" s="50">
        <f>VLOOKUP(VLOOKUP(B46,'Feuerwaffen-Ressourcen'!$A$2:$AI$54,13,0)+VLOOKUP(C46,'Feuerwaffen-Ressourcen'!$A$2:$AI$54,13,0)+VLOOKUP(D46,'Feuerwaffen-Ressourcen'!$A$2:$AI$54,13,0),'Feuerwaffen-Ressourcen'!$AJ$3:$AK$12,2,0)</f>
        <v/>
      </c>
      <c r="N46" s="50">
        <f>VLOOKUP(VLOOKUP(B46,'Feuerwaffen-Ressourcen'!$A$2:$AI$54,14,0)+VLOOKUP(C46,'Feuerwaffen-Ressourcen'!$A$2:$AI$54,14,0)+VLOOKUP(D46,'Feuerwaffen-Ressourcen'!$A$2:$AI$54,14,0),'Feuerwaffen-Ressourcen'!$AJ$3:$AK$12,2,0)</f>
        <v/>
      </c>
      <c r="O46" s="50">
        <f>VLOOKUP(B46,'Feuerwaffen-Ressourcen'!$A$2:$AI$54,15,0)+VLOOKUP(C46,'Feuerwaffen-Ressourcen'!$A$2:$AI$54,15,0)+VLOOKUP(D46,'Feuerwaffen-Ressourcen'!$A$2:$AI$54,15,0)</f>
        <v/>
      </c>
      <c r="P46" s="50">
        <f>VLOOKUP(B46,'Feuerwaffen-Ressourcen'!$A$2:$AI$54,16,0)+VLOOKUP(C46,'Feuerwaffen-Ressourcen'!$A$2:$AI$54,16,0)+VLOOKUP(D46,'Feuerwaffen-Ressourcen'!$A$2:$AI$54,16,0)+VLOOKUP(E46,'Feuerwaffen-Ressourcen'!$A$2:$AI$54,16,0)</f>
        <v/>
      </c>
      <c r="Q46" s="52">
        <f>VLOOKUP(B46,'Feuerwaffen-Ressourcen'!$A$2:$AI$54,17,0)+VLOOKUP(C46,'Feuerwaffen-Ressourcen'!$A$2:$AI$54,17,0)+VLOOKUP(D46,'Feuerwaffen-Ressourcen'!$A$2:$AI$54,17,0)+VLOOKUP(E46,'Feuerwaffen-Ressourcen'!$A$2:$AI$54,17,0)</f>
        <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
      </c>
      <c r="X46" s="50">
        <f>VLOOKUP(B46,'Feuerwaffen-Ressourcen'!$A$2:$AI$54,24,0)+VLOOKUP(C46,'Feuerwaffen-Ressourcen'!$A$2:$AI$54,24,0)+VLOOKUP(D46,'Feuerwaffen-Ressourcen'!$A$2:$AI$54,24,0)+VLOOKUP(G46,'Feuerwaffen-Ressourcen'!$A$2:$AI$54,24,0)</f>
        <v/>
      </c>
      <c r="Y46" s="50">
        <f>VLOOKUP(D46,'Feuerwaffen-Ressourcen'!$A$2:$AI$54,25,0)+VLOOKUP(E46,'Feuerwaffen-Ressourcen'!$A$2:$AI$54,25,0)+VLOOKUP(F46,'Feuerwaffen-Ressourcen'!$A$2:$AI$54,25,0)</f>
        <v/>
      </c>
      <c r="Z46" s="50">
        <f>VLOOKUP(E46,'Feuerwaffen-Ressourcen'!$A$2:$AI$54,26,0)</f>
        <v/>
      </c>
      <c r="AA46" s="50">
        <f>VLOOKUP(B46,'Feuerwaffen-Ressourcen'!$A$2:$AI$54,27,0)+VLOOKUP(D46,'Feuerwaffen-Ressourcen'!$A$2:$AI$54,27,0)+VLOOKUP(F46,'Feuerwaffen-Ressourcen'!$A$2:$AI$54,27,0)+VLOOKUP(I46,'Feuerwaffen-Ressourcen'!$A$2:$AI$54,27,0)</f>
        <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
      </c>
      <c r="AC46" s="53">
        <f>VLOOKUP(I46,'Feuerwaffen-Ressourcen'!$A$2:$AI$54,31,0)*AD46+AE46</f>
        <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
      </c>
      <c r="AF46" s="55">
        <f>VLOOKUP(AB46,'Feuerwaffen-Ressourcen'!$AO$3:$AP$9,2,1)</f>
        <v/>
      </c>
      <c r="AG46" s="55" t="n">
        <v>0</v>
      </c>
      <c r="AH46" s="28" t="inlineStr">
        <is>
          <t>Hiebwaffen</t>
        </is>
      </c>
      <c r="AI46" s="28" t="inlineStr">
        <is>
          <t>Improvisierte Hiebwaffen</t>
        </is>
      </c>
      <c r="AJ46" s="56" t="n">
        <v>1.5</v>
      </c>
      <c r="AK46" s="56" t="inlineStr">
        <is>
          <t>W8</t>
        </is>
      </c>
      <c r="AL46" s="56" t="inlineStr">
        <is>
          <t>-</t>
        </is>
      </c>
      <c r="AM46" s="56" t="n">
        <v>3</v>
      </c>
      <c r="AN46" s="56" t="n">
        <v>5</v>
      </c>
      <c r="AO46" s="56" t="n">
        <v>-2</v>
      </c>
      <c r="AP46" s="56" t="n">
        <v>-7</v>
      </c>
      <c r="AQ46" s="56" t="n">
        <v>4</v>
      </c>
      <c r="AR46" s="56" t="inlineStr">
        <is>
          <t>-</t>
        </is>
      </c>
      <c r="AS46" s="56" t="n">
        <v>2</v>
      </c>
      <c r="AT46" s="56" t="n">
        <v>10</v>
      </c>
    </row>
    <row r="47">
      <c r="A47" s="49" t="inlineStr">
        <is>
          <t>Booskueek</t>
        </is>
      </c>
      <c r="B47" s="49" t="inlineStr">
        <is>
          <t>Goblinisch</t>
        </is>
      </c>
      <c r="C47" s="49" t="inlineStr">
        <is>
          <t>Pistole</t>
        </is>
      </c>
      <c r="D47" s="49" t="inlineStr">
        <is>
          <t>Böller</t>
        </is>
      </c>
      <c r="E47" s="49" t="inlineStr">
        <is>
          <t>Vorderlader</t>
        </is>
      </c>
      <c r="F47" s="49" t="inlineStr">
        <is>
          <t>Steinschloss</t>
        </is>
      </c>
      <c r="G47" s="49" t="inlineStr">
        <is>
          <t>Glattlauf</t>
        </is>
      </c>
      <c r="H47" s="49" t="inlineStr">
        <is>
          <t>Blei</t>
        </is>
      </c>
      <c r="I47" s="49" t="inlineStr">
        <is>
          <t>Massenfabrikation</t>
        </is>
      </c>
      <c r="J47" s="49" t="inlineStr">
        <is>
          <t>Von der Stange</t>
        </is>
      </c>
      <c r="K47" s="51">
        <f>VLOOKUP(B47,'Feuerwaffen-Ressourcen'!$A$2:$AI$54,11,0)+VLOOKUP(C47,'Feuerwaffen-Ressourcen'!$A$2:$AI$54,11,0)+VLOOKUP(D47,'Feuerwaffen-Ressourcen'!$A$2:$AI$54,11,0)+VLOOKUP(E47,'Feuerwaffen-Ressourcen'!$A$2:$AI$54,11,0)+VLOOKUP(G47,'Feuerwaffen-Ressourcen'!$A$2:$AI$54,11,0)</f>
        <v/>
      </c>
      <c r="L47" s="50">
        <f>VLOOKUP(B47,'Feuerwaffen-Ressourcen'!$A$2:$AI$54,12,0)+VLOOKUP(C47,'Feuerwaffen-Ressourcen'!$A$2:$AI$54,12,0)+VLOOKUP(D47,'Feuerwaffen-Ressourcen'!$A$2:$AI$54,12,0)+VLOOKUP(J47,'Feuerwaffen-Ressourcen'!$A$2:$AI$54,12,0)</f>
        <v/>
      </c>
      <c r="M47" s="50">
        <f>VLOOKUP(VLOOKUP(B47,'Feuerwaffen-Ressourcen'!$A$2:$AI$54,13,0)+VLOOKUP(C47,'Feuerwaffen-Ressourcen'!$A$2:$AI$54,13,0)+VLOOKUP(D47,'Feuerwaffen-Ressourcen'!$A$2:$AI$54,13,0),'Feuerwaffen-Ressourcen'!$AJ$3:$AK$12,2,0)</f>
        <v/>
      </c>
      <c r="N47" s="50">
        <f>VLOOKUP(VLOOKUP(B47,'Feuerwaffen-Ressourcen'!$A$2:$AI$54,14,0)+VLOOKUP(C47,'Feuerwaffen-Ressourcen'!$A$2:$AI$54,14,0)+VLOOKUP(D47,'Feuerwaffen-Ressourcen'!$A$2:$AI$54,14,0),'Feuerwaffen-Ressourcen'!$AJ$3:$AK$12,2,0)</f>
        <v/>
      </c>
      <c r="O47" s="50">
        <f>VLOOKUP(B47,'Feuerwaffen-Ressourcen'!$A$2:$AI$54,15,0)+VLOOKUP(C47,'Feuerwaffen-Ressourcen'!$A$2:$AI$54,15,0)+VLOOKUP(D47,'Feuerwaffen-Ressourcen'!$A$2:$AI$54,15,0)</f>
        <v/>
      </c>
      <c r="P47" s="50">
        <f>VLOOKUP(B47,'Feuerwaffen-Ressourcen'!$A$2:$AI$54,16,0)+VLOOKUP(C47,'Feuerwaffen-Ressourcen'!$A$2:$AI$54,16,0)+VLOOKUP(D47,'Feuerwaffen-Ressourcen'!$A$2:$AI$54,16,0)+VLOOKUP(E47,'Feuerwaffen-Ressourcen'!$A$2:$AI$54,16,0)</f>
        <v/>
      </c>
      <c r="Q47" s="52">
        <f>VLOOKUP(B47,'Feuerwaffen-Ressourcen'!$A$2:$AI$54,17,0)+VLOOKUP(C47,'Feuerwaffen-Ressourcen'!$A$2:$AI$54,17,0)+VLOOKUP(D47,'Feuerwaffen-Ressourcen'!$A$2:$AI$54,17,0)+VLOOKUP(E47,'Feuerwaffen-Ressourcen'!$A$2:$AI$54,17,0)</f>
        <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
      </c>
      <c r="X47" s="50">
        <f>VLOOKUP(B47,'Feuerwaffen-Ressourcen'!$A$2:$AI$54,24,0)+VLOOKUP(C47,'Feuerwaffen-Ressourcen'!$A$2:$AI$54,24,0)+VLOOKUP(D47,'Feuerwaffen-Ressourcen'!$A$2:$AI$54,24,0)+VLOOKUP(G47,'Feuerwaffen-Ressourcen'!$A$2:$AI$54,24,0)</f>
        <v/>
      </c>
      <c r="Y47" s="50">
        <f>VLOOKUP(D47,'Feuerwaffen-Ressourcen'!$A$2:$AI$54,25,0)+VLOOKUP(E47,'Feuerwaffen-Ressourcen'!$A$2:$AI$54,25,0)+VLOOKUP(F47,'Feuerwaffen-Ressourcen'!$A$2:$AI$54,25,0)</f>
        <v/>
      </c>
      <c r="Z47" s="50">
        <f>VLOOKUP(E47,'Feuerwaffen-Ressourcen'!$A$2:$AI$54,26,0)</f>
        <v/>
      </c>
      <c r="AA47" s="50">
        <f>VLOOKUP(B47,'Feuerwaffen-Ressourcen'!$A$2:$AI$54,27,0)+VLOOKUP(D47,'Feuerwaffen-Ressourcen'!$A$2:$AI$54,27,0)+VLOOKUP(F47,'Feuerwaffen-Ressourcen'!$A$2:$AI$54,27,0)+VLOOKUP(I47,'Feuerwaffen-Ressourcen'!$A$2:$AI$54,27,0)</f>
        <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
      </c>
      <c r="AC47" s="53">
        <f>VLOOKUP(I47,'Feuerwaffen-Ressourcen'!$A$2:$AI$54,31,0)*AD47+AE47</f>
        <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
      </c>
      <c r="AF47" s="55">
        <f>VLOOKUP(AB47,'Feuerwaffen-Ressourcen'!$AO$3:$AP$9,2,1)</f>
        <v/>
      </c>
      <c r="AG47" s="55" t="n">
        <v>0</v>
      </c>
      <c r="AH47" s="28" t="inlineStr">
        <is>
          <t>Hiebwaffen</t>
        </is>
      </c>
      <c r="AI47" s="28" t="inlineStr">
        <is>
          <t>Improvisierte Hiebwaffen</t>
        </is>
      </c>
      <c r="AJ47" s="56" t="n">
        <v>1.5</v>
      </c>
      <c r="AK47" s="56" t="inlineStr">
        <is>
          <t>W8</t>
        </is>
      </c>
      <c r="AL47" s="56" t="inlineStr">
        <is>
          <t>-</t>
        </is>
      </c>
      <c r="AM47" s="56" t="n">
        <v>3</v>
      </c>
      <c r="AN47" s="56" t="n">
        <v>5</v>
      </c>
      <c r="AO47" s="56" t="n">
        <v>-2</v>
      </c>
      <c r="AP47" s="56" t="n">
        <v>-7</v>
      </c>
      <c r="AQ47" s="56" t="n">
        <v>6</v>
      </c>
      <c r="AR47" s="56" t="inlineStr">
        <is>
          <t>-</t>
        </is>
      </c>
      <c r="AS47" s="56" t="n">
        <v>2</v>
      </c>
      <c r="AT47" s="56" t="n">
        <v>10</v>
      </c>
    </row>
    <row r="48">
      <c r="A48" s="49" t="inlineStr">
        <is>
          <t>Dueskueek</t>
        </is>
      </c>
      <c r="B48" s="49" t="inlineStr">
        <is>
          <t>Goblinisch</t>
        </is>
      </c>
      <c r="C48" s="49" t="inlineStr">
        <is>
          <t>Pistole</t>
        </is>
      </c>
      <c r="D48" s="49" t="inlineStr">
        <is>
          <t>Doppelläufig P</t>
        </is>
      </c>
      <c r="E48" s="49" t="inlineStr">
        <is>
          <t>Vorderlader</t>
        </is>
      </c>
      <c r="F48" s="49" t="inlineStr">
        <is>
          <t>Steinschloss</t>
        </is>
      </c>
      <c r="G48" s="49" t="inlineStr">
        <is>
          <t>Glattlauf</t>
        </is>
      </c>
      <c r="H48" s="49" t="inlineStr">
        <is>
          <t>Blei</t>
        </is>
      </c>
      <c r="I48" s="49" t="inlineStr">
        <is>
          <t>Massenfabrikation</t>
        </is>
      </c>
      <c r="J48" s="49" t="inlineStr">
        <is>
          <t>Von der Stange</t>
        </is>
      </c>
      <c r="K48" s="51">
        <f>VLOOKUP(B48,'Feuerwaffen-Ressourcen'!$A$2:$AI$54,11,0)+VLOOKUP(C48,'Feuerwaffen-Ressourcen'!$A$2:$AI$54,11,0)+VLOOKUP(D48,'Feuerwaffen-Ressourcen'!$A$2:$AI$54,11,0)+VLOOKUP(E48,'Feuerwaffen-Ressourcen'!$A$2:$AI$54,11,0)+VLOOKUP(G48,'Feuerwaffen-Ressourcen'!$A$2:$AI$54,11,0)</f>
        <v/>
      </c>
      <c r="L48" s="50">
        <f>VLOOKUP(B48,'Feuerwaffen-Ressourcen'!$A$2:$AI$54,12,0)+VLOOKUP(C48,'Feuerwaffen-Ressourcen'!$A$2:$AI$54,12,0)+VLOOKUP(D48,'Feuerwaffen-Ressourcen'!$A$2:$AI$54,12,0)+VLOOKUP(J48,'Feuerwaffen-Ressourcen'!$A$2:$AI$54,12,0)</f>
        <v/>
      </c>
      <c r="M48" s="50">
        <f>VLOOKUP(VLOOKUP(B48,'Feuerwaffen-Ressourcen'!$A$2:$AI$54,13,0)+VLOOKUP(C48,'Feuerwaffen-Ressourcen'!$A$2:$AI$54,13,0)+VLOOKUP(D48,'Feuerwaffen-Ressourcen'!$A$2:$AI$54,13,0),'Feuerwaffen-Ressourcen'!$AJ$3:$AK$12,2,0)</f>
        <v/>
      </c>
      <c r="N48" s="50">
        <f>VLOOKUP(VLOOKUP(B48,'Feuerwaffen-Ressourcen'!$A$2:$AI$54,14,0)+VLOOKUP(C48,'Feuerwaffen-Ressourcen'!$A$2:$AI$54,14,0)+VLOOKUP(D48,'Feuerwaffen-Ressourcen'!$A$2:$AI$54,14,0),'Feuerwaffen-Ressourcen'!$AJ$3:$AK$12,2,0)</f>
        <v/>
      </c>
      <c r="O48" s="50">
        <f>VLOOKUP(B48,'Feuerwaffen-Ressourcen'!$A$2:$AI$54,15,0)+VLOOKUP(C48,'Feuerwaffen-Ressourcen'!$A$2:$AI$54,15,0)+VLOOKUP(D48,'Feuerwaffen-Ressourcen'!$A$2:$AI$54,15,0)</f>
        <v/>
      </c>
      <c r="P48" s="50">
        <f>VLOOKUP(B48,'Feuerwaffen-Ressourcen'!$A$2:$AI$54,16,0)+VLOOKUP(C48,'Feuerwaffen-Ressourcen'!$A$2:$AI$54,16,0)+VLOOKUP(D48,'Feuerwaffen-Ressourcen'!$A$2:$AI$54,16,0)+VLOOKUP(E48,'Feuerwaffen-Ressourcen'!$A$2:$AI$54,16,0)</f>
        <v/>
      </c>
      <c r="Q48" s="52">
        <f>VLOOKUP(B48,'Feuerwaffen-Ressourcen'!$A$2:$AI$54,17,0)+VLOOKUP(C48,'Feuerwaffen-Ressourcen'!$A$2:$AI$54,17,0)+VLOOKUP(D48,'Feuerwaffen-Ressourcen'!$A$2:$AI$54,17,0)+VLOOKUP(E48,'Feuerwaffen-Ressourcen'!$A$2:$AI$54,17,0)</f>
        <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
      </c>
      <c r="X48" s="50">
        <f>VLOOKUP(B48,'Feuerwaffen-Ressourcen'!$A$2:$AI$54,24,0)+VLOOKUP(C48,'Feuerwaffen-Ressourcen'!$A$2:$AI$54,24,0)+VLOOKUP(D48,'Feuerwaffen-Ressourcen'!$A$2:$AI$54,24,0)+VLOOKUP(G48,'Feuerwaffen-Ressourcen'!$A$2:$AI$54,24,0)</f>
        <v/>
      </c>
      <c r="Y48" s="50">
        <f>VLOOKUP(D48,'Feuerwaffen-Ressourcen'!$A$2:$AI$54,25,0)+VLOOKUP(E48,'Feuerwaffen-Ressourcen'!$A$2:$AI$54,25,0)+VLOOKUP(F48,'Feuerwaffen-Ressourcen'!$A$2:$AI$54,25,0)</f>
        <v/>
      </c>
      <c r="Z48" s="50">
        <f>VLOOKUP(E48,'Feuerwaffen-Ressourcen'!$A$2:$AI$54,26,0)</f>
        <v/>
      </c>
      <c r="AA48" s="50">
        <f>VLOOKUP(B48,'Feuerwaffen-Ressourcen'!$A$2:$AI$54,27,0)+VLOOKUP(D48,'Feuerwaffen-Ressourcen'!$A$2:$AI$54,27,0)+VLOOKUP(F48,'Feuerwaffen-Ressourcen'!$A$2:$AI$54,27,0)+VLOOKUP(I48,'Feuerwaffen-Ressourcen'!$A$2:$AI$54,27,0)</f>
        <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
      </c>
      <c r="AC48" s="53">
        <f>VLOOKUP(I48,'Feuerwaffen-Ressourcen'!$A$2:$AI$54,31,0)*AD48+AE48</f>
        <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
      </c>
      <c r="AF48" s="55">
        <f>VLOOKUP(AB48,'Feuerwaffen-Ressourcen'!$AO$3:$AP$9,2,1)</f>
        <v/>
      </c>
      <c r="AG48" s="55" t="n">
        <v>0</v>
      </c>
      <c r="AH48" s="28" t="inlineStr">
        <is>
          <t>Hiebwaffen</t>
        </is>
      </c>
      <c r="AI48" s="28" t="inlineStr">
        <is>
          <t>Improvisierte Hiebwaffen</t>
        </is>
      </c>
      <c r="AJ48" s="56" t="n">
        <v>1.5</v>
      </c>
      <c r="AK48" s="56" t="inlineStr">
        <is>
          <t>W8</t>
        </is>
      </c>
      <c r="AL48" s="56" t="inlineStr">
        <is>
          <t>-</t>
        </is>
      </c>
      <c r="AM48" s="56" t="n">
        <v>3</v>
      </c>
      <c r="AN48" s="56" t="n">
        <v>5</v>
      </c>
      <c r="AO48" s="56" t="n">
        <v>-2</v>
      </c>
      <c r="AP48" s="56" t="n">
        <v>-7</v>
      </c>
      <c r="AQ48" s="56" t="n">
        <v>5</v>
      </c>
      <c r="AR48" s="56" t="inlineStr">
        <is>
          <t>-</t>
        </is>
      </c>
      <c r="AS48" s="56" t="n">
        <v>2</v>
      </c>
      <c r="AT48" s="56" t="n">
        <v>10</v>
      </c>
    </row>
    <row r="49">
      <c r="A49" s="49" t="inlineStr">
        <is>
          <t>Duetarskueek</t>
        </is>
      </c>
      <c r="B49" s="49" t="inlineStr">
        <is>
          <t>Goblinisch</t>
        </is>
      </c>
      <c r="C49" s="49" t="inlineStr">
        <is>
          <t>Pistole</t>
        </is>
      </c>
      <c r="D49" s="49" t="inlineStr">
        <is>
          <t>Doppelläufig P</t>
        </is>
      </c>
      <c r="E49" s="49" t="inlineStr">
        <is>
          <t>Klapplauf</t>
        </is>
      </c>
      <c r="F49" s="49" t="inlineStr">
        <is>
          <t>Schlagbolzen</t>
        </is>
      </c>
      <c r="G49" s="49" t="inlineStr">
        <is>
          <t>Gezogen</t>
        </is>
      </c>
      <c r="H49" s="49" t="inlineStr">
        <is>
          <t>Messing Patrone</t>
        </is>
      </c>
      <c r="I49" s="49" t="inlineStr">
        <is>
          <t>Massenfabrikation</t>
        </is>
      </c>
      <c r="J49" s="49" t="inlineStr">
        <is>
          <t>Von der Stange</t>
        </is>
      </c>
      <c r="K49" s="51">
        <f>VLOOKUP(B49,'Feuerwaffen-Ressourcen'!$A$2:$AI$54,11,0)+VLOOKUP(C49,'Feuerwaffen-Ressourcen'!$A$2:$AI$54,11,0)+VLOOKUP(D49,'Feuerwaffen-Ressourcen'!$A$2:$AI$54,11,0)+VLOOKUP(E49,'Feuerwaffen-Ressourcen'!$A$2:$AI$54,11,0)+VLOOKUP(G49,'Feuerwaffen-Ressourcen'!$A$2:$AI$54,11,0)</f>
        <v/>
      </c>
      <c r="L49" s="50">
        <f>VLOOKUP(B49,'Feuerwaffen-Ressourcen'!$A$2:$AI$54,12,0)+VLOOKUP(C49,'Feuerwaffen-Ressourcen'!$A$2:$AI$54,12,0)+VLOOKUP(D49,'Feuerwaffen-Ressourcen'!$A$2:$AI$54,12,0)+VLOOKUP(J49,'Feuerwaffen-Ressourcen'!$A$2:$AI$54,12,0)</f>
        <v/>
      </c>
      <c r="M49" s="50">
        <f>VLOOKUP(VLOOKUP(B49,'Feuerwaffen-Ressourcen'!$A$2:$AI$54,13,0)+VLOOKUP(C49,'Feuerwaffen-Ressourcen'!$A$2:$AI$54,13,0)+VLOOKUP(D49,'Feuerwaffen-Ressourcen'!$A$2:$AI$54,13,0),'Feuerwaffen-Ressourcen'!$AJ$3:$AK$12,2,0)</f>
        <v/>
      </c>
      <c r="N49" s="50">
        <f>VLOOKUP(VLOOKUP(B49,'Feuerwaffen-Ressourcen'!$A$2:$AI$54,14,0)+VLOOKUP(C49,'Feuerwaffen-Ressourcen'!$A$2:$AI$54,14,0)+VLOOKUP(D49,'Feuerwaffen-Ressourcen'!$A$2:$AI$54,14,0),'Feuerwaffen-Ressourcen'!$AJ$3:$AK$12,2,0)</f>
        <v/>
      </c>
      <c r="O49" s="50">
        <f>VLOOKUP(B49,'Feuerwaffen-Ressourcen'!$A$2:$AI$54,15,0)+VLOOKUP(C49,'Feuerwaffen-Ressourcen'!$A$2:$AI$54,15,0)+VLOOKUP(D49,'Feuerwaffen-Ressourcen'!$A$2:$AI$54,15,0)</f>
        <v/>
      </c>
      <c r="P49" s="50">
        <f>VLOOKUP(B49,'Feuerwaffen-Ressourcen'!$A$2:$AI$54,16,0)+VLOOKUP(C49,'Feuerwaffen-Ressourcen'!$A$2:$AI$54,16,0)+VLOOKUP(D49,'Feuerwaffen-Ressourcen'!$A$2:$AI$54,16,0)+VLOOKUP(E49,'Feuerwaffen-Ressourcen'!$A$2:$AI$54,16,0)</f>
        <v/>
      </c>
      <c r="Q49" s="52">
        <f>VLOOKUP(B49,'Feuerwaffen-Ressourcen'!$A$2:$AI$54,17,0)+VLOOKUP(C49,'Feuerwaffen-Ressourcen'!$A$2:$AI$54,17,0)+VLOOKUP(D49,'Feuerwaffen-Ressourcen'!$A$2:$AI$54,17,0)+VLOOKUP(E49,'Feuerwaffen-Ressourcen'!$A$2:$AI$54,17,0)</f>
        <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
      </c>
      <c r="X49" s="50">
        <f>VLOOKUP(B49,'Feuerwaffen-Ressourcen'!$A$2:$AI$54,24,0)+VLOOKUP(C49,'Feuerwaffen-Ressourcen'!$A$2:$AI$54,24,0)+VLOOKUP(D49,'Feuerwaffen-Ressourcen'!$A$2:$AI$54,24,0)+VLOOKUP(G49,'Feuerwaffen-Ressourcen'!$A$2:$AI$54,24,0)</f>
        <v/>
      </c>
      <c r="Y49" s="50">
        <f>VLOOKUP(D49,'Feuerwaffen-Ressourcen'!$A$2:$AI$54,25,0)+VLOOKUP(E49,'Feuerwaffen-Ressourcen'!$A$2:$AI$54,25,0)+VLOOKUP(F49,'Feuerwaffen-Ressourcen'!$A$2:$AI$54,25,0)</f>
        <v/>
      </c>
      <c r="Z49" s="50">
        <f>VLOOKUP(E49,'Feuerwaffen-Ressourcen'!$A$2:$AI$54,26,0)</f>
        <v/>
      </c>
      <c r="AA49" s="50">
        <f>VLOOKUP(B49,'Feuerwaffen-Ressourcen'!$A$2:$AI$54,27,0)+VLOOKUP(D49,'Feuerwaffen-Ressourcen'!$A$2:$AI$54,27,0)+VLOOKUP(F49,'Feuerwaffen-Ressourcen'!$A$2:$AI$54,27,0)+VLOOKUP(I49,'Feuerwaffen-Ressourcen'!$A$2:$AI$54,27,0)</f>
        <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
      </c>
      <c r="AC49" s="53">
        <f>VLOOKUP(I49,'Feuerwaffen-Ressourcen'!$A$2:$AI$54,31,0)*AD49+AE49</f>
        <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
      </c>
      <c r="AF49" s="55">
        <f>VLOOKUP(AB49,'Feuerwaffen-Ressourcen'!$AO$3:$AP$9,2,1)</f>
        <v/>
      </c>
      <c r="AG49" s="55" t="n">
        <v>0</v>
      </c>
      <c r="AH49" s="28" t="inlineStr">
        <is>
          <t>Hiebwaffen</t>
        </is>
      </c>
      <c r="AI49" s="28" t="inlineStr">
        <is>
          <t>Improvisierte Hiebwaffen</t>
        </is>
      </c>
      <c r="AJ49" s="56" t="n">
        <v>1.5</v>
      </c>
      <c r="AK49" s="56" t="inlineStr">
        <is>
          <t>W8</t>
        </is>
      </c>
      <c r="AL49" s="56" t="inlineStr">
        <is>
          <t>-</t>
        </is>
      </c>
      <c r="AM49" s="56" t="n">
        <v>3</v>
      </c>
      <c r="AN49" s="56" t="n">
        <v>5</v>
      </c>
      <c r="AO49" s="56" t="n">
        <v>-2</v>
      </c>
      <c r="AP49" s="56" t="n">
        <v>-7</v>
      </c>
      <c r="AQ49" s="56" t="n">
        <v>5</v>
      </c>
      <c r="AR49" s="56" t="inlineStr">
        <is>
          <t>-</t>
        </is>
      </c>
      <c r="AS49" s="56" t="n">
        <v>2</v>
      </c>
      <c r="AT49" s="56" t="n">
        <v>10</v>
      </c>
    </row>
    <row r="50">
      <c r="A50" s="49" t="inlineStr">
        <is>
          <t>Fips</t>
        </is>
      </c>
      <c r="B50" s="49" t="inlineStr">
        <is>
          <t>Goblinisch</t>
        </is>
      </c>
      <c r="C50" s="49" t="inlineStr">
        <is>
          <t>Pistole</t>
        </is>
      </c>
      <c r="D50" s="49" t="inlineStr">
        <is>
          <t>Pocket Pistol</t>
        </is>
      </c>
      <c r="E50" s="49" t="inlineStr">
        <is>
          <t>Klapplauf</t>
        </is>
      </c>
      <c r="F50" s="49" t="inlineStr">
        <is>
          <t>Schlagbolzen</t>
        </is>
      </c>
      <c r="G50" s="49" t="inlineStr">
        <is>
          <t>Gezogen</t>
        </is>
      </c>
      <c r="H50" s="49" t="inlineStr">
        <is>
          <t>Messing Patrone</t>
        </is>
      </c>
      <c r="I50" s="49" t="inlineStr">
        <is>
          <t>Massenfabrikation</t>
        </is>
      </c>
      <c r="J50" s="49" t="inlineStr">
        <is>
          <t>Von der Stange</t>
        </is>
      </c>
      <c r="K50" s="51">
        <f>VLOOKUP(B50,'Feuerwaffen-Ressourcen'!$A$2:$AI$54,11,0)+VLOOKUP(C50,'Feuerwaffen-Ressourcen'!$A$2:$AI$54,11,0)+VLOOKUP(D50,'Feuerwaffen-Ressourcen'!$A$2:$AI$54,11,0)+VLOOKUP(E50,'Feuerwaffen-Ressourcen'!$A$2:$AI$54,11,0)+VLOOKUP(G50,'Feuerwaffen-Ressourcen'!$A$2:$AI$54,11,0)</f>
        <v/>
      </c>
      <c r="L50" s="50">
        <f>VLOOKUP(B50,'Feuerwaffen-Ressourcen'!$A$2:$AI$54,12,0)+VLOOKUP(C50,'Feuerwaffen-Ressourcen'!$A$2:$AI$54,12,0)+VLOOKUP(D50,'Feuerwaffen-Ressourcen'!$A$2:$AI$54,12,0)+VLOOKUP(J50,'Feuerwaffen-Ressourcen'!$A$2:$AI$54,12,0)</f>
        <v/>
      </c>
      <c r="M50" s="50">
        <f>VLOOKUP(VLOOKUP(B50,'Feuerwaffen-Ressourcen'!$A$2:$AI$54,13,0)+VLOOKUP(C50,'Feuerwaffen-Ressourcen'!$A$2:$AI$54,13,0)+VLOOKUP(D50,'Feuerwaffen-Ressourcen'!$A$2:$AI$54,13,0),'Feuerwaffen-Ressourcen'!$AJ$3:$AK$12,2,0)</f>
        <v/>
      </c>
      <c r="N50" s="50">
        <f>VLOOKUP(VLOOKUP(B50,'Feuerwaffen-Ressourcen'!$A$2:$AI$54,14,0)+VLOOKUP(C50,'Feuerwaffen-Ressourcen'!$A$2:$AI$54,14,0)+VLOOKUP(D50,'Feuerwaffen-Ressourcen'!$A$2:$AI$54,14,0),'Feuerwaffen-Ressourcen'!$AJ$3:$AK$12,2,0)</f>
        <v/>
      </c>
      <c r="O50" s="50">
        <f>VLOOKUP(B50,'Feuerwaffen-Ressourcen'!$A$2:$AI$54,15,0)+VLOOKUP(C50,'Feuerwaffen-Ressourcen'!$A$2:$AI$54,15,0)+VLOOKUP(D50,'Feuerwaffen-Ressourcen'!$A$2:$AI$54,15,0)</f>
        <v/>
      </c>
      <c r="P50" s="50">
        <f>VLOOKUP(B50,'Feuerwaffen-Ressourcen'!$A$2:$AI$54,16,0)+VLOOKUP(C50,'Feuerwaffen-Ressourcen'!$A$2:$AI$54,16,0)+VLOOKUP(D50,'Feuerwaffen-Ressourcen'!$A$2:$AI$54,16,0)+VLOOKUP(E50,'Feuerwaffen-Ressourcen'!$A$2:$AI$54,16,0)</f>
        <v/>
      </c>
      <c r="Q50" s="52">
        <f>VLOOKUP(B50,'Feuerwaffen-Ressourcen'!$A$2:$AI$54,17,0)+VLOOKUP(C50,'Feuerwaffen-Ressourcen'!$A$2:$AI$54,17,0)+VLOOKUP(D50,'Feuerwaffen-Ressourcen'!$A$2:$AI$54,17,0)+VLOOKUP(E50,'Feuerwaffen-Ressourcen'!$A$2:$AI$54,17,0)</f>
        <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
      </c>
      <c r="X50" s="50">
        <f>VLOOKUP(B50,'Feuerwaffen-Ressourcen'!$A$2:$AI$54,24,0)+VLOOKUP(C50,'Feuerwaffen-Ressourcen'!$A$2:$AI$54,24,0)+VLOOKUP(D50,'Feuerwaffen-Ressourcen'!$A$2:$AI$54,24,0)+VLOOKUP(G50,'Feuerwaffen-Ressourcen'!$A$2:$AI$54,24,0)</f>
        <v/>
      </c>
      <c r="Y50" s="50">
        <f>VLOOKUP(D50,'Feuerwaffen-Ressourcen'!$A$2:$AI$54,25,0)+VLOOKUP(E50,'Feuerwaffen-Ressourcen'!$A$2:$AI$54,25,0)+VLOOKUP(F50,'Feuerwaffen-Ressourcen'!$A$2:$AI$54,25,0)</f>
        <v/>
      </c>
      <c r="Z50" s="50">
        <f>VLOOKUP(E50,'Feuerwaffen-Ressourcen'!$A$2:$AI$54,26,0)</f>
        <v/>
      </c>
      <c r="AA50" s="50">
        <f>VLOOKUP(B50,'Feuerwaffen-Ressourcen'!$A$2:$AI$54,27,0)+VLOOKUP(D50,'Feuerwaffen-Ressourcen'!$A$2:$AI$54,27,0)+VLOOKUP(F50,'Feuerwaffen-Ressourcen'!$A$2:$AI$54,27,0)+VLOOKUP(I50,'Feuerwaffen-Ressourcen'!$A$2:$AI$54,27,0)</f>
        <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
      </c>
      <c r="AC50" s="53">
        <f>VLOOKUP(I50,'Feuerwaffen-Ressourcen'!$A$2:$AI$54,31,0)*AD50+AE50</f>
        <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
      </c>
      <c r="AF50" s="55">
        <f>VLOOKUP(AB50,'Feuerwaffen-Ressourcen'!$AO$3:$AP$9,2,1)</f>
        <v/>
      </c>
      <c r="AG50" s="55" t="n">
        <v>0</v>
      </c>
      <c r="AH50" s="28" t="inlineStr">
        <is>
          <t>Stangenwaffen</t>
        </is>
      </c>
      <c r="AI50" s="28" t="inlineStr">
        <is>
          <t>Improvisierte Stangenwaffen</t>
        </is>
      </c>
      <c r="AJ50" s="56" t="n">
        <v>3</v>
      </c>
      <c r="AK50" s="56" t="inlineStr">
        <is>
          <t>W8</t>
        </is>
      </c>
      <c r="AL50" s="56" t="inlineStr">
        <is>
          <t>W4</t>
        </is>
      </c>
      <c r="AM50" s="56" t="n">
        <v>3</v>
      </c>
      <c r="AN50" s="56" t="n">
        <v>5</v>
      </c>
      <c r="AO50" s="56" t="n">
        <v>4</v>
      </c>
      <c r="AP50" s="56" t="n">
        <v>4</v>
      </c>
      <c r="AQ50" s="56" t="n">
        <v>2</v>
      </c>
      <c r="AR50" s="56" t="n">
        <v>2</v>
      </c>
      <c r="AS50" s="56" t="n">
        <v>5</v>
      </c>
      <c r="AT50" s="56" t="n">
        <v>6</v>
      </c>
    </row>
    <row r="51">
      <c r="A51" s="49" t="inlineStr">
        <is>
          <t>Hydra</t>
        </is>
      </c>
      <c r="B51" s="49" t="inlineStr">
        <is>
          <t>Goblinisch</t>
        </is>
      </c>
      <c r="C51" s="49" t="inlineStr">
        <is>
          <t>Pistole</t>
        </is>
      </c>
      <c r="D51" s="49" t="inlineStr">
        <is>
          <t>Vierläufig P</t>
        </is>
      </c>
      <c r="E51" s="49" t="inlineStr">
        <is>
          <t>Vorderlader</t>
        </is>
      </c>
      <c r="F51" s="49" t="inlineStr">
        <is>
          <t>Radschloss</t>
        </is>
      </c>
      <c r="G51" s="49" t="inlineStr">
        <is>
          <t>Glattlauf</t>
        </is>
      </c>
      <c r="H51" s="49" t="inlineStr">
        <is>
          <t>Blei</t>
        </is>
      </c>
      <c r="I51" s="49" t="inlineStr">
        <is>
          <t>Massenfabrikation</t>
        </is>
      </c>
      <c r="J51" s="49" t="inlineStr">
        <is>
          <t>Von der Stange</t>
        </is>
      </c>
      <c r="K51" s="51">
        <f>VLOOKUP(B51,'Feuerwaffen-Ressourcen'!$A$2:$AI$54,11,0)+VLOOKUP(C51,'Feuerwaffen-Ressourcen'!$A$2:$AI$54,11,0)+VLOOKUP(D51,'Feuerwaffen-Ressourcen'!$A$2:$AI$54,11,0)+VLOOKUP(E51,'Feuerwaffen-Ressourcen'!$A$2:$AI$54,11,0)+VLOOKUP(G51,'Feuerwaffen-Ressourcen'!$A$2:$AI$54,11,0)</f>
        <v/>
      </c>
      <c r="L51" s="50">
        <f>VLOOKUP(B51,'Feuerwaffen-Ressourcen'!$A$2:$AI$54,12,0)+VLOOKUP(C51,'Feuerwaffen-Ressourcen'!$A$2:$AI$54,12,0)+VLOOKUP(D51,'Feuerwaffen-Ressourcen'!$A$2:$AI$54,12,0)+VLOOKUP(J51,'Feuerwaffen-Ressourcen'!$A$2:$AI$54,12,0)</f>
        <v/>
      </c>
      <c r="M51" s="50">
        <f>VLOOKUP(VLOOKUP(B51,'Feuerwaffen-Ressourcen'!$A$2:$AI$54,13,0)+VLOOKUP(C51,'Feuerwaffen-Ressourcen'!$A$2:$AI$54,13,0)+VLOOKUP(D51,'Feuerwaffen-Ressourcen'!$A$2:$AI$54,13,0),'Feuerwaffen-Ressourcen'!$AJ$3:$AK$12,2,0)</f>
        <v/>
      </c>
      <c r="N51" s="50">
        <f>VLOOKUP(VLOOKUP(B51,'Feuerwaffen-Ressourcen'!$A$2:$AI$54,14,0)+VLOOKUP(C51,'Feuerwaffen-Ressourcen'!$A$2:$AI$54,14,0)+VLOOKUP(D51,'Feuerwaffen-Ressourcen'!$A$2:$AI$54,14,0),'Feuerwaffen-Ressourcen'!$AJ$3:$AK$12,2,0)</f>
        <v/>
      </c>
      <c r="O51" s="50">
        <f>VLOOKUP(B51,'Feuerwaffen-Ressourcen'!$A$2:$AI$54,15,0)+VLOOKUP(C51,'Feuerwaffen-Ressourcen'!$A$2:$AI$54,15,0)+VLOOKUP(D51,'Feuerwaffen-Ressourcen'!$A$2:$AI$54,15,0)</f>
        <v/>
      </c>
      <c r="P51" s="50">
        <f>VLOOKUP(B51,'Feuerwaffen-Ressourcen'!$A$2:$AI$54,16,0)+VLOOKUP(C51,'Feuerwaffen-Ressourcen'!$A$2:$AI$54,16,0)+VLOOKUP(D51,'Feuerwaffen-Ressourcen'!$A$2:$AI$54,16,0)+VLOOKUP(E51,'Feuerwaffen-Ressourcen'!$A$2:$AI$54,16,0)</f>
        <v/>
      </c>
      <c r="Q51" s="52">
        <f>VLOOKUP(B51,'Feuerwaffen-Ressourcen'!$A$2:$AI$54,17,0)+VLOOKUP(C51,'Feuerwaffen-Ressourcen'!$A$2:$AI$54,17,0)+VLOOKUP(D51,'Feuerwaffen-Ressourcen'!$A$2:$AI$54,17,0)+VLOOKUP(E51,'Feuerwaffen-Ressourcen'!$A$2:$AI$54,17,0)</f>
        <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
      </c>
      <c r="X51" s="50">
        <f>VLOOKUP(B51,'Feuerwaffen-Ressourcen'!$A$2:$AI$54,24,0)+VLOOKUP(C51,'Feuerwaffen-Ressourcen'!$A$2:$AI$54,24,0)+VLOOKUP(D51,'Feuerwaffen-Ressourcen'!$A$2:$AI$54,24,0)+VLOOKUP(G51,'Feuerwaffen-Ressourcen'!$A$2:$AI$54,24,0)</f>
        <v/>
      </c>
      <c r="Y51" s="50">
        <f>VLOOKUP(D51,'Feuerwaffen-Ressourcen'!$A$2:$AI$54,25,0)+VLOOKUP(E51,'Feuerwaffen-Ressourcen'!$A$2:$AI$54,25,0)+VLOOKUP(F51,'Feuerwaffen-Ressourcen'!$A$2:$AI$54,25,0)</f>
        <v/>
      </c>
      <c r="Z51" s="50">
        <f>VLOOKUP(E51,'Feuerwaffen-Ressourcen'!$A$2:$AI$54,26,0)</f>
        <v/>
      </c>
      <c r="AA51" s="50">
        <f>VLOOKUP(B51,'Feuerwaffen-Ressourcen'!$A$2:$AI$54,27,0)+VLOOKUP(D51,'Feuerwaffen-Ressourcen'!$A$2:$AI$54,27,0)+VLOOKUP(F51,'Feuerwaffen-Ressourcen'!$A$2:$AI$54,27,0)+VLOOKUP(I51,'Feuerwaffen-Ressourcen'!$A$2:$AI$54,27,0)</f>
        <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
      </c>
      <c r="AC51" s="53">
        <f>VLOOKUP(I51,'Feuerwaffen-Ressourcen'!$A$2:$AI$54,31,0)*AD51+AE51</f>
        <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
      </c>
      <c r="AF51" s="55">
        <f>VLOOKUP(AB51,'Feuerwaffen-Ressourcen'!$AO$3:$AP$9,2,1)</f>
        <v/>
      </c>
      <c r="AG51" s="55" t="n">
        <v>0</v>
      </c>
      <c r="AH51" s="28" t="inlineStr">
        <is>
          <t>Stangenwaffen</t>
        </is>
      </c>
      <c r="AI51" s="28" t="inlineStr">
        <is>
          <t>Improvisierte Stangenwaffen</t>
        </is>
      </c>
      <c r="AJ51" s="56" t="n">
        <v>3</v>
      </c>
      <c r="AK51" s="56" t="inlineStr">
        <is>
          <t>W8</t>
        </is>
      </c>
      <c r="AL51" s="56" t="inlineStr">
        <is>
          <t>W4</t>
        </is>
      </c>
      <c r="AM51" s="56" t="n">
        <v>3</v>
      </c>
      <c r="AN51" s="56" t="n">
        <v>5</v>
      </c>
      <c r="AO51" s="56" t="n">
        <v>4</v>
      </c>
      <c r="AP51" s="56" t="n">
        <v>4</v>
      </c>
      <c r="AQ51" s="56" t="n">
        <v>6</v>
      </c>
      <c r="AR51" s="56" t="n">
        <v>6</v>
      </c>
      <c r="AS51" s="56" t="n">
        <v>5</v>
      </c>
      <c r="AT51" s="56" t="n">
        <v>6</v>
      </c>
    </row>
    <row r="52">
      <c r="A52" s="49" t="inlineStr">
        <is>
          <t>Nackskueek</t>
        </is>
      </c>
      <c r="B52" s="49" t="inlineStr">
        <is>
          <t>Goblinisch</t>
        </is>
      </c>
      <c r="C52" s="49" t="inlineStr">
        <is>
          <t>Pistole</t>
        </is>
      </c>
      <c r="D52" s="49" t="inlineStr">
        <is>
          <t>Langlauf</t>
        </is>
      </c>
      <c r="E52" s="49" t="inlineStr">
        <is>
          <t>Vorderlader</t>
        </is>
      </c>
      <c r="F52" s="49" t="inlineStr">
        <is>
          <t>Radschloss</t>
        </is>
      </c>
      <c r="G52" s="49" t="inlineStr">
        <is>
          <t>Glattlauf</t>
        </is>
      </c>
      <c r="H52" s="49" t="inlineStr">
        <is>
          <t>Blei</t>
        </is>
      </c>
      <c r="I52" s="49" t="inlineStr">
        <is>
          <t>Massenfabrikation</t>
        </is>
      </c>
      <c r="J52" s="49" t="inlineStr">
        <is>
          <t>Von der Stange</t>
        </is>
      </c>
      <c r="K52" s="51">
        <f>VLOOKUP(B52,'Feuerwaffen-Ressourcen'!$A$2:$AI$54,11,0)+VLOOKUP(C52,'Feuerwaffen-Ressourcen'!$A$2:$AI$54,11,0)+VLOOKUP(D52,'Feuerwaffen-Ressourcen'!$A$2:$AI$54,11,0)+VLOOKUP(E52,'Feuerwaffen-Ressourcen'!$A$2:$AI$54,11,0)+VLOOKUP(G52,'Feuerwaffen-Ressourcen'!$A$2:$AI$54,11,0)</f>
        <v/>
      </c>
      <c r="L52" s="50">
        <f>VLOOKUP(B52,'Feuerwaffen-Ressourcen'!$A$2:$AI$54,12,0)+VLOOKUP(C52,'Feuerwaffen-Ressourcen'!$A$2:$AI$54,12,0)+VLOOKUP(D52,'Feuerwaffen-Ressourcen'!$A$2:$AI$54,12,0)+VLOOKUP(J52,'Feuerwaffen-Ressourcen'!$A$2:$AI$54,12,0)</f>
        <v/>
      </c>
      <c r="M52" s="50">
        <f>VLOOKUP(VLOOKUP(B52,'Feuerwaffen-Ressourcen'!$A$2:$AI$54,13,0)+VLOOKUP(C52,'Feuerwaffen-Ressourcen'!$A$2:$AI$54,13,0)+VLOOKUP(D52,'Feuerwaffen-Ressourcen'!$A$2:$AI$54,13,0),'Feuerwaffen-Ressourcen'!$AJ$3:$AK$12,2,0)</f>
        <v/>
      </c>
      <c r="N52" s="50">
        <f>VLOOKUP(VLOOKUP(B52,'Feuerwaffen-Ressourcen'!$A$2:$AI$54,14,0)+VLOOKUP(C52,'Feuerwaffen-Ressourcen'!$A$2:$AI$54,14,0)+VLOOKUP(D52,'Feuerwaffen-Ressourcen'!$A$2:$AI$54,14,0),'Feuerwaffen-Ressourcen'!$AJ$3:$AK$12,2,0)</f>
        <v/>
      </c>
      <c r="O52" s="50">
        <f>VLOOKUP(B52,'Feuerwaffen-Ressourcen'!$A$2:$AI$54,15,0)+VLOOKUP(C52,'Feuerwaffen-Ressourcen'!$A$2:$AI$54,15,0)+VLOOKUP(D52,'Feuerwaffen-Ressourcen'!$A$2:$AI$54,15,0)</f>
        <v/>
      </c>
      <c r="P52" s="50">
        <f>VLOOKUP(B52,'Feuerwaffen-Ressourcen'!$A$2:$AI$54,16,0)+VLOOKUP(C52,'Feuerwaffen-Ressourcen'!$A$2:$AI$54,16,0)+VLOOKUP(D52,'Feuerwaffen-Ressourcen'!$A$2:$AI$54,16,0)+VLOOKUP(E52,'Feuerwaffen-Ressourcen'!$A$2:$AI$54,16,0)</f>
        <v/>
      </c>
      <c r="Q52" s="52">
        <f>VLOOKUP(B52,'Feuerwaffen-Ressourcen'!$A$2:$AI$54,17,0)+VLOOKUP(C52,'Feuerwaffen-Ressourcen'!$A$2:$AI$54,17,0)+VLOOKUP(D52,'Feuerwaffen-Ressourcen'!$A$2:$AI$54,17,0)+VLOOKUP(E52,'Feuerwaffen-Ressourcen'!$A$2:$AI$54,17,0)</f>
        <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
      </c>
      <c r="X52" s="50">
        <f>VLOOKUP(B52,'Feuerwaffen-Ressourcen'!$A$2:$AI$54,24,0)+VLOOKUP(C52,'Feuerwaffen-Ressourcen'!$A$2:$AI$54,24,0)+VLOOKUP(D52,'Feuerwaffen-Ressourcen'!$A$2:$AI$54,24,0)+VLOOKUP(G52,'Feuerwaffen-Ressourcen'!$A$2:$AI$54,24,0)</f>
        <v/>
      </c>
      <c r="Y52" s="50">
        <f>VLOOKUP(D52,'Feuerwaffen-Ressourcen'!$A$2:$AI$54,25,0)+VLOOKUP(E52,'Feuerwaffen-Ressourcen'!$A$2:$AI$54,25,0)+VLOOKUP(F52,'Feuerwaffen-Ressourcen'!$A$2:$AI$54,25,0)</f>
        <v/>
      </c>
      <c r="Z52" s="50">
        <f>VLOOKUP(E52,'Feuerwaffen-Ressourcen'!$A$2:$AI$54,26,0)</f>
        <v/>
      </c>
      <c r="AA52" s="50">
        <f>VLOOKUP(B52,'Feuerwaffen-Ressourcen'!$A$2:$AI$54,27,0)+VLOOKUP(D52,'Feuerwaffen-Ressourcen'!$A$2:$AI$54,27,0)+VLOOKUP(F52,'Feuerwaffen-Ressourcen'!$A$2:$AI$54,27,0)+VLOOKUP(I52,'Feuerwaffen-Ressourcen'!$A$2:$AI$54,27,0)</f>
        <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
      </c>
      <c r="AC52" s="53">
        <f>VLOOKUP(I52,'Feuerwaffen-Ressourcen'!$A$2:$AI$54,31,0)*AD52+AE52</f>
        <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
      </c>
      <c r="AF52" s="55">
        <f>VLOOKUP(AB52,'Feuerwaffen-Ressourcen'!$AO$3:$AP$9,2,1)</f>
        <v/>
      </c>
      <c r="AG52" s="55" t="n">
        <v>0</v>
      </c>
      <c r="AH52" s="28" t="inlineStr">
        <is>
          <t>Stangenwaffen</t>
        </is>
      </c>
      <c r="AI52" s="28" t="inlineStr">
        <is>
          <t>Improvisierte Stangenwaffen</t>
        </is>
      </c>
      <c r="AJ52" s="56" t="n">
        <v>3</v>
      </c>
      <c r="AK52" s="56" t="inlineStr">
        <is>
          <t>W8</t>
        </is>
      </c>
      <c r="AL52" s="56" t="inlineStr">
        <is>
          <t>W4</t>
        </is>
      </c>
      <c r="AM52" s="56" t="n">
        <v>3</v>
      </c>
      <c r="AN52" s="56" t="n">
        <v>5</v>
      </c>
      <c r="AO52" s="56" t="n">
        <v>4</v>
      </c>
      <c r="AP52" s="56" t="n">
        <v>4</v>
      </c>
      <c r="AQ52" s="56" t="n">
        <v>4</v>
      </c>
      <c r="AR52" s="56" t="n">
        <v>4</v>
      </c>
      <c r="AS52" s="56" t="n">
        <v>5</v>
      </c>
      <c r="AT52" s="56" t="n">
        <v>6</v>
      </c>
    </row>
    <row r="53">
      <c r="A53" s="49" t="inlineStr">
        <is>
          <t>Skueek</t>
        </is>
      </c>
      <c r="B53" s="49" t="inlineStr">
        <is>
          <t>Goblinisch</t>
        </is>
      </c>
      <c r="C53" s="49" t="inlineStr">
        <is>
          <t>Pistole</t>
        </is>
      </c>
      <c r="D53" s="49" t="inlineStr">
        <is>
          <t>Normal P</t>
        </is>
      </c>
      <c r="E53" s="49" t="inlineStr">
        <is>
          <t>Vorderlader</t>
        </is>
      </c>
      <c r="F53" s="49" t="inlineStr">
        <is>
          <t>Steinschloss</t>
        </is>
      </c>
      <c r="G53" s="49" t="inlineStr">
        <is>
          <t>Glattlauf</t>
        </is>
      </c>
      <c r="H53" s="49" t="inlineStr">
        <is>
          <t>Blei</t>
        </is>
      </c>
      <c r="I53" s="49" t="inlineStr">
        <is>
          <t>Massenfabrikation</t>
        </is>
      </c>
      <c r="J53" s="49" t="inlineStr">
        <is>
          <t>Von der Stange</t>
        </is>
      </c>
      <c r="K53" s="51">
        <f>VLOOKUP(B53,'Feuerwaffen-Ressourcen'!$A$2:$AI$54,11,0)+VLOOKUP(C53,'Feuerwaffen-Ressourcen'!$A$2:$AI$54,11,0)+VLOOKUP(D53,'Feuerwaffen-Ressourcen'!$A$2:$AI$54,11,0)+VLOOKUP(E53,'Feuerwaffen-Ressourcen'!$A$2:$AI$54,11,0)+VLOOKUP(G53,'Feuerwaffen-Ressourcen'!$A$2:$AI$54,11,0)</f>
        <v/>
      </c>
      <c r="L53" s="50">
        <f>VLOOKUP(B53,'Feuerwaffen-Ressourcen'!$A$2:$AI$54,12,0)+VLOOKUP(C53,'Feuerwaffen-Ressourcen'!$A$2:$AI$54,12,0)+VLOOKUP(D53,'Feuerwaffen-Ressourcen'!$A$2:$AI$54,12,0)+VLOOKUP(J53,'Feuerwaffen-Ressourcen'!$A$2:$AI$54,12,0)</f>
        <v/>
      </c>
      <c r="M53" s="50">
        <f>VLOOKUP(VLOOKUP(B53,'Feuerwaffen-Ressourcen'!$A$2:$AI$54,13,0)+VLOOKUP(C53,'Feuerwaffen-Ressourcen'!$A$2:$AI$54,13,0)+VLOOKUP(D53,'Feuerwaffen-Ressourcen'!$A$2:$AI$54,13,0),'Feuerwaffen-Ressourcen'!$AJ$3:$AK$12,2,0)</f>
        <v/>
      </c>
      <c r="N53" s="50">
        <f>VLOOKUP(VLOOKUP(B53,'Feuerwaffen-Ressourcen'!$A$2:$AI$54,14,0)+VLOOKUP(C53,'Feuerwaffen-Ressourcen'!$A$2:$AI$54,14,0)+VLOOKUP(D53,'Feuerwaffen-Ressourcen'!$A$2:$AI$54,14,0),'Feuerwaffen-Ressourcen'!$AJ$3:$AK$12,2,0)</f>
        <v/>
      </c>
      <c r="O53" s="50">
        <f>VLOOKUP(B53,'Feuerwaffen-Ressourcen'!$A$2:$AI$54,15,0)+VLOOKUP(C53,'Feuerwaffen-Ressourcen'!$A$2:$AI$54,15,0)+VLOOKUP(D53,'Feuerwaffen-Ressourcen'!$A$2:$AI$54,15,0)</f>
        <v/>
      </c>
      <c r="P53" s="50">
        <f>VLOOKUP(B53,'Feuerwaffen-Ressourcen'!$A$2:$AI$54,16,0)+VLOOKUP(C53,'Feuerwaffen-Ressourcen'!$A$2:$AI$54,16,0)+VLOOKUP(D53,'Feuerwaffen-Ressourcen'!$A$2:$AI$54,16,0)+VLOOKUP(E53,'Feuerwaffen-Ressourcen'!$A$2:$AI$54,16,0)</f>
        <v/>
      </c>
      <c r="Q53" s="52">
        <f>VLOOKUP(B53,'Feuerwaffen-Ressourcen'!$A$2:$AI$54,17,0)+VLOOKUP(C53,'Feuerwaffen-Ressourcen'!$A$2:$AI$54,17,0)+VLOOKUP(D53,'Feuerwaffen-Ressourcen'!$A$2:$AI$54,17,0)+VLOOKUP(E53,'Feuerwaffen-Ressourcen'!$A$2:$AI$54,17,0)</f>
        <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
      </c>
      <c r="X53" s="50">
        <f>VLOOKUP(B53,'Feuerwaffen-Ressourcen'!$A$2:$AI$54,24,0)+VLOOKUP(C53,'Feuerwaffen-Ressourcen'!$A$2:$AI$54,24,0)+VLOOKUP(D53,'Feuerwaffen-Ressourcen'!$A$2:$AI$54,24,0)+VLOOKUP(G53,'Feuerwaffen-Ressourcen'!$A$2:$AI$54,24,0)</f>
        <v/>
      </c>
      <c r="Y53" s="50">
        <f>VLOOKUP(D53,'Feuerwaffen-Ressourcen'!$A$2:$AI$54,25,0)+VLOOKUP(E53,'Feuerwaffen-Ressourcen'!$A$2:$AI$54,25,0)+VLOOKUP(F53,'Feuerwaffen-Ressourcen'!$A$2:$AI$54,25,0)</f>
        <v/>
      </c>
      <c r="Z53" s="50">
        <f>VLOOKUP(E53,'Feuerwaffen-Ressourcen'!$A$2:$AI$54,26,0)</f>
        <v/>
      </c>
      <c r="AA53" s="50">
        <f>VLOOKUP(B53,'Feuerwaffen-Ressourcen'!$A$2:$AI$54,27,0)+VLOOKUP(D53,'Feuerwaffen-Ressourcen'!$A$2:$AI$54,27,0)+VLOOKUP(F53,'Feuerwaffen-Ressourcen'!$A$2:$AI$54,27,0)+VLOOKUP(I53,'Feuerwaffen-Ressourcen'!$A$2:$AI$54,27,0)</f>
        <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
      </c>
      <c r="AC53" s="53">
        <f>VLOOKUP(I53,'Feuerwaffen-Ressourcen'!$A$2:$AI$54,31,0)*AD53+AE53</f>
        <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
      </c>
      <c r="AF53" s="55">
        <f>VLOOKUP(AB53,'Feuerwaffen-Ressourcen'!$AO$3:$AP$9,2,1)</f>
        <v/>
      </c>
      <c r="AG53" s="55" t="n">
        <v>0</v>
      </c>
      <c r="AH53" s="28" t="inlineStr">
        <is>
          <t>Stangenwaffen</t>
        </is>
      </c>
      <c r="AI53" s="28" t="inlineStr">
        <is>
          <t>Improvisierte Stangenwaffen</t>
        </is>
      </c>
      <c r="AJ53" s="56" t="n">
        <v>3</v>
      </c>
      <c r="AK53" s="56" t="inlineStr">
        <is>
          <t>W8</t>
        </is>
      </c>
      <c r="AL53" s="56" t="inlineStr">
        <is>
          <t>W4</t>
        </is>
      </c>
      <c r="AM53" s="56" t="n">
        <v>3</v>
      </c>
      <c r="AN53" s="56" t="n">
        <v>5</v>
      </c>
      <c r="AO53" s="56" t="n">
        <v>4</v>
      </c>
      <c r="AP53" s="56" t="n">
        <v>4</v>
      </c>
      <c r="AQ53" s="56" t="n">
        <v>4</v>
      </c>
      <c r="AR53" s="56" t="n">
        <v>4</v>
      </c>
      <c r="AS53" s="56" t="n">
        <v>5</v>
      </c>
      <c r="AT53" s="56" t="n">
        <v>6</v>
      </c>
    </row>
    <row r="54">
      <c r="A54" s="49" t="inlineStr">
        <is>
          <t>Slipskueek</t>
        </is>
      </c>
      <c r="B54" s="49" t="inlineStr">
        <is>
          <t>Goblinisch</t>
        </is>
      </c>
      <c r="C54" s="49" t="inlineStr">
        <is>
          <t>Pistole</t>
        </is>
      </c>
      <c r="D54" s="49" t="inlineStr">
        <is>
          <t>Normal P</t>
        </is>
      </c>
      <c r="E54" s="49" t="inlineStr">
        <is>
          <t>Vorderlader</t>
        </is>
      </c>
      <c r="F54" s="49" t="inlineStr">
        <is>
          <t>Perkussionsschloss</t>
        </is>
      </c>
      <c r="G54" s="49" t="inlineStr">
        <is>
          <t>Gezogen</t>
        </is>
      </c>
      <c r="H54" s="49" t="inlineStr">
        <is>
          <t>Blei</t>
        </is>
      </c>
      <c r="I54" s="49" t="inlineStr">
        <is>
          <t>Massenfabrikation</t>
        </is>
      </c>
      <c r="J54" s="49" t="inlineStr">
        <is>
          <t>Von der Stange</t>
        </is>
      </c>
      <c r="K54" s="51">
        <f>VLOOKUP(B54,'Feuerwaffen-Ressourcen'!$A$2:$AI$54,11,0)+VLOOKUP(C54,'Feuerwaffen-Ressourcen'!$A$2:$AI$54,11,0)+VLOOKUP(D54,'Feuerwaffen-Ressourcen'!$A$2:$AI$54,11,0)+VLOOKUP(E54,'Feuerwaffen-Ressourcen'!$A$2:$AI$54,11,0)+VLOOKUP(G54,'Feuerwaffen-Ressourcen'!$A$2:$AI$54,11,0)</f>
        <v/>
      </c>
      <c r="L54" s="50">
        <f>VLOOKUP(B54,'Feuerwaffen-Ressourcen'!$A$2:$AI$54,12,0)+VLOOKUP(C54,'Feuerwaffen-Ressourcen'!$A$2:$AI$54,12,0)+VLOOKUP(D54,'Feuerwaffen-Ressourcen'!$A$2:$AI$54,12,0)+VLOOKUP(J54,'Feuerwaffen-Ressourcen'!$A$2:$AI$54,12,0)</f>
        <v/>
      </c>
      <c r="M54" s="50">
        <f>VLOOKUP(VLOOKUP(B54,'Feuerwaffen-Ressourcen'!$A$2:$AI$54,13,0)+VLOOKUP(C54,'Feuerwaffen-Ressourcen'!$A$2:$AI$54,13,0)+VLOOKUP(D54,'Feuerwaffen-Ressourcen'!$A$2:$AI$54,13,0),'Feuerwaffen-Ressourcen'!$AJ$3:$AK$12,2,0)</f>
        <v/>
      </c>
      <c r="N54" s="50">
        <f>VLOOKUP(VLOOKUP(B54,'Feuerwaffen-Ressourcen'!$A$2:$AI$54,14,0)+VLOOKUP(C54,'Feuerwaffen-Ressourcen'!$A$2:$AI$54,14,0)+VLOOKUP(D54,'Feuerwaffen-Ressourcen'!$A$2:$AI$54,14,0),'Feuerwaffen-Ressourcen'!$AJ$3:$AK$12,2,0)</f>
        <v/>
      </c>
      <c r="O54" s="50">
        <f>VLOOKUP(B54,'Feuerwaffen-Ressourcen'!$A$2:$AI$54,15,0)+VLOOKUP(C54,'Feuerwaffen-Ressourcen'!$A$2:$AI$54,15,0)+VLOOKUP(D54,'Feuerwaffen-Ressourcen'!$A$2:$AI$54,15,0)</f>
        <v/>
      </c>
      <c r="P54" s="50">
        <f>VLOOKUP(B54,'Feuerwaffen-Ressourcen'!$A$2:$AI$54,16,0)+VLOOKUP(C54,'Feuerwaffen-Ressourcen'!$A$2:$AI$54,16,0)+VLOOKUP(D54,'Feuerwaffen-Ressourcen'!$A$2:$AI$54,16,0)+VLOOKUP(E54,'Feuerwaffen-Ressourcen'!$A$2:$AI$54,16,0)</f>
        <v/>
      </c>
      <c r="Q54" s="52">
        <f>VLOOKUP(B54,'Feuerwaffen-Ressourcen'!$A$2:$AI$54,17,0)+VLOOKUP(C54,'Feuerwaffen-Ressourcen'!$A$2:$AI$54,17,0)+VLOOKUP(D54,'Feuerwaffen-Ressourcen'!$A$2:$AI$54,17,0)+VLOOKUP(E54,'Feuerwaffen-Ressourcen'!$A$2:$AI$54,17,0)</f>
        <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
      </c>
      <c r="X54" s="50">
        <f>VLOOKUP(B54,'Feuerwaffen-Ressourcen'!$A$2:$AI$54,24,0)+VLOOKUP(C54,'Feuerwaffen-Ressourcen'!$A$2:$AI$54,24,0)+VLOOKUP(D54,'Feuerwaffen-Ressourcen'!$A$2:$AI$54,24,0)+VLOOKUP(G54,'Feuerwaffen-Ressourcen'!$A$2:$AI$54,24,0)</f>
        <v/>
      </c>
      <c r="Y54" s="50">
        <f>VLOOKUP(D54,'Feuerwaffen-Ressourcen'!$A$2:$AI$54,25,0)+VLOOKUP(E54,'Feuerwaffen-Ressourcen'!$A$2:$AI$54,25,0)+VLOOKUP(F54,'Feuerwaffen-Ressourcen'!$A$2:$AI$54,25,0)</f>
        <v/>
      </c>
      <c r="Z54" s="50">
        <f>VLOOKUP(E54,'Feuerwaffen-Ressourcen'!$A$2:$AI$54,26,0)</f>
        <v/>
      </c>
      <c r="AA54" s="50">
        <f>VLOOKUP(B54,'Feuerwaffen-Ressourcen'!$A$2:$AI$54,27,0)+VLOOKUP(D54,'Feuerwaffen-Ressourcen'!$A$2:$AI$54,27,0)+VLOOKUP(F54,'Feuerwaffen-Ressourcen'!$A$2:$AI$54,27,0)+VLOOKUP(I54,'Feuerwaffen-Ressourcen'!$A$2:$AI$54,27,0)</f>
        <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
      </c>
      <c r="AC54" s="53">
        <f>VLOOKUP(I54,'Feuerwaffen-Ressourcen'!$A$2:$AI$54,31,0)*AD54+AE54</f>
        <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
      </c>
      <c r="AF54" s="55">
        <f>VLOOKUP(AB54,'Feuerwaffen-Ressourcen'!$AO$3:$AP$9,2,1)</f>
        <v/>
      </c>
      <c r="AG54" s="55" t="n">
        <v>0</v>
      </c>
      <c r="AH54" s="28" t="inlineStr">
        <is>
          <t>Stangenwaffen</t>
        </is>
      </c>
      <c r="AI54" s="28" t="inlineStr">
        <is>
          <t>Improvisierte Stangenwaffen</t>
        </is>
      </c>
      <c r="AJ54" s="56" t="n">
        <v>3</v>
      </c>
      <c r="AK54" s="56" t="inlineStr">
        <is>
          <t>W8</t>
        </is>
      </c>
      <c r="AL54" s="56" t="inlineStr">
        <is>
          <t>W4</t>
        </is>
      </c>
      <c r="AM54" s="56" t="n">
        <v>3</v>
      </c>
      <c r="AN54" s="56" t="n">
        <v>5</v>
      </c>
      <c r="AO54" s="56" t="n">
        <v>4</v>
      </c>
      <c r="AP54" s="56" t="n">
        <v>4</v>
      </c>
      <c r="AQ54" s="56" t="n">
        <v>4</v>
      </c>
      <c r="AR54" s="56" t="n">
        <v>4</v>
      </c>
      <c r="AS54" s="56" t="n">
        <v>5</v>
      </c>
      <c r="AT54" s="56" t="n">
        <v>6</v>
      </c>
    </row>
    <row r="55">
      <c r="A55" s="49" t="inlineStr">
        <is>
          <t>Tarskueek</t>
        </is>
      </c>
      <c r="B55" s="49" t="inlineStr">
        <is>
          <t>Goblinisch</t>
        </is>
      </c>
      <c r="C55" s="49" t="inlineStr">
        <is>
          <t>Pistole</t>
        </is>
      </c>
      <c r="D55" s="49" t="inlineStr">
        <is>
          <t>Normal P</t>
        </is>
      </c>
      <c r="E55" s="49" t="inlineStr">
        <is>
          <t>Klapplauf</t>
        </is>
      </c>
      <c r="F55" s="49" t="inlineStr">
        <is>
          <t>Schlagbolzen</t>
        </is>
      </c>
      <c r="G55" s="49" t="inlineStr">
        <is>
          <t>Gezogen</t>
        </is>
      </c>
      <c r="H55" s="49" t="inlineStr">
        <is>
          <t>Messing Patrone</t>
        </is>
      </c>
      <c r="I55" s="49" t="inlineStr">
        <is>
          <t>Massenfabrikation</t>
        </is>
      </c>
      <c r="J55" s="49" t="inlineStr">
        <is>
          <t>Von der Stange</t>
        </is>
      </c>
      <c r="K55" s="51">
        <f>VLOOKUP(B55,'Feuerwaffen-Ressourcen'!$A$2:$AI$54,11,0)+VLOOKUP(C55,'Feuerwaffen-Ressourcen'!$A$2:$AI$54,11,0)+VLOOKUP(D55,'Feuerwaffen-Ressourcen'!$A$2:$AI$54,11,0)+VLOOKUP(E55,'Feuerwaffen-Ressourcen'!$A$2:$AI$54,11,0)+VLOOKUP(G55,'Feuerwaffen-Ressourcen'!$A$2:$AI$54,11,0)</f>
        <v/>
      </c>
      <c r="L55" s="50">
        <f>VLOOKUP(B55,'Feuerwaffen-Ressourcen'!$A$2:$AI$54,12,0)+VLOOKUP(C55,'Feuerwaffen-Ressourcen'!$A$2:$AI$54,12,0)+VLOOKUP(D55,'Feuerwaffen-Ressourcen'!$A$2:$AI$54,12,0)+VLOOKUP(J55,'Feuerwaffen-Ressourcen'!$A$2:$AI$54,12,0)</f>
        <v/>
      </c>
      <c r="M55" s="50">
        <f>VLOOKUP(VLOOKUP(B55,'Feuerwaffen-Ressourcen'!$A$2:$AI$54,13,0)+VLOOKUP(C55,'Feuerwaffen-Ressourcen'!$A$2:$AI$54,13,0)+VLOOKUP(D55,'Feuerwaffen-Ressourcen'!$A$2:$AI$54,13,0),'Feuerwaffen-Ressourcen'!$AJ$3:$AK$12,2,0)</f>
        <v/>
      </c>
      <c r="N55" s="50">
        <f>VLOOKUP(VLOOKUP(B55,'Feuerwaffen-Ressourcen'!$A$2:$AI$54,14,0)+VLOOKUP(C55,'Feuerwaffen-Ressourcen'!$A$2:$AI$54,14,0)+VLOOKUP(D55,'Feuerwaffen-Ressourcen'!$A$2:$AI$54,14,0),'Feuerwaffen-Ressourcen'!$AJ$3:$AK$12,2,0)</f>
        <v/>
      </c>
      <c r="O55" s="50">
        <f>VLOOKUP(B55,'Feuerwaffen-Ressourcen'!$A$2:$AI$54,15,0)+VLOOKUP(C55,'Feuerwaffen-Ressourcen'!$A$2:$AI$54,15,0)+VLOOKUP(D55,'Feuerwaffen-Ressourcen'!$A$2:$AI$54,15,0)</f>
        <v/>
      </c>
      <c r="P55" s="50">
        <f>VLOOKUP(B55,'Feuerwaffen-Ressourcen'!$A$2:$AI$54,16,0)+VLOOKUP(C55,'Feuerwaffen-Ressourcen'!$A$2:$AI$54,16,0)+VLOOKUP(D55,'Feuerwaffen-Ressourcen'!$A$2:$AI$54,16,0)+VLOOKUP(E55,'Feuerwaffen-Ressourcen'!$A$2:$AI$54,16,0)</f>
        <v/>
      </c>
      <c r="Q55" s="52">
        <f>VLOOKUP(B55,'Feuerwaffen-Ressourcen'!$A$2:$AI$54,17,0)+VLOOKUP(C55,'Feuerwaffen-Ressourcen'!$A$2:$AI$54,17,0)+VLOOKUP(D55,'Feuerwaffen-Ressourcen'!$A$2:$AI$54,17,0)+VLOOKUP(E55,'Feuerwaffen-Ressourcen'!$A$2:$AI$54,17,0)</f>
        <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
      </c>
      <c r="X55" s="50">
        <f>VLOOKUP(B55,'Feuerwaffen-Ressourcen'!$A$2:$AI$54,24,0)+VLOOKUP(C55,'Feuerwaffen-Ressourcen'!$A$2:$AI$54,24,0)+VLOOKUP(D55,'Feuerwaffen-Ressourcen'!$A$2:$AI$54,24,0)+VLOOKUP(G55,'Feuerwaffen-Ressourcen'!$A$2:$AI$54,24,0)</f>
        <v/>
      </c>
      <c r="Y55" s="50">
        <f>VLOOKUP(D55,'Feuerwaffen-Ressourcen'!$A$2:$AI$54,25,0)+VLOOKUP(E55,'Feuerwaffen-Ressourcen'!$A$2:$AI$54,25,0)+VLOOKUP(F55,'Feuerwaffen-Ressourcen'!$A$2:$AI$54,25,0)</f>
        <v/>
      </c>
      <c r="Z55" s="50">
        <f>VLOOKUP(E55,'Feuerwaffen-Ressourcen'!$A$2:$AI$54,26,0)</f>
        <v/>
      </c>
      <c r="AA55" s="50">
        <f>VLOOKUP(B55,'Feuerwaffen-Ressourcen'!$A$2:$AI$54,27,0)+VLOOKUP(D55,'Feuerwaffen-Ressourcen'!$A$2:$AI$54,27,0)+VLOOKUP(F55,'Feuerwaffen-Ressourcen'!$A$2:$AI$54,27,0)+VLOOKUP(I55,'Feuerwaffen-Ressourcen'!$A$2:$AI$54,27,0)</f>
        <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
      </c>
      <c r="AC55" s="53">
        <f>VLOOKUP(I55,'Feuerwaffen-Ressourcen'!$A$2:$AI$54,31,0)*AD55+AE55</f>
        <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
      </c>
      <c r="AF55" s="55">
        <f>VLOOKUP(AB55,'Feuerwaffen-Ressourcen'!$AO$3:$AP$9,2,1)</f>
        <v/>
      </c>
      <c r="AG55" s="55" t="n">
        <v>0</v>
      </c>
      <c r="AH55" s="28" t="inlineStr">
        <is>
          <t>Stangenwaffen</t>
        </is>
      </c>
      <c r="AI55" s="28" t="inlineStr">
        <is>
          <t>Improvisierte Stangenwaffen</t>
        </is>
      </c>
      <c r="AJ55" s="56" t="n">
        <v>3</v>
      </c>
      <c r="AK55" s="56" t="inlineStr">
        <is>
          <t>W8</t>
        </is>
      </c>
      <c r="AL55" s="56" t="inlineStr">
        <is>
          <t>W4</t>
        </is>
      </c>
      <c r="AM55" s="56" t="n">
        <v>3</v>
      </c>
      <c r="AN55" s="56" t="n">
        <v>5</v>
      </c>
      <c r="AO55" s="56" t="n">
        <v>4</v>
      </c>
      <c r="AP55" s="56" t="n">
        <v>4</v>
      </c>
      <c r="AQ55" s="56" t="n">
        <v>4</v>
      </c>
      <c r="AR55" s="56" t="n">
        <v>4</v>
      </c>
      <c r="AS55" s="56" t="n">
        <v>5</v>
      </c>
      <c r="AT55" s="56" t="n">
        <v>6</v>
      </c>
    </row>
    <row r="56">
      <c r="A56" s="49" t="inlineStr">
        <is>
          <t>Durass</t>
        </is>
      </c>
      <c r="B56" s="49" t="inlineStr">
        <is>
          <t>Orkisch</t>
        </is>
      </c>
      <c r="C56" s="49" t="inlineStr">
        <is>
          <t>Gewehr</t>
        </is>
      </c>
      <c r="D56" s="49" t="inlineStr">
        <is>
          <t>Hakenbüchse</t>
        </is>
      </c>
      <c r="E56" s="49" t="inlineStr">
        <is>
          <t>Vorderlader</t>
        </is>
      </c>
      <c r="F56" s="49" t="inlineStr">
        <is>
          <t>Steinschloss</t>
        </is>
      </c>
      <c r="G56" s="49" t="inlineStr">
        <is>
          <t>Glattlauf</t>
        </is>
      </c>
      <c r="H56" s="49" t="inlineStr">
        <is>
          <t>Blei</t>
        </is>
      </c>
      <c r="I56" s="49" t="inlineStr">
        <is>
          <t>Massenfabrikation</t>
        </is>
      </c>
      <c r="J56" s="49" t="inlineStr">
        <is>
          <t>Von der Stange</t>
        </is>
      </c>
      <c r="K56" s="51">
        <f>VLOOKUP(B56,'Feuerwaffen-Ressourcen'!$A$2:$AI$54,11,0)+VLOOKUP(C56,'Feuerwaffen-Ressourcen'!$A$2:$AI$54,11,0)+VLOOKUP(D56,'Feuerwaffen-Ressourcen'!$A$2:$AI$54,11,0)+VLOOKUP(E56,'Feuerwaffen-Ressourcen'!$A$2:$AI$54,11,0)+VLOOKUP(G56,'Feuerwaffen-Ressourcen'!$A$2:$AI$54,11,0)</f>
        <v/>
      </c>
      <c r="L56" s="50">
        <f>VLOOKUP(B56,'Feuerwaffen-Ressourcen'!$A$2:$AI$54,12,0)+VLOOKUP(C56,'Feuerwaffen-Ressourcen'!$A$2:$AI$54,12,0)+VLOOKUP(D56,'Feuerwaffen-Ressourcen'!$A$2:$AI$54,12,0)+VLOOKUP(J56,'Feuerwaffen-Ressourcen'!$A$2:$AI$54,12,0)</f>
        <v/>
      </c>
      <c r="M56" s="50">
        <f>VLOOKUP(VLOOKUP(B56,'Feuerwaffen-Ressourcen'!$A$2:$AI$54,13,0)+VLOOKUP(C56,'Feuerwaffen-Ressourcen'!$A$2:$AI$54,13,0)+VLOOKUP(D56,'Feuerwaffen-Ressourcen'!$A$2:$AI$54,13,0),'Feuerwaffen-Ressourcen'!$AJ$3:$AK$12,2,0)</f>
        <v/>
      </c>
      <c r="N56" s="50">
        <f>VLOOKUP(VLOOKUP(B56,'Feuerwaffen-Ressourcen'!$A$2:$AI$54,14,0)+VLOOKUP(C56,'Feuerwaffen-Ressourcen'!$A$2:$AI$54,14,0)+VLOOKUP(D56,'Feuerwaffen-Ressourcen'!$A$2:$AI$54,14,0),'Feuerwaffen-Ressourcen'!$AJ$3:$AK$12,2,0)</f>
        <v/>
      </c>
      <c r="O56" s="50">
        <f>VLOOKUP(B56,'Feuerwaffen-Ressourcen'!$A$2:$AI$54,15,0)+VLOOKUP(C56,'Feuerwaffen-Ressourcen'!$A$2:$AI$54,15,0)+VLOOKUP(D56,'Feuerwaffen-Ressourcen'!$A$2:$AI$54,15,0)</f>
        <v/>
      </c>
      <c r="P56" s="50">
        <f>VLOOKUP(B56,'Feuerwaffen-Ressourcen'!$A$2:$AI$54,16,0)+VLOOKUP(C56,'Feuerwaffen-Ressourcen'!$A$2:$AI$54,16,0)+VLOOKUP(D56,'Feuerwaffen-Ressourcen'!$A$2:$AI$54,16,0)+VLOOKUP(E56,'Feuerwaffen-Ressourcen'!$A$2:$AI$54,16,0)</f>
        <v/>
      </c>
      <c r="Q56" s="52">
        <f>VLOOKUP(B56,'Feuerwaffen-Ressourcen'!$A$2:$AI$54,17,0)+VLOOKUP(C56,'Feuerwaffen-Ressourcen'!$A$2:$AI$54,17,0)+VLOOKUP(D56,'Feuerwaffen-Ressourcen'!$A$2:$AI$54,17,0)+VLOOKUP(E56,'Feuerwaffen-Ressourcen'!$A$2:$AI$54,17,0)</f>
        <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
      </c>
      <c r="X56" s="50">
        <f>VLOOKUP(B56,'Feuerwaffen-Ressourcen'!$A$2:$AI$54,24,0)+VLOOKUP(C56,'Feuerwaffen-Ressourcen'!$A$2:$AI$54,24,0)+VLOOKUP(D56,'Feuerwaffen-Ressourcen'!$A$2:$AI$54,24,0)+VLOOKUP(G56,'Feuerwaffen-Ressourcen'!$A$2:$AI$54,24,0)</f>
        <v/>
      </c>
      <c r="Y56" s="50">
        <f>VLOOKUP(D56,'Feuerwaffen-Ressourcen'!$A$2:$AI$54,25,0)+VLOOKUP(E56,'Feuerwaffen-Ressourcen'!$A$2:$AI$54,25,0)+VLOOKUP(F56,'Feuerwaffen-Ressourcen'!$A$2:$AI$54,25,0)</f>
        <v/>
      </c>
      <c r="Z56" s="50">
        <f>VLOOKUP(E56,'Feuerwaffen-Ressourcen'!$A$2:$AI$54,26,0)</f>
        <v/>
      </c>
      <c r="AA56" s="50">
        <f>VLOOKUP(B56,'Feuerwaffen-Ressourcen'!$A$2:$AI$54,27,0)+VLOOKUP(D56,'Feuerwaffen-Ressourcen'!$A$2:$AI$54,27,0)+VLOOKUP(F56,'Feuerwaffen-Ressourcen'!$A$2:$AI$54,27,0)+VLOOKUP(I56,'Feuerwaffen-Ressourcen'!$A$2:$AI$54,27,0)</f>
        <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
      </c>
      <c r="AC56" s="53">
        <f>VLOOKUP(I56,'Feuerwaffen-Ressourcen'!$A$2:$AI$54,31,0)*AD56+AE56</f>
        <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
      </c>
      <c r="AF56" s="55">
        <f>VLOOKUP(AB56,'Feuerwaffen-Ressourcen'!$AO$3:$AP$9,2,1)</f>
        <v/>
      </c>
      <c r="AG56" s="55" t="n">
        <v>0</v>
      </c>
      <c r="AH56" s="28" t="inlineStr">
        <is>
          <t>Hiebwaffen</t>
        </is>
      </c>
      <c r="AI56" s="28" t="inlineStr">
        <is>
          <t>Improvisierte Hiebwaffen</t>
        </is>
      </c>
      <c r="AJ56" s="56" t="n">
        <v>1.5</v>
      </c>
      <c r="AK56" s="56" t="inlineStr">
        <is>
          <t>W8</t>
        </is>
      </c>
      <c r="AL56" s="56" t="inlineStr">
        <is>
          <t>-</t>
        </is>
      </c>
      <c r="AM56" s="56" t="n">
        <v>3</v>
      </c>
      <c r="AN56" s="56" t="n">
        <v>5</v>
      </c>
      <c r="AO56" s="56" t="n">
        <v>-2</v>
      </c>
      <c r="AP56" s="56" t="n">
        <v>-7</v>
      </c>
      <c r="AQ56" s="56" t="n">
        <v>17</v>
      </c>
      <c r="AR56" s="56" t="inlineStr">
        <is>
          <t>-</t>
        </is>
      </c>
      <c r="AS56" s="56" t="n">
        <v>2</v>
      </c>
      <c r="AT56" s="56" t="n">
        <v>10</v>
      </c>
    </row>
    <row r="57">
      <c r="A57" s="49" t="inlineStr">
        <is>
          <t>Exekutierer</t>
        </is>
      </c>
      <c r="B57" s="49" t="inlineStr">
        <is>
          <t>Orkisch</t>
        </is>
      </c>
      <c r="C57" s="49" t="inlineStr">
        <is>
          <t>Gewehr</t>
        </is>
      </c>
      <c r="D57" s="49" t="inlineStr">
        <is>
          <t>Donnerbüchse</t>
        </is>
      </c>
      <c r="E57" s="49" t="inlineStr">
        <is>
          <t>Vorderlader</t>
        </is>
      </c>
      <c r="F57" s="49" t="inlineStr">
        <is>
          <t>Steinschloss</t>
        </is>
      </c>
      <c r="G57" s="49" t="inlineStr">
        <is>
          <t>Glattlauf</t>
        </is>
      </c>
      <c r="H57" s="49" t="inlineStr">
        <is>
          <t>Blei</t>
        </is>
      </c>
      <c r="I57" s="49" t="inlineStr">
        <is>
          <t>Massenfabrikation</t>
        </is>
      </c>
      <c r="J57" s="49" t="inlineStr">
        <is>
          <t>Von der Stange</t>
        </is>
      </c>
      <c r="K57" s="51">
        <f>VLOOKUP(B57,'Feuerwaffen-Ressourcen'!$A$2:$AI$54,11,0)+VLOOKUP(C57,'Feuerwaffen-Ressourcen'!$A$2:$AI$54,11,0)+VLOOKUP(D57,'Feuerwaffen-Ressourcen'!$A$2:$AI$54,11,0)+VLOOKUP(E57,'Feuerwaffen-Ressourcen'!$A$2:$AI$54,11,0)+VLOOKUP(G57,'Feuerwaffen-Ressourcen'!$A$2:$AI$54,11,0)</f>
        <v/>
      </c>
      <c r="L57" s="50">
        <f>VLOOKUP(B57,'Feuerwaffen-Ressourcen'!$A$2:$AI$54,12,0)+VLOOKUP(C57,'Feuerwaffen-Ressourcen'!$A$2:$AI$54,12,0)+VLOOKUP(D57,'Feuerwaffen-Ressourcen'!$A$2:$AI$54,12,0)+VLOOKUP(J57,'Feuerwaffen-Ressourcen'!$A$2:$AI$54,12,0)</f>
        <v/>
      </c>
      <c r="M57" s="50">
        <f>VLOOKUP(VLOOKUP(B57,'Feuerwaffen-Ressourcen'!$A$2:$AI$54,13,0)+VLOOKUP(C57,'Feuerwaffen-Ressourcen'!$A$2:$AI$54,13,0)+VLOOKUP(D57,'Feuerwaffen-Ressourcen'!$A$2:$AI$54,13,0),'Feuerwaffen-Ressourcen'!$AJ$3:$AK$12,2,0)</f>
        <v/>
      </c>
      <c r="N57" s="50">
        <f>VLOOKUP(VLOOKUP(B57,'Feuerwaffen-Ressourcen'!$A$2:$AI$54,14,0)+VLOOKUP(C57,'Feuerwaffen-Ressourcen'!$A$2:$AI$54,14,0)+VLOOKUP(D57,'Feuerwaffen-Ressourcen'!$A$2:$AI$54,14,0),'Feuerwaffen-Ressourcen'!$AJ$3:$AK$12,2,0)</f>
        <v/>
      </c>
      <c r="O57" s="50">
        <f>VLOOKUP(B57,'Feuerwaffen-Ressourcen'!$A$2:$AI$54,15,0)+VLOOKUP(C57,'Feuerwaffen-Ressourcen'!$A$2:$AI$54,15,0)+VLOOKUP(D57,'Feuerwaffen-Ressourcen'!$A$2:$AI$54,15,0)</f>
        <v/>
      </c>
      <c r="P57" s="50">
        <f>VLOOKUP(B57,'Feuerwaffen-Ressourcen'!$A$2:$AI$54,16,0)+VLOOKUP(C57,'Feuerwaffen-Ressourcen'!$A$2:$AI$54,16,0)+VLOOKUP(D57,'Feuerwaffen-Ressourcen'!$A$2:$AI$54,16,0)+VLOOKUP(E57,'Feuerwaffen-Ressourcen'!$A$2:$AI$54,16,0)</f>
        <v/>
      </c>
      <c r="Q57" s="52">
        <f>VLOOKUP(B57,'Feuerwaffen-Ressourcen'!$A$2:$AI$54,17,0)+VLOOKUP(C57,'Feuerwaffen-Ressourcen'!$A$2:$AI$54,17,0)+VLOOKUP(D57,'Feuerwaffen-Ressourcen'!$A$2:$AI$54,17,0)+VLOOKUP(E57,'Feuerwaffen-Ressourcen'!$A$2:$AI$54,17,0)</f>
        <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
      </c>
      <c r="X57" s="50">
        <f>VLOOKUP(B57,'Feuerwaffen-Ressourcen'!$A$2:$AI$54,24,0)+VLOOKUP(C57,'Feuerwaffen-Ressourcen'!$A$2:$AI$54,24,0)+VLOOKUP(D57,'Feuerwaffen-Ressourcen'!$A$2:$AI$54,24,0)+VLOOKUP(G57,'Feuerwaffen-Ressourcen'!$A$2:$AI$54,24,0)</f>
        <v/>
      </c>
      <c r="Y57" s="50">
        <f>VLOOKUP(D57,'Feuerwaffen-Ressourcen'!$A$2:$AI$54,25,0)+VLOOKUP(E57,'Feuerwaffen-Ressourcen'!$A$2:$AI$54,25,0)+VLOOKUP(F57,'Feuerwaffen-Ressourcen'!$A$2:$AI$54,25,0)</f>
        <v/>
      </c>
      <c r="Z57" s="50">
        <f>VLOOKUP(E57,'Feuerwaffen-Ressourcen'!$A$2:$AI$54,26,0)</f>
        <v/>
      </c>
      <c r="AA57" s="50">
        <f>VLOOKUP(B57,'Feuerwaffen-Ressourcen'!$A$2:$AI$54,27,0)+VLOOKUP(D57,'Feuerwaffen-Ressourcen'!$A$2:$AI$54,27,0)+VLOOKUP(F57,'Feuerwaffen-Ressourcen'!$A$2:$AI$54,27,0)+VLOOKUP(I57,'Feuerwaffen-Ressourcen'!$A$2:$AI$54,27,0)</f>
        <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
      </c>
      <c r="AC57" s="53">
        <f>VLOOKUP(I57,'Feuerwaffen-Ressourcen'!$A$2:$AI$54,31,0)*AD57+AE57</f>
        <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
      </c>
      <c r="AF57" s="55">
        <f>VLOOKUP(AB57,'Feuerwaffen-Ressourcen'!$AO$3:$AP$9,2,1)</f>
        <v/>
      </c>
      <c r="AG57" s="55" t="n">
        <v>0</v>
      </c>
      <c r="AH57" s="28" t="inlineStr">
        <is>
          <t>Hiebwaffen</t>
        </is>
      </c>
      <c r="AI57" s="28" t="inlineStr">
        <is>
          <t>Improvisierte Hiebwaffen</t>
        </is>
      </c>
      <c r="AJ57" s="56" t="n">
        <v>1.5</v>
      </c>
      <c r="AK57" s="56" t="inlineStr">
        <is>
          <t>W8</t>
        </is>
      </c>
      <c r="AL57" s="56" t="inlineStr">
        <is>
          <t>-</t>
        </is>
      </c>
      <c r="AM57" s="56" t="n">
        <v>3</v>
      </c>
      <c r="AN57" s="56" t="n">
        <v>5</v>
      </c>
      <c r="AO57" s="56" t="n">
        <v>-2</v>
      </c>
      <c r="AP57" s="56" t="n">
        <v>-7</v>
      </c>
      <c r="AQ57" s="56" t="n">
        <v>15</v>
      </c>
      <c r="AR57" s="56" t="inlineStr">
        <is>
          <t>-</t>
        </is>
      </c>
      <c r="AS57" s="56" t="n">
        <v>2</v>
      </c>
      <c r="AT57" s="56" t="n">
        <v>10</v>
      </c>
    </row>
    <row r="58">
      <c r="A58" s="49" t="inlineStr">
        <is>
          <t>Irat</t>
        </is>
      </c>
      <c r="B58" s="49" t="inlineStr">
        <is>
          <t>Orkisch</t>
        </is>
      </c>
      <c r="C58" s="49" t="inlineStr">
        <is>
          <t>Gewehr</t>
        </is>
      </c>
      <c r="D58" s="49" t="inlineStr">
        <is>
          <t>Schwer</t>
        </is>
      </c>
      <c r="E58" s="49" t="inlineStr">
        <is>
          <t>Vorderlader</t>
        </is>
      </c>
      <c r="F58" s="49" t="inlineStr">
        <is>
          <t>Steinschloss</t>
        </is>
      </c>
      <c r="G58" s="49" t="inlineStr">
        <is>
          <t>Glattlauf</t>
        </is>
      </c>
      <c r="H58" s="49" t="inlineStr">
        <is>
          <t>Blei</t>
        </is>
      </c>
      <c r="I58" s="49" t="inlineStr">
        <is>
          <t>Massenfabrikation</t>
        </is>
      </c>
      <c r="J58" s="49" t="inlineStr">
        <is>
          <t>Von der Stange</t>
        </is>
      </c>
      <c r="K58" s="51">
        <f>VLOOKUP(B58,'Feuerwaffen-Ressourcen'!$A$2:$AI$54,11,0)+VLOOKUP(C58,'Feuerwaffen-Ressourcen'!$A$2:$AI$54,11,0)+VLOOKUP(D58,'Feuerwaffen-Ressourcen'!$A$2:$AI$54,11,0)+VLOOKUP(E58,'Feuerwaffen-Ressourcen'!$A$2:$AI$54,11,0)+VLOOKUP(G58,'Feuerwaffen-Ressourcen'!$A$2:$AI$54,11,0)</f>
        <v/>
      </c>
      <c r="L58" s="50">
        <f>VLOOKUP(B58,'Feuerwaffen-Ressourcen'!$A$2:$AI$54,12,0)+VLOOKUP(C58,'Feuerwaffen-Ressourcen'!$A$2:$AI$54,12,0)+VLOOKUP(D58,'Feuerwaffen-Ressourcen'!$A$2:$AI$54,12,0)+VLOOKUP(J58,'Feuerwaffen-Ressourcen'!$A$2:$AI$54,12,0)</f>
        <v/>
      </c>
      <c r="M58" s="50">
        <f>VLOOKUP(VLOOKUP(B58,'Feuerwaffen-Ressourcen'!$A$2:$AI$54,13,0)+VLOOKUP(C58,'Feuerwaffen-Ressourcen'!$A$2:$AI$54,13,0)+VLOOKUP(D58,'Feuerwaffen-Ressourcen'!$A$2:$AI$54,13,0),'Feuerwaffen-Ressourcen'!$AJ$3:$AK$12,2,0)</f>
        <v/>
      </c>
      <c r="N58" s="50">
        <f>VLOOKUP(VLOOKUP(B58,'Feuerwaffen-Ressourcen'!$A$2:$AI$54,14,0)+VLOOKUP(C58,'Feuerwaffen-Ressourcen'!$A$2:$AI$54,14,0)+VLOOKUP(D58,'Feuerwaffen-Ressourcen'!$A$2:$AI$54,14,0),'Feuerwaffen-Ressourcen'!$AJ$3:$AK$12,2,0)</f>
        <v/>
      </c>
      <c r="O58" s="50">
        <f>VLOOKUP(B58,'Feuerwaffen-Ressourcen'!$A$2:$AI$54,15,0)+VLOOKUP(C58,'Feuerwaffen-Ressourcen'!$A$2:$AI$54,15,0)+VLOOKUP(D58,'Feuerwaffen-Ressourcen'!$A$2:$AI$54,15,0)</f>
        <v/>
      </c>
      <c r="P58" s="50">
        <f>VLOOKUP(B58,'Feuerwaffen-Ressourcen'!$A$2:$AI$54,16,0)+VLOOKUP(C58,'Feuerwaffen-Ressourcen'!$A$2:$AI$54,16,0)+VLOOKUP(D58,'Feuerwaffen-Ressourcen'!$A$2:$AI$54,16,0)+VLOOKUP(E58,'Feuerwaffen-Ressourcen'!$A$2:$AI$54,16,0)</f>
        <v/>
      </c>
      <c r="Q58" s="52">
        <f>VLOOKUP(B58,'Feuerwaffen-Ressourcen'!$A$2:$AI$54,17,0)+VLOOKUP(C58,'Feuerwaffen-Ressourcen'!$A$2:$AI$54,17,0)+VLOOKUP(D58,'Feuerwaffen-Ressourcen'!$A$2:$AI$54,17,0)+VLOOKUP(E58,'Feuerwaffen-Ressourcen'!$A$2:$AI$54,17,0)</f>
        <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
      </c>
      <c r="X58" s="50">
        <f>VLOOKUP(B58,'Feuerwaffen-Ressourcen'!$A$2:$AI$54,24,0)+VLOOKUP(C58,'Feuerwaffen-Ressourcen'!$A$2:$AI$54,24,0)+VLOOKUP(D58,'Feuerwaffen-Ressourcen'!$A$2:$AI$54,24,0)+VLOOKUP(G58,'Feuerwaffen-Ressourcen'!$A$2:$AI$54,24,0)</f>
        <v/>
      </c>
      <c r="Y58" s="50">
        <f>VLOOKUP(D58,'Feuerwaffen-Ressourcen'!$A$2:$AI$54,25,0)+VLOOKUP(E58,'Feuerwaffen-Ressourcen'!$A$2:$AI$54,25,0)+VLOOKUP(F58,'Feuerwaffen-Ressourcen'!$A$2:$AI$54,25,0)</f>
        <v/>
      </c>
      <c r="Z58" s="50">
        <f>VLOOKUP(E58,'Feuerwaffen-Ressourcen'!$A$2:$AI$54,26,0)</f>
        <v/>
      </c>
      <c r="AA58" s="50">
        <f>VLOOKUP(B58,'Feuerwaffen-Ressourcen'!$A$2:$AI$54,27,0)+VLOOKUP(D58,'Feuerwaffen-Ressourcen'!$A$2:$AI$54,27,0)+VLOOKUP(F58,'Feuerwaffen-Ressourcen'!$A$2:$AI$54,27,0)+VLOOKUP(I58,'Feuerwaffen-Ressourcen'!$A$2:$AI$54,27,0)</f>
        <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
      </c>
      <c r="AC58" s="53">
        <f>VLOOKUP(I58,'Feuerwaffen-Ressourcen'!$A$2:$AI$54,31,0)*AD58+AE58</f>
        <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
      </c>
      <c r="AF58" s="55">
        <f>VLOOKUP(AB58,'Feuerwaffen-Ressourcen'!$AO$3:$AP$9,2,1)</f>
        <v/>
      </c>
      <c r="AG58" s="55" t="n">
        <v>0</v>
      </c>
      <c r="AH58" s="28" t="inlineStr">
        <is>
          <t>Hiebwaffen</t>
        </is>
      </c>
      <c r="AI58" s="28" t="inlineStr">
        <is>
          <t>Improvisierte Hiebwaffen</t>
        </is>
      </c>
      <c r="AJ58" s="56" t="n">
        <v>1.5</v>
      </c>
      <c r="AK58" s="56" t="inlineStr">
        <is>
          <t>W8</t>
        </is>
      </c>
      <c r="AL58" s="56" t="inlineStr">
        <is>
          <t>-</t>
        </is>
      </c>
      <c r="AM58" s="56" t="n">
        <v>3</v>
      </c>
      <c r="AN58" s="56" t="n">
        <v>5</v>
      </c>
      <c r="AO58" s="56" t="n">
        <v>-2</v>
      </c>
      <c r="AP58" s="56" t="n">
        <v>-7</v>
      </c>
      <c r="AQ58" s="56" t="n">
        <v>15</v>
      </c>
      <c r="AR58" s="56" t="inlineStr">
        <is>
          <t>-</t>
        </is>
      </c>
      <c r="AS58" s="56" t="n">
        <v>2</v>
      </c>
      <c r="AT58" s="56" t="n">
        <v>10</v>
      </c>
    </row>
    <row r="59">
      <c r="A59" s="49" t="inlineStr">
        <is>
          <t>Kaboom</t>
        </is>
      </c>
      <c r="B59" s="49" t="inlineStr">
        <is>
          <t>Orkisch</t>
        </is>
      </c>
      <c r="C59" s="49" t="inlineStr">
        <is>
          <t>Gewehr</t>
        </is>
      </c>
      <c r="D59" s="49" t="inlineStr">
        <is>
          <t>Normal</t>
        </is>
      </c>
      <c r="E59" s="49" t="inlineStr">
        <is>
          <t>Vorderlader</t>
        </is>
      </c>
      <c r="F59" s="49" t="inlineStr">
        <is>
          <t>Steinschloss</t>
        </is>
      </c>
      <c r="G59" s="49" t="inlineStr">
        <is>
          <t>Glattlauf</t>
        </is>
      </c>
      <c r="H59" s="49" t="inlineStr">
        <is>
          <t>Blei</t>
        </is>
      </c>
      <c r="I59" s="49" t="inlineStr">
        <is>
          <t>Massenfabrikation</t>
        </is>
      </c>
      <c r="J59" s="49" t="inlineStr">
        <is>
          <t>Von der Stange</t>
        </is>
      </c>
      <c r="K59" s="51">
        <f>VLOOKUP(B59,'Feuerwaffen-Ressourcen'!$A$2:$AI$54,11,0)+VLOOKUP(C59,'Feuerwaffen-Ressourcen'!$A$2:$AI$54,11,0)+VLOOKUP(D59,'Feuerwaffen-Ressourcen'!$A$2:$AI$54,11,0)+VLOOKUP(E59,'Feuerwaffen-Ressourcen'!$A$2:$AI$54,11,0)+VLOOKUP(G59,'Feuerwaffen-Ressourcen'!$A$2:$AI$54,11,0)</f>
        <v/>
      </c>
      <c r="L59" s="50">
        <f>VLOOKUP(B59,'Feuerwaffen-Ressourcen'!$A$2:$AI$54,12,0)+VLOOKUP(C59,'Feuerwaffen-Ressourcen'!$A$2:$AI$54,12,0)+VLOOKUP(D59,'Feuerwaffen-Ressourcen'!$A$2:$AI$54,12,0)+VLOOKUP(J59,'Feuerwaffen-Ressourcen'!$A$2:$AI$54,12,0)</f>
        <v/>
      </c>
      <c r="M59" s="50">
        <f>VLOOKUP(VLOOKUP(B59,'Feuerwaffen-Ressourcen'!$A$2:$AI$54,13,0)+VLOOKUP(C59,'Feuerwaffen-Ressourcen'!$A$2:$AI$54,13,0)+VLOOKUP(D59,'Feuerwaffen-Ressourcen'!$A$2:$AI$54,13,0),'Feuerwaffen-Ressourcen'!$AJ$3:$AK$12,2,0)</f>
        <v/>
      </c>
      <c r="N59" s="50">
        <f>VLOOKUP(VLOOKUP(B59,'Feuerwaffen-Ressourcen'!$A$2:$AI$54,14,0)+VLOOKUP(C59,'Feuerwaffen-Ressourcen'!$A$2:$AI$54,14,0)+VLOOKUP(D59,'Feuerwaffen-Ressourcen'!$A$2:$AI$54,14,0),'Feuerwaffen-Ressourcen'!$AJ$3:$AK$12,2,0)</f>
        <v/>
      </c>
      <c r="O59" s="50">
        <f>VLOOKUP(B59,'Feuerwaffen-Ressourcen'!$A$2:$AI$54,15,0)+VLOOKUP(C59,'Feuerwaffen-Ressourcen'!$A$2:$AI$54,15,0)+VLOOKUP(D59,'Feuerwaffen-Ressourcen'!$A$2:$AI$54,15,0)</f>
        <v/>
      </c>
      <c r="P59" s="50">
        <f>VLOOKUP(B59,'Feuerwaffen-Ressourcen'!$A$2:$AI$54,16,0)+VLOOKUP(C59,'Feuerwaffen-Ressourcen'!$A$2:$AI$54,16,0)+VLOOKUP(D59,'Feuerwaffen-Ressourcen'!$A$2:$AI$54,16,0)+VLOOKUP(E59,'Feuerwaffen-Ressourcen'!$A$2:$AI$54,16,0)</f>
        <v/>
      </c>
      <c r="Q59" s="52">
        <f>VLOOKUP(B59,'Feuerwaffen-Ressourcen'!$A$2:$AI$54,17,0)+VLOOKUP(C59,'Feuerwaffen-Ressourcen'!$A$2:$AI$54,17,0)+VLOOKUP(D59,'Feuerwaffen-Ressourcen'!$A$2:$AI$54,17,0)+VLOOKUP(E59,'Feuerwaffen-Ressourcen'!$A$2:$AI$54,17,0)</f>
        <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
      </c>
      <c r="X59" s="50">
        <f>VLOOKUP(B59,'Feuerwaffen-Ressourcen'!$A$2:$AI$54,24,0)+VLOOKUP(C59,'Feuerwaffen-Ressourcen'!$A$2:$AI$54,24,0)+VLOOKUP(D59,'Feuerwaffen-Ressourcen'!$A$2:$AI$54,24,0)+VLOOKUP(G59,'Feuerwaffen-Ressourcen'!$A$2:$AI$54,24,0)</f>
        <v/>
      </c>
      <c r="Y59" s="50">
        <f>VLOOKUP(D59,'Feuerwaffen-Ressourcen'!$A$2:$AI$54,25,0)+VLOOKUP(E59,'Feuerwaffen-Ressourcen'!$A$2:$AI$54,25,0)+VLOOKUP(F59,'Feuerwaffen-Ressourcen'!$A$2:$AI$54,25,0)</f>
        <v/>
      </c>
      <c r="Z59" s="50">
        <f>VLOOKUP(E59,'Feuerwaffen-Ressourcen'!$A$2:$AI$54,26,0)</f>
        <v/>
      </c>
      <c r="AA59" s="50">
        <f>VLOOKUP(B59,'Feuerwaffen-Ressourcen'!$A$2:$AI$54,27,0)+VLOOKUP(D59,'Feuerwaffen-Ressourcen'!$A$2:$AI$54,27,0)+VLOOKUP(F59,'Feuerwaffen-Ressourcen'!$A$2:$AI$54,27,0)+VLOOKUP(I59,'Feuerwaffen-Ressourcen'!$A$2:$AI$54,27,0)</f>
        <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
      </c>
      <c r="AC59" s="53">
        <f>VLOOKUP(I59,'Feuerwaffen-Ressourcen'!$A$2:$AI$54,31,0)*AD59+AE59</f>
        <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
      </c>
      <c r="AF59" s="55">
        <f>VLOOKUP(AB59,'Feuerwaffen-Ressourcen'!$AO$3:$AP$9,2,1)</f>
        <v/>
      </c>
      <c r="AG59" s="55" t="n">
        <v>0</v>
      </c>
      <c r="AH59" s="28" t="inlineStr">
        <is>
          <t>Hiebwaffen</t>
        </is>
      </c>
      <c r="AI59" s="28" t="inlineStr">
        <is>
          <t>Improvisierte Hiebwaffen</t>
        </is>
      </c>
      <c r="AJ59" s="56" t="n">
        <v>1.5</v>
      </c>
      <c r="AK59" s="56" t="inlineStr">
        <is>
          <t>W8</t>
        </is>
      </c>
      <c r="AL59" s="56" t="inlineStr">
        <is>
          <t>-</t>
        </is>
      </c>
      <c r="AM59" s="56" t="n">
        <v>3</v>
      </c>
      <c r="AN59" s="56" t="n">
        <v>5</v>
      </c>
      <c r="AO59" s="56" t="n">
        <v>-2</v>
      </c>
      <c r="AP59" s="56" t="n">
        <v>-7</v>
      </c>
      <c r="AQ59" s="56" t="n">
        <v>13</v>
      </c>
      <c r="AR59" s="56" t="inlineStr">
        <is>
          <t>-</t>
        </is>
      </c>
      <c r="AS59" s="56" t="n">
        <v>2</v>
      </c>
      <c r="AT59" s="56" t="n">
        <v>10</v>
      </c>
    </row>
    <row r="60">
      <c r="A60" s="49" t="inlineStr">
        <is>
          <t>Kakrotz</t>
        </is>
      </c>
      <c r="B60" s="49" t="inlineStr">
        <is>
          <t>Orkisch</t>
        </is>
      </c>
      <c r="C60" s="49" t="inlineStr">
        <is>
          <t>Gewehr</t>
        </is>
      </c>
      <c r="D60" s="49" t="inlineStr">
        <is>
          <t>Karabiner VL</t>
        </is>
      </c>
      <c r="E60" s="49" t="inlineStr">
        <is>
          <t>Vorderlader</t>
        </is>
      </c>
      <c r="F60" s="49" t="inlineStr">
        <is>
          <t>Perkussionsschloss</t>
        </is>
      </c>
      <c r="G60" s="49" t="inlineStr">
        <is>
          <t>Glattlauf</t>
        </is>
      </c>
      <c r="H60" s="49" t="inlineStr">
        <is>
          <t>Blei</t>
        </is>
      </c>
      <c r="I60" s="49" t="inlineStr">
        <is>
          <t>Massenfabrikation</t>
        </is>
      </c>
      <c r="J60" s="49" t="inlineStr">
        <is>
          <t>Von der Stange</t>
        </is>
      </c>
      <c r="K60" s="51">
        <f>VLOOKUP(B60,'Feuerwaffen-Ressourcen'!$A$2:$AI$54,11,0)+VLOOKUP(C60,'Feuerwaffen-Ressourcen'!$A$2:$AI$54,11,0)+VLOOKUP(D60,'Feuerwaffen-Ressourcen'!$A$2:$AI$54,11,0)+VLOOKUP(E60,'Feuerwaffen-Ressourcen'!$A$2:$AI$54,11,0)+VLOOKUP(G60,'Feuerwaffen-Ressourcen'!$A$2:$AI$54,11,0)</f>
        <v/>
      </c>
      <c r="L60" s="50">
        <f>VLOOKUP(B60,'Feuerwaffen-Ressourcen'!$A$2:$AI$54,12,0)+VLOOKUP(C60,'Feuerwaffen-Ressourcen'!$A$2:$AI$54,12,0)+VLOOKUP(D60,'Feuerwaffen-Ressourcen'!$A$2:$AI$54,12,0)+VLOOKUP(J60,'Feuerwaffen-Ressourcen'!$A$2:$AI$54,12,0)</f>
        <v/>
      </c>
      <c r="M60" s="50">
        <f>VLOOKUP(VLOOKUP(B60,'Feuerwaffen-Ressourcen'!$A$2:$AI$54,13,0)+VLOOKUP(C60,'Feuerwaffen-Ressourcen'!$A$2:$AI$54,13,0)+VLOOKUP(D60,'Feuerwaffen-Ressourcen'!$A$2:$AI$54,13,0),'Feuerwaffen-Ressourcen'!$AJ$3:$AK$12,2,0)</f>
        <v/>
      </c>
      <c r="N60" s="50">
        <f>VLOOKUP(VLOOKUP(B60,'Feuerwaffen-Ressourcen'!$A$2:$AI$54,14,0)+VLOOKUP(C60,'Feuerwaffen-Ressourcen'!$A$2:$AI$54,14,0)+VLOOKUP(D60,'Feuerwaffen-Ressourcen'!$A$2:$AI$54,14,0),'Feuerwaffen-Ressourcen'!$AJ$3:$AK$12,2,0)</f>
        <v/>
      </c>
      <c r="O60" s="50">
        <f>VLOOKUP(B60,'Feuerwaffen-Ressourcen'!$A$2:$AI$54,15,0)+VLOOKUP(C60,'Feuerwaffen-Ressourcen'!$A$2:$AI$54,15,0)+VLOOKUP(D60,'Feuerwaffen-Ressourcen'!$A$2:$AI$54,15,0)</f>
        <v/>
      </c>
      <c r="P60" s="50">
        <f>VLOOKUP(B60,'Feuerwaffen-Ressourcen'!$A$2:$AI$54,16,0)+VLOOKUP(C60,'Feuerwaffen-Ressourcen'!$A$2:$AI$54,16,0)+VLOOKUP(D60,'Feuerwaffen-Ressourcen'!$A$2:$AI$54,16,0)+VLOOKUP(E60,'Feuerwaffen-Ressourcen'!$A$2:$AI$54,16,0)</f>
        <v/>
      </c>
      <c r="Q60" s="52">
        <f>VLOOKUP(B60,'Feuerwaffen-Ressourcen'!$A$2:$AI$54,17,0)+VLOOKUP(C60,'Feuerwaffen-Ressourcen'!$A$2:$AI$54,17,0)+VLOOKUP(D60,'Feuerwaffen-Ressourcen'!$A$2:$AI$54,17,0)+VLOOKUP(E60,'Feuerwaffen-Ressourcen'!$A$2:$AI$54,17,0)</f>
        <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
      </c>
      <c r="X60" s="50">
        <f>VLOOKUP(B60,'Feuerwaffen-Ressourcen'!$A$2:$AI$54,24,0)+VLOOKUP(C60,'Feuerwaffen-Ressourcen'!$A$2:$AI$54,24,0)+VLOOKUP(D60,'Feuerwaffen-Ressourcen'!$A$2:$AI$54,24,0)+VLOOKUP(G60,'Feuerwaffen-Ressourcen'!$A$2:$AI$54,24,0)</f>
        <v/>
      </c>
      <c r="Y60" s="50">
        <f>VLOOKUP(D60,'Feuerwaffen-Ressourcen'!$A$2:$AI$54,25,0)+VLOOKUP(E60,'Feuerwaffen-Ressourcen'!$A$2:$AI$54,25,0)+VLOOKUP(F60,'Feuerwaffen-Ressourcen'!$A$2:$AI$54,25,0)</f>
        <v/>
      </c>
      <c r="Z60" s="50">
        <f>VLOOKUP(E60,'Feuerwaffen-Ressourcen'!$A$2:$AI$54,26,0)</f>
        <v/>
      </c>
      <c r="AA60" s="50">
        <f>VLOOKUP(B60,'Feuerwaffen-Ressourcen'!$A$2:$AI$54,27,0)+VLOOKUP(D60,'Feuerwaffen-Ressourcen'!$A$2:$AI$54,27,0)+VLOOKUP(F60,'Feuerwaffen-Ressourcen'!$A$2:$AI$54,27,0)+VLOOKUP(I60,'Feuerwaffen-Ressourcen'!$A$2:$AI$54,27,0)</f>
        <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
      </c>
      <c r="AC60" s="53">
        <f>VLOOKUP(I60,'Feuerwaffen-Ressourcen'!$A$2:$AI$54,31,0)*AD60+AE60</f>
        <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
      </c>
      <c r="AF60" s="55">
        <f>VLOOKUP(AB60,'Feuerwaffen-Ressourcen'!$AO$3:$AP$9,2,1)</f>
        <v/>
      </c>
      <c r="AG60" s="55" t="n">
        <v>0</v>
      </c>
      <c r="AH60" s="28" t="inlineStr">
        <is>
          <t>Stangenwaffen</t>
        </is>
      </c>
      <c r="AI60" s="28" t="inlineStr">
        <is>
          <t>Improvisierte Stangenwaffen</t>
        </is>
      </c>
      <c r="AJ60" s="56" t="n">
        <v>3</v>
      </c>
      <c r="AK60" s="56" t="inlineStr">
        <is>
          <t>W8</t>
        </is>
      </c>
      <c r="AL60" s="56" t="inlineStr">
        <is>
          <t>W4</t>
        </is>
      </c>
      <c r="AM60" s="56" t="n">
        <v>3</v>
      </c>
      <c r="AN60" s="56" t="n">
        <v>5</v>
      </c>
      <c r="AO60" s="56" t="n">
        <v>4</v>
      </c>
      <c r="AP60" s="56" t="n">
        <v>4</v>
      </c>
      <c r="AQ60" s="56" t="n">
        <v>12</v>
      </c>
      <c r="AR60" s="56" t="n">
        <v>12</v>
      </c>
      <c r="AS60" s="56" t="n">
        <v>5</v>
      </c>
      <c r="AT60" s="56" t="n">
        <v>6</v>
      </c>
    </row>
    <row r="61">
      <c r="A61" s="49" t="inlineStr">
        <is>
          <t>Metnar</t>
        </is>
      </c>
      <c r="B61" s="49" t="inlineStr">
        <is>
          <t>Orkisch</t>
        </is>
      </c>
      <c r="C61" s="49" t="inlineStr">
        <is>
          <t>Gewehr</t>
        </is>
      </c>
      <c r="D61" s="49" t="inlineStr">
        <is>
          <t>Schwere Hakenbüchse (Trolltöter)</t>
        </is>
      </c>
      <c r="E61" s="49" t="inlineStr">
        <is>
          <t>Vorderlader</t>
        </is>
      </c>
      <c r="F61" s="49" t="inlineStr">
        <is>
          <t>Steinschloss</t>
        </is>
      </c>
      <c r="G61" s="49" t="inlineStr">
        <is>
          <t>Glattlauf</t>
        </is>
      </c>
      <c r="H61" s="49" t="inlineStr">
        <is>
          <t>Blei</t>
        </is>
      </c>
      <c r="I61" s="49" t="inlineStr">
        <is>
          <t>Massenfabrikation</t>
        </is>
      </c>
      <c r="J61" s="49" t="inlineStr">
        <is>
          <t>Von der Stange</t>
        </is>
      </c>
      <c r="K61" s="51">
        <f>VLOOKUP(B61,'Feuerwaffen-Ressourcen'!$A$2:$AI$54,11,0)+VLOOKUP(C61,'Feuerwaffen-Ressourcen'!$A$2:$AI$54,11,0)+VLOOKUP(D61,'Feuerwaffen-Ressourcen'!$A$2:$AI$54,11,0)+VLOOKUP(E61,'Feuerwaffen-Ressourcen'!$A$2:$AI$54,11,0)+VLOOKUP(G61,'Feuerwaffen-Ressourcen'!$A$2:$AI$54,11,0)</f>
        <v/>
      </c>
      <c r="L61" s="50">
        <f>VLOOKUP(B61,'Feuerwaffen-Ressourcen'!$A$2:$AI$54,12,0)+VLOOKUP(C61,'Feuerwaffen-Ressourcen'!$A$2:$AI$54,12,0)+VLOOKUP(D61,'Feuerwaffen-Ressourcen'!$A$2:$AI$54,12,0)+VLOOKUP(J61,'Feuerwaffen-Ressourcen'!$A$2:$AI$54,12,0)</f>
        <v/>
      </c>
      <c r="M61" s="50">
        <f>VLOOKUP(VLOOKUP(B61,'Feuerwaffen-Ressourcen'!$A$2:$AI$54,13,0)+VLOOKUP(C61,'Feuerwaffen-Ressourcen'!$A$2:$AI$54,13,0)+VLOOKUP(D61,'Feuerwaffen-Ressourcen'!$A$2:$AI$54,13,0),'Feuerwaffen-Ressourcen'!$AJ$3:$AK$12,2,0)</f>
        <v/>
      </c>
      <c r="N61" s="50">
        <f>VLOOKUP(VLOOKUP(B61,'Feuerwaffen-Ressourcen'!$A$2:$AI$54,14,0)+VLOOKUP(C61,'Feuerwaffen-Ressourcen'!$A$2:$AI$54,14,0)+VLOOKUP(D61,'Feuerwaffen-Ressourcen'!$A$2:$AI$54,14,0),'Feuerwaffen-Ressourcen'!$AJ$3:$AK$12,2,0)</f>
        <v/>
      </c>
      <c r="O61" s="50">
        <f>VLOOKUP(B61,'Feuerwaffen-Ressourcen'!$A$2:$AI$54,15,0)+VLOOKUP(C61,'Feuerwaffen-Ressourcen'!$A$2:$AI$54,15,0)+VLOOKUP(D61,'Feuerwaffen-Ressourcen'!$A$2:$AI$54,15,0)</f>
        <v/>
      </c>
      <c r="P61" s="50">
        <f>VLOOKUP(B61,'Feuerwaffen-Ressourcen'!$A$2:$AI$54,16,0)+VLOOKUP(C61,'Feuerwaffen-Ressourcen'!$A$2:$AI$54,16,0)+VLOOKUP(D61,'Feuerwaffen-Ressourcen'!$A$2:$AI$54,16,0)+VLOOKUP(E61,'Feuerwaffen-Ressourcen'!$A$2:$AI$54,16,0)</f>
        <v/>
      </c>
      <c r="Q61" s="52">
        <f>VLOOKUP(B61,'Feuerwaffen-Ressourcen'!$A$2:$AI$54,17,0)+VLOOKUP(C61,'Feuerwaffen-Ressourcen'!$A$2:$AI$54,17,0)+VLOOKUP(D61,'Feuerwaffen-Ressourcen'!$A$2:$AI$54,17,0)+VLOOKUP(E61,'Feuerwaffen-Ressourcen'!$A$2:$AI$54,17,0)</f>
        <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
      </c>
      <c r="X61" s="50">
        <f>VLOOKUP(B61,'Feuerwaffen-Ressourcen'!$A$2:$AI$54,24,0)+VLOOKUP(C61,'Feuerwaffen-Ressourcen'!$A$2:$AI$54,24,0)+VLOOKUP(D61,'Feuerwaffen-Ressourcen'!$A$2:$AI$54,24,0)+VLOOKUP(G61,'Feuerwaffen-Ressourcen'!$A$2:$AI$54,24,0)</f>
        <v/>
      </c>
      <c r="Y61" s="50">
        <f>VLOOKUP(D61,'Feuerwaffen-Ressourcen'!$A$2:$AI$54,25,0)+VLOOKUP(E61,'Feuerwaffen-Ressourcen'!$A$2:$AI$54,25,0)+VLOOKUP(F61,'Feuerwaffen-Ressourcen'!$A$2:$AI$54,25,0)</f>
        <v/>
      </c>
      <c r="Z61" s="50">
        <f>VLOOKUP(E61,'Feuerwaffen-Ressourcen'!$A$2:$AI$54,26,0)</f>
        <v/>
      </c>
      <c r="AA61" s="50">
        <f>VLOOKUP(B61,'Feuerwaffen-Ressourcen'!$A$2:$AI$54,27,0)+VLOOKUP(D61,'Feuerwaffen-Ressourcen'!$A$2:$AI$54,27,0)+VLOOKUP(F61,'Feuerwaffen-Ressourcen'!$A$2:$AI$54,27,0)+VLOOKUP(I61,'Feuerwaffen-Ressourcen'!$A$2:$AI$54,27,0)</f>
        <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
      </c>
      <c r="AC61" s="53">
        <f>VLOOKUP(I61,'Feuerwaffen-Ressourcen'!$A$2:$AI$54,31,0)*AD61+AE61</f>
        <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
      </c>
      <c r="AF61" s="55">
        <f>VLOOKUP(AB61,'Feuerwaffen-Ressourcen'!$AO$3:$AP$9,2,1)</f>
        <v/>
      </c>
      <c r="AG61" s="55" t="n">
        <v>0</v>
      </c>
      <c r="AH61" s="28" t="inlineStr">
        <is>
          <t>Stangenwaffen</t>
        </is>
      </c>
      <c r="AI61" s="28" t="inlineStr">
        <is>
          <t>Improvisierte Stangenwaffen</t>
        </is>
      </c>
      <c r="AJ61" s="56" t="n">
        <v>3</v>
      </c>
      <c r="AK61" s="56" t="inlineStr">
        <is>
          <t>W8</t>
        </is>
      </c>
      <c r="AL61" s="56" t="inlineStr">
        <is>
          <t>W4</t>
        </is>
      </c>
      <c r="AM61" s="56" t="n">
        <v>3</v>
      </c>
      <c r="AN61" s="56" t="n">
        <v>5</v>
      </c>
      <c r="AO61" s="56" t="n">
        <v>4</v>
      </c>
      <c r="AP61" s="56" t="n">
        <v>4</v>
      </c>
      <c r="AQ61" s="56" t="n">
        <v>21</v>
      </c>
      <c r="AR61" s="56" t="n">
        <v>21</v>
      </c>
      <c r="AS61" s="56" t="n">
        <v>5</v>
      </c>
      <c r="AT61" s="56" t="n">
        <v>6</v>
      </c>
    </row>
    <row r="62">
      <c r="A62" s="49" t="inlineStr">
        <is>
          <t>Scharwar</t>
        </is>
      </c>
      <c r="B62" s="49" t="inlineStr">
        <is>
          <t>Orkisch</t>
        </is>
      </c>
      <c r="C62" s="49" t="inlineStr">
        <is>
          <t>Gewehr</t>
        </is>
      </c>
      <c r="D62" s="49" t="inlineStr">
        <is>
          <t>Normal</t>
        </is>
      </c>
      <c r="E62" s="49" t="inlineStr">
        <is>
          <t>Hinterlader</t>
        </is>
      </c>
      <c r="F62" s="49" t="inlineStr">
        <is>
          <t>Nadelzündung</t>
        </is>
      </c>
      <c r="G62" s="49" t="inlineStr">
        <is>
          <t>Glattlauf</t>
        </is>
      </c>
      <c r="H62" s="49" t="inlineStr">
        <is>
          <t>Papier Patrone</t>
        </is>
      </c>
      <c r="I62" s="49" t="inlineStr">
        <is>
          <t>Massenfabrikation</t>
        </is>
      </c>
      <c r="J62" s="49" t="inlineStr">
        <is>
          <t>Von der Stange</t>
        </is>
      </c>
      <c r="K62" s="51">
        <f>VLOOKUP(B62,'Feuerwaffen-Ressourcen'!$A$2:$AI$54,11,0)+VLOOKUP(C62,'Feuerwaffen-Ressourcen'!$A$2:$AI$54,11,0)+VLOOKUP(D62,'Feuerwaffen-Ressourcen'!$A$2:$AI$54,11,0)+VLOOKUP(E62,'Feuerwaffen-Ressourcen'!$A$2:$AI$54,11,0)+VLOOKUP(G62,'Feuerwaffen-Ressourcen'!$A$2:$AI$54,11,0)</f>
        <v/>
      </c>
      <c r="L62" s="50">
        <f>VLOOKUP(B62,'Feuerwaffen-Ressourcen'!$A$2:$AI$54,12,0)+VLOOKUP(C62,'Feuerwaffen-Ressourcen'!$A$2:$AI$54,12,0)+VLOOKUP(D62,'Feuerwaffen-Ressourcen'!$A$2:$AI$54,12,0)+VLOOKUP(J62,'Feuerwaffen-Ressourcen'!$A$2:$AI$54,12,0)</f>
        <v/>
      </c>
      <c r="M62" s="50">
        <f>VLOOKUP(VLOOKUP(B62,'Feuerwaffen-Ressourcen'!$A$2:$AI$54,13,0)+VLOOKUP(C62,'Feuerwaffen-Ressourcen'!$A$2:$AI$54,13,0)+VLOOKUP(D62,'Feuerwaffen-Ressourcen'!$A$2:$AI$54,13,0),'Feuerwaffen-Ressourcen'!$AJ$3:$AK$12,2,0)</f>
        <v/>
      </c>
      <c r="N62" s="50">
        <f>VLOOKUP(VLOOKUP(B62,'Feuerwaffen-Ressourcen'!$A$2:$AI$54,14,0)+VLOOKUP(C62,'Feuerwaffen-Ressourcen'!$A$2:$AI$54,14,0)+VLOOKUP(D62,'Feuerwaffen-Ressourcen'!$A$2:$AI$54,14,0),'Feuerwaffen-Ressourcen'!$AJ$3:$AK$12,2,0)</f>
        <v/>
      </c>
      <c r="O62" s="50">
        <f>VLOOKUP(B62,'Feuerwaffen-Ressourcen'!$A$2:$AI$54,15,0)+VLOOKUP(C62,'Feuerwaffen-Ressourcen'!$A$2:$AI$54,15,0)+VLOOKUP(D62,'Feuerwaffen-Ressourcen'!$A$2:$AI$54,15,0)</f>
        <v/>
      </c>
      <c r="P62" s="50">
        <f>VLOOKUP(B62,'Feuerwaffen-Ressourcen'!$A$2:$AI$54,16,0)+VLOOKUP(C62,'Feuerwaffen-Ressourcen'!$A$2:$AI$54,16,0)+VLOOKUP(D62,'Feuerwaffen-Ressourcen'!$A$2:$AI$54,16,0)+VLOOKUP(E62,'Feuerwaffen-Ressourcen'!$A$2:$AI$54,16,0)</f>
        <v/>
      </c>
      <c r="Q62" s="52">
        <f>VLOOKUP(B62,'Feuerwaffen-Ressourcen'!$A$2:$AI$54,17,0)+VLOOKUP(C62,'Feuerwaffen-Ressourcen'!$A$2:$AI$54,17,0)+VLOOKUP(D62,'Feuerwaffen-Ressourcen'!$A$2:$AI$54,17,0)+VLOOKUP(E62,'Feuerwaffen-Ressourcen'!$A$2:$AI$54,17,0)</f>
        <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
      </c>
      <c r="X62" s="50">
        <f>VLOOKUP(B62,'Feuerwaffen-Ressourcen'!$A$2:$AI$54,24,0)+VLOOKUP(C62,'Feuerwaffen-Ressourcen'!$A$2:$AI$54,24,0)+VLOOKUP(D62,'Feuerwaffen-Ressourcen'!$A$2:$AI$54,24,0)+VLOOKUP(G62,'Feuerwaffen-Ressourcen'!$A$2:$AI$54,24,0)</f>
        <v/>
      </c>
      <c r="Y62" s="50">
        <f>VLOOKUP(D62,'Feuerwaffen-Ressourcen'!$A$2:$AI$54,25,0)+VLOOKUP(E62,'Feuerwaffen-Ressourcen'!$A$2:$AI$54,25,0)+VLOOKUP(F62,'Feuerwaffen-Ressourcen'!$A$2:$AI$54,25,0)</f>
        <v/>
      </c>
      <c r="Z62" s="50">
        <f>VLOOKUP(E62,'Feuerwaffen-Ressourcen'!$A$2:$AI$54,26,0)</f>
        <v/>
      </c>
      <c r="AA62" s="50">
        <f>VLOOKUP(B62,'Feuerwaffen-Ressourcen'!$A$2:$AI$54,27,0)+VLOOKUP(D62,'Feuerwaffen-Ressourcen'!$A$2:$AI$54,27,0)+VLOOKUP(F62,'Feuerwaffen-Ressourcen'!$A$2:$AI$54,27,0)+VLOOKUP(I62,'Feuerwaffen-Ressourcen'!$A$2:$AI$54,27,0)</f>
        <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
      </c>
      <c r="AC62" s="53">
        <f>VLOOKUP(I62,'Feuerwaffen-Ressourcen'!$A$2:$AI$54,31,0)*AD62+AE62</f>
        <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
      </c>
      <c r="AF62" s="55">
        <f>VLOOKUP(AB62,'Feuerwaffen-Ressourcen'!$AO$3:$AP$9,2,1)</f>
        <v/>
      </c>
      <c r="AG62" s="55" t="n">
        <v>0</v>
      </c>
      <c r="AH62" s="28" t="inlineStr">
        <is>
          <t>Stangenwaffen</t>
        </is>
      </c>
      <c r="AI62" s="28" t="inlineStr">
        <is>
          <t>Improvisierte Stangenwaffen</t>
        </is>
      </c>
      <c r="AJ62" s="56" t="n">
        <v>3</v>
      </c>
      <c r="AK62" s="56" t="inlineStr">
        <is>
          <t>W8</t>
        </is>
      </c>
      <c r="AL62" s="56" t="inlineStr">
        <is>
          <t>W4</t>
        </is>
      </c>
      <c r="AM62" s="56" t="n">
        <v>3</v>
      </c>
      <c r="AN62" s="56" t="n">
        <v>5</v>
      </c>
      <c r="AO62" s="56" t="n">
        <v>4</v>
      </c>
      <c r="AP62" s="56" t="n">
        <v>4</v>
      </c>
      <c r="AQ62" s="56" t="n">
        <v>13</v>
      </c>
      <c r="AR62" s="56" t="n">
        <v>13</v>
      </c>
      <c r="AS62" s="56" t="n">
        <v>5</v>
      </c>
      <c r="AT62" s="56" t="n">
        <v>6</v>
      </c>
    </row>
    <row r="63">
      <c r="A63" s="49" t="inlineStr">
        <is>
          <t>Schopkrotz</t>
        </is>
      </c>
      <c r="B63" s="49" t="inlineStr">
        <is>
          <t>Orkisch</t>
        </is>
      </c>
      <c r="C63" s="49" t="inlineStr">
        <is>
          <t>Gewehr</t>
        </is>
      </c>
      <c r="D63" s="49" t="inlineStr">
        <is>
          <t>Karabiner VL</t>
        </is>
      </c>
      <c r="E63" s="49" t="inlineStr">
        <is>
          <t>Vorderlader</t>
        </is>
      </c>
      <c r="F63" s="49" t="inlineStr">
        <is>
          <t>Steinschloss</t>
        </is>
      </c>
      <c r="G63" s="49" t="inlineStr">
        <is>
          <t>Glattlauf</t>
        </is>
      </c>
      <c r="H63" s="49" t="inlineStr">
        <is>
          <t>Blei</t>
        </is>
      </c>
      <c r="I63" s="49" t="inlineStr">
        <is>
          <t>Massenfabrikation</t>
        </is>
      </c>
      <c r="J63" s="49" t="inlineStr">
        <is>
          <t>Von der Stange</t>
        </is>
      </c>
      <c r="K63" s="51">
        <f>VLOOKUP(B63,'Feuerwaffen-Ressourcen'!$A$2:$AI$54,11,0)+VLOOKUP(C63,'Feuerwaffen-Ressourcen'!$A$2:$AI$54,11,0)+VLOOKUP(D63,'Feuerwaffen-Ressourcen'!$A$2:$AI$54,11,0)+VLOOKUP(E63,'Feuerwaffen-Ressourcen'!$A$2:$AI$54,11,0)+VLOOKUP(G63,'Feuerwaffen-Ressourcen'!$A$2:$AI$54,11,0)</f>
        <v/>
      </c>
      <c r="L63" s="50">
        <f>VLOOKUP(B63,'Feuerwaffen-Ressourcen'!$A$2:$AI$54,12,0)+VLOOKUP(C63,'Feuerwaffen-Ressourcen'!$A$2:$AI$54,12,0)+VLOOKUP(D63,'Feuerwaffen-Ressourcen'!$A$2:$AI$54,12,0)+VLOOKUP(J63,'Feuerwaffen-Ressourcen'!$A$2:$AI$54,12,0)</f>
        <v/>
      </c>
      <c r="M63" s="50">
        <f>VLOOKUP(VLOOKUP(B63,'Feuerwaffen-Ressourcen'!$A$2:$AI$54,13,0)+VLOOKUP(C63,'Feuerwaffen-Ressourcen'!$A$2:$AI$54,13,0)+VLOOKUP(D63,'Feuerwaffen-Ressourcen'!$A$2:$AI$54,13,0),'Feuerwaffen-Ressourcen'!$AJ$3:$AK$12,2,0)</f>
        <v/>
      </c>
      <c r="N63" s="50">
        <f>VLOOKUP(VLOOKUP(B63,'Feuerwaffen-Ressourcen'!$A$2:$AI$54,14,0)+VLOOKUP(C63,'Feuerwaffen-Ressourcen'!$A$2:$AI$54,14,0)+VLOOKUP(D63,'Feuerwaffen-Ressourcen'!$A$2:$AI$54,14,0),'Feuerwaffen-Ressourcen'!$AJ$3:$AK$12,2,0)</f>
        <v/>
      </c>
      <c r="O63" s="50">
        <f>VLOOKUP(B63,'Feuerwaffen-Ressourcen'!$A$2:$AI$54,15,0)+VLOOKUP(C63,'Feuerwaffen-Ressourcen'!$A$2:$AI$54,15,0)+VLOOKUP(D63,'Feuerwaffen-Ressourcen'!$A$2:$AI$54,15,0)</f>
        <v/>
      </c>
      <c r="P63" s="50">
        <f>VLOOKUP(B63,'Feuerwaffen-Ressourcen'!$A$2:$AI$54,16,0)+VLOOKUP(C63,'Feuerwaffen-Ressourcen'!$A$2:$AI$54,16,0)+VLOOKUP(D63,'Feuerwaffen-Ressourcen'!$A$2:$AI$54,16,0)+VLOOKUP(E63,'Feuerwaffen-Ressourcen'!$A$2:$AI$54,16,0)</f>
        <v/>
      </c>
      <c r="Q63" s="52">
        <f>VLOOKUP(B63,'Feuerwaffen-Ressourcen'!$A$2:$AI$54,17,0)+VLOOKUP(C63,'Feuerwaffen-Ressourcen'!$A$2:$AI$54,17,0)+VLOOKUP(D63,'Feuerwaffen-Ressourcen'!$A$2:$AI$54,17,0)+VLOOKUP(E63,'Feuerwaffen-Ressourcen'!$A$2:$AI$54,17,0)</f>
        <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
      </c>
      <c r="X63" s="50">
        <f>VLOOKUP(B63,'Feuerwaffen-Ressourcen'!$A$2:$AI$54,24,0)+VLOOKUP(C63,'Feuerwaffen-Ressourcen'!$A$2:$AI$54,24,0)+VLOOKUP(D63,'Feuerwaffen-Ressourcen'!$A$2:$AI$54,24,0)+VLOOKUP(G63,'Feuerwaffen-Ressourcen'!$A$2:$AI$54,24,0)</f>
        <v/>
      </c>
      <c r="Y63" s="50">
        <f>VLOOKUP(D63,'Feuerwaffen-Ressourcen'!$A$2:$AI$54,25,0)+VLOOKUP(E63,'Feuerwaffen-Ressourcen'!$A$2:$AI$54,25,0)+VLOOKUP(F63,'Feuerwaffen-Ressourcen'!$A$2:$AI$54,25,0)</f>
        <v/>
      </c>
      <c r="Z63" s="50">
        <f>VLOOKUP(E63,'Feuerwaffen-Ressourcen'!$A$2:$AI$54,26,0)</f>
        <v/>
      </c>
      <c r="AA63" s="50">
        <f>VLOOKUP(B63,'Feuerwaffen-Ressourcen'!$A$2:$AI$54,27,0)+VLOOKUP(D63,'Feuerwaffen-Ressourcen'!$A$2:$AI$54,27,0)+VLOOKUP(F63,'Feuerwaffen-Ressourcen'!$A$2:$AI$54,27,0)+VLOOKUP(I63,'Feuerwaffen-Ressourcen'!$A$2:$AI$54,27,0)</f>
        <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
      </c>
      <c r="AC63" s="53">
        <f>VLOOKUP(I63,'Feuerwaffen-Ressourcen'!$A$2:$AI$54,31,0)*AD63+AE63</f>
        <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
      </c>
      <c r="AF63" s="55">
        <f>VLOOKUP(AB63,'Feuerwaffen-Ressourcen'!$AO$3:$AP$9,2,1)</f>
        <v/>
      </c>
      <c r="AG63" s="55" t="n">
        <v>0</v>
      </c>
      <c r="AH63" s="28" t="inlineStr">
        <is>
          <t>Stangenwaffen</t>
        </is>
      </c>
      <c r="AI63" s="28" t="inlineStr">
        <is>
          <t>Improvisierte Stangenwaffen</t>
        </is>
      </c>
      <c r="AJ63" s="56" t="n">
        <v>3</v>
      </c>
      <c r="AK63" s="56" t="inlineStr">
        <is>
          <t>W8</t>
        </is>
      </c>
      <c r="AL63" s="56" t="inlineStr">
        <is>
          <t>W4</t>
        </is>
      </c>
      <c r="AM63" s="56" t="n">
        <v>3</v>
      </c>
      <c r="AN63" s="56" t="n">
        <v>5</v>
      </c>
      <c r="AO63" s="56" t="n">
        <v>4</v>
      </c>
      <c r="AP63" s="56" t="n">
        <v>4</v>
      </c>
      <c r="AQ63" s="56" t="n">
        <v>12</v>
      </c>
      <c r="AR63" s="56" t="n">
        <v>12</v>
      </c>
      <c r="AS63" s="56" t="n">
        <v>5</v>
      </c>
      <c r="AT63" s="56" t="n">
        <v>6</v>
      </c>
    </row>
    <row r="64">
      <c r="A64" s="49" t="inlineStr">
        <is>
          <t>Blobschlopsch</t>
        </is>
      </c>
      <c r="B64" s="49" t="inlineStr">
        <is>
          <t>Orkisch</t>
        </is>
      </c>
      <c r="C64" s="49" t="inlineStr">
        <is>
          <t>Pistole</t>
        </is>
      </c>
      <c r="D64" s="49" t="inlineStr">
        <is>
          <t>Normal P</t>
        </is>
      </c>
      <c r="E64" s="49" t="inlineStr">
        <is>
          <t>Vorderlader</t>
        </is>
      </c>
      <c r="F64" s="49" t="inlineStr">
        <is>
          <t>Perkussionsschloss</t>
        </is>
      </c>
      <c r="G64" s="49" t="inlineStr">
        <is>
          <t>Glattlauf</t>
        </is>
      </c>
      <c r="H64" s="49" t="inlineStr">
        <is>
          <t>Blei</t>
        </is>
      </c>
      <c r="I64" s="49" t="inlineStr">
        <is>
          <t>Massenfabrikation</t>
        </is>
      </c>
      <c r="J64" s="49" t="inlineStr">
        <is>
          <t>Von der Stange</t>
        </is>
      </c>
      <c r="K64" s="51">
        <f>VLOOKUP(B64,'Feuerwaffen-Ressourcen'!$A$2:$AI$54,11,0)+VLOOKUP(C64,'Feuerwaffen-Ressourcen'!$A$2:$AI$54,11,0)+VLOOKUP(D64,'Feuerwaffen-Ressourcen'!$A$2:$AI$54,11,0)+VLOOKUP(E64,'Feuerwaffen-Ressourcen'!$A$2:$AI$54,11,0)+VLOOKUP(G64,'Feuerwaffen-Ressourcen'!$A$2:$AI$54,11,0)</f>
        <v/>
      </c>
      <c r="L64" s="50">
        <f>VLOOKUP(B64,'Feuerwaffen-Ressourcen'!$A$2:$AI$54,12,0)+VLOOKUP(C64,'Feuerwaffen-Ressourcen'!$A$2:$AI$54,12,0)+VLOOKUP(D64,'Feuerwaffen-Ressourcen'!$A$2:$AI$54,12,0)+VLOOKUP(J64,'Feuerwaffen-Ressourcen'!$A$2:$AI$54,12,0)</f>
        <v/>
      </c>
      <c r="M64" s="50">
        <f>VLOOKUP(VLOOKUP(B64,'Feuerwaffen-Ressourcen'!$A$2:$AI$54,13,0)+VLOOKUP(C64,'Feuerwaffen-Ressourcen'!$A$2:$AI$54,13,0)+VLOOKUP(D64,'Feuerwaffen-Ressourcen'!$A$2:$AI$54,13,0),'Feuerwaffen-Ressourcen'!$AJ$3:$AK$12,2,0)</f>
        <v/>
      </c>
      <c r="N64" s="50">
        <f>VLOOKUP(VLOOKUP(B64,'Feuerwaffen-Ressourcen'!$A$2:$AI$54,14,0)+VLOOKUP(C64,'Feuerwaffen-Ressourcen'!$A$2:$AI$54,14,0)+VLOOKUP(D64,'Feuerwaffen-Ressourcen'!$A$2:$AI$54,14,0),'Feuerwaffen-Ressourcen'!$AJ$3:$AK$12,2,0)</f>
        <v/>
      </c>
      <c r="O64" s="50">
        <f>VLOOKUP(B64,'Feuerwaffen-Ressourcen'!$A$2:$AI$54,15,0)+VLOOKUP(C64,'Feuerwaffen-Ressourcen'!$A$2:$AI$54,15,0)+VLOOKUP(D64,'Feuerwaffen-Ressourcen'!$A$2:$AI$54,15,0)</f>
        <v/>
      </c>
      <c r="P64" s="50">
        <f>VLOOKUP(B64,'Feuerwaffen-Ressourcen'!$A$2:$AI$54,16,0)+VLOOKUP(C64,'Feuerwaffen-Ressourcen'!$A$2:$AI$54,16,0)+VLOOKUP(D64,'Feuerwaffen-Ressourcen'!$A$2:$AI$54,16,0)+VLOOKUP(E64,'Feuerwaffen-Ressourcen'!$A$2:$AI$54,16,0)</f>
        <v/>
      </c>
      <c r="Q64" s="52">
        <f>VLOOKUP(B64,'Feuerwaffen-Ressourcen'!$A$2:$AI$54,17,0)+VLOOKUP(C64,'Feuerwaffen-Ressourcen'!$A$2:$AI$54,17,0)+VLOOKUP(D64,'Feuerwaffen-Ressourcen'!$A$2:$AI$54,17,0)+VLOOKUP(E64,'Feuerwaffen-Ressourcen'!$A$2:$AI$54,17,0)</f>
        <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
      </c>
      <c r="X64" s="50">
        <f>VLOOKUP(B64,'Feuerwaffen-Ressourcen'!$A$2:$AI$54,24,0)+VLOOKUP(C64,'Feuerwaffen-Ressourcen'!$A$2:$AI$54,24,0)+VLOOKUP(D64,'Feuerwaffen-Ressourcen'!$A$2:$AI$54,24,0)+VLOOKUP(G64,'Feuerwaffen-Ressourcen'!$A$2:$AI$54,24,0)</f>
        <v/>
      </c>
      <c r="Y64" s="50">
        <f>VLOOKUP(D64,'Feuerwaffen-Ressourcen'!$A$2:$AI$54,25,0)+VLOOKUP(E64,'Feuerwaffen-Ressourcen'!$A$2:$AI$54,25,0)+VLOOKUP(F64,'Feuerwaffen-Ressourcen'!$A$2:$AI$54,25,0)</f>
        <v/>
      </c>
      <c r="Z64" s="50">
        <f>VLOOKUP(E64,'Feuerwaffen-Ressourcen'!$A$2:$AI$54,26,0)</f>
        <v/>
      </c>
      <c r="AA64" s="50">
        <f>VLOOKUP(B64,'Feuerwaffen-Ressourcen'!$A$2:$AI$54,27,0)+VLOOKUP(D64,'Feuerwaffen-Ressourcen'!$A$2:$AI$54,27,0)+VLOOKUP(F64,'Feuerwaffen-Ressourcen'!$A$2:$AI$54,27,0)+VLOOKUP(I64,'Feuerwaffen-Ressourcen'!$A$2:$AI$54,27,0)</f>
        <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
      </c>
      <c r="AC64" s="53">
        <f>VLOOKUP(I64,'Feuerwaffen-Ressourcen'!$A$2:$AI$54,31,0)*AD64+AE64</f>
        <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
      </c>
      <c r="AF64" s="55">
        <f>VLOOKUP(AB64,'Feuerwaffen-Ressourcen'!$AO$3:$AP$9,2,1)</f>
        <v/>
      </c>
      <c r="AG64" s="55" t="n">
        <v>0</v>
      </c>
      <c r="AH64" s="28" t="inlineStr">
        <is>
          <t>Stangenwaffen</t>
        </is>
      </c>
      <c r="AI64" s="28" t="inlineStr">
        <is>
          <t>Improvisierte Stangenwaffen</t>
        </is>
      </c>
      <c r="AJ64" s="56" t="n">
        <v>3</v>
      </c>
      <c r="AK64" s="56" t="inlineStr">
        <is>
          <t>W8</t>
        </is>
      </c>
      <c r="AL64" s="56" t="inlineStr">
        <is>
          <t>W4</t>
        </is>
      </c>
      <c r="AM64" s="56" t="n">
        <v>3</v>
      </c>
      <c r="AN64" s="56" t="n">
        <v>5</v>
      </c>
      <c r="AO64" s="56" t="n">
        <v>4</v>
      </c>
      <c r="AP64" s="56" t="n">
        <v>4</v>
      </c>
      <c r="AQ64" s="56" t="n">
        <v>10</v>
      </c>
      <c r="AR64" s="56" t="n">
        <v>10</v>
      </c>
      <c r="AS64" s="56" t="n">
        <v>5</v>
      </c>
      <c r="AT64" s="56" t="n">
        <v>6</v>
      </c>
    </row>
    <row r="65">
      <c r="A65" s="49" t="inlineStr">
        <is>
          <t>Boom</t>
        </is>
      </c>
      <c r="B65" s="49" t="inlineStr">
        <is>
          <t>Orkisch</t>
        </is>
      </c>
      <c r="C65" s="49" t="inlineStr">
        <is>
          <t>Pistole</t>
        </is>
      </c>
      <c r="D65" s="49" t="inlineStr">
        <is>
          <t>Normal P</t>
        </is>
      </c>
      <c r="E65" s="49" t="inlineStr">
        <is>
          <t>Vorderlader</t>
        </is>
      </c>
      <c r="F65" s="49" t="inlineStr">
        <is>
          <t>Steinschloss</t>
        </is>
      </c>
      <c r="G65" s="49" t="inlineStr">
        <is>
          <t>Glattlauf</t>
        </is>
      </c>
      <c r="H65" s="49" t="inlineStr">
        <is>
          <t>Blei</t>
        </is>
      </c>
      <c r="I65" s="49" t="inlineStr">
        <is>
          <t>Massenfabrikation</t>
        </is>
      </c>
      <c r="J65" s="49" t="inlineStr">
        <is>
          <t>Von der Stange</t>
        </is>
      </c>
      <c r="K65" s="51">
        <f>VLOOKUP(B65,'Feuerwaffen-Ressourcen'!$A$2:$AI$54,11,0)+VLOOKUP(C65,'Feuerwaffen-Ressourcen'!$A$2:$AI$54,11,0)+VLOOKUP(D65,'Feuerwaffen-Ressourcen'!$A$2:$AI$54,11,0)+VLOOKUP(E65,'Feuerwaffen-Ressourcen'!$A$2:$AI$54,11,0)+VLOOKUP(G65,'Feuerwaffen-Ressourcen'!$A$2:$AI$54,11,0)</f>
        <v/>
      </c>
      <c r="L65" s="50">
        <f>VLOOKUP(B65,'Feuerwaffen-Ressourcen'!$A$2:$AI$54,12,0)+VLOOKUP(C65,'Feuerwaffen-Ressourcen'!$A$2:$AI$54,12,0)+VLOOKUP(D65,'Feuerwaffen-Ressourcen'!$A$2:$AI$54,12,0)+VLOOKUP(J65,'Feuerwaffen-Ressourcen'!$A$2:$AI$54,12,0)</f>
        <v/>
      </c>
      <c r="M65" s="50">
        <f>VLOOKUP(VLOOKUP(B65,'Feuerwaffen-Ressourcen'!$A$2:$AI$54,13,0)+VLOOKUP(C65,'Feuerwaffen-Ressourcen'!$A$2:$AI$54,13,0)+VLOOKUP(D65,'Feuerwaffen-Ressourcen'!$A$2:$AI$54,13,0),'Feuerwaffen-Ressourcen'!$AJ$3:$AK$12,2,0)</f>
        <v/>
      </c>
      <c r="N65" s="50">
        <f>VLOOKUP(VLOOKUP(B65,'Feuerwaffen-Ressourcen'!$A$2:$AI$54,14,0)+VLOOKUP(C65,'Feuerwaffen-Ressourcen'!$A$2:$AI$54,14,0)+VLOOKUP(D65,'Feuerwaffen-Ressourcen'!$A$2:$AI$54,14,0),'Feuerwaffen-Ressourcen'!$AJ$3:$AK$12,2,0)</f>
        <v/>
      </c>
      <c r="O65" s="50">
        <f>VLOOKUP(B65,'Feuerwaffen-Ressourcen'!$A$2:$AI$54,15,0)+VLOOKUP(C65,'Feuerwaffen-Ressourcen'!$A$2:$AI$54,15,0)+VLOOKUP(D65,'Feuerwaffen-Ressourcen'!$A$2:$AI$54,15,0)</f>
        <v/>
      </c>
      <c r="P65" s="50">
        <f>VLOOKUP(B65,'Feuerwaffen-Ressourcen'!$A$2:$AI$54,16,0)+VLOOKUP(C65,'Feuerwaffen-Ressourcen'!$A$2:$AI$54,16,0)+VLOOKUP(D65,'Feuerwaffen-Ressourcen'!$A$2:$AI$54,16,0)+VLOOKUP(E65,'Feuerwaffen-Ressourcen'!$A$2:$AI$54,16,0)</f>
        <v/>
      </c>
      <c r="Q65" s="52">
        <f>VLOOKUP(B65,'Feuerwaffen-Ressourcen'!$A$2:$AI$54,17,0)+VLOOKUP(C65,'Feuerwaffen-Ressourcen'!$A$2:$AI$54,17,0)+VLOOKUP(D65,'Feuerwaffen-Ressourcen'!$A$2:$AI$54,17,0)+VLOOKUP(E65,'Feuerwaffen-Ressourcen'!$A$2:$AI$54,17,0)</f>
        <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
      </c>
      <c r="X65" s="50">
        <f>VLOOKUP(B65,'Feuerwaffen-Ressourcen'!$A$2:$AI$54,24,0)+VLOOKUP(C65,'Feuerwaffen-Ressourcen'!$A$2:$AI$54,24,0)+VLOOKUP(D65,'Feuerwaffen-Ressourcen'!$A$2:$AI$54,24,0)+VLOOKUP(G65,'Feuerwaffen-Ressourcen'!$A$2:$AI$54,24,0)</f>
        <v/>
      </c>
      <c r="Y65" s="50">
        <f>VLOOKUP(D65,'Feuerwaffen-Ressourcen'!$A$2:$AI$54,25,0)+VLOOKUP(E65,'Feuerwaffen-Ressourcen'!$A$2:$AI$54,25,0)+VLOOKUP(F65,'Feuerwaffen-Ressourcen'!$A$2:$AI$54,25,0)</f>
        <v/>
      </c>
      <c r="Z65" s="50">
        <f>VLOOKUP(E65,'Feuerwaffen-Ressourcen'!$A$2:$AI$54,26,0)</f>
        <v/>
      </c>
      <c r="AA65" s="50">
        <f>VLOOKUP(B65,'Feuerwaffen-Ressourcen'!$A$2:$AI$54,27,0)+VLOOKUP(D65,'Feuerwaffen-Ressourcen'!$A$2:$AI$54,27,0)+VLOOKUP(F65,'Feuerwaffen-Ressourcen'!$A$2:$AI$54,27,0)+VLOOKUP(I65,'Feuerwaffen-Ressourcen'!$A$2:$AI$54,27,0)</f>
        <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
      </c>
      <c r="AC65" s="53">
        <f>VLOOKUP(I65,'Feuerwaffen-Ressourcen'!$A$2:$AI$54,31,0)*AD65+AE65</f>
        <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
      </c>
      <c r="AF65" s="55">
        <f>VLOOKUP(AB65,'Feuerwaffen-Ressourcen'!$AO$3:$AP$9,2,1)</f>
        <v/>
      </c>
      <c r="AG65" s="55" t="n">
        <v>0</v>
      </c>
      <c r="AH65" s="28" t="inlineStr">
        <is>
          <t>Stangenwaffen</t>
        </is>
      </c>
      <c r="AI65" s="28" t="inlineStr">
        <is>
          <t>Improvisierte Stangenwaffen</t>
        </is>
      </c>
      <c r="AJ65" s="56" t="n">
        <v>3</v>
      </c>
      <c r="AK65" s="56" t="inlineStr">
        <is>
          <t>W8</t>
        </is>
      </c>
      <c r="AL65" s="56" t="inlineStr">
        <is>
          <t>W4</t>
        </is>
      </c>
      <c r="AM65" s="56" t="n">
        <v>3</v>
      </c>
      <c r="AN65" s="56" t="n">
        <v>5</v>
      </c>
      <c r="AO65" s="56" t="n">
        <v>4</v>
      </c>
      <c r="AP65" s="56" t="n">
        <v>4</v>
      </c>
      <c r="AQ65" s="56" t="n">
        <v>10</v>
      </c>
      <c r="AR65" s="56" t="n">
        <v>10</v>
      </c>
      <c r="AS65" s="56" t="n">
        <v>5</v>
      </c>
      <c r="AT65" s="56" t="n">
        <v>6</v>
      </c>
    </row>
    <row r="66">
      <c r="A66" s="49" t="inlineStr">
        <is>
          <t>Kenp</t>
        </is>
      </c>
      <c r="B66" s="49" t="inlineStr">
        <is>
          <t>Orkisch</t>
        </is>
      </c>
      <c r="C66" s="49" t="inlineStr">
        <is>
          <t>Pistole</t>
        </is>
      </c>
      <c r="D66" s="49" t="inlineStr">
        <is>
          <t>Normal P</t>
        </is>
      </c>
      <c r="E66" s="49" t="inlineStr">
        <is>
          <t>Klapplauf</t>
        </is>
      </c>
      <c r="F66" s="49" t="inlineStr">
        <is>
          <t>Schlagbolzen</t>
        </is>
      </c>
      <c r="G66" s="49" t="inlineStr">
        <is>
          <t>Gezogen</t>
        </is>
      </c>
      <c r="H66" s="49" t="inlineStr">
        <is>
          <t>Messing Patrone</t>
        </is>
      </c>
      <c r="I66" s="49" t="inlineStr">
        <is>
          <t>Massenfabrikation</t>
        </is>
      </c>
      <c r="J66" s="49" t="inlineStr">
        <is>
          <t>Von der Stange</t>
        </is>
      </c>
      <c r="K66" s="51">
        <f>VLOOKUP(B66,'Feuerwaffen-Ressourcen'!$A$2:$AI$54,11,0)+VLOOKUP(C66,'Feuerwaffen-Ressourcen'!$A$2:$AI$54,11,0)+VLOOKUP(D66,'Feuerwaffen-Ressourcen'!$A$2:$AI$54,11,0)+VLOOKUP(E66,'Feuerwaffen-Ressourcen'!$A$2:$AI$54,11,0)+VLOOKUP(G66,'Feuerwaffen-Ressourcen'!$A$2:$AI$54,11,0)</f>
        <v/>
      </c>
      <c r="L66" s="50">
        <f>VLOOKUP(B66,'Feuerwaffen-Ressourcen'!$A$2:$AI$54,12,0)+VLOOKUP(C66,'Feuerwaffen-Ressourcen'!$A$2:$AI$54,12,0)+VLOOKUP(D66,'Feuerwaffen-Ressourcen'!$A$2:$AI$54,12,0)+VLOOKUP(J66,'Feuerwaffen-Ressourcen'!$A$2:$AI$54,12,0)</f>
        <v/>
      </c>
      <c r="M66" s="50">
        <f>VLOOKUP(VLOOKUP(B66,'Feuerwaffen-Ressourcen'!$A$2:$AI$54,13,0)+VLOOKUP(C66,'Feuerwaffen-Ressourcen'!$A$2:$AI$54,13,0)+VLOOKUP(D66,'Feuerwaffen-Ressourcen'!$A$2:$AI$54,13,0),'Feuerwaffen-Ressourcen'!$AJ$3:$AK$12,2,0)</f>
        <v/>
      </c>
      <c r="N66" s="50">
        <f>VLOOKUP(VLOOKUP(B66,'Feuerwaffen-Ressourcen'!$A$2:$AI$54,14,0)+VLOOKUP(C66,'Feuerwaffen-Ressourcen'!$A$2:$AI$54,14,0)+VLOOKUP(D66,'Feuerwaffen-Ressourcen'!$A$2:$AI$54,14,0),'Feuerwaffen-Ressourcen'!$AJ$3:$AK$12,2,0)</f>
        <v/>
      </c>
      <c r="O66" s="50">
        <f>VLOOKUP(B66,'Feuerwaffen-Ressourcen'!$A$2:$AI$54,15,0)+VLOOKUP(C66,'Feuerwaffen-Ressourcen'!$A$2:$AI$54,15,0)+VLOOKUP(D66,'Feuerwaffen-Ressourcen'!$A$2:$AI$54,15,0)</f>
        <v/>
      </c>
      <c r="P66" s="50">
        <f>VLOOKUP(B66,'Feuerwaffen-Ressourcen'!$A$2:$AI$54,16,0)+VLOOKUP(C66,'Feuerwaffen-Ressourcen'!$A$2:$AI$54,16,0)+VLOOKUP(D66,'Feuerwaffen-Ressourcen'!$A$2:$AI$54,16,0)+VLOOKUP(E66,'Feuerwaffen-Ressourcen'!$A$2:$AI$54,16,0)</f>
        <v/>
      </c>
      <c r="Q66" s="52">
        <f>VLOOKUP(B66,'Feuerwaffen-Ressourcen'!$A$2:$AI$54,17,0)+VLOOKUP(C66,'Feuerwaffen-Ressourcen'!$A$2:$AI$54,17,0)+VLOOKUP(D66,'Feuerwaffen-Ressourcen'!$A$2:$AI$54,17,0)+VLOOKUP(E66,'Feuerwaffen-Ressourcen'!$A$2:$AI$54,17,0)</f>
        <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
      </c>
      <c r="X66" s="50">
        <f>VLOOKUP(B66,'Feuerwaffen-Ressourcen'!$A$2:$AI$54,24,0)+VLOOKUP(C66,'Feuerwaffen-Ressourcen'!$A$2:$AI$54,24,0)+VLOOKUP(D66,'Feuerwaffen-Ressourcen'!$A$2:$AI$54,24,0)+VLOOKUP(G66,'Feuerwaffen-Ressourcen'!$A$2:$AI$54,24,0)</f>
        <v/>
      </c>
      <c r="Y66" s="50">
        <f>VLOOKUP(D66,'Feuerwaffen-Ressourcen'!$A$2:$AI$54,25,0)+VLOOKUP(E66,'Feuerwaffen-Ressourcen'!$A$2:$AI$54,25,0)+VLOOKUP(F66,'Feuerwaffen-Ressourcen'!$A$2:$AI$54,25,0)</f>
        <v/>
      </c>
      <c r="Z66" s="50">
        <f>VLOOKUP(E66,'Feuerwaffen-Ressourcen'!$A$2:$AI$54,26,0)</f>
        <v/>
      </c>
      <c r="AA66" s="50">
        <f>VLOOKUP(B66,'Feuerwaffen-Ressourcen'!$A$2:$AI$54,27,0)+VLOOKUP(D66,'Feuerwaffen-Ressourcen'!$A$2:$AI$54,27,0)+VLOOKUP(F66,'Feuerwaffen-Ressourcen'!$A$2:$AI$54,27,0)+VLOOKUP(I66,'Feuerwaffen-Ressourcen'!$A$2:$AI$54,27,0)</f>
        <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
      </c>
      <c r="AC66" s="53">
        <f>VLOOKUP(I66,'Feuerwaffen-Ressourcen'!$A$2:$AI$54,31,0)*AD66+AE66</f>
        <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
      </c>
      <c r="AF66" s="55">
        <f>VLOOKUP(AB66,'Feuerwaffen-Ressourcen'!$AO$3:$AP$9,2,1)</f>
        <v/>
      </c>
      <c r="AG66" s="55" t="n">
        <v>0</v>
      </c>
      <c r="AH66" s="28" t="inlineStr">
        <is>
          <t>Stangenwaffen</t>
        </is>
      </c>
      <c r="AI66" s="28" t="inlineStr">
        <is>
          <t>Improvisierte Stangenwaffen</t>
        </is>
      </c>
      <c r="AJ66" s="56" t="n">
        <v>3</v>
      </c>
      <c r="AK66" s="56" t="inlineStr">
        <is>
          <t>W8</t>
        </is>
      </c>
      <c r="AL66" s="56" t="inlineStr">
        <is>
          <t>W4</t>
        </is>
      </c>
      <c r="AM66" s="56" t="n">
        <v>3</v>
      </c>
      <c r="AN66" s="56" t="n">
        <v>5</v>
      </c>
      <c r="AO66" s="56" t="n">
        <v>4</v>
      </c>
      <c r="AP66" s="56" t="n">
        <v>4</v>
      </c>
      <c r="AQ66" s="56" t="n">
        <v>10</v>
      </c>
      <c r="AR66" s="56" t="n">
        <v>10</v>
      </c>
      <c r="AS66" s="56" t="n">
        <v>5</v>
      </c>
      <c r="AT66" s="56" t="n">
        <v>6</v>
      </c>
    </row>
    <row r="67">
      <c r="A67" s="49" t="inlineStr">
        <is>
          <t>Kok'sche</t>
        </is>
      </c>
      <c r="B67" s="49" t="inlineStr">
        <is>
          <t>Orkisch</t>
        </is>
      </c>
      <c r="C67" s="49" t="inlineStr">
        <is>
          <t>Pistole</t>
        </is>
      </c>
      <c r="D67" s="49" t="inlineStr">
        <is>
          <t>Schwer P</t>
        </is>
      </c>
      <c r="E67" s="49" t="inlineStr">
        <is>
          <t>Vorderlader</t>
        </is>
      </c>
      <c r="F67" s="49" t="inlineStr">
        <is>
          <t>Perkussionsschloss</t>
        </is>
      </c>
      <c r="G67" s="49" t="inlineStr">
        <is>
          <t>Glattlauf</t>
        </is>
      </c>
      <c r="H67" s="49" t="inlineStr">
        <is>
          <t>Blei</t>
        </is>
      </c>
      <c r="I67" s="49" t="inlineStr">
        <is>
          <t>Massenfabrikation</t>
        </is>
      </c>
      <c r="J67" s="49" t="inlineStr">
        <is>
          <t>Von der Stange</t>
        </is>
      </c>
      <c r="K67" s="51">
        <f>VLOOKUP(B67,'Feuerwaffen-Ressourcen'!$A$2:$AI$54,11,0)+VLOOKUP(C67,'Feuerwaffen-Ressourcen'!$A$2:$AI$54,11,0)+VLOOKUP(D67,'Feuerwaffen-Ressourcen'!$A$2:$AI$54,11,0)+VLOOKUP(E67,'Feuerwaffen-Ressourcen'!$A$2:$AI$54,11,0)+VLOOKUP(G67,'Feuerwaffen-Ressourcen'!$A$2:$AI$54,11,0)</f>
        <v/>
      </c>
      <c r="L67" s="50">
        <f>VLOOKUP(B67,'Feuerwaffen-Ressourcen'!$A$2:$AI$54,12,0)+VLOOKUP(C67,'Feuerwaffen-Ressourcen'!$A$2:$AI$54,12,0)+VLOOKUP(D67,'Feuerwaffen-Ressourcen'!$A$2:$AI$54,12,0)+VLOOKUP(J67,'Feuerwaffen-Ressourcen'!$A$2:$AI$54,12,0)</f>
        <v/>
      </c>
      <c r="M67" s="50">
        <f>VLOOKUP(VLOOKUP(B67,'Feuerwaffen-Ressourcen'!$A$2:$AI$54,13,0)+VLOOKUP(C67,'Feuerwaffen-Ressourcen'!$A$2:$AI$54,13,0)+VLOOKUP(D67,'Feuerwaffen-Ressourcen'!$A$2:$AI$54,13,0),'Feuerwaffen-Ressourcen'!$AJ$3:$AK$12,2,0)</f>
        <v/>
      </c>
      <c r="N67" s="50">
        <f>VLOOKUP(VLOOKUP(B67,'Feuerwaffen-Ressourcen'!$A$2:$AI$54,14,0)+VLOOKUP(C67,'Feuerwaffen-Ressourcen'!$A$2:$AI$54,14,0)+VLOOKUP(D67,'Feuerwaffen-Ressourcen'!$A$2:$AI$54,14,0),'Feuerwaffen-Ressourcen'!$AJ$3:$AK$12,2,0)</f>
        <v/>
      </c>
      <c r="O67" s="50">
        <f>VLOOKUP(B67,'Feuerwaffen-Ressourcen'!$A$2:$AI$54,15,0)+VLOOKUP(C67,'Feuerwaffen-Ressourcen'!$A$2:$AI$54,15,0)+VLOOKUP(D67,'Feuerwaffen-Ressourcen'!$A$2:$AI$54,15,0)</f>
        <v/>
      </c>
      <c r="P67" s="50">
        <f>VLOOKUP(B67,'Feuerwaffen-Ressourcen'!$A$2:$AI$54,16,0)+VLOOKUP(C67,'Feuerwaffen-Ressourcen'!$A$2:$AI$54,16,0)+VLOOKUP(D67,'Feuerwaffen-Ressourcen'!$A$2:$AI$54,16,0)+VLOOKUP(E67,'Feuerwaffen-Ressourcen'!$A$2:$AI$54,16,0)</f>
        <v/>
      </c>
      <c r="Q67" s="52">
        <f>VLOOKUP(B67,'Feuerwaffen-Ressourcen'!$A$2:$AI$54,17,0)+VLOOKUP(C67,'Feuerwaffen-Ressourcen'!$A$2:$AI$54,17,0)+VLOOKUP(D67,'Feuerwaffen-Ressourcen'!$A$2:$AI$54,17,0)+VLOOKUP(E67,'Feuerwaffen-Ressourcen'!$A$2:$AI$54,17,0)</f>
        <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
      </c>
      <c r="X67" s="50">
        <f>VLOOKUP(B67,'Feuerwaffen-Ressourcen'!$A$2:$AI$54,24,0)+VLOOKUP(C67,'Feuerwaffen-Ressourcen'!$A$2:$AI$54,24,0)+VLOOKUP(D67,'Feuerwaffen-Ressourcen'!$A$2:$AI$54,24,0)+VLOOKUP(G67,'Feuerwaffen-Ressourcen'!$A$2:$AI$54,24,0)</f>
        <v/>
      </c>
      <c r="Y67" s="50">
        <f>VLOOKUP(D67,'Feuerwaffen-Ressourcen'!$A$2:$AI$54,25,0)+VLOOKUP(E67,'Feuerwaffen-Ressourcen'!$A$2:$AI$54,25,0)+VLOOKUP(F67,'Feuerwaffen-Ressourcen'!$A$2:$AI$54,25,0)</f>
        <v/>
      </c>
      <c r="Z67" s="50">
        <f>VLOOKUP(E67,'Feuerwaffen-Ressourcen'!$A$2:$AI$54,26,0)</f>
        <v/>
      </c>
      <c r="AA67" s="50">
        <f>VLOOKUP(B67,'Feuerwaffen-Ressourcen'!$A$2:$AI$54,27,0)+VLOOKUP(D67,'Feuerwaffen-Ressourcen'!$A$2:$AI$54,27,0)+VLOOKUP(F67,'Feuerwaffen-Ressourcen'!$A$2:$AI$54,27,0)+VLOOKUP(I67,'Feuerwaffen-Ressourcen'!$A$2:$AI$54,27,0)</f>
        <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
      </c>
      <c r="AC67" s="53">
        <f>VLOOKUP(I67,'Feuerwaffen-Ressourcen'!$A$2:$AI$54,31,0)*AD67+AE67</f>
        <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
      </c>
      <c r="AF67" s="55">
        <f>VLOOKUP(AB67,'Feuerwaffen-Ressourcen'!$AO$3:$AP$9,2,1)</f>
        <v/>
      </c>
      <c r="AG67" s="55" t="n">
        <v>0</v>
      </c>
      <c r="AH67" s="28" t="inlineStr">
        <is>
          <t>Stangenwaffen</t>
        </is>
      </c>
      <c r="AI67" s="28" t="inlineStr">
        <is>
          <t>Improvisierte Stangenwaffen</t>
        </is>
      </c>
      <c r="AJ67" s="56" t="n">
        <v>3</v>
      </c>
      <c r="AK67" s="56" t="inlineStr">
        <is>
          <t>W8</t>
        </is>
      </c>
      <c r="AL67" s="56" t="inlineStr">
        <is>
          <t>W4</t>
        </is>
      </c>
      <c r="AM67" s="56" t="n">
        <v>3</v>
      </c>
      <c r="AN67" s="56" t="n">
        <v>5</v>
      </c>
      <c r="AO67" s="56" t="n">
        <v>4</v>
      </c>
      <c r="AP67" s="56" t="n">
        <v>4</v>
      </c>
      <c r="AQ67" s="56" t="n">
        <v>12</v>
      </c>
      <c r="AR67" s="56" t="n">
        <v>12</v>
      </c>
      <c r="AS67" s="56" t="n">
        <v>5</v>
      </c>
      <c r="AT67" s="56" t="n">
        <v>6</v>
      </c>
    </row>
    <row r="68">
      <c r="A68" s="49" t="inlineStr">
        <is>
          <t>Ork’sche</t>
        </is>
      </c>
      <c r="B68" s="49" t="inlineStr">
        <is>
          <t>Orkisch</t>
        </is>
      </c>
      <c r="C68" s="49" t="inlineStr">
        <is>
          <t>Pistole</t>
        </is>
      </c>
      <c r="D68" s="49" t="inlineStr">
        <is>
          <t>Schwer P</t>
        </is>
      </c>
      <c r="E68" s="49" t="inlineStr">
        <is>
          <t>Vorderlader</t>
        </is>
      </c>
      <c r="F68" s="49" t="inlineStr">
        <is>
          <t>Steinschloss</t>
        </is>
      </c>
      <c r="G68" s="49" t="inlineStr">
        <is>
          <t>Glattlauf</t>
        </is>
      </c>
      <c r="H68" s="49" t="inlineStr">
        <is>
          <t>Blei</t>
        </is>
      </c>
      <c r="I68" s="49" t="inlineStr">
        <is>
          <t>Massenfabrikation</t>
        </is>
      </c>
      <c r="J68" s="49" t="inlineStr">
        <is>
          <t>Von der Stange</t>
        </is>
      </c>
      <c r="K68" s="51">
        <f>VLOOKUP(B68,'Feuerwaffen-Ressourcen'!$A$2:$AI$54,11,0)+VLOOKUP(C68,'Feuerwaffen-Ressourcen'!$A$2:$AI$54,11,0)+VLOOKUP(D68,'Feuerwaffen-Ressourcen'!$A$2:$AI$54,11,0)+VLOOKUP(E68,'Feuerwaffen-Ressourcen'!$A$2:$AI$54,11,0)+VLOOKUP(G68,'Feuerwaffen-Ressourcen'!$A$2:$AI$54,11,0)</f>
        <v/>
      </c>
      <c r="L68" s="50">
        <f>VLOOKUP(B68,'Feuerwaffen-Ressourcen'!$A$2:$AI$54,12,0)+VLOOKUP(C68,'Feuerwaffen-Ressourcen'!$A$2:$AI$54,12,0)+VLOOKUP(D68,'Feuerwaffen-Ressourcen'!$A$2:$AI$54,12,0)+VLOOKUP(J68,'Feuerwaffen-Ressourcen'!$A$2:$AI$54,12,0)</f>
        <v/>
      </c>
      <c r="M68" s="50">
        <f>VLOOKUP(VLOOKUP(B68,'Feuerwaffen-Ressourcen'!$A$2:$AI$54,13,0)+VLOOKUP(C68,'Feuerwaffen-Ressourcen'!$A$2:$AI$54,13,0)+VLOOKUP(D68,'Feuerwaffen-Ressourcen'!$A$2:$AI$54,13,0),'Feuerwaffen-Ressourcen'!$AJ$3:$AK$12,2,0)</f>
        <v/>
      </c>
      <c r="N68" s="50">
        <f>VLOOKUP(VLOOKUP(B68,'Feuerwaffen-Ressourcen'!$A$2:$AI$54,14,0)+VLOOKUP(C68,'Feuerwaffen-Ressourcen'!$A$2:$AI$54,14,0)+VLOOKUP(D68,'Feuerwaffen-Ressourcen'!$A$2:$AI$54,14,0),'Feuerwaffen-Ressourcen'!$AJ$3:$AK$12,2,0)</f>
        <v/>
      </c>
      <c r="O68" s="50">
        <f>VLOOKUP(B68,'Feuerwaffen-Ressourcen'!$A$2:$AI$54,15,0)+VLOOKUP(C68,'Feuerwaffen-Ressourcen'!$A$2:$AI$54,15,0)+VLOOKUP(D68,'Feuerwaffen-Ressourcen'!$A$2:$AI$54,15,0)</f>
        <v/>
      </c>
      <c r="P68" s="50">
        <f>VLOOKUP(B68,'Feuerwaffen-Ressourcen'!$A$2:$AI$54,16,0)+VLOOKUP(C68,'Feuerwaffen-Ressourcen'!$A$2:$AI$54,16,0)+VLOOKUP(D68,'Feuerwaffen-Ressourcen'!$A$2:$AI$54,16,0)+VLOOKUP(E68,'Feuerwaffen-Ressourcen'!$A$2:$AI$54,16,0)</f>
        <v/>
      </c>
      <c r="Q68" s="52">
        <f>VLOOKUP(B68,'Feuerwaffen-Ressourcen'!$A$2:$AI$54,17,0)+VLOOKUP(C68,'Feuerwaffen-Ressourcen'!$A$2:$AI$54,17,0)+VLOOKUP(D68,'Feuerwaffen-Ressourcen'!$A$2:$AI$54,17,0)+VLOOKUP(E68,'Feuerwaffen-Ressourcen'!$A$2:$AI$54,17,0)</f>
        <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
      </c>
      <c r="X68" s="50">
        <f>VLOOKUP(B68,'Feuerwaffen-Ressourcen'!$A$2:$AI$54,24,0)+VLOOKUP(C68,'Feuerwaffen-Ressourcen'!$A$2:$AI$54,24,0)+VLOOKUP(D68,'Feuerwaffen-Ressourcen'!$A$2:$AI$54,24,0)+VLOOKUP(G68,'Feuerwaffen-Ressourcen'!$A$2:$AI$54,24,0)</f>
        <v/>
      </c>
      <c r="Y68" s="50">
        <f>VLOOKUP(D68,'Feuerwaffen-Ressourcen'!$A$2:$AI$54,25,0)+VLOOKUP(E68,'Feuerwaffen-Ressourcen'!$A$2:$AI$54,25,0)+VLOOKUP(F68,'Feuerwaffen-Ressourcen'!$A$2:$AI$54,25,0)</f>
        <v/>
      </c>
      <c r="Z68" s="50">
        <f>VLOOKUP(E68,'Feuerwaffen-Ressourcen'!$A$2:$AI$54,26,0)</f>
        <v/>
      </c>
      <c r="AA68" s="50">
        <f>VLOOKUP(B68,'Feuerwaffen-Ressourcen'!$A$2:$AI$54,27,0)+VLOOKUP(D68,'Feuerwaffen-Ressourcen'!$A$2:$AI$54,27,0)+VLOOKUP(F68,'Feuerwaffen-Ressourcen'!$A$2:$AI$54,27,0)+VLOOKUP(I68,'Feuerwaffen-Ressourcen'!$A$2:$AI$54,27,0)</f>
        <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
      </c>
      <c r="AC68" s="53">
        <f>VLOOKUP(I68,'Feuerwaffen-Ressourcen'!$A$2:$AI$54,31,0)*AD68+AE68</f>
        <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
      </c>
      <c r="AF68" s="55">
        <f>VLOOKUP(AB68,'Feuerwaffen-Ressourcen'!$AO$3:$AP$9,2,1)</f>
        <v/>
      </c>
      <c r="AG68" s="55" t="n">
        <v>0</v>
      </c>
      <c r="AH68" s="28" t="inlineStr">
        <is>
          <t>Stangenwaffen</t>
        </is>
      </c>
      <c r="AI68" s="28" t="inlineStr">
        <is>
          <t>Improvisierte Stangenwaffen</t>
        </is>
      </c>
      <c r="AJ68" s="56" t="n">
        <v>3</v>
      </c>
      <c r="AK68" s="56" t="inlineStr">
        <is>
          <t>W8</t>
        </is>
      </c>
      <c r="AL68" s="56" t="inlineStr">
        <is>
          <t>W4</t>
        </is>
      </c>
      <c r="AM68" s="56" t="n">
        <v>3</v>
      </c>
      <c r="AN68" s="56" t="n">
        <v>5</v>
      </c>
      <c r="AO68" s="56" t="n">
        <v>4</v>
      </c>
      <c r="AP68" s="56" t="n">
        <v>4</v>
      </c>
      <c r="AQ68" s="56" t="n">
        <v>12</v>
      </c>
      <c r="AR68" s="56" t="n">
        <v>12</v>
      </c>
      <c r="AS68" s="56" t="n">
        <v>5</v>
      </c>
      <c r="AT68" s="56" t="n">
        <v>6</v>
      </c>
    </row>
    <row r="69">
      <c r="A69" s="49" t="inlineStr">
        <is>
          <t>Balrog</t>
        </is>
      </c>
      <c r="B69" s="49" t="inlineStr">
        <is>
          <t>Zwergisch</t>
        </is>
      </c>
      <c r="C69" s="49" t="inlineStr">
        <is>
          <t>Gewehr</t>
        </is>
      </c>
      <c r="D69" s="49" t="inlineStr">
        <is>
          <t>Normal</t>
        </is>
      </c>
      <c r="E69" s="49" t="inlineStr">
        <is>
          <t>Klapplauf</t>
        </is>
      </c>
      <c r="F69" s="49" t="inlineStr">
        <is>
          <t>Schlagbolzen</t>
        </is>
      </c>
      <c r="G69" s="49" t="inlineStr">
        <is>
          <t>Gezogen</t>
        </is>
      </c>
      <c r="H69" s="49" t="inlineStr">
        <is>
          <t>Messing Patrone</t>
        </is>
      </c>
      <c r="I69" s="49" t="inlineStr">
        <is>
          <t>Massenfabrikation</t>
        </is>
      </c>
      <c r="J69" s="49" t="inlineStr">
        <is>
          <t>Von der Stange</t>
        </is>
      </c>
      <c r="K69" s="51">
        <f>VLOOKUP(B69,'Feuerwaffen-Ressourcen'!$A$2:$AI$54,11,0)+VLOOKUP(C69,'Feuerwaffen-Ressourcen'!$A$2:$AI$54,11,0)+VLOOKUP(D69,'Feuerwaffen-Ressourcen'!$A$2:$AI$54,11,0)+VLOOKUP(E69,'Feuerwaffen-Ressourcen'!$A$2:$AI$54,11,0)+VLOOKUP(G69,'Feuerwaffen-Ressourcen'!$A$2:$AI$54,11,0)</f>
        <v/>
      </c>
      <c r="L69" s="50">
        <f>VLOOKUP(B69,'Feuerwaffen-Ressourcen'!$A$2:$AI$54,12,0)+VLOOKUP(C69,'Feuerwaffen-Ressourcen'!$A$2:$AI$54,12,0)+VLOOKUP(D69,'Feuerwaffen-Ressourcen'!$A$2:$AI$54,12,0)+VLOOKUP(J69,'Feuerwaffen-Ressourcen'!$A$2:$AI$54,12,0)</f>
        <v/>
      </c>
      <c r="M69" s="50">
        <f>VLOOKUP(VLOOKUP(B69,'Feuerwaffen-Ressourcen'!$A$2:$AI$54,13,0)+VLOOKUP(C69,'Feuerwaffen-Ressourcen'!$A$2:$AI$54,13,0)+VLOOKUP(D69,'Feuerwaffen-Ressourcen'!$A$2:$AI$54,13,0),'Feuerwaffen-Ressourcen'!$AJ$3:$AK$12,2,0)</f>
        <v/>
      </c>
      <c r="N69" s="50">
        <f>VLOOKUP(VLOOKUP(B69,'Feuerwaffen-Ressourcen'!$A$2:$AI$54,14,0)+VLOOKUP(C69,'Feuerwaffen-Ressourcen'!$A$2:$AI$54,14,0)+VLOOKUP(D69,'Feuerwaffen-Ressourcen'!$A$2:$AI$54,14,0),'Feuerwaffen-Ressourcen'!$AJ$3:$AK$12,2,0)</f>
        <v/>
      </c>
      <c r="O69" s="50">
        <f>VLOOKUP(B69,'Feuerwaffen-Ressourcen'!$A$2:$AI$54,15,0)+VLOOKUP(C69,'Feuerwaffen-Ressourcen'!$A$2:$AI$54,15,0)+VLOOKUP(D69,'Feuerwaffen-Ressourcen'!$A$2:$AI$54,15,0)</f>
        <v/>
      </c>
      <c r="P69" s="50">
        <f>VLOOKUP(B69,'Feuerwaffen-Ressourcen'!$A$2:$AI$54,16,0)+VLOOKUP(C69,'Feuerwaffen-Ressourcen'!$A$2:$AI$54,16,0)+VLOOKUP(D69,'Feuerwaffen-Ressourcen'!$A$2:$AI$54,16,0)+VLOOKUP(E69,'Feuerwaffen-Ressourcen'!$A$2:$AI$54,16,0)</f>
        <v/>
      </c>
      <c r="Q69" s="52">
        <f>VLOOKUP(B69,'Feuerwaffen-Ressourcen'!$A$2:$AI$54,17,0)+VLOOKUP(C69,'Feuerwaffen-Ressourcen'!$A$2:$AI$54,17,0)+VLOOKUP(D69,'Feuerwaffen-Ressourcen'!$A$2:$AI$54,17,0)+VLOOKUP(E69,'Feuerwaffen-Ressourcen'!$A$2:$AI$54,17,0)</f>
        <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
      </c>
      <c r="X69" s="50">
        <f>VLOOKUP(B69,'Feuerwaffen-Ressourcen'!$A$2:$AI$54,24,0)+VLOOKUP(C69,'Feuerwaffen-Ressourcen'!$A$2:$AI$54,24,0)+VLOOKUP(D69,'Feuerwaffen-Ressourcen'!$A$2:$AI$54,24,0)+VLOOKUP(G69,'Feuerwaffen-Ressourcen'!$A$2:$AI$54,24,0)</f>
        <v/>
      </c>
      <c r="Y69" s="50">
        <f>VLOOKUP(D69,'Feuerwaffen-Ressourcen'!$A$2:$AI$54,25,0)+VLOOKUP(E69,'Feuerwaffen-Ressourcen'!$A$2:$AI$54,25,0)+VLOOKUP(F69,'Feuerwaffen-Ressourcen'!$A$2:$AI$54,25,0)</f>
        <v/>
      </c>
      <c r="Z69" s="50">
        <f>VLOOKUP(E69,'Feuerwaffen-Ressourcen'!$A$2:$AI$54,26,0)</f>
        <v/>
      </c>
      <c r="AA69" s="50">
        <f>VLOOKUP(B69,'Feuerwaffen-Ressourcen'!$A$2:$AI$54,27,0)+VLOOKUP(D69,'Feuerwaffen-Ressourcen'!$A$2:$AI$54,27,0)+VLOOKUP(F69,'Feuerwaffen-Ressourcen'!$A$2:$AI$54,27,0)+VLOOKUP(I69,'Feuerwaffen-Ressourcen'!$A$2:$AI$54,27,0)</f>
        <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
      </c>
      <c r="AC69" s="53">
        <f>VLOOKUP(I69,'Feuerwaffen-Ressourcen'!$A$2:$AI$54,31,0)*AD69+AE69</f>
        <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
      </c>
      <c r="AF69" s="55">
        <f>VLOOKUP(AB69,'Feuerwaffen-Ressourcen'!$AO$3:$AP$9,2,1)</f>
        <v/>
      </c>
      <c r="AG69" s="55" t="n">
        <v>0</v>
      </c>
      <c r="AH69" s="28" t="inlineStr">
        <is>
          <t>Stangenwaffen</t>
        </is>
      </c>
      <c r="AI69" s="28" t="inlineStr">
        <is>
          <t>Improvisierte Stangenwaffen</t>
        </is>
      </c>
      <c r="AJ69" s="56" t="n">
        <v>3</v>
      </c>
      <c r="AK69" s="56" t="inlineStr">
        <is>
          <t>W8</t>
        </is>
      </c>
      <c r="AL69" s="56" t="inlineStr">
        <is>
          <t>W4</t>
        </is>
      </c>
      <c r="AM69" s="56" t="n">
        <v>3</v>
      </c>
      <c r="AN69" s="56" t="n">
        <v>5</v>
      </c>
      <c r="AO69" s="56" t="n">
        <v>4</v>
      </c>
      <c r="AP69" s="56" t="n">
        <v>4</v>
      </c>
      <c r="AQ69" s="56" t="n">
        <v>11</v>
      </c>
      <c r="AR69" s="56" t="n">
        <v>11</v>
      </c>
      <c r="AS69" s="56" t="n">
        <v>5</v>
      </c>
      <c r="AT69" s="56" t="n">
        <v>6</v>
      </c>
    </row>
    <row r="70">
      <c r="A70" s="49" t="inlineStr">
        <is>
          <t>Borstbüchse</t>
        </is>
      </c>
      <c r="B70" s="49" t="inlineStr">
        <is>
          <t>Zwergisch</t>
        </is>
      </c>
      <c r="C70" s="49" t="inlineStr">
        <is>
          <t>Gewehr</t>
        </is>
      </c>
      <c r="D70" s="49" t="inlineStr">
        <is>
          <t>Schwer</t>
        </is>
      </c>
      <c r="E70" s="49" t="inlineStr">
        <is>
          <t>Vorderlader</t>
        </is>
      </c>
      <c r="F70" s="49" t="inlineStr">
        <is>
          <t>Perkussionsschloss</t>
        </is>
      </c>
      <c r="G70" s="49" t="inlineStr">
        <is>
          <t>Gezogen</t>
        </is>
      </c>
      <c r="H70" s="49" t="inlineStr">
        <is>
          <t>Blei</t>
        </is>
      </c>
      <c r="I70" s="49" t="inlineStr">
        <is>
          <t>Massenfabrikation</t>
        </is>
      </c>
      <c r="J70" s="49" t="inlineStr">
        <is>
          <t>Von der Stange</t>
        </is>
      </c>
      <c r="K70" s="51">
        <f>VLOOKUP(B70,'Feuerwaffen-Ressourcen'!$A$2:$AI$54,11,0)+VLOOKUP(C70,'Feuerwaffen-Ressourcen'!$A$2:$AI$54,11,0)+VLOOKUP(D70,'Feuerwaffen-Ressourcen'!$A$2:$AI$54,11,0)+VLOOKUP(E70,'Feuerwaffen-Ressourcen'!$A$2:$AI$54,11,0)+VLOOKUP(G70,'Feuerwaffen-Ressourcen'!$A$2:$AI$54,11,0)</f>
        <v/>
      </c>
      <c r="L70" s="50">
        <f>VLOOKUP(B70,'Feuerwaffen-Ressourcen'!$A$2:$AI$54,12,0)+VLOOKUP(C70,'Feuerwaffen-Ressourcen'!$A$2:$AI$54,12,0)+VLOOKUP(D70,'Feuerwaffen-Ressourcen'!$A$2:$AI$54,12,0)+VLOOKUP(J70,'Feuerwaffen-Ressourcen'!$A$2:$AI$54,12,0)</f>
        <v/>
      </c>
      <c r="M70" s="50">
        <f>VLOOKUP(VLOOKUP(B70,'Feuerwaffen-Ressourcen'!$A$2:$AI$54,13,0)+VLOOKUP(C70,'Feuerwaffen-Ressourcen'!$A$2:$AI$54,13,0)+VLOOKUP(D70,'Feuerwaffen-Ressourcen'!$A$2:$AI$54,13,0),'Feuerwaffen-Ressourcen'!$AJ$3:$AK$12,2,0)</f>
        <v/>
      </c>
      <c r="N70" s="50">
        <f>VLOOKUP(VLOOKUP(B70,'Feuerwaffen-Ressourcen'!$A$2:$AI$54,14,0)+VLOOKUP(C70,'Feuerwaffen-Ressourcen'!$A$2:$AI$54,14,0)+VLOOKUP(D70,'Feuerwaffen-Ressourcen'!$A$2:$AI$54,14,0),'Feuerwaffen-Ressourcen'!$AJ$3:$AK$12,2,0)</f>
        <v/>
      </c>
      <c r="O70" s="50">
        <f>VLOOKUP(B70,'Feuerwaffen-Ressourcen'!$A$2:$AI$54,15,0)+VLOOKUP(C70,'Feuerwaffen-Ressourcen'!$A$2:$AI$54,15,0)+VLOOKUP(D70,'Feuerwaffen-Ressourcen'!$A$2:$AI$54,15,0)</f>
        <v/>
      </c>
      <c r="P70" s="50">
        <f>VLOOKUP(B70,'Feuerwaffen-Ressourcen'!$A$2:$AI$54,16,0)+VLOOKUP(C70,'Feuerwaffen-Ressourcen'!$A$2:$AI$54,16,0)+VLOOKUP(D70,'Feuerwaffen-Ressourcen'!$A$2:$AI$54,16,0)+VLOOKUP(E70,'Feuerwaffen-Ressourcen'!$A$2:$AI$54,16,0)</f>
        <v/>
      </c>
      <c r="Q70" s="52">
        <f>VLOOKUP(B70,'Feuerwaffen-Ressourcen'!$A$2:$AI$54,17,0)+VLOOKUP(C70,'Feuerwaffen-Ressourcen'!$A$2:$AI$54,17,0)+VLOOKUP(D70,'Feuerwaffen-Ressourcen'!$A$2:$AI$54,17,0)+VLOOKUP(E70,'Feuerwaffen-Ressourcen'!$A$2:$AI$54,17,0)</f>
        <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
      </c>
      <c r="X70" s="50">
        <f>VLOOKUP(B70,'Feuerwaffen-Ressourcen'!$A$2:$AI$54,24,0)+VLOOKUP(C70,'Feuerwaffen-Ressourcen'!$A$2:$AI$54,24,0)+VLOOKUP(D70,'Feuerwaffen-Ressourcen'!$A$2:$AI$54,24,0)+VLOOKUP(G70,'Feuerwaffen-Ressourcen'!$A$2:$AI$54,24,0)</f>
        <v/>
      </c>
      <c r="Y70" s="50">
        <f>VLOOKUP(D70,'Feuerwaffen-Ressourcen'!$A$2:$AI$54,25,0)+VLOOKUP(E70,'Feuerwaffen-Ressourcen'!$A$2:$AI$54,25,0)+VLOOKUP(F70,'Feuerwaffen-Ressourcen'!$A$2:$AI$54,25,0)</f>
        <v/>
      </c>
      <c r="Z70" s="50">
        <f>VLOOKUP(E70,'Feuerwaffen-Ressourcen'!$A$2:$AI$54,26,0)</f>
        <v/>
      </c>
      <c r="AA70" s="50">
        <f>VLOOKUP(B70,'Feuerwaffen-Ressourcen'!$A$2:$AI$54,27,0)+VLOOKUP(D70,'Feuerwaffen-Ressourcen'!$A$2:$AI$54,27,0)+VLOOKUP(F70,'Feuerwaffen-Ressourcen'!$A$2:$AI$54,27,0)+VLOOKUP(I70,'Feuerwaffen-Ressourcen'!$A$2:$AI$54,27,0)</f>
        <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
      </c>
      <c r="AC70" s="53">
        <f>VLOOKUP(I70,'Feuerwaffen-Ressourcen'!$A$2:$AI$54,31,0)*AD70+AE70</f>
        <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
      </c>
      <c r="AF70" s="55">
        <f>VLOOKUP(AB70,'Feuerwaffen-Ressourcen'!$AO$3:$AP$9,2,1)</f>
        <v/>
      </c>
      <c r="AG70" s="55" t="n">
        <v>0</v>
      </c>
      <c r="AH70" s="28" t="inlineStr">
        <is>
          <t>Stangenwaffen</t>
        </is>
      </c>
      <c r="AI70" s="28" t="inlineStr">
        <is>
          <t>Improvisierte Stangenwaffen</t>
        </is>
      </c>
      <c r="AJ70" s="56" t="n">
        <v>3</v>
      </c>
      <c r="AK70" s="56" t="inlineStr">
        <is>
          <t>W8</t>
        </is>
      </c>
      <c r="AL70" s="56" t="inlineStr">
        <is>
          <t>W4</t>
        </is>
      </c>
      <c r="AM70" s="56" t="n">
        <v>3</v>
      </c>
      <c r="AN70" s="56" t="n">
        <v>5</v>
      </c>
      <c r="AO70" s="56" t="n">
        <v>4</v>
      </c>
      <c r="AP70" s="56" t="n">
        <v>4</v>
      </c>
      <c r="AQ70" s="56" t="n">
        <v>13</v>
      </c>
      <c r="AR70" s="56" t="n">
        <v>13</v>
      </c>
      <c r="AS70" s="56" t="n">
        <v>5</v>
      </c>
      <c r="AT70" s="56" t="n">
        <v>6</v>
      </c>
    </row>
    <row r="71">
      <c r="A71" s="49" t="inlineStr">
        <is>
          <t>Eisenbeißer</t>
        </is>
      </c>
      <c r="B71" s="49" t="inlineStr">
        <is>
          <t>Zwergisch</t>
        </is>
      </c>
      <c r="C71" s="49" t="inlineStr">
        <is>
          <t>Gewehr</t>
        </is>
      </c>
      <c r="D71" s="49" t="inlineStr">
        <is>
          <t>Schwer</t>
        </is>
      </c>
      <c r="E71" s="49" t="inlineStr">
        <is>
          <t>Block- oder Scharnierverschluss</t>
        </is>
      </c>
      <c r="F71" s="49" t="inlineStr">
        <is>
          <t>Schlagbolzen</t>
        </is>
      </c>
      <c r="G71" s="49" t="inlineStr">
        <is>
          <t>Gezogen</t>
        </is>
      </c>
      <c r="H71" s="49" t="inlineStr">
        <is>
          <t>Messing Patrone</t>
        </is>
      </c>
      <c r="I71" s="49" t="inlineStr">
        <is>
          <t>Massenfabrikation</t>
        </is>
      </c>
      <c r="J71" s="49" t="inlineStr">
        <is>
          <t>Von der Stange</t>
        </is>
      </c>
      <c r="K71" s="51">
        <f>VLOOKUP(B71,'Feuerwaffen-Ressourcen'!$A$2:$AI$54,11,0)+VLOOKUP(C71,'Feuerwaffen-Ressourcen'!$A$2:$AI$54,11,0)+VLOOKUP(D71,'Feuerwaffen-Ressourcen'!$A$2:$AI$54,11,0)+VLOOKUP(E71,'Feuerwaffen-Ressourcen'!$A$2:$AI$54,11,0)+VLOOKUP(G71,'Feuerwaffen-Ressourcen'!$A$2:$AI$54,11,0)</f>
        <v/>
      </c>
      <c r="L71" s="50">
        <f>VLOOKUP(B71,'Feuerwaffen-Ressourcen'!$A$2:$AI$54,12,0)+VLOOKUP(C71,'Feuerwaffen-Ressourcen'!$A$2:$AI$54,12,0)+VLOOKUP(D71,'Feuerwaffen-Ressourcen'!$A$2:$AI$54,12,0)+VLOOKUP(J71,'Feuerwaffen-Ressourcen'!$A$2:$AI$54,12,0)</f>
        <v/>
      </c>
      <c r="M71" s="50">
        <f>VLOOKUP(VLOOKUP(B71,'Feuerwaffen-Ressourcen'!$A$2:$AI$54,13,0)+VLOOKUP(C71,'Feuerwaffen-Ressourcen'!$A$2:$AI$54,13,0)+VLOOKUP(D71,'Feuerwaffen-Ressourcen'!$A$2:$AI$54,13,0),'Feuerwaffen-Ressourcen'!$AJ$3:$AK$12,2,0)</f>
        <v/>
      </c>
      <c r="N71" s="50">
        <f>VLOOKUP(VLOOKUP(B71,'Feuerwaffen-Ressourcen'!$A$2:$AI$54,14,0)+VLOOKUP(C71,'Feuerwaffen-Ressourcen'!$A$2:$AI$54,14,0)+VLOOKUP(D71,'Feuerwaffen-Ressourcen'!$A$2:$AI$54,14,0),'Feuerwaffen-Ressourcen'!$AJ$3:$AK$12,2,0)</f>
        <v/>
      </c>
      <c r="O71" s="50">
        <f>VLOOKUP(B71,'Feuerwaffen-Ressourcen'!$A$2:$AI$54,15,0)+VLOOKUP(C71,'Feuerwaffen-Ressourcen'!$A$2:$AI$54,15,0)+VLOOKUP(D71,'Feuerwaffen-Ressourcen'!$A$2:$AI$54,15,0)</f>
        <v/>
      </c>
      <c r="P71" s="50">
        <f>VLOOKUP(B71,'Feuerwaffen-Ressourcen'!$A$2:$AI$54,16,0)+VLOOKUP(C71,'Feuerwaffen-Ressourcen'!$A$2:$AI$54,16,0)+VLOOKUP(D71,'Feuerwaffen-Ressourcen'!$A$2:$AI$54,16,0)+VLOOKUP(E71,'Feuerwaffen-Ressourcen'!$A$2:$AI$54,16,0)</f>
        <v/>
      </c>
      <c r="Q71" s="52">
        <f>VLOOKUP(B71,'Feuerwaffen-Ressourcen'!$A$2:$AI$54,17,0)+VLOOKUP(C71,'Feuerwaffen-Ressourcen'!$A$2:$AI$54,17,0)+VLOOKUP(D71,'Feuerwaffen-Ressourcen'!$A$2:$AI$54,17,0)+VLOOKUP(E71,'Feuerwaffen-Ressourcen'!$A$2:$AI$54,17,0)</f>
        <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
      </c>
      <c r="X71" s="50">
        <f>VLOOKUP(B71,'Feuerwaffen-Ressourcen'!$A$2:$AI$54,24,0)+VLOOKUP(C71,'Feuerwaffen-Ressourcen'!$A$2:$AI$54,24,0)+VLOOKUP(D71,'Feuerwaffen-Ressourcen'!$A$2:$AI$54,24,0)+VLOOKUP(G71,'Feuerwaffen-Ressourcen'!$A$2:$AI$54,24,0)</f>
        <v/>
      </c>
      <c r="Y71" s="50">
        <f>VLOOKUP(D71,'Feuerwaffen-Ressourcen'!$A$2:$AI$54,25,0)+VLOOKUP(E71,'Feuerwaffen-Ressourcen'!$A$2:$AI$54,25,0)+VLOOKUP(F71,'Feuerwaffen-Ressourcen'!$A$2:$AI$54,25,0)</f>
        <v/>
      </c>
      <c r="Z71" s="50">
        <f>VLOOKUP(E71,'Feuerwaffen-Ressourcen'!$A$2:$AI$54,26,0)</f>
        <v/>
      </c>
      <c r="AA71" s="50">
        <f>VLOOKUP(B71,'Feuerwaffen-Ressourcen'!$A$2:$AI$54,27,0)+VLOOKUP(D71,'Feuerwaffen-Ressourcen'!$A$2:$AI$54,27,0)+VLOOKUP(F71,'Feuerwaffen-Ressourcen'!$A$2:$AI$54,27,0)+VLOOKUP(I71,'Feuerwaffen-Ressourcen'!$A$2:$AI$54,27,0)</f>
        <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
      </c>
      <c r="AC71" s="53">
        <f>VLOOKUP(I71,'Feuerwaffen-Ressourcen'!$A$2:$AI$54,31,0)*AD71+AE71</f>
        <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
      </c>
      <c r="AF71" s="55">
        <f>VLOOKUP(AB71,'Feuerwaffen-Ressourcen'!$AO$3:$AP$9,2,1)</f>
        <v/>
      </c>
      <c r="AG71" s="55" t="n">
        <v>0</v>
      </c>
      <c r="AH71" s="28" t="inlineStr">
        <is>
          <t>Stangenwaffen</t>
        </is>
      </c>
      <c r="AI71" s="28" t="inlineStr">
        <is>
          <t>Improvisierte Stangenwaffen</t>
        </is>
      </c>
      <c r="AJ71" s="56" t="n">
        <v>3</v>
      </c>
      <c r="AK71" s="56" t="inlineStr">
        <is>
          <t>W8</t>
        </is>
      </c>
      <c r="AL71" s="56" t="inlineStr">
        <is>
          <t>W4</t>
        </is>
      </c>
      <c r="AM71" s="56" t="n">
        <v>3</v>
      </c>
      <c r="AN71" s="56" t="n">
        <v>5</v>
      </c>
      <c r="AO71" s="56" t="n">
        <v>4</v>
      </c>
      <c r="AP71" s="56" t="n">
        <v>4</v>
      </c>
      <c r="AQ71" s="56" t="n">
        <v>13</v>
      </c>
      <c r="AR71" s="56" t="n">
        <v>13</v>
      </c>
      <c r="AS71" s="56" t="n">
        <v>5</v>
      </c>
      <c r="AT71" s="56" t="n">
        <v>6</v>
      </c>
    </row>
    <row r="72">
      <c r="A72" s="49" t="inlineStr">
        <is>
          <t>Fafnir</t>
        </is>
      </c>
      <c r="B72" s="49" t="inlineStr">
        <is>
          <t>Zwergisch</t>
        </is>
      </c>
      <c r="C72" s="49" t="inlineStr">
        <is>
          <t>Gewehr</t>
        </is>
      </c>
      <c r="D72" s="49" t="inlineStr">
        <is>
          <t>Normal</t>
        </is>
      </c>
      <c r="E72" s="49" t="inlineStr">
        <is>
          <t>Hinterlader</t>
        </is>
      </c>
      <c r="F72" s="49" t="inlineStr">
        <is>
          <t>Nadelzündung</t>
        </is>
      </c>
      <c r="G72" s="49" t="inlineStr">
        <is>
          <t>Gezogen</t>
        </is>
      </c>
      <c r="H72" s="49" t="inlineStr">
        <is>
          <t>Papier Patrone</t>
        </is>
      </c>
      <c r="I72" s="49" t="inlineStr">
        <is>
          <t>Massenfabrikation</t>
        </is>
      </c>
      <c r="J72" s="49" t="inlineStr">
        <is>
          <t>Von der Stange</t>
        </is>
      </c>
      <c r="K72" s="51">
        <f>VLOOKUP(B72,'Feuerwaffen-Ressourcen'!$A$2:$AI$54,11,0)+VLOOKUP(C72,'Feuerwaffen-Ressourcen'!$A$2:$AI$54,11,0)+VLOOKUP(D72,'Feuerwaffen-Ressourcen'!$A$2:$AI$54,11,0)+VLOOKUP(E72,'Feuerwaffen-Ressourcen'!$A$2:$AI$54,11,0)+VLOOKUP(G72,'Feuerwaffen-Ressourcen'!$A$2:$AI$54,11,0)</f>
        <v/>
      </c>
      <c r="L72" s="50">
        <f>VLOOKUP(B72,'Feuerwaffen-Ressourcen'!$A$2:$AI$54,12,0)+VLOOKUP(C72,'Feuerwaffen-Ressourcen'!$A$2:$AI$54,12,0)+VLOOKUP(D72,'Feuerwaffen-Ressourcen'!$A$2:$AI$54,12,0)+VLOOKUP(J72,'Feuerwaffen-Ressourcen'!$A$2:$AI$54,12,0)</f>
        <v/>
      </c>
      <c r="M72" s="50">
        <f>VLOOKUP(VLOOKUP(B72,'Feuerwaffen-Ressourcen'!$A$2:$AI$54,13,0)+VLOOKUP(C72,'Feuerwaffen-Ressourcen'!$A$2:$AI$54,13,0)+VLOOKUP(D72,'Feuerwaffen-Ressourcen'!$A$2:$AI$54,13,0),'Feuerwaffen-Ressourcen'!$AJ$3:$AK$12,2,0)</f>
        <v/>
      </c>
      <c r="N72" s="50">
        <f>VLOOKUP(VLOOKUP(B72,'Feuerwaffen-Ressourcen'!$A$2:$AI$54,14,0)+VLOOKUP(C72,'Feuerwaffen-Ressourcen'!$A$2:$AI$54,14,0)+VLOOKUP(D72,'Feuerwaffen-Ressourcen'!$A$2:$AI$54,14,0),'Feuerwaffen-Ressourcen'!$AJ$3:$AK$12,2,0)</f>
        <v/>
      </c>
      <c r="O72" s="50">
        <f>VLOOKUP(B72,'Feuerwaffen-Ressourcen'!$A$2:$AI$54,15,0)+VLOOKUP(C72,'Feuerwaffen-Ressourcen'!$A$2:$AI$54,15,0)+VLOOKUP(D72,'Feuerwaffen-Ressourcen'!$A$2:$AI$54,15,0)</f>
        <v/>
      </c>
      <c r="P72" s="50">
        <f>VLOOKUP(B72,'Feuerwaffen-Ressourcen'!$A$2:$AI$54,16,0)+VLOOKUP(C72,'Feuerwaffen-Ressourcen'!$A$2:$AI$54,16,0)+VLOOKUP(D72,'Feuerwaffen-Ressourcen'!$A$2:$AI$54,16,0)+VLOOKUP(E72,'Feuerwaffen-Ressourcen'!$A$2:$AI$54,16,0)</f>
        <v/>
      </c>
      <c r="Q72" s="52">
        <f>VLOOKUP(B72,'Feuerwaffen-Ressourcen'!$A$2:$AI$54,17,0)+VLOOKUP(C72,'Feuerwaffen-Ressourcen'!$A$2:$AI$54,17,0)+VLOOKUP(D72,'Feuerwaffen-Ressourcen'!$A$2:$AI$54,17,0)+VLOOKUP(E72,'Feuerwaffen-Ressourcen'!$A$2:$AI$54,17,0)</f>
        <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
      </c>
      <c r="X72" s="50">
        <f>VLOOKUP(B72,'Feuerwaffen-Ressourcen'!$A$2:$AI$54,24,0)+VLOOKUP(C72,'Feuerwaffen-Ressourcen'!$A$2:$AI$54,24,0)+VLOOKUP(D72,'Feuerwaffen-Ressourcen'!$A$2:$AI$54,24,0)+VLOOKUP(G72,'Feuerwaffen-Ressourcen'!$A$2:$AI$54,24,0)</f>
        <v/>
      </c>
      <c r="Y72" s="50">
        <f>VLOOKUP(D72,'Feuerwaffen-Ressourcen'!$A$2:$AI$54,25,0)+VLOOKUP(E72,'Feuerwaffen-Ressourcen'!$A$2:$AI$54,25,0)+VLOOKUP(F72,'Feuerwaffen-Ressourcen'!$A$2:$AI$54,25,0)</f>
        <v/>
      </c>
      <c r="Z72" s="50">
        <f>VLOOKUP(E72,'Feuerwaffen-Ressourcen'!$A$2:$AI$54,26,0)</f>
        <v/>
      </c>
      <c r="AA72" s="50">
        <f>VLOOKUP(B72,'Feuerwaffen-Ressourcen'!$A$2:$AI$54,27,0)+VLOOKUP(D72,'Feuerwaffen-Ressourcen'!$A$2:$AI$54,27,0)+VLOOKUP(F72,'Feuerwaffen-Ressourcen'!$A$2:$AI$54,27,0)+VLOOKUP(I72,'Feuerwaffen-Ressourcen'!$A$2:$AI$54,27,0)</f>
        <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
      </c>
      <c r="AC72" s="53">
        <f>VLOOKUP(I72,'Feuerwaffen-Ressourcen'!$A$2:$AI$54,31,0)*AD72+AE72</f>
        <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
      </c>
      <c r="AF72" s="55">
        <f>VLOOKUP(AB72,'Feuerwaffen-Ressourcen'!$AO$3:$AP$9,2,1)</f>
        <v/>
      </c>
      <c r="AG72" s="55" t="n">
        <v>0</v>
      </c>
      <c r="AH72" s="28" t="inlineStr">
        <is>
          <t>Stangenwaffen</t>
        </is>
      </c>
      <c r="AI72" s="28" t="inlineStr">
        <is>
          <t>Improvisierte Stangenwaffen</t>
        </is>
      </c>
      <c r="AJ72" s="56" t="n">
        <v>3</v>
      </c>
      <c r="AK72" s="56" t="inlineStr">
        <is>
          <t>W8</t>
        </is>
      </c>
      <c r="AL72" s="56" t="inlineStr">
        <is>
          <t>W4</t>
        </is>
      </c>
      <c r="AM72" s="56" t="n">
        <v>3</v>
      </c>
      <c r="AN72" s="56" t="n">
        <v>5</v>
      </c>
      <c r="AO72" s="56" t="n">
        <v>4</v>
      </c>
      <c r="AP72" s="56" t="n">
        <v>4</v>
      </c>
      <c r="AQ72" s="56" t="n">
        <v>11</v>
      </c>
      <c r="AR72" s="56" t="n">
        <v>11</v>
      </c>
      <c r="AS72" s="56" t="n">
        <v>5</v>
      </c>
      <c r="AT72" s="56" t="n">
        <v>6</v>
      </c>
    </row>
    <row r="73">
      <c r="A73" s="49" t="inlineStr">
        <is>
          <t>Grimmbar</t>
        </is>
      </c>
      <c r="B73" s="49" t="inlineStr">
        <is>
          <t>Zwergisch</t>
        </is>
      </c>
      <c r="C73" s="49" t="inlineStr">
        <is>
          <t>Gewehr</t>
        </is>
      </c>
      <c r="D73" s="49" t="inlineStr">
        <is>
          <t>Karabiner VL</t>
        </is>
      </c>
      <c r="E73" s="49" t="inlineStr">
        <is>
          <t>Vorderlader</t>
        </is>
      </c>
      <c r="F73" s="49" t="inlineStr">
        <is>
          <t>Perkussionsschloss</t>
        </is>
      </c>
      <c r="G73" s="49" t="inlineStr">
        <is>
          <t>Gezogen</t>
        </is>
      </c>
      <c r="H73" s="49" t="inlineStr">
        <is>
          <t>Blei</t>
        </is>
      </c>
      <c r="I73" s="49" t="inlineStr">
        <is>
          <t>Massenfabrikation</t>
        </is>
      </c>
      <c r="J73" s="49" t="inlineStr">
        <is>
          <t>Von der Stange</t>
        </is>
      </c>
      <c r="K73" s="51">
        <f>VLOOKUP(B73,'Feuerwaffen-Ressourcen'!$A$2:$AI$54,11,0)+VLOOKUP(C73,'Feuerwaffen-Ressourcen'!$A$2:$AI$54,11,0)+VLOOKUP(D73,'Feuerwaffen-Ressourcen'!$A$2:$AI$54,11,0)+VLOOKUP(E73,'Feuerwaffen-Ressourcen'!$A$2:$AI$54,11,0)+VLOOKUP(G73,'Feuerwaffen-Ressourcen'!$A$2:$AI$54,11,0)</f>
        <v/>
      </c>
      <c r="L73" s="50">
        <f>VLOOKUP(B73,'Feuerwaffen-Ressourcen'!$A$2:$AI$54,12,0)+VLOOKUP(C73,'Feuerwaffen-Ressourcen'!$A$2:$AI$54,12,0)+VLOOKUP(D73,'Feuerwaffen-Ressourcen'!$A$2:$AI$54,12,0)+VLOOKUP(J73,'Feuerwaffen-Ressourcen'!$A$2:$AI$54,12,0)</f>
        <v/>
      </c>
      <c r="M73" s="50">
        <f>VLOOKUP(VLOOKUP(B73,'Feuerwaffen-Ressourcen'!$A$2:$AI$54,13,0)+VLOOKUP(C73,'Feuerwaffen-Ressourcen'!$A$2:$AI$54,13,0)+VLOOKUP(D73,'Feuerwaffen-Ressourcen'!$A$2:$AI$54,13,0),'Feuerwaffen-Ressourcen'!$AJ$3:$AK$12,2,0)</f>
        <v/>
      </c>
      <c r="N73" s="50">
        <f>VLOOKUP(VLOOKUP(B73,'Feuerwaffen-Ressourcen'!$A$2:$AI$54,14,0)+VLOOKUP(C73,'Feuerwaffen-Ressourcen'!$A$2:$AI$54,14,0)+VLOOKUP(D73,'Feuerwaffen-Ressourcen'!$A$2:$AI$54,14,0),'Feuerwaffen-Ressourcen'!$AJ$3:$AK$12,2,0)</f>
        <v/>
      </c>
      <c r="O73" s="50">
        <f>VLOOKUP(B73,'Feuerwaffen-Ressourcen'!$A$2:$AI$54,15,0)+VLOOKUP(C73,'Feuerwaffen-Ressourcen'!$A$2:$AI$54,15,0)+VLOOKUP(D73,'Feuerwaffen-Ressourcen'!$A$2:$AI$54,15,0)</f>
        <v/>
      </c>
      <c r="P73" s="50">
        <f>VLOOKUP(B73,'Feuerwaffen-Ressourcen'!$A$2:$AI$54,16,0)+VLOOKUP(C73,'Feuerwaffen-Ressourcen'!$A$2:$AI$54,16,0)+VLOOKUP(D73,'Feuerwaffen-Ressourcen'!$A$2:$AI$54,16,0)+VLOOKUP(E73,'Feuerwaffen-Ressourcen'!$A$2:$AI$54,16,0)</f>
        <v/>
      </c>
      <c r="Q73" s="52">
        <f>VLOOKUP(B73,'Feuerwaffen-Ressourcen'!$A$2:$AI$54,17,0)+VLOOKUP(C73,'Feuerwaffen-Ressourcen'!$A$2:$AI$54,17,0)+VLOOKUP(D73,'Feuerwaffen-Ressourcen'!$A$2:$AI$54,17,0)+VLOOKUP(E73,'Feuerwaffen-Ressourcen'!$A$2:$AI$54,17,0)</f>
        <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
      </c>
      <c r="X73" s="50">
        <f>VLOOKUP(B73,'Feuerwaffen-Ressourcen'!$A$2:$AI$54,24,0)+VLOOKUP(C73,'Feuerwaffen-Ressourcen'!$A$2:$AI$54,24,0)+VLOOKUP(D73,'Feuerwaffen-Ressourcen'!$A$2:$AI$54,24,0)+VLOOKUP(G73,'Feuerwaffen-Ressourcen'!$A$2:$AI$54,24,0)</f>
        <v/>
      </c>
      <c r="Y73" s="50">
        <f>VLOOKUP(D73,'Feuerwaffen-Ressourcen'!$A$2:$AI$54,25,0)+VLOOKUP(E73,'Feuerwaffen-Ressourcen'!$A$2:$AI$54,25,0)+VLOOKUP(F73,'Feuerwaffen-Ressourcen'!$A$2:$AI$54,25,0)</f>
        <v/>
      </c>
      <c r="Z73" s="50">
        <f>VLOOKUP(E73,'Feuerwaffen-Ressourcen'!$A$2:$AI$54,26,0)</f>
        <v/>
      </c>
      <c r="AA73" s="50">
        <f>VLOOKUP(B73,'Feuerwaffen-Ressourcen'!$A$2:$AI$54,27,0)+VLOOKUP(D73,'Feuerwaffen-Ressourcen'!$A$2:$AI$54,27,0)+VLOOKUP(F73,'Feuerwaffen-Ressourcen'!$A$2:$AI$54,27,0)+VLOOKUP(I73,'Feuerwaffen-Ressourcen'!$A$2:$AI$54,27,0)</f>
        <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
      </c>
      <c r="AC73" s="53">
        <f>VLOOKUP(I73,'Feuerwaffen-Ressourcen'!$A$2:$AI$54,31,0)*AD73+AE73</f>
        <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
      </c>
      <c r="AF73" s="55">
        <f>VLOOKUP(AB73,'Feuerwaffen-Ressourcen'!$AO$3:$AP$9,2,1)</f>
        <v/>
      </c>
      <c r="AG73" s="55" t="n">
        <v>0</v>
      </c>
      <c r="AH73" s="28" t="inlineStr">
        <is>
          <t>Stangenwaffen</t>
        </is>
      </c>
      <c r="AI73" s="28" t="inlineStr">
        <is>
          <t>Improvisierte Stangenwaffen</t>
        </is>
      </c>
      <c r="AJ73" s="56" t="n">
        <v>3</v>
      </c>
      <c r="AK73" s="56" t="inlineStr">
        <is>
          <t>W8</t>
        </is>
      </c>
      <c r="AL73" s="56" t="inlineStr">
        <is>
          <t>W4</t>
        </is>
      </c>
      <c r="AM73" s="56" t="n">
        <v>3</v>
      </c>
      <c r="AN73" s="56" t="n">
        <v>5</v>
      </c>
      <c r="AO73" s="56" t="n">
        <v>4</v>
      </c>
      <c r="AP73" s="56" t="n">
        <v>4</v>
      </c>
      <c r="AQ73" s="56" t="n">
        <v>10</v>
      </c>
      <c r="AR73" s="56" t="n">
        <v>10</v>
      </c>
      <c r="AS73" s="56" t="n">
        <v>5</v>
      </c>
      <c r="AT73" s="56" t="n">
        <v>6</v>
      </c>
    </row>
    <row r="74">
      <c r="A74" s="49" t="inlineStr">
        <is>
          <t>Levitas</t>
        </is>
      </c>
      <c r="B74" s="49" t="inlineStr">
        <is>
          <t>Zwergisch</t>
        </is>
      </c>
      <c r="C74" s="49" t="inlineStr">
        <is>
          <t>Gewehr</t>
        </is>
      </c>
      <c r="D74" s="49" t="inlineStr">
        <is>
          <t>Jagd</t>
        </is>
      </c>
      <c r="E74" s="49" t="inlineStr">
        <is>
          <t>Vorderlader</t>
        </is>
      </c>
      <c r="F74" s="49" t="inlineStr">
        <is>
          <t>Radschloss</t>
        </is>
      </c>
      <c r="G74" s="49" t="inlineStr">
        <is>
          <t>Gezogen</t>
        </is>
      </c>
      <c r="H74" s="49" t="inlineStr">
        <is>
          <t>Blei</t>
        </is>
      </c>
      <c r="I74" s="49" t="inlineStr">
        <is>
          <t>Massenfabrikation</t>
        </is>
      </c>
      <c r="J74" s="49" t="inlineStr">
        <is>
          <t>Von der Stange</t>
        </is>
      </c>
      <c r="K74" s="51">
        <f>VLOOKUP(B74,'Feuerwaffen-Ressourcen'!$A$2:$AI$54,11,0)+VLOOKUP(C74,'Feuerwaffen-Ressourcen'!$A$2:$AI$54,11,0)+VLOOKUP(D74,'Feuerwaffen-Ressourcen'!$A$2:$AI$54,11,0)+VLOOKUP(E74,'Feuerwaffen-Ressourcen'!$A$2:$AI$54,11,0)+VLOOKUP(G74,'Feuerwaffen-Ressourcen'!$A$2:$AI$54,11,0)</f>
        <v/>
      </c>
      <c r="L74" s="50">
        <f>VLOOKUP(B74,'Feuerwaffen-Ressourcen'!$A$2:$AI$54,12,0)+VLOOKUP(C74,'Feuerwaffen-Ressourcen'!$A$2:$AI$54,12,0)+VLOOKUP(D74,'Feuerwaffen-Ressourcen'!$A$2:$AI$54,12,0)+VLOOKUP(J74,'Feuerwaffen-Ressourcen'!$A$2:$AI$54,12,0)</f>
        <v/>
      </c>
      <c r="M74" s="50">
        <f>VLOOKUP(VLOOKUP(B74,'Feuerwaffen-Ressourcen'!$A$2:$AI$54,13,0)+VLOOKUP(C74,'Feuerwaffen-Ressourcen'!$A$2:$AI$54,13,0)+VLOOKUP(D74,'Feuerwaffen-Ressourcen'!$A$2:$AI$54,13,0),'Feuerwaffen-Ressourcen'!$AJ$3:$AK$12,2,0)</f>
        <v/>
      </c>
      <c r="N74" s="50">
        <f>VLOOKUP(VLOOKUP(B74,'Feuerwaffen-Ressourcen'!$A$2:$AI$54,14,0)+VLOOKUP(C74,'Feuerwaffen-Ressourcen'!$A$2:$AI$54,14,0)+VLOOKUP(D74,'Feuerwaffen-Ressourcen'!$A$2:$AI$54,14,0),'Feuerwaffen-Ressourcen'!$AJ$3:$AK$12,2,0)</f>
        <v/>
      </c>
      <c r="O74" s="50">
        <f>VLOOKUP(B74,'Feuerwaffen-Ressourcen'!$A$2:$AI$54,15,0)+VLOOKUP(C74,'Feuerwaffen-Ressourcen'!$A$2:$AI$54,15,0)+VLOOKUP(D74,'Feuerwaffen-Ressourcen'!$A$2:$AI$54,15,0)</f>
        <v/>
      </c>
      <c r="P74" s="50">
        <f>VLOOKUP(B74,'Feuerwaffen-Ressourcen'!$A$2:$AI$54,16,0)+VLOOKUP(C74,'Feuerwaffen-Ressourcen'!$A$2:$AI$54,16,0)+VLOOKUP(D74,'Feuerwaffen-Ressourcen'!$A$2:$AI$54,16,0)+VLOOKUP(E74,'Feuerwaffen-Ressourcen'!$A$2:$AI$54,16,0)</f>
        <v/>
      </c>
      <c r="Q74" s="52">
        <f>VLOOKUP(B74,'Feuerwaffen-Ressourcen'!$A$2:$AI$54,17,0)+VLOOKUP(C74,'Feuerwaffen-Ressourcen'!$A$2:$AI$54,17,0)+VLOOKUP(D74,'Feuerwaffen-Ressourcen'!$A$2:$AI$54,17,0)+VLOOKUP(E74,'Feuerwaffen-Ressourcen'!$A$2:$AI$54,17,0)</f>
        <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
      </c>
      <c r="X74" s="50">
        <f>VLOOKUP(B74,'Feuerwaffen-Ressourcen'!$A$2:$AI$54,24,0)+VLOOKUP(C74,'Feuerwaffen-Ressourcen'!$A$2:$AI$54,24,0)+VLOOKUP(D74,'Feuerwaffen-Ressourcen'!$A$2:$AI$54,24,0)+VLOOKUP(G74,'Feuerwaffen-Ressourcen'!$A$2:$AI$54,24,0)</f>
        <v/>
      </c>
      <c r="Y74" s="50">
        <f>VLOOKUP(D74,'Feuerwaffen-Ressourcen'!$A$2:$AI$54,25,0)+VLOOKUP(E74,'Feuerwaffen-Ressourcen'!$A$2:$AI$54,25,0)+VLOOKUP(F74,'Feuerwaffen-Ressourcen'!$A$2:$AI$54,25,0)</f>
        <v/>
      </c>
      <c r="Z74" s="50">
        <f>VLOOKUP(E74,'Feuerwaffen-Ressourcen'!$A$2:$AI$54,26,0)</f>
        <v/>
      </c>
      <c r="AA74" s="50">
        <f>VLOOKUP(B74,'Feuerwaffen-Ressourcen'!$A$2:$AI$54,27,0)+VLOOKUP(D74,'Feuerwaffen-Ressourcen'!$A$2:$AI$54,27,0)+VLOOKUP(F74,'Feuerwaffen-Ressourcen'!$A$2:$AI$54,27,0)+VLOOKUP(I74,'Feuerwaffen-Ressourcen'!$A$2:$AI$54,27,0)</f>
        <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
      </c>
      <c r="AC74" s="53">
        <f>VLOOKUP(I74,'Feuerwaffen-Ressourcen'!$A$2:$AI$54,31,0)*AD74+AE74</f>
        <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
      </c>
      <c r="AF74" s="55">
        <f>VLOOKUP(AB74,'Feuerwaffen-Ressourcen'!$AO$3:$AP$9,2,1)</f>
        <v/>
      </c>
      <c r="AG74" s="55" t="n">
        <v>0</v>
      </c>
      <c r="AH74" s="28" t="inlineStr">
        <is>
          <t>Stangenwaffen</t>
        </is>
      </c>
      <c r="AI74" s="28" t="inlineStr">
        <is>
          <t>Improvisierte Stangenwaffen</t>
        </is>
      </c>
      <c r="AJ74" s="56" t="n">
        <v>3</v>
      </c>
      <c r="AK74" s="56" t="inlineStr">
        <is>
          <t>W8</t>
        </is>
      </c>
      <c r="AL74" s="56" t="inlineStr">
        <is>
          <t>W4</t>
        </is>
      </c>
      <c r="AM74" s="56" t="n">
        <v>3</v>
      </c>
      <c r="AN74" s="56" t="n">
        <v>5</v>
      </c>
      <c r="AO74" s="56" t="n">
        <v>4</v>
      </c>
      <c r="AP74" s="56" t="n">
        <v>4</v>
      </c>
      <c r="AQ74" s="56" t="n">
        <v>11</v>
      </c>
      <c r="AR74" s="56" t="n">
        <v>11</v>
      </c>
      <c r="AS74" s="56" t="n">
        <v>5</v>
      </c>
      <c r="AT74" s="56" t="n">
        <v>6</v>
      </c>
    </row>
    <row r="75">
      <c r="A75" s="49" t="inlineStr">
        <is>
          <t>Lindwurm</t>
        </is>
      </c>
      <c r="B75" s="49" t="inlineStr">
        <is>
          <t>Zwergisch</t>
        </is>
      </c>
      <c r="C75" s="49" t="inlineStr">
        <is>
          <t>Gewehr</t>
        </is>
      </c>
      <c r="D75" s="49" t="inlineStr">
        <is>
          <t>Normal</t>
        </is>
      </c>
      <c r="E75" s="49" t="inlineStr">
        <is>
          <t>Vorderlader</t>
        </is>
      </c>
      <c r="F75" s="49" t="inlineStr">
        <is>
          <t>Perkussionsschloss</t>
        </is>
      </c>
      <c r="G75" s="49" t="inlineStr">
        <is>
          <t>Gezogen</t>
        </is>
      </c>
      <c r="H75" s="49" t="inlineStr">
        <is>
          <t>Blei</t>
        </is>
      </c>
      <c r="I75" s="49" t="inlineStr">
        <is>
          <t>Massenfabrikation</t>
        </is>
      </c>
      <c r="J75" s="49" t="inlineStr">
        <is>
          <t>Von der Stange</t>
        </is>
      </c>
      <c r="K75" s="51">
        <f>VLOOKUP(B75,'Feuerwaffen-Ressourcen'!$A$2:$AI$54,11,0)+VLOOKUP(C75,'Feuerwaffen-Ressourcen'!$A$2:$AI$54,11,0)+VLOOKUP(D75,'Feuerwaffen-Ressourcen'!$A$2:$AI$54,11,0)+VLOOKUP(E75,'Feuerwaffen-Ressourcen'!$A$2:$AI$54,11,0)+VLOOKUP(G75,'Feuerwaffen-Ressourcen'!$A$2:$AI$54,11,0)</f>
        <v/>
      </c>
      <c r="L75" s="50">
        <f>VLOOKUP(B75,'Feuerwaffen-Ressourcen'!$A$2:$AI$54,12,0)+VLOOKUP(C75,'Feuerwaffen-Ressourcen'!$A$2:$AI$54,12,0)+VLOOKUP(D75,'Feuerwaffen-Ressourcen'!$A$2:$AI$54,12,0)+VLOOKUP(J75,'Feuerwaffen-Ressourcen'!$A$2:$AI$54,12,0)</f>
        <v/>
      </c>
      <c r="M75" s="50">
        <f>VLOOKUP(VLOOKUP(B75,'Feuerwaffen-Ressourcen'!$A$2:$AI$54,13,0)+VLOOKUP(C75,'Feuerwaffen-Ressourcen'!$A$2:$AI$54,13,0)+VLOOKUP(D75,'Feuerwaffen-Ressourcen'!$A$2:$AI$54,13,0),'Feuerwaffen-Ressourcen'!$AJ$3:$AK$12,2,0)</f>
        <v/>
      </c>
      <c r="N75" s="50">
        <f>VLOOKUP(VLOOKUP(B75,'Feuerwaffen-Ressourcen'!$A$2:$AI$54,14,0)+VLOOKUP(C75,'Feuerwaffen-Ressourcen'!$A$2:$AI$54,14,0)+VLOOKUP(D75,'Feuerwaffen-Ressourcen'!$A$2:$AI$54,14,0),'Feuerwaffen-Ressourcen'!$AJ$3:$AK$12,2,0)</f>
        <v/>
      </c>
      <c r="O75" s="50">
        <f>VLOOKUP(B75,'Feuerwaffen-Ressourcen'!$A$2:$AI$54,15,0)+VLOOKUP(C75,'Feuerwaffen-Ressourcen'!$A$2:$AI$54,15,0)+VLOOKUP(D75,'Feuerwaffen-Ressourcen'!$A$2:$AI$54,15,0)</f>
        <v/>
      </c>
      <c r="P75" s="50">
        <f>VLOOKUP(B75,'Feuerwaffen-Ressourcen'!$A$2:$AI$54,16,0)+VLOOKUP(C75,'Feuerwaffen-Ressourcen'!$A$2:$AI$54,16,0)+VLOOKUP(D75,'Feuerwaffen-Ressourcen'!$A$2:$AI$54,16,0)+VLOOKUP(E75,'Feuerwaffen-Ressourcen'!$A$2:$AI$54,16,0)</f>
        <v/>
      </c>
      <c r="Q75" s="52">
        <f>VLOOKUP(B75,'Feuerwaffen-Ressourcen'!$A$2:$AI$54,17,0)+VLOOKUP(C75,'Feuerwaffen-Ressourcen'!$A$2:$AI$54,17,0)+VLOOKUP(D75,'Feuerwaffen-Ressourcen'!$A$2:$AI$54,17,0)+VLOOKUP(E75,'Feuerwaffen-Ressourcen'!$A$2:$AI$54,17,0)</f>
        <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
      </c>
      <c r="X75" s="50">
        <f>VLOOKUP(B75,'Feuerwaffen-Ressourcen'!$A$2:$AI$54,24,0)+VLOOKUP(C75,'Feuerwaffen-Ressourcen'!$A$2:$AI$54,24,0)+VLOOKUP(D75,'Feuerwaffen-Ressourcen'!$A$2:$AI$54,24,0)+VLOOKUP(G75,'Feuerwaffen-Ressourcen'!$A$2:$AI$54,24,0)</f>
        <v/>
      </c>
      <c r="Y75" s="50">
        <f>VLOOKUP(D75,'Feuerwaffen-Ressourcen'!$A$2:$AI$54,25,0)+VLOOKUP(E75,'Feuerwaffen-Ressourcen'!$A$2:$AI$54,25,0)+VLOOKUP(F75,'Feuerwaffen-Ressourcen'!$A$2:$AI$54,25,0)</f>
        <v/>
      </c>
      <c r="Z75" s="50">
        <f>VLOOKUP(E75,'Feuerwaffen-Ressourcen'!$A$2:$AI$54,26,0)</f>
        <v/>
      </c>
      <c r="AA75" s="50">
        <f>VLOOKUP(B75,'Feuerwaffen-Ressourcen'!$A$2:$AI$54,27,0)+VLOOKUP(D75,'Feuerwaffen-Ressourcen'!$A$2:$AI$54,27,0)+VLOOKUP(F75,'Feuerwaffen-Ressourcen'!$A$2:$AI$54,27,0)+VLOOKUP(I75,'Feuerwaffen-Ressourcen'!$A$2:$AI$54,27,0)</f>
        <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
      </c>
      <c r="AC75" s="53">
        <f>VLOOKUP(I75,'Feuerwaffen-Ressourcen'!$A$2:$AI$54,31,0)*AD75+AE75</f>
        <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
      </c>
      <c r="AF75" s="55">
        <f>VLOOKUP(AB75,'Feuerwaffen-Ressourcen'!$AO$3:$AP$9,2,1)</f>
        <v/>
      </c>
      <c r="AG75" s="55" t="n">
        <v>0</v>
      </c>
      <c r="AH75" s="28" t="inlineStr">
        <is>
          <t>Stangenwaffen</t>
        </is>
      </c>
      <c r="AI75" s="28" t="inlineStr">
        <is>
          <t>Improvisierte Stangenwaffen</t>
        </is>
      </c>
      <c r="AJ75" s="56" t="n">
        <v>3</v>
      </c>
      <c r="AK75" s="56" t="inlineStr">
        <is>
          <t>W8</t>
        </is>
      </c>
      <c r="AL75" s="56" t="inlineStr">
        <is>
          <t>W4</t>
        </is>
      </c>
      <c r="AM75" s="56" t="n">
        <v>3</v>
      </c>
      <c r="AN75" s="56" t="n">
        <v>5</v>
      </c>
      <c r="AO75" s="56" t="n">
        <v>4</v>
      </c>
      <c r="AP75" s="56" t="n">
        <v>4</v>
      </c>
      <c r="AQ75" s="56" t="n">
        <v>11</v>
      </c>
      <c r="AR75" s="56" t="n">
        <v>11</v>
      </c>
      <c r="AS75" s="56" t="n">
        <v>5</v>
      </c>
      <c r="AT75" s="56" t="n">
        <v>6</v>
      </c>
    </row>
    <row r="76">
      <c r="A76" s="49" t="inlineStr">
        <is>
          <t>Lohdrim</t>
        </is>
      </c>
      <c r="B76" s="49" t="inlineStr">
        <is>
          <t>Zwergisch</t>
        </is>
      </c>
      <c r="C76" s="49" t="inlineStr">
        <is>
          <t>Gewehr</t>
        </is>
      </c>
      <c r="D76" s="49" t="inlineStr">
        <is>
          <t>Hakenbüchse</t>
        </is>
      </c>
      <c r="E76" s="49" t="inlineStr">
        <is>
          <t>Vorderlader</t>
        </is>
      </c>
      <c r="F76" s="49" t="inlineStr">
        <is>
          <t>Steinschloss</t>
        </is>
      </c>
      <c r="G76" s="49" t="inlineStr">
        <is>
          <t>Glattlauf</t>
        </is>
      </c>
      <c r="H76" s="49" t="inlineStr">
        <is>
          <t>Blei</t>
        </is>
      </c>
      <c r="I76" s="49" t="inlineStr">
        <is>
          <t>Massenfabrikation</t>
        </is>
      </c>
      <c r="J76" s="49" t="inlineStr">
        <is>
          <t>Von der Stange</t>
        </is>
      </c>
      <c r="K76" s="51">
        <f>VLOOKUP(B76,'Feuerwaffen-Ressourcen'!$A$2:$AI$54,11,0)+VLOOKUP(C76,'Feuerwaffen-Ressourcen'!$A$2:$AI$54,11,0)+VLOOKUP(D76,'Feuerwaffen-Ressourcen'!$A$2:$AI$54,11,0)+VLOOKUP(E76,'Feuerwaffen-Ressourcen'!$A$2:$AI$54,11,0)+VLOOKUP(G76,'Feuerwaffen-Ressourcen'!$A$2:$AI$54,11,0)</f>
        <v/>
      </c>
      <c r="L76" s="50">
        <f>VLOOKUP(B76,'Feuerwaffen-Ressourcen'!$A$2:$AI$54,12,0)+VLOOKUP(C76,'Feuerwaffen-Ressourcen'!$A$2:$AI$54,12,0)+VLOOKUP(D76,'Feuerwaffen-Ressourcen'!$A$2:$AI$54,12,0)+VLOOKUP(J76,'Feuerwaffen-Ressourcen'!$A$2:$AI$54,12,0)</f>
        <v/>
      </c>
      <c r="M76" s="50">
        <f>VLOOKUP(VLOOKUP(B76,'Feuerwaffen-Ressourcen'!$A$2:$AI$54,13,0)+VLOOKUP(C76,'Feuerwaffen-Ressourcen'!$A$2:$AI$54,13,0)+VLOOKUP(D76,'Feuerwaffen-Ressourcen'!$A$2:$AI$54,13,0),'Feuerwaffen-Ressourcen'!$AJ$3:$AK$12,2,0)</f>
        <v/>
      </c>
      <c r="N76" s="50">
        <f>VLOOKUP(VLOOKUP(B76,'Feuerwaffen-Ressourcen'!$A$2:$AI$54,14,0)+VLOOKUP(C76,'Feuerwaffen-Ressourcen'!$A$2:$AI$54,14,0)+VLOOKUP(D76,'Feuerwaffen-Ressourcen'!$A$2:$AI$54,14,0),'Feuerwaffen-Ressourcen'!$AJ$3:$AK$12,2,0)</f>
        <v/>
      </c>
      <c r="O76" s="50">
        <f>VLOOKUP(B76,'Feuerwaffen-Ressourcen'!$A$2:$AI$54,15,0)+VLOOKUP(C76,'Feuerwaffen-Ressourcen'!$A$2:$AI$54,15,0)+VLOOKUP(D76,'Feuerwaffen-Ressourcen'!$A$2:$AI$54,15,0)</f>
        <v/>
      </c>
      <c r="P76" s="50">
        <f>VLOOKUP(B76,'Feuerwaffen-Ressourcen'!$A$2:$AI$54,16,0)+VLOOKUP(C76,'Feuerwaffen-Ressourcen'!$A$2:$AI$54,16,0)+VLOOKUP(D76,'Feuerwaffen-Ressourcen'!$A$2:$AI$54,16,0)+VLOOKUP(E76,'Feuerwaffen-Ressourcen'!$A$2:$AI$54,16,0)</f>
        <v/>
      </c>
      <c r="Q76" s="52">
        <f>VLOOKUP(B76,'Feuerwaffen-Ressourcen'!$A$2:$AI$54,17,0)+VLOOKUP(C76,'Feuerwaffen-Ressourcen'!$A$2:$AI$54,17,0)+VLOOKUP(D76,'Feuerwaffen-Ressourcen'!$A$2:$AI$54,17,0)+VLOOKUP(E76,'Feuerwaffen-Ressourcen'!$A$2:$AI$54,17,0)</f>
        <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
      </c>
      <c r="X76" s="50">
        <f>VLOOKUP(B76,'Feuerwaffen-Ressourcen'!$A$2:$AI$54,24,0)+VLOOKUP(C76,'Feuerwaffen-Ressourcen'!$A$2:$AI$54,24,0)+VLOOKUP(D76,'Feuerwaffen-Ressourcen'!$A$2:$AI$54,24,0)+VLOOKUP(G76,'Feuerwaffen-Ressourcen'!$A$2:$AI$54,24,0)</f>
        <v/>
      </c>
      <c r="Y76" s="50">
        <f>VLOOKUP(D76,'Feuerwaffen-Ressourcen'!$A$2:$AI$54,25,0)+VLOOKUP(E76,'Feuerwaffen-Ressourcen'!$A$2:$AI$54,25,0)+VLOOKUP(F76,'Feuerwaffen-Ressourcen'!$A$2:$AI$54,25,0)</f>
        <v/>
      </c>
      <c r="Z76" s="50">
        <f>VLOOKUP(E76,'Feuerwaffen-Ressourcen'!$A$2:$AI$54,26,0)</f>
        <v/>
      </c>
      <c r="AA76" s="50">
        <f>VLOOKUP(B76,'Feuerwaffen-Ressourcen'!$A$2:$AI$54,27,0)+VLOOKUP(D76,'Feuerwaffen-Ressourcen'!$A$2:$AI$54,27,0)+VLOOKUP(F76,'Feuerwaffen-Ressourcen'!$A$2:$AI$54,27,0)+VLOOKUP(I76,'Feuerwaffen-Ressourcen'!$A$2:$AI$54,27,0)</f>
        <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
      </c>
      <c r="AC76" s="53">
        <f>VLOOKUP(I76,'Feuerwaffen-Ressourcen'!$A$2:$AI$54,31,0)*AD76+AE76</f>
        <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
      </c>
      <c r="AF76" s="55">
        <f>VLOOKUP(AB76,'Feuerwaffen-Ressourcen'!$AO$3:$AP$9,2,1)</f>
        <v/>
      </c>
      <c r="AG76" s="55" t="n">
        <v>0</v>
      </c>
      <c r="AH76" s="28" t="inlineStr">
        <is>
          <t>Stangenwaffen</t>
        </is>
      </c>
      <c r="AI76" s="28" t="inlineStr">
        <is>
          <t>Improvisierte Stangenwaffen</t>
        </is>
      </c>
      <c r="AJ76" s="56" t="n">
        <v>3</v>
      </c>
      <c r="AK76" s="56" t="inlineStr">
        <is>
          <t>W8</t>
        </is>
      </c>
      <c r="AL76" s="56" t="inlineStr">
        <is>
          <t>W4</t>
        </is>
      </c>
      <c r="AM76" s="56" t="n">
        <v>3</v>
      </c>
      <c r="AN76" s="56" t="n">
        <v>5</v>
      </c>
      <c r="AO76" s="56" t="n">
        <v>4</v>
      </c>
      <c r="AP76" s="56" t="n">
        <v>4</v>
      </c>
      <c r="AQ76" s="56" t="n">
        <v>15</v>
      </c>
      <c r="AR76" s="56" t="n">
        <v>15</v>
      </c>
      <c r="AS76" s="56" t="n">
        <v>5</v>
      </c>
      <c r="AT76" s="56" t="n">
        <v>6</v>
      </c>
    </row>
    <row r="77">
      <c r="A77" s="49" t="inlineStr">
        <is>
          <t>Magmass</t>
        </is>
      </c>
      <c r="B77" s="49" t="inlineStr">
        <is>
          <t>Zwergisch</t>
        </is>
      </c>
      <c r="C77" s="49" t="inlineStr">
        <is>
          <t>Gewehr</t>
        </is>
      </c>
      <c r="D77" s="49" t="inlineStr">
        <is>
          <t>Karabiner</t>
        </is>
      </c>
      <c r="E77" s="49" t="inlineStr">
        <is>
          <t>Hinterlader</t>
        </is>
      </c>
      <c r="F77" s="49" t="inlineStr">
        <is>
          <t>Nadelzündung</t>
        </is>
      </c>
      <c r="G77" s="49" t="inlineStr">
        <is>
          <t>Gezogen</t>
        </is>
      </c>
      <c r="H77" s="49" t="inlineStr">
        <is>
          <t>Papier Patrone</t>
        </is>
      </c>
      <c r="I77" s="49" t="inlineStr">
        <is>
          <t>Massenfabrikation</t>
        </is>
      </c>
      <c r="J77" s="49" t="inlineStr">
        <is>
          <t>Von der Stange</t>
        </is>
      </c>
      <c r="K77" s="51">
        <f>VLOOKUP(B77,'Feuerwaffen-Ressourcen'!$A$2:$AI$54,11,0)+VLOOKUP(C77,'Feuerwaffen-Ressourcen'!$A$2:$AI$54,11,0)+VLOOKUP(D77,'Feuerwaffen-Ressourcen'!$A$2:$AI$54,11,0)+VLOOKUP(E77,'Feuerwaffen-Ressourcen'!$A$2:$AI$54,11,0)+VLOOKUP(G77,'Feuerwaffen-Ressourcen'!$A$2:$AI$54,11,0)</f>
        <v/>
      </c>
      <c r="L77" s="50">
        <f>VLOOKUP(B77,'Feuerwaffen-Ressourcen'!$A$2:$AI$54,12,0)+VLOOKUP(C77,'Feuerwaffen-Ressourcen'!$A$2:$AI$54,12,0)+VLOOKUP(D77,'Feuerwaffen-Ressourcen'!$A$2:$AI$54,12,0)+VLOOKUP(J77,'Feuerwaffen-Ressourcen'!$A$2:$AI$54,12,0)</f>
        <v/>
      </c>
      <c r="M77" s="50">
        <f>VLOOKUP(VLOOKUP(B77,'Feuerwaffen-Ressourcen'!$A$2:$AI$54,13,0)+VLOOKUP(C77,'Feuerwaffen-Ressourcen'!$A$2:$AI$54,13,0)+VLOOKUP(D77,'Feuerwaffen-Ressourcen'!$A$2:$AI$54,13,0),'Feuerwaffen-Ressourcen'!$AJ$3:$AK$12,2,0)</f>
        <v/>
      </c>
      <c r="N77" s="50">
        <f>VLOOKUP(VLOOKUP(B77,'Feuerwaffen-Ressourcen'!$A$2:$AI$54,14,0)+VLOOKUP(C77,'Feuerwaffen-Ressourcen'!$A$2:$AI$54,14,0)+VLOOKUP(D77,'Feuerwaffen-Ressourcen'!$A$2:$AI$54,14,0),'Feuerwaffen-Ressourcen'!$AJ$3:$AK$12,2,0)</f>
        <v/>
      </c>
      <c r="O77" s="50">
        <f>VLOOKUP(B77,'Feuerwaffen-Ressourcen'!$A$2:$AI$54,15,0)+VLOOKUP(C77,'Feuerwaffen-Ressourcen'!$A$2:$AI$54,15,0)+VLOOKUP(D77,'Feuerwaffen-Ressourcen'!$A$2:$AI$54,15,0)</f>
        <v/>
      </c>
      <c r="P77" s="50">
        <f>VLOOKUP(B77,'Feuerwaffen-Ressourcen'!$A$2:$AI$54,16,0)+VLOOKUP(C77,'Feuerwaffen-Ressourcen'!$A$2:$AI$54,16,0)+VLOOKUP(D77,'Feuerwaffen-Ressourcen'!$A$2:$AI$54,16,0)+VLOOKUP(E77,'Feuerwaffen-Ressourcen'!$A$2:$AI$54,16,0)</f>
        <v/>
      </c>
      <c r="Q77" s="52">
        <f>VLOOKUP(B77,'Feuerwaffen-Ressourcen'!$A$2:$AI$54,17,0)+VLOOKUP(C77,'Feuerwaffen-Ressourcen'!$A$2:$AI$54,17,0)+VLOOKUP(D77,'Feuerwaffen-Ressourcen'!$A$2:$AI$54,17,0)+VLOOKUP(E77,'Feuerwaffen-Ressourcen'!$A$2:$AI$54,17,0)</f>
        <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
      </c>
      <c r="X77" s="50">
        <f>VLOOKUP(B77,'Feuerwaffen-Ressourcen'!$A$2:$AI$54,24,0)+VLOOKUP(C77,'Feuerwaffen-Ressourcen'!$A$2:$AI$54,24,0)+VLOOKUP(D77,'Feuerwaffen-Ressourcen'!$A$2:$AI$54,24,0)+VLOOKUP(G77,'Feuerwaffen-Ressourcen'!$A$2:$AI$54,24,0)</f>
        <v/>
      </c>
      <c r="Y77" s="50">
        <f>VLOOKUP(D77,'Feuerwaffen-Ressourcen'!$A$2:$AI$54,25,0)+VLOOKUP(E77,'Feuerwaffen-Ressourcen'!$A$2:$AI$54,25,0)+VLOOKUP(F77,'Feuerwaffen-Ressourcen'!$A$2:$AI$54,25,0)</f>
        <v/>
      </c>
      <c r="Z77" s="50">
        <f>VLOOKUP(E77,'Feuerwaffen-Ressourcen'!$A$2:$AI$54,26,0)</f>
        <v/>
      </c>
      <c r="AA77" s="50">
        <f>VLOOKUP(B77,'Feuerwaffen-Ressourcen'!$A$2:$AI$54,27,0)+VLOOKUP(D77,'Feuerwaffen-Ressourcen'!$A$2:$AI$54,27,0)+VLOOKUP(F77,'Feuerwaffen-Ressourcen'!$A$2:$AI$54,27,0)+VLOOKUP(I77,'Feuerwaffen-Ressourcen'!$A$2:$AI$54,27,0)</f>
        <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
      </c>
      <c r="AC77" s="53">
        <f>VLOOKUP(I77,'Feuerwaffen-Ressourcen'!$A$2:$AI$54,31,0)*AD77+AE77</f>
        <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
      </c>
      <c r="AF77" s="55">
        <f>VLOOKUP(AB77,'Feuerwaffen-Ressourcen'!$AO$3:$AP$9,2,1)</f>
        <v/>
      </c>
      <c r="AG77" s="55" t="n">
        <v>0</v>
      </c>
      <c r="AH77" s="28" t="inlineStr">
        <is>
          <t>Stangenwaffen</t>
        </is>
      </c>
      <c r="AI77" s="28" t="inlineStr">
        <is>
          <t>Improvisierte Stangenwaffen</t>
        </is>
      </c>
      <c r="AJ77" s="56" t="n">
        <v>3</v>
      </c>
      <c r="AK77" s="56" t="inlineStr">
        <is>
          <t>W8</t>
        </is>
      </c>
      <c r="AL77" s="56" t="inlineStr">
        <is>
          <t>W4</t>
        </is>
      </c>
      <c r="AM77" s="56" t="n">
        <v>3</v>
      </c>
      <c r="AN77" s="56" t="n">
        <v>5</v>
      </c>
      <c r="AO77" s="56" t="n">
        <v>4</v>
      </c>
      <c r="AP77" s="56" t="n">
        <v>4</v>
      </c>
      <c r="AQ77" s="56" t="n">
        <v>10</v>
      </c>
      <c r="AR77" s="56" t="n">
        <v>10</v>
      </c>
      <c r="AS77" s="56" t="n">
        <v>5</v>
      </c>
      <c r="AT77" s="56" t="n">
        <v>6</v>
      </c>
    </row>
    <row r="78">
      <c r="A78" s="49" t="inlineStr">
        <is>
          <t>Mjölnir</t>
        </is>
      </c>
      <c r="B78" s="49" t="inlineStr">
        <is>
          <t>Zwergisch</t>
        </is>
      </c>
      <c r="C78" s="49" t="inlineStr">
        <is>
          <t>Gewehr</t>
        </is>
      </c>
      <c r="D78" s="49" t="inlineStr">
        <is>
          <t>Doppelläufig</t>
        </is>
      </c>
      <c r="E78" s="49" t="inlineStr">
        <is>
          <t>Vorderlader</t>
        </is>
      </c>
      <c r="F78" s="49" t="inlineStr">
        <is>
          <t>Steinschloss</t>
        </is>
      </c>
      <c r="G78" s="49" t="inlineStr">
        <is>
          <t>Glattlauf</t>
        </is>
      </c>
      <c r="H78" s="49" t="inlineStr">
        <is>
          <t>Blei</t>
        </is>
      </c>
      <c r="I78" s="49" t="inlineStr">
        <is>
          <t>Massenfabrikation</t>
        </is>
      </c>
      <c r="J78" s="49" t="inlineStr">
        <is>
          <t>Von der Stange</t>
        </is>
      </c>
      <c r="K78" s="51">
        <f>VLOOKUP(B78,'Feuerwaffen-Ressourcen'!$A$2:$AI$54,11,0)+VLOOKUP(C78,'Feuerwaffen-Ressourcen'!$A$2:$AI$54,11,0)+VLOOKUP(D78,'Feuerwaffen-Ressourcen'!$A$2:$AI$54,11,0)+VLOOKUP(E78,'Feuerwaffen-Ressourcen'!$A$2:$AI$54,11,0)+VLOOKUP(G78,'Feuerwaffen-Ressourcen'!$A$2:$AI$54,11,0)</f>
        <v/>
      </c>
      <c r="L78" s="50">
        <f>VLOOKUP(B78,'Feuerwaffen-Ressourcen'!$A$2:$AI$54,12,0)+VLOOKUP(C78,'Feuerwaffen-Ressourcen'!$A$2:$AI$54,12,0)+VLOOKUP(D78,'Feuerwaffen-Ressourcen'!$A$2:$AI$54,12,0)+VLOOKUP(J78,'Feuerwaffen-Ressourcen'!$A$2:$AI$54,12,0)</f>
        <v/>
      </c>
      <c r="M78" s="50">
        <f>VLOOKUP(VLOOKUP(B78,'Feuerwaffen-Ressourcen'!$A$2:$AI$54,13,0)+VLOOKUP(C78,'Feuerwaffen-Ressourcen'!$A$2:$AI$54,13,0)+VLOOKUP(D78,'Feuerwaffen-Ressourcen'!$A$2:$AI$54,13,0),'Feuerwaffen-Ressourcen'!$AJ$3:$AK$12,2,0)</f>
        <v/>
      </c>
      <c r="N78" s="50">
        <f>VLOOKUP(VLOOKUP(B78,'Feuerwaffen-Ressourcen'!$A$2:$AI$54,14,0)+VLOOKUP(C78,'Feuerwaffen-Ressourcen'!$A$2:$AI$54,14,0)+VLOOKUP(D78,'Feuerwaffen-Ressourcen'!$A$2:$AI$54,14,0),'Feuerwaffen-Ressourcen'!$AJ$3:$AK$12,2,0)</f>
        <v/>
      </c>
      <c r="O78" s="50">
        <f>VLOOKUP(B78,'Feuerwaffen-Ressourcen'!$A$2:$AI$54,15,0)+VLOOKUP(C78,'Feuerwaffen-Ressourcen'!$A$2:$AI$54,15,0)+VLOOKUP(D78,'Feuerwaffen-Ressourcen'!$A$2:$AI$54,15,0)</f>
        <v/>
      </c>
      <c r="P78" s="50">
        <f>VLOOKUP(B78,'Feuerwaffen-Ressourcen'!$A$2:$AI$54,16,0)+VLOOKUP(C78,'Feuerwaffen-Ressourcen'!$A$2:$AI$54,16,0)+VLOOKUP(D78,'Feuerwaffen-Ressourcen'!$A$2:$AI$54,16,0)+VLOOKUP(E78,'Feuerwaffen-Ressourcen'!$A$2:$AI$54,16,0)</f>
        <v/>
      </c>
      <c r="Q78" s="52">
        <f>VLOOKUP(B78,'Feuerwaffen-Ressourcen'!$A$2:$AI$54,17,0)+VLOOKUP(C78,'Feuerwaffen-Ressourcen'!$A$2:$AI$54,17,0)+VLOOKUP(D78,'Feuerwaffen-Ressourcen'!$A$2:$AI$54,17,0)+VLOOKUP(E78,'Feuerwaffen-Ressourcen'!$A$2:$AI$54,17,0)</f>
        <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
      </c>
      <c r="X78" s="50">
        <f>VLOOKUP(B78,'Feuerwaffen-Ressourcen'!$A$2:$AI$54,24,0)+VLOOKUP(C78,'Feuerwaffen-Ressourcen'!$A$2:$AI$54,24,0)+VLOOKUP(D78,'Feuerwaffen-Ressourcen'!$A$2:$AI$54,24,0)+VLOOKUP(G78,'Feuerwaffen-Ressourcen'!$A$2:$AI$54,24,0)</f>
        <v/>
      </c>
      <c r="Y78" s="50">
        <f>VLOOKUP(D78,'Feuerwaffen-Ressourcen'!$A$2:$AI$54,25,0)+VLOOKUP(E78,'Feuerwaffen-Ressourcen'!$A$2:$AI$54,25,0)+VLOOKUP(F78,'Feuerwaffen-Ressourcen'!$A$2:$AI$54,25,0)</f>
        <v/>
      </c>
      <c r="Z78" s="50">
        <f>VLOOKUP(E78,'Feuerwaffen-Ressourcen'!$A$2:$AI$54,26,0)</f>
        <v/>
      </c>
      <c r="AA78" s="50">
        <f>VLOOKUP(B78,'Feuerwaffen-Ressourcen'!$A$2:$AI$54,27,0)+VLOOKUP(D78,'Feuerwaffen-Ressourcen'!$A$2:$AI$54,27,0)+VLOOKUP(F78,'Feuerwaffen-Ressourcen'!$A$2:$AI$54,27,0)+VLOOKUP(I78,'Feuerwaffen-Ressourcen'!$A$2:$AI$54,27,0)</f>
        <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
      </c>
      <c r="AC78" s="53">
        <f>VLOOKUP(I78,'Feuerwaffen-Ressourcen'!$A$2:$AI$54,31,0)*AD78+AE78</f>
        <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
      </c>
      <c r="AF78" s="55">
        <f>VLOOKUP(AB78,'Feuerwaffen-Ressourcen'!$AO$3:$AP$9,2,1)</f>
        <v/>
      </c>
      <c r="AG78" s="55" t="n">
        <v>0</v>
      </c>
      <c r="AH78" s="28" t="inlineStr">
        <is>
          <t>Stangenwaffen</t>
        </is>
      </c>
      <c r="AI78" s="28" t="inlineStr">
        <is>
          <t>Improvisierte Stangenwaffen</t>
        </is>
      </c>
      <c r="AJ78" s="56" t="n">
        <v>3</v>
      </c>
      <c r="AK78" s="56" t="inlineStr">
        <is>
          <t>W8</t>
        </is>
      </c>
      <c r="AL78" s="56" t="inlineStr">
        <is>
          <t>W4</t>
        </is>
      </c>
      <c r="AM78" s="56" t="n">
        <v>3</v>
      </c>
      <c r="AN78" s="56" t="n">
        <v>5</v>
      </c>
      <c r="AO78" s="56" t="n">
        <v>4</v>
      </c>
      <c r="AP78" s="56" t="n">
        <v>4</v>
      </c>
      <c r="AQ78" s="56" t="n">
        <v>12</v>
      </c>
      <c r="AR78" s="56" t="n">
        <v>12</v>
      </c>
      <c r="AS78" s="56" t="n">
        <v>5</v>
      </c>
      <c r="AT78" s="56" t="n">
        <v>6</v>
      </c>
    </row>
    <row r="79">
      <c r="A79" s="49" t="inlineStr">
        <is>
          <t>Skorpion</t>
        </is>
      </c>
      <c r="B79" s="49" t="inlineStr">
        <is>
          <t>Zwergisch</t>
        </is>
      </c>
      <c r="C79" s="49" t="inlineStr">
        <is>
          <t>Gewehr</t>
        </is>
      </c>
      <c r="D79" s="49" t="inlineStr">
        <is>
          <t>Harpunengewehr</t>
        </is>
      </c>
      <c r="E79" s="49" t="inlineStr">
        <is>
          <t>Vorderlader</t>
        </is>
      </c>
      <c r="F79" s="49" t="inlineStr">
        <is>
          <t>Radschloss</t>
        </is>
      </c>
      <c r="G79" s="49" t="inlineStr">
        <is>
          <t>Glattlauf</t>
        </is>
      </c>
      <c r="H79" s="49" t="inlineStr">
        <is>
          <t>Harpune</t>
        </is>
      </c>
      <c r="I79" s="49" t="inlineStr">
        <is>
          <t>Massenfabrikation</t>
        </is>
      </c>
      <c r="J79" s="49" t="inlineStr">
        <is>
          <t>Von der Stange</t>
        </is>
      </c>
      <c r="K79" s="51">
        <f>VLOOKUP(B79,'Feuerwaffen-Ressourcen'!$A$2:$AI$54,11,0)+VLOOKUP(C79,'Feuerwaffen-Ressourcen'!$A$2:$AI$54,11,0)+VLOOKUP(D79,'Feuerwaffen-Ressourcen'!$A$2:$AI$54,11,0)+VLOOKUP(E79,'Feuerwaffen-Ressourcen'!$A$2:$AI$54,11,0)+VLOOKUP(G79,'Feuerwaffen-Ressourcen'!$A$2:$AI$54,11,0)</f>
        <v/>
      </c>
      <c r="L79" s="50">
        <f>VLOOKUP(B79,'Feuerwaffen-Ressourcen'!$A$2:$AI$54,12,0)+VLOOKUP(C79,'Feuerwaffen-Ressourcen'!$A$2:$AI$54,12,0)+VLOOKUP(D79,'Feuerwaffen-Ressourcen'!$A$2:$AI$54,12,0)+VLOOKUP(J79,'Feuerwaffen-Ressourcen'!$A$2:$AI$54,12,0)</f>
        <v/>
      </c>
      <c r="M79" s="50">
        <f>VLOOKUP(VLOOKUP(B79,'Feuerwaffen-Ressourcen'!$A$2:$AI$54,13,0)+VLOOKUP(C79,'Feuerwaffen-Ressourcen'!$A$2:$AI$54,13,0)+VLOOKUP(D79,'Feuerwaffen-Ressourcen'!$A$2:$AI$54,13,0),'Feuerwaffen-Ressourcen'!$AJ$3:$AK$12,2,0)</f>
        <v/>
      </c>
      <c r="N79" s="50">
        <f>VLOOKUP(VLOOKUP(B79,'Feuerwaffen-Ressourcen'!$A$2:$AI$54,14,0)+VLOOKUP(C79,'Feuerwaffen-Ressourcen'!$A$2:$AI$54,14,0)+VLOOKUP(D79,'Feuerwaffen-Ressourcen'!$A$2:$AI$54,14,0),'Feuerwaffen-Ressourcen'!$AJ$3:$AK$12,2,0)</f>
        <v/>
      </c>
      <c r="O79" s="50">
        <f>VLOOKUP(B79,'Feuerwaffen-Ressourcen'!$A$2:$AI$54,15,0)+VLOOKUP(C79,'Feuerwaffen-Ressourcen'!$A$2:$AI$54,15,0)+VLOOKUP(D79,'Feuerwaffen-Ressourcen'!$A$2:$AI$54,15,0)</f>
        <v/>
      </c>
      <c r="P79" s="50">
        <f>VLOOKUP(B79,'Feuerwaffen-Ressourcen'!$A$2:$AI$54,16,0)+VLOOKUP(C79,'Feuerwaffen-Ressourcen'!$A$2:$AI$54,16,0)+VLOOKUP(D79,'Feuerwaffen-Ressourcen'!$A$2:$AI$54,16,0)+VLOOKUP(E79,'Feuerwaffen-Ressourcen'!$A$2:$AI$54,16,0)</f>
        <v/>
      </c>
      <c r="Q79" s="52">
        <f>VLOOKUP(B79,'Feuerwaffen-Ressourcen'!$A$2:$AI$54,17,0)+VLOOKUP(C79,'Feuerwaffen-Ressourcen'!$A$2:$AI$54,17,0)+VLOOKUP(D79,'Feuerwaffen-Ressourcen'!$A$2:$AI$54,17,0)+VLOOKUP(E79,'Feuerwaffen-Ressourcen'!$A$2:$AI$54,17,0)</f>
        <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
      </c>
      <c r="X79" s="50">
        <f>VLOOKUP(B79,'Feuerwaffen-Ressourcen'!$A$2:$AI$54,24,0)+VLOOKUP(C79,'Feuerwaffen-Ressourcen'!$A$2:$AI$54,24,0)+VLOOKUP(D79,'Feuerwaffen-Ressourcen'!$A$2:$AI$54,24,0)+VLOOKUP(G79,'Feuerwaffen-Ressourcen'!$A$2:$AI$54,24,0)</f>
        <v/>
      </c>
      <c r="Y79" s="50">
        <f>VLOOKUP(D79,'Feuerwaffen-Ressourcen'!$A$2:$AI$54,25,0)+VLOOKUP(E79,'Feuerwaffen-Ressourcen'!$A$2:$AI$54,25,0)+VLOOKUP(F79,'Feuerwaffen-Ressourcen'!$A$2:$AI$54,25,0)</f>
        <v/>
      </c>
      <c r="Z79" s="50">
        <f>VLOOKUP(E79,'Feuerwaffen-Ressourcen'!$A$2:$AI$54,26,0)</f>
        <v/>
      </c>
      <c r="AA79" s="50">
        <f>VLOOKUP(B79,'Feuerwaffen-Ressourcen'!$A$2:$AI$54,27,0)+VLOOKUP(D79,'Feuerwaffen-Ressourcen'!$A$2:$AI$54,27,0)+VLOOKUP(F79,'Feuerwaffen-Ressourcen'!$A$2:$AI$54,27,0)+VLOOKUP(I79,'Feuerwaffen-Ressourcen'!$A$2:$AI$54,27,0)</f>
        <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
      </c>
      <c r="AC79" s="53">
        <f>VLOOKUP(I79,'Feuerwaffen-Ressourcen'!$A$2:$AI$54,31,0)*AD79+AE79</f>
        <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
      </c>
      <c r="AF79" s="55">
        <f>VLOOKUP(AB79,'Feuerwaffen-Ressourcen'!$AO$3:$AP$9,2,1)</f>
        <v/>
      </c>
      <c r="AG79" s="55" t="n">
        <v>0</v>
      </c>
      <c r="AH79" s="28" t="inlineStr">
        <is>
          <t>Hiebwaffen</t>
        </is>
      </c>
      <c r="AI79" s="28" t="inlineStr">
        <is>
          <t>Improvisierte Hiebwaffen</t>
        </is>
      </c>
      <c r="AJ79" s="56" t="n">
        <v>1.5</v>
      </c>
      <c r="AK79" s="56" t="inlineStr">
        <is>
          <t>W8</t>
        </is>
      </c>
      <c r="AL79" s="56" t="inlineStr">
        <is>
          <t>-</t>
        </is>
      </c>
      <c r="AM79" s="56" t="n">
        <v>3</v>
      </c>
      <c r="AN79" s="56" t="n">
        <v>5</v>
      </c>
      <c r="AO79" s="56" t="n">
        <v>-2</v>
      </c>
      <c r="AP79" s="56" t="n">
        <v>-7</v>
      </c>
      <c r="AQ79" s="56" t="n">
        <v>11</v>
      </c>
      <c r="AR79" s="56" t="inlineStr">
        <is>
          <t>-</t>
        </is>
      </c>
      <c r="AS79" s="56" t="n">
        <v>2</v>
      </c>
      <c r="AT79" s="56" t="n">
        <v>10</v>
      </c>
    </row>
    <row r="80">
      <c r="A80" s="49" t="inlineStr">
        <is>
          <t>Smaug</t>
        </is>
      </c>
      <c r="B80" s="49" t="inlineStr">
        <is>
          <t>Zwergisch</t>
        </is>
      </c>
      <c r="C80" s="49" t="inlineStr">
        <is>
          <t>Gewehr</t>
        </is>
      </c>
      <c r="D80" s="49" t="inlineStr">
        <is>
          <t>Donnerbüchse</t>
        </is>
      </c>
      <c r="E80" s="49" t="inlineStr">
        <is>
          <t>Vorderlader</t>
        </is>
      </c>
      <c r="F80" s="49" t="inlineStr">
        <is>
          <t>Steinschloss</t>
        </is>
      </c>
      <c r="G80" s="49" t="inlineStr">
        <is>
          <t>Glattlauf</t>
        </is>
      </c>
      <c r="H80" s="49" t="inlineStr">
        <is>
          <t>Blei</t>
        </is>
      </c>
      <c r="I80" s="49" t="inlineStr">
        <is>
          <t>Massenfabrikation</t>
        </is>
      </c>
      <c r="J80" s="49" t="inlineStr">
        <is>
          <t>Von der Stange</t>
        </is>
      </c>
      <c r="K80" s="51">
        <f>VLOOKUP(B80,'Feuerwaffen-Ressourcen'!$A$2:$AI$54,11,0)+VLOOKUP(C80,'Feuerwaffen-Ressourcen'!$A$2:$AI$54,11,0)+VLOOKUP(D80,'Feuerwaffen-Ressourcen'!$A$2:$AI$54,11,0)+VLOOKUP(E80,'Feuerwaffen-Ressourcen'!$A$2:$AI$54,11,0)+VLOOKUP(G80,'Feuerwaffen-Ressourcen'!$A$2:$AI$54,11,0)</f>
        <v/>
      </c>
      <c r="L80" s="50">
        <f>VLOOKUP(B80,'Feuerwaffen-Ressourcen'!$A$2:$AI$54,12,0)+VLOOKUP(C80,'Feuerwaffen-Ressourcen'!$A$2:$AI$54,12,0)+VLOOKUP(D80,'Feuerwaffen-Ressourcen'!$A$2:$AI$54,12,0)+VLOOKUP(J80,'Feuerwaffen-Ressourcen'!$A$2:$AI$54,12,0)</f>
        <v/>
      </c>
      <c r="M80" s="50">
        <f>VLOOKUP(VLOOKUP(B80,'Feuerwaffen-Ressourcen'!$A$2:$AI$54,13,0)+VLOOKUP(C80,'Feuerwaffen-Ressourcen'!$A$2:$AI$54,13,0)+VLOOKUP(D80,'Feuerwaffen-Ressourcen'!$A$2:$AI$54,13,0),'Feuerwaffen-Ressourcen'!$AJ$3:$AK$12,2,0)</f>
        <v/>
      </c>
      <c r="N80" s="50">
        <f>VLOOKUP(VLOOKUP(B80,'Feuerwaffen-Ressourcen'!$A$2:$AI$54,14,0)+VLOOKUP(C80,'Feuerwaffen-Ressourcen'!$A$2:$AI$54,14,0)+VLOOKUP(D80,'Feuerwaffen-Ressourcen'!$A$2:$AI$54,14,0),'Feuerwaffen-Ressourcen'!$AJ$3:$AK$12,2,0)</f>
        <v/>
      </c>
      <c r="O80" s="50">
        <f>VLOOKUP(B80,'Feuerwaffen-Ressourcen'!$A$2:$AI$54,15,0)+VLOOKUP(C80,'Feuerwaffen-Ressourcen'!$A$2:$AI$54,15,0)+VLOOKUP(D80,'Feuerwaffen-Ressourcen'!$A$2:$AI$54,15,0)</f>
        <v/>
      </c>
      <c r="P80" s="50">
        <f>VLOOKUP(B80,'Feuerwaffen-Ressourcen'!$A$2:$AI$54,16,0)+VLOOKUP(C80,'Feuerwaffen-Ressourcen'!$A$2:$AI$54,16,0)+VLOOKUP(D80,'Feuerwaffen-Ressourcen'!$A$2:$AI$54,16,0)+VLOOKUP(E80,'Feuerwaffen-Ressourcen'!$A$2:$AI$54,16,0)</f>
        <v/>
      </c>
      <c r="Q80" s="52">
        <f>VLOOKUP(B80,'Feuerwaffen-Ressourcen'!$A$2:$AI$54,17,0)+VLOOKUP(C80,'Feuerwaffen-Ressourcen'!$A$2:$AI$54,17,0)+VLOOKUP(D80,'Feuerwaffen-Ressourcen'!$A$2:$AI$54,17,0)+VLOOKUP(E80,'Feuerwaffen-Ressourcen'!$A$2:$AI$54,17,0)</f>
        <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
      </c>
      <c r="X80" s="50">
        <f>VLOOKUP(B80,'Feuerwaffen-Ressourcen'!$A$2:$AI$54,24,0)+VLOOKUP(C80,'Feuerwaffen-Ressourcen'!$A$2:$AI$54,24,0)+VLOOKUP(D80,'Feuerwaffen-Ressourcen'!$A$2:$AI$54,24,0)+VLOOKUP(G80,'Feuerwaffen-Ressourcen'!$A$2:$AI$54,24,0)</f>
        <v/>
      </c>
      <c r="Y80" s="50">
        <f>VLOOKUP(D80,'Feuerwaffen-Ressourcen'!$A$2:$AI$54,25,0)+VLOOKUP(E80,'Feuerwaffen-Ressourcen'!$A$2:$AI$54,25,0)+VLOOKUP(F80,'Feuerwaffen-Ressourcen'!$A$2:$AI$54,25,0)</f>
        <v/>
      </c>
      <c r="Z80" s="50">
        <f>VLOOKUP(E80,'Feuerwaffen-Ressourcen'!$A$2:$AI$54,26,0)</f>
        <v/>
      </c>
      <c r="AA80" s="50">
        <f>VLOOKUP(B80,'Feuerwaffen-Ressourcen'!$A$2:$AI$54,27,0)+VLOOKUP(D80,'Feuerwaffen-Ressourcen'!$A$2:$AI$54,27,0)+VLOOKUP(F80,'Feuerwaffen-Ressourcen'!$A$2:$AI$54,27,0)+VLOOKUP(I80,'Feuerwaffen-Ressourcen'!$A$2:$AI$54,27,0)</f>
        <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
      </c>
      <c r="AC80" s="53">
        <f>VLOOKUP(I80,'Feuerwaffen-Ressourcen'!$A$2:$AI$54,31,0)*AD80+AE80</f>
        <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
      </c>
      <c r="AF80" s="55">
        <f>VLOOKUP(AB80,'Feuerwaffen-Ressourcen'!$AO$3:$AP$9,2,1)</f>
        <v/>
      </c>
      <c r="AG80" s="55" t="n">
        <v>0</v>
      </c>
      <c r="AH80" s="28" t="inlineStr">
        <is>
          <t>Hiebwaffen</t>
        </is>
      </c>
      <c r="AI80" s="28" t="inlineStr">
        <is>
          <t>Improvisierte Hiebwaffen</t>
        </is>
      </c>
      <c r="AJ80" s="56" t="n">
        <v>1.5</v>
      </c>
      <c r="AK80" s="56" t="inlineStr">
        <is>
          <t>W8</t>
        </is>
      </c>
      <c r="AL80" s="56" t="inlineStr">
        <is>
          <t>-</t>
        </is>
      </c>
      <c r="AM80" s="56" t="n">
        <v>3</v>
      </c>
      <c r="AN80" s="56" t="n">
        <v>5</v>
      </c>
      <c r="AO80" s="56" t="n">
        <v>-2</v>
      </c>
      <c r="AP80" s="56" t="n">
        <v>-7</v>
      </c>
      <c r="AQ80" s="56" t="n">
        <v>13</v>
      </c>
      <c r="AR80" s="56" t="inlineStr">
        <is>
          <t>-</t>
        </is>
      </c>
      <c r="AS80" s="56" t="n">
        <v>2</v>
      </c>
      <c r="AT80" s="56" t="n">
        <v>10</v>
      </c>
    </row>
    <row r="81">
      <c r="A81" s="49" t="inlineStr">
        <is>
          <t>Stahlbeisser</t>
        </is>
      </c>
      <c r="B81" s="49" t="inlineStr">
        <is>
          <t>Zwergisch</t>
        </is>
      </c>
      <c r="C81" s="49" t="inlineStr">
        <is>
          <t>Gewehr</t>
        </is>
      </c>
      <c r="D81" s="49" t="inlineStr">
        <is>
          <t>Karabiner</t>
        </is>
      </c>
      <c r="E81" s="49" t="inlineStr">
        <is>
          <t>Block- oder Scharnierverschluss</t>
        </is>
      </c>
      <c r="F81" s="49" t="inlineStr">
        <is>
          <t>Schlagbolzen</t>
        </is>
      </c>
      <c r="G81" s="49" t="inlineStr">
        <is>
          <t>Gezogen</t>
        </is>
      </c>
      <c r="H81" s="49" t="inlineStr">
        <is>
          <t>Messing Patrone</t>
        </is>
      </c>
      <c r="I81" s="49" t="inlineStr">
        <is>
          <t>Massenfabrikation</t>
        </is>
      </c>
      <c r="J81" s="49" t="inlineStr">
        <is>
          <t>Von der Stange</t>
        </is>
      </c>
      <c r="K81" s="51">
        <f>VLOOKUP(B81,'Feuerwaffen-Ressourcen'!$A$2:$AI$54,11,0)+VLOOKUP(C81,'Feuerwaffen-Ressourcen'!$A$2:$AI$54,11,0)+VLOOKUP(D81,'Feuerwaffen-Ressourcen'!$A$2:$AI$54,11,0)+VLOOKUP(E81,'Feuerwaffen-Ressourcen'!$A$2:$AI$54,11,0)+VLOOKUP(G81,'Feuerwaffen-Ressourcen'!$A$2:$AI$54,11,0)</f>
        <v/>
      </c>
      <c r="L81" s="50">
        <f>VLOOKUP(B81,'Feuerwaffen-Ressourcen'!$A$2:$AI$54,12,0)+VLOOKUP(C81,'Feuerwaffen-Ressourcen'!$A$2:$AI$54,12,0)+VLOOKUP(D81,'Feuerwaffen-Ressourcen'!$A$2:$AI$54,12,0)+VLOOKUP(J81,'Feuerwaffen-Ressourcen'!$A$2:$AI$54,12,0)</f>
        <v/>
      </c>
      <c r="M81" s="50">
        <f>VLOOKUP(VLOOKUP(B81,'Feuerwaffen-Ressourcen'!$A$2:$AI$54,13,0)+VLOOKUP(C81,'Feuerwaffen-Ressourcen'!$A$2:$AI$54,13,0)+VLOOKUP(D81,'Feuerwaffen-Ressourcen'!$A$2:$AI$54,13,0),'Feuerwaffen-Ressourcen'!$AJ$3:$AK$12,2,0)</f>
        <v/>
      </c>
      <c r="N81" s="50">
        <f>VLOOKUP(VLOOKUP(B81,'Feuerwaffen-Ressourcen'!$A$2:$AI$54,14,0)+VLOOKUP(C81,'Feuerwaffen-Ressourcen'!$A$2:$AI$54,14,0)+VLOOKUP(D81,'Feuerwaffen-Ressourcen'!$A$2:$AI$54,14,0),'Feuerwaffen-Ressourcen'!$AJ$3:$AK$12,2,0)</f>
        <v/>
      </c>
      <c r="O81" s="50">
        <f>VLOOKUP(B81,'Feuerwaffen-Ressourcen'!$A$2:$AI$54,15,0)+VLOOKUP(C81,'Feuerwaffen-Ressourcen'!$A$2:$AI$54,15,0)+VLOOKUP(D81,'Feuerwaffen-Ressourcen'!$A$2:$AI$54,15,0)</f>
        <v/>
      </c>
      <c r="P81" s="50">
        <f>VLOOKUP(B81,'Feuerwaffen-Ressourcen'!$A$2:$AI$54,16,0)+VLOOKUP(C81,'Feuerwaffen-Ressourcen'!$A$2:$AI$54,16,0)+VLOOKUP(D81,'Feuerwaffen-Ressourcen'!$A$2:$AI$54,16,0)+VLOOKUP(E81,'Feuerwaffen-Ressourcen'!$A$2:$AI$54,16,0)</f>
        <v/>
      </c>
      <c r="Q81" s="52">
        <f>VLOOKUP(B81,'Feuerwaffen-Ressourcen'!$A$2:$AI$54,17,0)+VLOOKUP(C81,'Feuerwaffen-Ressourcen'!$A$2:$AI$54,17,0)+VLOOKUP(D81,'Feuerwaffen-Ressourcen'!$A$2:$AI$54,17,0)+VLOOKUP(E81,'Feuerwaffen-Ressourcen'!$A$2:$AI$54,17,0)</f>
        <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
      </c>
      <c r="X81" s="50">
        <f>VLOOKUP(B81,'Feuerwaffen-Ressourcen'!$A$2:$AI$54,24,0)+VLOOKUP(C81,'Feuerwaffen-Ressourcen'!$A$2:$AI$54,24,0)+VLOOKUP(D81,'Feuerwaffen-Ressourcen'!$A$2:$AI$54,24,0)+VLOOKUP(G81,'Feuerwaffen-Ressourcen'!$A$2:$AI$54,24,0)</f>
        <v/>
      </c>
      <c r="Y81" s="50">
        <f>VLOOKUP(D81,'Feuerwaffen-Ressourcen'!$A$2:$AI$54,25,0)+VLOOKUP(E81,'Feuerwaffen-Ressourcen'!$A$2:$AI$54,25,0)+VLOOKUP(F81,'Feuerwaffen-Ressourcen'!$A$2:$AI$54,25,0)</f>
        <v/>
      </c>
      <c r="Z81" s="50">
        <f>VLOOKUP(E81,'Feuerwaffen-Ressourcen'!$A$2:$AI$54,26,0)</f>
        <v/>
      </c>
      <c r="AA81" s="50">
        <f>VLOOKUP(B81,'Feuerwaffen-Ressourcen'!$A$2:$AI$54,27,0)+VLOOKUP(D81,'Feuerwaffen-Ressourcen'!$A$2:$AI$54,27,0)+VLOOKUP(F81,'Feuerwaffen-Ressourcen'!$A$2:$AI$54,27,0)+VLOOKUP(I81,'Feuerwaffen-Ressourcen'!$A$2:$AI$54,27,0)</f>
        <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
      </c>
      <c r="AC81" s="53">
        <f>VLOOKUP(I81,'Feuerwaffen-Ressourcen'!$A$2:$AI$54,31,0)*AD81+AE81</f>
        <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
      </c>
      <c r="AF81" s="55">
        <f>VLOOKUP(AB81,'Feuerwaffen-Ressourcen'!$AO$3:$AP$9,2,1)</f>
        <v/>
      </c>
      <c r="AG81" s="55" t="n">
        <v>0</v>
      </c>
      <c r="AH81" s="28" t="inlineStr">
        <is>
          <t>Hiebwaffen</t>
        </is>
      </c>
      <c r="AI81" s="28" t="inlineStr">
        <is>
          <t>Improvisierte Hiebwaffen</t>
        </is>
      </c>
      <c r="AJ81" s="56" t="n">
        <v>1.5</v>
      </c>
      <c r="AK81" s="56" t="inlineStr">
        <is>
          <t>W8</t>
        </is>
      </c>
      <c r="AL81" s="56" t="inlineStr">
        <is>
          <t>-</t>
        </is>
      </c>
      <c r="AM81" s="56" t="n">
        <v>3</v>
      </c>
      <c r="AN81" s="56" t="n">
        <v>5</v>
      </c>
      <c r="AO81" s="56" t="n">
        <v>-2</v>
      </c>
      <c r="AP81" s="56" t="n">
        <v>-7</v>
      </c>
      <c r="AQ81" s="56" t="n">
        <v>10</v>
      </c>
      <c r="AR81" s="56" t="inlineStr">
        <is>
          <t>-</t>
        </is>
      </c>
      <c r="AS81" s="56" t="n">
        <v>2</v>
      </c>
      <c r="AT81" s="56" t="n">
        <v>10</v>
      </c>
    </row>
    <row r="82">
      <c r="A82" s="49" t="inlineStr">
        <is>
          <t>Wyvern</t>
        </is>
      </c>
      <c r="B82" s="49" t="inlineStr">
        <is>
          <t>Zwergisch</t>
        </is>
      </c>
      <c r="C82" s="49" t="inlineStr">
        <is>
          <t>Gewehr</t>
        </is>
      </c>
      <c r="D82" s="49" t="inlineStr">
        <is>
          <t>Normal</t>
        </is>
      </c>
      <c r="E82" s="49" t="inlineStr">
        <is>
          <t>Vorderlader</t>
        </is>
      </c>
      <c r="F82" s="49" t="inlineStr">
        <is>
          <t>Steinschloss</t>
        </is>
      </c>
      <c r="G82" s="49" t="inlineStr">
        <is>
          <t>Glattlauf</t>
        </is>
      </c>
      <c r="H82" s="49" t="inlineStr">
        <is>
          <t>Blei</t>
        </is>
      </c>
      <c r="I82" s="49" t="inlineStr">
        <is>
          <t>Massenfabrikation</t>
        </is>
      </c>
      <c r="J82" s="49" t="inlineStr">
        <is>
          <t>Von der Stange</t>
        </is>
      </c>
      <c r="K82" s="51">
        <f>VLOOKUP(B82,'Feuerwaffen-Ressourcen'!$A$2:$AI$54,11,0)+VLOOKUP(C82,'Feuerwaffen-Ressourcen'!$A$2:$AI$54,11,0)+VLOOKUP(D82,'Feuerwaffen-Ressourcen'!$A$2:$AI$54,11,0)+VLOOKUP(E82,'Feuerwaffen-Ressourcen'!$A$2:$AI$54,11,0)+VLOOKUP(G82,'Feuerwaffen-Ressourcen'!$A$2:$AI$54,11,0)</f>
        <v/>
      </c>
      <c r="L82" s="50">
        <f>VLOOKUP(B82,'Feuerwaffen-Ressourcen'!$A$2:$AI$54,12,0)+VLOOKUP(C82,'Feuerwaffen-Ressourcen'!$A$2:$AI$54,12,0)+VLOOKUP(D82,'Feuerwaffen-Ressourcen'!$A$2:$AI$54,12,0)+VLOOKUP(J82,'Feuerwaffen-Ressourcen'!$A$2:$AI$54,12,0)</f>
        <v/>
      </c>
      <c r="M82" s="50">
        <f>VLOOKUP(VLOOKUP(B82,'Feuerwaffen-Ressourcen'!$A$2:$AI$54,13,0)+VLOOKUP(C82,'Feuerwaffen-Ressourcen'!$A$2:$AI$54,13,0)+VLOOKUP(D82,'Feuerwaffen-Ressourcen'!$A$2:$AI$54,13,0),'Feuerwaffen-Ressourcen'!$AJ$3:$AK$12,2,0)</f>
        <v/>
      </c>
      <c r="N82" s="50">
        <f>VLOOKUP(VLOOKUP(B82,'Feuerwaffen-Ressourcen'!$A$2:$AI$54,14,0)+VLOOKUP(C82,'Feuerwaffen-Ressourcen'!$A$2:$AI$54,14,0)+VLOOKUP(D82,'Feuerwaffen-Ressourcen'!$A$2:$AI$54,14,0),'Feuerwaffen-Ressourcen'!$AJ$3:$AK$12,2,0)</f>
        <v/>
      </c>
      <c r="O82" s="50">
        <f>VLOOKUP(B82,'Feuerwaffen-Ressourcen'!$A$2:$AI$54,15,0)+VLOOKUP(C82,'Feuerwaffen-Ressourcen'!$A$2:$AI$54,15,0)+VLOOKUP(D82,'Feuerwaffen-Ressourcen'!$A$2:$AI$54,15,0)</f>
        <v/>
      </c>
      <c r="P82" s="50">
        <f>VLOOKUP(B82,'Feuerwaffen-Ressourcen'!$A$2:$AI$54,16,0)+VLOOKUP(C82,'Feuerwaffen-Ressourcen'!$A$2:$AI$54,16,0)+VLOOKUP(D82,'Feuerwaffen-Ressourcen'!$A$2:$AI$54,16,0)+VLOOKUP(E82,'Feuerwaffen-Ressourcen'!$A$2:$AI$54,16,0)</f>
        <v/>
      </c>
      <c r="Q82" s="52">
        <f>VLOOKUP(B82,'Feuerwaffen-Ressourcen'!$A$2:$AI$54,17,0)+VLOOKUP(C82,'Feuerwaffen-Ressourcen'!$A$2:$AI$54,17,0)+VLOOKUP(D82,'Feuerwaffen-Ressourcen'!$A$2:$AI$54,17,0)+VLOOKUP(E82,'Feuerwaffen-Ressourcen'!$A$2:$AI$54,17,0)</f>
        <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
      </c>
      <c r="X82" s="50">
        <f>VLOOKUP(B82,'Feuerwaffen-Ressourcen'!$A$2:$AI$54,24,0)+VLOOKUP(C82,'Feuerwaffen-Ressourcen'!$A$2:$AI$54,24,0)+VLOOKUP(D82,'Feuerwaffen-Ressourcen'!$A$2:$AI$54,24,0)+VLOOKUP(G82,'Feuerwaffen-Ressourcen'!$A$2:$AI$54,24,0)</f>
        <v/>
      </c>
      <c r="Y82" s="50">
        <f>VLOOKUP(D82,'Feuerwaffen-Ressourcen'!$A$2:$AI$54,25,0)+VLOOKUP(E82,'Feuerwaffen-Ressourcen'!$A$2:$AI$54,25,0)+VLOOKUP(F82,'Feuerwaffen-Ressourcen'!$A$2:$AI$54,25,0)</f>
        <v/>
      </c>
      <c r="Z82" s="50">
        <f>VLOOKUP(E82,'Feuerwaffen-Ressourcen'!$A$2:$AI$54,26,0)</f>
        <v/>
      </c>
      <c r="AA82" s="50">
        <f>VLOOKUP(B82,'Feuerwaffen-Ressourcen'!$A$2:$AI$54,27,0)+VLOOKUP(D82,'Feuerwaffen-Ressourcen'!$A$2:$AI$54,27,0)+VLOOKUP(F82,'Feuerwaffen-Ressourcen'!$A$2:$AI$54,27,0)+VLOOKUP(I82,'Feuerwaffen-Ressourcen'!$A$2:$AI$54,27,0)</f>
        <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
      </c>
      <c r="AC82" s="53">
        <f>VLOOKUP(I82,'Feuerwaffen-Ressourcen'!$A$2:$AI$54,31,0)*AD82+AE82</f>
        <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
      </c>
      <c r="AF82" s="55">
        <f>VLOOKUP(AB82,'Feuerwaffen-Ressourcen'!$AO$3:$AP$9,2,1)</f>
        <v/>
      </c>
      <c r="AG82" s="55" t="n">
        <v>0</v>
      </c>
      <c r="AH82" s="28" t="inlineStr">
        <is>
          <t>Hiebwaffen</t>
        </is>
      </c>
      <c r="AI82" s="28" t="inlineStr">
        <is>
          <t>Improvisierte Hiebwaffen</t>
        </is>
      </c>
      <c r="AJ82" s="56" t="n">
        <v>1.5</v>
      </c>
      <c r="AK82" s="56" t="inlineStr">
        <is>
          <t>W8</t>
        </is>
      </c>
      <c r="AL82" s="56" t="inlineStr">
        <is>
          <t>-</t>
        </is>
      </c>
      <c r="AM82" s="56" t="n">
        <v>3</v>
      </c>
      <c r="AN82" s="56" t="n">
        <v>5</v>
      </c>
      <c r="AO82" s="56" t="n">
        <v>-2</v>
      </c>
      <c r="AP82" s="56" t="n">
        <v>-7</v>
      </c>
      <c r="AQ82" s="56" t="n">
        <v>11</v>
      </c>
      <c r="AR82" s="56" t="inlineStr">
        <is>
          <t>-</t>
        </is>
      </c>
      <c r="AS82" s="56" t="n">
        <v>2</v>
      </c>
      <c r="AT82" s="56" t="n">
        <v>10</v>
      </c>
    </row>
    <row r="83">
      <c r="A83" s="49" t="inlineStr">
        <is>
          <t>Bifrost</t>
        </is>
      </c>
      <c r="B83" s="49" t="inlineStr">
        <is>
          <t>Zwergisch</t>
        </is>
      </c>
      <c r="C83" s="49" t="inlineStr">
        <is>
          <t>Pistole</t>
        </is>
      </c>
      <c r="D83" s="49" t="inlineStr">
        <is>
          <t>Doppelläufig P</t>
        </is>
      </c>
      <c r="E83" s="49" t="inlineStr">
        <is>
          <t>Vorderlader</t>
        </is>
      </c>
      <c r="F83" s="49" t="inlineStr">
        <is>
          <t>Steinschloss</t>
        </is>
      </c>
      <c r="G83" s="49" t="inlineStr">
        <is>
          <t>Glattlauf</t>
        </is>
      </c>
      <c r="H83" s="49" t="inlineStr">
        <is>
          <t>Blei</t>
        </is>
      </c>
      <c r="I83" s="49" t="inlineStr">
        <is>
          <t>Massenfabrikation</t>
        </is>
      </c>
      <c r="J83" s="49" t="inlineStr">
        <is>
          <t>Von der Stange</t>
        </is>
      </c>
      <c r="K83" s="51">
        <f>VLOOKUP(B83,'Feuerwaffen-Ressourcen'!$A$2:$AI$54,11,0)+VLOOKUP(C83,'Feuerwaffen-Ressourcen'!$A$2:$AI$54,11,0)+VLOOKUP(D83,'Feuerwaffen-Ressourcen'!$A$2:$AI$54,11,0)+VLOOKUP(E83,'Feuerwaffen-Ressourcen'!$A$2:$AI$54,11,0)+VLOOKUP(G83,'Feuerwaffen-Ressourcen'!$A$2:$AI$54,11,0)</f>
        <v/>
      </c>
      <c r="L83" s="50">
        <f>VLOOKUP(B83,'Feuerwaffen-Ressourcen'!$A$2:$AI$54,12,0)+VLOOKUP(C83,'Feuerwaffen-Ressourcen'!$A$2:$AI$54,12,0)+VLOOKUP(D83,'Feuerwaffen-Ressourcen'!$A$2:$AI$54,12,0)+VLOOKUP(J83,'Feuerwaffen-Ressourcen'!$A$2:$AI$54,12,0)</f>
        <v/>
      </c>
      <c r="M83" s="50">
        <f>VLOOKUP(VLOOKUP(B83,'Feuerwaffen-Ressourcen'!$A$2:$AI$54,13,0)+VLOOKUP(C83,'Feuerwaffen-Ressourcen'!$A$2:$AI$54,13,0)+VLOOKUP(D83,'Feuerwaffen-Ressourcen'!$A$2:$AI$54,13,0),'Feuerwaffen-Ressourcen'!$AJ$3:$AK$12,2,0)</f>
        <v/>
      </c>
      <c r="N83" s="50">
        <f>VLOOKUP(VLOOKUP(B83,'Feuerwaffen-Ressourcen'!$A$2:$AI$54,14,0)+VLOOKUP(C83,'Feuerwaffen-Ressourcen'!$A$2:$AI$54,14,0)+VLOOKUP(D83,'Feuerwaffen-Ressourcen'!$A$2:$AI$54,14,0),'Feuerwaffen-Ressourcen'!$AJ$3:$AK$12,2,0)</f>
        <v/>
      </c>
      <c r="O83" s="50">
        <f>VLOOKUP(B83,'Feuerwaffen-Ressourcen'!$A$2:$AI$54,15,0)+VLOOKUP(C83,'Feuerwaffen-Ressourcen'!$A$2:$AI$54,15,0)+VLOOKUP(D83,'Feuerwaffen-Ressourcen'!$A$2:$AI$54,15,0)</f>
        <v/>
      </c>
      <c r="P83" s="50">
        <f>VLOOKUP(B83,'Feuerwaffen-Ressourcen'!$A$2:$AI$54,16,0)+VLOOKUP(C83,'Feuerwaffen-Ressourcen'!$A$2:$AI$54,16,0)+VLOOKUP(D83,'Feuerwaffen-Ressourcen'!$A$2:$AI$54,16,0)+VLOOKUP(E83,'Feuerwaffen-Ressourcen'!$A$2:$AI$54,16,0)</f>
        <v/>
      </c>
      <c r="Q83" s="52">
        <f>VLOOKUP(B83,'Feuerwaffen-Ressourcen'!$A$2:$AI$54,17,0)+VLOOKUP(C83,'Feuerwaffen-Ressourcen'!$A$2:$AI$54,17,0)+VLOOKUP(D83,'Feuerwaffen-Ressourcen'!$A$2:$AI$54,17,0)+VLOOKUP(E83,'Feuerwaffen-Ressourcen'!$A$2:$AI$54,17,0)</f>
        <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
      </c>
      <c r="X83" s="50">
        <f>VLOOKUP(B83,'Feuerwaffen-Ressourcen'!$A$2:$AI$54,24,0)+VLOOKUP(C83,'Feuerwaffen-Ressourcen'!$A$2:$AI$54,24,0)+VLOOKUP(D83,'Feuerwaffen-Ressourcen'!$A$2:$AI$54,24,0)+VLOOKUP(G83,'Feuerwaffen-Ressourcen'!$A$2:$AI$54,24,0)</f>
        <v/>
      </c>
      <c r="Y83" s="50">
        <f>VLOOKUP(D83,'Feuerwaffen-Ressourcen'!$A$2:$AI$54,25,0)+VLOOKUP(E83,'Feuerwaffen-Ressourcen'!$A$2:$AI$54,25,0)+VLOOKUP(F83,'Feuerwaffen-Ressourcen'!$A$2:$AI$54,25,0)</f>
        <v/>
      </c>
      <c r="Z83" s="50">
        <f>VLOOKUP(E83,'Feuerwaffen-Ressourcen'!$A$2:$AI$54,26,0)</f>
        <v/>
      </c>
      <c r="AA83" s="50">
        <f>VLOOKUP(B83,'Feuerwaffen-Ressourcen'!$A$2:$AI$54,27,0)+VLOOKUP(D83,'Feuerwaffen-Ressourcen'!$A$2:$AI$54,27,0)+VLOOKUP(F83,'Feuerwaffen-Ressourcen'!$A$2:$AI$54,27,0)+VLOOKUP(I83,'Feuerwaffen-Ressourcen'!$A$2:$AI$54,27,0)</f>
        <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
      </c>
      <c r="AC83" s="53">
        <f>VLOOKUP(I83,'Feuerwaffen-Ressourcen'!$A$2:$AI$54,31,0)*AD83+AE83</f>
        <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
      </c>
      <c r="AF83" s="55">
        <f>VLOOKUP(AB83,'Feuerwaffen-Ressourcen'!$AO$3:$AP$9,2,1)</f>
        <v/>
      </c>
      <c r="AG83" s="55" t="n">
        <v>0</v>
      </c>
      <c r="AH83" s="28" t="inlineStr">
        <is>
          <t>Hiebwaffen</t>
        </is>
      </c>
      <c r="AI83" s="28" t="inlineStr">
        <is>
          <t>Improvisierte Hiebwaffen</t>
        </is>
      </c>
      <c r="AJ83" s="56" t="n">
        <v>1.5</v>
      </c>
      <c r="AK83" s="56" t="inlineStr">
        <is>
          <t>W8</t>
        </is>
      </c>
      <c r="AL83" s="56" t="inlineStr">
        <is>
          <t>-</t>
        </is>
      </c>
      <c r="AM83" s="56" t="n">
        <v>3</v>
      </c>
      <c r="AN83" s="56" t="n">
        <v>5</v>
      </c>
      <c r="AO83" s="56" t="n">
        <v>-2</v>
      </c>
      <c r="AP83" s="56" t="n">
        <v>-7</v>
      </c>
      <c r="AQ83" s="56" t="n">
        <v>9</v>
      </c>
      <c r="AR83" s="56" t="inlineStr">
        <is>
          <t>-</t>
        </is>
      </c>
      <c r="AS83" s="56" t="n">
        <v>2</v>
      </c>
      <c r="AT83" s="56" t="n">
        <v>10</v>
      </c>
    </row>
    <row r="84">
      <c r="A84" s="49" t="inlineStr">
        <is>
          <t>Drache</t>
        </is>
      </c>
      <c r="B84" s="49" t="inlineStr">
        <is>
          <t>Zwergisch</t>
        </is>
      </c>
      <c r="C84" s="49" t="inlineStr">
        <is>
          <t>Pistole</t>
        </is>
      </c>
      <c r="D84" s="49" t="inlineStr">
        <is>
          <t>Normal P</t>
        </is>
      </c>
      <c r="E84" s="49" t="inlineStr">
        <is>
          <t>Klapplauf</t>
        </is>
      </c>
      <c r="F84" s="49" t="inlineStr">
        <is>
          <t>Schlagbolzen</t>
        </is>
      </c>
      <c r="G84" s="49" t="inlineStr">
        <is>
          <t>Gezogen</t>
        </is>
      </c>
      <c r="H84" s="49" t="inlineStr">
        <is>
          <t>Messing Patrone</t>
        </is>
      </c>
      <c r="I84" s="49" t="inlineStr">
        <is>
          <t>Massenfabrikation</t>
        </is>
      </c>
      <c r="J84" s="49" t="inlineStr">
        <is>
          <t>Von der Stange</t>
        </is>
      </c>
      <c r="K84" s="51">
        <f>VLOOKUP(B84,'Feuerwaffen-Ressourcen'!$A$2:$AI$54,11,0)+VLOOKUP(C84,'Feuerwaffen-Ressourcen'!$A$2:$AI$54,11,0)+VLOOKUP(D84,'Feuerwaffen-Ressourcen'!$A$2:$AI$54,11,0)+VLOOKUP(E84,'Feuerwaffen-Ressourcen'!$A$2:$AI$54,11,0)+VLOOKUP(G84,'Feuerwaffen-Ressourcen'!$A$2:$AI$54,11,0)</f>
        <v/>
      </c>
      <c r="L84" s="50">
        <f>VLOOKUP(B84,'Feuerwaffen-Ressourcen'!$A$2:$AI$54,12,0)+VLOOKUP(C84,'Feuerwaffen-Ressourcen'!$A$2:$AI$54,12,0)+VLOOKUP(D84,'Feuerwaffen-Ressourcen'!$A$2:$AI$54,12,0)+VLOOKUP(J84,'Feuerwaffen-Ressourcen'!$A$2:$AI$54,12,0)</f>
        <v/>
      </c>
      <c r="M84" s="50">
        <f>VLOOKUP(VLOOKUP(B84,'Feuerwaffen-Ressourcen'!$A$2:$AI$54,13,0)+VLOOKUP(C84,'Feuerwaffen-Ressourcen'!$A$2:$AI$54,13,0)+VLOOKUP(D84,'Feuerwaffen-Ressourcen'!$A$2:$AI$54,13,0),'Feuerwaffen-Ressourcen'!$AJ$3:$AK$12,2,0)</f>
        <v/>
      </c>
      <c r="N84" s="50">
        <f>VLOOKUP(VLOOKUP(B84,'Feuerwaffen-Ressourcen'!$A$2:$AI$54,14,0)+VLOOKUP(C84,'Feuerwaffen-Ressourcen'!$A$2:$AI$54,14,0)+VLOOKUP(D84,'Feuerwaffen-Ressourcen'!$A$2:$AI$54,14,0),'Feuerwaffen-Ressourcen'!$AJ$3:$AK$12,2,0)</f>
        <v/>
      </c>
      <c r="O84" s="50">
        <f>VLOOKUP(B84,'Feuerwaffen-Ressourcen'!$A$2:$AI$54,15,0)+VLOOKUP(C84,'Feuerwaffen-Ressourcen'!$A$2:$AI$54,15,0)+VLOOKUP(D84,'Feuerwaffen-Ressourcen'!$A$2:$AI$54,15,0)</f>
        <v/>
      </c>
      <c r="P84" s="50">
        <f>VLOOKUP(B84,'Feuerwaffen-Ressourcen'!$A$2:$AI$54,16,0)+VLOOKUP(C84,'Feuerwaffen-Ressourcen'!$A$2:$AI$54,16,0)+VLOOKUP(D84,'Feuerwaffen-Ressourcen'!$A$2:$AI$54,16,0)+VLOOKUP(E84,'Feuerwaffen-Ressourcen'!$A$2:$AI$54,16,0)</f>
        <v/>
      </c>
      <c r="Q84" s="52">
        <f>VLOOKUP(B84,'Feuerwaffen-Ressourcen'!$A$2:$AI$54,17,0)+VLOOKUP(C84,'Feuerwaffen-Ressourcen'!$A$2:$AI$54,17,0)+VLOOKUP(D84,'Feuerwaffen-Ressourcen'!$A$2:$AI$54,17,0)+VLOOKUP(E84,'Feuerwaffen-Ressourcen'!$A$2:$AI$54,17,0)</f>
        <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
      </c>
      <c r="X84" s="50">
        <f>VLOOKUP(B84,'Feuerwaffen-Ressourcen'!$A$2:$AI$54,24,0)+VLOOKUP(C84,'Feuerwaffen-Ressourcen'!$A$2:$AI$54,24,0)+VLOOKUP(D84,'Feuerwaffen-Ressourcen'!$A$2:$AI$54,24,0)+VLOOKUP(G84,'Feuerwaffen-Ressourcen'!$A$2:$AI$54,24,0)</f>
        <v/>
      </c>
      <c r="Y84" s="50">
        <f>VLOOKUP(D84,'Feuerwaffen-Ressourcen'!$A$2:$AI$54,25,0)+VLOOKUP(E84,'Feuerwaffen-Ressourcen'!$A$2:$AI$54,25,0)+VLOOKUP(F84,'Feuerwaffen-Ressourcen'!$A$2:$AI$54,25,0)</f>
        <v/>
      </c>
      <c r="Z84" s="50">
        <f>VLOOKUP(E84,'Feuerwaffen-Ressourcen'!$A$2:$AI$54,26,0)</f>
        <v/>
      </c>
      <c r="AA84" s="50">
        <f>VLOOKUP(B84,'Feuerwaffen-Ressourcen'!$A$2:$AI$54,27,0)+VLOOKUP(D84,'Feuerwaffen-Ressourcen'!$A$2:$AI$54,27,0)+VLOOKUP(F84,'Feuerwaffen-Ressourcen'!$A$2:$AI$54,27,0)+VLOOKUP(I84,'Feuerwaffen-Ressourcen'!$A$2:$AI$54,27,0)</f>
        <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
      </c>
      <c r="AC84" s="53">
        <f>VLOOKUP(I84,'Feuerwaffen-Ressourcen'!$A$2:$AI$54,31,0)*AD84+AE84</f>
        <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
      </c>
      <c r="AF84" s="55">
        <f>VLOOKUP(AB84,'Feuerwaffen-Ressourcen'!$AO$3:$AP$9,2,1)</f>
        <v/>
      </c>
      <c r="AG84" s="55" t="n">
        <v>0</v>
      </c>
      <c r="AH84" s="28" t="inlineStr">
        <is>
          <t>Hiebwaffen</t>
        </is>
      </c>
      <c r="AI84" s="28" t="inlineStr">
        <is>
          <t>Improvisierte Hiebwaffen</t>
        </is>
      </c>
      <c r="AJ84" s="56" t="n">
        <v>1.5</v>
      </c>
      <c r="AK84" s="56" t="inlineStr">
        <is>
          <t>W8</t>
        </is>
      </c>
      <c r="AL84" s="56" t="inlineStr">
        <is>
          <t>-</t>
        </is>
      </c>
      <c r="AM84" s="56" t="n">
        <v>3</v>
      </c>
      <c r="AN84" s="56" t="n">
        <v>5</v>
      </c>
      <c r="AO84" s="56" t="n">
        <v>-2</v>
      </c>
      <c r="AP84" s="56" t="n">
        <v>-7</v>
      </c>
      <c r="AQ84" s="56" t="n">
        <v>8</v>
      </c>
      <c r="AR84" s="56" t="inlineStr">
        <is>
          <t>-</t>
        </is>
      </c>
      <c r="AS84" s="56" t="n">
        <v>2</v>
      </c>
      <c r="AT84" s="56" t="n">
        <v>10</v>
      </c>
    </row>
    <row r="85">
      <c r="A85" s="49" t="inlineStr">
        <is>
          <t>Drako</t>
        </is>
      </c>
      <c r="B85" s="49" t="inlineStr">
        <is>
          <t>Zwergisch</t>
        </is>
      </c>
      <c r="C85" s="49" t="inlineStr">
        <is>
          <t>Pistole</t>
        </is>
      </c>
      <c r="D85" s="49" t="inlineStr">
        <is>
          <t>Böller</t>
        </is>
      </c>
      <c r="E85" s="49" t="inlineStr">
        <is>
          <t>Vorderlader</t>
        </is>
      </c>
      <c r="F85" s="49" t="inlineStr">
        <is>
          <t>Steinschloss</t>
        </is>
      </c>
      <c r="G85" s="49" t="inlineStr">
        <is>
          <t>Glattlauf</t>
        </is>
      </c>
      <c r="H85" s="49" t="inlineStr">
        <is>
          <t>Blei</t>
        </is>
      </c>
      <c r="I85" s="49" t="inlineStr">
        <is>
          <t>Massenfabrikation</t>
        </is>
      </c>
      <c r="J85" s="49" t="inlineStr">
        <is>
          <t>Von der Stange</t>
        </is>
      </c>
      <c r="K85" s="51">
        <f>VLOOKUP(B85,'Feuerwaffen-Ressourcen'!$A$2:$AI$54,11,0)+VLOOKUP(C85,'Feuerwaffen-Ressourcen'!$A$2:$AI$54,11,0)+VLOOKUP(D85,'Feuerwaffen-Ressourcen'!$A$2:$AI$54,11,0)+VLOOKUP(E85,'Feuerwaffen-Ressourcen'!$A$2:$AI$54,11,0)+VLOOKUP(G85,'Feuerwaffen-Ressourcen'!$A$2:$AI$54,11,0)</f>
        <v/>
      </c>
      <c r="L85" s="50">
        <f>VLOOKUP(B85,'Feuerwaffen-Ressourcen'!$A$2:$AI$54,12,0)+VLOOKUP(C85,'Feuerwaffen-Ressourcen'!$A$2:$AI$54,12,0)+VLOOKUP(D85,'Feuerwaffen-Ressourcen'!$A$2:$AI$54,12,0)+VLOOKUP(J85,'Feuerwaffen-Ressourcen'!$A$2:$AI$54,12,0)</f>
        <v/>
      </c>
      <c r="M85" s="50">
        <f>VLOOKUP(VLOOKUP(B85,'Feuerwaffen-Ressourcen'!$A$2:$AI$54,13,0)+VLOOKUP(C85,'Feuerwaffen-Ressourcen'!$A$2:$AI$54,13,0)+VLOOKUP(D85,'Feuerwaffen-Ressourcen'!$A$2:$AI$54,13,0),'Feuerwaffen-Ressourcen'!$AJ$3:$AK$12,2,0)</f>
        <v/>
      </c>
      <c r="N85" s="50">
        <f>VLOOKUP(VLOOKUP(B85,'Feuerwaffen-Ressourcen'!$A$2:$AI$54,14,0)+VLOOKUP(C85,'Feuerwaffen-Ressourcen'!$A$2:$AI$54,14,0)+VLOOKUP(D85,'Feuerwaffen-Ressourcen'!$A$2:$AI$54,14,0),'Feuerwaffen-Ressourcen'!$AJ$3:$AK$12,2,0)</f>
        <v/>
      </c>
      <c r="O85" s="50">
        <f>VLOOKUP(B85,'Feuerwaffen-Ressourcen'!$A$2:$AI$54,15,0)+VLOOKUP(C85,'Feuerwaffen-Ressourcen'!$A$2:$AI$54,15,0)+VLOOKUP(D85,'Feuerwaffen-Ressourcen'!$A$2:$AI$54,15,0)</f>
        <v/>
      </c>
      <c r="P85" s="50">
        <f>VLOOKUP(B85,'Feuerwaffen-Ressourcen'!$A$2:$AI$54,16,0)+VLOOKUP(C85,'Feuerwaffen-Ressourcen'!$A$2:$AI$54,16,0)+VLOOKUP(D85,'Feuerwaffen-Ressourcen'!$A$2:$AI$54,16,0)+VLOOKUP(E85,'Feuerwaffen-Ressourcen'!$A$2:$AI$54,16,0)</f>
        <v/>
      </c>
      <c r="Q85" s="52">
        <f>VLOOKUP(B85,'Feuerwaffen-Ressourcen'!$A$2:$AI$54,17,0)+VLOOKUP(C85,'Feuerwaffen-Ressourcen'!$A$2:$AI$54,17,0)+VLOOKUP(D85,'Feuerwaffen-Ressourcen'!$A$2:$AI$54,17,0)+VLOOKUP(E85,'Feuerwaffen-Ressourcen'!$A$2:$AI$54,17,0)</f>
        <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
      </c>
      <c r="X85" s="50">
        <f>VLOOKUP(B85,'Feuerwaffen-Ressourcen'!$A$2:$AI$54,24,0)+VLOOKUP(C85,'Feuerwaffen-Ressourcen'!$A$2:$AI$54,24,0)+VLOOKUP(D85,'Feuerwaffen-Ressourcen'!$A$2:$AI$54,24,0)+VLOOKUP(G85,'Feuerwaffen-Ressourcen'!$A$2:$AI$54,24,0)</f>
        <v/>
      </c>
      <c r="Y85" s="50">
        <f>VLOOKUP(D85,'Feuerwaffen-Ressourcen'!$A$2:$AI$54,25,0)+VLOOKUP(E85,'Feuerwaffen-Ressourcen'!$A$2:$AI$54,25,0)+VLOOKUP(F85,'Feuerwaffen-Ressourcen'!$A$2:$AI$54,25,0)</f>
        <v/>
      </c>
      <c r="Z85" s="50">
        <f>VLOOKUP(E85,'Feuerwaffen-Ressourcen'!$A$2:$AI$54,26,0)</f>
        <v/>
      </c>
      <c r="AA85" s="50">
        <f>VLOOKUP(B85,'Feuerwaffen-Ressourcen'!$A$2:$AI$54,27,0)+VLOOKUP(D85,'Feuerwaffen-Ressourcen'!$A$2:$AI$54,27,0)+VLOOKUP(F85,'Feuerwaffen-Ressourcen'!$A$2:$AI$54,27,0)+VLOOKUP(I85,'Feuerwaffen-Ressourcen'!$A$2:$AI$54,27,0)</f>
        <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
      </c>
      <c r="AC85" s="53">
        <f>VLOOKUP(I85,'Feuerwaffen-Ressourcen'!$A$2:$AI$54,31,0)*AD85+AE85</f>
        <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
      </c>
      <c r="AF85" s="55">
        <f>VLOOKUP(AB85,'Feuerwaffen-Ressourcen'!$AO$3:$AP$9,2,1)</f>
        <v/>
      </c>
      <c r="AG85" s="55" t="n">
        <v>0</v>
      </c>
      <c r="AH85" s="28" t="inlineStr">
        <is>
          <t>Hiebwaffen</t>
        </is>
      </c>
      <c r="AI85" s="28" t="inlineStr">
        <is>
          <t>Improvisierte Hiebwaffen</t>
        </is>
      </c>
      <c r="AJ85" s="56" t="n">
        <v>1.5</v>
      </c>
      <c r="AK85" s="56" t="inlineStr">
        <is>
          <t>W8</t>
        </is>
      </c>
      <c r="AL85" s="56" t="inlineStr">
        <is>
          <t>-</t>
        </is>
      </c>
      <c r="AM85" s="56" t="n">
        <v>3</v>
      </c>
      <c r="AN85" s="56" t="n">
        <v>5</v>
      </c>
      <c r="AO85" s="56" t="n">
        <v>-2</v>
      </c>
      <c r="AP85" s="56" t="n">
        <v>-7</v>
      </c>
      <c r="AQ85" s="56" t="n">
        <v>10</v>
      </c>
      <c r="AR85" s="56" t="inlineStr">
        <is>
          <t>-</t>
        </is>
      </c>
      <c r="AS85" s="56" t="n">
        <v>2</v>
      </c>
      <c r="AT85" s="56" t="n">
        <v>10</v>
      </c>
    </row>
    <row r="86">
      <c r="A86" s="49" t="inlineStr">
        <is>
          <t>Feuerspucker</t>
        </is>
      </c>
      <c r="B86" s="49" t="inlineStr">
        <is>
          <t>Zwergisch</t>
        </is>
      </c>
      <c r="C86" s="49" t="inlineStr">
        <is>
          <t>Pistole</t>
        </is>
      </c>
      <c r="D86" s="49" t="inlineStr">
        <is>
          <t>Doppelläufig P</t>
        </is>
      </c>
      <c r="E86" s="49" t="inlineStr">
        <is>
          <t>Klapplauf</t>
        </is>
      </c>
      <c r="F86" s="49" t="inlineStr">
        <is>
          <t>Schlagbolzen</t>
        </is>
      </c>
      <c r="G86" s="49" t="inlineStr">
        <is>
          <t>Gezogen</t>
        </is>
      </c>
      <c r="H86" s="49" t="inlineStr">
        <is>
          <t>Messing Patrone</t>
        </is>
      </c>
      <c r="I86" s="49" t="inlineStr">
        <is>
          <t>Massenfabrikation</t>
        </is>
      </c>
      <c r="J86" s="49" t="inlineStr">
        <is>
          <t>Von der Stange</t>
        </is>
      </c>
      <c r="K86" s="51">
        <f>VLOOKUP(B86,'Feuerwaffen-Ressourcen'!$A$2:$AI$54,11,0)+VLOOKUP(C86,'Feuerwaffen-Ressourcen'!$A$2:$AI$54,11,0)+VLOOKUP(D86,'Feuerwaffen-Ressourcen'!$A$2:$AI$54,11,0)+VLOOKUP(E86,'Feuerwaffen-Ressourcen'!$A$2:$AI$54,11,0)+VLOOKUP(G86,'Feuerwaffen-Ressourcen'!$A$2:$AI$54,11,0)</f>
        <v/>
      </c>
      <c r="L86" s="50">
        <f>VLOOKUP(B86,'Feuerwaffen-Ressourcen'!$A$2:$AI$54,12,0)+VLOOKUP(C86,'Feuerwaffen-Ressourcen'!$A$2:$AI$54,12,0)+VLOOKUP(D86,'Feuerwaffen-Ressourcen'!$A$2:$AI$54,12,0)+VLOOKUP(J86,'Feuerwaffen-Ressourcen'!$A$2:$AI$54,12,0)</f>
        <v/>
      </c>
      <c r="M86" s="50">
        <f>VLOOKUP(VLOOKUP(B86,'Feuerwaffen-Ressourcen'!$A$2:$AI$54,13,0)+VLOOKUP(C86,'Feuerwaffen-Ressourcen'!$A$2:$AI$54,13,0)+VLOOKUP(D86,'Feuerwaffen-Ressourcen'!$A$2:$AI$54,13,0),'Feuerwaffen-Ressourcen'!$AJ$3:$AK$12,2,0)</f>
        <v/>
      </c>
      <c r="N86" s="50">
        <f>VLOOKUP(VLOOKUP(B86,'Feuerwaffen-Ressourcen'!$A$2:$AI$54,14,0)+VLOOKUP(C86,'Feuerwaffen-Ressourcen'!$A$2:$AI$54,14,0)+VLOOKUP(D86,'Feuerwaffen-Ressourcen'!$A$2:$AI$54,14,0),'Feuerwaffen-Ressourcen'!$AJ$3:$AK$12,2,0)</f>
        <v/>
      </c>
      <c r="O86" s="50">
        <f>VLOOKUP(B86,'Feuerwaffen-Ressourcen'!$A$2:$AI$54,15,0)+VLOOKUP(C86,'Feuerwaffen-Ressourcen'!$A$2:$AI$54,15,0)+VLOOKUP(D86,'Feuerwaffen-Ressourcen'!$A$2:$AI$54,15,0)</f>
        <v/>
      </c>
      <c r="P86" s="50">
        <f>VLOOKUP(B86,'Feuerwaffen-Ressourcen'!$A$2:$AI$54,16,0)+VLOOKUP(C86,'Feuerwaffen-Ressourcen'!$A$2:$AI$54,16,0)+VLOOKUP(D86,'Feuerwaffen-Ressourcen'!$A$2:$AI$54,16,0)+VLOOKUP(E86,'Feuerwaffen-Ressourcen'!$A$2:$AI$54,16,0)</f>
        <v/>
      </c>
      <c r="Q86" s="52">
        <f>VLOOKUP(B86,'Feuerwaffen-Ressourcen'!$A$2:$AI$54,17,0)+VLOOKUP(C86,'Feuerwaffen-Ressourcen'!$A$2:$AI$54,17,0)+VLOOKUP(D86,'Feuerwaffen-Ressourcen'!$A$2:$AI$54,17,0)+VLOOKUP(E86,'Feuerwaffen-Ressourcen'!$A$2:$AI$54,17,0)</f>
        <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
      </c>
      <c r="X86" s="50">
        <f>VLOOKUP(B86,'Feuerwaffen-Ressourcen'!$A$2:$AI$54,24,0)+VLOOKUP(C86,'Feuerwaffen-Ressourcen'!$A$2:$AI$54,24,0)+VLOOKUP(D86,'Feuerwaffen-Ressourcen'!$A$2:$AI$54,24,0)+VLOOKUP(G86,'Feuerwaffen-Ressourcen'!$A$2:$AI$54,24,0)</f>
        <v/>
      </c>
      <c r="Y86" s="50">
        <f>VLOOKUP(D86,'Feuerwaffen-Ressourcen'!$A$2:$AI$54,25,0)+VLOOKUP(E86,'Feuerwaffen-Ressourcen'!$A$2:$AI$54,25,0)+VLOOKUP(F86,'Feuerwaffen-Ressourcen'!$A$2:$AI$54,25,0)</f>
        <v/>
      </c>
      <c r="Z86" s="50">
        <f>VLOOKUP(E86,'Feuerwaffen-Ressourcen'!$A$2:$AI$54,26,0)</f>
        <v/>
      </c>
      <c r="AA86" s="50">
        <f>VLOOKUP(B86,'Feuerwaffen-Ressourcen'!$A$2:$AI$54,27,0)+VLOOKUP(D86,'Feuerwaffen-Ressourcen'!$A$2:$AI$54,27,0)+VLOOKUP(F86,'Feuerwaffen-Ressourcen'!$A$2:$AI$54,27,0)+VLOOKUP(I86,'Feuerwaffen-Ressourcen'!$A$2:$AI$54,27,0)</f>
        <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
      </c>
      <c r="AC86" s="53">
        <f>VLOOKUP(I86,'Feuerwaffen-Ressourcen'!$A$2:$AI$54,31,0)*AD86+AE86</f>
        <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
      </c>
      <c r="AF86" s="55">
        <f>VLOOKUP(AB86,'Feuerwaffen-Ressourcen'!$AO$3:$AP$9,2,1)</f>
        <v/>
      </c>
      <c r="AG86" s="55" t="n">
        <v>0</v>
      </c>
      <c r="AH86" s="28" t="inlineStr">
        <is>
          <t>Hiebwaffen</t>
        </is>
      </c>
      <c r="AI86" s="28" t="inlineStr">
        <is>
          <t>Improvisierte Hiebwaffen</t>
        </is>
      </c>
      <c r="AJ86" s="56" t="n">
        <v>1.5</v>
      </c>
      <c r="AK86" s="56" t="inlineStr">
        <is>
          <t>W8</t>
        </is>
      </c>
      <c r="AL86" s="56" t="inlineStr">
        <is>
          <t>-</t>
        </is>
      </c>
      <c r="AM86" s="56" t="n">
        <v>3</v>
      </c>
      <c r="AN86" s="56" t="n">
        <v>5</v>
      </c>
      <c r="AO86" s="56" t="n">
        <v>-2</v>
      </c>
      <c r="AP86" s="56" t="n">
        <v>-7</v>
      </c>
      <c r="AQ86" s="56" t="n">
        <v>9</v>
      </c>
      <c r="AR86" s="56" t="inlineStr">
        <is>
          <t>-</t>
        </is>
      </c>
      <c r="AS86" s="56" t="n">
        <v>2</v>
      </c>
      <c r="AT86" s="56" t="n">
        <v>10</v>
      </c>
    </row>
    <row r="87">
      <c r="A87" s="49" t="inlineStr">
        <is>
          <t>Wyrm</t>
        </is>
      </c>
      <c r="B87" s="49" t="inlineStr">
        <is>
          <t>Zwergisch</t>
        </is>
      </c>
      <c r="C87" s="49" t="inlineStr">
        <is>
          <t>Pistole</t>
        </is>
      </c>
      <c r="D87" s="49" t="inlineStr">
        <is>
          <t>Normal P</t>
        </is>
      </c>
      <c r="E87" s="49" t="inlineStr">
        <is>
          <t>Vorderlader</t>
        </is>
      </c>
      <c r="F87" s="49" t="inlineStr">
        <is>
          <t>Steinschloss</t>
        </is>
      </c>
      <c r="G87" s="49" t="inlineStr">
        <is>
          <t>Glattlauf</t>
        </is>
      </c>
      <c r="H87" s="49" t="inlineStr">
        <is>
          <t>Blei</t>
        </is>
      </c>
      <c r="I87" s="49" t="inlineStr">
        <is>
          <t>Massenfabrikation</t>
        </is>
      </c>
      <c r="J87" s="49" t="inlineStr">
        <is>
          <t>Von der Stange</t>
        </is>
      </c>
      <c r="K87" s="51">
        <f>VLOOKUP(B87,'Feuerwaffen-Ressourcen'!$A$2:$AI$54,11,0)+VLOOKUP(C87,'Feuerwaffen-Ressourcen'!$A$2:$AI$54,11,0)+VLOOKUP(D87,'Feuerwaffen-Ressourcen'!$A$2:$AI$54,11,0)+VLOOKUP(E87,'Feuerwaffen-Ressourcen'!$A$2:$AI$54,11,0)+VLOOKUP(G87,'Feuerwaffen-Ressourcen'!$A$2:$AI$54,11,0)</f>
        <v/>
      </c>
      <c r="L87" s="50">
        <f>VLOOKUP(B87,'Feuerwaffen-Ressourcen'!$A$2:$AI$54,12,0)+VLOOKUP(C87,'Feuerwaffen-Ressourcen'!$A$2:$AI$54,12,0)+VLOOKUP(D87,'Feuerwaffen-Ressourcen'!$A$2:$AI$54,12,0)+VLOOKUP(J87,'Feuerwaffen-Ressourcen'!$A$2:$AI$54,12,0)</f>
        <v/>
      </c>
      <c r="M87" s="50">
        <f>VLOOKUP(VLOOKUP(B87,'Feuerwaffen-Ressourcen'!$A$2:$AI$54,13,0)+VLOOKUP(C87,'Feuerwaffen-Ressourcen'!$A$2:$AI$54,13,0)+VLOOKUP(D87,'Feuerwaffen-Ressourcen'!$A$2:$AI$54,13,0),'Feuerwaffen-Ressourcen'!$AJ$3:$AK$12,2,0)</f>
        <v/>
      </c>
      <c r="N87" s="50">
        <f>VLOOKUP(VLOOKUP(B87,'Feuerwaffen-Ressourcen'!$A$2:$AI$54,14,0)+VLOOKUP(C87,'Feuerwaffen-Ressourcen'!$A$2:$AI$54,14,0)+VLOOKUP(D87,'Feuerwaffen-Ressourcen'!$A$2:$AI$54,14,0),'Feuerwaffen-Ressourcen'!$AJ$3:$AK$12,2,0)</f>
        <v/>
      </c>
      <c r="O87" s="50">
        <f>VLOOKUP(B87,'Feuerwaffen-Ressourcen'!$A$2:$AI$54,15,0)+VLOOKUP(C87,'Feuerwaffen-Ressourcen'!$A$2:$AI$54,15,0)+VLOOKUP(D87,'Feuerwaffen-Ressourcen'!$A$2:$AI$54,15,0)</f>
        <v/>
      </c>
      <c r="P87" s="50">
        <f>VLOOKUP(B87,'Feuerwaffen-Ressourcen'!$A$2:$AI$54,16,0)+VLOOKUP(C87,'Feuerwaffen-Ressourcen'!$A$2:$AI$54,16,0)+VLOOKUP(D87,'Feuerwaffen-Ressourcen'!$A$2:$AI$54,16,0)+VLOOKUP(E87,'Feuerwaffen-Ressourcen'!$A$2:$AI$54,16,0)</f>
        <v/>
      </c>
      <c r="Q87" s="52">
        <f>VLOOKUP(B87,'Feuerwaffen-Ressourcen'!$A$2:$AI$54,17,0)+VLOOKUP(C87,'Feuerwaffen-Ressourcen'!$A$2:$AI$54,17,0)+VLOOKUP(D87,'Feuerwaffen-Ressourcen'!$A$2:$AI$54,17,0)+VLOOKUP(E87,'Feuerwaffen-Ressourcen'!$A$2:$AI$54,17,0)</f>
        <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
      </c>
      <c r="X87" s="50">
        <f>VLOOKUP(B87,'Feuerwaffen-Ressourcen'!$A$2:$AI$54,24,0)+VLOOKUP(C87,'Feuerwaffen-Ressourcen'!$A$2:$AI$54,24,0)+VLOOKUP(D87,'Feuerwaffen-Ressourcen'!$A$2:$AI$54,24,0)+VLOOKUP(G87,'Feuerwaffen-Ressourcen'!$A$2:$AI$54,24,0)</f>
        <v/>
      </c>
      <c r="Y87" s="50">
        <f>VLOOKUP(D87,'Feuerwaffen-Ressourcen'!$A$2:$AI$54,25,0)+VLOOKUP(E87,'Feuerwaffen-Ressourcen'!$A$2:$AI$54,25,0)+VLOOKUP(F87,'Feuerwaffen-Ressourcen'!$A$2:$AI$54,25,0)</f>
        <v/>
      </c>
      <c r="Z87" s="50">
        <f>VLOOKUP(E87,'Feuerwaffen-Ressourcen'!$A$2:$AI$54,26,0)</f>
        <v/>
      </c>
      <c r="AA87" s="50">
        <f>VLOOKUP(B87,'Feuerwaffen-Ressourcen'!$A$2:$AI$54,27,0)+VLOOKUP(D87,'Feuerwaffen-Ressourcen'!$A$2:$AI$54,27,0)+VLOOKUP(F87,'Feuerwaffen-Ressourcen'!$A$2:$AI$54,27,0)+VLOOKUP(I87,'Feuerwaffen-Ressourcen'!$A$2:$AI$54,27,0)</f>
        <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
      </c>
      <c r="AC87" s="53">
        <f>VLOOKUP(I87,'Feuerwaffen-Ressourcen'!$A$2:$AI$54,31,0)*AD87+AE87</f>
        <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
      </c>
      <c r="AF87" s="55">
        <f>VLOOKUP(AB87,'Feuerwaffen-Ressourcen'!$AO$3:$AP$9,2,1)</f>
        <v/>
      </c>
      <c r="AG87" s="55" t="n">
        <v>0</v>
      </c>
      <c r="AH87" s="28" t="inlineStr">
        <is>
          <t>Hiebwaffen</t>
        </is>
      </c>
      <c r="AI87" s="28" t="inlineStr">
        <is>
          <t>Improvisierte Hiebwaffen</t>
        </is>
      </c>
      <c r="AJ87" s="56" t="n">
        <v>1.5</v>
      </c>
      <c r="AK87" s="56" t="inlineStr">
        <is>
          <t>W8</t>
        </is>
      </c>
      <c r="AL87" s="56" t="inlineStr">
        <is>
          <t>-</t>
        </is>
      </c>
      <c r="AM87" s="56" t="n">
        <v>3</v>
      </c>
      <c r="AN87" s="56" t="n">
        <v>5</v>
      </c>
      <c r="AO87" s="56" t="n">
        <v>-2</v>
      </c>
      <c r="AP87" s="56" t="n">
        <v>-7</v>
      </c>
      <c r="AQ87" s="56" t="n">
        <v>8</v>
      </c>
      <c r="AR87" s="56" t="inlineStr">
        <is>
          <t>-</t>
        </is>
      </c>
      <c r="AS87" s="56" t="n">
        <v>2</v>
      </c>
      <c r="AT87" s="56" t="n">
        <v>10</v>
      </c>
    </row>
  </sheetData>
  <pageMargins left="0.7" right="0.7" top="0.75" bottom="0.75" header="0.3" footer="0.3"/>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P54"/>
  <sheetViews>
    <sheetView workbookViewId="0">
      <selection activeCell="A1" sqref="A1"/>
    </sheetView>
  </sheetViews>
  <sheetFormatPr baseColWidth="10" defaultColWidth="9.140625" defaultRowHeight="15"/>
  <cols>
    <col width="32" customWidth="1" style="48" min="1" max="1"/>
    <col width="16" customWidth="1" style="48" min="2" max="10"/>
    <col width="12" customWidth="1" style="48" min="11" max="42"/>
  </cols>
  <sheetData>
    <row r="1" ht="33.9500007629394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Mindeststärke</t>
        </is>
      </c>
      <c r="M1" s="46" t="inlineStr">
        <is>
          <t>1.Würfel</t>
        </is>
      </c>
      <c r="N1" s="46" t="inlineStr">
        <is>
          <t>2.Würfel</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Lohn/d</t>
        </is>
      </c>
      <c r="AF1" s="46" t="inlineStr">
        <is>
          <t>Stahl/kg in D</t>
        </is>
      </c>
      <c r="AG1" s="46" t="inlineStr">
        <is>
          <t>Holz/kg in D</t>
        </is>
      </c>
      <c r="AH1" s="46" t="inlineStr">
        <is>
          <t>Gewicht Stahl in kg</t>
        </is>
      </c>
      <c r="AI1" s="46" t="inlineStr">
        <is>
          <t>Gewicht Holz in kg</t>
        </is>
      </c>
      <c r="AJ1" s="46" t="n"/>
      <c r="AK1" s="46" t="n"/>
      <c r="AL1" s="46" t="n"/>
      <c r="AM1" s="46" t="n"/>
      <c r="AN1" s="46" t="n"/>
      <c r="AO1" s="46" t="n"/>
      <c r="AP1" s="47" t="n"/>
    </row>
    <row r="2">
      <c r="A2" t="inlineStr">
        <is>
          <t>Karabiner</t>
        </is>
      </c>
      <c r="C2" t="inlineStr">
        <is>
          <t>Gewehr</t>
        </is>
      </c>
      <c r="D2" t="inlineStr">
        <is>
          <t>Bauart</t>
        </is>
      </c>
      <c r="K2">
        <f>AH2+AI2</f>
        <v/>
      </c>
      <c r="L2" t="n">
        <v>-1</v>
      </c>
      <c r="R2" t="n">
        <v>2</v>
      </c>
      <c r="T2" t="n">
        <v>-2</v>
      </c>
      <c r="U2" t="n">
        <v>-4</v>
      </c>
      <c r="V2" t="n">
        <v>-6</v>
      </c>
      <c r="W2" t="n">
        <v>-8</v>
      </c>
      <c r="X2" t="n">
        <v>-10</v>
      </c>
      <c r="AB2" t="n">
        <v>-20</v>
      </c>
      <c r="AH2" t="n">
        <v>-0.8</v>
      </c>
      <c r="AI2" t="n">
        <v>-0.1</v>
      </c>
      <c r="AJ2" t="inlineStr">
        <is>
          <t>Würfeltabelle</t>
        </is>
      </c>
      <c r="AL2" t="inlineStr">
        <is>
          <t>Goblins</t>
        </is>
      </c>
      <c r="AM2" t="inlineStr">
        <is>
          <t>Alle anderen</t>
        </is>
      </c>
      <c r="AO2" t="inlineStr">
        <is>
          <t>Verftabelle</t>
        </is>
      </c>
    </row>
    <row r="3">
      <c r="A3" t="inlineStr">
        <is>
          <t>Karabiner VL</t>
        </is>
      </c>
      <c r="C3" t="inlineStr">
        <is>
          <t>Gewehr</t>
        </is>
      </c>
      <c r="D3" t="inlineStr">
        <is>
          <t>Bauart</t>
        </is>
      </c>
      <c r="K3" t="n">
        <v>-0.9</v>
      </c>
      <c r="L3" t="n">
        <v>-1</v>
      </c>
      <c r="R3" t="n">
        <v>2</v>
      </c>
      <c r="T3" t="n">
        <v>-2</v>
      </c>
      <c r="U3" t="n">
        <v>-4</v>
      </c>
      <c r="V3" t="n">
        <v>-6</v>
      </c>
      <c r="W3" t="n">
        <v>-8</v>
      </c>
      <c r="X3" t="n">
        <v>-10</v>
      </c>
      <c r="Y3" t="n">
        <v>-1</v>
      </c>
      <c r="AB3" t="n">
        <v>-10</v>
      </c>
      <c r="AH3" t="n">
        <v>-0.8</v>
      </c>
      <c r="AI3" t="n">
        <v>-0.1</v>
      </c>
      <c r="AJ3" t="n">
        <v>-4</v>
      </c>
      <c r="AK3" t="inlineStr">
        <is>
          <t>W2</t>
        </is>
      </c>
      <c r="AL3" t="inlineStr">
        <is>
          <t>Ausschuss</t>
        </is>
      </c>
      <c r="AM3" t="inlineStr">
        <is>
          <t>Ausschuss</t>
        </is>
      </c>
      <c r="AO3" t="n">
        <v>-9999</v>
      </c>
      <c r="AP3" t="n">
        <v>7</v>
      </c>
    </row>
    <row r="4">
      <c r="A4" t="inlineStr">
        <is>
          <t>Goblinisch</t>
        </is>
      </c>
      <c r="B4" t="inlineStr">
        <is>
          <t>Volk</t>
        </is>
      </c>
      <c r="K4" t="n">
        <v>-0.7</v>
      </c>
      <c r="L4" t="n">
        <v>-3</v>
      </c>
      <c r="P4" t="n">
        <v>3</v>
      </c>
      <c r="Q4" t="n">
        <v>-1</v>
      </c>
      <c r="R4" t="n">
        <v>-1</v>
      </c>
      <c r="S4" t="n">
        <v>-1</v>
      </c>
      <c r="T4" t="n">
        <v>-1</v>
      </c>
      <c r="U4" t="n">
        <v>-2</v>
      </c>
      <c r="V4" t="n">
        <v>-2</v>
      </c>
      <c r="W4" t="n">
        <v>-2</v>
      </c>
      <c r="AA4" t="n">
        <v>2</v>
      </c>
      <c r="AB4" t="n">
        <v>40</v>
      </c>
      <c r="AD4" t="n">
        <v>-3</v>
      </c>
      <c r="AH4" t="n">
        <v>-0.5</v>
      </c>
      <c r="AI4" t="n">
        <v>-0.2</v>
      </c>
      <c r="AJ4" t="n">
        <v>-3</v>
      </c>
      <c r="AK4" t="inlineStr">
        <is>
          <t>W3</t>
        </is>
      </c>
      <c r="AL4" t="inlineStr">
        <is>
          <t>Gob. Massenfabrikation</t>
        </is>
      </c>
      <c r="AM4" t="inlineStr">
        <is>
          <t>Massenfabrikation</t>
        </is>
      </c>
      <c r="AO4" t="n">
        <v>70</v>
      </c>
      <c r="AP4" t="n">
        <v>6</v>
      </c>
    </row>
    <row r="5">
      <c r="A5" t="inlineStr">
        <is>
          <t>Pocket Pistol</t>
        </is>
      </c>
      <c r="C5" t="inlineStr">
        <is>
          <t>Pistole</t>
        </is>
      </c>
      <c r="D5" t="inlineStr">
        <is>
          <t>Bauart</t>
        </is>
      </c>
      <c r="K5" t="n">
        <v>-0.7</v>
      </c>
      <c r="L5" t="n">
        <v>-2</v>
      </c>
      <c r="M5" t="n">
        <v>-2</v>
      </c>
      <c r="N5" t="n">
        <v>-2</v>
      </c>
      <c r="P5" t="n">
        <v>3</v>
      </c>
      <c r="Q5" t="n">
        <v>-2</v>
      </c>
      <c r="R5" t="n">
        <v>4</v>
      </c>
      <c r="S5" t="n">
        <v>-5</v>
      </c>
      <c r="T5" t="n">
        <v>-10</v>
      </c>
      <c r="U5" t="n">
        <v>-20</v>
      </c>
      <c r="V5" t="n">
        <v>-40</v>
      </c>
      <c r="W5" t="n">
        <v>-80</v>
      </c>
      <c r="X5" t="n">
        <v>-10</v>
      </c>
      <c r="Y5" t="n">
        <v>-1</v>
      </c>
      <c r="AA5" t="n">
        <v>-2</v>
      </c>
      <c r="AB5" t="n">
        <v>-15</v>
      </c>
      <c r="AD5" t="n">
        <v>4</v>
      </c>
      <c r="AH5" t="n">
        <v>-0.5</v>
      </c>
      <c r="AI5" t="n">
        <v>-0.2</v>
      </c>
      <c r="AJ5" t="n">
        <v>-2</v>
      </c>
      <c r="AK5" t="inlineStr">
        <is>
          <t>W4</t>
        </is>
      </c>
      <c r="AL5" t="inlineStr">
        <is>
          <t>Massenfabrikation</t>
        </is>
      </c>
      <c r="AM5" t="inlineStr">
        <is>
          <t>Gesellenarbeit</t>
        </is>
      </c>
      <c r="AO5" t="n">
        <v>90</v>
      </c>
      <c r="AP5" t="n">
        <v>5</v>
      </c>
    </row>
    <row r="6">
      <c r="A6" t="inlineStr">
        <is>
          <t>Billig</t>
        </is>
      </c>
      <c r="C6" t="inlineStr">
        <is>
          <t>Gewehr</t>
        </is>
      </c>
      <c r="D6" t="inlineStr">
        <is>
          <t>Bauart</t>
        </is>
      </c>
      <c r="K6" t="n">
        <v>-0.5</v>
      </c>
      <c r="L6" t="n">
        <v>-1</v>
      </c>
      <c r="R6" t="n">
        <v>-1</v>
      </c>
      <c r="S6" t="n">
        <v>-1</v>
      </c>
      <c r="T6" t="n">
        <v>-2</v>
      </c>
      <c r="U6" t="n">
        <v>-2</v>
      </c>
      <c r="V6" t="n">
        <v>-3</v>
      </c>
      <c r="W6" t="n">
        <v>-3</v>
      </c>
      <c r="X6" t="n">
        <v>-10</v>
      </c>
      <c r="AA6" t="n">
        <v>1</v>
      </c>
      <c r="AB6" t="n">
        <v>10</v>
      </c>
      <c r="AD6" t="n">
        <v>-0.5</v>
      </c>
      <c r="AH6" t="n">
        <v>-0.5</v>
      </c>
      <c r="AJ6" t="n">
        <v>-1</v>
      </c>
      <c r="AK6" t="inlineStr">
        <is>
          <t>W6</t>
        </is>
      </c>
      <c r="AL6" t="inlineStr">
        <is>
          <t>Gesellenarbeit</t>
        </is>
      </c>
      <c r="AM6" t="inlineStr">
        <is>
          <t>Meisterarbeit</t>
        </is>
      </c>
      <c r="AO6" t="n">
        <v>110</v>
      </c>
      <c r="AP6" t="n">
        <v>4</v>
      </c>
    </row>
    <row r="7">
      <c r="A7" t="inlineStr">
        <is>
          <t>Billig P</t>
        </is>
      </c>
      <c r="C7" t="inlineStr">
        <is>
          <t>Pistole</t>
        </is>
      </c>
      <c r="D7" t="inlineStr">
        <is>
          <t>Bauart</t>
        </is>
      </c>
      <c r="K7" t="n">
        <v>-0.5</v>
      </c>
      <c r="L7" t="n">
        <v>-1</v>
      </c>
      <c r="R7" t="n">
        <v>-1</v>
      </c>
      <c r="S7" t="n">
        <v>-1</v>
      </c>
      <c r="T7" t="n">
        <v>-2</v>
      </c>
      <c r="U7" t="n">
        <v>-2</v>
      </c>
      <c r="V7" t="n">
        <v>-3</v>
      </c>
      <c r="W7" t="n">
        <v>-3</v>
      </c>
      <c r="X7" t="n">
        <v>-10</v>
      </c>
      <c r="AA7" t="n">
        <v>1</v>
      </c>
      <c r="AB7" t="n">
        <v>10</v>
      </c>
      <c r="AD7" t="n">
        <v>-0.5</v>
      </c>
      <c r="AH7" t="n">
        <v>-0.5</v>
      </c>
      <c r="AJ7" t="n">
        <v>0</v>
      </c>
      <c r="AK7" t="inlineStr">
        <is>
          <t>W8</t>
        </is>
      </c>
      <c r="AL7" t="inlineStr">
        <is>
          <t>Meisterarbeit</t>
        </is>
      </c>
      <c r="AM7" t="inlineStr">
        <is>
          <t>Großmeisterarbeit</t>
        </is>
      </c>
      <c r="AO7" t="n">
        <v>130</v>
      </c>
      <c r="AP7" t="n">
        <v>3</v>
      </c>
    </row>
    <row r="8">
      <c r="A8" t="inlineStr">
        <is>
          <t>Block- oder Scharnierverschluss</t>
        </is>
      </c>
      <c r="E8" t="inlineStr">
        <is>
          <t>Lademechanismus</t>
        </is>
      </c>
      <c r="K8" t="n">
        <v>0.1</v>
      </c>
      <c r="P8" t="n">
        <v>6</v>
      </c>
      <c r="Q8" t="n">
        <v>-6</v>
      </c>
      <c r="Y8" t="n">
        <v>8</v>
      </c>
      <c r="Z8" t="n">
        <v>6</v>
      </c>
      <c r="AB8" t="n">
        <v>-30</v>
      </c>
      <c r="AH8" t="n">
        <v>0.1</v>
      </c>
      <c r="AJ8" t="n">
        <v>1</v>
      </c>
      <c r="AK8" t="inlineStr">
        <is>
          <t>W10</t>
        </is>
      </c>
      <c r="AL8" t="inlineStr">
        <is>
          <t>Großmeisterarbeit</t>
        </is>
      </c>
      <c r="AM8" t="inlineStr">
        <is>
          <t>Einzelstück</t>
        </is>
      </c>
      <c r="AO8" t="n">
        <v>150</v>
      </c>
      <c r="AP8" t="n">
        <v>2</v>
      </c>
    </row>
    <row r="9">
      <c r="A9" t="inlineStr">
        <is>
          <t>Hinterlader</t>
        </is>
      </c>
      <c r="E9" t="inlineStr">
        <is>
          <t>Lademechanismus</t>
        </is>
      </c>
      <c r="K9" t="n">
        <v>0.1</v>
      </c>
      <c r="Y9" t="n">
        <v>11</v>
      </c>
      <c r="Z9" t="n">
        <v>6</v>
      </c>
      <c r="AB9" t="n">
        <v>-5</v>
      </c>
      <c r="AH9" t="n">
        <v>0.1</v>
      </c>
      <c r="AJ9" t="n">
        <v>2</v>
      </c>
      <c r="AK9" t="inlineStr">
        <is>
          <t>W12</t>
        </is>
      </c>
      <c r="AL9" t="inlineStr">
        <is>
          <t>Einzelstück</t>
        </is>
      </c>
      <c r="AO9" t="n">
        <v>170</v>
      </c>
      <c r="AP9" t="n">
        <v>1</v>
      </c>
    </row>
    <row r="10">
      <c r="A10" t="inlineStr">
        <is>
          <t>Klapplauf</t>
        </is>
      </c>
      <c r="E10" t="inlineStr">
        <is>
          <t>Lademechanismus</t>
        </is>
      </c>
      <c r="K10" t="n">
        <v>0.1</v>
      </c>
      <c r="P10" t="n">
        <v>6</v>
      </c>
      <c r="Q10" t="n">
        <v>-6</v>
      </c>
      <c r="Y10" t="n">
        <v>9</v>
      </c>
      <c r="Z10" t="n">
        <v>6</v>
      </c>
      <c r="AB10" t="n">
        <v>-20</v>
      </c>
      <c r="AH10" t="n">
        <v>0.1</v>
      </c>
      <c r="AJ10" t="n">
        <v>3</v>
      </c>
      <c r="AK10" t="inlineStr">
        <is>
          <t>W15</t>
        </is>
      </c>
    </row>
    <row r="11">
      <c r="A11" t="inlineStr">
        <is>
          <t>Gezogen</t>
        </is>
      </c>
      <c r="C11" t="inlineStr">
        <is>
          <t>Pistole</t>
        </is>
      </c>
      <c r="G11" t="inlineStr">
        <is>
          <t>Lauf</t>
        </is>
      </c>
      <c r="K11" t="n">
        <v>0.15</v>
      </c>
      <c r="R11" t="n">
        <v>2</v>
      </c>
      <c r="S11" t="n">
        <v>3</v>
      </c>
      <c r="T11" t="n">
        <v>3</v>
      </c>
      <c r="U11" t="n">
        <v>2</v>
      </c>
      <c r="V11" t="n">
        <v>1</v>
      </c>
      <c r="W11" t="n">
        <v>1</v>
      </c>
      <c r="X11" t="n">
        <v>30</v>
      </c>
      <c r="AB11" t="n">
        <v>-10</v>
      </c>
      <c r="AD11" t="n">
        <v>1.5</v>
      </c>
      <c r="AH11" t="n">
        <v>0.15</v>
      </c>
      <c r="AJ11" t="n">
        <v>4</v>
      </c>
      <c r="AK11" t="inlineStr">
        <is>
          <t>W20</t>
        </is>
      </c>
    </row>
    <row r="12">
      <c r="A12" t="inlineStr">
        <is>
          <t>Böller</t>
        </is>
      </c>
      <c r="C12" t="inlineStr">
        <is>
          <t>Pistole</t>
        </is>
      </c>
      <c r="D12" t="inlineStr">
        <is>
          <t>Bauart</t>
        </is>
      </c>
      <c r="K12" t="n">
        <v>0.3</v>
      </c>
      <c r="L12" t="n">
        <v>2</v>
      </c>
      <c r="M12" t="n">
        <v>1</v>
      </c>
      <c r="N12" t="n">
        <v>1</v>
      </c>
      <c r="O12" t="n">
        <v>3</v>
      </c>
      <c r="P12" t="n">
        <v>-3</v>
      </c>
      <c r="Q12" t="n">
        <v>3</v>
      </c>
      <c r="S12" t="n">
        <v>-5</v>
      </c>
      <c r="T12" t="n">
        <v>-10</v>
      </c>
      <c r="U12" t="n">
        <v>-15</v>
      </c>
      <c r="V12" t="n">
        <v>-20</v>
      </c>
      <c r="W12" t="n">
        <v>-25</v>
      </c>
      <c r="X12" t="n">
        <v>-10</v>
      </c>
      <c r="Y12" t="n">
        <v>2</v>
      </c>
      <c r="AB12" t="n">
        <v>-10</v>
      </c>
      <c r="AD12" t="n">
        <v>1</v>
      </c>
      <c r="AH12" t="n">
        <v>0.3</v>
      </c>
      <c r="AJ12" t="n">
        <v>5</v>
      </c>
      <c r="AK12" t="inlineStr">
        <is>
          <t>W30</t>
        </is>
      </c>
    </row>
    <row r="13">
      <c r="A13" t="inlineStr">
        <is>
          <t>Langlauf</t>
        </is>
      </c>
      <c r="C13" t="inlineStr">
        <is>
          <t>Pistole</t>
        </is>
      </c>
      <c r="D13" t="inlineStr">
        <is>
          <t>Bauart</t>
        </is>
      </c>
      <c r="K13" t="n">
        <v>0.3</v>
      </c>
      <c r="N13" t="n">
        <v>1</v>
      </c>
      <c r="O13" t="n">
        <v>1</v>
      </c>
      <c r="R13" t="n">
        <v>-1</v>
      </c>
      <c r="S13" t="n">
        <v>2</v>
      </c>
      <c r="T13" t="n">
        <v>1</v>
      </c>
      <c r="U13" t="n">
        <v>1</v>
      </c>
      <c r="V13" t="n">
        <v>1</v>
      </c>
      <c r="W13" t="n">
        <v>1</v>
      </c>
      <c r="X13" t="n">
        <v>10</v>
      </c>
      <c r="AB13" t="n">
        <v>-15</v>
      </c>
      <c r="AD13" t="n">
        <v>0.5</v>
      </c>
      <c r="AH13" t="n">
        <v>0.3</v>
      </c>
    </row>
    <row r="14">
      <c r="A14" t="inlineStr">
        <is>
          <t>Gezogen</t>
        </is>
      </c>
      <c r="C14" t="inlineStr">
        <is>
          <t>Gewehr</t>
        </is>
      </c>
      <c r="G14" t="inlineStr">
        <is>
          <t>Lauf</t>
        </is>
      </c>
      <c r="K14" t="n">
        <v>0.3</v>
      </c>
      <c r="R14" t="n">
        <v>1</v>
      </c>
      <c r="S14" t="n">
        <v>3</v>
      </c>
      <c r="T14" t="n">
        <v>4</v>
      </c>
      <c r="U14" t="n">
        <v>4</v>
      </c>
      <c r="V14" t="n">
        <v>5</v>
      </c>
      <c r="W14" t="n">
        <v>5</v>
      </c>
      <c r="X14" t="n">
        <v>60</v>
      </c>
      <c r="AB14" t="n">
        <v>-10</v>
      </c>
      <c r="AD14" t="n">
        <v>2</v>
      </c>
      <c r="AH14" t="n">
        <v>0.3</v>
      </c>
    </row>
    <row r="15">
      <c r="A15" t="inlineStr">
        <is>
          <t>Schwer P</t>
        </is>
      </c>
      <c r="C15" t="inlineStr">
        <is>
          <t>Pistole</t>
        </is>
      </c>
      <c r="D15" t="inlineStr">
        <is>
          <t>Bauart</t>
        </is>
      </c>
      <c r="K15" t="n">
        <v>0.5</v>
      </c>
      <c r="L15" t="n">
        <v>2</v>
      </c>
      <c r="M15" t="n">
        <v>1</v>
      </c>
      <c r="N15" t="n">
        <v>1</v>
      </c>
      <c r="O15" t="n">
        <v>1</v>
      </c>
      <c r="P15" t="n">
        <v>1</v>
      </c>
      <c r="Q15" t="n">
        <v>1</v>
      </c>
      <c r="R15" t="n">
        <v>-2</v>
      </c>
      <c r="S15" t="n">
        <v>-1</v>
      </c>
      <c r="X15" t="n">
        <v>20</v>
      </c>
      <c r="Y15" t="n">
        <v>2</v>
      </c>
      <c r="AB15" t="n">
        <v>-10</v>
      </c>
      <c r="AD15" t="n">
        <v>0.5</v>
      </c>
      <c r="AH15" t="n">
        <v>0.5</v>
      </c>
    </row>
    <row r="16">
      <c r="A16" t="inlineStr">
        <is>
          <t>Doppelläufig P</t>
        </is>
      </c>
      <c r="C16" t="inlineStr">
        <is>
          <t>Pistole</t>
        </is>
      </c>
      <c r="D16" t="inlineStr">
        <is>
          <t>Bauart</t>
        </is>
      </c>
      <c r="K16" t="n">
        <v>0.6</v>
      </c>
      <c r="L16" t="n">
        <v>1</v>
      </c>
      <c r="N16" t="n">
        <v>-1</v>
      </c>
      <c r="Q16" t="n">
        <v>-1</v>
      </c>
      <c r="R16" t="n">
        <v>-1</v>
      </c>
      <c r="S16" t="n">
        <v>-1</v>
      </c>
      <c r="T16" t="n">
        <v>-1</v>
      </c>
      <c r="U16" t="n">
        <v>-1</v>
      </c>
      <c r="V16" t="n">
        <v>-1</v>
      </c>
      <c r="W16" t="n">
        <v>-1</v>
      </c>
      <c r="Y16" t="n">
        <v>3</v>
      </c>
      <c r="AB16" t="n">
        <v>-30</v>
      </c>
      <c r="AD16" t="n">
        <v>1</v>
      </c>
      <c r="AH16" t="n">
        <v>0.6</v>
      </c>
    </row>
    <row r="17">
      <c r="A17" t="inlineStr">
        <is>
          <t>Präzisionsgewehr</t>
        </is>
      </c>
      <c r="C17" t="inlineStr">
        <is>
          <t>Gewehr</t>
        </is>
      </c>
      <c r="D17" t="inlineStr">
        <is>
          <t>Bauart</t>
        </is>
      </c>
      <c r="K17" t="n">
        <v>0.7</v>
      </c>
      <c r="O17" t="n">
        <v>2</v>
      </c>
      <c r="R17" t="n">
        <v>-2</v>
      </c>
      <c r="T17" t="n">
        <v>2</v>
      </c>
      <c r="U17" t="n">
        <v>3</v>
      </c>
      <c r="V17" t="n">
        <v>4</v>
      </c>
      <c r="W17" t="n">
        <v>5</v>
      </c>
      <c r="X17" t="n">
        <v>30</v>
      </c>
      <c r="Y17" t="n">
        <v>1</v>
      </c>
      <c r="AB17" t="n">
        <v>-30</v>
      </c>
      <c r="AD17" t="n">
        <v>3</v>
      </c>
      <c r="AH17" t="n">
        <v>0.7</v>
      </c>
    </row>
    <row r="18">
      <c r="A18" t="inlineStr">
        <is>
          <t>Zwergisch</t>
        </is>
      </c>
      <c r="B18" t="inlineStr">
        <is>
          <t>Volk</t>
        </is>
      </c>
      <c r="K18" t="n">
        <v>1</v>
      </c>
      <c r="L18" t="n">
        <v>1</v>
      </c>
      <c r="M18" t="n">
        <v>1</v>
      </c>
      <c r="N18" t="n">
        <v>1</v>
      </c>
      <c r="P18" t="n">
        <v>2</v>
      </c>
      <c r="R18" t="n">
        <v>1</v>
      </c>
      <c r="S18" t="n">
        <v>1</v>
      </c>
      <c r="T18" t="n">
        <v>1</v>
      </c>
      <c r="U18" t="n">
        <v>1</v>
      </c>
      <c r="V18" t="n">
        <v>1</v>
      </c>
      <c r="W18" t="n">
        <v>1</v>
      </c>
      <c r="AA18" t="n">
        <v>-4</v>
      </c>
      <c r="AB18" t="n">
        <v>20</v>
      </c>
      <c r="AD18" t="n">
        <v>3</v>
      </c>
      <c r="AH18" t="n">
        <v>1</v>
      </c>
    </row>
    <row r="19">
      <c r="A19" t="inlineStr">
        <is>
          <t>Drow</t>
        </is>
      </c>
      <c r="B19" t="inlineStr">
        <is>
          <t>Volk</t>
        </is>
      </c>
      <c r="K19" t="n">
        <v>1</v>
      </c>
      <c r="L19" t="n">
        <v>1</v>
      </c>
      <c r="M19" t="n">
        <v>2</v>
      </c>
      <c r="N19" t="n">
        <v>1</v>
      </c>
      <c r="Q19" t="n">
        <v>1</v>
      </c>
      <c r="R19" t="n">
        <v>2</v>
      </c>
      <c r="S19" t="n">
        <v>1</v>
      </c>
      <c r="V19" t="n">
        <v>-1</v>
      </c>
      <c r="W19" t="n">
        <v>-2</v>
      </c>
      <c r="AA19" t="n">
        <v>-1</v>
      </c>
      <c r="AD19" t="n">
        <v>2</v>
      </c>
      <c r="AH19" t="n">
        <v>1</v>
      </c>
    </row>
    <row r="20">
      <c r="A20" t="inlineStr">
        <is>
          <t>Donnerbüchse</t>
        </is>
      </c>
      <c r="C20" t="inlineStr">
        <is>
          <t>Gewehr</t>
        </is>
      </c>
      <c r="D20" t="inlineStr">
        <is>
          <t>Bauart</t>
        </is>
      </c>
      <c r="K20" t="n">
        <v>1</v>
      </c>
      <c r="L20" t="n">
        <v>2</v>
      </c>
      <c r="M20" t="n">
        <v>1</v>
      </c>
      <c r="N20" t="n">
        <v>1</v>
      </c>
      <c r="O20" t="n">
        <v>3</v>
      </c>
      <c r="P20" t="n">
        <v>-3</v>
      </c>
      <c r="Q20" t="n">
        <v>3</v>
      </c>
      <c r="S20" t="n">
        <v>-5</v>
      </c>
      <c r="T20" t="n">
        <v>-10</v>
      </c>
      <c r="U20" t="n">
        <v>-15</v>
      </c>
      <c r="V20" t="n">
        <v>-20</v>
      </c>
      <c r="W20" t="n">
        <v>-25</v>
      </c>
      <c r="X20" t="n">
        <v>-20</v>
      </c>
      <c r="Y20" t="n">
        <v>2</v>
      </c>
      <c r="AB20" t="n">
        <v>-15</v>
      </c>
      <c r="AD20" t="n">
        <v>1</v>
      </c>
      <c r="AH20" t="n">
        <v>1</v>
      </c>
    </row>
    <row r="21">
      <c r="A21" t="inlineStr">
        <is>
          <t>Schwer</t>
        </is>
      </c>
      <c r="C21" t="inlineStr">
        <is>
          <t>Gewehr</t>
        </is>
      </c>
      <c r="D21" t="inlineStr">
        <is>
          <t>Bauart</t>
        </is>
      </c>
      <c r="K21" t="n">
        <v>1</v>
      </c>
      <c r="L21" t="n">
        <v>2</v>
      </c>
      <c r="M21" t="n">
        <v>1</v>
      </c>
      <c r="N21" t="n">
        <v>1</v>
      </c>
      <c r="O21" t="n">
        <v>1</v>
      </c>
      <c r="P21" t="n">
        <v>1</v>
      </c>
      <c r="Q21" t="n">
        <v>1</v>
      </c>
      <c r="R21" t="n">
        <v>-2</v>
      </c>
      <c r="S21" t="n">
        <v>-1</v>
      </c>
      <c r="X21" t="n">
        <v>20</v>
      </c>
      <c r="Y21" t="n">
        <v>2</v>
      </c>
      <c r="AB21" t="n">
        <v>-10</v>
      </c>
      <c r="AD21" t="n">
        <v>1</v>
      </c>
      <c r="AH21" t="n">
        <v>1</v>
      </c>
    </row>
    <row r="22">
      <c r="A22" t="inlineStr">
        <is>
          <t>Doppelläufig</t>
        </is>
      </c>
      <c r="C22" t="inlineStr">
        <is>
          <t>Gewehr</t>
        </is>
      </c>
      <c r="D22" t="inlineStr">
        <is>
          <t>Bauart</t>
        </is>
      </c>
      <c r="K22" t="n">
        <v>1.5</v>
      </c>
      <c r="L22" t="n">
        <v>1</v>
      </c>
      <c r="N22" t="n">
        <v>-1</v>
      </c>
      <c r="Q22" t="n">
        <v>-1</v>
      </c>
      <c r="R22" t="n">
        <v>-1</v>
      </c>
      <c r="S22" t="n">
        <v>-1</v>
      </c>
      <c r="T22" t="n">
        <v>-1</v>
      </c>
      <c r="U22" t="n">
        <v>-1</v>
      </c>
      <c r="V22" t="n">
        <v>-1</v>
      </c>
      <c r="W22" t="n">
        <v>-1</v>
      </c>
      <c r="Y22" t="n">
        <v>4</v>
      </c>
      <c r="AB22" t="n">
        <v>-30</v>
      </c>
      <c r="AD22" t="n">
        <v>2</v>
      </c>
      <c r="AH22" t="n">
        <v>1.5</v>
      </c>
    </row>
    <row r="23">
      <c r="A23" t="inlineStr">
        <is>
          <t>Pistole</t>
        </is>
      </c>
      <c r="C23" t="inlineStr">
        <is>
          <t>TYP</t>
        </is>
      </c>
      <c r="K23" t="n">
        <v>1.55</v>
      </c>
      <c r="L23" t="n">
        <v>7</v>
      </c>
      <c r="P23" t="n">
        <v>6</v>
      </c>
      <c r="Q23" t="n">
        <v>14</v>
      </c>
      <c r="R23" t="n">
        <v>7</v>
      </c>
      <c r="S23" t="n">
        <v>-1</v>
      </c>
      <c r="T23" t="n">
        <v>-11</v>
      </c>
      <c r="U23" t="n">
        <v>-23</v>
      </c>
      <c r="V23" t="n">
        <v>-37</v>
      </c>
      <c r="W23" t="n">
        <v>-53</v>
      </c>
      <c r="X23" t="n">
        <v>30</v>
      </c>
      <c r="AB23" t="n">
        <v>100</v>
      </c>
      <c r="AD23" t="n">
        <v>7</v>
      </c>
      <c r="AF23" t="n">
        <v>150</v>
      </c>
      <c r="AG23" t="n">
        <v>1</v>
      </c>
      <c r="AH23" t="n">
        <v>1</v>
      </c>
      <c r="AI23" t="n">
        <v>0.55</v>
      </c>
    </row>
    <row r="24">
      <c r="A24" t="inlineStr">
        <is>
          <t>Orkisch</t>
        </is>
      </c>
      <c r="B24" t="inlineStr">
        <is>
          <t>Volk</t>
        </is>
      </c>
      <c r="K24" t="n">
        <v>2</v>
      </c>
      <c r="L24" t="n">
        <v>3</v>
      </c>
      <c r="M24" t="n">
        <v>2</v>
      </c>
      <c r="N24" t="n">
        <v>2</v>
      </c>
      <c r="O24" t="n">
        <v>1</v>
      </c>
      <c r="P24" t="n">
        <v>-1</v>
      </c>
      <c r="Q24" t="n">
        <v>2</v>
      </c>
      <c r="S24" t="n">
        <v>-1</v>
      </c>
      <c r="T24" t="n">
        <v>-2</v>
      </c>
      <c r="U24" t="n">
        <v>-3</v>
      </c>
      <c r="V24" t="n">
        <v>-4</v>
      </c>
      <c r="W24" t="n">
        <v>-5</v>
      </c>
      <c r="X24" t="n">
        <v>-10</v>
      </c>
      <c r="AA24" t="n">
        <v>1</v>
      </c>
      <c r="AH24" t="n">
        <v>1</v>
      </c>
      <c r="AI24" t="n">
        <v>1</v>
      </c>
    </row>
    <row r="25">
      <c r="A25" t="inlineStr">
        <is>
          <t>Vierläufig P</t>
        </is>
      </c>
      <c r="C25" t="inlineStr">
        <is>
          <t>Pistole</t>
        </is>
      </c>
      <c r="D25" t="inlineStr">
        <is>
          <t>Bauart</t>
        </is>
      </c>
      <c r="K25" t="n">
        <v>2.1</v>
      </c>
      <c r="L25" t="n">
        <v>2</v>
      </c>
      <c r="M25" t="n">
        <v>-1</v>
      </c>
      <c r="N25" t="n">
        <v>-1</v>
      </c>
      <c r="Q25" t="n">
        <v>-1</v>
      </c>
      <c r="R25" t="n">
        <v>-2</v>
      </c>
      <c r="S25" t="n">
        <v>-2</v>
      </c>
      <c r="T25" t="n">
        <v>-2</v>
      </c>
      <c r="U25" t="n">
        <v>-2</v>
      </c>
      <c r="V25" t="n">
        <v>-2</v>
      </c>
      <c r="W25" t="n">
        <v>-2</v>
      </c>
      <c r="Y25" t="n">
        <v>5</v>
      </c>
      <c r="AB25" t="n">
        <v>-40</v>
      </c>
      <c r="AD25" t="n">
        <v>6</v>
      </c>
      <c r="AH25" t="n">
        <v>2.1</v>
      </c>
    </row>
    <row r="26">
      <c r="A26" t="inlineStr">
        <is>
          <t>Hakenbüchse</t>
        </is>
      </c>
      <c r="C26" t="inlineStr">
        <is>
          <t>Gewehr</t>
        </is>
      </c>
      <c r="D26" t="inlineStr">
        <is>
          <t>Bauart</t>
        </is>
      </c>
      <c r="K26" t="n">
        <v>3</v>
      </c>
      <c r="L26" t="n">
        <v>4</v>
      </c>
      <c r="M26" t="n">
        <v>2</v>
      </c>
      <c r="N26" t="n">
        <v>1</v>
      </c>
      <c r="O26" t="n">
        <v>1</v>
      </c>
      <c r="P26" t="n">
        <v>3</v>
      </c>
      <c r="Q26" t="n">
        <v>2</v>
      </c>
      <c r="R26" t="n">
        <v>-4</v>
      </c>
      <c r="S26" t="n">
        <v>-2</v>
      </c>
      <c r="X26" t="n">
        <v>20</v>
      </c>
      <c r="Y26" t="n">
        <v>8</v>
      </c>
      <c r="AB26" t="n">
        <v>-25</v>
      </c>
      <c r="AD26" t="n">
        <v>3</v>
      </c>
      <c r="AH26" t="n">
        <v>3</v>
      </c>
    </row>
    <row r="27">
      <c r="A27" t="inlineStr">
        <is>
          <t>Gewehr</t>
        </is>
      </c>
      <c r="C27" t="inlineStr">
        <is>
          <t>TYP</t>
        </is>
      </c>
      <c r="K27" t="n">
        <v>3.8</v>
      </c>
      <c r="L27" t="n">
        <v>10</v>
      </c>
      <c r="O27" t="n">
        <v>1</v>
      </c>
      <c r="P27" t="n">
        <v>11</v>
      </c>
      <c r="Q27" t="n">
        <v>17</v>
      </c>
      <c r="R27" t="n">
        <v>4</v>
      </c>
      <c r="S27" t="n">
        <v>-1</v>
      </c>
      <c r="T27" t="n">
        <v>-6</v>
      </c>
      <c r="U27" t="n">
        <v>-12</v>
      </c>
      <c r="V27" t="n">
        <v>-19</v>
      </c>
      <c r="W27" t="n">
        <v>-27</v>
      </c>
      <c r="X27" t="n">
        <v>40</v>
      </c>
      <c r="AB27" t="n">
        <v>100</v>
      </c>
      <c r="AD27" t="n">
        <v>7.2</v>
      </c>
      <c r="AF27" t="n">
        <v>150</v>
      </c>
      <c r="AG27" t="n">
        <v>1</v>
      </c>
      <c r="AH27" t="n">
        <v>1.9</v>
      </c>
      <c r="AI27" t="n">
        <v>1.9</v>
      </c>
    </row>
    <row r="28">
      <c r="A28" t="inlineStr">
        <is>
          <t>Vierläufig</t>
        </is>
      </c>
      <c r="C28" t="inlineStr">
        <is>
          <t>Gewehr</t>
        </is>
      </c>
      <c r="D28" t="inlineStr">
        <is>
          <t>Bauart</t>
        </is>
      </c>
      <c r="K28" t="n">
        <v>4.5</v>
      </c>
      <c r="L28" t="n">
        <v>3</v>
      </c>
      <c r="M28" t="n">
        <v>-1</v>
      </c>
      <c r="N28" t="n">
        <v>-1</v>
      </c>
      <c r="Q28" t="n">
        <v>-1</v>
      </c>
      <c r="R28" t="n">
        <v>-2</v>
      </c>
      <c r="S28" t="n">
        <v>-2</v>
      </c>
      <c r="T28" t="n">
        <v>-2</v>
      </c>
      <c r="U28" t="n">
        <v>-2</v>
      </c>
      <c r="V28" t="n">
        <v>-2</v>
      </c>
      <c r="W28" t="n">
        <v>-2</v>
      </c>
      <c r="Y28" t="n">
        <v>6</v>
      </c>
      <c r="AB28" t="n">
        <v>-40</v>
      </c>
      <c r="AD28" t="n">
        <v>8</v>
      </c>
      <c r="AH28" t="n">
        <v>4.5</v>
      </c>
    </row>
    <row r="29">
      <c r="A29" t="inlineStr">
        <is>
          <t>Schwere Hakenbüchse (Trolltöter)</t>
        </is>
      </c>
      <c r="C29" t="inlineStr">
        <is>
          <t>Gewehr</t>
        </is>
      </c>
      <c r="D29" t="inlineStr">
        <is>
          <t>Bauart</t>
        </is>
      </c>
      <c r="K29" t="n">
        <v>8</v>
      </c>
      <c r="L29" t="n">
        <v>8</v>
      </c>
      <c r="M29" t="n">
        <v>2</v>
      </c>
      <c r="N29" t="n">
        <v>2</v>
      </c>
      <c r="O29" t="n">
        <v>2</v>
      </c>
      <c r="P29" t="n">
        <v>4</v>
      </c>
      <c r="Q29" t="n">
        <v>4</v>
      </c>
      <c r="R29" t="n">
        <v>-6</v>
      </c>
      <c r="S29" t="n">
        <v>-3</v>
      </c>
      <c r="T29" t="n">
        <v>-1</v>
      </c>
      <c r="X29" t="n">
        <v>50</v>
      </c>
      <c r="Y29" t="n">
        <v>12</v>
      </c>
      <c r="AB29" t="n">
        <v>-25</v>
      </c>
      <c r="AD29" t="n">
        <v>6</v>
      </c>
      <c r="AH29" t="n">
        <v>8</v>
      </c>
    </row>
    <row r="30">
      <c r="A30" t="inlineStr">
        <is>
          <t>Dalkinisch</t>
        </is>
      </c>
      <c r="B30" t="inlineStr">
        <is>
          <t>Volk</t>
        </is>
      </c>
      <c r="R30" t="n">
        <v>1</v>
      </c>
      <c r="T30" t="n">
        <v>-1</v>
      </c>
      <c r="U30" t="n">
        <v>-1</v>
      </c>
      <c r="V30" t="n">
        <v>-2</v>
      </c>
      <c r="W30" t="n">
        <v>-2</v>
      </c>
      <c r="AA30" t="n">
        <v>1</v>
      </c>
      <c r="AB30" t="n">
        <v>10</v>
      </c>
    </row>
    <row r="31">
      <c r="A31" t="inlineStr">
        <is>
          <t>Elfisch</t>
        </is>
      </c>
      <c r="B31" t="inlineStr">
        <is>
          <t>Volk</t>
        </is>
      </c>
      <c r="R31" t="n">
        <v>3</v>
      </c>
      <c r="S31" t="n">
        <v>3</v>
      </c>
      <c r="T31" t="n">
        <v>3</v>
      </c>
      <c r="U31" t="n">
        <v>3</v>
      </c>
      <c r="V31" t="n">
        <v>3</v>
      </c>
      <c r="W31" t="n">
        <v>3</v>
      </c>
      <c r="X31" t="n">
        <v>20</v>
      </c>
      <c r="AA31" t="n">
        <v>-1</v>
      </c>
      <c r="AB31" t="n">
        <v>20</v>
      </c>
      <c r="AD31" t="n">
        <v>2</v>
      </c>
    </row>
    <row r="32">
      <c r="A32" t="inlineStr">
        <is>
          <t>Ausschuss</t>
        </is>
      </c>
      <c r="I32" t="inlineStr">
        <is>
          <t>Verarbeitung</t>
        </is>
      </c>
      <c r="R32" t="n">
        <v>-5</v>
      </c>
      <c r="S32" t="n">
        <v>-5</v>
      </c>
      <c r="T32" t="n">
        <v>-5</v>
      </c>
      <c r="U32" t="n">
        <v>-5</v>
      </c>
      <c r="V32" t="n">
        <v>-5</v>
      </c>
      <c r="W32" t="n">
        <v>-5</v>
      </c>
      <c r="AA32" t="n">
        <v>5</v>
      </c>
      <c r="AB32" t="n">
        <v>0</v>
      </c>
      <c r="AE32" t="n">
        <v>1</v>
      </c>
    </row>
    <row r="33">
      <c r="A33" t="inlineStr">
        <is>
          <t>Einzelstück</t>
        </is>
      </c>
      <c r="I33" t="inlineStr">
        <is>
          <t>Verarbeitung</t>
        </is>
      </c>
      <c r="R33" t="n">
        <v>3</v>
      </c>
      <c r="S33" t="n">
        <v>3</v>
      </c>
      <c r="T33" t="n">
        <v>3</v>
      </c>
      <c r="U33" t="n">
        <v>3</v>
      </c>
      <c r="V33" t="n">
        <v>3</v>
      </c>
      <c r="W33" t="n">
        <v>3</v>
      </c>
      <c r="AA33" t="n">
        <v>-3</v>
      </c>
      <c r="AB33" t="n">
        <v>3</v>
      </c>
      <c r="AE33" t="n">
        <v>142</v>
      </c>
    </row>
    <row r="34">
      <c r="A34" t="inlineStr">
        <is>
          <t>Gesellenarbeit</t>
        </is>
      </c>
      <c r="I34" t="inlineStr">
        <is>
          <t>Verarbeitung</t>
        </is>
      </c>
      <c r="AB34" t="n">
        <v>0</v>
      </c>
      <c r="AE34" t="n">
        <v>6</v>
      </c>
    </row>
    <row r="35">
      <c r="A35" t="inlineStr">
        <is>
          <t>Gob. Massenfabrikation</t>
        </is>
      </c>
      <c r="I35" t="inlineStr">
        <is>
          <t>Verarbeitung</t>
        </is>
      </c>
      <c r="R35" t="n">
        <v>-2</v>
      </c>
      <c r="S35" t="n">
        <v>-2</v>
      </c>
      <c r="T35" t="n">
        <v>-2</v>
      </c>
      <c r="U35" t="n">
        <v>-2</v>
      </c>
      <c r="V35" t="n">
        <v>-2</v>
      </c>
      <c r="W35" t="n">
        <v>-2</v>
      </c>
      <c r="AA35" t="n">
        <v>3</v>
      </c>
      <c r="AB35" t="n">
        <v>-1</v>
      </c>
      <c r="AD35" t="n">
        <v>-3.6</v>
      </c>
      <c r="AE35" t="n">
        <v>3</v>
      </c>
      <c r="AF35" t="n">
        <v>-75</v>
      </c>
      <c r="AG35" t="n">
        <v>-0.5</v>
      </c>
    </row>
    <row r="36">
      <c r="A36" t="inlineStr">
        <is>
          <t>Großmeisterarbeit</t>
        </is>
      </c>
      <c r="I36" t="inlineStr">
        <is>
          <t>Verarbeitung</t>
        </is>
      </c>
      <c r="R36" t="n">
        <v>2</v>
      </c>
      <c r="S36" t="n">
        <v>2</v>
      </c>
      <c r="T36" t="n">
        <v>2</v>
      </c>
      <c r="U36" t="n">
        <v>2</v>
      </c>
      <c r="V36" t="n">
        <v>2</v>
      </c>
      <c r="W36" t="n">
        <v>2</v>
      </c>
      <c r="AA36" t="n">
        <v>-2</v>
      </c>
      <c r="AB36" t="n">
        <v>2</v>
      </c>
      <c r="AE36" t="n">
        <v>71</v>
      </c>
    </row>
    <row r="37">
      <c r="A37" t="inlineStr">
        <is>
          <t>Massenfabrikation</t>
        </is>
      </c>
      <c r="I37" t="inlineStr">
        <is>
          <t>Verarbeitung</t>
        </is>
      </c>
      <c r="R37" t="n">
        <v>-1</v>
      </c>
      <c r="S37" t="n">
        <v>-1</v>
      </c>
      <c r="T37" t="n">
        <v>-1</v>
      </c>
      <c r="U37" t="n">
        <v>-1</v>
      </c>
      <c r="V37" t="n">
        <v>-1</v>
      </c>
      <c r="W37" t="n">
        <v>-1</v>
      </c>
      <c r="AA37" t="n">
        <v>2</v>
      </c>
      <c r="AB37" t="n">
        <v>0</v>
      </c>
      <c r="AD37" t="n">
        <v>-3</v>
      </c>
      <c r="AE37" t="n">
        <v>4</v>
      </c>
      <c r="AF37" t="n">
        <v>-30</v>
      </c>
      <c r="AG37" t="n">
        <v>-0.3</v>
      </c>
    </row>
    <row r="38">
      <c r="A38" t="inlineStr">
        <is>
          <t>Meisterarbeit</t>
        </is>
      </c>
      <c r="I38" t="inlineStr">
        <is>
          <t>Verarbeitung</t>
        </is>
      </c>
      <c r="R38" t="n">
        <v>1</v>
      </c>
      <c r="S38" t="n">
        <v>1</v>
      </c>
      <c r="T38" t="n">
        <v>1</v>
      </c>
      <c r="U38" t="n">
        <v>1</v>
      </c>
      <c r="V38" t="n">
        <v>1</v>
      </c>
      <c r="W38" t="n">
        <v>1</v>
      </c>
      <c r="AA38" t="n">
        <v>-1</v>
      </c>
      <c r="AB38" t="n">
        <v>1</v>
      </c>
      <c r="AE38" t="n">
        <v>65</v>
      </c>
    </row>
    <row r="39">
      <c r="A39" t="inlineStr">
        <is>
          <t>Vorderlader</t>
        </is>
      </c>
      <c r="E39" t="inlineStr">
        <is>
          <t>Lademechanismus</t>
        </is>
      </c>
      <c r="Y39" t="n">
        <v>30</v>
      </c>
      <c r="Z39" t="n">
        <v>3</v>
      </c>
    </row>
    <row r="40">
      <c r="A40" t="inlineStr">
        <is>
          <t>Harpunengewehr</t>
        </is>
      </c>
      <c r="C40" t="inlineStr">
        <is>
          <t>Gewehr</t>
        </is>
      </c>
      <c r="D40" t="inlineStr">
        <is>
          <t>Bauart</t>
        </is>
      </c>
      <c r="AB40" t="n">
        <v>-50</v>
      </c>
    </row>
    <row r="41">
      <c r="A41" t="inlineStr">
        <is>
          <t>Jagd</t>
        </is>
      </c>
      <c r="C41" t="inlineStr">
        <is>
          <t>Gewehr</t>
        </is>
      </c>
      <c r="D41" t="inlineStr">
        <is>
          <t>Bauart</t>
        </is>
      </c>
      <c r="O41" t="n">
        <v>1</v>
      </c>
      <c r="R41" t="n">
        <v>-1</v>
      </c>
      <c r="T41" t="n">
        <v>1</v>
      </c>
      <c r="U41" t="n">
        <v>2</v>
      </c>
      <c r="V41" t="n">
        <v>3</v>
      </c>
      <c r="W41" t="n">
        <v>4</v>
      </c>
      <c r="X41" t="n">
        <v>10</v>
      </c>
      <c r="AB41" t="n">
        <v>-15</v>
      </c>
      <c r="AD41" t="n">
        <v>2</v>
      </c>
    </row>
    <row r="42">
      <c r="A42" t="inlineStr">
        <is>
          <t>Normal</t>
        </is>
      </c>
      <c r="C42" t="inlineStr">
        <is>
          <t>Gewehr</t>
        </is>
      </c>
      <c r="D42" t="inlineStr">
        <is>
          <t>Bauart</t>
        </is>
      </c>
    </row>
    <row r="43">
      <c r="A43" t="inlineStr">
        <is>
          <t>Normal P</t>
        </is>
      </c>
      <c r="C43" t="inlineStr">
        <is>
          <t>Pistole</t>
        </is>
      </c>
      <c r="D43" t="inlineStr">
        <is>
          <t>Bauart</t>
        </is>
      </c>
    </row>
    <row r="44">
      <c r="A44" t="inlineStr">
        <is>
          <t>Angepasst</t>
        </is>
      </c>
      <c r="J44" t="inlineStr">
        <is>
          <t>Anpassung</t>
        </is>
      </c>
      <c r="L44" t="n">
        <v>-1</v>
      </c>
      <c r="T44" t="n">
        <v>1</v>
      </c>
      <c r="U44" t="n">
        <v>1</v>
      </c>
      <c r="V44" t="n">
        <v>1</v>
      </c>
      <c r="W44" t="n">
        <v>1</v>
      </c>
      <c r="AB44" t="n">
        <v>1</v>
      </c>
      <c r="AD44" t="n">
        <v>2</v>
      </c>
    </row>
    <row r="45">
      <c r="A45" t="inlineStr">
        <is>
          <t>Perfekt Angepasst</t>
        </is>
      </c>
      <c r="J45" t="inlineStr">
        <is>
          <t>Anpassung</t>
        </is>
      </c>
      <c r="L45" t="n">
        <v>-2</v>
      </c>
      <c r="S45" t="n">
        <v>1</v>
      </c>
      <c r="T45" t="n">
        <v>2</v>
      </c>
      <c r="U45" t="n">
        <v>2</v>
      </c>
      <c r="V45" t="n">
        <v>2</v>
      </c>
      <c r="W45" t="n">
        <v>2</v>
      </c>
      <c r="AB45" t="n">
        <v>1</v>
      </c>
      <c r="AD45" t="n">
        <v>4</v>
      </c>
    </row>
    <row r="46">
      <c r="A46" t="inlineStr">
        <is>
          <t>Von der Stange</t>
        </is>
      </c>
      <c r="J46" t="inlineStr">
        <is>
          <t>Anpassung</t>
        </is>
      </c>
      <c r="AB46" t="n">
        <v>0</v>
      </c>
    </row>
    <row r="47">
      <c r="A47" t="inlineStr">
        <is>
          <t>Glattlauf</t>
        </is>
      </c>
      <c r="C47" t="inlineStr">
        <is>
          <t>Gewehr</t>
        </is>
      </c>
      <c r="G47" t="inlineStr">
        <is>
          <t>Lauf</t>
        </is>
      </c>
    </row>
    <row r="48">
      <c r="A48" t="inlineStr">
        <is>
          <t>Glattlauf</t>
        </is>
      </c>
      <c r="C48" t="inlineStr">
        <is>
          <t>Pistole</t>
        </is>
      </c>
      <c r="G48" t="inlineStr">
        <is>
          <t>Lauf</t>
        </is>
      </c>
    </row>
    <row r="49">
      <c r="A49" t="inlineStr">
        <is>
          <t>Luntenschloss</t>
        </is>
      </c>
      <c r="F49" t="inlineStr">
        <is>
          <t>Schloss</t>
        </is>
      </c>
      <c r="R49" t="n">
        <v>-1</v>
      </c>
      <c r="S49" t="n">
        <v>-1</v>
      </c>
      <c r="T49" t="n">
        <v>-1</v>
      </c>
      <c r="U49" t="n">
        <v>-1</v>
      </c>
      <c r="V49" t="n">
        <v>-1</v>
      </c>
      <c r="W49" t="n">
        <v>-1</v>
      </c>
      <c r="Y49" t="n">
        <v>1</v>
      </c>
      <c r="AA49" t="n">
        <v>1</v>
      </c>
      <c r="AD49" t="n">
        <v>-1</v>
      </c>
    </row>
    <row r="50">
      <c r="A50" t="inlineStr">
        <is>
          <t>Nadelzündung</t>
        </is>
      </c>
      <c r="F50" t="inlineStr">
        <is>
          <t>Schloss</t>
        </is>
      </c>
      <c r="R50" t="n">
        <v>2</v>
      </c>
      <c r="S50" t="n">
        <v>2</v>
      </c>
      <c r="T50" t="n">
        <v>2</v>
      </c>
      <c r="U50" t="n">
        <v>2</v>
      </c>
      <c r="V50" t="n">
        <v>2</v>
      </c>
      <c r="W50" t="n">
        <v>2</v>
      </c>
      <c r="AA50" t="n">
        <v>-2</v>
      </c>
      <c r="AB50" t="n">
        <v>-15</v>
      </c>
      <c r="AD50" t="n">
        <v>2</v>
      </c>
    </row>
    <row r="51">
      <c r="A51" t="inlineStr">
        <is>
          <t>Perkussionsschloss</t>
        </is>
      </c>
      <c r="F51" t="inlineStr">
        <is>
          <t>Schloss</t>
        </is>
      </c>
      <c r="R51" t="n">
        <v>1</v>
      </c>
      <c r="S51" t="n">
        <v>1</v>
      </c>
      <c r="T51" t="n">
        <v>1</v>
      </c>
      <c r="U51" t="n">
        <v>1</v>
      </c>
      <c r="V51" t="n">
        <v>1</v>
      </c>
      <c r="W51" t="n">
        <v>1</v>
      </c>
      <c r="Y51" t="n">
        <v>-1</v>
      </c>
      <c r="AA51" t="n">
        <v>-1</v>
      </c>
      <c r="AB51" t="n">
        <v>-10</v>
      </c>
      <c r="AD51" t="n">
        <v>1</v>
      </c>
    </row>
    <row r="52">
      <c r="A52" t="inlineStr">
        <is>
          <t>Radschloss</t>
        </is>
      </c>
      <c r="F52" t="inlineStr">
        <is>
          <t>Schloss</t>
        </is>
      </c>
      <c r="R52" t="n">
        <v>2</v>
      </c>
      <c r="S52" t="n">
        <v>2</v>
      </c>
      <c r="T52" t="n">
        <v>2</v>
      </c>
      <c r="U52" t="n">
        <v>2</v>
      </c>
      <c r="V52" t="n">
        <v>2</v>
      </c>
      <c r="W52" t="n">
        <v>2</v>
      </c>
      <c r="Y52" t="n">
        <v>3</v>
      </c>
      <c r="AB52" t="n">
        <v>-30</v>
      </c>
      <c r="AD52" t="n">
        <v>10</v>
      </c>
    </row>
    <row r="53">
      <c r="A53" t="inlineStr">
        <is>
          <t>Schlagbolzen</t>
        </is>
      </c>
      <c r="F53" t="inlineStr">
        <is>
          <t>Schloss</t>
        </is>
      </c>
      <c r="R53" t="n">
        <v>2</v>
      </c>
      <c r="S53" t="n">
        <v>2</v>
      </c>
      <c r="T53" t="n">
        <v>2</v>
      </c>
      <c r="U53" t="n">
        <v>2</v>
      </c>
      <c r="V53" t="n">
        <v>2</v>
      </c>
      <c r="W53" t="n">
        <v>2</v>
      </c>
      <c r="AA53" t="n">
        <v>-3</v>
      </c>
      <c r="AB53" t="n">
        <v>-20</v>
      </c>
      <c r="AD53" t="n">
        <v>3</v>
      </c>
    </row>
    <row r="54">
      <c r="A54" t="inlineStr">
        <is>
          <t>Steinschloss</t>
        </is>
      </c>
      <c r="F54" t="inlineStr">
        <is>
          <t>Schloss</t>
        </is>
      </c>
    </row>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O331"/>
  <sheetViews>
    <sheetView workbookViewId="0">
      <selection activeCell="A1" sqref="A1"/>
    </sheetView>
  </sheetViews>
  <sheetFormatPr baseColWidth="10" defaultColWidth="9.140625" defaultRowHeight="15"/>
  <sheetData>
    <row r="1">
      <c r="A1" t="inlineStr">
        <is>
          <t>Referenz</t>
        </is>
      </c>
      <c r="B1" t="inlineStr">
        <is>
          <t>MinInt</t>
        </is>
      </c>
      <c r="C1" t="inlineStr">
        <is>
          <t>Gegenprobe</t>
        </is>
      </c>
      <c r="D1" t="inlineStr">
        <is>
          <t>RW</t>
        </is>
      </c>
      <c r="E1" t="inlineStr">
        <is>
          <t>Ziel</t>
        </is>
      </c>
      <c r="F1" t="inlineStr">
        <is>
          <t>Form</t>
        </is>
      </c>
      <c r="G1" t="inlineStr">
        <is>
          <t>ZauberArt</t>
        </is>
      </c>
      <c r="H1" t="inlineStr">
        <is>
          <t>Aufrechterhaltung</t>
        </is>
      </c>
      <c r="I1" t="inlineStr">
        <is>
          <t>Vorbereitungszeit</t>
        </is>
      </c>
      <c r="J1" t="inlineStr">
        <is>
          <t>Einwirkdauer</t>
        </is>
      </c>
      <c r="K1" t="inlineStr">
        <is>
          <t>Wirkungsdauer</t>
        </is>
      </c>
      <c r="L1" t="inlineStr">
        <is>
          <t>Stufe1</t>
        </is>
      </c>
      <c r="M1" t="inlineStr">
        <is>
          <t>Stufe2</t>
        </is>
      </c>
      <c r="N1" t="inlineStr">
        <is>
          <t>Stufe3</t>
        </is>
      </c>
      <c r="O1" t="inlineStr">
        <is>
          <t>Mana</t>
        </is>
      </c>
    </row>
    <row r="2">
      <c r="A2" t="inlineStr">
        <is>
          <t>spruchmagie_veraenderung_1_magisches_makeover</t>
        </is>
      </c>
      <c r="B2" t="inlineStr">
        <is>
          <t>12</t>
        </is>
      </c>
      <c r="C2" t="inlineStr">
        <is>
          <t>Keine Gegenprobe möglich.</t>
        </is>
      </c>
      <c r="D2" t="inlineStr">
        <is>
          <t>Berührung</t>
        </is>
      </c>
      <c r="E2" t="inlineStr">
        <is>
          <t>Aura</t>
        </is>
      </c>
      <c r="F2" t="inlineStr">
        <is>
          <t>Aura</t>
        </is>
      </c>
      <c r="G2" t="inlineStr">
        <is>
          <t>Einmalig</t>
        </is>
      </c>
      <c r="H2" t="inlineStr">
        <is>
          <t>/</t>
        </is>
      </c>
      <c r="I2" t="inlineStr">
        <is>
          <t>30</t>
        </is>
      </c>
      <c r="J2" t="inlineStr">
        <is>
          <t>30sec</t>
        </is>
      </c>
      <c r="K2" t="inlineStr">
        <is>
          <t>permanent</t>
        </is>
      </c>
      <c r="L2" t="inlineStr">
        <is>
          <t>2</t>
        </is>
      </c>
      <c r="M2" t="inlineStr">
        <is>
          <t>6</t>
        </is>
      </c>
      <c r="N2" t="inlineStr">
        <is>
          <t>12</t>
        </is>
      </c>
      <c r="O2" t="inlineStr">
        <is>
          <t>10</t>
        </is>
      </c>
    </row>
    <row r="3">
      <c r="A3" t="inlineStr">
        <is>
          <t>spruchmagie_veraenderung_1_wasserwandeln</t>
        </is>
      </c>
      <c r="B3" t="inlineStr">
        <is>
          <t>12</t>
        </is>
      </c>
      <c r="C3" t="inlineStr">
        <is>
          <t>Keine Gegenprobe möglich.</t>
        </is>
      </c>
      <c r="D3" t="inlineStr">
        <is>
          <t>Berührung</t>
        </is>
      </c>
      <c r="E3" t="inlineStr">
        <is>
          <t>Aura</t>
        </is>
      </c>
      <c r="F3" t="inlineStr">
        <is>
          <t>Aura</t>
        </is>
      </c>
      <c r="G3" t="inlineStr">
        <is>
          <t>Einmalig</t>
        </is>
      </c>
      <c r="H3" t="inlineStr">
        <is>
          <t>/</t>
        </is>
      </c>
      <c r="I3" t="inlineStr">
        <is>
          <t>9</t>
        </is>
      </c>
      <c r="J3" t="inlineStr">
        <is>
          <t>Sofort</t>
        </is>
      </c>
      <c r="K3" t="inlineStr">
        <is>
          <t>Magie*min</t>
        </is>
      </c>
      <c r="L3" t="inlineStr">
        <is>
          <t>2</t>
        </is>
      </c>
      <c r="M3" t="inlineStr">
        <is>
          <t>6</t>
        </is>
      </c>
      <c r="N3" t="inlineStr">
        <is>
          <t>12</t>
        </is>
      </c>
      <c r="O3" t="inlineStr">
        <is>
          <t>7</t>
        </is>
      </c>
    </row>
    <row r="4">
      <c r="A4" t="inlineStr">
        <is>
          <t>spruchmagie_verzauberung_1_ausstrahlung_erhoehen</t>
        </is>
      </c>
      <c r="B4" t="inlineStr">
        <is>
          <t>12</t>
        </is>
      </c>
      <c r="C4" t="inlineStr">
        <is>
          <t>Keine Gegenprobe möglich.</t>
        </is>
      </c>
      <c r="D4" t="inlineStr">
        <is>
          <t>Berührung</t>
        </is>
      </c>
      <c r="E4" t="inlineStr">
        <is>
          <t>Aura</t>
        </is>
      </c>
      <c r="F4" t="inlineStr">
        <is>
          <t>Aura</t>
        </is>
      </c>
      <c r="G4" t="inlineStr">
        <is>
          <t>Einmalig</t>
        </is>
      </c>
      <c r="H4" t="inlineStr">
        <is>
          <t>/</t>
        </is>
      </c>
      <c r="I4" t="inlineStr">
        <is>
          <t>12</t>
        </is>
      </c>
      <c r="J4" t="inlineStr">
        <is>
          <t>sofort</t>
        </is>
      </c>
      <c r="K4" t="inlineStr">
        <is>
          <t>(M)*min</t>
        </is>
      </c>
      <c r="L4" t="inlineStr">
        <is>
          <t>2</t>
        </is>
      </c>
      <c r="M4" t="inlineStr">
        <is>
          <t>6</t>
        </is>
      </c>
      <c r="N4" t="inlineStr">
        <is>
          <t>12</t>
        </is>
      </c>
      <c r="O4" t="inlineStr">
        <is>
          <t>12</t>
        </is>
      </c>
    </row>
    <row r="5">
      <c r="A5" t="inlineStr">
        <is>
          <t>spruchmagie_verzauberung_1_grundfertigkeit_erhoehen</t>
        </is>
      </c>
      <c r="B5" t="inlineStr">
        <is>
          <t>12</t>
        </is>
      </c>
      <c r="C5" t="inlineStr">
        <is>
          <t>Keine Gegenprobe möglich.</t>
        </is>
      </c>
      <c r="D5" t="inlineStr">
        <is>
          <t>Berührung</t>
        </is>
      </c>
      <c r="E5" t="inlineStr">
        <is>
          <t>Aura</t>
        </is>
      </c>
      <c r="F5" t="inlineStr">
        <is>
          <t>Aura</t>
        </is>
      </c>
      <c r="G5" t="inlineStr">
        <is>
          <t>Einmalig</t>
        </is>
      </c>
      <c r="H5" t="inlineStr">
        <is>
          <t>/</t>
        </is>
      </c>
      <c r="I5" t="inlineStr">
        <is>
          <t>21</t>
        </is>
      </c>
      <c r="J5" t="inlineStr">
        <is>
          <t>Sofort</t>
        </is>
      </c>
      <c r="K5" t="inlineStr">
        <is>
          <t>(M)*min</t>
        </is>
      </c>
      <c r="L5" t="inlineStr">
        <is>
          <t>2</t>
        </is>
      </c>
      <c r="M5" t="inlineStr">
        <is>
          <t>6</t>
        </is>
      </c>
      <c r="N5" t="inlineStr">
        <is>
          <t>12</t>
        </is>
      </c>
      <c r="O5" t="inlineStr">
        <is>
          <t>15</t>
        </is>
      </c>
    </row>
    <row r="6">
      <c r="A6" t="inlineStr">
        <is>
          <t>spruchmagie_verzauberung_2_koerperliche_eigenschaft_erhoehen</t>
        </is>
      </c>
      <c r="B6" t="inlineStr">
        <is>
          <t>14</t>
        </is>
      </c>
      <c r="C6" t="inlineStr">
        <is>
          <t>Keine Gegenprobe möglich.</t>
        </is>
      </c>
      <c r="D6" t="inlineStr">
        <is>
          <t>Berührung</t>
        </is>
      </c>
      <c r="E6" t="inlineStr">
        <is>
          <t>Aura</t>
        </is>
      </c>
      <c r="F6" t="inlineStr">
        <is>
          <t>Aura</t>
        </is>
      </c>
      <c r="G6" t="inlineStr">
        <is>
          <t>Einmalig</t>
        </is>
      </c>
      <c r="H6" t="inlineStr">
        <is>
          <t>/</t>
        </is>
      </c>
      <c r="I6" t="inlineStr">
        <is>
          <t>24</t>
        </is>
      </c>
      <c r="J6" t="inlineStr">
        <is>
          <t>sofort</t>
        </is>
      </c>
      <c r="K6" t="inlineStr">
        <is>
          <t>(M)*min</t>
        </is>
      </c>
      <c r="L6" t="inlineStr">
        <is>
          <t>4</t>
        </is>
      </c>
      <c r="M6" t="inlineStr">
        <is>
          <t>9</t>
        </is>
      </c>
      <c r="N6" t="inlineStr">
        <is>
          <t>16</t>
        </is>
      </c>
      <c r="O6" t="inlineStr">
        <is>
          <t>18</t>
        </is>
      </c>
    </row>
    <row r="7">
      <c r="A7" t="inlineStr">
        <is>
          <t>spruchmagie_antimagie_1_magische_wand</t>
        </is>
      </c>
      <c r="B7" t="inlineStr">
        <is>
          <t>13</t>
        </is>
      </c>
      <c r="C7" t="inlineStr">
        <is>
          <t>Keine Gegenprobe möglich.</t>
        </is>
      </c>
      <c r="D7" t="inlineStr">
        <is>
          <t>Magie/2m</t>
        </is>
      </c>
      <c r="E7" t="inlineStr">
        <is>
          <t>Punkt im Raum</t>
        </is>
      </c>
      <c r="F7" t="inlineStr">
        <is>
          <t>Wand</t>
        </is>
      </c>
      <c r="G7" t="inlineStr">
        <is>
          <t>Anhaltend</t>
        </is>
      </c>
      <c r="H7" t="inlineStr">
        <is>
          <t>0.5</t>
        </is>
      </c>
      <c r="I7" t="inlineStr">
        <is>
          <t>3</t>
        </is>
      </c>
      <c r="J7" t="inlineStr">
        <is>
          <t>1sec</t>
        </is>
      </c>
      <c r="K7" t="inlineStr">
        <is>
          <t>(M)*3sec</t>
        </is>
      </c>
      <c r="L7" t="inlineStr">
        <is>
          <t>2</t>
        </is>
      </c>
      <c r="M7" t="inlineStr">
        <is>
          <t>6</t>
        </is>
      </c>
      <c r="N7" t="inlineStr">
        <is>
          <t>12</t>
        </is>
      </c>
      <c r="O7" t="inlineStr">
        <is>
          <t>5 + 1 / sec</t>
        </is>
      </c>
    </row>
    <row r="8">
      <c r="A8" t="inlineStr">
        <is>
          <t>spruchmagie_antimagie_2_magische_reinigung</t>
        </is>
      </c>
      <c r="B8" t="inlineStr">
        <is>
          <t>13</t>
        </is>
      </c>
      <c r="C8" t="inlineStr">
        <is>
          <t>Keine Gegenprobe möglich.</t>
        </is>
      </c>
      <c r="D8" t="inlineStr">
        <is>
          <t>Berührung</t>
        </is>
      </c>
      <c r="E8" t="inlineStr">
        <is>
          <t>Aura</t>
        </is>
      </c>
      <c r="F8" t="inlineStr">
        <is>
          <t>Aura</t>
        </is>
      </c>
      <c r="G8" t="inlineStr">
        <is>
          <t>Einmalig</t>
        </is>
      </c>
      <c r="H8" t="inlineStr">
        <is>
          <t>/</t>
        </is>
      </c>
      <c r="I8" t="inlineStr">
        <is>
          <t>3</t>
        </is>
      </c>
      <c r="J8" t="inlineStr">
        <is>
          <t>sofort</t>
        </is>
      </c>
      <c r="K8" t="inlineStr">
        <is>
          <t>permanent</t>
        </is>
      </c>
      <c r="L8" t="inlineStr">
        <is>
          <t>4</t>
        </is>
      </c>
      <c r="M8" t="inlineStr">
        <is>
          <t>9</t>
        </is>
      </c>
      <c r="N8" t="inlineStr">
        <is>
          <t>16</t>
        </is>
      </c>
      <c r="O8" t="inlineStr">
        <is>
          <t>6</t>
        </is>
      </c>
    </row>
    <row r="9">
      <c r="A9" t="inlineStr">
        <is>
          <t>spruchmagie_antimagie_2_bipolare_schere</t>
        </is>
      </c>
      <c r="B9" t="inlineStr">
        <is>
          <t>14</t>
        </is>
      </c>
      <c r="C9" t="inlineStr">
        <is>
          <t>Glücks-Probe, um der Wirkung zu entgehen.</t>
        </is>
      </c>
      <c r="D9" t="inlineStr">
        <is>
          <t>(M)*m</t>
        </is>
      </c>
      <c r="E9" t="inlineStr">
        <is>
          <t>Aura</t>
        </is>
      </c>
      <c r="F9" t="inlineStr">
        <is>
          <t>Blitz</t>
        </is>
      </c>
      <c r="G9" t="inlineStr">
        <is>
          <t>Bipolar</t>
        </is>
      </c>
      <c r="H9" t="inlineStr">
        <is>
          <t>2</t>
        </is>
      </c>
      <c r="I9" t="inlineStr">
        <is>
          <t>3</t>
        </is>
      </c>
      <c r="J9" t="inlineStr">
        <is>
          <t>sofort</t>
        </is>
      </c>
      <c r="K9" t="inlineStr">
        <is>
          <t>permanent</t>
        </is>
      </c>
      <c r="L9" t="inlineStr">
        <is>
          <t>4</t>
        </is>
      </c>
      <c r="M9" t="inlineStr">
        <is>
          <t>9</t>
        </is>
      </c>
      <c r="N9" t="inlineStr">
        <is>
          <t>16</t>
        </is>
      </c>
      <c r="O9" t="inlineStr">
        <is>
          <t>4</t>
        </is>
      </c>
    </row>
    <row r="10">
      <c r="A10" t="inlineStr">
        <is>
          <t>spruchmagie_antimagie_2_magische_kuppel</t>
        </is>
      </c>
      <c r="B10" t="inlineStr">
        <is>
          <t>14</t>
        </is>
      </c>
      <c r="C10" t="inlineStr">
        <is>
          <t>Keine Gegenprobe möglich.</t>
        </is>
      </c>
      <c r="D10" t="inlineStr">
        <is>
          <t>(M)/2m Radius</t>
        </is>
      </c>
      <c r="E10" t="inlineStr">
        <is>
          <t>Selbst</t>
        </is>
      </c>
      <c r="F10" t="inlineStr">
        <is>
          <t>Kugel</t>
        </is>
      </c>
      <c r="G10" t="inlineStr">
        <is>
          <t>Anhaltend</t>
        </is>
      </c>
      <c r="H10" t="inlineStr">
        <is>
          <t>1</t>
        </is>
      </c>
      <c r="I10" t="inlineStr">
        <is>
          <t>6</t>
        </is>
      </c>
      <c r="J10" t="inlineStr">
        <is>
          <t>3sec</t>
        </is>
      </c>
      <c r="K10" t="inlineStr">
        <is>
          <t>(M)*3sec</t>
        </is>
      </c>
      <c r="L10" t="inlineStr">
        <is>
          <t>4</t>
        </is>
      </c>
      <c r="M10" t="inlineStr">
        <is>
          <t>9</t>
        </is>
      </c>
      <c r="N10" t="inlineStr">
        <is>
          <t>16</t>
        </is>
      </c>
      <c r="O10" t="inlineStr">
        <is>
          <t>10 + 2 / sec</t>
        </is>
      </c>
    </row>
    <row r="11">
      <c r="A11" t="inlineStr">
        <is>
          <t>spruchmagie_antimagie_3_magischer_schild</t>
        </is>
      </c>
      <c r="B11" t="inlineStr">
        <is>
          <t>17</t>
        </is>
      </c>
      <c r="C11" t="inlineStr">
        <is>
          <t>Keine Gegenprobe möglich.</t>
        </is>
      </c>
      <c r="D11" t="inlineStr">
        <is>
          <t>Berührung</t>
        </is>
      </c>
      <c r="E11" t="inlineStr">
        <is>
          <t>Aura</t>
        </is>
      </c>
      <c r="F11" t="inlineStr">
        <is>
          <t>Aura</t>
        </is>
      </c>
      <c r="G11" t="inlineStr">
        <is>
          <t>Anhaltend</t>
        </is>
      </c>
      <c r="H11" t="inlineStr">
        <is>
          <t>1.5</t>
        </is>
      </c>
      <c r="I11" t="inlineStr">
        <is>
          <t>3</t>
        </is>
      </c>
      <c r="J11" t="inlineStr">
        <is>
          <t>sofort</t>
        </is>
      </c>
      <c r="K11" t="inlineStr">
        <is>
          <t>(M)*min</t>
        </is>
      </c>
      <c r="L11" t="inlineStr">
        <is>
          <t>6</t>
        </is>
      </c>
      <c r="M11" t="inlineStr">
        <is>
          <t>12</t>
        </is>
      </c>
      <c r="N11" t="inlineStr">
        <is>
          <t>20</t>
        </is>
      </c>
      <c r="O11" t="inlineStr">
        <is>
          <t>(M) / 2</t>
        </is>
      </c>
    </row>
    <row r="12">
      <c r="A12" t="inlineStr">
        <is>
          <t>spruchmagie_antimagie_3_magische_barriere</t>
        </is>
      </c>
      <c r="B12" t="inlineStr">
        <is>
          <t>16</t>
        </is>
      </c>
      <c r="C12" t="inlineStr">
        <is>
          <t>Keine Gegenprobe möglich.</t>
        </is>
      </c>
      <c r="D12" t="inlineStr">
        <is>
          <t>(M)*4m</t>
        </is>
      </c>
      <c r="E12" t="inlineStr">
        <is>
          <t>Gegenstand</t>
        </is>
      </c>
      <c r="F12" t="inlineStr">
        <is>
          <t>Wand</t>
        </is>
      </c>
      <c r="G12" t="inlineStr">
        <is>
          <t>Anhaltend</t>
        </is>
      </c>
      <c r="H12" t="inlineStr">
        <is>
          <t>1.5</t>
        </is>
      </c>
      <c r="I12" t="inlineStr">
        <is>
          <t>1800</t>
        </is>
      </c>
      <c r="J12" t="inlineStr">
        <is>
          <t>1min</t>
        </is>
      </c>
      <c r="K12" t="inlineStr">
        <is>
          <t>(M)*h</t>
        </is>
      </c>
      <c r="L12" t="inlineStr">
        <is>
          <t>6</t>
        </is>
      </c>
      <c r="M12" t="inlineStr">
        <is>
          <t>12</t>
        </is>
      </c>
      <c r="N12" t="inlineStr">
        <is>
          <t>20</t>
        </is>
      </c>
      <c r="O12" t="inlineStr">
        <is>
          <t>1 / 10m³ / h</t>
        </is>
      </c>
    </row>
    <row r="13">
      <c r="A13" t="inlineStr">
        <is>
          <t>spruchmagie_antimagie_4_magische_bresche</t>
        </is>
      </c>
      <c r="B13" t="inlineStr">
        <is>
          <t>18</t>
        </is>
      </c>
      <c r="C13" t="inlineStr">
        <is>
          <t>Glücks-Probe, um der Wirkung zu entgehen.</t>
        </is>
      </c>
      <c r="D13" t="inlineStr">
        <is>
          <t>(M)*2m</t>
        </is>
      </c>
      <c r="E13" t="inlineStr">
        <is>
          <t>Aura</t>
        </is>
      </c>
      <c r="F13" t="inlineStr">
        <is>
          <t>Blitz</t>
        </is>
      </c>
      <c r="G13" t="inlineStr">
        <is>
          <t>Einmalig</t>
        </is>
      </c>
      <c r="H13" t="inlineStr">
        <is>
          <t>/</t>
        </is>
      </c>
      <c r="I13" t="inlineStr">
        <is>
          <t>3</t>
        </is>
      </c>
      <c r="J13" t="inlineStr">
        <is>
          <t>sofort</t>
        </is>
      </c>
      <c r="K13" t="inlineStr">
        <is>
          <t>permanent</t>
        </is>
      </c>
      <c r="L13" t="inlineStr">
        <is>
          <t>8</t>
        </is>
      </c>
      <c r="M13" t="inlineStr">
        <is>
          <t>15</t>
        </is>
      </c>
      <c r="N13" t="inlineStr">
        <is>
          <t>24</t>
        </is>
      </c>
      <c r="O13" t="inlineStr">
        <is>
          <t>12</t>
        </is>
      </c>
    </row>
    <row r="14">
      <c r="A14" t="inlineStr">
        <is>
          <t>spruchmagie_antimagie_4_mobile_barriere</t>
        </is>
      </c>
      <c r="B14" t="inlineStr">
        <is>
          <t>17</t>
        </is>
      </c>
      <c r="C14" t="inlineStr">
        <is>
          <t>Keine Gegenprobe möglich.</t>
        </is>
      </c>
      <c r="D14" t="inlineStr">
        <is>
          <t>Magie*m</t>
        </is>
      </c>
      <c r="E14" t="inlineStr">
        <is>
          <t>Selbst</t>
        </is>
      </c>
      <c r="F14" t="inlineStr">
        <is>
          <t>Kugel</t>
        </is>
      </c>
      <c r="G14" t="inlineStr">
        <is>
          <t>Anhaltend</t>
        </is>
      </c>
      <c r="H14" t="inlineStr">
        <is>
          <t>2</t>
        </is>
      </c>
      <c r="I14" t="inlineStr">
        <is>
          <t>6</t>
        </is>
      </c>
      <c r="J14" t="inlineStr">
        <is>
          <t>1sec</t>
        </is>
      </c>
      <c r="K14" t="inlineStr">
        <is>
          <t>(M)*3sec</t>
        </is>
      </c>
      <c r="L14" t="inlineStr">
        <is>
          <t>8</t>
        </is>
      </c>
      <c r="M14" t="inlineStr">
        <is>
          <t>15</t>
        </is>
      </c>
      <c r="N14" t="inlineStr">
        <is>
          <t>24</t>
        </is>
      </c>
      <c r="O14" t="inlineStr">
        <is>
          <t>12 + (2 / m³) / sec</t>
        </is>
      </c>
    </row>
    <row r="15">
      <c r="A15" t="inlineStr">
        <is>
          <t>spruchmagie_antimagie_5_schutz</t>
        </is>
      </c>
      <c r="B15" t="inlineStr">
        <is>
          <t>19</t>
        </is>
      </c>
      <c r="C15" t="inlineStr">
        <is>
          <t>Keine Gegenprobe möglich.</t>
        </is>
      </c>
      <c r="D15" t="inlineStr">
        <is>
          <t>(M)*2m</t>
        </is>
      </c>
      <c r="E15" t="inlineStr">
        <is>
          <t>Aura</t>
        </is>
      </c>
      <c r="F15" t="inlineStr">
        <is>
          <t>Aura</t>
        </is>
      </c>
      <c r="G15" t="inlineStr">
        <is>
          <t>Bipolar</t>
        </is>
      </c>
      <c r="H15" t="inlineStr">
        <is>
          <t>5</t>
        </is>
      </c>
      <c r="I15" t="inlineStr">
        <is>
          <t>3</t>
        </is>
      </c>
      <c r="J15" t="inlineStr">
        <is>
          <t>sofort</t>
        </is>
      </c>
      <c r="K15" t="inlineStr">
        <is>
          <t>(M)*sec</t>
        </is>
      </c>
      <c r="L15" t="inlineStr">
        <is>
          <t>9</t>
        </is>
      </c>
      <c r="M15" t="inlineStr">
        <is>
          <t>17</t>
        </is>
      </c>
      <c r="N15" t="inlineStr">
        <is>
          <t>27</t>
        </is>
      </c>
      <c r="O15" t="inlineStr">
        <is>
          <t>6 + (SP:2) + 3 / sec</t>
        </is>
      </c>
    </row>
    <row r="16">
      <c r="A16" t="inlineStr">
        <is>
          <t>spruchmagie_antimagie_6_antimagisches_feld</t>
        </is>
      </c>
      <c r="B16" t="inlineStr">
        <is>
          <t>21</t>
        </is>
      </c>
      <c r="C16" t="inlineStr">
        <is>
          <t>Keine Gegenprobe möglich.</t>
        </is>
      </c>
      <c r="D16" t="inlineStr">
        <is>
          <t>(M)*2m</t>
        </is>
      </c>
      <c r="E16" t="inlineStr">
        <is>
          <t>Punkt im Raum</t>
        </is>
      </c>
      <c r="F16" t="inlineStr">
        <is>
          <t>Kugel</t>
        </is>
      </c>
      <c r="G16" t="inlineStr">
        <is>
          <t>Anhaltend</t>
        </is>
      </c>
      <c r="H16" t="inlineStr">
        <is>
          <t>3</t>
        </is>
      </c>
      <c r="I16" t="inlineStr">
        <is>
          <t>6</t>
        </is>
      </c>
      <c r="J16" t="inlineStr">
        <is>
          <t>sofort</t>
        </is>
      </c>
      <c r="K16" t="inlineStr">
        <is>
          <t>(M)*sec</t>
        </is>
      </c>
      <c r="L16" t="inlineStr">
        <is>
          <t>10</t>
        </is>
      </c>
      <c r="M16" t="inlineStr">
        <is>
          <t>19</t>
        </is>
      </c>
      <c r="N16" t="inlineStr">
        <is>
          <t>30</t>
        </is>
      </c>
      <c r="O16" t="inlineStr">
        <is>
          <t>10 / sec</t>
        </is>
      </c>
    </row>
    <row r="17">
      <c r="A17" t="inlineStr">
        <is>
          <t>spruchmagie_antimagie_7_spiegeltrick</t>
        </is>
      </c>
      <c r="B17" t="inlineStr">
        <is>
          <t>25</t>
        </is>
      </c>
      <c r="C17" t="inlineStr">
        <is>
          <t>Keine Gegenprobe möglich.</t>
        </is>
      </c>
      <c r="D17" t="inlineStr">
        <is>
          <t>Selbst</t>
        </is>
      </c>
      <c r="E17" t="inlineStr">
        <is>
          <t>Selbst</t>
        </is>
      </c>
      <c r="F17" t="inlineStr">
        <is>
          <t>Aura</t>
        </is>
      </c>
      <c r="G17" t="inlineStr">
        <is>
          <t>Einmalig</t>
        </is>
      </c>
      <c r="H17" t="inlineStr">
        <is>
          <t>/</t>
        </is>
      </c>
      <c r="I17" t="inlineStr">
        <is>
          <t>3</t>
        </is>
      </c>
      <c r="J17" t="inlineStr">
        <is>
          <t>sofort</t>
        </is>
      </c>
      <c r="K17" t="inlineStr">
        <is>
          <t>(M)*sec</t>
        </is>
      </c>
      <c r="L17" t="inlineStr">
        <is>
          <t>11</t>
        </is>
      </c>
      <c r="M17" t="inlineStr">
        <is>
          <t>20</t>
        </is>
      </c>
      <c r="N17" t="inlineStr">
        <is>
          <t>32</t>
        </is>
      </c>
      <c r="O17" t="inlineStr">
        <is>
          <t>40</t>
        </is>
      </c>
    </row>
    <row r="18">
      <c r="A18" t="inlineStr">
        <is>
          <t>spruchmagie_heilung_1_wunden_schliessen</t>
        </is>
      </c>
      <c r="B18" t="inlineStr">
        <is>
          <t>12</t>
        </is>
      </c>
      <c r="C18" t="inlineStr">
        <is>
          <t>Keine Gegenprobe möglich.</t>
        </is>
      </c>
      <c r="D18" t="inlineStr">
        <is>
          <t>Berührung</t>
        </is>
      </c>
      <c r="E18" t="inlineStr">
        <is>
          <t>Aura</t>
        </is>
      </c>
      <c r="F18" t="inlineStr">
        <is>
          <t>Aura</t>
        </is>
      </c>
      <c r="G18" t="inlineStr">
        <is>
          <t>Einmalig</t>
        </is>
      </c>
      <c r="H18" t="inlineStr">
        <is>
          <t>/</t>
        </is>
      </c>
      <c r="I18" t="inlineStr">
        <is>
          <t>7</t>
        </is>
      </c>
      <c r="J18" t="inlineStr">
        <is>
          <t>3sec</t>
        </is>
      </c>
      <c r="K18" t="inlineStr">
        <is>
          <t>Permanent</t>
        </is>
      </c>
      <c r="L18" t="inlineStr">
        <is>
          <t>2</t>
        </is>
      </c>
      <c r="M18" t="inlineStr">
        <is>
          <t>6</t>
        </is>
      </c>
      <c r="N18" t="inlineStr">
        <is>
          <t>12</t>
        </is>
      </c>
      <c r="O18" t="inlineStr">
        <is>
          <t>8</t>
        </is>
      </c>
    </row>
    <row r="19">
      <c r="A19" t="inlineStr">
        <is>
          <t>spruchmagie_heilung_2_kleine_heilung</t>
        </is>
      </c>
      <c r="B19" t="inlineStr">
        <is>
          <t>14</t>
        </is>
      </c>
      <c r="C19" t="inlineStr">
        <is>
          <t>Keine Gegenprobe möglich.</t>
        </is>
      </c>
      <c r="D19" t="inlineStr">
        <is>
          <t>Berührung</t>
        </is>
      </c>
      <c r="E19" t="inlineStr">
        <is>
          <t>Aura</t>
        </is>
      </c>
      <c r="F19" t="inlineStr">
        <is>
          <t>Aura</t>
        </is>
      </c>
      <c r="G19" t="inlineStr">
        <is>
          <t>Einmalig</t>
        </is>
      </c>
      <c r="H19" t="inlineStr">
        <is>
          <t>/</t>
        </is>
      </c>
      <c r="I19" t="inlineStr">
        <is>
          <t>12</t>
        </is>
      </c>
      <c r="J19" t="inlineStr">
        <is>
          <t>1sec pro LE</t>
        </is>
      </c>
      <c r="K19" t="inlineStr">
        <is>
          <t>Permanent</t>
        </is>
      </c>
      <c r="L19" t="inlineStr">
        <is>
          <t>4</t>
        </is>
      </c>
      <c r="M19" t="inlineStr">
        <is>
          <t>9</t>
        </is>
      </c>
      <c r="N19" t="inlineStr">
        <is>
          <t>16</t>
        </is>
      </c>
      <c r="O19" t="inlineStr">
        <is>
          <t>11</t>
        </is>
      </c>
    </row>
    <row r="20">
      <c r="A20" t="inlineStr">
        <is>
          <t>spruchmagie_heilung_3_mittlere_heilung</t>
        </is>
      </c>
      <c r="B20" t="inlineStr">
        <is>
          <t>16</t>
        </is>
      </c>
      <c r="C20" t="inlineStr">
        <is>
          <t>Keine Gegenprobe möglich.</t>
        </is>
      </c>
      <c r="E20" t="inlineStr">
        <is>
          <t>Aura</t>
        </is>
      </c>
      <c r="F20" t="inlineStr">
        <is>
          <t>Aura</t>
        </is>
      </c>
      <c r="G20" t="inlineStr">
        <is>
          <t>Bipolar</t>
        </is>
      </c>
      <c r="H20" t="inlineStr">
        <is>
          <t>3</t>
        </is>
      </c>
      <c r="I20" t="inlineStr">
        <is>
          <t>12</t>
        </is>
      </c>
      <c r="J20" t="inlineStr">
        <is>
          <t>1sec pro LE</t>
        </is>
      </c>
      <c r="K20" t="inlineStr">
        <is>
          <t>Permanent</t>
        </is>
      </c>
      <c r="L20" t="inlineStr">
        <is>
          <t>7</t>
        </is>
      </c>
      <c r="M20" t="inlineStr">
        <is>
          <t>13</t>
        </is>
      </c>
      <c r="N20" t="inlineStr">
        <is>
          <t>21</t>
        </is>
      </c>
      <c r="O20" t="inlineStr">
        <is>
          <t>16</t>
        </is>
      </c>
    </row>
    <row r="21">
      <c r="A21" t="inlineStr">
        <is>
          <t>spruchmagie_heilung_4_gesundheit_wiederherstellen</t>
        </is>
      </c>
      <c r="B21" t="inlineStr">
        <is>
          <t>18</t>
        </is>
      </c>
      <c r="C21" t="inlineStr">
        <is>
          <t>Keine Gegenprobe möglich.</t>
        </is>
      </c>
      <c r="D21" t="inlineStr">
        <is>
          <t>Berührung</t>
        </is>
      </c>
      <c r="E21" t="inlineStr">
        <is>
          <t>Aura</t>
        </is>
      </c>
      <c r="F21" t="inlineStr">
        <is>
          <t>Aura</t>
        </is>
      </c>
      <c r="G21" t="inlineStr">
        <is>
          <t>Bipolar</t>
        </is>
      </c>
      <c r="H21" t="inlineStr">
        <is>
          <t>4</t>
        </is>
      </c>
      <c r="I21" t="inlineStr">
        <is>
          <t>24</t>
        </is>
      </c>
      <c r="J21" t="inlineStr">
        <is>
          <t>3sec pro Punkt Gesundheit</t>
        </is>
      </c>
      <c r="K21" t="inlineStr">
        <is>
          <t>Permanent</t>
        </is>
      </c>
      <c r="L21" t="inlineStr">
        <is>
          <t>8</t>
        </is>
      </c>
      <c r="M21" t="inlineStr">
        <is>
          <t>15</t>
        </is>
      </c>
      <c r="N21" t="inlineStr">
        <is>
          <t>24</t>
        </is>
      </c>
      <c r="O21" t="inlineStr">
        <is>
          <t>16</t>
        </is>
      </c>
    </row>
    <row r="22">
      <c r="A22" t="inlineStr">
        <is>
          <t>spruchmagie_beherrschung_1_respekt_einfloessen</t>
        </is>
      </c>
      <c r="B22" t="inlineStr">
        <is>
          <t>13</t>
        </is>
      </c>
      <c r="C22" t="inlineStr">
        <is>
          <t>Das Opfer legt eine Mut + (M)-Probe ab, erschwert um {M}. Gelingt die Probe, endet der Zauber.</t>
        </is>
      </c>
      <c r="D22" t="inlineStr">
        <is>
          <t>(M)/3m</t>
        </is>
      </c>
      <c r="E22" t="inlineStr">
        <is>
          <t>Aura</t>
        </is>
      </c>
      <c r="F22" t="inlineStr">
        <is>
          <t>Aura</t>
        </is>
      </c>
      <c r="G22" t="inlineStr">
        <is>
          <t>Anhaltend</t>
        </is>
      </c>
      <c r="H22" t="inlineStr">
        <is>
          <t>1</t>
        </is>
      </c>
      <c r="I22" t="inlineStr">
        <is>
          <t>3</t>
        </is>
      </c>
      <c r="J22" t="inlineStr">
        <is>
          <t>Sofort</t>
        </is>
      </c>
      <c r="K22" t="inlineStr">
        <is>
          <t>Magie*min</t>
        </is>
      </c>
      <c r="L22" t="inlineStr">
        <is>
          <t>2</t>
        </is>
      </c>
      <c r="M22" t="inlineStr">
        <is>
          <t>7</t>
        </is>
      </c>
      <c r="N22" t="inlineStr">
        <is>
          <t>14</t>
        </is>
      </c>
      <c r="O22" t="inlineStr">
        <is>
          <t>5</t>
        </is>
      </c>
    </row>
    <row r="23">
      <c r="A23" t="inlineStr">
        <is>
          <t>spruchmagie_beherrschung_2_entmutigen</t>
        </is>
      </c>
      <c r="B23" t="inlineStr">
        <is>
          <t>15</t>
        </is>
      </c>
      <c r="C23" t="inlineStr">
        <is>
          <t>Das Opfer legt eine Willenskraft + (M)-Probe ab, erschwert um {M}. Gelingt die Probe, endet der Zauber.</t>
        </is>
      </c>
      <c r="D23" t="inlineStr">
        <is>
          <t>(M)/3m</t>
        </is>
      </c>
      <c r="E23" t="inlineStr">
        <is>
          <t>Aura</t>
        </is>
      </c>
      <c r="F23" t="inlineStr">
        <is>
          <t>Aura</t>
        </is>
      </c>
      <c r="G23" t="inlineStr">
        <is>
          <t>Einmalig</t>
        </is>
      </c>
      <c r="H23" t="inlineStr">
        <is>
          <t>2</t>
        </is>
      </c>
      <c r="I23" t="inlineStr">
        <is>
          <t>3</t>
        </is>
      </c>
      <c r="J23" t="inlineStr">
        <is>
          <t>Sofort</t>
        </is>
      </c>
      <c r="K23" t="inlineStr">
        <is>
          <t>Permanent</t>
        </is>
      </c>
      <c r="L23" t="inlineStr">
        <is>
          <t>4</t>
        </is>
      </c>
      <c r="M23" t="inlineStr">
        <is>
          <t>10</t>
        </is>
      </c>
      <c r="N23" t="inlineStr">
        <is>
          <t>18</t>
        </is>
      </c>
      <c r="O23" t="inlineStr">
        <is>
          <t>6</t>
        </is>
      </c>
    </row>
    <row r="24">
      <c r="A24" t="inlineStr">
        <is>
          <t>spruchmagie_beherrschung_3_konfus</t>
        </is>
      </c>
      <c r="B24" t="inlineStr">
        <is>
          <t>17</t>
        </is>
      </c>
      <c r="C24" t="inlineStr">
        <is>
          <t>Das Opfer legt eine Intelligenz + (M)-Probe ab, erschwert um {M}, alle 10 sec eine weitere. Gelingt die Probe, endet der Zauber.</t>
        </is>
      </c>
      <c r="D24" t="inlineStr">
        <is>
          <t>(M)/3m</t>
        </is>
      </c>
      <c r="E24" t="inlineStr">
        <is>
          <t>Aura</t>
        </is>
      </c>
      <c r="F24" t="inlineStr">
        <is>
          <t>Aura</t>
        </is>
      </c>
      <c r="G24" t="inlineStr">
        <is>
          <t>Anhaltend</t>
        </is>
      </c>
      <c r="H24" t="inlineStr">
        <is>
          <t>3</t>
        </is>
      </c>
      <c r="I24" t="inlineStr">
        <is>
          <t>3</t>
        </is>
      </c>
      <c r="J24" t="inlineStr">
        <is>
          <t>Sofort</t>
        </is>
      </c>
      <c r="K24" t="inlineStr">
        <is>
          <t>(M)*sec</t>
        </is>
      </c>
      <c r="L24" t="inlineStr">
        <is>
          <t>6</t>
        </is>
      </c>
      <c r="M24" t="inlineStr">
        <is>
          <t>13</t>
        </is>
      </c>
      <c r="N24" t="inlineStr">
        <is>
          <t>22</t>
        </is>
      </c>
      <c r="O24" t="inlineStr">
        <is>
          <t>12</t>
        </is>
      </c>
    </row>
    <row r="25">
      <c r="A25" t="inlineStr">
        <is>
          <t>spruchmagie_beherrschung_4_furcht</t>
        </is>
      </c>
      <c r="B25" t="inlineStr">
        <is>
          <t>19</t>
        </is>
      </c>
      <c r="C25" t="inlineStr">
        <is>
          <t>Das Opfer legt eine Mut + (M)-Probe ab, erschwert um {M}, alle {Magie} + 1 sec eine weitere. Gelingt die Probe, endet der Zauber.</t>
        </is>
      </c>
      <c r="D25" t="inlineStr">
        <is>
          <t>(M)/3m</t>
        </is>
      </c>
      <c r="E25" t="inlineStr">
        <is>
          <t>Aura</t>
        </is>
      </c>
      <c r="F25" t="inlineStr">
        <is>
          <t>Aura</t>
        </is>
      </c>
      <c r="G25" t="inlineStr">
        <is>
          <t>Anhaltend</t>
        </is>
      </c>
      <c r="H25" t="inlineStr">
        <is>
          <t>4</t>
        </is>
      </c>
      <c r="I25" t="inlineStr">
        <is>
          <t>3</t>
        </is>
      </c>
      <c r="J25" t="inlineStr">
        <is>
          <t>Sofort</t>
        </is>
      </c>
      <c r="K25" t="inlineStr">
        <is>
          <t>(M)*min</t>
        </is>
      </c>
      <c r="L25" t="inlineStr">
        <is>
          <t>8</t>
        </is>
      </c>
      <c r="M25" t="inlineStr">
        <is>
          <t>16</t>
        </is>
      </c>
      <c r="N25" t="inlineStr">
        <is>
          <t>26</t>
        </is>
      </c>
      <c r="O25" t="inlineStr">
        <is>
          <t>20</t>
        </is>
      </c>
    </row>
    <row r="26">
      <c r="A26" t="inlineStr">
        <is>
          <t>spruchmagie_beherrschung_5_massenfurcht</t>
        </is>
      </c>
      <c r="B26" t="inlineStr">
        <is>
          <t>21</t>
        </is>
      </c>
      <c r="C26" t="inlineStr">
        <is>
          <t>Jedes Opfer in RW legt eine Mut + (M)-Probe ab, erschwert um {M}, alle {Magie}*2 sec eine weitere. Gelingt die Probe, endet der Zauber.</t>
        </is>
      </c>
      <c r="D26" t="inlineStr">
        <is>
          <t>(M)/3m</t>
        </is>
      </c>
      <c r="E26" t="inlineStr">
        <is>
          <t>Aura</t>
        </is>
      </c>
      <c r="F26" t="inlineStr">
        <is>
          <t>Kugel</t>
        </is>
      </c>
      <c r="G26" t="inlineStr">
        <is>
          <t>Anhaltend</t>
        </is>
      </c>
      <c r="H26" t="inlineStr">
        <is>
          <t>5</t>
        </is>
      </c>
      <c r="I26" t="inlineStr">
        <is>
          <t>6</t>
        </is>
      </c>
      <c r="J26" t="inlineStr">
        <is>
          <t>Sofort</t>
        </is>
      </c>
      <c r="K26" t="inlineStr">
        <is>
          <t>(M)*min</t>
        </is>
      </c>
      <c r="L26" t="inlineStr">
        <is>
          <t>9</t>
        </is>
      </c>
      <c r="M26" t="inlineStr">
        <is>
          <t>18</t>
        </is>
      </c>
      <c r="N26" t="inlineStr">
        <is>
          <t>28</t>
        </is>
      </c>
      <c r="O26" t="inlineStr">
        <is>
          <t>55</t>
        </is>
      </c>
    </row>
    <row r="27">
      <c r="A27" t="inlineStr">
        <is>
          <t>spruchmagie_beherrschung_5_paralyse</t>
        </is>
      </c>
      <c r="B27" t="inlineStr">
        <is>
          <t>21</t>
        </is>
      </c>
      <c r="C27" t="inlineStr">
        <is>
          <t>Das Opfer legt eine Willenskraft + (M)-Probe ab, erschwert um {M}, alle 10 sec eine weitere. Gelingt die Probe, endet der Zauber.</t>
        </is>
      </c>
      <c r="D27" t="inlineStr">
        <is>
          <t>(M)/2m</t>
        </is>
      </c>
      <c r="E27" t="inlineStr">
        <is>
          <t>Aura</t>
        </is>
      </c>
      <c r="F27" t="inlineStr">
        <is>
          <t>Blitz</t>
        </is>
      </c>
      <c r="G27" t="inlineStr">
        <is>
          <t>Bipolar</t>
        </is>
      </c>
      <c r="H27" t="inlineStr">
        <is>
          <t>5</t>
        </is>
      </c>
      <c r="I27" t="inlineStr">
        <is>
          <t>3</t>
        </is>
      </c>
      <c r="J27" t="inlineStr">
        <is>
          <t>Sofort</t>
        </is>
      </c>
      <c r="K27" t="inlineStr">
        <is>
          <t>(M)*min</t>
        </is>
      </c>
      <c r="L27" t="inlineStr">
        <is>
          <t>9</t>
        </is>
      </c>
      <c r="M27" t="inlineStr">
        <is>
          <t>18</t>
        </is>
      </c>
      <c r="N27" t="inlineStr">
        <is>
          <t>28</t>
        </is>
      </c>
      <c r="O27" t="inlineStr">
        <is>
          <t>20 + 1/10Sec pro Opfer</t>
        </is>
      </c>
    </row>
    <row r="28">
      <c r="A28" t="inlineStr">
        <is>
          <t>spruchmagie_beherrschung_6_totale_kontrolle</t>
        </is>
      </c>
      <c r="B28" t="inlineStr">
        <is>
          <t>23</t>
        </is>
      </c>
      <c r="C28" t="inlineStr">
        <is>
          <t>Das Opfer legt eine Intelligenz + (M)-Probe ab, erschwert um {M}, alle 10 sec eine weitere. Gelingt die Probe, endet der Zauber.</t>
        </is>
      </c>
      <c r="D28" t="inlineStr">
        <is>
          <t>(M)/3m</t>
        </is>
      </c>
      <c r="E28" t="inlineStr">
        <is>
          <t>Aura</t>
        </is>
      </c>
      <c r="F28" t="inlineStr">
        <is>
          <t>Aura</t>
        </is>
      </c>
      <c r="G28" t="inlineStr">
        <is>
          <t>Bipolar</t>
        </is>
      </c>
      <c r="H28" t="inlineStr">
        <is>
          <t>6</t>
        </is>
      </c>
      <c r="I28" t="inlineStr">
        <is>
          <t>7</t>
        </is>
      </c>
      <c r="J28" t="inlineStr">
        <is>
          <t>sofort</t>
        </is>
      </c>
      <c r="K28" t="inlineStr">
        <is>
          <t>(M)*h</t>
        </is>
      </c>
      <c r="L28" t="inlineStr">
        <is>
          <t>11</t>
        </is>
      </c>
      <c r="M28" t="inlineStr">
        <is>
          <t>21</t>
        </is>
      </c>
      <c r="N28" t="inlineStr">
        <is>
          <t>32</t>
        </is>
      </c>
      <c r="O28" t="inlineStr">
        <is>
          <t>20 + 7 / h</t>
        </is>
      </c>
    </row>
    <row r="29">
      <c r="A29" t="inlineStr">
        <is>
          <t>spruchmagie_beherrschung_7_massen_raserei</t>
        </is>
      </c>
      <c r="B29" t="inlineStr">
        <is>
          <t>25</t>
        </is>
      </c>
      <c r="C29" t="inlineStr">
        <is>
          <t>Alle Opfer in RW legen eine Mut + (M)-Probe ab, erschwert um {M}, alle {Magie}*3 sec eine weitere. Gelingt die Probe, endet der Zauber.</t>
        </is>
      </c>
      <c r="D29" t="inlineStr">
        <is>
          <t>(M)/3m</t>
        </is>
      </c>
      <c r="E29" t="inlineStr">
        <is>
          <t>Aura</t>
        </is>
      </c>
      <c r="F29" t="inlineStr">
        <is>
          <t>Kugel</t>
        </is>
      </c>
      <c r="G29" t="inlineStr">
        <is>
          <t>Anhaltend</t>
        </is>
      </c>
      <c r="H29" t="inlineStr">
        <is>
          <t>7</t>
        </is>
      </c>
      <c r="I29" t="inlineStr">
        <is>
          <t>8</t>
        </is>
      </c>
      <c r="J29" t="inlineStr">
        <is>
          <t>Sofort</t>
        </is>
      </c>
      <c r="K29" t="inlineStr">
        <is>
          <t>(M)*min</t>
        </is>
      </c>
      <c r="L29" t="inlineStr">
        <is>
          <t>11</t>
        </is>
      </c>
      <c r="M29" t="inlineStr">
        <is>
          <t>21</t>
        </is>
      </c>
      <c r="N29" t="inlineStr">
        <is>
          <t>35</t>
        </is>
      </c>
      <c r="O29" t="inlineStr">
        <is>
          <t>90</t>
        </is>
      </c>
    </row>
    <row r="30">
      <c r="A30" t="inlineStr">
        <is>
          <t>spruchmagie_beherrschung_7_menschen_befehligen</t>
        </is>
      </c>
      <c r="B30" t="inlineStr">
        <is>
          <t>25</t>
        </is>
      </c>
      <c r="C30" t="inlineStr">
        <is>
          <t>Das Opfer legt eine Intelligenz + (M)-Probe ab, erschwert um {M}. Gelingt die Probe, endet der Zauber.</t>
        </is>
      </c>
      <c r="D30" t="inlineStr">
        <is>
          <t>(M)/3m</t>
        </is>
      </c>
      <c r="E30" t="inlineStr">
        <is>
          <t>Aura</t>
        </is>
      </c>
      <c r="F30" t="inlineStr">
        <is>
          <t>Aura</t>
        </is>
      </c>
      <c r="G30" t="inlineStr">
        <is>
          <t>Anhaltend</t>
        </is>
      </c>
      <c r="H30" t="inlineStr">
        <is>
          <t>7</t>
        </is>
      </c>
      <c r="I30" t="inlineStr">
        <is>
          <t>7</t>
        </is>
      </c>
      <c r="J30" t="inlineStr">
        <is>
          <t>Je nachdem wie lang der Satz ist.</t>
        </is>
      </c>
      <c r="K30" t="inlineStr">
        <is>
          <t>Magie*h</t>
        </is>
      </c>
      <c r="L30" t="inlineStr">
        <is>
          <t>11</t>
        </is>
      </c>
      <c r="M30" t="inlineStr">
        <is>
          <t>21</t>
        </is>
      </c>
      <c r="N30" t="inlineStr">
        <is>
          <t>35</t>
        </is>
      </c>
      <c r="O30" t="inlineStr">
        <is>
          <t>77</t>
        </is>
      </c>
    </row>
    <row r="31">
      <c r="A31" t="inlineStr">
        <is>
          <t>spruchmagie_illusion_1_funkentanz</t>
        </is>
      </c>
      <c r="B31" t="inlineStr">
        <is>
          <t>12</t>
        </is>
      </c>
      <c r="C31" t="inlineStr">
        <is>
          <t>Keine Gegenprobe möglich.</t>
        </is>
      </c>
      <c r="D31" t="inlineStr">
        <is>
          <t>Selbst</t>
        </is>
      </c>
      <c r="E31" t="inlineStr">
        <is>
          <t>Aura</t>
        </is>
      </c>
      <c r="F31" t="inlineStr">
        <is>
          <t>Aura</t>
        </is>
      </c>
      <c r="G31" t="inlineStr">
        <is>
          <t>Einmalig</t>
        </is>
      </c>
      <c r="H31" t="inlineStr">
        <is>
          <t>/</t>
        </is>
      </c>
      <c r="I31" t="inlineStr">
        <is>
          <t>6</t>
        </is>
      </c>
      <c r="J31" t="inlineStr">
        <is>
          <t>sofort</t>
        </is>
      </c>
      <c r="K31" t="inlineStr">
        <is>
          <t>(M)sec</t>
        </is>
      </c>
      <c r="L31" t="inlineStr">
        <is>
          <t>2</t>
        </is>
      </c>
      <c r="M31" t="inlineStr">
        <is>
          <t>6</t>
        </is>
      </c>
      <c r="N31" t="inlineStr">
        <is>
          <t>12</t>
        </is>
      </c>
      <c r="O31" t="inlineStr">
        <is>
          <t>10</t>
        </is>
      </c>
    </row>
    <row r="32">
      <c r="A32" t="inlineStr">
        <is>
          <t>spruchmagie_illusion_2_blitzlicht</t>
        </is>
      </c>
      <c r="B32" t="inlineStr">
        <is>
          <t>14</t>
        </is>
      </c>
      <c r="C32" t="inlineStr">
        <is>
          <t>Keine Gegenprobe möglich.</t>
        </is>
      </c>
      <c r="D32" t="inlineStr">
        <is>
          <t>(M)*mRadius</t>
        </is>
      </c>
      <c r="E32" t="inlineStr">
        <is>
          <t>Selbst</t>
        </is>
      </c>
      <c r="F32" t="inlineStr">
        <is>
          <t>Aura</t>
        </is>
      </c>
      <c r="G32" t="inlineStr">
        <is>
          <t>Einmalig</t>
        </is>
      </c>
      <c r="H32" t="inlineStr">
        <is>
          <t>/</t>
        </is>
      </c>
      <c r="I32" t="inlineStr">
        <is>
          <t>2</t>
        </is>
      </c>
      <c r="J32" t="inlineStr">
        <is>
          <t>Sofort</t>
        </is>
      </c>
      <c r="K32" t="inlineStr">
        <is>
          <t>W6sec</t>
        </is>
      </c>
      <c r="L32" t="inlineStr">
        <is>
          <t>4</t>
        </is>
      </c>
      <c r="M32" t="inlineStr">
        <is>
          <t>9</t>
        </is>
      </c>
      <c r="N32" t="inlineStr">
        <is>
          <t>16</t>
        </is>
      </c>
      <c r="O32" t="inlineStr">
        <is>
          <t>7</t>
        </is>
      </c>
    </row>
    <row r="33">
      <c r="A33" t="inlineStr">
        <is>
          <t>spruchmagie_illusion_3_dunkelheit</t>
        </is>
      </c>
      <c r="B33" t="inlineStr">
        <is>
          <t>16</t>
        </is>
      </c>
      <c r="C33" t="inlineStr">
        <is>
          <t>Keine Gegenprobe möglich.</t>
        </is>
      </c>
      <c r="D33" t="inlineStr">
        <is>
          <t>(M)*m</t>
        </is>
      </c>
      <c r="E33" t="inlineStr">
        <is>
          <t>Punkt im Raum</t>
        </is>
      </c>
      <c r="F33" t="inlineStr">
        <is>
          <t>Kugel</t>
        </is>
      </c>
      <c r="G33" t="inlineStr">
        <is>
          <t>Anhaltend</t>
        </is>
      </c>
      <c r="H33" t="inlineStr">
        <is>
          <t>1.5</t>
        </is>
      </c>
      <c r="I33" t="inlineStr">
        <is>
          <t>9</t>
        </is>
      </c>
      <c r="J33" t="inlineStr">
        <is>
          <t>Sofort</t>
        </is>
      </c>
      <c r="K33" t="inlineStr">
        <is>
          <t>Magie*2sec</t>
        </is>
      </c>
      <c r="L33" t="inlineStr">
        <is>
          <t>7</t>
        </is>
      </c>
      <c r="M33" t="inlineStr">
        <is>
          <t>13</t>
        </is>
      </c>
      <c r="N33" t="inlineStr">
        <is>
          <t>21</t>
        </is>
      </c>
      <c r="O33" t="inlineStr">
        <is>
          <t>14</t>
        </is>
      </c>
    </row>
    <row r="34">
      <c r="A34" t="inlineStr">
        <is>
          <t>spruchmagie_illusion_4_nebel</t>
        </is>
      </c>
      <c r="B34" t="inlineStr">
        <is>
          <t>18</t>
        </is>
      </c>
      <c r="C34" t="inlineStr">
        <is>
          <t>Keine Gegenprobe möglich.</t>
        </is>
      </c>
      <c r="D34" t="inlineStr">
        <is>
          <t>(M)*2m</t>
        </is>
      </c>
      <c r="E34" t="inlineStr">
        <is>
          <t>Punkt im Raum</t>
        </is>
      </c>
      <c r="F34" t="inlineStr">
        <is>
          <t>Kugel</t>
        </is>
      </c>
      <c r="G34" t="inlineStr">
        <is>
          <t>Einmalig</t>
        </is>
      </c>
      <c r="H34" t="inlineStr">
        <is>
          <t>/</t>
        </is>
      </c>
      <c r="I34" t="inlineStr">
        <is>
          <t>6</t>
        </is>
      </c>
      <c r="J34" t="inlineStr">
        <is>
          <t>1sec</t>
        </is>
      </c>
      <c r="K34" t="inlineStr">
        <is>
          <t>(M)*2sec</t>
        </is>
      </c>
      <c r="L34" t="inlineStr">
        <is>
          <t>8</t>
        </is>
      </c>
      <c r="M34" t="inlineStr">
        <is>
          <t>15</t>
        </is>
      </c>
      <c r="N34" t="inlineStr">
        <is>
          <t>24</t>
        </is>
      </c>
      <c r="O34" t="inlineStr">
        <is>
          <t>23</t>
        </is>
      </c>
    </row>
    <row r="35">
      <c r="A35" t="inlineStr">
        <is>
          <t>spruchmagie_illusion_5_chamaeleon</t>
        </is>
      </c>
      <c r="B35" t="inlineStr">
        <is>
          <t>20</t>
        </is>
      </c>
      <c r="C35" t="inlineStr">
        <is>
          <t>Keine Gegenprobe möglich.</t>
        </is>
      </c>
      <c r="D35" t="inlineStr">
        <is>
          <t>Berührung</t>
        </is>
      </c>
      <c r="E35" t="inlineStr">
        <is>
          <t>Aura</t>
        </is>
      </c>
      <c r="F35" t="inlineStr">
        <is>
          <t>Aura</t>
        </is>
      </c>
      <c r="G35" t="inlineStr">
        <is>
          <t>Anhaltend</t>
        </is>
      </c>
      <c r="H35" t="inlineStr">
        <is>
          <t>2.5</t>
        </is>
      </c>
      <c r="I35" t="inlineStr">
        <is>
          <t>30</t>
        </is>
      </c>
      <c r="J35" t="inlineStr">
        <is>
          <t>3sec</t>
        </is>
      </c>
      <c r="K35" t="inlineStr">
        <is>
          <t>(M)*min</t>
        </is>
      </c>
      <c r="L35" t="inlineStr">
        <is>
          <t>9</t>
        </is>
      </c>
      <c r="M35" t="inlineStr">
        <is>
          <t>17</t>
        </is>
      </c>
      <c r="N35" t="inlineStr">
        <is>
          <t>27</t>
        </is>
      </c>
      <c r="O35" t="inlineStr">
        <is>
          <t>16 + 8 / min</t>
        </is>
      </c>
    </row>
    <row r="36">
      <c r="A36" t="inlineStr">
        <is>
          <t>spruchmagie_illusion_6_unauffindbarkeit</t>
        </is>
      </c>
      <c r="B36" t="inlineStr">
        <is>
          <t>22</t>
        </is>
      </c>
      <c r="C36" t="inlineStr">
        <is>
          <t>Keine Gegenprobe möglich.</t>
        </is>
      </c>
      <c r="D36" t="inlineStr">
        <is>
          <t>Berührung</t>
        </is>
      </c>
      <c r="E36" t="inlineStr">
        <is>
          <t>Aura</t>
        </is>
      </c>
      <c r="F36" t="inlineStr">
        <is>
          <t>Aura</t>
        </is>
      </c>
      <c r="G36" t="inlineStr">
        <is>
          <t>Anhaltend</t>
        </is>
      </c>
      <c r="H36" t="inlineStr">
        <is>
          <t>3</t>
        </is>
      </c>
      <c r="I36" t="inlineStr">
        <is>
          <t>21</t>
        </is>
      </c>
      <c r="J36" t="inlineStr">
        <is>
          <t>Sofort</t>
        </is>
      </c>
      <c r="K36" t="inlineStr">
        <is>
          <t>(M)*min</t>
        </is>
      </c>
      <c r="L36" t="inlineStr">
        <is>
          <t>10</t>
        </is>
      </c>
      <c r="M36" t="inlineStr">
        <is>
          <t>19</t>
        </is>
      </c>
      <c r="N36" t="inlineStr">
        <is>
          <t>30</t>
        </is>
      </c>
      <c r="O36" t="inlineStr">
        <is>
          <t>18 + 6 / min</t>
        </is>
      </c>
    </row>
    <row r="37">
      <c r="A37" t="inlineStr">
        <is>
          <t>spruchmagie_illusion_6_unsichtbarkeit</t>
        </is>
      </c>
      <c r="B37" t="inlineStr">
        <is>
          <t>22</t>
        </is>
      </c>
      <c r="C37" t="inlineStr">
        <is>
          <t>Keine Gegenprobe möglich.</t>
        </is>
      </c>
      <c r="D37" t="inlineStr">
        <is>
          <t>Berührung</t>
        </is>
      </c>
      <c r="E37" t="inlineStr">
        <is>
          <t>Aura</t>
        </is>
      </c>
      <c r="F37" t="inlineStr">
        <is>
          <t>Aura</t>
        </is>
      </c>
      <c r="G37" t="inlineStr">
        <is>
          <t>Anhaltend</t>
        </is>
      </c>
      <c r="H37" t="inlineStr">
        <is>
          <t>3</t>
        </is>
      </c>
      <c r="I37" t="inlineStr">
        <is>
          <t>18</t>
        </is>
      </c>
      <c r="J37" t="inlineStr">
        <is>
          <t>Sofort</t>
        </is>
      </c>
      <c r="K37" t="inlineStr">
        <is>
          <t>(M)*min</t>
        </is>
      </c>
      <c r="L37" t="inlineStr">
        <is>
          <t>10</t>
        </is>
      </c>
      <c r="M37" t="inlineStr">
        <is>
          <t>19</t>
        </is>
      </c>
      <c r="N37" t="inlineStr">
        <is>
          <t>30</t>
        </is>
      </c>
      <c r="O37" t="inlineStr">
        <is>
          <t>20 + 7 / min</t>
        </is>
      </c>
    </row>
    <row r="38">
      <c r="A38" t="inlineStr">
        <is>
          <t>spruchmagie_illusion_6_magischer_nebel</t>
        </is>
      </c>
      <c r="B38" t="inlineStr">
        <is>
          <t>22</t>
        </is>
      </c>
      <c r="C38" t="inlineStr">
        <is>
          <t>Keine Gegenprobe möglich.</t>
        </is>
      </c>
      <c r="D38" t="inlineStr">
        <is>
          <t>(M)*2m</t>
        </is>
      </c>
      <c r="E38" t="inlineStr">
        <is>
          <t>Punkt im Raum</t>
        </is>
      </c>
      <c r="F38" t="inlineStr">
        <is>
          <t>Kugel</t>
        </is>
      </c>
      <c r="G38" t="inlineStr">
        <is>
          <t>Einmalig</t>
        </is>
      </c>
      <c r="H38" t="inlineStr">
        <is>
          <t>/</t>
        </is>
      </c>
      <c r="I38" t="inlineStr">
        <is>
          <t>9</t>
        </is>
      </c>
      <c r="J38" t="inlineStr">
        <is>
          <t>Sofort</t>
        </is>
      </c>
      <c r="K38" t="inlineStr">
        <is>
          <t>(M)*sec</t>
        </is>
      </c>
      <c r="L38" t="inlineStr">
        <is>
          <t>10</t>
        </is>
      </c>
      <c r="M38" t="inlineStr">
        <is>
          <t>19</t>
        </is>
      </c>
      <c r="N38" t="inlineStr">
        <is>
          <t>30</t>
        </is>
      </c>
      <c r="O38" t="inlineStr">
        <is>
          <t>30</t>
        </is>
      </c>
    </row>
    <row r="39">
      <c r="A39" t="inlineStr">
        <is>
          <t>spruchmagie_illusion_7_bewegte_vollsensorische_illusion</t>
        </is>
      </c>
      <c r="B39" t="inlineStr">
        <is>
          <t>24</t>
        </is>
      </c>
      <c r="C39" t="inlineStr">
        <is>
          <t>Keine Gegenprobe möglich.</t>
        </is>
      </c>
      <c r="D39" t="inlineStr">
        <is>
          <t>Magie*2m</t>
        </is>
      </c>
      <c r="E39" t="inlineStr">
        <is>
          <t>Punkt im Raum</t>
        </is>
      </c>
      <c r="F39" t="inlineStr">
        <is>
          <t>Aura</t>
        </is>
      </c>
      <c r="G39" t="inlineStr">
        <is>
          <t>Bipolar</t>
        </is>
      </c>
      <c r="H39" t="inlineStr">
        <is>
          <t>7</t>
        </is>
      </c>
      <c r="I39" t="inlineStr">
        <is>
          <t>21</t>
        </is>
      </c>
      <c r="J39" t="inlineStr">
        <is>
          <t>1sec</t>
        </is>
      </c>
      <c r="K39" t="inlineStr">
        <is>
          <t>(M)*min</t>
        </is>
      </c>
      <c r="L39" t="inlineStr">
        <is>
          <t>11</t>
        </is>
      </c>
      <c r="M39" t="inlineStr">
        <is>
          <t>20</t>
        </is>
      </c>
      <c r="N39" t="inlineStr">
        <is>
          <t>32</t>
        </is>
      </c>
      <c r="O39" t="inlineStr">
        <is>
          <t>30 + 15 / min</t>
        </is>
      </c>
    </row>
    <row r="40">
      <c r="A40" t="inlineStr">
        <is>
          <t>spruchmagie_magiebeschwoerung_1_magischer_ball</t>
        </is>
      </c>
      <c r="B40" t="inlineStr">
        <is>
          <t>11</t>
        </is>
      </c>
      <c r="C40" t="inlineStr">
        <is>
          <t>Bis {Magie}m: Glücks-Probe, ab {Magie}m: Ausweichen, ab {Magie}*2m: mit einem Schild Parieren, um der Wirkung zu entgehen.</t>
        </is>
      </c>
      <c r="D40" t="inlineStr">
        <is>
          <t>(M)*m</t>
        </is>
      </c>
      <c r="E40" t="inlineStr">
        <is>
          <t>Aura</t>
        </is>
      </c>
      <c r="F40" t="inlineStr">
        <is>
          <t>Ball</t>
        </is>
      </c>
      <c r="G40" t="inlineStr">
        <is>
          <t>Einmalig</t>
        </is>
      </c>
      <c r="H40" t="inlineStr">
        <is>
          <t>/</t>
        </is>
      </c>
      <c r="I40" t="inlineStr">
        <is>
          <t>6</t>
        </is>
      </c>
      <c r="J40" t="inlineStr">
        <is>
          <t>sofort</t>
        </is>
      </c>
      <c r="K40" t="inlineStr">
        <is>
          <t>permanent</t>
        </is>
      </c>
      <c r="L40" t="inlineStr">
        <is>
          <t>2</t>
        </is>
      </c>
      <c r="M40" t="inlineStr">
        <is>
          <t>6</t>
        </is>
      </c>
      <c r="N40" t="inlineStr">
        <is>
          <t>12</t>
        </is>
      </c>
      <c r="O40" t="inlineStr">
        <is>
          <t>4</t>
        </is>
      </c>
    </row>
    <row r="41">
      <c r="A41" t="inlineStr">
        <is>
          <t>spruchmagie_magiebeschwoerung_2_magisches_geschoss</t>
        </is>
      </c>
      <c r="B41" t="inlineStr">
        <is>
          <t>13</t>
        </is>
      </c>
      <c r="C41" t="inlineStr">
        <is>
          <t>Bis {M}m: Glücks-Probe, bis {M}*2m: AW/2, danach AW oder mit einem Schild parieren, um der Wirkung zu entgehen.</t>
        </is>
      </c>
      <c r="D41" t="inlineStr">
        <is>
          <t>(M)*2m</t>
        </is>
      </c>
      <c r="E41" t="inlineStr">
        <is>
          <t>Aura</t>
        </is>
      </c>
      <c r="F41" t="inlineStr">
        <is>
          <t>Bolzen</t>
        </is>
      </c>
      <c r="G41" t="inlineStr">
        <is>
          <t>Einmalig</t>
        </is>
      </c>
      <c r="H41" t="inlineStr">
        <is>
          <t>/</t>
        </is>
      </c>
      <c r="I41" t="inlineStr">
        <is>
          <t>6</t>
        </is>
      </c>
      <c r="J41" t="inlineStr">
        <is>
          <t>sofort</t>
        </is>
      </c>
      <c r="K41" t="inlineStr">
        <is>
          <t>permanent</t>
        </is>
      </c>
      <c r="L41" t="inlineStr">
        <is>
          <t>4</t>
        </is>
      </c>
      <c r="M41" t="inlineStr">
        <is>
          <t>9</t>
        </is>
      </c>
      <c r="N41" t="inlineStr">
        <is>
          <t>16</t>
        </is>
      </c>
      <c r="O41" t="inlineStr">
        <is>
          <t>6</t>
        </is>
      </c>
    </row>
    <row r="42">
      <c r="A42" t="inlineStr">
        <is>
          <t>spruchmagie_magiebeschwoerung_3_magische_entladung</t>
        </is>
      </c>
      <c r="B42" t="inlineStr">
        <is>
          <t>15</t>
        </is>
      </c>
      <c r="C42" t="inlineStr">
        <is>
          <t>Glücks-Probe, um der Wirkung zu entgehen.</t>
        </is>
      </c>
      <c r="D42" t="inlineStr">
        <is>
          <t>(M)*4m</t>
        </is>
      </c>
      <c r="E42" t="inlineStr">
        <is>
          <t>Aura</t>
        </is>
      </c>
      <c r="F42" t="inlineStr">
        <is>
          <t>Blitz</t>
        </is>
      </c>
      <c r="G42" t="inlineStr">
        <is>
          <t>Bipolar</t>
        </is>
      </c>
      <c r="H42" t="inlineStr">
        <is>
          <t>3</t>
        </is>
      </c>
      <c r="I42" t="inlineStr">
        <is>
          <t>6</t>
        </is>
      </c>
      <c r="J42" t="inlineStr">
        <is>
          <t>sofort</t>
        </is>
      </c>
      <c r="K42" t="inlineStr">
        <is>
          <t>permanent</t>
        </is>
      </c>
      <c r="L42" t="inlineStr">
        <is>
          <t>7</t>
        </is>
      </c>
      <c r="M42" t="inlineStr">
        <is>
          <t>13</t>
        </is>
      </c>
      <c r="N42" t="inlineStr">
        <is>
          <t>21</t>
        </is>
      </c>
      <c r="O42" t="inlineStr">
        <is>
          <t>6</t>
        </is>
      </c>
    </row>
    <row r="43">
      <c r="A43" t="inlineStr">
        <is>
          <t>spruchmagie_magiebeschwoerung_4_magische_geschoss_salve</t>
        </is>
      </c>
      <c r="B43" t="inlineStr">
        <is>
          <t>18</t>
        </is>
      </c>
      <c r="C43" t="inlineStr">
        <is>
          <t>Bis {M}m: Glücks-Probe, bis {M}*2m: AW/2, danach AW oder mit einem Schild parieren, um der Wirkung zu entgehen.</t>
        </is>
      </c>
      <c r="D43" t="inlineStr">
        <is>
          <t>(M)*2m</t>
        </is>
      </c>
      <c r="E43" t="inlineStr">
        <is>
          <t>Aura</t>
        </is>
      </c>
      <c r="F43" t="inlineStr">
        <is>
          <t>Bolzen</t>
        </is>
      </c>
      <c r="G43" t="inlineStr">
        <is>
          <t>Einmalig</t>
        </is>
      </c>
      <c r="H43" t="inlineStr">
        <is>
          <t>/</t>
        </is>
      </c>
      <c r="I43" t="inlineStr">
        <is>
          <t>9</t>
        </is>
      </c>
      <c r="J43" t="inlineStr">
        <is>
          <t>sofort</t>
        </is>
      </c>
      <c r="K43" t="inlineStr">
        <is>
          <t>permanent</t>
        </is>
      </c>
      <c r="L43" t="inlineStr">
        <is>
          <t>8</t>
        </is>
      </c>
      <c r="M43" t="inlineStr">
        <is>
          <t>15</t>
        </is>
      </c>
      <c r="N43" t="inlineStr">
        <is>
          <t>24</t>
        </is>
      </c>
      <c r="O43" t="inlineStr">
        <is>
          <t>6/Bolzen</t>
        </is>
      </c>
    </row>
    <row r="44">
      <c r="A44" t="inlineStr">
        <is>
          <t>spruchmagie_magiebeschwoerung_5_grosse_magische_aura</t>
        </is>
      </c>
      <c r="B44" t="inlineStr">
        <is>
          <t>18</t>
        </is>
      </c>
      <c r="C44" t="inlineStr">
        <is>
          <t>Keine Gegenprobe möglich.</t>
        </is>
      </c>
      <c r="D44" t="inlineStr">
        <is>
          <t>Aura/3m</t>
        </is>
      </c>
      <c r="E44" t="inlineStr">
        <is>
          <t>Selbst</t>
        </is>
      </c>
      <c r="F44" t="inlineStr">
        <is>
          <t>Kugel</t>
        </is>
      </c>
      <c r="G44" t="inlineStr">
        <is>
          <t>Anhaltend</t>
        </is>
      </c>
      <c r="H44" t="inlineStr">
        <is>
          <t>2.5</t>
        </is>
      </c>
      <c r="I44" t="inlineStr">
        <is>
          <t>6</t>
        </is>
      </c>
      <c r="J44" t="inlineStr">
        <is>
          <t>sofort</t>
        </is>
      </c>
      <c r="K44" t="inlineStr">
        <is>
          <t>(M)*3sec</t>
        </is>
      </c>
      <c r="L44" t="inlineStr">
        <is>
          <t>9</t>
        </is>
      </c>
      <c r="M44" t="inlineStr">
        <is>
          <t>17</t>
        </is>
      </c>
      <c r="N44" t="inlineStr">
        <is>
          <t>27</t>
        </is>
      </c>
      <c r="O44" t="inlineStr">
        <is>
          <t>15 + 3 / sec</t>
        </is>
      </c>
    </row>
    <row r="45">
      <c r="A45" t="inlineStr">
        <is>
          <t>spruchmagie_magiebeschwoerung_5_statisches_feld</t>
        </is>
      </c>
      <c r="B45" t="inlineStr">
        <is>
          <t>20</t>
        </is>
      </c>
      <c r="C45" t="inlineStr">
        <is>
          <t>Keine Gegenprobe möglich.</t>
        </is>
      </c>
      <c r="D45" t="inlineStr">
        <is>
          <t>(M)*m Radius</t>
        </is>
      </c>
      <c r="E45" t="inlineStr">
        <is>
          <t>Selbst</t>
        </is>
      </c>
      <c r="F45" t="inlineStr">
        <is>
          <t>Kugel</t>
        </is>
      </c>
      <c r="G45" t="inlineStr">
        <is>
          <t>Einmalig</t>
        </is>
      </c>
      <c r="H45" t="inlineStr">
        <is>
          <t>/</t>
        </is>
      </c>
      <c r="I45" t="inlineStr">
        <is>
          <t>9</t>
        </is>
      </c>
      <c r="J45" t="inlineStr">
        <is>
          <t>sofort</t>
        </is>
      </c>
      <c r="K45" t="inlineStr">
        <is>
          <t>permanent</t>
        </is>
      </c>
      <c r="L45" t="inlineStr">
        <is>
          <t>9</t>
        </is>
      </c>
      <c r="M45" t="inlineStr">
        <is>
          <t>17</t>
        </is>
      </c>
      <c r="N45" t="inlineStr">
        <is>
          <t>27</t>
        </is>
      </c>
      <c r="O45" t="inlineStr">
        <is>
          <t>38</t>
        </is>
      </c>
    </row>
    <row r="46">
      <c r="A46" t="inlineStr">
        <is>
          <t>spruchmagie_magiebeschwoerung_6_grosse_magische_ball_salve</t>
        </is>
      </c>
      <c r="B46" t="inlineStr">
        <is>
          <t>22</t>
        </is>
      </c>
      <c r="C46" t="inlineStr">
        <is>
          <t>Bis {Magie}m: Glücks-Probe, ab {Magie}m: Ausweichen, ab {Magie}*2m: mit einem Schild Parieren, um der Wirkung zu entgehen.</t>
        </is>
      </c>
      <c r="D46" t="inlineStr">
        <is>
          <t>(M)*2m</t>
        </is>
      </c>
      <c r="E46" t="inlineStr">
        <is>
          <t>Aura</t>
        </is>
      </c>
      <c r="F46" t="inlineStr">
        <is>
          <t>Ball</t>
        </is>
      </c>
      <c r="G46" t="inlineStr">
        <is>
          <t>Einmalig</t>
        </is>
      </c>
      <c r="H46" t="inlineStr">
        <is>
          <t>/</t>
        </is>
      </c>
      <c r="I46" t="inlineStr">
        <is>
          <t>6</t>
        </is>
      </c>
      <c r="J46" t="inlineStr">
        <is>
          <t>sofort</t>
        </is>
      </c>
      <c r="K46" t="inlineStr">
        <is>
          <t>permanent</t>
        </is>
      </c>
      <c r="L46" t="inlineStr">
        <is>
          <t>10</t>
        </is>
      </c>
      <c r="M46" t="inlineStr">
        <is>
          <t>19</t>
        </is>
      </c>
      <c r="N46" t="inlineStr">
        <is>
          <t>30</t>
        </is>
      </c>
      <c r="O46" t="inlineStr">
        <is>
          <t>12/Ball</t>
        </is>
      </c>
    </row>
    <row r="47">
      <c r="A47" t="inlineStr">
        <is>
          <t>spruchmagie_magiebeschwoerung_7_grosses_statisches_feld</t>
        </is>
      </c>
      <c r="B47" t="inlineStr">
        <is>
          <t>24</t>
        </is>
      </c>
      <c r="C47" t="inlineStr">
        <is>
          <t>Keine Gegenprobe möglich.</t>
        </is>
      </c>
      <c r="D47" t="inlineStr">
        <is>
          <t>(M)*m Radius</t>
        </is>
      </c>
      <c r="E47" t="inlineStr">
        <is>
          <t>Selbst</t>
        </is>
      </c>
      <c r="F47" t="inlineStr">
        <is>
          <t>Kugel</t>
        </is>
      </c>
      <c r="G47" t="inlineStr">
        <is>
          <t>Einmalig</t>
        </is>
      </c>
      <c r="H47" t="inlineStr">
        <is>
          <t>/</t>
        </is>
      </c>
      <c r="I47" t="inlineStr">
        <is>
          <t>9</t>
        </is>
      </c>
      <c r="J47" t="inlineStr">
        <is>
          <t>sofort</t>
        </is>
      </c>
      <c r="K47" t="inlineStr">
        <is>
          <t>permanent</t>
        </is>
      </c>
      <c r="L47" t="inlineStr">
        <is>
          <t>11</t>
        </is>
      </c>
      <c r="M47" t="inlineStr">
        <is>
          <t>20</t>
        </is>
      </c>
      <c r="N47" t="inlineStr">
        <is>
          <t>32</t>
        </is>
      </c>
      <c r="O47" t="inlineStr">
        <is>
          <t>60</t>
        </is>
      </c>
    </row>
    <row r="48">
      <c r="A48" t="inlineStr">
        <is>
          <t>spruchmagie_antimagie_1_artefakt_analysieren</t>
        </is>
      </c>
      <c r="B48" t="inlineStr">
        <is>
          <t>11</t>
        </is>
      </c>
      <c r="C48" t="inlineStr">
        <is>
          <t>Keine Gegenprobe möglich.</t>
        </is>
      </c>
      <c r="D48" t="inlineStr">
        <is>
          <t>Berührung</t>
        </is>
      </c>
      <c r="E48" t="inlineStr">
        <is>
          <t>Gegenstand</t>
        </is>
      </c>
      <c r="F48" t="inlineStr">
        <is>
          <t>Aura</t>
        </is>
      </c>
      <c r="G48" t="inlineStr">
        <is>
          <t>Einmalig</t>
        </is>
      </c>
      <c r="H48" t="inlineStr">
        <is>
          <t>/</t>
        </is>
      </c>
      <c r="I48" t="inlineStr">
        <is>
          <t>5</t>
        </is>
      </c>
      <c r="J48" t="inlineStr">
        <is>
          <t>3*(höchster Grad des Artefaktes)</t>
        </is>
      </c>
      <c r="K48" t="inlineStr">
        <is>
          <t>permanent</t>
        </is>
      </c>
      <c r="L48" t="inlineStr">
        <is>
          <t>2</t>
        </is>
      </c>
      <c r="M48" t="inlineStr">
        <is>
          <t>6</t>
        </is>
      </c>
      <c r="N48" t="inlineStr">
        <is>
          <t>12</t>
        </is>
      </c>
      <c r="O48" t="inlineStr">
        <is>
          <t>3 + (höchster Grad des Artefaktes) x 2</t>
        </is>
      </c>
    </row>
    <row r="49">
      <c r="A49" t="inlineStr">
        <is>
          <t>spruchmagie_antimagie_2_artefakt_stoeren</t>
        </is>
      </c>
      <c r="B49" t="inlineStr">
        <is>
          <t>14</t>
        </is>
      </c>
      <c r="C49" t="inlineStr">
        <is>
          <t>Keine Gegenprobe möglich.</t>
        </is>
      </c>
      <c r="D49" t="inlineStr">
        <is>
          <t>Berührung</t>
        </is>
      </c>
      <c r="E49" t="inlineStr">
        <is>
          <t>Gegenstand</t>
        </is>
      </c>
      <c r="F49" t="inlineStr">
        <is>
          <t>Aura</t>
        </is>
      </c>
      <c r="G49" t="inlineStr">
        <is>
          <t>Einmalig</t>
        </is>
      </c>
      <c r="H49" t="inlineStr">
        <is>
          <t>/</t>
        </is>
      </c>
      <c r="I49" t="inlineStr">
        <is>
          <t>5</t>
        </is>
      </c>
      <c r="J49" t="inlineStr">
        <is>
          <t>(höchster Grad des Artefaktes)sec</t>
        </is>
      </c>
      <c r="K49" t="inlineStr">
        <is>
          <t>permanent</t>
        </is>
      </c>
      <c r="L49" t="inlineStr">
        <is>
          <t>4</t>
        </is>
      </c>
      <c r="M49" t="inlineStr">
        <is>
          <t>9</t>
        </is>
      </c>
      <c r="N49" t="inlineStr">
        <is>
          <t>16</t>
        </is>
      </c>
      <c r="O49" t="inlineStr">
        <is>
          <t>[(höchster Grad des Artefaktes)x3] +3</t>
        </is>
      </c>
    </row>
    <row r="50">
      <c r="A50" t="inlineStr">
        <is>
          <t>spruchmagie_antimagie_3_schule_erschweren_antimagie</t>
        </is>
      </c>
      <c r="B50" t="inlineStr">
        <is>
          <t>16</t>
        </is>
      </c>
      <c r="C50" t="inlineStr">
        <is>
          <t>Keine Gegenprobe möglich.</t>
        </is>
      </c>
      <c r="D50" t="inlineStr">
        <is>
          <t>(M)*2m</t>
        </is>
      </c>
      <c r="E50" t="inlineStr">
        <is>
          <t>Punkt im Raum</t>
        </is>
      </c>
      <c r="F50" t="inlineStr">
        <is>
          <t>Kugel</t>
        </is>
      </c>
      <c r="G50" t="inlineStr">
        <is>
          <t>Anhaltend</t>
        </is>
      </c>
      <c r="H50" t="inlineStr">
        <is>
          <t>1.5</t>
        </is>
      </c>
      <c r="I50" t="inlineStr">
        <is>
          <t>5</t>
        </is>
      </c>
      <c r="J50" t="inlineStr">
        <is>
          <t>sofort</t>
        </is>
      </c>
      <c r="K50" t="inlineStr">
        <is>
          <t>Magie*min</t>
        </is>
      </c>
      <c r="L50" t="inlineStr">
        <is>
          <t>6</t>
        </is>
      </c>
      <c r="M50" t="inlineStr">
        <is>
          <t>12</t>
        </is>
      </c>
      <c r="N50" t="inlineStr">
        <is>
          <t>20</t>
        </is>
      </c>
      <c r="O50" t="inlineStr">
        <is>
          <t>15 / min</t>
        </is>
      </c>
    </row>
    <row r="51">
      <c r="A51" t="inlineStr">
        <is>
          <t>spruchmagie_antimagie_3_schule_erschweren_beherrschung</t>
        </is>
      </c>
      <c r="B51" t="inlineStr">
        <is>
          <t>16</t>
        </is>
      </c>
      <c r="C51" t="inlineStr">
        <is>
          <t>Keine Gegenprobe möglich.</t>
        </is>
      </c>
      <c r="D51" t="inlineStr">
        <is>
          <t>(M)*2m</t>
        </is>
      </c>
      <c r="E51" t="inlineStr">
        <is>
          <t>Punkt im Raum</t>
        </is>
      </c>
      <c r="F51" t="inlineStr">
        <is>
          <t>Kugel</t>
        </is>
      </c>
      <c r="G51" t="inlineStr">
        <is>
          <t>Anhaltend</t>
        </is>
      </c>
      <c r="H51" t="inlineStr">
        <is>
          <t>1.5</t>
        </is>
      </c>
      <c r="I51" t="inlineStr">
        <is>
          <t>5</t>
        </is>
      </c>
      <c r="J51" t="inlineStr">
        <is>
          <t>sofort</t>
        </is>
      </c>
      <c r="K51" t="inlineStr">
        <is>
          <t>Magie*min</t>
        </is>
      </c>
      <c r="L51" t="inlineStr">
        <is>
          <t>6</t>
        </is>
      </c>
      <c r="M51" t="inlineStr">
        <is>
          <t>12</t>
        </is>
      </c>
      <c r="N51" t="inlineStr">
        <is>
          <t>20</t>
        </is>
      </c>
      <c r="O51" t="inlineStr">
        <is>
          <t>15 / min</t>
        </is>
      </c>
    </row>
    <row r="52">
      <c r="A52" t="inlineStr">
        <is>
          <t>spruchmagie_antimagie_3_schule_erschweren_erdbeschwoerung</t>
        </is>
      </c>
      <c r="B52" t="inlineStr">
        <is>
          <t>16</t>
        </is>
      </c>
      <c r="C52" t="inlineStr">
        <is>
          <t>Keine Gegenprobe möglich.</t>
        </is>
      </c>
      <c r="D52" t="inlineStr">
        <is>
          <t>(M)*2m</t>
        </is>
      </c>
      <c r="E52" t="inlineStr">
        <is>
          <t>Punkt im Raum</t>
        </is>
      </c>
      <c r="F52" t="inlineStr">
        <is>
          <t>Kugel</t>
        </is>
      </c>
      <c r="G52" t="inlineStr">
        <is>
          <t>Anhaltend</t>
        </is>
      </c>
      <c r="H52" t="inlineStr">
        <is>
          <t>1.5</t>
        </is>
      </c>
      <c r="I52" t="inlineStr">
        <is>
          <t>5</t>
        </is>
      </c>
      <c r="J52" t="inlineStr">
        <is>
          <t>sofort</t>
        </is>
      </c>
      <c r="K52" t="inlineStr">
        <is>
          <t>Magie*min</t>
        </is>
      </c>
      <c r="L52" t="inlineStr">
        <is>
          <t>6</t>
        </is>
      </c>
      <c r="M52" t="inlineStr">
        <is>
          <t>12</t>
        </is>
      </c>
      <c r="N52" t="inlineStr">
        <is>
          <t>20</t>
        </is>
      </c>
      <c r="O52" t="inlineStr">
        <is>
          <t>15 / min</t>
        </is>
      </c>
    </row>
    <row r="53">
      <c r="A53" t="inlineStr">
        <is>
          <t>spruchmagie_antimagie_3_schule_erschweren_feuerbeschwoerung</t>
        </is>
      </c>
      <c r="B53" t="inlineStr">
        <is>
          <t>16</t>
        </is>
      </c>
      <c r="C53" t="inlineStr">
        <is>
          <t>Keine Gegenprobe möglich.</t>
        </is>
      </c>
      <c r="D53" t="inlineStr">
        <is>
          <t>(M)*2m</t>
        </is>
      </c>
      <c r="E53" t="inlineStr">
        <is>
          <t>Punkt im Raum</t>
        </is>
      </c>
      <c r="F53" t="inlineStr">
        <is>
          <t>Kugel</t>
        </is>
      </c>
      <c r="G53" t="inlineStr">
        <is>
          <t>Anhaltend</t>
        </is>
      </c>
      <c r="H53" t="inlineStr">
        <is>
          <t>1.5</t>
        </is>
      </c>
      <c r="I53" t="inlineStr">
        <is>
          <t>5</t>
        </is>
      </c>
      <c r="J53" t="inlineStr">
        <is>
          <t>sofort</t>
        </is>
      </c>
      <c r="K53" t="inlineStr">
        <is>
          <t>Magie*min</t>
        </is>
      </c>
      <c r="L53" t="inlineStr">
        <is>
          <t>6</t>
        </is>
      </c>
      <c r="M53" t="inlineStr">
        <is>
          <t>12</t>
        </is>
      </c>
      <c r="N53" t="inlineStr">
        <is>
          <t>20</t>
        </is>
      </c>
      <c r="O53" t="inlineStr">
        <is>
          <t>15 / min</t>
        </is>
      </c>
    </row>
    <row r="54">
      <c r="A54" t="inlineStr">
        <is>
          <t>spruchmagie_antimagie_3_schule_erschweren_heilung</t>
        </is>
      </c>
      <c r="B54" t="inlineStr">
        <is>
          <t>16</t>
        </is>
      </c>
      <c r="C54" t="inlineStr">
        <is>
          <t>Keine Gegenprobe möglich.</t>
        </is>
      </c>
      <c r="D54" t="inlineStr">
        <is>
          <t>(M)*2m</t>
        </is>
      </c>
      <c r="E54" t="inlineStr">
        <is>
          <t>Punkt im Raum</t>
        </is>
      </c>
      <c r="F54" t="inlineStr">
        <is>
          <t>Kugel</t>
        </is>
      </c>
      <c r="G54" t="inlineStr">
        <is>
          <t>Anhaltend</t>
        </is>
      </c>
      <c r="H54" t="inlineStr">
        <is>
          <t>1.5</t>
        </is>
      </c>
      <c r="I54" t="inlineStr">
        <is>
          <t>5</t>
        </is>
      </c>
      <c r="J54" t="inlineStr">
        <is>
          <t>sofort</t>
        </is>
      </c>
      <c r="K54" t="inlineStr">
        <is>
          <t>Magie*min</t>
        </is>
      </c>
      <c r="L54" t="inlineStr">
        <is>
          <t>6</t>
        </is>
      </c>
      <c r="M54" t="inlineStr">
        <is>
          <t>12</t>
        </is>
      </c>
      <c r="N54" t="inlineStr">
        <is>
          <t>20</t>
        </is>
      </c>
      <c r="O54" t="inlineStr">
        <is>
          <t>15 / min</t>
        </is>
      </c>
    </row>
    <row r="55">
      <c r="A55" t="inlineStr">
        <is>
          <t>spruchmagie_antimagie_3_schule_erschweren_hellsicht</t>
        </is>
      </c>
      <c r="B55" t="inlineStr">
        <is>
          <t>16</t>
        </is>
      </c>
      <c r="C55" t="inlineStr">
        <is>
          <t>Keine Gegenprobe möglich.</t>
        </is>
      </c>
      <c r="D55" t="inlineStr">
        <is>
          <t>(M)*2m</t>
        </is>
      </c>
      <c r="E55" t="inlineStr">
        <is>
          <t>Punkt im Raum</t>
        </is>
      </c>
      <c r="F55" t="inlineStr">
        <is>
          <t>Kugel</t>
        </is>
      </c>
      <c r="G55" t="inlineStr">
        <is>
          <t>Anhaltend</t>
        </is>
      </c>
      <c r="H55" t="inlineStr">
        <is>
          <t>1.5</t>
        </is>
      </c>
      <c r="I55" t="inlineStr">
        <is>
          <t>5</t>
        </is>
      </c>
      <c r="J55" t="inlineStr">
        <is>
          <t>sofort</t>
        </is>
      </c>
      <c r="K55" t="inlineStr">
        <is>
          <t>Magie*min</t>
        </is>
      </c>
      <c r="L55" t="inlineStr">
        <is>
          <t>6</t>
        </is>
      </c>
      <c r="M55" t="inlineStr">
        <is>
          <t>12</t>
        </is>
      </c>
      <c r="N55" t="inlineStr">
        <is>
          <t>20</t>
        </is>
      </c>
      <c r="O55" t="inlineStr">
        <is>
          <t>15 / min</t>
        </is>
      </c>
    </row>
    <row r="56">
      <c r="A56" t="inlineStr">
        <is>
          <t>spruchmagie_antimagie_3_schule_erschweren_illusion</t>
        </is>
      </c>
      <c r="B56" t="inlineStr">
        <is>
          <t>16</t>
        </is>
      </c>
      <c r="C56" t="inlineStr">
        <is>
          <t>Keine Gegenprobe möglich.</t>
        </is>
      </c>
      <c r="D56" t="inlineStr">
        <is>
          <t>(M)*2m</t>
        </is>
      </c>
      <c r="E56" t="inlineStr">
        <is>
          <t>Punkt im Raum</t>
        </is>
      </c>
      <c r="F56" t="inlineStr">
        <is>
          <t>Kugel</t>
        </is>
      </c>
      <c r="G56" t="inlineStr">
        <is>
          <t>Anhaltend</t>
        </is>
      </c>
      <c r="H56" t="inlineStr">
        <is>
          <t>1.5</t>
        </is>
      </c>
      <c r="I56" t="inlineStr">
        <is>
          <t>5</t>
        </is>
      </c>
      <c r="J56" t="inlineStr">
        <is>
          <t>sofort</t>
        </is>
      </c>
      <c r="K56" t="inlineStr">
        <is>
          <t>Magie*min</t>
        </is>
      </c>
      <c r="L56" t="inlineStr">
        <is>
          <t>6</t>
        </is>
      </c>
      <c r="M56" t="inlineStr">
        <is>
          <t>12</t>
        </is>
      </c>
      <c r="N56" t="inlineStr">
        <is>
          <t>20</t>
        </is>
      </c>
      <c r="O56" t="inlineStr">
        <is>
          <t>15 / min</t>
        </is>
      </c>
    </row>
    <row r="57">
      <c r="A57" t="inlineStr">
        <is>
          <t>spruchmagie_antimagie_3_schule_erschweren_luftbeschwoerung</t>
        </is>
      </c>
      <c r="B57" t="inlineStr">
        <is>
          <t>16</t>
        </is>
      </c>
      <c r="C57" t="inlineStr">
        <is>
          <t>Keine Gegenprobe möglich.</t>
        </is>
      </c>
      <c r="D57" t="inlineStr">
        <is>
          <t>(M)*2m</t>
        </is>
      </c>
      <c r="E57" t="inlineStr">
        <is>
          <t>Punkt im Raum</t>
        </is>
      </c>
      <c r="F57" t="inlineStr">
        <is>
          <t>Kugel</t>
        </is>
      </c>
      <c r="G57" t="inlineStr">
        <is>
          <t>Anhaltend</t>
        </is>
      </c>
      <c r="H57" t="inlineStr">
        <is>
          <t>1.5</t>
        </is>
      </c>
      <c r="I57" t="inlineStr">
        <is>
          <t>5</t>
        </is>
      </c>
      <c r="J57" t="inlineStr">
        <is>
          <t>sofort</t>
        </is>
      </c>
      <c r="K57" t="inlineStr">
        <is>
          <t>Magie*min</t>
        </is>
      </c>
      <c r="L57" t="inlineStr">
        <is>
          <t>6</t>
        </is>
      </c>
      <c r="M57" t="inlineStr">
        <is>
          <t>12</t>
        </is>
      </c>
      <c r="N57" t="inlineStr">
        <is>
          <t>20</t>
        </is>
      </c>
      <c r="O57" t="inlineStr">
        <is>
          <t>15 / min</t>
        </is>
      </c>
    </row>
    <row r="58">
      <c r="A58" t="inlineStr">
        <is>
          <t>spruchmagie_antimagie_3_schule_erschweren_magiebeschwoerung</t>
        </is>
      </c>
      <c r="B58" t="inlineStr">
        <is>
          <t>16</t>
        </is>
      </c>
      <c r="C58" t="inlineStr">
        <is>
          <t>Keine Gegenprobe möglich.</t>
        </is>
      </c>
      <c r="D58" t="inlineStr">
        <is>
          <t>(M)*2m</t>
        </is>
      </c>
      <c r="E58" t="inlineStr">
        <is>
          <t>Punkt im Raum</t>
        </is>
      </c>
      <c r="F58" t="inlineStr">
        <is>
          <t>Kugel</t>
        </is>
      </c>
      <c r="G58" t="inlineStr">
        <is>
          <t>Anhaltend</t>
        </is>
      </c>
      <c r="H58" t="inlineStr">
        <is>
          <t>1.5</t>
        </is>
      </c>
      <c r="I58" t="inlineStr">
        <is>
          <t>5</t>
        </is>
      </c>
      <c r="J58" t="inlineStr">
        <is>
          <t>sofort</t>
        </is>
      </c>
      <c r="K58" t="inlineStr">
        <is>
          <t>Magie*min</t>
        </is>
      </c>
      <c r="L58" t="inlineStr">
        <is>
          <t>6</t>
        </is>
      </c>
      <c r="M58" t="inlineStr">
        <is>
          <t>12</t>
        </is>
      </c>
      <c r="N58" t="inlineStr">
        <is>
          <t>20</t>
        </is>
      </c>
      <c r="O58" t="inlineStr">
        <is>
          <t>15 / min</t>
        </is>
      </c>
    </row>
    <row r="59">
      <c r="A59" t="inlineStr">
        <is>
          <t>spruchmagie_antimagie_3_schule_erschweren_veraenderung</t>
        </is>
      </c>
      <c r="B59" t="inlineStr">
        <is>
          <t>16</t>
        </is>
      </c>
      <c r="C59" t="inlineStr">
        <is>
          <t>Keine Gegenprobe möglich.</t>
        </is>
      </c>
      <c r="D59" t="inlineStr">
        <is>
          <t>(M)*2m</t>
        </is>
      </c>
      <c r="E59" t="inlineStr">
        <is>
          <t>Punkt im Raum</t>
        </is>
      </c>
      <c r="F59" t="inlineStr">
        <is>
          <t>Kugel</t>
        </is>
      </c>
      <c r="G59" t="inlineStr">
        <is>
          <t>Anhaltend</t>
        </is>
      </c>
      <c r="H59" t="inlineStr">
        <is>
          <t>1.5</t>
        </is>
      </c>
      <c r="I59" t="inlineStr">
        <is>
          <t>5</t>
        </is>
      </c>
      <c r="J59" t="inlineStr">
        <is>
          <t>sofort</t>
        </is>
      </c>
      <c r="K59" t="inlineStr">
        <is>
          <t>Magie*min</t>
        </is>
      </c>
      <c r="L59" t="inlineStr">
        <is>
          <t>6</t>
        </is>
      </c>
      <c r="M59" t="inlineStr">
        <is>
          <t>12</t>
        </is>
      </c>
      <c r="N59" t="inlineStr">
        <is>
          <t>20</t>
        </is>
      </c>
      <c r="O59" t="inlineStr">
        <is>
          <t>15 / min</t>
        </is>
      </c>
    </row>
    <row r="60">
      <c r="A60" t="inlineStr">
        <is>
          <t>spruchmagie_antimagie_3_schule_erschweren_verzauberung</t>
        </is>
      </c>
      <c r="B60" t="inlineStr">
        <is>
          <t>16</t>
        </is>
      </c>
      <c r="C60" t="inlineStr">
        <is>
          <t>Keine Gegenprobe möglich.</t>
        </is>
      </c>
      <c r="D60" t="inlineStr">
        <is>
          <t>(M)*2m</t>
        </is>
      </c>
      <c r="E60" t="inlineStr">
        <is>
          <t>Punkt im Raum</t>
        </is>
      </c>
      <c r="F60" t="inlineStr">
        <is>
          <t>Kugel</t>
        </is>
      </c>
      <c r="G60" t="inlineStr">
        <is>
          <t>Anhaltend</t>
        </is>
      </c>
      <c r="H60" t="inlineStr">
        <is>
          <t>1.5</t>
        </is>
      </c>
      <c r="I60" t="inlineStr">
        <is>
          <t>5</t>
        </is>
      </c>
      <c r="J60" t="inlineStr">
        <is>
          <t>sofort</t>
        </is>
      </c>
      <c r="K60" t="inlineStr">
        <is>
          <t>Magie*min</t>
        </is>
      </c>
      <c r="L60" t="inlineStr">
        <is>
          <t>6</t>
        </is>
      </c>
      <c r="M60" t="inlineStr">
        <is>
          <t>12</t>
        </is>
      </c>
      <c r="N60" t="inlineStr">
        <is>
          <t>20</t>
        </is>
      </c>
      <c r="O60" t="inlineStr">
        <is>
          <t>15 / min</t>
        </is>
      </c>
    </row>
    <row r="61">
      <c r="A61" t="inlineStr">
        <is>
          <t>spruchmagie_antimagie_3_schule_erschweren_wasserbeschwoerung</t>
        </is>
      </c>
      <c r="B61" t="inlineStr">
        <is>
          <t>16</t>
        </is>
      </c>
      <c r="C61" t="inlineStr">
        <is>
          <t>Keine Gegenprobe möglich.</t>
        </is>
      </c>
      <c r="D61" t="inlineStr">
        <is>
          <t>(M)*2m</t>
        </is>
      </c>
      <c r="E61" t="inlineStr">
        <is>
          <t>Punkt im Raum</t>
        </is>
      </c>
      <c r="F61" t="inlineStr">
        <is>
          <t>Kugel</t>
        </is>
      </c>
      <c r="G61" t="inlineStr">
        <is>
          <t>Anhaltend</t>
        </is>
      </c>
      <c r="H61" t="inlineStr">
        <is>
          <t>1.5</t>
        </is>
      </c>
      <c r="I61" t="inlineStr">
        <is>
          <t>5</t>
        </is>
      </c>
      <c r="J61" t="inlineStr">
        <is>
          <t>sofort</t>
        </is>
      </c>
      <c r="K61" t="inlineStr">
        <is>
          <t>Magie*min</t>
        </is>
      </c>
      <c r="L61" t="inlineStr">
        <is>
          <t>6</t>
        </is>
      </c>
      <c r="M61" t="inlineStr">
        <is>
          <t>12</t>
        </is>
      </c>
      <c r="N61" t="inlineStr">
        <is>
          <t>20</t>
        </is>
      </c>
      <c r="O61" t="inlineStr">
        <is>
          <t>15 / min</t>
        </is>
      </c>
    </row>
    <row r="62">
      <c r="A62" t="inlineStr">
        <is>
          <t>spruchmagie_antimagie_5_schule_hemmen_antimagie</t>
        </is>
      </c>
      <c r="B62" t="inlineStr">
        <is>
          <t>20</t>
        </is>
      </c>
      <c r="C62" t="inlineStr">
        <is>
          <t>Keine Gegenprobe möglich.</t>
        </is>
      </c>
      <c r="D62" t="inlineStr">
        <is>
          <t>(M)*2m</t>
        </is>
      </c>
      <c r="E62" t="inlineStr">
        <is>
          <t>Punkt im Raum</t>
        </is>
      </c>
      <c r="F62" t="inlineStr">
        <is>
          <t>Kugel</t>
        </is>
      </c>
      <c r="G62" t="inlineStr">
        <is>
          <t>Anhaltend</t>
        </is>
      </c>
      <c r="H62" t="inlineStr">
        <is>
          <t>2.5</t>
        </is>
      </c>
      <c r="I62" t="inlineStr">
        <is>
          <t>6</t>
        </is>
      </c>
      <c r="J62" t="inlineStr">
        <is>
          <t>sofort</t>
        </is>
      </c>
      <c r="K62" t="inlineStr">
        <is>
          <t>Magie*min</t>
        </is>
      </c>
      <c r="L62" t="inlineStr">
        <is>
          <t>9</t>
        </is>
      </c>
      <c r="M62" t="inlineStr">
        <is>
          <t>17</t>
        </is>
      </c>
      <c r="N62" t="inlineStr">
        <is>
          <t>27</t>
        </is>
      </c>
      <c r="O62" t="inlineStr">
        <is>
          <t>25 / min</t>
        </is>
      </c>
    </row>
    <row r="63">
      <c r="A63" t="inlineStr">
        <is>
          <t>spruchmagie_antimagie_5_korpi_ignorieren</t>
        </is>
      </c>
      <c r="B63" t="inlineStr">
        <is>
          <t>19</t>
        </is>
      </c>
      <c r="C63" t="inlineStr">
        <is>
          <t>Keine Gegenprobe möglich.</t>
        </is>
      </c>
      <c r="D63" t="inlineStr">
        <is>
          <t>Berührung</t>
        </is>
      </c>
      <c r="E63" t="inlineStr">
        <is>
          <t>Gegenstand</t>
        </is>
      </c>
      <c r="F63" t="inlineStr">
        <is>
          <t>Aura</t>
        </is>
      </c>
      <c r="G63" t="inlineStr">
        <is>
          <t>Anhaltend</t>
        </is>
      </c>
      <c r="H63" t="inlineStr">
        <is>
          <t>2.5</t>
        </is>
      </c>
      <c r="I63" t="inlineStr">
        <is>
          <t>3</t>
        </is>
      </c>
      <c r="J63" t="inlineStr">
        <is>
          <t>sofort</t>
        </is>
      </c>
      <c r="K63" t="inlineStr">
        <is>
          <t>(M)*min</t>
        </is>
      </c>
      <c r="L63" t="inlineStr">
        <is>
          <t>8</t>
        </is>
      </c>
      <c r="M63" t="inlineStr">
        <is>
          <t>15</t>
        </is>
      </c>
      <c r="N63" t="inlineStr">
        <is>
          <t>24</t>
        </is>
      </c>
      <c r="O63" t="inlineStr">
        <is>
          <t>6 + 6 / min</t>
        </is>
      </c>
    </row>
    <row r="64">
      <c r="A64" t="inlineStr">
        <is>
          <t>spruchmagie_antimagie_5_aura_verhuellen</t>
        </is>
      </c>
      <c r="B64" t="inlineStr">
        <is>
          <t>21</t>
        </is>
      </c>
      <c r="C64" t="inlineStr">
        <is>
          <t>Keine Gegenprobe möglich.</t>
        </is>
      </c>
      <c r="D64" t="inlineStr">
        <is>
          <t>Selbst</t>
        </is>
      </c>
      <c r="E64" t="inlineStr">
        <is>
          <t>Selbst</t>
        </is>
      </c>
      <c r="F64" t="inlineStr">
        <is>
          <t>Aura</t>
        </is>
      </c>
      <c r="G64" t="inlineStr">
        <is>
          <t>Einmalig</t>
        </is>
      </c>
      <c r="H64" t="inlineStr">
        <is>
          <t>/</t>
        </is>
      </c>
      <c r="I64" t="inlineStr">
        <is>
          <t>21</t>
        </is>
      </c>
      <c r="J64" t="inlineStr">
        <is>
          <t>sofort</t>
        </is>
      </c>
      <c r="K64" t="inlineStr">
        <is>
          <t>(M)*min</t>
        </is>
      </c>
      <c r="L64" t="inlineStr">
        <is>
          <t>9</t>
        </is>
      </c>
      <c r="M64" t="inlineStr">
        <is>
          <t>17</t>
        </is>
      </c>
      <c r="N64" t="inlineStr">
        <is>
          <t>27</t>
        </is>
      </c>
      <c r="O64" t="inlineStr">
        <is>
          <t>24</t>
        </is>
      </c>
    </row>
    <row r="65">
      <c r="A65" t="inlineStr">
        <is>
          <t>spruchmagie_antimagie_5_schule_hemmen_beherrschung</t>
        </is>
      </c>
      <c r="B65" t="inlineStr">
        <is>
          <t>20</t>
        </is>
      </c>
      <c r="C65" t="inlineStr">
        <is>
          <t>Keine Gegenprobe möglich.</t>
        </is>
      </c>
      <c r="D65" t="inlineStr">
        <is>
          <t>(M)*2m</t>
        </is>
      </c>
      <c r="E65" t="inlineStr">
        <is>
          <t>Punkt im Raum</t>
        </is>
      </c>
      <c r="F65" t="inlineStr">
        <is>
          <t>Kugel</t>
        </is>
      </c>
      <c r="G65" t="inlineStr">
        <is>
          <t>Anhaltend</t>
        </is>
      </c>
      <c r="H65" t="inlineStr">
        <is>
          <t>2.5</t>
        </is>
      </c>
      <c r="I65" t="inlineStr">
        <is>
          <t>6</t>
        </is>
      </c>
      <c r="J65" t="inlineStr">
        <is>
          <t>sofort</t>
        </is>
      </c>
      <c r="K65" t="inlineStr">
        <is>
          <t>Magie*min</t>
        </is>
      </c>
      <c r="L65" t="inlineStr">
        <is>
          <t>9</t>
        </is>
      </c>
      <c r="M65" t="inlineStr">
        <is>
          <t>17</t>
        </is>
      </c>
      <c r="N65" t="inlineStr">
        <is>
          <t>27</t>
        </is>
      </c>
      <c r="O65" t="inlineStr">
        <is>
          <t>25 / min</t>
        </is>
      </c>
    </row>
    <row r="66">
      <c r="A66" t="inlineStr">
        <is>
          <t>spruchmagie_antimagie_5_schule_hemmen_heilung</t>
        </is>
      </c>
      <c r="B66" t="inlineStr">
        <is>
          <t>20</t>
        </is>
      </c>
      <c r="C66" t="inlineStr">
        <is>
          <t>Keine Gegenprobe möglich.</t>
        </is>
      </c>
      <c r="D66" t="inlineStr">
        <is>
          <t>(M)*2m</t>
        </is>
      </c>
      <c r="E66" t="inlineStr">
        <is>
          <t>Punkt im Raum</t>
        </is>
      </c>
      <c r="F66" t="inlineStr">
        <is>
          <t>Kugel</t>
        </is>
      </c>
      <c r="G66" t="inlineStr">
        <is>
          <t>Anhaltend</t>
        </is>
      </c>
      <c r="H66" t="inlineStr">
        <is>
          <t>2.5</t>
        </is>
      </c>
      <c r="I66" t="inlineStr">
        <is>
          <t>6</t>
        </is>
      </c>
      <c r="J66" t="inlineStr">
        <is>
          <t>sofort</t>
        </is>
      </c>
      <c r="K66" t="inlineStr">
        <is>
          <t>Magie*min</t>
        </is>
      </c>
      <c r="L66" t="inlineStr">
        <is>
          <t>9</t>
        </is>
      </c>
      <c r="M66" t="inlineStr">
        <is>
          <t>17</t>
        </is>
      </c>
      <c r="N66" t="inlineStr">
        <is>
          <t>27</t>
        </is>
      </c>
      <c r="O66" t="inlineStr">
        <is>
          <t>25 / min</t>
        </is>
      </c>
    </row>
    <row r="67">
      <c r="A67" t="inlineStr">
        <is>
          <t>spruchmagie_antimagie_5_schule_hemmen_hellsicht</t>
        </is>
      </c>
      <c r="B67" t="inlineStr">
        <is>
          <t>20</t>
        </is>
      </c>
      <c r="C67" t="inlineStr">
        <is>
          <t>Keine Gegenprobe möglich.</t>
        </is>
      </c>
      <c r="D67" t="inlineStr">
        <is>
          <t>(M)*2m</t>
        </is>
      </c>
      <c r="E67" t="inlineStr">
        <is>
          <t>Punkt im Raum</t>
        </is>
      </c>
      <c r="F67" t="inlineStr">
        <is>
          <t>Kugel</t>
        </is>
      </c>
      <c r="G67" t="inlineStr">
        <is>
          <t>Anhaltend</t>
        </is>
      </c>
      <c r="H67" t="inlineStr">
        <is>
          <t>2.5</t>
        </is>
      </c>
      <c r="I67" t="inlineStr">
        <is>
          <t>6</t>
        </is>
      </c>
      <c r="J67" t="inlineStr">
        <is>
          <t>sofort</t>
        </is>
      </c>
      <c r="K67" t="inlineStr">
        <is>
          <t>Magie*min</t>
        </is>
      </c>
      <c r="L67" t="inlineStr">
        <is>
          <t>9</t>
        </is>
      </c>
      <c r="M67" t="inlineStr">
        <is>
          <t>17</t>
        </is>
      </c>
      <c r="N67" t="inlineStr">
        <is>
          <t>27</t>
        </is>
      </c>
      <c r="O67" t="inlineStr">
        <is>
          <t>25 / min</t>
        </is>
      </c>
    </row>
    <row r="68">
      <c r="A68" t="inlineStr">
        <is>
          <t>spruchmagie_antimagie_5_schule_hemmen_erdbeschwoerung</t>
        </is>
      </c>
      <c r="B68" t="inlineStr">
        <is>
          <t>20</t>
        </is>
      </c>
      <c r="C68" t="inlineStr">
        <is>
          <t>Keine Gegenprobe möglich.</t>
        </is>
      </c>
      <c r="D68" t="inlineStr">
        <is>
          <t>(M)*2m</t>
        </is>
      </c>
      <c r="E68" t="inlineStr">
        <is>
          <t>Punkt im Raum</t>
        </is>
      </c>
      <c r="F68" t="inlineStr">
        <is>
          <t>Kugel</t>
        </is>
      </c>
      <c r="G68" t="inlineStr">
        <is>
          <t>Anhaltend</t>
        </is>
      </c>
      <c r="H68" t="inlineStr">
        <is>
          <t>2.5</t>
        </is>
      </c>
      <c r="I68" t="inlineStr">
        <is>
          <t>6</t>
        </is>
      </c>
      <c r="J68" t="inlineStr">
        <is>
          <t>sofort</t>
        </is>
      </c>
      <c r="K68" t="inlineStr">
        <is>
          <t>Magie*min</t>
        </is>
      </c>
      <c r="L68" t="inlineStr">
        <is>
          <t>9</t>
        </is>
      </c>
      <c r="M68" t="inlineStr">
        <is>
          <t>17</t>
        </is>
      </c>
      <c r="N68" t="inlineStr">
        <is>
          <t>27</t>
        </is>
      </c>
      <c r="O68" t="inlineStr">
        <is>
          <t>25 / min</t>
        </is>
      </c>
    </row>
    <row r="69">
      <c r="A69" t="inlineStr">
        <is>
          <t>spruchmagie_antimagie_5_schule_hemmen_luftbeschwoerung</t>
        </is>
      </c>
      <c r="B69" t="inlineStr">
        <is>
          <t>20</t>
        </is>
      </c>
      <c r="C69" t="inlineStr">
        <is>
          <t>Keine Gegenprobe möglich.</t>
        </is>
      </c>
      <c r="D69" t="inlineStr">
        <is>
          <t>(M)*2m</t>
        </is>
      </c>
      <c r="E69" t="inlineStr">
        <is>
          <t>Punkt im Raum</t>
        </is>
      </c>
      <c r="F69" t="inlineStr">
        <is>
          <t>Kugel</t>
        </is>
      </c>
      <c r="G69" t="inlineStr">
        <is>
          <t>Anhaltend</t>
        </is>
      </c>
      <c r="H69" t="inlineStr">
        <is>
          <t>2.5</t>
        </is>
      </c>
      <c r="I69" t="inlineStr">
        <is>
          <t>6</t>
        </is>
      </c>
      <c r="J69" t="inlineStr">
        <is>
          <t>sofort</t>
        </is>
      </c>
      <c r="K69" t="inlineStr">
        <is>
          <t>Magie*min</t>
        </is>
      </c>
      <c r="L69" t="inlineStr">
        <is>
          <t>9</t>
        </is>
      </c>
      <c r="M69" t="inlineStr">
        <is>
          <t>17</t>
        </is>
      </c>
      <c r="N69" t="inlineStr">
        <is>
          <t>27</t>
        </is>
      </c>
      <c r="O69" t="inlineStr">
        <is>
          <t>25 / min</t>
        </is>
      </c>
    </row>
    <row r="70">
      <c r="A70" t="inlineStr">
        <is>
          <t>spruchmagie_antimagie_5_schule_hemmen_magiebeschwoerung</t>
        </is>
      </c>
      <c r="B70" t="inlineStr">
        <is>
          <t>20</t>
        </is>
      </c>
      <c r="C70" t="inlineStr">
        <is>
          <t>Keine Gegenprobe möglich.</t>
        </is>
      </c>
      <c r="D70" t="inlineStr">
        <is>
          <t>(M)*2m</t>
        </is>
      </c>
      <c r="E70" t="inlineStr">
        <is>
          <t>Punkt im Raum</t>
        </is>
      </c>
      <c r="F70" t="inlineStr">
        <is>
          <t>Kugel</t>
        </is>
      </c>
      <c r="G70" t="inlineStr">
        <is>
          <t>Anhaltend</t>
        </is>
      </c>
      <c r="H70" t="inlineStr">
        <is>
          <t>2.5</t>
        </is>
      </c>
      <c r="I70" t="inlineStr">
        <is>
          <t>6</t>
        </is>
      </c>
      <c r="J70" t="inlineStr">
        <is>
          <t>sofort</t>
        </is>
      </c>
      <c r="K70" t="inlineStr">
        <is>
          <t>Magie*min</t>
        </is>
      </c>
      <c r="L70" t="inlineStr">
        <is>
          <t>9</t>
        </is>
      </c>
      <c r="M70" t="inlineStr">
        <is>
          <t>17</t>
        </is>
      </c>
      <c r="N70" t="inlineStr">
        <is>
          <t>27</t>
        </is>
      </c>
      <c r="O70" t="inlineStr">
        <is>
          <t>25 / min</t>
        </is>
      </c>
    </row>
    <row r="71">
      <c r="A71" t="inlineStr">
        <is>
          <t>spruchmagie_antimagie_5_schule_hemmen_wasserbeschwoerung</t>
        </is>
      </c>
      <c r="B71" t="inlineStr">
        <is>
          <t>20</t>
        </is>
      </c>
      <c r="C71" t="inlineStr">
        <is>
          <t>Keine Gegenprobe möglich.</t>
        </is>
      </c>
      <c r="D71" t="inlineStr">
        <is>
          <t>(M)*2m</t>
        </is>
      </c>
      <c r="E71" t="inlineStr">
        <is>
          <t>Punkt im Raum</t>
        </is>
      </c>
      <c r="F71" t="inlineStr">
        <is>
          <t>Kugel</t>
        </is>
      </c>
      <c r="G71" t="inlineStr">
        <is>
          <t>Anhaltend</t>
        </is>
      </c>
      <c r="H71" t="inlineStr">
        <is>
          <t>2.5</t>
        </is>
      </c>
      <c r="I71" t="inlineStr">
        <is>
          <t>6</t>
        </is>
      </c>
      <c r="J71" t="inlineStr">
        <is>
          <t>sofort</t>
        </is>
      </c>
      <c r="K71" t="inlineStr">
        <is>
          <t>Magie*min</t>
        </is>
      </c>
      <c r="L71" t="inlineStr">
        <is>
          <t>9</t>
        </is>
      </c>
      <c r="M71" t="inlineStr">
        <is>
          <t>17</t>
        </is>
      </c>
      <c r="N71" t="inlineStr">
        <is>
          <t>27</t>
        </is>
      </c>
      <c r="O71" t="inlineStr">
        <is>
          <t>25 / min</t>
        </is>
      </c>
    </row>
    <row r="72">
      <c r="A72" t="inlineStr">
        <is>
          <t>spruchmagie_antimagie_5_schule_hemmen_feuerbeschwoerung</t>
        </is>
      </c>
      <c r="B72" t="inlineStr">
        <is>
          <t>20</t>
        </is>
      </c>
      <c r="C72" t="inlineStr">
        <is>
          <t>Keine Gegenprobe möglich.</t>
        </is>
      </c>
      <c r="D72" t="inlineStr">
        <is>
          <t>(M)*2m</t>
        </is>
      </c>
      <c r="E72" t="inlineStr">
        <is>
          <t>Punkt im Raum</t>
        </is>
      </c>
      <c r="F72" t="inlineStr">
        <is>
          <t>Kugel</t>
        </is>
      </c>
      <c r="G72" t="inlineStr">
        <is>
          <t>Anhaltend</t>
        </is>
      </c>
      <c r="H72" t="inlineStr">
        <is>
          <t>2.5</t>
        </is>
      </c>
      <c r="I72" t="inlineStr">
        <is>
          <t>6</t>
        </is>
      </c>
      <c r="J72" t="inlineStr">
        <is>
          <t>sofort</t>
        </is>
      </c>
      <c r="K72" t="inlineStr">
        <is>
          <t>Magie*min</t>
        </is>
      </c>
      <c r="L72" t="inlineStr">
        <is>
          <t>9</t>
        </is>
      </c>
      <c r="M72" t="inlineStr">
        <is>
          <t>17</t>
        </is>
      </c>
      <c r="N72" t="inlineStr">
        <is>
          <t>27</t>
        </is>
      </c>
      <c r="O72" t="inlineStr">
        <is>
          <t>25 / min</t>
        </is>
      </c>
    </row>
    <row r="73">
      <c r="A73" t="inlineStr">
        <is>
          <t>spruchmagie_antimagie_5_schule_hemmen_verzauberung</t>
        </is>
      </c>
      <c r="B73" t="inlineStr">
        <is>
          <t>20</t>
        </is>
      </c>
      <c r="C73" t="inlineStr">
        <is>
          <t>Keine Gegenprobe möglich.</t>
        </is>
      </c>
      <c r="D73" t="inlineStr">
        <is>
          <t>(M)*2m</t>
        </is>
      </c>
      <c r="E73" t="inlineStr">
        <is>
          <t>Punkt im Raum</t>
        </is>
      </c>
      <c r="F73" t="inlineStr">
        <is>
          <t>Kugel</t>
        </is>
      </c>
      <c r="G73" t="inlineStr">
        <is>
          <t>Anhaltend</t>
        </is>
      </c>
      <c r="H73" t="inlineStr">
        <is>
          <t>2.5</t>
        </is>
      </c>
      <c r="I73" t="inlineStr">
        <is>
          <t>6</t>
        </is>
      </c>
      <c r="J73" t="inlineStr">
        <is>
          <t>sofort</t>
        </is>
      </c>
      <c r="K73" t="inlineStr">
        <is>
          <t>Magie*min</t>
        </is>
      </c>
      <c r="L73" t="inlineStr">
        <is>
          <t>9</t>
        </is>
      </c>
      <c r="M73" t="inlineStr">
        <is>
          <t>17</t>
        </is>
      </c>
      <c r="N73" t="inlineStr">
        <is>
          <t>27</t>
        </is>
      </c>
      <c r="O73" t="inlineStr">
        <is>
          <t>25 / min</t>
        </is>
      </c>
    </row>
    <row r="74">
      <c r="A74" t="inlineStr">
        <is>
          <t>spruchmagie_antimagie_5_schule_hemmen_veraenderung</t>
        </is>
      </c>
      <c r="B74" t="inlineStr">
        <is>
          <t>20</t>
        </is>
      </c>
      <c r="C74" t="inlineStr">
        <is>
          <t>Keine Gegenprobe möglich.</t>
        </is>
      </c>
      <c r="D74" t="inlineStr">
        <is>
          <t>(M)*2m</t>
        </is>
      </c>
      <c r="E74" t="inlineStr">
        <is>
          <t>Punkt im Raum</t>
        </is>
      </c>
      <c r="F74" t="inlineStr">
        <is>
          <t>Kugel</t>
        </is>
      </c>
      <c r="G74" t="inlineStr">
        <is>
          <t>Anhaltend</t>
        </is>
      </c>
      <c r="H74" t="inlineStr">
        <is>
          <t>2.5</t>
        </is>
      </c>
      <c r="I74" t="inlineStr">
        <is>
          <t>6</t>
        </is>
      </c>
      <c r="J74" t="inlineStr">
        <is>
          <t>sofort</t>
        </is>
      </c>
      <c r="K74" t="inlineStr">
        <is>
          <t>Magie*min</t>
        </is>
      </c>
      <c r="L74" t="inlineStr">
        <is>
          <t>9</t>
        </is>
      </c>
      <c r="M74" t="inlineStr">
        <is>
          <t>17</t>
        </is>
      </c>
      <c r="N74" t="inlineStr">
        <is>
          <t>27</t>
        </is>
      </c>
      <c r="O74" t="inlineStr">
        <is>
          <t>25 / min</t>
        </is>
      </c>
    </row>
    <row r="75">
      <c r="A75" t="inlineStr">
        <is>
          <t>spruchmagie_antimagie_5_schule_hemmen_illusion</t>
        </is>
      </c>
      <c r="B75" t="inlineStr">
        <is>
          <t>20</t>
        </is>
      </c>
      <c r="C75" t="inlineStr">
        <is>
          <t>Keine Gegenprobe möglich.</t>
        </is>
      </c>
      <c r="D75" t="inlineStr">
        <is>
          <t>(M)*2m</t>
        </is>
      </c>
      <c r="E75" t="inlineStr">
        <is>
          <t>Punkt im Raum</t>
        </is>
      </c>
      <c r="F75" t="inlineStr">
        <is>
          <t>Kugel</t>
        </is>
      </c>
      <c r="G75" t="inlineStr">
        <is>
          <t>Anhaltend</t>
        </is>
      </c>
      <c r="H75" t="inlineStr">
        <is>
          <t>2.5</t>
        </is>
      </c>
      <c r="I75" t="inlineStr">
        <is>
          <t>6</t>
        </is>
      </c>
      <c r="J75" t="inlineStr">
        <is>
          <t>sofort</t>
        </is>
      </c>
      <c r="K75" t="inlineStr">
        <is>
          <t>Magie*min</t>
        </is>
      </c>
      <c r="L75" t="inlineStr">
        <is>
          <t>9</t>
        </is>
      </c>
      <c r="M75" t="inlineStr">
        <is>
          <t>17</t>
        </is>
      </c>
      <c r="N75" t="inlineStr">
        <is>
          <t>27</t>
        </is>
      </c>
      <c r="O75" t="inlineStr">
        <is>
          <t>25 / min</t>
        </is>
      </c>
    </row>
    <row r="76">
      <c r="A76" t="inlineStr">
        <is>
          <t>spruchmagie_antimagie_6_subjektives_manaloch</t>
        </is>
      </c>
      <c r="B76" t="inlineStr">
        <is>
          <t>22</t>
        </is>
      </c>
      <c r="C76" t="inlineStr">
        <is>
          <t>Glücks-Probe, um der Wirkung zu entgehen.</t>
        </is>
      </c>
      <c r="D76" t="inlineStr">
        <is>
          <t>(M)*2m</t>
        </is>
      </c>
      <c r="E76" t="inlineStr">
        <is>
          <t>Aura</t>
        </is>
      </c>
      <c r="F76" t="inlineStr">
        <is>
          <t>Blitz</t>
        </is>
      </c>
      <c r="G76" t="inlineStr">
        <is>
          <t>Bipolar</t>
        </is>
      </c>
      <c r="H76" t="inlineStr">
        <is>
          <t>6</t>
        </is>
      </c>
      <c r="I76" t="inlineStr">
        <is>
          <t>8</t>
        </is>
      </c>
      <c r="J76" t="inlineStr">
        <is>
          <t>sofort</t>
        </is>
      </c>
      <c r="K76" t="inlineStr">
        <is>
          <t>Permanent</t>
        </is>
      </c>
      <c r="L76" t="inlineStr">
        <is>
          <t>10</t>
        </is>
      </c>
      <c r="M76" t="inlineStr">
        <is>
          <t>19</t>
        </is>
      </c>
      <c r="N76" t="inlineStr">
        <is>
          <t>30</t>
        </is>
      </c>
      <c r="O76" t="inlineStr">
        <is>
          <t>75</t>
        </is>
      </c>
    </row>
    <row r="77">
      <c r="A77" t="inlineStr">
        <is>
          <t>spruchmagie_antimagie_6_schutz_vor_schule_antimagie</t>
        </is>
      </c>
      <c r="B77" t="inlineStr">
        <is>
          <t>23</t>
        </is>
      </c>
      <c r="C77" t="inlineStr">
        <is>
          <t>Keine Gegenprobe möglich.</t>
        </is>
      </c>
      <c r="D77" t="inlineStr">
        <is>
          <t>Selbst</t>
        </is>
      </c>
      <c r="E77" t="inlineStr">
        <is>
          <t>Selbst</t>
        </is>
      </c>
      <c r="F77" t="inlineStr">
        <is>
          <t>Aura</t>
        </is>
      </c>
      <c r="G77" t="inlineStr">
        <is>
          <t>Anhaltend</t>
        </is>
      </c>
      <c r="H77" t="inlineStr">
        <is>
          <t>3</t>
        </is>
      </c>
      <c r="I77" t="inlineStr">
        <is>
          <t>5</t>
        </is>
      </c>
      <c r="J77" t="inlineStr">
        <is>
          <t>sofort</t>
        </is>
      </c>
      <c r="K77" t="inlineStr">
        <is>
          <t>(M)*sec</t>
        </is>
      </c>
      <c r="L77" t="inlineStr">
        <is>
          <t>10</t>
        </is>
      </c>
      <c r="M77" t="inlineStr">
        <is>
          <t>19</t>
        </is>
      </c>
      <c r="N77" t="inlineStr">
        <is>
          <t>30</t>
        </is>
      </c>
      <c r="O77" t="inlineStr">
        <is>
          <t>4 / sec</t>
        </is>
      </c>
    </row>
    <row r="78">
      <c r="A78" t="inlineStr">
        <is>
          <t>spruchmagie_antimagie_6_schutz_vor_schule_beherrschung</t>
        </is>
      </c>
      <c r="B78" t="inlineStr">
        <is>
          <t>23</t>
        </is>
      </c>
      <c r="C78" t="inlineStr">
        <is>
          <t>Keine Gegenprobe möglich.</t>
        </is>
      </c>
      <c r="D78" t="inlineStr">
        <is>
          <t>Selbst</t>
        </is>
      </c>
      <c r="E78" t="inlineStr">
        <is>
          <t>Selbst</t>
        </is>
      </c>
      <c r="F78" t="inlineStr">
        <is>
          <t>Aura</t>
        </is>
      </c>
      <c r="G78" t="inlineStr">
        <is>
          <t>Anhaltend</t>
        </is>
      </c>
      <c r="H78" t="inlineStr">
        <is>
          <t>3</t>
        </is>
      </c>
      <c r="I78" t="inlineStr">
        <is>
          <t>5</t>
        </is>
      </c>
      <c r="J78" t="inlineStr">
        <is>
          <t>sofort</t>
        </is>
      </c>
      <c r="K78" t="inlineStr">
        <is>
          <t>(M)*sec</t>
        </is>
      </c>
      <c r="L78" t="inlineStr">
        <is>
          <t>10</t>
        </is>
      </c>
      <c r="M78" t="inlineStr">
        <is>
          <t>19</t>
        </is>
      </c>
      <c r="N78" t="inlineStr">
        <is>
          <t>30</t>
        </is>
      </c>
      <c r="O78" t="inlineStr">
        <is>
          <t>4 / sec</t>
        </is>
      </c>
    </row>
    <row r="79">
      <c r="A79" t="inlineStr">
        <is>
          <t>spruchmagie_antimagie_6_schutz_vor_schule_heilung</t>
        </is>
      </c>
      <c r="B79" t="inlineStr">
        <is>
          <t>23</t>
        </is>
      </c>
      <c r="C79" t="inlineStr">
        <is>
          <t>Keine Gegenprobe möglich.</t>
        </is>
      </c>
      <c r="D79" t="inlineStr">
        <is>
          <t>Selbst</t>
        </is>
      </c>
      <c r="E79" t="inlineStr">
        <is>
          <t>Selbst</t>
        </is>
      </c>
      <c r="F79" t="inlineStr">
        <is>
          <t>Aura</t>
        </is>
      </c>
      <c r="G79" t="inlineStr">
        <is>
          <t>Anhaltend</t>
        </is>
      </c>
      <c r="H79" t="inlineStr">
        <is>
          <t>3</t>
        </is>
      </c>
      <c r="I79" t="inlineStr">
        <is>
          <t>5</t>
        </is>
      </c>
      <c r="J79" t="inlineStr">
        <is>
          <t>sofort</t>
        </is>
      </c>
      <c r="K79" t="inlineStr">
        <is>
          <t>(M)*sec</t>
        </is>
      </c>
      <c r="L79" t="inlineStr">
        <is>
          <t>10</t>
        </is>
      </c>
      <c r="M79" t="inlineStr">
        <is>
          <t>19</t>
        </is>
      </c>
      <c r="N79" t="inlineStr">
        <is>
          <t>30</t>
        </is>
      </c>
      <c r="O79" t="inlineStr">
        <is>
          <t>4 / sec</t>
        </is>
      </c>
    </row>
    <row r="80">
      <c r="A80" t="inlineStr">
        <is>
          <t>spruchmagie_antimagie_6_schutz_vor_schule_hellsicht</t>
        </is>
      </c>
      <c r="B80" t="inlineStr">
        <is>
          <t>23</t>
        </is>
      </c>
      <c r="C80" t="inlineStr">
        <is>
          <t>Keine Gegenprobe möglich.</t>
        </is>
      </c>
      <c r="D80" t="inlineStr">
        <is>
          <t>Selbst</t>
        </is>
      </c>
      <c r="E80" t="inlineStr">
        <is>
          <t>Selbst</t>
        </is>
      </c>
      <c r="F80" t="inlineStr">
        <is>
          <t>Aura</t>
        </is>
      </c>
      <c r="G80" t="inlineStr">
        <is>
          <t>Anhaltend</t>
        </is>
      </c>
      <c r="H80" t="inlineStr">
        <is>
          <t>3</t>
        </is>
      </c>
      <c r="I80" t="inlineStr">
        <is>
          <t>5</t>
        </is>
      </c>
      <c r="J80" t="inlineStr">
        <is>
          <t>sofort</t>
        </is>
      </c>
      <c r="K80" t="inlineStr">
        <is>
          <t>(M)*sec</t>
        </is>
      </c>
      <c r="L80" t="inlineStr">
        <is>
          <t>10</t>
        </is>
      </c>
      <c r="M80" t="inlineStr">
        <is>
          <t>19</t>
        </is>
      </c>
      <c r="N80" t="inlineStr">
        <is>
          <t>30</t>
        </is>
      </c>
      <c r="O80" t="inlineStr">
        <is>
          <t>4 / sec</t>
        </is>
      </c>
    </row>
    <row r="81">
      <c r="A81" t="inlineStr">
        <is>
          <t>spruchmagie_antimagie_6_schutz_vor_schule_erdbeschwoerung</t>
        </is>
      </c>
      <c r="B81" t="inlineStr">
        <is>
          <t>23</t>
        </is>
      </c>
      <c r="C81" t="inlineStr">
        <is>
          <t>Keine Gegenprobe möglich.</t>
        </is>
      </c>
      <c r="D81" t="inlineStr">
        <is>
          <t>Selbst</t>
        </is>
      </c>
      <c r="E81" t="inlineStr">
        <is>
          <t>Selbst</t>
        </is>
      </c>
      <c r="F81" t="inlineStr">
        <is>
          <t>Aura</t>
        </is>
      </c>
      <c r="G81" t="inlineStr">
        <is>
          <t>Anhaltend</t>
        </is>
      </c>
      <c r="H81" t="inlineStr">
        <is>
          <t>3</t>
        </is>
      </c>
      <c r="I81" t="inlineStr">
        <is>
          <t>5</t>
        </is>
      </c>
      <c r="J81" t="inlineStr">
        <is>
          <t>sofort</t>
        </is>
      </c>
      <c r="K81" t="inlineStr">
        <is>
          <t>(M)*sec</t>
        </is>
      </c>
      <c r="L81" t="inlineStr">
        <is>
          <t>10</t>
        </is>
      </c>
      <c r="M81" t="inlineStr">
        <is>
          <t>19</t>
        </is>
      </c>
      <c r="N81" t="inlineStr">
        <is>
          <t>30</t>
        </is>
      </c>
      <c r="O81" t="inlineStr">
        <is>
          <t>4 / sec</t>
        </is>
      </c>
    </row>
    <row r="82">
      <c r="A82" t="inlineStr">
        <is>
          <t>spruchmagie_antimagie_6_schutz_vor_schule_luftbeschwoerung</t>
        </is>
      </c>
      <c r="B82" t="inlineStr">
        <is>
          <t>23</t>
        </is>
      </c>
      <c r="C82" t="inlineStr">
        <is>
          <t>Keine Gegenprobe möglich.</t>
        </is>
      </c>
      <c r="D82" t="inlineStr">
        <is>
          <t>Selbst</t>
        </is>
      </c>
      <c r="E82" t="inlineStr">
        <is>
          <t>Selbst</t>
        </is>
      </c>
      <c r="F82" t="inlineStr">
        <is>
          <t>Aura</t>
        </is>
      </c>
      <c r="G82" t="inlineStr">
        <is>
          <t>Anhaltend</t>
        </is>
      </c>
      <c r="H82" t="inlineStr">
        <is>
          <t>3</t>
        </is>
      </c>
      <c r="I82" t="inlineStr">
        <is>
          <t>5</t>
        </is>
      </c>
      <c r="J82" t="inlineStr">
        <is>
          <t>sofort</t>
        </is>
      </c>
      <c r="K82" t="inlineStr">
        <is>
          <t>(M)*sec</t>
        </is>
      </c>
      <c r="L82" t="inlineStr">
        <is>
          <t>10</t>
        </is>
      </c>
      <c r="M82" t="inlineStr">
        <is>
          <t>19</t>
        </is>
      </c>
      <c r="N82" t="inlineStr">
        <is>
          <t>30</t>
        </is>
      </c>
      <c r="O82" t="inlineStr">
        <is>
          <t>4 / sec</t>
        </is>
      </c>
    </row>
    <row r="83">
      <c r="A83" t="inlineStr">
        <is>
          <t>spruchmagie_antimagie_6_schutz_vor_schule_magiebeschwoerung</t>
        </is>
      </c>
      <c r="B83" t="inlineStr">
        <is>
          <t>23</t>
        </is>
      </c>
      <c r="C83" t="inlineStr">
        <is>
          <t>Keine Gegenprobe möglich.</t>
        </is>
      </c>
      <c r="D83" t="inlineStr">
        <is>
          <t>Selbst</t>
        </is>
      </c>
      <c r="E83" t="inlineStr">
        <is>
          <t>Selbst</t>
        </is>
      </c>
      <c r="F83" t="inlineStr">
        <is>
          <t>Aura</t>
        </is>
      </c>
      <c r="G83" t="inlineStr">
        <is>
          <t>Anhaltend</t>
        </is>
      </c>
      <c r="H83" t="inlineStr">
        <is>
          <t>3</t>
        </is>
      </c>
      <c r="I83" t="inlineStr">
        <is>
          <t>5</t>
        </is>
      </c>
      <c r="J83" t="inlineStr">
        <is>
          <t>sofort</t>
        </is>
      </c>
      <c r="K83" t="inlineStr">
        <is>
          <t>(M)*sec</t>
        </is>
      </c>
      <c r="L83" t="inlineStr">
        <is>
          <t>10</t>
        </is>
      </c>
      <c r="M83" t="inlineStr">
        <is>
          <t>19</t>
        </is>
      </c>
      <c r="N83" t="inlineStr">
        <is>
          <t>30</t>
        </is>
      </c>
      <c r="O83" t="inlineStr">
        <is>
          <t>4 / sec</t>
        </is>
      </c>
    </row>
    <row r="84">
      <c r="A84" t="inlineStr">
        <is>
          <t>spruchmagie_antimagie_6_schutz_vor_schule_wasserbeschwoerung</t>
        </is>
      </c>
      <c r="B84" t="inlineStr">
        <is>
          <t>23</t>
        </is>
      </c>
      <c r="C84" t="inlineStr">
        <is>
          <t>Keine Gegenprobe möglich.</t>
        </is>
      </c>
      <c r="D84" t="inlineStr">
        <is>
          <t>Selbst</t>
        </is>
      </c>
      <c r="E84" t="inlineStr">
        <is>
          <t>Selbst</t>
        </is>
      </c>
      <c r="F84" t="inlineStr">
        <is>
          <t>Aura</t>
        </is>
      </c>
      <c r="G84" t="inlineStr">
        <is>
          <t>Anhaltend</t>
        </is>
      </c>
      <c r="H84" t="inlineStr">
        <is>
          <t>3</t>
        </is>
      </c>
      <c r="I84" t="inlineStr">
        <is>
          <t>5</t>
        </is>
      </c>
      <c r="J84" t="inlineStr">
        <is>
          <t>sofort</t>
        </is>
      </c>
      <c r="K84" t="inlineStr">
        <is>
          <t>(M)*sec</t>
        </is>
      </c>
      <c r="L84" t="inlineStr">
        <is>
          <t>10</t>
        </is>
      </c>
      <c r="M84" t="inlineStr">
        <is>
          <t>19</t>
        </is>
      </c>
      <c r="N84" t="inlineStr">
        <is>
          <t>30</t>
        </is>
      </c>
      <c r="O84" t="inlineStr">
        <is>
          <t>4 / sec</t>
        </is>
      </c>
    </row>
    <row r="85">
      <c r="A85" t="inlineStr">
        <is>
          <t>spruchmagie_antimagie_6_schutz_vor_schule_feuerbeschwoerung</t>
        </is>
      </c>
      <c r="B85" t="inlineStr">
        <is>
          <t>23</t>
        </is>
      </c>
      <c r="C85" t="inlineStr">
        <is>
          <t>Keine Gegenprobe möglich.</t>
        </is>
      </c>
      <c r="D85" t="inlineStr">
        <is>
          <t>Selbst</t>
        </is>
      </c>
      <c r="E85" t="inlineStr">
        <is>
          <t>Selbst</t>
        </is>
      </c>
      <c r="F85" t="inlineStr">
        <is>
          <t>Aura</t>
        </is>
      </c>
      <c r="G85" t="inlineStr">
        <is>
          <t>Anhaltend</t>
        </is>
      </c>
      <c r="H85" t="inlineStr">
        <is>
          <t>3</t>
        </is>
      </c>
      <c r="I85" t="inlineStr">
        <is>
          <t>5</t>
        </is>
      </c>
      <c r="J85" t="inlineStr">
        <is>
          <t>sofort</t>
        </is>
      </c>
      <c r="K85" t="inlineStr">
        <is>
          <t>(M)*sec</t>
        </is>
      </c>
      <c r="L85" t="inlineStr">
        <is>
          <t>10</t>
        </is>
      </c>
      <c r="M85" t="inlineStr">
        <is>
          <t>19</t>
        </is>
      </c>
      <c r="N85" t="inlineStr">
        <is>
          <t>30</t>
        </is>
      </c>
      <c r="O85" t="inlineStr">
        <is>
          <t>4 / sec</t>
        </is>
      </c>
    </row>
    <row r="86">
      <c r="A86" t="inlineStr">
        <is>
          <t>spruchmagie_antimagie_6_schutz_vor_schule_verzauberung</t>
        </is>
      </c>
      <c r="B86" t="inlineStr">
        <is>
          <t>23</t>
        </is>
      </c>
      <c r="C86" t="inlineStr">
        <is>
          <t>Keine Gegenprobe möglich.</t>
        </is>
      </c>
      <c r="D86" t="inlineStr">
        <is>
          <t>Selbst</t>
        </is>
      </c>
      <c r="E86" t="inlineStr">
        <is>
          <t>Selbst</t>
        </is>
      </c>
      <c r="F86" t="inlineStr">
        <is>
          <t>Aura</t>
        </is>
      </c>
      <c r="G86" t="inlineStr">
        <is>
          <t>Anhaltend</t>
        </is>
      </c>
      <c r="H86" t="inlineStr">
        <is>
          <t>3</t>
        </is>
      </c>
      <c r="I86" t="inlineStr">
        <is>
          <t>5</t>
        </is>
      </c>
      <c r="J86" t="inlineStr">
        <is>
          <t>sofort</t>
        </is>
      </c>
      <c r="K86" t="inlineStr">
        <is>
          <t>(M)*sec</t>
        </is>
      </c>
      <c r="L86" t="inlineStr">
        <is>
          <t>10</t>
        </is>
      </c>
      <c r="M86" t="inlineStr">
        <is>
          <t>19</t>
        </is>
      </c>
      <c r="N86" t="inlineStr">
        <is>
          <t>30</t>
        </is>
      </c>
      <c r="O86" t="inlineStr">
        <is>
          <t>4 / sec</t>
        </is>
      </c>
    </row>
    <row r="87">
      <c r="A87" t="inlineStr">
        <is>
          <t>spruchmagie_antimagie_6_schutz_vor_schule_illusion</t>
        </is>
      </c>
      <c r="B87" t="inlineStr">
        <is>
          <t>23</t>
        </is>
      </c>
      <c r="C87" t="inlineStr">
        <is>
          <t>Keine Gegenprobe möglich.</t>
        </is>
      </c>
      <c r="D87" t="inlineStr">
        <is>
          <t>Selbst</t>
        </is>
      </c>
      <c r="E87" t="inlineStr">
        <is>
          <t>Selbst</t>
        </is>
      </c>
      <c r="F87" t="inlineStr">
        <is>
          <t>Aura</t>
        </is>
      </c>
      <c r="G87" t="inlineStr">
        <is>
          <t>Anhaltend</t>
        </is>
      </c>
      <c r="H87" t="inlineStr">
        <is>
          <t>3</t>
        </is>
      </c>
      <c r="I87" t="inlineStr">
        <is>
          <t>5</t>
        </is>
      </c>
      <c r="J87" t="inlineStr">
        <is>
          <t>sofort</t>
        </is>
      </c>
      <c r="K87" t="inlineStr">
        <is>
          <t>(M)*sec</t>
        </is>
      </c>
      <c r="L87" t="inlineStr">
        <is>
          <t>10</t>
        </is>
      </c>
      <c r="M87" t="inlineStr">
        <is>
          <t>19</t>
        </is>
      </c>
      <c r="N87" t="inlineStr">
        <is>
          <t>30</t>
        </is>
      </c>
      <c r="O87" t="inlineStr">
        <is>
          <t>4 / sec</t>
        </is>
      </c>
    </row>
    <row r="88">
      <c r="A88" t="inlineStr">
        <is>
          <t>spruchmagie_antimagie_7_aura_entkernen</t>
        </is>
      </c>
      <c r="B88" t="inlineStr">
        <is>
          <t>24</t>
        </is>
      </c>
      <c r="C88" t="inlineStr">
        <is>
          <t>Glücks-Probe, um der Wirkung zu entgehen.</t>
        </is>
      </c>
      <c r="D88" t="inlineStr">
        <is>
          <t>(M)*m</t>
        </is>
      </c>
      <c r="E88" t="inlineStr">
        <is>
          <t>Aura</t>
        </is>
      </c>
      <c r="F88" t="inlineStr">
        <is>
          <t>Blitz</t>
        </is>
      </c>
      <c r="G88" t="inlineStr">
        <is>
          <t>Einmalig</t>
        </is>
      </c>
      <c r="H88" t="inlineStr">
        <is>
          <t>/</t>
        </is>
      </c>
      <c r="I88" t="inlineStr">
        <is>
          <t>8</t>
        </is>
      </c>
      <c r="J88" t="inlineStr">
        <is>
          <t>sofort</t>
        </is>
      </c>
      <c r="K88" t="inlineStr">
        <is>
          <t>Permanent</t>
        </is>
      </c>
      <c r="L88" t="inlineStr">
        <is>
          <t>11</t>
        </is>
      </c>
      <c r="M88" t="inlineStr">
        <is>
          <t>20</t>
        </is>
      </c>
      <c r="N88" t="inlineStr">
        <is>
          <t>32</t>
        </is>
      </c>
      <c r="O88" t="inlineStr">
        <is>
          <t>40</t>
        </is>
      </c>
    </row>
    <row r="89">
      <c r="A89" t="inlineStr">
        <is>
          <t>spruchmagie_antimagie_7_manaloch</t>
        </is>
      </c>
      <c r="B89" t="inlineStr">
        <is>
          <t>24</t>
        </is>
      </c>
      <c r="C89" t="inlineStr">
        <is>
          <t>Keine Gegenprobe möglich.</t>
        </is>
      </c>
      <c r="D89" t="inlineStr">
        <is>
          <t>(M)*(Mana/30)m</t>
        </is>
      </c>
      <c r="E89" t="inlineStr">
        <is>
          <t>selbst</t>
        </is>
      </c>
      <c r="F89" t="inlineStr">
        <is>
          <t>Kugel</t>
        </is>
      </c>
      <c r="G89" t="inlineStr">
        <is>
          <t>Einmalig</t>
        </is>
      </c>
      <c r="H89" t="inlineStr">
        <is>
          <t>/</t>
        </is>
      </c>
      <c r="I89" t="inlineStr">
        <is>
          <t>7</t>
        </is>
      </c>
      <c r="J89" t="inlineStr">
        <is>
          <t>1sec</t>
        </is>
      </c>
      <c r="K89" t="inlineStr">
        <is>
          <t>Permanent</t>
        </is>
      </c>
      <c r="L89" t="inlineStr">
        <is>
          <t>11</t>
        </is>
      </c>
      <c r="M89" t="inlineStr">
        <is>
          <t>20</t>
        </is>
      </c>
      <c r="N89" t="inlineStr">
        <is>
          <t>32</t>
        </is>
      </c>
      <c r="O89" t="inlineStr">
        <is>
          <t>40 + alles</t>
        </is>
      </c>
    </row>
    <row r="90">
      <c r="A90" t="inlineStr">
        <is>
          <t>spruchmagie_beherrschung_1_ermutigen</t>
        </is>
      </c>
      <c r="B90" t="inlineStr">
        <is>
          <t>13</t>
        </is>
      </c>
      <c r="C90" t="inlineStr">
        <is>
          <t>Das Opfer legt eine Willenskraft + (M)-Probe ab, erschwert um {M}. Gelingt die Probe, endet der Zauber.</t>
        </is>
      </c>
      <c r="D90" t="inlineStr">
        <is>
          <t>(M)/3m</t>
        </is>
      </c>
      <c r="E90" t="inlineStr">
        <is>
          <t>Aura</t>
        </is>
      </c>
      <c r="F90" t="inlineStr">
        <is>
          <t>Aura</t>
        </is>
      </c>
      <c r="G90" t="inlineStr">
        <is>
          <t>Einmalig</t>
        </is>
      </c>
      <c r="H90" t="inlineStr">
        <is>
          <t>1</t>
        </is>
      </c>
      <c r="I90" t="inlineStr">
        <is>
          <t>3</t>
        </is>
      </c>
      <c r="J90" t="inlineStr">
        <is>
          <t>Sofort</t>
        </is>
      </c>
      <c r="K90" t="inlineStr">
        <is>
          <t>Permanent</t>
        </is>
      </c>
      <c r="L90" t="inlineStr">
        <is>
          <t>2</t>
        </is>
      </c>
      <c r="M90" t="inlineStr">
        <is>
          <t>7</t>
        </is>
      </c>
      <c r="N90" t="inlineStr">
        <is>
          <t>14</t>
        </is>
      </c>
      <c r="O90" t="inlineStr">
        <is>
          <t>4</t>
        </is>
      </c>
    </row>
    <row r="91">
      <c r="A91" t="inlineStr">
        <is>
          <t>spruchmagie_beherrschung_1_freundschaft</t>
        </is>
      </c>
      <c r="B91" t="inlineStr">
        <is>
          <t>13</t>
        </is>
      </c>
      <c r="C91" t="inlineStr">
        <is>
          <t>Das Opfer legt eine Intelligenz + (M)-Probe ab, erschwert um {M}. Gelingt die Probe, endet der Zauber.</t>
        </is>
      </c>
      <c r="D91" t="inlineStr">
        <is>
          <t>(M)/3m</t>
        </is>
      </c>
      <c r="E91" t="inlineStr">
        <is>
          <t>Aura</t>
        </is>
      </c>
      <c r="F91" t="inlineStr">
        <is>
          <t>Aura</t>
        </is>
      </c>
      <c r="G91" t="inlineStr">
        <is>
          <t>Einmalig</t>
        </is>
      </c>
      <c r="H91" t="inlineStr">
        <is>
          <t>1</t>
        </is>
      </c>
      <c r="I91" t="inlineStr">
        <is>
          <t>3</t>
        </is>
      </c>
      <c r="J91" t="inlineStr">
        <is>
          <t>Sofort</t>
        </is>
      </c>
      <c r="K91" t="inlineStr">
        <is>
          <t>(M)/2h</t>
        </is>
      </c>
      <c r="L91" t="inlineStr">
        <is>
          <t>2</t>
        </is>
      </c>
      <c r="M91" t="inlineStr">
        <is>
          <t>7</t>
        </is>
      </c>
      <c r="N91" t="inlineStr">
        <is>
          <t>14</t>
        </is>
      </c>
      <c r="O91" t="inlineStr">
        <is>
          <t>4</t>
        </is>
      </c>
    </row>
    <row r="92">
      <c r="A92" t="inlineStr">
        <is>
          <t>spruchmagie_beherrschung_1_tiere_befehligen</t>
        </is>
      </c>
      <c r="B92" t="inlineStr">
        <is>
          <t>13</t>
        </is>
      </c>
      <c r="C92" t="inlineStr">
        <is>
          <t>Das Opfer legt eine Intelligenz + (M)-Probe ab, erschwert um {M}. Gelingt die Probe, endet der Zauber.</t>
        </is>
      </c>
      <c r="D92" t="inlineStr">
        <is>
          <t>(M)/3m</t>
        </is>
      </c>
      <c r="E92" t="inlineStr">
        <is>
          <t>Aura</t>
        </is>
      </c>
      <c r="F92" t="inlineStr">
        <is>
          <t>Aura</t>
        </is>
      </c>
      <c r="G92" t="inlineStr">
        <is>
          <t>Einmalig</t>
        </is>
      </c>
      <c r="H92" t="inlineStr">
        <is>
          <t>1</t>
        </is>
      </c>
      <c r="I92" t="inlineStr">
        <is>
          <t>3</t>
        </is>
      </c>
      <c r="J92" t="inlineStr">
        <is>
          <t>Je nachdem wie lang der Satz ist.</t>
        </is>
      </c>
      <c r="K92" t="inlineStr">
        <is>
          <t>(M)*h</t>
        </is>
      </c>
      <c r="L92" t="inlineStr">
        <is>
          <t>2</t>
        </is>
      </c>
      <c r="M92" t="inlineStr">
        <is>
          <t>7</t>
        </is>
      </c>
      <c r="N92" t="inlineStr">
        <is>
          <t>14</t>
        </is>
      </c>
      <c r="O92" t="inlineStr">
        <is>
          <t>7</t>
        </is>
      </c>
    </row>
    <row r="93">
      <c r="A93" t="inlineStr">
        <is>
          <t>spruchmagie_beherrschung_2_lachanfall</t>
        </is>
      </c>
      <c r="B93" t="inlineStr">
        <is>
          <t>15</t>
        </is>
      </c>
      <c r="C93" t="inlineStr">
        <is>
          <t>Das Opfer legt eine Willenskraft + (M)-Probe ab, erschwert um {M}. Gelingt die Probe, endet der Zauber.</t>
        </is>
      </c>
      <c r="D93" t="inlineStr">
        <is>
          <t>(M)/3m</t>
        </is>
      </c>
      <c r="E93" t="inlineStr">
        <is>
          <t>Aura</t>
        </is>
      </c>
      <c r="F93" t="inlineStr">
        <is>
          <t>Aura</t>
        </is>
      </c>
      <c r="G93" t="inlineStr">
        <is>
          <t>Anhaltend</t>
        </is>
      </c>
      <c r="H93" t="inlineStr">
        <is>
          <t>2</t>
        </is>
      </c>
      <c r="I93" t="inlineStr">
        <is>
          <t>3</t>
        </is>
      </c>
      <c r="J93" t="inlineStr">
        <is>
          <t>Sofort</t>
        </is>
      </c>
      <c r="K93" t="inlineStr">
        <is>
          <t>Magie/2*min</t>
        </is>
      </c>
      <c r="L93" t="inlineStr">
        <is>
          <t>4</t>
        </is>
      </c>
      <c r="M93" t="inlineStr">
        <is>
          <t>10</t>
        </is>
      </c>
      <c r="N93" t="inlineStr">
        <is>
          <t>18</t>
        </is>
      </c>
      <c r="O93" t="inlineStr">
        <is>
          <t>7</t>
        </is>
      </c>
    </row>
    <row r="94">
      <c r="A94" t="inlineStr">
        <is>
          <t>spruchmagie_beherrschung_2_stumm</t>
        </is>
      </c>
      <c r="B94" t="inlineStr">
        <is>
          <t>15</t>
        </is>
      </c>
      <c r="C94" t="inlineStr">
        <is>
          <t>Das Opfer legt eine Willenskraft + (M)-Probe ab, erschwert um {M}, alle 5 sec eine weitere. Gelingt die Probe, endet der Zauber.</t>
        </is>
      </c>
      <c r="D94" t="inlineStr">
        <is>
          <t>(M)/3m</t>
        </is>
      </c>
      <c r="E94" t="inlineStr">
        <is>
          <t>Aura</t>
        </is>
      </c>
      <c r="F94" t="inlineStr">
        <is>
          <t>Aura</t>
        </is>
      </c>
      <c r="G94" t="inlineStr">
        <is>
          <t>Anhaltend</t>
        </is>
      </c>
      <c r="H94" t="inlineStr">
        <is>
          <t>2</t>
        </is>
      </c>
      <c r="I94" t="inlineStr">
        <is>
          <t>3</t>
        </is>
      </c>
      <c r="J94" t="inlineStr">
        <is>
          <t>Sofort</t>
        </is>
      </c>
      <c r="K94" t="inlineStr">
        <is>
          <t>(M)*2Sec</t>
        </is>
      </c>
      <c r="L94" t="inlineStr">
        <is>
          <t>4</t>
        </is>
      </c>
      <c r="M94" t="inlineStr">
        <is>
          <t>10</t>
        </is>
      </c>
      <c r="N94" t="inlineStr">
        <is>
          <t>18</t>
        </is>
      </c>
      <c r="O94" t="inlineStr">
        <is>
          <t>7</t>
        </is>
      </c>
    </row>
    <row r="95">
      <c r="A95" t="inlineStr">
        <is>
          <t>spruchmagie_beherrschung_2_besaenftigen</t>
        </is>
      </c>
      <c r="B95" t="inlineStr">
        <is>
          <t>15</t>
        </is>
      </c>
      <c r="C95" t="inlineStr">
        <is>
          <t>Das Opfer legt eine Willenskraft + (M)-Probe ab, erschwert um {M}. Gelingt die Probe, endet der Zauber.</t>
        </is>
      </c>
      <c r="D95" t="inlineStr">
        <is>
          <t>(M)/3m</t>
        </is>
      </c>
      <c r="E95" t="inlineStr">
        <is>
          <t>Aura</t>
        </is>
      </c>
      <c r="F95" t="inlineStr">
        <is>
          <t>Aura</t>
        </is>
      </c>
      <c r="G95" t="inlineStr">
        <is>
          <t>Anhaltend</t>
        </is>
      </c>
      <c r="H95" t="inlineStr">
        <is>
          <t>2</t>
        </is>
      </c>
      <c r="I95" t="inlineStr">
        <is>
          <t>3</t>
        </is>
      </c>
      <c r="J95" t="inlineStr">
        <is>
          <t>1sec</t>
        </is>
      </c>
      <c r="K95" t="inlineStr">
        <is>
          <t>Magie*min</t>
        </is>
      </c>
      <c r="L95" t="inlineStr">
        <is>
          <t>4</t>
        </is>
      </c>
      <c r="M95" t="inlineStr">
        <is>
          <t>10</t>
        </is>
      </c>
      <c r="N95" t="inlineStr">
        <is>
          <t>18</t>
        </is>
      </c>
      <c r="O95" t="inlineStr">
        <is>
          <t>8</t>
        </is>
      </c>
    </row>
    <row r="96">
      <c r="A96" t="inlineStr">
        <is>
          <t>spruchmagie_beherrschung_2_traurigkeit</t>
        </is>
      </c>
      <c r="B96" t="inlineStr">
        <is>
          <t>15</t>
        </is>
      </c>
      <c r="C96" t="inlineStr">
        <is>
          <t>Das Opfer legt eine Willenskraft + (M)-Probe ab, erschwert um {M}. Gelingt die Probe, endet der Zauber.</t>
        </is>
      </c>
      <c r="D96" t="inlineStr">
        <is>
          <t>(M)/3m</t>
        </is>
      </c>
      <c r="E96" t="inlineStr">
        <is>
          <t>Aura</t>
        </is>
      </c>
      <c r="F96" t="inlineStr">
        <is>
          <t>Aura</t>
        </is>
      </c>
      <c r="G96" t="inlineStr">
        <is>
          <t>Anhaltend</t>
        </is>
      </c>
      <c r="H96" t="inlineStr">
        <is>
          <t>2</t>
        </is>
      </c>
      <c r="I96" t="inlineStr">
        <is>
          <t>3</t>
        </is>
      </c>
      <c r="J96" t="inlineStr">
        <is>
          <t>Sofort</t>
        </is>
      </c>
      <c r="K96" t="inlineStr">
        <is>
          <t>Magie*min</t>
        </is>
      </c>
      <c r="L96" t="inlineStr">
        <is>
          <t>4</t>
        </is>
      </c>
      <c r="M96" t="inlineStr">
        <is>
          <t>10</t>
        </is>
      </c>
      <c r="N96" t="inlineStr">
        <is>
          <t>18</t>
        </is>
      </c>
      <c r="O96" t="inlineStr">
        <is>
          <t>7</t>
        </is>
      </c>
    </row>
    <row r="97">
      <c r="A97" t="inlineStr">
        <is>
          <t>spruchmagie_beherrschung_2_zoegern</t>
        </is>
      </c>
      <c r="B97" t="inlineStr">
        <is>
          <t>15</t>
        </is>
      </c>
      <c r="C97" t="inlineStr">
        <is>
          <t>Das Opfer legt eine Intelligenz + (M)-Probe ab, erschwert um {M}. Gelingt die Probe, endet der Zauber.</t>
        </is>
      </c>
      <c r="D97" t="inlineStr">
        <is>
          <t>(M)/3m</t>
        </is>
      </c>
      <c r="E97" t="inlineStr">
        <is>
          <t>Aura</t>
        </is>
      </c>
      <c r="F97" t="inlineStr">
        <is>
          <t>Aura</t>
        </is>
      </c>
      <c r="G97" t="inlineStr">
        <is>
          <t>Anhaltend</t>
        </is>
      </c>
      <c r="H97" t="inlineStr">
        <is>
          <t>2</t>
        </is>
      </c>
      <c r="I97" t="inlineStr">
        <is>
          <t>3</t>
        </is>
      </c>
      <c r="J97" t="inlineStr">
        <is>
          <t>Sofort</t>
        </is>
      </c>
      <c r="K97" t="inlineStr">
        <is>
          <t>W4+Magie sec</t>
        </is>
      </c>
      <c r="L97" t="inlineStr">
        <is>
          <t>4</t>
        </is>
      </c>
      <c r="M97" t="inlineStr">
        <is>
          <t>10</t>
        </is>
      </c>
      <c r="N97" t="inlineStr">
        <is>
          <t>18</t>
        </is>
      </c>
      <c r="O97" t="inlineStr">
        <is>
          <t>7</t>
        </is>
      </c>
    </row>
    <row r="98">
      <c r="A98" t="inlineStr">
        <is>
          <t>spruchmagie_beherrschung_3_herrschaft_ueber_tiere</t>
        </is>
      </c>
      <c r="B98" t="inlineStr">
        <is>
          <t>17</t>
        </is>
      </c>
      <c r="C98" t="inlineStr">
        <is>
          <t>Das Opfer legt eine Intelligenz + (M)-Probe ab, erschwert um {M}, alle 12h eine weitere. Gelingt die Probe, endet der Zauber.</t>
        </is>
      </c>
      <c r="D98" t="inlineStr">
        <is>
          <t>(M)/3m</t>
        </is>
      </c>
      <c r="E98" t="inlineStr">
        <is>
          <t>Aura</t>
        </is>
      </c>
      <c r="F98" t="inlineStr">
        <is>
          <t>Aura</t>
        </is>
      </c>
      <c r="G98" t="inlineStr">
        <is>
          <t>Anhaltend</t>
        </is>
      </c>
      <c r="H98" t="inlineStr">
        <is>
          <t>3</t>
        </is>
      </c>
      <c r="I98" t="inlineStr">
        <is>
          <t>4</t>
        </is>
      </c>
      <c r="J98" t="inlineStr">
        <is>
          <t>Sofort</t>
        </is>
      </c>
      <c r="K98" t="inlineStr">
        <is>
          <t>(M)*h</t>
        </is>
      </c>
      <c r="L98" t="inlineStr">
        <is>
          <t>6</t>
        </is>
      </c>
      <c r="M98" t="inlineStr">
        <is>
          <t>13</t>
        </is>
      </c>
      <c r="N98" t="inlineStr">
        <is>
          <t>22</t>
        </is>
      </c>
      <c r="O98" t="inlineStr">
        <is>
          <t>15</t>
        </is>
      </c>
    </row>
    <row r="99">
      <c r="A99" t="inlineStr">
        <is>
          <t>spruchmagie_beherrschung_3_tick_verursachen</t>
        </is>
      </c>
      <c r="B99" t="inlineStr">
        <is>
          <t>17</t>
        </is>
      </c>
      <c r="C99" t="inlineStr">
        <is>
          <t>Das Opfer legt eine Willenskraft + (M)-Probe ab, erschwert um {M}. Gelingt die Probe, endet der Zauber.</t>
        </is>
      </c>
      <c r="D99" t="inlineStr">
        <is>
          <t>(M)/3m</t>
        </is>
      </c>
      <c r="E99" t="inlineStr">
        <is>
          <t>Aura</t>
        </is>
      </c>
      <c r="F99" t="inlineStr">
        <is>
          <t>Aura</t>
        </is>
      </c>
      <c r="G99" t="inlineStr">
        <is>
          <t>Einmalig</t>
        </is>
      </c>
      <c r="H99" t="inlineStr">
        <is>
          <t>3</t>
        </is>
      </c>
      <c r="I99" t="inlineStr">
        <is>
          <t>4</t>
        </is>
      </c>
      <c r="J99" t="inlineStr">
        <is>
          <t>Sofort</t>
        </is>
      </c>
      <c r="K99" t="inlineStr">
        <is>
          <t>Magie*Tage</t>
        </is>
      </c>
      <c r="L99" t="inlineStr">
        <is>
          <t>6</t>
        </is>
      </c>
      <c r="M99" t="inlineStr">
        <is>
          <t>13</t>
        </is>
      </c>
      <c r="N99" t="inlineStr">
        <is>
          <t>22</t>
        </is>
      </c>
      <c r="O99" t="inlineStr">
        <is>
          <t>13</t>
        </is>
      </c>
    </row>
    <row r="100">
      <c r="A100" t="inlineStr">
        <is>
          <t>spruchmagie_beherrschung_3_zorn</t>
        </is>
      </c>
      <c r="B100" t="inlineStr">
        <is>
          <t>17</t>
        </is>
      </c>
      <c r="C100" t="inlineStr">
        <is>
          <t>Das Opfer legt eine Intelligenz + (M)-Probe ab, erschwert um {M}, alle 10 sec eine weitere. Gelingt die Probe, endet der Zauber.</t>
        </is>
      </c>
      <c r="D100" t="inlineStr">
        <is>
          <t>(M)/3m</t>
        </is>
      </c>
      <c r="E100" t="inlineStr">
        <is>
          <t>Aura</t>
        </is>
      </c>
      <c r="F100" t="inlineStr">
        <is>
          <t>Aura</t>
        </is>
      </c>
      <c r="G100" t="inlineStr">
        <is>
          <t>Anhaltend</t>
        </is>
      </c>
      <c r="H100" t="inlineStr">
        <is>
          <t>3</t>
        </is>
      </c>
      <c r="I100" t="inlineStr">
        <is>
          <t>4</t>
        </is>
      </c>
      <c r="J100" t="inlineStr">
        <is>
          <t>Sofort</t>
        </is>
      </c>
      <c r="K100" t="inlineStr">
        <is>
          <t>(M)/3*m</t>
        </is>
      </c>
      <c r="L100" t="inlineStr">
        <is>
          <t>6</t>
        </is>
      </c>
      <c r="M100" t="inlineStr">
        <is>
          <t>13</t>
        </is>
      </c>
      <c r="N100" t="inlineStr">
        <is>
          <t>22</t>
        </is>
      </c>
      <c r="O100" t="inlineStr">
        <is>
          <t>12</t>
        </is>
      </c>
    </row>
    <row r="101">
      <c r="A101" t="inlineStr">
        <is>
          <t>spruchmagie_beherrschung_3_schmerzt_unterdruecken</t>
        </is>
      </c>
      <c r="B101" t="inlineStr">
        <is>
          <t>17</t>
        </is>
      </c>
      <c r="C101" t="inlineStr">
        <is>
          <t>Das Opfer legt eine Willenskraft + (M)-Probe ab, erschwert um {M}, alle 5 sec eine weitere. Gelingt die Probe, endet der Zauber.</t>
        </is>
      </c>
      <c r="D101" t="inlineStr">
        <is>
          <t>(M)/3m</t>
        </is>
      </c>
      <c r="E101" t="inlineStr">
        <is>
          <t>Aura</t>
        </is>
      </c>
      <c r="F101" t="inlineStr">
        <is>
          <t>Aura</t>
        </is>
      </c>
      <c r="G101" t="inlineStr">
        <is>
          <t>Anhaltend</t>
        </is>
      </c>
      <c r="H101" t="inlineStr">
        <is>
          <t>3</t>
        </is>
      </c>
      <c r="I101" t="inlineStr">
        <is>
          <t>3</t>
        </is>
      </c>
      <c r="J101" t="inlineStr">
        <is>
          <t>Sofort</t>
        </is>
      </c>
      <c r="K101" t="inlineStr">
        <is>
          <t>Magie*min</t>
        </is>
      </c>
      <c r="L101" t="inlineStr">
        <is>
          <t>6</t>
        </is>
      </c>
      <c r="M101" t="inlineStr">
        <is>
          <t>13</t>
        </is>
      </c>
      <c r="N101" t="inlineStr">
        <is>
          <t>22</t>
        </is>
      </c>
      <c r="O101" t="inlineStr">
        <is>
          <t>10</t>
        </is>
      </c>
    </row>
    <row r="102">
      <c r="A102" t="inlineStr">
        <is>
          <t>spruchmagie_beherrschung_4_berserker</t>
        </is>
      </c>
      <c r="B102" t="inlineStr">
        <is>
          <t>19</t>
        </is>
      </c>
      <c r="C102" t="inlineStr">
        <is>
          <t>Das Opfer legt eine Intelligenz + (M)-Probe ab, erschwert um {M}, alle 5 sec eine weitere. Gelingt die Probe, endet der Zauber.</t>
        </is>
      </c>
      <c r="D102" t="inlineStr">
        <is>
          <t>(M)/3m</t>
        </is>
      </c>
      <c r="E102" t="inlineStr">
        <is>
          <t>Aura</t>
        </is>
      </c>
      <c r="F102" t="inlineStr">
        <is>
          <t>Aura</t>
        </is>
      </c>
      <c r="G102" t="inlineStr">
        <is>
          <t>Anhaltend</t>
        </is>
      </c>
      <c r="H102" t="inlineStr">
        <is>
          <t>4</t>
        </is>
      </c>
      <c r="I102" t="inlineStr">
        <is>
          <t>3</t>
        </is>
      </c>
      <c r="J102" t="inlineStr">
        <is>
          <t>Sofort</t>
        </is>
      </c>
      <c r="K102" t="inlineStr">
        <is>
          <t>(M)/2*sec</t>
        </is>
      </c>
      <c r="L102" t="inlineStr">
        <is>
          <t>8</t>
        </is>
      </c>
      <c r="M102" t="inlineStr">
        <is>
          <t>16</t>
        </is>
      </c>
      <c r="N102" t="inlineStr">
        <is>
          <t>26</t>
        </is>
      </c>
      <c r="O102" t="inlineStr">
        <is>
          <t>22</t>
        </is>
      </c>
    </row>
    <row r="103">
      <c r="A103" t="inlineStr">
        <is>
          <t>spruchmagie_beherrschung_4_einschlaefern</t>
        </is>
      </c>
      <c r="B103" t="inlineStr">
        <is>
          <t>19</t>
        </is>
      </c>
      <c r="C103" t="inlineStr">
        <is>
          <t>Das Opfer legt eine Willenskraft + (M)-Probe ab, erschwert um {M}, je nach Umgebungslautstärke weitere Proben (absolute Stille: alle 1h, Taverne: jede 1 min, Kampf: jede 1 sec). Gelingt die Probe, endet der Zauber.</t>
        </is>
      </c>
      <c r="D103" t="inlineStr">
        <is>
          <t>(M)/3m</t>
        </is>
      </c>
      <c r="E103" t="inlineStr">
        <is>
          <t>Aura</t>
        </is>
      </c>
      <c r="F103" t="inlineStr">
        <is>
          <t>Aura</t>
        </is>
      </c>
      <c r="G103" t="inlineStr">
        <is>
          <t>Anhaltend</t>
        </is>
      </c>
      <c r="H103" t="inlineStr">
        <is>
          <t>4</t>
        </is>
      </c>
      <c r="I103" t="inlineStr">
        <is>
          <t>3</t>
        </is>
      </c>
      <c r="J103" t="inlineStr">
        <is>
          <t>2Sec</t>
        </is>
      </c>
      <c r="K103" t="inlineStr">
        <is>
          <t>10h</t>
        </is>
      </c>
      <c r="L103" t="inlineStr">
        <is>
          <t>8</t>
        </is>
      </c>
      <c r="M103" t="inlineStr">
        <is>
          <t>16</t>
        </is>
      </c>
      <c r="N103" t="inlineStr">
        <is>
          <t>26</t>
        </is>
      </c>
      <c r="O103" t="inlineStr">
        <is>
          <t>15</t>
        </is>
      </c>
    </row>
    <row r="104">
      <c r="A104" t="inlineStr">
        <is>
          <t>spruchmagie_beherrschung_4_aufmerksamkeit</t>
        </is>
      </c>
      <c r="B104" t="inlineStr">
        <is>
          <t>19</t>
        </is>
      </c>
      <c r="C104" t="inlineStr">
        <is>
          <t>Jedes Opfer in RW legt eine Intelligenz + (M)-Probe ab, erschwert um {M}, alle 5 sec eine weitere. Gelingt die Probe, endet der Zauber.</t>
        </is>
      </c>
      <c r="D104" t="inlineStr">
        <is>
          <t>(M)/3m</t>
        </is>
      </c>
      <c r="E104" t="inlineStr">
        <is>
          <t>Aura</t>
        </is>
      </c>
      <c r="F104" t="inlineStr">
        <is>
          <t>Kugel</t>
        </is>
      </c>
      <c r="G104" t="inlineStr">
        <is>
          <t>Anhaltend</t>
        </is>
      </c>
      <c r="H104" t="inlineStr">
        <is>
          <t>4</t>
        </is>
      </c>
      <c r="I104" t="inlineStr">
        <is>
          <t>5</t>
        </is>
      </c>
      <c r="J104" t="inlineStr">
        <is>
          <t>1sec</t>
        </is>
      </c>
      <c r="K104" t="inlineStr">
        <is>
          <t>Magie*min</t>
        </is>
      </c>
      <c r="L104" t="inlineStr">
        <is>
          <t>8</t>
        </is>
      </c>
      <c r="M104" t="inlineStr">
        <is>
          <t>16</t>
        </is>
      </c>
      <c r="N104" t="inlineStr">
        <is>
          <t>26</t>
        </is>
      </c>
      <c r="O104" t="inlineStr">
        <is>
          <t>20</t>
        </is>
      </c>
    </row>
    <row r="105">
      <c r="A105" t="inlineStr">
        <is>
          <t>spruchmagie_beherrschung_4_verwirrung</t>
        </is>
      </c>
      <c r="B105" t="inlineStr">
        <is>
          <t>19</t>
        </is>
      </c>
      <c r="C105" t="inlineStr">
        <is>
          <t>Das Opfer legt eine Intelligenz + (M)-Probe ab, erschwert um {M}. Gelingt die Probe, endet der Zauber.</t>
        </is>
      </c>
      <c r="D105" t="inlineStr">
        <is>
          <t>(M)/3m</t>
        </is>
      </c>
      <c r="E105" t="inlineStr">
        <is>
          <t>Aura</t>
        </is>
      </c>
      <c r="F105" t="inlineStr">
        <is>
          <t>Aura</t>
        </is>
      </c>
      <c r="G105" t="inlineStr">
        <is>
          <t>Anhaltend</t>
        </is>
      </c>
      <c r="H105" t="inlineStr">
        <is>
          <t>4</t>
        </is>
      </c>
      <c r="I105" t="inlineStr">
        <is>
          <t>3</t>
        </is>
      </c>
      <c r="J105" t="inlineStr">
        <is>
          <t>Sofort</t>
        </is>
      </c>
      <c r="K105" t="inlineStr">
        <is>
          <t>W6+3*Magie sec</t>
        </is>
      </c>
      <c r="L105" t="inlineStr">
        <is>
          <t>8</t>
        </is>
      </c>
      <c r="M105" t="inlineStr">
        <is>
          <t>16</t>
        </is>
      </c>
      <c r="N105" t="inlineStr">
        <is>
          <t>26</t>
        </is>
      </c>
      <c r="O105" t="inlineStr">
        <is>
          <t>14</t>
        </is>
      </c>
    </row>
    <row r="106">
      <c r="A106" t="inlineStr">
        <is>
          <t>spruchmagie_beherrschung_5_massen_besaenftigung</t>
        </is>
      </c>
      <c r="B106" t="inlineStr">
        <is>
          <t>21</t>
        </is>
      </c>
      <c r="C106" t="inlineStr">
        <is>
          <t>Jedes Opfer in RW legt eine Willenskraft + (M)-Probe ab, erschwert um {M}, alle 60 sec eine weitere. Gelingt die Probe, endet der Zauber.</t>
        </is>
      </c>
      <c r="D106" t="inlineStr">
        <is>
          <t>(M)/2m</t>
        </is>
      </c>
      <c r="E106" t="inlineStr">
        <is>
          <t>Aura</t>
        </is>
      </c>
      <c r="F106" t="inlineStr">
        <is>
          <t>Kugel</t>
        </is>
      </c>
      <c r="G106" t="inlineStr">
        <is>
          <t>Anhaltend</t>
        </is>
      </c>
      <c r="H106" t="inlineStr">
        <is>
          <t>5</t>
        </is>
      </c>
      <c r="I106" t="inlineStr">
        <is>
          <t>6</t>
        </is>
      </c>
      <c r="J106" t="inlineStr">
        <is>
          <t>Sofort</t>
        </is>
      </c>
      <c r="K106" t="inlineStr">
        <is>
          <t>(M)*min</t>
        </is>
      </c>
      <c r="L106" t="inlineStr">
        <is>
          <t>9</t>
        </is>
      </c>
      <c r="M106" t="inlineStr">
        <is>
          <t>18</t>
        </is>
      </c>
      <c r="N106" t="inlineStr">
        <is>
          <t>28</t>
        </is>
      </c>
      <c r="O106" t="inlineStr">
        <is>
          <t>45</t>
        </is>
      </c>
    </row>
    <row r="107">
      <c r="A107" t="inlineStr">
        <is>
          <t>spruchmagie_beherrschung_6_maechtige_tierherrschaft</t>
        </is>
      </c>
      <c r="B107" t="inlineStr">
        <is>
          <t>23</t>
        </is>
      </c>
      <c r="C107" t="inlineStr">
        <is>
          <t>Das Opfer legt eine Willenskraft + (M)-Probe ab, erschwert um {M}*2, alle 24h eine weitere. Gelingt die Probe, endet der Zauber.</t>
        </is>
      </c>
      <c r="D107" t="inlineStr">
        <is>
          <t>(M)/3m</t>
        </is>
      </c>
      <c r="E107" t="inlineStr">
        <is>
          <t>Aura</t>
        </is>
      </c>
      <c r="F107" t="inlineStr">
        <is>
          <t>Aura</t>
        </is>
      </c>
      <c r="G107" t="inlineStr">
        <is>
          <t>Anhaltend</t>
        </is>
      </c>
      <c r="H107" t="inlineStr">
        <is>
          <t>6</t>
        </is>
      </c>
      <c r="I107" t="inlineStr">
        <is>
          <t>6</t>
        </is>
      </c>
      <c r="J107" t="inlineStr">
        <is>
          <t>Sofort</t>
        </is>
      </c>
      <c r="K107" t="inlineStr">
        <is>
          <t>(M)*2h</t>
        </is>
      </c>
      <c r="L107" t="inlineStr">
        <is>
          <t>11</t>
        </is>
      </c>
      <c r="M107" t="inlineStr">
        <is>
          <t>21</t>
        </is>
      </c>
      <c r="N107" t="inlineStr">
        <is>
          <t>32</t>
        </is>
      </c>
      <c r="O107" t="inlineStr">
        <is>
          <t>35</t>
        </is>
      </c>
    </row>
    <row r="108">
      <c r="A108" t="inlineStr">
        <is>
          <t>spruchmagie_beherrschung_6_totale_tier_kontrolle</t>
        </is>
      </c>
      <c r="B108" t="inlineStr">
        <is>
          <t>23</t>
        </is>
      </c>
      <c r="C108" t="inlineStr">
        <is>
          <t>Das Opfer legt eine Intelligenz + (M)-Probe ab, erschwert um {M}, alle 10 Stunden eine weitere. Gelingt die Probe, endet der Zauber.</t>
        </is>
      </c>
      <c r="D108" t="inlineStr">
        <is>
          <t>(M)/6m</t>
        </is>
      </c>
      <c r="E108" t="inlineStr">
        <is>
          <t>Aura</t>
        </is>
      </c>
      <c r="F108" t="inlineStr">
        <is>
          <t>Aura</t>
        </is>
      </c>
      <c r="G108" t="inlineStr">
        <is>
          <t>Bipolar</t>
        </is>
      </c>
      <c r="H108" t="inlineStr">
        <is>
          <t>6</t>
        </is>
      </c>
      <c r="I108" t="inlineStr">
        <is>
          <t>7</t>
        </is>
      </c>
      <c r="J108" t="inlineStr">
        <is>
          <t>sofort</t>
        </is>
      </c>
      <c r="K108" t="inlineStr">
        <is>
          <t>(M)*h</t>
        </is>
      </c>
      <c r="L108" t="inlineStr">
        <is>
          <t>11</t>
        </is>
      </c>
      <c r="M108" t="inlineStr">
        <is>
          <t>21</t>
        </is>
      </c>
      <c r="N108" t="inlineStr">
        <is>
          <t>32</t>
        </is>
      </c>
      <c r="O108" t="inlineStr">
        <is>
          <t>20 + 7 / h</t>
        </is>
      </c>
    </row>
    <row r="109">
      <c r="A109" t="inlineStr">
        <is>
          <t>spruchmagie_erdbeschwoerung_1_splitterwand</t>
        </is>
      </c>
      <c r="B109" t="inlineStr">
        <is>
          <t>12</t>
        </is>
      </c>
      <c r="C109" t="inlineStr">
        <is>
          <t>Keine Gegenprobe möglich.</t>
        </is>
      </c>
      <c r="D109" t="inlineStr">
        <is>
          <t>Magie/2m</t>
        </is>
      </c>
      <c r="E109" t="inlineStr">
        <is>
          <t>Punkt im Raum</t>
        </is>
      </c>
      <c r="F109" t="inlineStr">
        <is>
          <t>Wand</t>
        </is>
      </c>
      <c r="G109" t="inlineStr">
        <is>
          <t>Anhaltend</t>
        </is>
      </c>
      <c r="H109" t="inlineStr">
        <is>
          <t>0.5</t>
        </is>
      </c>
      <c r="I109" t="inlineStr">
        <is>
          <t>6</t>
        </is>
      </c>
      <c r="J109" t="inlineStr">
        <is>
          <t>3sec</t>
        </is>
      </c>
      <c r="K109" t="inlineStr">
        <is>
          <t>Magie*min</t>
        </is>
      </c>
      <c r="L109" t="inlineStr">
        <is>
          <t>2</t>
        </is>
      </c>
      <c r="M109" t="inlineStr">
        <is>
          <t>6</t>
        </is>
      </c>
      <c r="N109" t="inlineStr">
        <is>
          <t>12</t>
        </is>
      </c>
      <c r="O109" t="inlineStr">
        <is>
          <t>10 + 1 / 6 sec</t>
        </is>
      </c>
    </row>
    <row r="110">
      <c r="A110" t="inlineStr">
        <is>
          <t>spruchmagie_erdbeschwoerung_1_steinkugel</t>
        </is>
      </c>
      <c r="B110" t="inlineStr">
        <is>
          <t>11</t>
        </is>
      </c>
      <c r="C110" t="inlineStr">
        <is>
          <t>Bis {Magie}m: Glücks-Probe, ab {Magie}m: Ausweichen, ab {Magie}*2m: mit einem Schild Parieren, um der Wirkung zu entgehen.</t>
        </is>
      </c>
      <c r="D110" t="inlineStr">
        <is>
          <t>(M)*m</t>
        </is>
      </c>
      <c r="E110" t="inlineStr">
        <is>
          <t>Aura</t>
        </is>
      </c>
      <c r="F110" t="inlineStr">
        <is>
          <t>Ball</t>
        </is>
      </c>
      <c r="G110" t="inlineStr">
        <is>
          <t>Einmalig</t>
        </is>
      </c>
      <c r="H110" t="inlineStr">
        <is>
          <t>/</t>
        </is>
      </c>
      <c r="I110" t="inlineStr">
        <is>
          <t>6</t>
        </is>
      </c>
      <c r="J110" t="inlineStr">
        <is>
          <t>sofort</t>
        </is>
      </c>
      <c r="K110" t="inlineStr">
        <is>
          <t>permanent</t>
        </is>
      </c>
      <c r="L110" t="inlineStr">
        <is>
          <t>2</t>
        </is>
      </c>
      <c r="M110" t="inlineStr">
        <is>
          <t>6</t>
        </is>
      </c>
      <c r="N110" t="inlineStr">
        <is>
          <t>12</t>
        </is>
      </c>
      <c r="O110" t="inlineStr">
        <is>
          <t>4</t>
        </is>
      </c>
    </row>
    <row r="111">
      <c r="A111" t="inlineStr">
        <is>
          <t>spruchmagie_erdbeschwoerung_1_steinfaust</t>
        </is>
      </c>
      <c r="B111" t="inlineStr">
        <is>
          <t>10</t>
        </is>
      </c>
      <c r="C111" t="inlineStr">
        <is>
          <t>Keine Gegenprobe möglich.</t>
        </is>
      </c>
      <c r="D111" t="inlineStr">
        <is>
          <t>Selbst</t>
        </is>
      </c>
      <c r="E111" t="inlineStr">
        <is>
          <t>Selbst</t>
        </is>
      </c>
      <c r="F111" t="inlineStr">
        <is>
          <t>Aura</t>
        </is>
      </c>
      <c r="G111" t="inlineStr">
        <is>
          <t>Anhaltend</t>
        </is>
      </c>
      <c r="H111" t="inlineStr">
        <is>
          <t>0.5</t>
        </is>
      </c>
      <c r="I111" t="inlineStr">
        <is>
          <t>2</t>
        </is>
      </c>
      <c r="J111" t="inlineStr">
        <is>
          <t>sofort</t>
        </is>
      </c>
      <c r="K111" t="inlineStr">
        <is>
          <t>(M)*3sec</t>
        </is>
      </c>
      <c r="L111" t="inlineStr">
        <is>
          <t>2</t>
        </is>
      </c>
      <c r="M111" t="inlineStr">
        <is>
          <t>6</t>
        </is>
      </c>
      <c r="N111" t="inlineStr">
        <is>
          <t>12</t>
        </is>
      </c>
      <c r="O111" t="inlineStr">
        <is>
          <t>6</t>
        </is>
      </c>
    </row>
    <row r="112">
      <c r="A112" t="inlineStr">
        <is>
          <t>spruchmagie_erdbeschwoerung_2_steinschuss</t>
        </is>
      </c>
      <c r="B112" t="inlineStr">
        <is>
          <t>13</t>
        </is>
      </c>
      <c r="C112" t="inlineStr">
        <is>
          <t>Bis {M}m: Glücks-Probe, bis {M}*2m: AW/2, danach AW oder mit einem Schild parieren, um der Wirkung zu entgehen.</t>
        </is>
      </c>
      <c r="D112" t="inlineStr">
        <is>
          <t>(M)*2m</t>
        </is>
      </c>
      <c r="E112" t="inlineStr">
        <is>
          <t>Aura</t>
        </is>
      </c>
      <c r="F112" t="inlineStr">
        <is>
          <t>Bolzen</t>
        </is>
      </c>
      <c r="G112" t="inlineStr">
        <is>
          <t>Einmalig</t>
        </is>
      </c>
      <c r="H112" t="inlineStr">
        <is>
          <t>/</t>
        </is>
      </c>
      <c r="I112" t="inlineStr">
        <is>
          <t>6</t>
        </is>
      </c>
      <c r="J112" t="inlineStr">
        <is>
          <t>sofort</t>
        </is>
      </c>
      <c r="K112" t="inlineStr">
        <is>
          <t>permanent</t>
        </is>
      </c>
      <c r="L112" t="inlineStr">
        <is>
          <t>4</t>
        </is>
      </c>
      <c r="M112" t="inlineStr">
        <is>
          <t>9</t>
        </is>
      </c>
      <c r="N112" t="inlineStr">
        <is>
          <t>16</t>
        </is>
      </c>
      <c r="O112" t="inlineStr">
        <is>
          <t>6</t>
        </is>
      </c>
    </row>
    <row r="113">
      <c r="A113" t="inlineStr">
        <is>
          <t>spruchmagie_erdbeschwoerung_2_splitter_aura</t>
        </is>
      </c>
      <c r="B113" t="inlineStr">
        <is>
          <t>12</t>
        </is>
      </c>
      <c r="C113" t="inlineStr">
        <is>
          <t>Keine Gegenprobe möglich.</t>
        </is>
      </c>
      <c r="D113" t="inlineStr">
        <is>
          <t>Aura/3m</t>
        </is>
      </c>
      <c r="E113" t="inlineStr">
        <is>
          <t>Selbst</t>
        </is>
      </c>
      <c r="F113" t="inlineStr">
        <is>
          <t>Kugel</t>
        </is>
      </c>
      <c r="G113" t="inlineStr">
        <is>
          <t>Anhaltend</t>
        </is>
      </c>
      <c r="H113" t="inlineStr">
        <is>
          <t>1</t>
        </is>
      </c>
      <c r="I113" t="inlineStr">
        <is>
          <t>6</t>
        </is>
      </c>
      <c r="J113" t="inlineStr">
        <is>
          <t>sofort</t>
        </is>
      </c>
      <c r="K113" t="inlineStr">
        <is>
          <t>(M)*3sec</t>
        </is>
      </c>
      <c r="L113" t="inlineStr">
        <is>
          <t>4</t>
        </is>
      </c>
      <c r="M113" t="inlineStr">
        <is>
          <t>9</t>
        </is>
      </c>
      <c r="N113" t="inlineStr">
        <is>
          <t>16</t>
        </is>
      </c>
      <c r="O113" t="inlineStr">
        <is>
          <t>11 + 2 / sec</t>
        </is>
      </c>
    </row>
    <row r="114">
      <c r="A114" t="inlineStr">
        <is>
          <t>spruchmagie_erdbeschwoerung_2_splitterstrahl</t>
        </is>
      </c>
      <c r="B114" t="inlineStr">
        <is>
          <t>14</t>
        </is>
      </c>
      <c r="C114" t="inlineStr">
        <is>
          <t>Glücks-Probe, um der Wirkung zu entgehen.</t>
        </is>
      </c>
      <c r="D114" t="inlineStr">
        <is>
          <t>Magie*3m</t>
        </is>
      </c>
      <c r="E114" t="inlineStr">
        <is>
          <t>Punkt im Raum</t>
        </is>
      </c>
      <c r="F114" t="inlineStr">
        <is>
          <t>Strahl</t>
        </is>
      </c>
      <c r="G114" t="inlineStr">
        <is>
          <t>Anhaltend</t>
        </is>
      </c>
      <c r="H114" t="inlineStr">
        <is>
          <t>1</t>
        </is>
      </c>
      <c r="I114" t="inlineStr">
        <is>
          <t>6</t>
        </is>
      </c>
      <c r="J114" t="inlineStr">
        <is>
          <t>sofort</t>
        </is>
      </c>
      <c r="K114" t="inlineStr">
        <is>
          <t>Magie*sec</t>
        </is>
      </c>
      <c r="L114" t="inlineStr">
        <is>
          <t>4</t>
        </is>
      </c>
      <c r="M114" t="inlineStr">
        <is>
          <t>9</t>
        </is>
      </c>
      <c r="N114" t="inlineStr">
        <is>
          <t>16</t>
        </is>
      </c>
      <c r="O114" t="inlineStr">
        <is>
          <t>8 + 4 / sec</t>
        </is>
      </c>
    </row>
    <row r="115">
      <c r="A115" t="inlineStr">
        <is>
          <t>spruchmagie_erdbeschwoerung_3_erd_klinge</t>
        </is>
      </c>
      <c r="B115" t="inlineStr">
        <is>
          <t>16</t>
        </is>
      </c>
      <c r="C115" t="inlineStr">
        <is>
          <t>Keine Gegenprobe möglich.</t>
        </is>
      </c>
      <c r="D115" t="inlineStr">
        <is>
          <t>Berührung</t>
        </is>
      </c>
      <c r="E115" t="inlineStr">
        <is>
          <t>Gegenstand</t>
        </is>
      </c>
      <c r="F115" t="inlineStr">
        <is>
          <t>Aura</t>
        </is>
      </c>
      <c r="G115" t="inlineStr">
        <is>
          <t>Anhaltend</t>
        </is>
      </c>
      <c r="H115" t="inlineStr">
        <is>
          <t>1.5</t>
        </is>
      </c>
      <c r="I115" t="inlineStr">
        <is>
          <t>8</t>
        </is>
      </c>
      <c r="J115" t="inlineStr">
        <is>
          <t>1sec</t>
        </is>
      </c>
      <c r="K115" t="inlineStr">
        <is>
          <t>(M)*min</t>
        </is>
      </c>
      <c r="L115" t="inlineStr">
        <is>
          <t>7</t>
        </is>
      </c>
      <c r="M115" t="inlineStr">
        <is>
          <t>13</t>
        </is>
      </c>
      <c r="N115" t="inlineStr">
        <is>
          <t>21</t>
        </is>
      </c>
      <c r="O115" t="inlineStr">
        <is>
          <t>26</t>
        </is>
      </c>
    </row>
    <row r="116">
      <c r="A116" t="inlineStr">
        <is>
          <t>spruchmagie_erdbeschwoerung_3_splitter_pfeil</t>
        </is>
      </c>
      <c r="B116" t="inlineStr">
        <is>
          <t>16</t>
        </is>
      </c>
      <c r="C116" t="inlineStr">
        <is>
          <t>Keine Gegenprobe möglich.</t>
        </is>
      </c>
      <c r="D116" t="inlineStr">
        <is>
          <t>Berührung</t>
        </is>
      </c>
      <c r="E116" t="inlineStr">
        <is>
          <t>Gegenstand</t>
        </is>
      </c>
      <c r="F116" t="inlineStr">
        <is>
          <t>Aura</t>
        </is>
      </c>
      <c r="G116" t="inlineStr">
        <is>
          <t>Einmalig</t>
        </is>
      </c>
      <c r="H116" t="inlineStr">
        <is>
          <t>/</t>
        </is>
      </c>
      <c r="I116" t="inlineStr">
        <is>
          <t>3</t>
        </is>
      </c>
      <c r="J116" t="inlineStr">
        <is>
          <t>sofort</t>
        </is>
      </c>
      <c r="K116" t="inlineStr">
        <is>
          <t>(M)*3sec</t>
        </is>
      </c>
      <c r="L116" t="inlineStr">
        <is>
          <t>7</t>
        </is>
      </c>
      <c r="M116" t="inlineStr">
        <is>
          <t>13</t>
        </is>
      </c>
      <c r="N116" t="inlineStr">
        <is>
          <t>21</t>
        </is>
      </c>
      <c r="O116" t="inlineStr">
        <is>
          <t>4</t>
        </is>
      </c>
    </row>
    <row r="117">
      <c r="A117" t="inlineStr">
        <is>
          <t>spruchmagie_erdbeschwoerung_3_grosse_steinfaust</t>
        </is>
      </c>
      <c r="B117" t="inlineStr">
        <is>
          <t>14</t>
        </is>
      </c>
      <c r="C117" t="inlineStr">
        <is>
          <t>Keine Gegenprobe möglich.</t>
        </is>
      </c>
      <c r="D117" t="inlineStr">
        <is>
          <t>Selbst</t>
        </is>
      </c>
      <c r="E117" t="inlineStr">
        <is>
          <t>Selbst</t>
        </is>
      </c>
      <c r="F117" t="inlineStr">
        <is>
          <t>Aura</t>
        </is>
      </c>
      <c r="G117" t="inlineStr">
        <is>
          <t>Anhaltend</t>
        </is>
      </c>
      <c r="H117" t="inlineStr">
        <is>
          <t>1.5</t>
        </is>
      </c>
      <c r="I117" t="inlineStr">
        <is>
          <t>2</t>
        </is>
      </c>
      <c r="J117" t="inlineStr">
        <is>
          <t>sofort</t>
        </is>
      </c>
      <c r="K117" t="inlineStr">
        <is>
          <t>(M)*3sec</t>
        </is>
      </c>
      <c r="L117" t="inlineStr">
        <is>
          <t>7</t>
        </is>
      </c>
      <c r="M117" t="inlineStr">
        <is>
          <t>13</t>
        </is>
      </c>
      <c r="N117" t="inlineStr">
        <is>
          <t>21</t>
        </is>
      </c>
      <c r="O117" t="inlineStr">
        <is>
          <t>18</t>
        </is>
      </c>
    </row>
    <row r="118">
      <c r="A118" t="inlineStr">
        <is>
          <t>spruchmagie_erdbeschwoerung_3_steinkugel_salve</t>
        </is>
      </c>
      <c r="B118" t="inlineStr">
        <is>
          <t>16</t>
        </is>
      </c>
      <c r="C118" t="inlineStr">
        <is>
          <t>Bis {Magie}m: Glücks-Probe, ab {Magie}m: Ausweichen, ab {Magie}*2m: mit einem Schild Parieren, um der Wirkung zu entgehen.</t>
        </is>
      </c>
      <c r="D118" t="inlineStr">
        <is>
          <t>(M)*m</t>
        </is>
      </c>
      <c r="E118" t="inlineStr">
        <is>
          <t>Aura</t>
        </is>
      </c>
      <c r="F118" t="inlineStr">
        <is>
          <t>Ball</t>
        </is>
      </c>
      <c r="G118" t="inlineStr">
        <is>
          <t>Einmalig</t>
        </is>
      </c>
      <c r="H118" t="inlineStr">
        <is>
          <t>/</t>
        </is>
      </c>
      <c r="I118" t="inlineStr">
        <is>
          <t>9</t>
        </is>
      </c>
      <c r="J118" t="inlineStr">
        <is>
          <t>sofort</t>
        </is>
      </c>
      <c r="K118" t="inlineStr">
        <is>
          <t>permanent</t>
        </is>
      </c>
      <c r="L118" t="inlineStr">
        <is>
          <t>7</t>
        </is>
      </c>
      <c r="M118" t="inlineStr">
        <is>
          <t>13</t>
        </is>
      </c>
      <c r="N118" t="inlineStr">
        <is>
          <t>21</t>
        </is>
      </c>
      <c r="O118" t="inlineStr">
        <is>
          <t>4/Ball</t>
        </is>
      </c>
    </row>
    <row r="119">
      <c r="A119" t="inlineStr">
        <is>
          <t>spruchmagie_erdbeschwoerung_3_steinschlag</t>
        </is>
      </c>
      <c r="B119" t="inlineStr">
        <is>
          <t>15</t>
        </is>
      </c>
      <c r="C119" t="inlineStr">
        <is>
          <t>Glücks-Probe, um der Wirkung zu entgehen.</t>
        </is>
      </c>
      <c r="D119" t="inlineStr">
        <is>
          <t>(M)*4m</t>
        </is>
      </c>
      <c r="E119" t="inlineStr">
        <is>
          <t>Aura</t>
        </is>
      </c>
      <c r="F119" t="inlineStr">
        <is>
          <t>Blitz</t>
        </is>
      </c>
      <c r="G119" t="inlineStr">
        <is>
          <t>Bipolar</t>
        </is>
      </c>
      <c r="H119" t="inlineStr">
        <is>
          <t>3</t>
        </is>
      </c>
      <c r="I119" t="inlineStr">
        <is>
          <t>6</t>
        </is>
      </c>
      <c r="J119" t="inlineStr">
        <is>
          <t>sofort</t>
        </is>
      </c>
      <c r="K119" t="inlineStr">
        <is>
          <t>permanent</t>
        </is>
      </c>
      <c r="L119" t="inlineStr">
        <is>
          <t>7</t>
        </is>
      </c>
      <c r="M119" t="inlineStr">
        <is>
          <t>13</t>
        </is>
      </c>
      <c r="N119" t="inlineStr">
        <is>
          <t>21</t>
        </is>
      </c>
      <c r="O119" t="inlineStr">
        <is>
          <t>6</t>
        </is>
      </c>
    </row>
    <row r="120">
      <c r="A120" t="inlineStr">
        <is>
          <t>spruchmagie_erdbeschwoerung_4_steinschuss_salve</t>
        </is>
      </c>
      <c r="B120" t="inlineStr">
        <is>
          <t>18</t>
        </is>
      </c>
      <c r="C120" t="inlineStr">
        <is>
          <t>Bis {M}m: Glücks-Probe, bis {M}*2m: AW/2, danach AW oder mit einem Schild parieren, um der Wirkung zu entgehen.</t>
        </is>
      </c>
      <c r="D120" t="inlineStr">
        <is>
          <t>(M)*2m</t>
        </is>
      </c>
      <c r="E120" t="inlineStr">
        <is>
          <t>Aura</t>
        </is>
      </c>
      <c r="F120" t="inlineStr">
        <is>
          <t>Bolzen</t>
        </is>
      </c>
      <c r="G120" t="inlineStr">
        <is>
          <t>Einmalig</t>
        </is>
      </c>
      <c r="H120" t="inlineStr">
        <is>
          <t>/</t>
        </is>
      </c>
      <c r="I120" t="inlineStr">
        <is>
          <t>9</t>
        </is>
      </c>
      <c r="J120" t="inlineStr">
        <is>
          <t>sofort</t>
        </is>
      </c>
      <c r="K120" t="inlineStr">
        <is>
          <t>permanent</t>
        </is>
      </c>
      <c r="L120" t="inlineStr">
        <is>
          <t>8</t>
        </is>
      </c>
      <c r="M120" t="inlineStr">
        <is>
          <t>15</t>
        </is>
      </c>
      <c r="N120" t="inlineStr">
        <is>
          <t>24</t>
        </is>
      </c>
      <c r="O120" t="inlineStr">
        <is>
          <t>6/Bolzen</t>
        </is>
      </c>
    </row>
    <row r="121">
      <c r="A121" t="inlineStr">
        <is>
          <t>spruchmagie_erdbeschwoerung_4_grosse_steinkugel</t>
        </is>
      </c>
      <c r="B121" t="inlineStr">
        <is>
          <t>17</t>
        </is>
      </c>
      <c r="C121" t="inlineStr">
        <is>
          <t>Bis {Magie}m: Glücks-Probe, ab {Magie}m: Ausweichen, ab {Magie}*2m: mit einem Schild Parieren, um der Wirkung zu entgehen.</t>
        </is>
      </c>
      <c r="D121" t="inlineStr">
        <is>
          <t>(M)*2m</t>
        </is>
      </c>
      <c r="E121" t="inlineStr">
        <is>
          <t>Aura</t>
        </is>
      </c>
      <c r="F121" t="inlineStr">
        <is>
          <t>Ball</t>
        </is>
      </c>
      <c r="G121" t="inlineStr">
        <is>
          <t>Einmalig</t>
        </is>
      </c>
      <c r="H121" t="inlineStr">
        <is>
          <t>/</t>
        </is>
      </c>
      <c r="I121" t="inlineStr">
        <is>
          <t>6</t>
        </is>
      </c>
      <c r="J121" t="inlineStr">
        <is>
          <t>sofort</t>
        </is>
      </c>
      <c r="K121" t="inlineStr">
        <is>
          <t>permanent</t>
        </is>
      </c>
      <c r="L121" t="inlineStr">
        <is>
          <t>8</t>
        </is>
      </c>
      <c r="M121" t="inlineStr">
        <is>
          <t>15</t>
        </is>
      </c>
      <c r="N121" t="inlineStr">
        <is>
          <t>24</t>
        </is>
      </c>
      <c r="O121" t="inlineStr">
        <is>
          <t>12</t>
        </is>
      </c>
    </row>
    <row r="122">
      <c r="A122" t="inlineStr">
        <is>
          <t>spruchmagie_erdbeschwoerung_4_grosse_splitterwand</t>
        </is>
      </c>
      <c r="B122" t="inlineStr">
        <is>
          <t>16</t>
        </is>
      </c>
      <c r="C122" t="inlineStr">
        <is>
          <t>Keine Gegenprobe möglich.</t>
        </is>
      </c>
      <c r="D122" t="inlineStr">
        <is>
          <t>Magie/2m</t>
        </is>
      </c>
      <c r="E122" t="inlineStr">
        <is>
          <t>Punkt im Raum</t>
        </is>
      </c>
      <c r="F122" t="inlineStr">
        <is>
          <t>Wand</t>
        </is>
      </c>
      <c r="G122" t="inlineStr">
        <is>
          <t>Anhaltend</t>
        </is>
      </c>
      <c r="H122" t="inlineStr">
        <is>
          <t>2</t>
        </is>
      </c>
      <c r="I122" t="inlineStr">
        <is>
          <t>6</t>
        </is>
      </c>
      <c r="J122" t="inlineStr">
        <is>
          <t>2sec</t>
        </is>
      </c>
      <c r="K122" t="inlineStr">
        <is>
          <t>Magie*min</t>
        </is>
      </c>
      <c r="L122" t="inlineStr">
        <is>
          <t>8</t>
        </is>
      </c>
      <c r="M122" t="inlineStr">
        <is>
          <t>15</t>
        </is>
      </c>
      <c r="N122" t="inlineStr">
        <is>
          <t>24</t>
        </is>
      </c>
      <c r="O122" t="inlineStr">
        <is>
          <t>20 + 1 / 3 sec</t>
        </is>
      </c>
    </row>
    <row r="123">
      <c r="A123" t="inlineStr">
        <is>
          <t>spruchmagie_erdbeschwoerung_5_grosse_splitteraura</t>
        </is>
      </c>
      <c r="B123" t="inlineStr">
        <is>
          <t>18</t>
        </is>
      </c>
      <c r="C123" t="inlineStr">
        <is>
          <t>Keine Gegenprobe möglich.</t>
        </is>
      </c>
      <c r="D123" t="inlineStr">
        <is>
          <t>Aura/3m</t>
        </is>
      </c>
      <c r="E123" t="inlineStr">
        <is>
          <t>Selbst</t>
        </is>
      </c>
      <c r="F123" t="inlineStr">
        <is>
          <t>Kugel</t>
        </is>
      </c>
      <c r="G123" t="inlineStr">
        <is>
          <t>Anhaltend</t>
        </is>
      </c>
      <c r="H123" t="inlineStr">
        <is>
          <t>2.5</t>
        </is>
      </c>
      <c r="I123" t="inlineStr">
        <is>
          <t>6</t>
        </is>
      </c>
      <c r="J123" t="inlineStr">
        <is>
          <t>sofort</t>
        </is>
      </c>
      <c r="K123" t="inlineStr">
        <is>
          <t>(M)*3sec</t>
        </is>
      </c>
      <c r="L123" t="inlineStr">
        <is>
          <t>9</t>
        </is>
      </c>
      <c r="M123" t="inlineStr">
        <is>
          <t>17</t>
        </is>
      </c>
      <c r="N123" t="inlineStr">
        <is>
          <t>27</t>
        </is>
      </c>
      <c r="O123" t="inlineStr">
        <is>
          <t>15 + 3 / sec</t>
        </is>
      </c>
    </row>
    <row r="124">
      <c r="A124" t="inlineStr">
        <is>
          <t>spruchmagie_erdbeschwoerung_5_splittersturm</t>
        </is>
      </c>
      <c r="B124" t="inlineStr">
        <is>
          <t>20</t>
        </is>
      </c>
      <c r="C124" t="inlineStr">
        <is>
          <t>Keine Gegenprobe möglich.</t>
        </is>
      </c>
      <c r="D124" t="inlineStr">
        <is>
          <t>(M)*m Radius</t>
        </is>
      </c>
      <c r="E124" t="inlineStr">
        <is>
          <t>Selbst</t>
        </is>
      </c>
      <c r="F124" t="inlineStr">
        <is>
          <t>Kugel</t>
        </is>
      </c>
      <c r="G124" t="inlineStr">
        <is>
          <t>Einmalig</t>
        </is>
      </c>
      <c r="H124" t="inlineStr">
        <is>
          <t>/</t>
        </is>
      </c>
      <c r="I124" t="inlineStr">
        <is>
          <t>9</t>
        </is>
      </c>
      <c r="J124" t="inlineStr">
        <is>
          <t>sofort</t>
        </is>
      </c>
      <c r="K124" t="inlineStr">
        <is>
          <t>permanent</t>
        </is>
      </c>
      <c r="L124" t="inlineStr">
        <is>
          <t>9</t>
        </is>
      </c>
      <c r="M124" t="inlineStr">
        <is>
          <t>17</t>
        </is>
      </c>
      <c r="N124" t="inlineStr">
        <is>
          <t>27</t>
        </is>
      </c>
      <c r="O124" t="inlineStr">
        <is>
          <t>38</t>
        </is>
      </c>
    </row>
    <row r="125">
      <c r="A125" t="inlineStr">
        <is>
          <t>spruchmagie_erdbeschwoerung_5_grosser_steinschuss</t>
        </is>
      </c>
      <c r="B125" t="inlineStr">
        <is>
          <t>19</t>
        </is>
      </c>
      <c r="C125" t="inlineStr">
        <is>
          <t>Bis {M}m: Glücks-Probe, bis {M}*2m: AW/2, danach AW oder mit einem Schild parieren, um der Wirkung zu entgehen.</t>
        </is>
      </c>
      <c r="D125" t="inlineStr">
        <is>
          <t>(M)*3m</t>
        </is>
      </c>
      <c r="E125" t="inlineStr">
        <is>
          <t>Aura</t>
        </is>
      </c>
      <c r="F125" t="inlineStr">
        <is>
          <t>Bolzen</t>
        </is>
      </c>
      <c r="G125" t="inlineStr">
        <is>
          <t>Einmalig</t>
        </is>
      </c>
      <c r="H125" t="inlineStr">
        <is>
          <t>/</t>
        </is>
      </c>
      <c r="I125" t="inlineStr">
        <is>
          <t>6</t>
        </is>
      </c>
      <c r="J125" t="inlineStr">
        <is>
          <t>sofort</t>
        </is>
      </c>
      <c r="K125" t="inlineStr">
        <is>
          <t>permanent</t>
        </is>
      </c>
      <c r="L125" t="inlineStr">
        <is>
          <t>9</t>
        </is>
      </c>
      <c r="M125" t="inlineStr">
        <is>
          <t>17</t>
        </is>
      </c>
      <c r="N125" t="inlineStr">
        <is>
          <t>27</t>
        </is>
      </c>
      <c r="O125" t="inlineStr">
        <is>
          <t>16</t>
        </is>
      </c>
    </row>
    <row r="126">
      <c r="A126" t="inlineStr">
        <is>
          <t>spruchmagie_erdbeschwoerung_6_grosse_steinkugel_salve</t>
        </is>
      </c>
      <c r="B126" t="inlineStr">
        <is>
          <t>22</t>
        </is>
      </c>
      <c r="C126" t="inlineStr">
        <is>
          <t>Bis {Magie}m: Glücks-Probe, ab {Magie}m: Ausweichen, ab {Magie}*2m: mit einem Schild Parieren, um der Wirkung zu entgehen.</t>
        </is>
      </c>
      <c r="D126" t="inlineStr">
        <is>
          <t>(M)*2m</t>
        </is>
      </c>
      <c r="E126" t="inlineStr">
        <is>
          <t>Aura</t>
        </is>
      </c>
      <c r="F126" t="inlineStr">
        <is>
          <t>Ball</t>
        </is>
      </c>
      <c r="G126" t="inlineStr">
        <is>
          <t>Einmalig</t>
        </is>
      </c>
      <c r="H126" t="inlineStr">
        <is>
          <t>/</t>
        </is>
      </c>
      <c r="I126" t="inlineStr">
        <is>
          <t>6</t>
        </is>
      </c>
      <c r="J126" t="inlineStr">
        <is>
          <t>sofort</t>
        </is>
      </c>
      <c r="K126" t="inlineStr">
        <is>
          <t>permanent</t>
        </is>
      </c>
      <c r="L126" t="inlineStr">
        <is>
          <t>10</t>
        </is>
      </c>
      <c r="M126" t="inlineStr">
        <is>
          <t>19</t>
        </is>
      </c>
      <c r="N126" t="inlineStr">
        <is>
          <t>30</t>
        </is>
      </c>
      <c r="O126" t="inlineStr">
        <is>
          <t>12/Ball</t>
        </is>
      </c>
    </row>
    <row r="127">
      <c r="A127" t="inlineStr">
        <is>
          <t>spruchmagie_erdbeschwoerung_6_grosser_splitterstrahl</t>
        </is>
      </c>
      <c r="B127" t="inlineStr">
        <is>
          <t>20</t>
        </is>
      </c>
      <c r="C127" t="inlineStr">
        <is>
          <t>Glücks-Probe, um der Wirkung zu entgehen.</t>
        </is>
      </c>
      <c r="D127" t="inlineStr">
        <is>
          <t>Magie*4m</t>
        </is>
      </c>
      <c r="E127" t="inlineStr">
        <is>
          <t>Punkt im Raum</t>
        </is>
      </c>
      <c r="F127" t="inlineStr">
        <is>
          <t>Strahl</t>
        </is>
      </c>
      <c r="G127" t="inlineStr">
        <is>
          <t>Anhaltend</t>
        </is>
      </c>
      <c r="H127" t="inlineStr">
        <is>
          <t>3</t>
        </is>
      </c>
      <c r="I127" t="inlineStr">
        <is>
          <t>6</t>
        </is>
      </c>
      <c r="J127" t="inlineStr">
        <is>
          <t>sofort</t>
        </is>
      </c>
      <c r="K127" t="inlineStr">
        <is>
          <t>permanent</t>
        </is>
      </c>
      <c r="L127" t="inlineStr">
        <is>
          <t>10</t>
        </is>
      </c>
      <c r="M127" t="inlineStr">
        <is>
          <t>19</t>
        </is>
      </c>
      <c r="N127" t="inlineStr">
        <is>
          <t>30</t>
        </is>
      </c>
      <c r="O127" t="inlineStr">
        <is>
          <t>15+ 7 / sec</t>
        </is>
      </c>
    </row>
    <row r="128">
      <c r="A128" t="inlineStr">
        <is>
          <t>spruchmagie_erdbeschwoerung_6_grosser_steinschlag</t>
        </is>
      </c>
      <c r="B128" t="inlineStr">
        <is>
          <t>21</t>
        </is>
      </c>
      <c r="C128" t="inlineStr">
        <is>
          <t>Glücks-Probe, um der Wirkung zu entgehen.</t>
        </is>
      </c>
      <c r="D128" t="inlineStr">
        <is>
          <t>(M)*5m</t>
        </is>
      </c>
      <c r="E128" t="inlineStr">
        <is>
          <t>Aura</t>
        </is>
      </c>
      <c r="F128" t="inlineStr">
        <is>
          <t>Blitz</t>
        </is>
      </c>
      <c r="G128" t="inlineStr">
        <is>
          <t>Bipolar</t>
        </is>
      </c>
      <c r="H128" t="inlineStr">
        <is>
          <t>6</t>
        </is>
      </c>
      <c r="I128" t="inlineStr">
        <is>
          <t>6</t>
        </is>
      </c>
      <c r="J128" t="inlineStr">
        <is>
          <t>sofort</t>
        </is>
      </c>
      <c r="K128" t="inlineStr">
        <is>
          <t>permanent</t>
        </is>
      </c>
      <c r="L128" t="inlineStr">
        <is>
          <t>10</t>
        </is>
      </c>
      <c r="M128" t="inlineStr">
        <is>
          <t>19</t>
        </is>
      </c>
      <c r="N128" t="inlineStr">
        <is>
          <t>30</t>
        </is>
      </c>
      <c r="O128" t="inlineStr">
        <is>
          <t>16</t>
        </is>
      </c>
    </row>
    <row r="129">
      <c r="A129" t="inlineStr">
        <is>
          <t>spruchmagie_erdbeschwoerung_7_grosser_splittersturm</t>
        </is>
      </c>
      <c r="B129" t="inlineStr">
        <is>
          <t>24</t>
        </is>
      </c>
      <c r="C129" t="inlineStr">
        <is>
          <t>Keine Gegenprobe möglich.</t>
        </is>
      </c>
      <c r="D129" t="inlineStr">
        <is>
          <t>(M)*m Radius</t>
        </is>
      </c>
      <c r="E129" t="inlineStr">
        <is>
          <t>Selbst</t>
        </is>
      </c>
      <c r="F129" t="inlineStr">
        <is>
          <t>Kugel</t>
        </is>
      </c>
      <c r="G129" t="inlineStr">
        <is>
          <t>Einmalig</t>
        </is>
      </c>
      <c r="H129" t="inlineStr">
        <is>
          <t>/</t>
        </is>
      </c>
      <c r="I129" t="inlineStr">
        <is>
          <t>9</t>
        </is>
      </c>
      <c r="J129" t="inlineStr">
        <is>
          <t>sofort</t>
        </is>
      </c>
      <c r="K129" t="inlineStr">
        <is>
          <t>permanent</t>
        </is>
      </c>
      <c r="L129" t="inlineStr">
        <is>
          <t>11</t>
        </is>
      </c>
      <c r="M129" t="inlineStr">
        <is>
          <t>20</t>
        </is>
      </c>
      <c r="N129" t="inlineStr">
        <is>
          <t>32</t>
        </is>
      </c>
      <c r="O129" t="inlineStr">
        <is>
          <t>60</t>
        </is>
      </c>
    </row>
    <row r="130">
      <c r="A130" t="inlineStr">
        <is>
          <t>spruchmagie_erdbeschwoerung_7_grosse_steinschuss_salve</t>
        </is>
      </c>
      <c r="B130" t="inlineStr">
        <is>
          <t>23</t>
        </is>
      </c>
      <c r="C130" t="inlineStr">
        <is>
          <t>Bis {M}m: Glücks-Probe, bis {M}*2m: AW/2, danach AW oder mit einem Schild parieren, um der Wirkung zu entgehen.</t>
        </is>
      </c>
      <c r="D130" t="inlineStr">
        <is>
          <t>(M)*3m</t>
        </is>
      </c>
      <c r="E130" t="inlineStr">
        <is>
          <t>Aura</t>
        </is>
      </c>
      <c r="F130" t="inlineStr">
        <is>
          <t>Bolzen</t>
        </is>
      </c>
      <c r="G130" t="inlineStr">
        <is>
          <t>Einmalig</t>
        </is>
      </c>
      <c r="H130" t="inlineStr">
        <is>
          <t>/</t>
        </is>
      </c>
      <c r="I130" t="inlineStr">
        <is>
          <t>9</t>
        </is>
      </c>
      <c r="J130" t="inlineStr">
        <is>
          <t>sofort</t>
        </is>
      </c>
      <c r="K130" t="inlineStr">
        <is>
          <t>permanent</t>
        </is>
      </c>
      <c r="L130" t="inlineStr">
        <is>
          <t>11</t>
        </is>
      </c>
      <c r="M130" t="inlineStr">
        <is>
          <t>20</t>
        </is>
      </c>
      <c r="N130" t="inlineStr">
        <is>
          <t>32</t>
        </is>
      </c>
      <c r="O130" t="inlineStr">
        <is>
          <t>16/Bolzen</t>
        </is>
      </c>
    </row>
    <row r="131">
      <c r="A131" t="inlineStr">
        <is>
          <t>spruchmagie_feuerbeschwoerung_1_flammenfaust</t>
        </is>
      </c>
      <c r="B131" t="inlineStr">
        <is>
          <t>10</t>
        </is>
      </c>
      <c r="C131" t="inlineStr">
        <is>
          <t>Keine Gegenprobe möglich.</t>
        </is>
      </c>
      <c r="D131" t="inlineStr">
        <is>
          <t>Selbst</t>
        </is>
      </c>
      <c r="E131" t="inlineStr">
        <is>
          <t>Selbst</t>
        </is>
      </c>
      <c r="F131" t="inlineStr">
        <is>
          <t>Aura</t>
        </is>
      </c>
      <c r="G131" t="inlineStr">
        <is>
          <t>Anhaltend</t>
        </is>
      </c>
      <c r="H131" t="inlineStr">
        <is>
          <t>0.5</t>
        </is>
      </c>
      <c r="I131" t="inlineStr">
        <is>
          <t>2</t>
        </is>
      </c>
      <c r="J131" t="inlineStr">
        <is>
          <t>sofort</t>
        </is>
      </c>
      <c r="K131" t="inlineStr">
        <is>
          <t>(M)*3sec</t>
        </is>
      </c>
      <c r="L131" t="inlineStr">
        <is>
          <t>2</t>
        </is>
      </c>
      <c r="M131" t="inlineStr">
        <is>
          <t>6</t>
        </is>
      </c>
      <c r="N131" t="inlineStr">
        <is>
          <t>12</t>
        </is>
      </c>
      <c r="O131" t="inlineStr">
        <is>
          <t>6</t>
        </is>
      </c>
    </row>
    <row r="132">
      <c r="A132" t="inlineStr">
        <is>
          <t>spruchmagie_feuerbeschwoerung_1_feuerball</t>
        </is>
      </c>
      <c r="B132" t="inlineStr">
        <is>
          <t>11</t>
        </is>
      </c>
      <c r="C132" t="inlineStr">
        <is>
          <t>Bis {Magie}m: Glücks-Probe, ab {Magie}m: Ausweichen, ab {Magie}*2m: mit einem Schild Parieren, um der Wirkung zu entgehen.</t>
        </is>
      </c>
      <c r="D132" t="inlineStr">
        <is>
          <t>(M)*m</t>
        </is>
      </c>
      <c r="E132" t="inlineStr">
        <is>
          <t>Aura</t>
        </is>
      </c>
      <c r="F132" t="inlineStr">
        <is>
          <t>Ball</t>
        </is>
      </c>
      <c r="G132" t="inlineStr">
        <is>
          <t>Einmalig</t>
        </is>
      </c>
      <c r="H132" t="inlineStr">
        <is>
          <t>/</t>
        </is>
      </c>
      <c r="I132" t="inlineStr">
        <is>
          <t>6</t>
        </is>
      </c>
      <c r="J132" t="inlineStr">
        <is>
          <t>sofort</t>
        </is>
      </c>
      <c r="K132" t="inlineStr">
        <is>
          <t>permanent</t>
        </is>
      </c>
      <c r="L132" t="inlineStr">
        <is>
          <t>2</t>
        </is>
      </c>
      <c r="M132" t="inlineStr">
        <is>
          <t>6</t>
        </is>
      </c>
      <c r="N132" t="inlineStr">
        <is>
          <t>12</t>
        </is>
      </c>
      <c r="O132" t="inlineStr">
        <is>
          <t>4</t>
        </is>
      </c>
    </row>
    <row r="133">
      <c r="A133" t="inlineStr">
        <is>
          <t>spruchmagie_feuerbeschwoerung_1_flammenwand</t>
        </is>
      </c>
      <c r="B133" t="inlineStr">
        <is>
          <t>12</t>
        </is>
      </c>
      <c r="C133" t="inlineStr">
        <is>
          <t>Keine Gegenprobe möglich.</t>
        </is>
      </c>
      <c r="D133" t="inlineStr">
        <is>
          <t>Magie/2m</t>
        </is>
      </c>
      <c r="E133" t="inlineStr">
        <is>
          <t>Punkt im Raum</t>
        </is>
      </c>
      <c r="F133" t="inlineStr">
        <is>
          <t>Wand</t>
        </is>
      </c>
      <c r="G133" t="inlineStr">
        <is>
          <t>Anhaltend</t>
        </is>
      </c>
      <c r="H133" t="inlineStr">
        <is>
          <t>0.5</t>
        </is>
      </c>
      <c r="I133" t="inlineStr">
        <is>
          <t>6</t>
        </is>
      </c>
      <c r="J133" t="inlineStr">
        <is>
          <t>3sec</t>
        </is>
      </c>
      <c r="K133" t="inlineStr">
        <is>
          <t>Magie*min</t>
        </is>
      </c>
      <c r="L133" t="inlineStr">
        <is>
          <t>2</t>
        </is>
      </c>
      <c r="M133" t="inlineStr">
        <is>
          <t>6</t>
        </is>
      </c>
      <c r="N133" t="inlineStr">
        <is>
          <t>12</t>
        </is>
      </c>
      <c r="O133" t="inlineStr">
        <is>
          <t>10 + 1 / 6 sec</t>
        </is>
      </c>
    </row>
    <row r="134">
      <c r="A134" t="inlineStr">
        <is>
          <t>spruchmagie_feuerbeschwoerung_2_feuerpfeil</t>
        </is>
      </c>
      <c r="B134" t="inlineStr">
        <is>
          <t>13</t>
        </is>
      </c>
      <c r="C134" t="inlineStr">
        <is>
          <t>Bis {M}m: Glücks-Probe, bis {M}*2m: AW/2, danach AW oder mit einem Schild parieren, um der Wirkung zu entgehen.</t>
        </is>
      </c>
      <c r="D134" t="inlineStr">
        <is>
          <t>(M)*2m</t>
        </is>
      </c>
      <c r="E134" t="inlineStr">
        <is>
          <t>Aura</t>
        </is>
      </c>
      <c r="F134" t="inlineStr">
        <is>
          <t>Bolzen</t>
        </is>
      </c>
      <c r="G134" t="inlineStr">
        <is>
          <t>Einmalig</t>
        </is>
      </c>
      <c r="H134" t="inlineStr">
        <is>
          <t>/</t>
        </is>
      </c>
      <c r="I134" t="inlineStr">
        <is>
          <t>6</t>
        </is>
      </c>
      <c r="J134" t="inlineStr">
        <is>
          <t>sofort</t>
        </is>
      </c>
      <c r="K134" t="inlineStr">
        <is>
          <t>permanent</t>
        </is>
      </c>
      <c r="L134" t="inlineStr">
        <is>
          <t>4</t>
        </is>
      </c>
      <c r="M134" t="inlineStr">
        <is>
          <t>9</t>
        </is>
      </c>
      <c r="N134" t="inlineStr">
        <is>
          <t>16</t>
        </is>
      </c>
      <c r="O134" t="inlineStr">
        <is>
          <t>6</t>
        </is>
      </c>
    </row>
    <row r="135">
      <c r="A135" t="inlineStr">
        <is>
          <t>spruchmagie_feuerbeschwoerung_2_flammenaura</t>
        </is>
      </c>
      <c r="B135" t="inlineStr">
        <is>
          <t>12</t>
        </is>
      </c>
      <c r="C135" t="inlineStr">
        <is>
          <t>Keine Gegenprobe möglich.</t>
        </is>
      </c>
      <c r="D135" t="inlineStr">
        <is>
          <t>Aura/3m</t>
        </is>
      </c>
      <c r="E135" t="inlineStr">
        <is>
          <t>Selbst</t>
        </is>
      </c>
      <c r="F135" t="inlineStr">
        <is>
          <t>Kugel</t>
        </is>
      </c>
      <c r="G135" t="inlineStr">
        <is>
          <t>Anhaltend</t>
        </is>
      </c>
      <c r="H135" t="inlineStr">
        <is>
          <t>1</t>
        </is>
      </c>
      <c r="I135" t="inlineStr">
        <is>
          <t>6</t>
        </is>
      </c>
      <c r="J135" t="inlineStr">
        <is>
          <t>sofort</t>
        </is>
      </c>
      <c r="K135" t="inlineStr">
        <is>
          <t>(M)*3sec</t>
        </is>
      </c>
      <c r="L135" t="inlineStr">
        <is>
          <t>4</t>
        </is>
      </c>
      <c r="M135" t="inlineStr">
        <is>
          <t>9</t>
        </is>
      </c>
      <c r="N135" t="inlineStr">
        <is>
          <t>16</t>
        </is>
      </c>
      <c r="O135" t="inlineStr">
        <is>
          <t>11 + 2 / sec</t>
        </is>
      </c>
    </row>
    <row r="136">
      <c r="A136" t="inlineStr">
        <is>
          <t>spruchmagie_feuerbeschwoerung_2_flammenstrahl</t>
        </is>
      </c>
      <c r="B136" t="inlineStr">
        <is>
          <t>14</t>
        </is>
      </c>
      <c r="C136" t="inlineStr">
        <is>
          <t>Glücks-Probe, um der Wirkung zu entgehen.</t>
        </is>
      </c>
      <c r="D136" t="inlineStr">
        <is>
          <t>Magie*3m</t>
        </is>
      </c>
      <c r="E136" t="inlineStr">
        <is>
          <t>Punkt im Raum</t>
        </is>
      </c>
      <c r="F136" t="inlineStr">
        <is>
          <t>Strahl</t>
        </is>
      </c>
      <c r="G136" t="inlineStr">
        <is>
          <t>Anhaltend</t>
        </is>
      </c>
      <c r="H136" t="inlineStr">
        <is>
          <t>1</t>
        </is>
      </c>
      <c r="I136" t="inlineStr">
        <is>
          <t>6</t>
        </is>
      </c>
      <c r="J136" t="inlineStr">
        <is>
          <t>sofort</t>
        </is>
      </c>
      <c r="K136" t="inlineStr">
        <is>
          <t>Magie*sec</t>
        </is>
      </c>
      <c r="L136" t="inlineStr">
        <is>
          <t>4</t>
        </is>
      </c>
      <c r="M136" t="inlineStr">
        <is>
          <t>9</t>
        </is>
      </c>
      <c r="N136" t="inlineStr">
        <is>
          <t>16</t>
        </is>
      </c>
      <c r="O136" t="inlineStr">
        <is>
          <t>8 + 4 / sec</t>
        </is>
      </c>
    </row>
    <row r="137">
      <c r="A137" t="inlineStr">
        <is>
          <t>spruchmagie_feuerbeschwoerung_3_grosse_flammenfaust</t>
        </is>
      </c>
      <c r="B137" t="inlineStr">
        <is>
          <t>14</t>
        </is>
      </c>
      <c r="C137" t="inlineStr">
        <is>
          <t>Keine Gegenprobe möglich.</t>
        </is>
      </c>
      <c r="D137" t="inlineStr">
        <is>
          <t>Selbst</t>
        </is>
      </c>
      <c r="E137" t="inlineStr">
        <is>
          <t>Selbst</t>
        </is>
      </c>
      <c r="F137" t="inlineStr">
        <is>
          <t>Aura</t>
        </is>
      </c>
      <c r="G137" t="inlineStr">
        <is>
          <t>Anhaltend</t>
        </is>
      </c>
      <c r="H137" t="inlineStr">
        <is>
          <t>1.5</t>
        </is>
      </c>
      <c r="I137" t="inlineStr">
        <is>
          <t>2</t>
        </is>
      </c>
      <c r="J137" t="inlineStr">
        <is>
          <t>sofort</t>
        </is>
      </c>
      <c r="K137" t="inlineStr">
        <is>
          <t>(M)*3sec</t>
        </is>
      </c>
      <c r="L137" t="inlineStr">
        <is>
          <t>7</t>
        </is>
      </c>
      <c r="M137" t="inlineStr">
        <is>
          <t>13</t>
        </is>
      </c>
      <c r="N137" t="inlineStr">
        <is>
          <t>21</t>
        </is>
      </c>
      <c r="O137" t="inlineStr">
        <is>
          <t>18</t>
        </is>
      </c>
    </row>
    <row r="138">
      <c r="A138" t="inlineStr">
        <is>
          <t>spruchmagie_feuerbeschwoerung_3_feuerball_salve</t>
        </is>
      </c>
      <c r="B138" t="inlineStr">
        <is>
          <t>16</t>
        </is>
      </c>
      <c r="C138" t="inlineStr">
        <is>
          <t>Bis {Magie}m: Glücks-Probe, ab {Magie}m: Ausweichen, ab {Magie}*2m: mit einem Schild Parieren, um der Wirkung zu entgehen.</t>
        </is>
      </c>
      <c r="D138" t="inlineStr">
        <is>
          <t>(M)*m</t>
        </is>
      </c>
      <c r="E138" t="inlineStr">
        <is>
          <t>Aura</t>
        </is>
      </c>
      <c r="F138" t="inlineStr">
        <is>
          <t>Ball</t>
        </is>
      </c>
      <c r="G138" t="inlineStr">
        <is>
          <t>Einmalig</t>
        </is>
      </c>
      <c r="H138" t="inlineStr">
        <is>
          <t>/</t>
        </is>
      </c>
      <c r="I138" t="inlineStr">
        <is>
          <t>9</t>
        </is>
      </c>
      <c r="J138" t="inlineStr">
        <is>
          <t>sofort</t>
        </is>
      </c>
      <c r="K138" t="inlineStr">
        <is>
          <t>permanent</t>
        </is>
      </c>
      <c r="L138" t="inlineStr">
        <is>
          <t>7</t>
        </is>
      </c>
      <c r="M138" t="inlineStr">
        <is>
          <t>13</t>
        </is>
      </c>
      <c r="N138" t="inlineStr">
        <is>
          <t>21</t>
        </is>
      </c>
      <c r="O138" t="inlineStr">
        <is>
          <t>4/Ball</t>
        </is>
      </c>
    </row>
    <row r="139">
      <c r="A139" t="inlineStr">
        <is>
          <t>spruchmagie_feuerbeschwoerung_3_feuer_klinge</t>
        </is>
      </c>
      <c r="B139" t="inlineStr">
        <is>
          <t>16</t>
        </is>
      </c>
      <c r="C139" t="inlineStr">
        <is>
          <t>Keine Gegenprobe möglich.</t>
        </is>
      </c>
      <c r="D139" t="inlineStr">
        <is>
          <t>Berührung</t>
        </is>
      </c>
      <c r="E139" t="inlineStr">
        <is>
          <t>Gegenstand</t>
        </is>
      </c>
      <c r="F139" t="inlineStr">
        <is>
          <t>Aura</t>
        </is>
      </c>
      <c r="G139" t="inlineStr">
        <is>
          <t>Anhaltend</t>
        </is>
      </c>
      <c r="H139" t="inlineStr">
        <is>
          <t>1.5</t>
        </is>
      </c>
      <c r="I139" t="inlineStr">
        <is>
          <t>8</t>
        </is>
      </c>
      <c r="J139" t="inlineStr">
        <is>
          <t>1sec</t>
        </is>
      </c>
      <c r="K139" t="inlineStr">
        <is>
          <t>(M)*min</t>
        </is>
      </c>
      <c r="L139" t="inlineStr">
        <is>
          <t>7</t>
        </is>
      </c>
      <c r="M139" t="inlineStr">
        <is>
          <t>13</t>
        </is>
      </c>
      <c r="N139" t="inlineStr">
        <is>
          <t>21</t>
        </is>
      </c>
      <c r="O139" t="inlineStr">
        <is>
          <t>26</t>
        </is>
      </c>
    </row>
    <row r="140">
      <c r="A140" t="inlineStr">
        <is>
          <t>spruchmagie_feuerbeschwoerung_3_flammen_pfeil</t>
        </is>
      </c>
      <c r="B140" t="inlineStr">
        <is>
          <t>16</t>
        </is>
      </c>
      <c r="C140" t="inlineStr">
        <is>
          <t>Keine Gegenprobe möglich.</t>
        </is>
      </c>
      <c r="D140" t="inlineStr">
        <is>
          <t>Berührung</t>
        </is>
      </c>
      <c r="E140" t="inlineStr">
        <is>
          <t>Gegenstand</t>
        </is>
      </c>
      <c r="F140" t="inlineStr">
        <is>
          <t>Aura</t>
        </is>
      </c>
      <c r="G140" t="inlineStr">
        <is>
          <t>Einmalig</t>
        </is>
      </c>
      <c r="H140" t="inlineStr">
        <is>
          <t>/</t>
        </is>
      </c>
      <c r="I140" t="inlineStr">
        <is>
          <t>3</t>
        </is>
      </c>
      <c r="J140" t="inlineStr">
        <is>
          <t>sofort</t>
        </is>
      </c>
      <c r="K140" t="inlineStr">
        <is>
          <t>(M)*3sec</t>
        </is>
      </c>
      <c r="L140" t="inlineStr">
        <is>
          <t>7</t>
        </is>
      </c>
      <c r="M140" t="inlineStr">
        <is>
          <t>13</t>
        </is>
      </c>
      <c r="N140" t="inlineStr">
        <is>
          <t>21</t>
        </is>
      </c>
      <c r="O140" t="inlineStr">
        <is>
          <t>4</t>
        </is>
      </c>
    </row>
    <row r="141">
      <c r="A141" t="inlineStr">
        <is>
          <t>spruchmagie_feuerbeschwoerung_3_feuerblitz</t>
        </is>
      </c>
      <c r="B141" t="inlineStr">
        <is>
          <t>15</t>
        </is>
      </c>
      <c r="C141" t="inlineStr">
        <is>
          <t>Glücks-Probe, um der Wirkung zu entgehen.</t>
        </is>
      </c>
      <c r="D141" t="inlineStr">
        <is>
          <t>(M)*4m</t>
        </is>
      </c>
      <c r="E141" t="inlineStr">
        <is>
          <t>Aura</t>
        </is>
      </c>
      <c r="F141" t="inlineStr">
        <is>
          <t>Blitz</t>
        </is>
      </c>
      <c r="G141" t="inlineStr">
        <is>
          <t>Bipolar</t>
        </is>
      </c>
      <c r="H141" t="inlineStr">
        <is>
          <t>3</t>
        </is>
      </c>
      <c r="I141" t="inlineStr">
        <is>
          <t>6</t>
        </is>
      </c>
      <c r="J141" t="inlineStr">
        <is>
          <t>sofort</t>
        </is>
      </c>
      <c r="K141" t="inlineStr">
        <is>
          <t>permanent</t>
        </is>
      </c>
      <c r="L141" t="inlineStr">
        <is>
          <t>7</t>
        </is>
      </c>
      <c r="M141" t="inlineStr">
        <is>
          <t>13</t>
        </is>
      </c>
      <c r="N141" t="inlineStr">
        <is>
          <t>21</t>
        </is>
      </c>
      <c r="O141" t="inlineStr">
        <is>
          <t>6</t>
        </is>
      </c>
    </row>
    <row r="142">
      <c r="A142" t="inlineStr">
        <is>
          <t>spruchmagie_feuerbeschwoerung_4_grosser_feuerball</t>
        </is>
      </c>
      <c r="B142" t="inlineStr">
        <is>
          <t>17</t>
        </is>
      </c>
      <c r="C142" t="inlineStr">
        <is>
          <t>Bis {Magie}m: Glücks-Probe, ab {Magie}m: Ausweichen, ab {Magie}*2m: mit einem Schild Parieren, um der Wirkung zu entgehen.</t>
        </is>
      </c>
      <c r="D142" t="inlineStr">
        <is>
          <t>(M)*2m</t>
        </is>
      </c>
      <c r="E142" t="inlineStr">
        <is>
          <t>Aura</t>
        </is>
      </c>
      <c r="F142" t="inlineStr">
        <is>
          <t>Ball</t>
        </is>
      </c>
      <c r="G142" t="inlineStr">
        <is>
          <t>Einmalig</t>
        </is>
      </c>
      <c r="H142" t="inlineStr">
        <is>
          <t>/</t>
        </is>
      </c>
      <c r="I142" t="inlineStr">
        <is>
          <t>6</t>
        </is>
      </c>
      <c r="J142" t="inlineStr">
        <is>
          <t>sofort</t>
        </is>
      </c>
      <c r="K142" t="inlineStr">
        <is>
          <t>permanent</t>
        </is>
      </c>
      <c r="L142" t="inlineStr">
        <is>
          <t>8</t>
        </is>
      </c>
      <c r="M142" t="inlineStr">
        <is>
          <t>15</t>
        </is>
      </c>
      <c r="N142" t="inlineStr">
        <is>
          <t>24</t>
        </is>
      </c>
      <c r="O142" t="inlineStr">
        <is>
          <t>12</t>
        </is>
      </c>
    </row>
    <row r="143">
      <c r="A143" t="inlineStr">
        <is>
          <t>spruchmagie_feuerbeschwoerung_4_feuerpfeil_salve</t>
        </is>
      </c>
      <c r="B143" t="inlineStr">
        <is>
          <t>18</t>
        </is>
      </c>
      <c r="C143" t="inlineStr">
        <is>
          <t>Bis {M}m: Glücks-Probe, bis {M}*2m: AW/2, danach AW oder mit einem Schild parieren, um der Wirkung zu entgehen.</t>
        </is>
      </c>
      <c r="D143" t="inlineStr">
        <is>
          <t>(M)*2m</t>
        </is>
      </c>
      <c r="E143" t="inlineStr">
        <is>
          <t>Aura</t>
        </is>
      </c>
      <c r="F143" t="inlineStr">
        <is>
          <t>Bolzen</t>
        </is>
      </c>
      <c r="G143" t="inlineStr">
        <is>
          <t>Einmalig</t>
        </is>
      </c>
      <c r="H143" t="inlineStr">
        <is>
          <t>/</t>
        </is>
      </c>
      <c r="I143" t="inlineStr">
        <is>
          <t>9</t>
        </is>
      </c>
      <c r="J143" t="inlineStr">
        <is>
          <t>sofort</t>
        </is>
      </c>
      <c r="K143" t="inlineStr">
        <is>
          <t>permanent</t>
        </is>
      </c>
      <c r="L143" t="inlineStr">
        <is>
          <t>8</t>
        </is>
      </c>
      <c r="M143" t="inlineStr">
        <is>
          <t>15</t>
        </is>
      </c>
      <c r="N143" t="inlineStr">
        <is>
          <t>24</t>
        </is>
      </c>
      <c r="O143" t="inlineStr">
        <is>
          <t>6/Bolzen</t>
        </is>
      </c>
    </row>
    <row r="144">
      <c r="A144" t="inlineStr">
        <is>
          <t>spruchmagie_feuerbeschwoerung_4_grosse_flammenwand</t>
        </is>
      </c>
      <c r="B144" t="inlineStr">
        <is>
          <t>16</t>
        </is>
      </c>
      <c r="C144" t="inlineStr">
        <is>
          <t>Keine Gegenprobe möglich.</t>
        </is>
      </c>
      <c r="D144" t="inlineStr">
        <is>
          <t>Magie/2m</t>
        </is>
      </c>
      <c r="E144" t="inlineStr">
        <is>
          <t>Punkt im Raum</t>
        </is>
      </c>
      <c r="F144" t="inlineStr">
        <is>
          <t>Wand</t>
        </is>
      </c>
      <c r="G144" t="inlineStr">
        <is>
          <t>Anhaltend</t>
        </is>
      </c>
      <c r="H144" t="inlineStr">
        <is>
          <t>2</t>
        </is>
      </c>
      <c r="I144" t="inlineStr">
        <is>
          <t>6</t>
        </is>
      </c>
      <c r="J144" t="inlineStr">
        <is>
          <t>2sec</t>
        </is>
      </c>
      <c r="K144" t="inlineStr">
        <is>
          <t>Magie*min</t>
        </is>
      </c>
      <c r="L144" t="inlineStr">
        <is>
          <t>8</t>
        </is>
      </c>
      <c r="M144" t="inlineStr">
        <is>
          <t>15</t>
        </is>
      </c>
      <c r="N144" t="inlineStr">
        <is>
          <t>24</t>
        </is>
      </c>
      <c r="O144" t="inlineStr">
        <is>
          <t>20 + 1 / 3 sec</t>
        </is>
      </c>
    </row>
    <row r="145">
      <c r="A145" t="inlineStr">
        <is>
          <t>spruchmagie_feuerbeschwoerung_5_grosse_flammenaura</t>
        </is>
      </c>
      <c r="B145" t="inlineStr">
        <is>
          <t>18</t>
        </is>
      </c>
      <c r="C145" t="inlineStr">
        <is>
          <t>Keine Gegenprobe möglich.</t>
        </is>
      </c>
      <c r="D145" t="inlineStr">
        <is>
          <t>Aura/3m</t>
        </is>
      </c>
      <c r="E145" t="inlineStr">
        <is>
          <t>Selbst</t>
        </is>
      </c>
      <c r="F145" t="inlineStr">
        <is>
          <t>Kugel</t>
        </is>
      </c>
      <c r="G145" t="inlineStr">
        <is>
          <t>Anhaltend</t>
        </is>
      </c>
      <c r="H145" t="inlineStr">
        <is>
          <t>2.5</t>
        </is>
      </c>
      <c r="I145" t="inlineStr">
        <is>
          <t>6</t>
        </is>
      </c>
      <c r="J145" t="inlineStr">
        <is>
          <t>sofort</t>
        </is>
      </c>
      <c r="K145" t="inlineStr">
        <is>
          <t>(M)*3sec</t>
        </is>
      </c>
      <c r="L145" t="inlineStr">
        <is>
          <t>9</t>
        </is>
      </c>
      <c r="M145" t="inlineStr">
        <is>
          <t>17</t>
        </is>
      </c>
      <c r="N145" t="inlineStr">
        <is>
          <t>27</t>
        </is>
      </c>
      <c r="O145" t="inlineStr">
        <is>
          <t>15 + 3 / sec</t>
        </is>
      </c>
    </row>
    <row r="146">
      <c r="A146" t="inlineStr">
        <is>
          <t>spruchmagie_feuerbeschwoerung_5_flammenmeer</t>
        </is>
      </c>
      <c r="B146" t="inlineStr">
        <is>
          <t>20</t>
        </is>
      </c>
      <c r="C146" t="inlineStr">
        <is>
          <t>Keine Gegenprobe möglich.</t>
        </is>
      </c>
      <c r="D146" t="inlineStr">
        <is>
          <t>(M)*m Radius</t>
        </is>
      </c>
      <c r="E146" t="inlineStr">
        <is>
          <t>Selbst</t>
        </is>
      </c>
      <c r="F146" t="inlineStr">
        <is>
          <t>Kugel</t>
        </is>
      </c>
      <c r="G146" t="inlineStr">
        <is>
          <t>Einmalig</t>
        </is>
      </c>
      <c r="H146" t="inlineStr">
        <is>
          <t>/</t>
        </is>
      </c>
      <c r="I146" t="inlineStr">
        <is>
          <t>9</t>
        </is>
      </c>
      <c r="J146" t="inlineStr">
        <is>
          <t>sofort</t>
        </is>
      </c>
      <c r="K146" t="inlineStr">
        <is>
          <t>permanent</t>
        </is>
      </c>
      <c r="L146" t="inlineStr">
        <is>
          <t>9</t>
        </is>
      </c>
      <c r="M146" t="inlineStr">
        <is>
          <t>17</t>
        </is>
      </c>
      <c r="N146" t="inlineStr">
        <is>
          <t>27</t>
        </is>
      </c>
      <c r="O146" t="inlineStr">
        <is>
          <t>38</t>
        </is>
      </c>
    </row>
    <row r="147">
      <c r="A147" t="inlineStr">
        <is>
          <t>spruchmagie_feuerbeschwoerung_5_grosser_feuerpfeil</t>
        </is>
      </c>
      <c r="B147" t="inlineStr">
        <is>
          <t>19</t>
        </is>
      </c>
      <c r="C147" t="inlineStr">
        <is>
          <t>Bis {M}m: Glücks-Probe, bis {M}*2m: AW/2, danach AW oder mit einem Schild parieren, um der Wirkung zu entgehen.</t>
        </is>
      </c>
      <c r="D147" t="inlineStr">
        <is>
          <t>(M)*3m</t>
        </is>
      </c>
      <c r="E147" t="inlineStr">
        <is>
          <t>Aura</t>
        </is>
      </c>
      <c r="F147" t="inlineStr">
        <is>
          <t>Bolzen</t>
        </is>
      </c>
      <c r="G147" t="inlineStr">
        <is>
          <t>Einmalig</t>
        </is>
      </c>
      <c r="H147" t="inlineStr">
        <is>
          <t>/</t>
        </is>
      </c>
      <c r="I147" t="inlineStr">
        <is>
          <t>6</t>
        </is>
      </c>
      <c r="J147" t="inlineStr">
        <is>
          <t>sofort</t>
        </is>
      </c>
      <c r="K147" t="inlineStr">
        <is>
          <t>permanent</t>
        </is>
      </c>
      <c r="L147" t="inlineStr">
        <is>
          <t>9</t>
        </is>
      </c>
      <c r="M147" t="inlineStr">
        <is>
          <t>17</t>
        </is>
      </c>
      <c r="N147" t="inlineStr">
        <is>
          <t>27</t>
        </is>
      </c>
      <c r="O147" t="inlineStr">
        <is>
          <t>16</t>
        </is>
      </c>
    </row>
    <row r="148">
      <c r="A148" t="inlineStr">
        <is>
          <t>spruchmagie_feuerbeschwoerung_6_grosse_feuerball_salve</t>
        </is>
      </c>
      <c r="B148" t="inlineStr">
        <is>
          <t>22</t>
        </is>
      </c>
      <c r="C148" t="inlineStr">
        <is>
          <t>Bis {Magie}m: Glücks-Probe, ab {Magie}m: Ausweichen, ab {Magie}*2m: mit einem Schild Parieren, um der Wirkung zu entgehen.</t>
        </is>
      </c>
      <c r="D148" t="inlineStr">
        <is>
          <t>(M)*2m</t>
        </is>
      </c>
      <c r="E148" t="inlineStr">
        <is>
          <t>Aura</t>
        </is>
      </c>
      <c r="F148" t="inlineStr">
        <is>
          <t>Ball</t>
        </is>
      </c>
      <c r="G148" t="inlineStr">
        <is>
          <t>Einmalig</t>
        </is>
      </c>
      <c r="H148" t="inlineStr">
        <is>
          <t>/</t>
        </is>
      </c>
      <c r="I148" t="inlineStr">
        <is>
          <t>6</t>
        </is>
      </c>
      <c r="J148" t="inlineStr">
        <is>
          <t>sofort</t>
        </is>
      </c>
      <c r="K148" t="inlineStr">
        <is>
          <t>permanent</t>
        </is>
      </c>
      <c r="L148" t="inlineStr">
        <is>
          <t>10</t>
        </is>
      </c>
      <c r="M148" t="inlineStr">
        <is>
          <t>19</t>
        </is>
      </c>
      <c r="N148" t="inlineStr">
        <is>
          <t>30</t>
        </is>
      </c>
      <c r="O148" t="inlineStr">
        <is>
          <t>12/Ball</t>
        </is>
      </c>
    </row>
    <row r="149">
      <c r="A149" t="inlineStr">
        <is>
          <t>spruchmagie_feuerbeschwoerung_6_grosser_flammenstrahl</t>
        </is>
      </c>
      <c r="B149" t="inlineStr">
        <is>
          <t>20</t>
        </is>
      </c>
      <c r="C149" t="inlineStr">
        <is>
          <t>Glücks-Probe, um der Wirkung zu entgehen.</t>
        </is>
      </c>
      <c r="D149" t="inlineStr">
        <is>
          <t>Magie*4m</t>
        </is>
      </c>
      <c r="E149" t="inlineStr">
        <is>
          <t>Punkt im Raum</t>
        </is>
      </c>
      <c r="F149" t="inlineStr">
        <is>
          <t>Strahl</t>
        </is>
      </c>
      <c r="G149" t="inlineStr">
        <is>
          <t>Anhaltend</t>
        </is>
      </c>
      <c r="H149" t="inlineStr">
        <is>
          <t>3</t>
        </is>
      </c>
      <c r="I149" t="inlineStr">
        <is>
          <t>6</t>
        </is>
      </c>
      <c r="J149" t="inlineStr">
        <is>
          <t>sofort</t>
        </is>
      </c>
      <c r="K149" t="inlineStr">
        <is>
          <t>permanent</t>
        </is>
      </c>
      <c r="L149" t="inlineStr">
        <is>
          <t>10</t>
        </is>
      </c>
      <c r="M149" t="inlineStr">
        <is>
          <t>19</t>
        </is>
      </c>
      <c r="N149" t="inlineStr">
        <is>
          <t>30</t>
        </is>
      </c>
      <c r="O149" t="inlineStr">
        <is>
          <t>15+ 7 / sec</t>
        </is>
      </c>
    </row>
    <row r="150">
      <c r="A150" t="inlineStr">
        <is>
          <t>spruchmagie_feuerbeschwoerung_6_grosser_feuerblitz</t>
        </is>
      </c>
      <c r="B150" t="inlineStr">
        <is>
          <t>21</t>
        </is>
      </c>
      <c r="C150" t="inlineStr">
        <is>
          <t>Glücks-Probe, um der Wirkung zu entgehen.</t>
        </is>
      </c>
      <c r="D150" t="inlineStr">
        <is>
          <t>(M)*5m</t>
        </is>
      </c>
      <c r="E150" t="inlineStr">
        <is>
          <t>Aura</t>
        </is>
      </c>
      <c r="F150" t="inlineStr">
        <is>
          <t>Blitz</t>
        </is>
      </c>
      <c r="G150" t="inlineStr">
        <is>
          <t>Bipolar</t>
        </is>
      </c>
      <c r="H150" t="inlineStr">
        <is>
          <t>6</t>
        </is>
      </c>
      <c r="I150" t="inlineStr">
        <is>
          <t>6</t>
        </is>
      </c>
      <c r="J150" t="inlineStr">
        <is>
          <t>sofort</t>
        </is>
      </c>
      <c r="K150" t="inlineStr">
        <is>
          <t>permanent</t>
        </is>
      </c>
      <c r="L150" t="inlineStr">
        <is>
          <t>10</t>
        </is>
      </c>
      <c r="M150" t="inlineStr">
        <is>
          <t>19</t>
        </is>
      </c>
      <c r="N150" t="inlineStr">
        <is>
          <t>30</t>
        </is>
      </c>
      <c r="O150" t="inlineStr">
        <is>
          <t>16</t>
        </is>
      </c>
    </row>
    <row r="151">
      <c r="A151" t="inlineStr">
        <is>
          <t>spruchmagie_feuerbeschwoerung_7_inferno</t>
        </is>
      </c>
      <c r="B151" t="inlineStr">
        <is>
          <t>24</t>
        </is>
      </c>
      <c r="C151" t="inlineStr">
        <is>
          <t>Keine Gegenprobe möglich.</t>
        </is>
      </c>
      <c r="D151" t="inlineStr">
        <is>
          <t>(M)*m Radius</t>
        </is>
      </c>
      <c r="E151" t="inlineStr">
        <is>
          <t>Selbst</t>
        </is>
      </c>
      <c r="F151" t="inlineStr">
        <is>
          <t>Kugel</t>
        </is>
      </c>
      <c r="G151" t="inlineStr">
        <is>
          <t>Einmalig</t>
        </is>
      </c>
      <c r="H151" t="inlineStr">
        <is>
          <t>/</t>
        </is>
      </c>
      <c r="I151" t="inlineStr">
        <is>
          <t>9</t>
        </is>
      </c>
      <c r="J151" t="inlineStr">
        <is>
          <t>sofort</t>
        </is>
      </c>
      <c r="K151" t="inlineStr">
        <is>
          <t>permanent</t>
        </is>
      </c>
      <c r="L151" t="inlineStr">
        <is>
          <t>11</t>
        </is>
      </c>
      <c r="M151" t="inlineStr">
        <is>
          <t>20</t>
        </is>
      </c>
      <c r="N151" t="inlineStr">
        <is>
          <t>32</t>
        </is>
      </c>
      <c r="O151" t="inlineStr">
        <is>
          <t>60</t>
        </is>
      </c>
    </row>
    <row r="152">
      <c r="A152" t="inlineStr">
        <is>
          <t>spruchmagie_feuerbeschwoerung_7_grosse_feuerpfeil_salve</t>
        </is>
      </c>
      <c r="B152" t="inlineStr">
        <is>
          <t>23</t>
        </is>
      </c>
      <c r="C152" t="inlineStr">
        <is>
          <t>Bis {M}m: Glücks-Probe, bis {M}*2m: AW/2, danach AW oder mit einem Schild parieren, um der Wirkung zu entgehen.</t>
        </is>
      </c>
      <c r="D152" t="inlineStr">
        <is>
          <t>(M)*3m</t>
        </is>
      </c>
      <c r="E152" t="inlineStr">
        <is>
          <t>Aura</t>
        </is>
      </c>
      <c r="F152" t="inlineStr">
        <is>
          <t>Bolzen</t>
        </is>
      </c>
      <c r="G152" t="inlineStr">
        <is>
          <t>Einmalig</t>
        </is>
      </c>
      <c r="H152" t="inlineStr">
        <is>
          <t>/</t>
        </is>
      </c>
      <c r="I152" t="inlineStr">
        <is>
          <t>9</t>
        </is>
      </c>
      <c r="J152" t="inlineStr">
        <is>
          <t>sofort</t>
        </is>
      </c>
      <c r="K152" t="inlineStr">
        <is>
          <t>permanent</t>
        </is>
      </c>
      <c r="L152" t="inlineStr">
        <is>
          <t>11</t>
        </is>
      </c>
      <c r="M152" t="inlineStr">
        <is>
          <t>20</t>
        </is>
      </c>
      <c r="N152" t="inlineStr">
        <is>
          <t>32</t>
        </is>
      </c>
      <c r="O152" t="inlineStr">
        <is>
          <t>16/Bolzen</t>
        </is>
      </c>
    </row>
    <row r="153">
      <c r="A153" t="inlineStr">
        <is>
          <t>spruchmagie_heilung_1_schmerz_unterdruecken</t>
        </is>
      </c>
      <c r="B153" t="inlineStr">
        <is>
          <t>12</t>
        </is>
      </c>
      <c r="C153" t="inlineStr">
        <is>
          <t>Keine Gegenprobe möglich.</t>
        </is>
      </c>
      <c r="D153" t="inlineStr">
        <is>
          <t>Berührung</t>
        </is>
      </c>
      <c r="E153" t="inlineStr">
        <is>
          <t>Aura</t>
        </is>
      </c>
      <c r="F153" t="inlineStr">
        <is>
          <t>Aura</t>
        </is>
      </c>
      <c r="G153" t="inlineStr">
        <is>
          <t>Anhaltend</t>
        </is>
      </c>
      <c r="H153" t="inlineStr">
        <is>
          <t>0.5</t>
        </is>
      </c>
      <c r="I153" t="inlineStr">
        <is>
          <t>9</t>
        </is>
      </c>
      <c r="J153" t="inlineStr">
        <is>
          <t>sofort</t>
        </is>
      </c>
      <c r="K153" t="inlineStr">
        <is>
          <t>(M)*min</t>
        </is>
      </c>
      <c r="L153" t="inlineStr">
        <is>
          <t>2</t>
        </is>
      </c>
      <c r="M153" t="inlineStr">
        <is>
          <t>6</t>
        </is>
      </c>
      <c r="N153" t="inlineStr">
        <is>
          <t>12</t>
        </is>
      </c>
      <c r="O153" t="inlineStr">
        <is>
          <t>12</t>
        </is>
      </c>
    </row>
    <row r="154">
      <c r="A154" t="inlineStr">
        <is>
          <t>spruchmagie_heilung_1_ruhiger_schlaf</t>
        </is>
      </c>
      <c r="B154" t="inlineStr">
        <is>
          <t>12</t>
        </is>
      </c>
      <c r="C154" t="inlineStr">
        <is>
          <t>Keine Gegenprobe möglich.</t>
        </is>
      </c>
      <c r="D154" t="inlineStr">
        <is>
          <t>Berührung</t>
        </is>
      </c>
      <c r="E154" t="inlineStr">
        <is>
          <t>Aura</t>
        </is>
      </c>
      <c r="F154" t="inlineStr">
        <is>
          <t>Aura</t>
        </is>
      </c>
      <c r="G154" t="inlineStr">
        <is>
          <t>Einmalig</t>
        </is>
      </c>
      <c r="H154" t="inlineStr">
        <is>
          <t>/</t>
        </is>
      </c>
      <c r="I154" t="inlineStr">
        <is>
          <t>30</t>
        </is>
      </c>
      <c r="J154" t="inlineStr">
        <is>
          <t>10min</t>
        </is>
      </c>
      <c r="K154" t="inlineStr">
        <is>
          <t>6h</t>
        </is>
      </c>
      <c r="L154" t="inlineStr">
        <is>
          <t>2</t>
        </is>
      </c>
      <c r="M154" t="inlineStr">
        <is>
          <t>6</t>
        </is>
      </c>
      <c r="N154" t="inlineStr">
        <is>
          <t>12</t>
        </is>
      </c>
      <c r="O154" t="inlineStr">
        <is>
          <t>4</t>
        </is>
      </c>
    </row>
    <row r="155">
      <c r="A155" t="inlineStr">
        <is>
          <t>spruchmagie_heilung_1_zwang_unterdruecken</t>
        </is>
      </c>
      <c r="B155" t="inlineStr">
        <is>
          <t>12</t>
        </is>
      </c>
      <c r="C155" t="inlineStr">
        <is>
          <t>Keine Gegenprobe möglich.</t>
        </is>
      </c>
      <c r="D155" t="inlineStr">
        <is>
          <t>Berührung</t>
        </is>
      </c>
      <c r="E155" t="inlineStr">
        <is>
          <t>Aura</t>
        </is>
      </c>
      <c r="F155" t="inlineStr">
        <is>
          <t>Aura</t>
        </is>
      </c>
      <c r="G155" t="inlineStr">
        <is>
          <t>Einmalig</t>
        </is>
      </c>
      <c r="H155" t="inlineStr">
        <is>
          <t>/</t>
        </is>
      </c>
      <c r="I155" t="inlineStr">
        <is>
          <t>180</t>
        </is>
      </c>
      <c r="J155" t="inlineStr">
        <is>
          <t>Sofort</t>
        </is>
      </c>
      <c r="K155" t="inlineStr">
        <is>
          <t>(M)*h</t>
        </is>
      </c>
      <c r="L155" t="inlineStr">
        <is>
          <t>2</t>
        </is>
      </c>
      <c r="M155" t="inlineStr">
        <is>
          <t>6</t>
        </is>
      </c>
      <c r="N155" t="inlineStr">
        <is>
          <t>12</t>
        </is>
      </c>
      <c r="O155" t="inlineStr">
        <is>
          <t>15</t>
        </is>
      </c>
    </row>
    <row r="156">
      <c r="A156" t="inlineStr">
        <is>
          <t>spruchmagie_heilung_2_schlaf_der_heilung</t>
        </is>
      </c>
      <c r="B156" t="inlineStr">
        <is>
          <t>14</t>
        </is>
      </c>
      <c r="C156" t="inlineStr">
        <is>
          <t>Keine Gegenprobe möglich.</t>
        </is>
      </c>
      <c r="D156" t="inlineStr">
        <is>
          <t>Berührung</t>
        </is>
      </c>
      <c r="E156" t="inlineStr">
        <is>
          <t>Aura</t>
        </is>
      </c>
      <c r="F156" t="inlineStr">
        <is>
          <t>Aura</t>
        </is>
      </c>
      <c r="G156" t="inlineStr">
        <is>
          <t>Einmalig</t>
        </is>
      </c>
      <c r="H156" t="inlineStr">
        <is>
          <t>/</t>
        </is>
      </c>
      <c r="I156" t="inlineStr">
        <is>
          <t>60</t>
        </is>
      </c>
      <c r="J156" t="inlineStr">
        <is>
          <t>10min</t>
        </is>
      </c>
      <c r="K156" t="inlineStr">
        <is>
          <t>6h</t>
        </is>
      </c>
      <c r="L156" t="inlineStr">
        <is>
          <t>4</t>
        </is>
      </c>
      <c r="M156" t="inlineStr">
        <is>
          <t>9</t>
        </is>
      </c>
      <c r="N156" t="inlineStr">
        <is>
          <t>16</t>
        </is>
      </c>
      <c r="O156" t="inlineStr">
        <is>
          <t>8</t>
        </is>
      </c>
    </row>
    <row r="157">
      <c r="A157" t="inlineStr">
        <is>
          <t>spruchmagie_heilung_2_ausdauer_wiederherstellen</t>
        </is>
      </c>
      <c r="B157" t="inlineStr">
        <is>
          <t>14</t>
        </is>
      </c>
      <c r="C157" t="inlineStr">
        <is>
          <t>Keine Gegenprobe möglich.</t>
        </is>
      </c>
      <c r="D157" t="inlineStr">
        <is>
          <t>Berührung</t>
        </is>
      </c>
      <c r="E157" t="inlineStr">
        <is>
          <t>Aura</t>
        </is>
      </c>
      <c r="F157" t="inlineStr">
        <is>
          <t>Aura</t>
        </is>
      </c>
      <c r="G157" t="inlineStr">
        <is>
          <t>Einmalig</t>
        </is>
      </c>
      <c r="H157" t="inlineStr">
        <is>
          <t>/</t>
        </is>
      </c>
      <c r="I157" t="inlineStr">
        <is>
          <t>5</t>
        </is>
      </c>
      <c r="J157" t="inlineStr">
        <is>
          <t>Sofort</t>
        </is>
      </c>
      <c r="K157" t="inlineStr">
        <is>
          <t>Permanent</t>
        </is>
      </c>
      <c r="L157" t="inlineStr">
        <is>
          <t>4</t>
        </is>
      </c>
      <c r="M157" t="inlineStr">
        <is>
          <t>9</t>
        </is>
      </c>
      <c r="N157" t="inlineStr">
        <is>
          <t>16</t>
        </is>
      </c>
      <c r="O157" t="inlineStr">
        <is>
          <t>10</t>
        </is>
      </c>
    </row>
    <row r="158">
      <c r="A158" t="inlineStr">
        <is>
          <t>spruchmagie_heilung_2_entzug_lindern</t>
        </is>
      </c>
      <c r="B158" t="inlineStr">
        <is>
          <t>14</t>
        </is>
      </c>
      <c r="C158" t="inlineStr">
        <is>
          <t>Keine Gegenprobe möglich.</t>
        </is>
      </c>
      <c r="D158" t="inlineStr">
        <is>
          <t>Berührung</t>
        </is>
      </c>
      <c r="E158" t="inlineStr">
        <is>
          <t>Aura</t>
        </is>
      </c>
      <c r="F158" t="inlineStr">
        <is>
          <t>Aura</t>
        </is>
      </c>
      <c r="G158" t="inlineStr">
        <is>
          <t>Einmalig</t>
        </is>
      </c>
      <c r="H158" t="inlineStr">
        <is>
          <t>/</t>
        </is>
      </c>
      <c r="I158" t="inlineStr">
        <is>
          <t>60</t>
        </is>
      </c>
      <c r="J158" t="inlineStr">
        <is>
          <t>sofort</t>
        </is>
      </c>
      <c r="K158" t="inlineStr">
        <is>
          <t>Magie*h</t>
        </is>
      </c>
      <c r="L158" t="inlineStr">
        <is>
          <t>4</t>
        </is>
      </c>
      <c r="M158" t="inlineStr">
        <is>
          <t>9</t>
        </is>
      </c>
      <c r="N158" t="inlineStr">
        <is>
          <t>16</t>
        </is>
      </c>
      <c r="O158" t="inlineStr">
        <is>
          <t>6</t>
        </is>
      </c>
    </row>
    <row r="159">
      <c r="A159" t="inlineStr">
        <is>
          <t>spruchmagie_heilung_3_gift_lindern</t>
        </is>
      </c>
      <c r="B159" t="inlineStr">
        <is>
          <t>16</t>
        </is>
      </c>
      <c r="C159" t="inlineStr">
        <is>
          <t>Keine Gegenprobe möglich.</t>
        </is>
      </c>
      <c r="D159" t="inlineStr">
        <is>
          <t>Berührung</t>
        </is>
      </c>
      <c r="E159" t="inlineStr">
        <is>
          <t>Aura</t>
        </is>
      </c>
      <c r="F159" t="inlineStr">
        <is>
          <t>Aura</t>
        </is>
      </c>
      <c r="G159" t="inlineStr">
        <is>
          <t>Einmalig</t>
        </is>
      </c>
      <c r="H159" t="inlineStr">
        <is>
          <t>/</t>
        </is>
      </c>
      <c r="I159" t="inlineStr">
        <is>
          <t>30</t>
        </is>
      </c>
      <c r="J159" t="inlineStr">
        <is>
          <t>Sofort</t>
        </is>
      </c>
      <c r="K159" t="inlineStr">
        <is>
          <t>Magie*h</t>
        </is>
      </c>
      <c r="L159" t="inlineStr">
        <is>
          <t>7</t>
        </is>
      </c>
      <c r="M159" t="inlineStr">
        <is>
          <t>13</t>
        </is>
      </c>
      <c r="N159" t="inlineStr">
        <is>
          <t>21</t>
        </is>
      </c>
      <c r="O159" t="inlineStr">
        <is>
          <t>12</t>
        </is>
      </c>
    </row>
    <row r="160">
      <c r="A160" t="inlineStr">
        <is>
          <t>spruchmagie_heilung_3_krankheit_heilen</t>
        </is>
      </c>
      <c r="B160" t="inlineStr">
        <is>
          <t>16</t>
        </is>
      </c>
      <c r="C160" t="inlineStr">
        <is>
          <t>Keine Gegenprobe möglich.</t>
        </is>
      </c>
      <c r="D160" t="inlineStr">
        <is>
          <t>Berührung</t>
        </is>
      </c>
      <c r="E160" t="inlineStr">
        <is>
          <t>Aura</t>
        </is>
      </c>
      <c r="F160" t="inlineStr">
        <is>
          <t>Aura</t>
        </is>
      </c>
      <c r="G160" t="inlineStr">
        <is>
          <t>Bipolar</t>
        </is>
      </c>
      <c r="H160" t="inlineStr">
        <is>
          <t>3</t>
        </is>
      </c>
      <c r="I160" t="inlineStr">
        <is>
          <t>360</t>
        </is>
      </c>
      <c r="J160" t="inlineStr">
        <is>
          <t>sofort</t>
        </is>
      </c>
      <c r="K160" t="inlineStr">
        <is>
          <t>Permanent</t>
        </is>
      </c>
      <c r="L160" t="inlineStr">
        <is>
          <t>7</t>
        </is>
      </c>
      <c r="M160" t="inlineStr">
        <is>
          <t>13</t>
        </is>
      </c>
      <c r="N160" t="inlineStr">
        <is>
          <t>21</t>
        </is>
      </c>
      <c r="O160" t="inlineStr">
        <is>
          <t>20</t>
        </is>
      </c>
    </row>
    <row r="161">
      <c r="A161" t="inlineStr">
        <is>
          <t>spruchmagie_heilung_3_koma_der_heilung</t>
        </is>
      </c>
      <c r="B161" t="inlineStr">
        <is>
          <t>16</t>
        </is>
      </c>
      <c r="C161" t="inlineStr">
        <is>
          <t>Keine Gegenprobe möglich.</t>
        </is>
      </c>
      <c r="D161" t="inlineStr">
        <is>
          <t>Berührung</t>
        </is>
      </c>
      <c r="E161" t="inlineStr">
        <is>
          <t>Aura</t>
        </is>
      </c>
      <c r="F161" t="inlineStr">
        <is>
          <t>Aura</t>
        </is>
      </c>
      <c r="G161" t="inlineStr">
        <is>
          <t>Einmalig</t>
        </is>
      </c>
      <c r="H161" t="inlineStr">
        <is>
          <t>/</t>
        </is>
      </c>
      <c r="I161" t="inlineStr">
        <is>
          <t>5</t>
        </is>
      </c>
      <c r="J161" t="inlineStr">
        <is>
          <t>Sofort</t>
        </is>
      </c>
      <c r="K161" t="inlineStr">
        <is>
          <t>LE/3h</t>
        </is>
      </c>
      <c r="L161" t="inlineStr">
        <is>
          <t>7</t>
        </is>
      </c>
      <c r="M161" t="inlineStr">
        <is>
          <t>13</t>
        </is>
      </c>
      <c r="N161" t="inlineStr">
        <is>
          <t>21</t>
        </is>
      </c>
      <c r="O161" t="inlineStr">
        <is>
          <t>22</t>
        </is>
      </c>
    </row>
    <row r="162">
      <c r="A162" t="inlineStr">
        <is>
          <t>spruchmagie_heilung_4_defibrillator</t>
        </is>
      </c>
      <c r="B162" t="inlineStr">
        <is>
          <t>18</t>
        </is>
      </c>
      <c r="C162" t="inlineStr">
        <is>
          <t>Keine Gegenprobe möglich.</t>
        </is>
      </c>
      <c r="D162" t="inlineStr">
        <is>
          <t>Berührung</t>
        </is>
      </c>
      <c r="E162" t="inlineStr">
        <is>
          <t>Aura</t>
        </is>
      </c>
      <c r="F162" t="inlineStr">
        <is>
          <t>Aura</t>
        </is>
      </c>
      <c r="G162" t="inlineStr">
        <is>
          <t>Bipolar</t>
        </is>
      </c>
      <c r="H162" t="inlineStr">
        <is>
          <t>4</t>
        </is>
      </c>
      <c r="I162" t="inlineStr">
        <is>
          <t>5</t>
        </is>
      </c>
      <c r="J162" t="inlineStr">
        <is>
          <t>Sofort</t>
        </is>
      </c>
      <c r="K162" t="inlineStr">
        <is>
          <t>Permanent</t>
        </is>
      </c>
      <c r="L162" t="inlineStr">
        <is>
          <t>8</t>
        </is>
      </c>
      <c r="M162" t="inlineStr">
        <is>
          <t>15</t>
        </is>
      </c>
      <c r="N162" t="inlineStr">
        <is>
          <t>24</t>
        </is>
      </c>
      <c r="O162" t="inlineStr">
        <is>
          <t>9</t>
        </is>
      </c>
    </row>
    <row r="163">
      <c r="A163" t="inlineStr">
        <is>
          <t>spruchmagie_heilung_4_grosse_heilung</t>
        </is>
      </c>
      <c r="B163" t="inlineStr">
        <is>
          <t>18</t>
        </is>
      </c>
      <c r="C163" t="inlineStr">
        <is>
          <t>Keine Gegenprobe möglich.</t>
        </is>
      </c>
      <c r="D163" t="inlineStr">
        <is>
          <t>Berührung</t>
        </is>
      </c>
      <c r="E163" t="inlineStr">
        <is>
          <t>Aura</t>
        </is>
      </c>
      <c r="F163" t="inlineStr">
        <is>
          <t>Aura</t>
        </is>
      </c>
      <c r="G163" t="inlineStr">
        <is>
          <t>Bipolar</t>
        </is>
      </c>
      <c r="H163" t="inlineStr">
        <is>
          <t>4</t>
        </is>
      </c>
      <c r="I163" t="inlineStr">
        <is>
          <t>12</t>
        </is>
      </c>
      <c r="J163" t="inlineStr">
        <is>
          <t>1sec pro LE</t>
        </is>
      </c>
      <c r="K163" t="inlineStr">
        <is>
          <t>Permanent</t>
        </is>
      </c>
      <c r="L163" t="inlineStr">
        <is>
          <t>8</t>
        </is>
      </c>
      <c r="M163" t="inlineStr">
        <is>
          <t>15</t>
        </is>
      </c>
      <c r="N163" t="inlineStr">
        <is>
          <t>24</t>
        </is>
      </c>
      <c r="O163" t="inlineStr">
        <is>
          <t>16</t>
        </is>
      </c>
    </row>
    <row r="164">
      <c r="A164" t="inlineStr">
        <is>
          <t>spruchmagie_heilung_4_entseuchung</t>
        </is>
      </c>
      <c r="B164" t="inlineStr">
        <is>
          <t>18</t>
        </is>
      </c>
      <c r="C164" t="inlineStr">
        <is>
          <t>Keine Gegenprobe möglich.</t>
        </is>
      </c>
      <c r="D164" t="inlineStr">
        <is>
          <t>Berührung</t>
        </is>
      </c>
      <c r="E164" t="inlineStr">
        <is>
          <t>Aura</t>
        </is>
      </c>
      <c r="F164" t="inlineStr">
        <is>
          <t>Aura</t>
        </is>
      </c>
      <c r="G164" t="inlineStr">
        <is>
          <t>Bipolar</t>
        </is>
      </c>
      <c r="H164" t="inlineStr">
        <is>
          <t>4</t>
        </is>
      </c>
      <c r="I164" t="inlineStr">
        <is>
          <t>60</t>
        </is>
      </c>
      <c r="J164" t="inlineStr">
        <is>
          <t>60sec</t>
        </is>
      </c>
      <c r="K164" t="inlineStr">
        <is>
          <t>Permanent</t>
        </is>
      </c>
      <c r="L164" t="inlineStr">
        <is>
          <t>8</t>
        </is>
      </c>
      <c r="M164" t="inlineStr">
        <is>
          <t>15</t>
        </is>
      </c>
      <c r="N164" t="inlineStr">
        <is>
          <t>24</t>
        </is>
      </c>
      <c r="O164" t="inlineStr">
        <is>
          <t>24</t>
        </is>
      </c>
    </row>
    <row r="165">
      <c r="A165" t="inlineStr">
        <is>
          <t>spruchmagie_heilung_4_kleine_fernheilung</t>
        </is>
      </c>
      <c r="B165" t="inlineStr">
        <is>
          <t>18</t>
        </is>
      </c>
      <c r="C165" t="inlineStr">
        <is>
          <t>Keine Gegenprobe möglich.</t>
        </is>
      </c>
      <c r="D165" t="inlineStr">
        <is>
          <t>(M)*m</t>
        </is>
      </c>
      <c r="E165" t="inlineStr">
        <is>
          <t>Aura</t>
        </is>
      </c>
      <c r="F165" t="inlineStr">
        <is>
          <t>Aura</t>
        </is>
      </c>
      <c r="G165" t="inlineStr">
        <is>
          <t>Bipolar</t>
        </is>
      </c>
      <c r="H165" t="inlineStr">
        <is>
          <t>4</t>
        </is>
      </c>
      <c r="I165" t="inlineStr">
        <is>
          <t>9</t>
        </is>
      </c>
      <c r="J165" t="inlineStr">
        <is>
          <t>sofort</t>
        </is>
      </c>
      <c r="K165" t="inlineStr">
        <is>
          <t>Permanent</t>
        </is>
      </c>
      <c r="L165" t="inlineStr">
        <is>
          <t>8</t>
        </is>
      </c>
      <c r="M165" t="inlineStr">
        <is>
          <t>15</t>
        </is>
      </c>
      <c r="N165" t="inlineStr">
        <is>
          <t>24</t>
        </is>
      </c>
      <c r="O165" t="inlineStr">
        <is>
          <t>11</t>
        </is>
      </c>
    </row>
    <row r="166">
      <c r="A166" t="inlineStr">
        <is>
          <t>spruchmagie_heilung_5_gliedmassen_nachwachsen_lassen</t>
        </is>
      </c>
      <c r="B166" t="inlineStr">
        <is>
          <t>20</t>
        </is>
      </c>
      <c r="C166" t="inlineStr">
        <is>
          <t>Keine Gegenprobe möglich.</t>
        </is>
      </c>
      <c r="D166" t="inlineStr">
        <is>
          <t>Berührung</t>
        </is>
      </c>
      <c r="E166" t="inlineStr">
        <is>
          <t>Aura</t>
        </is>
      </c>
      <c r="F166" t="inlineStr">
        <is>
          <t>Aura</t>
        </is>
      </c>
      <c r="G166" t="inlineStr">
        <is>
          <t>Bipolar</t>
        </is>
      </c>
      <c r="H166" t="inlineStr">
        <is>
          <t>5</t>
        </is>
      </c>
      <c r="I166" t="inlineStr">
        <is>
          <t>5400</t>
        </is>
      </c>
      <c r="J166" t="inlineStr">
        <is>
          <t>30min</t>
        </is>
      </c>
      <c r="K166" t="inlineStr">
        <is>
          <t>Permanent</t>
        </is>
      </c>
      <c r="L166" t="inlineStr">
        <is>
          <t>9</t>
        </is>
      </c>
      <c r="M166" t="inlineStr">
        <is>
          <t>17</t>
        </is>
      </c>
      <c r="N166" t="inlineStr">
        <is>
          <t>27</t>
        </is>
      </c>
      <c r="O166" t="inlineStr">
        <is>
          <t>60</t>
        </is>
      </c>
    </row>
    <row r="167">
      <c r="A167" t="inlineStr">
        <is>
          <t>spruchmagie_heilung_5_maechtige_heilung</t>
        </is>
      </c>
      <c r="B167" t="inlineStr">
        <is>
          <t>20</t>
        </is>
      </c>
      <c r="C167" t="inlineStr">
        <is>
          <t>Keine Gegenprobe möglich.</t>
        </is>
      </c>
      <c r="D167" t="inlineStr">
        <is>
          <t>Berührung</t>
        </is>
      </c>
      <c r="E167" t="inlineStr">
        <is>
          <t>Aura</t>
        </is>
      </c>
      <c r="F167" t="inlineStr">
        <is>
          <t>Aura</t>
        </is>
      </c>
      <c r="G167" t="inlineStr">
        <is>
          <t>Bipolar</t>
        </is>
      </c>
      <c r="H167" t="inlineStr">
        <is>
          <t>5</t>
        </is>
      </c>
      <c r="I167" t="inlineStr">
        <is>
          <t>12</t>
        </is>
      </c>
      <c r="J167" t="inlineStr">
        <is>
          <t>Permanent</t>
        </is>
      </c>
      <c r="K167" t="inlineStr">
        <is>
          <t>Permanent</t>
        </is>
      </c>
      <c r="L167" t="inlineStr">
        <is>
          <t>9</t>
        </is>
      </c>
      <c r="M167" t="inlineStr">
        <is>
          <t>17</t>
        </is>
      </c>
      <c r="N167" t="inlineStr">
        <is>
          <t>27</t>
        </is>
      </c>
      <c r="O167" t="inlineStr">
        <is>
          <t>28</t>
        </is>
      </c>
    </row>
    <row r="168">
      <c r="A168" t="inlineStr">
        <is>
          <t>spruchmagie_heilung_5_grosser_gesundheit_wiederherstellen</t>
        </is>
      </c>
      <c r="B168" t="inlineStr">
        <is>
          <t>20</t>
        </is>
      </c>
      <c r="C168" t="inlineStr">
        <is>
          <t>Keine Gegenprobe möglich.</t>
        </is>
      </c>
      <c r="D168" t="inlineStr">
        <is>
          <t>Berührung</t>
        </is>
      </c>
      <c r="E168" t="inlineStr">
        <is>
          <t>Aura</t>
        </is>
      </c>
      <c r="F168" t="inlineStr">
        <is>
          <t>Aura</t>
        </is>
      </c>
      <c r="G168" t="inlineStr">
        <is>
          <t>Bipolar</t>
        </is>
      </c>
      <c r="H168" t="inlineStr">
        <is>
          <t>5</t>
        </is>
      </c>
      <c r="I168" t="inlineStr">
        <is>
          <t>24</t>
        </is>
      </c>
      <c r="J168" t="inlineStr">
        <is>
          <t>Permanent</t>
        </is>
      </c>
      <c r="K168" t="inlineStr">
        <is>
          <t>Permanent</t>
        </is>
      </c>
      <c r="L168" t="inlineStr">
        <is>
          <t>9</t>
        </is>
      </c>
      <c r="M168" t="inlineStr">
        <is>
          <t>17</t>
        </is>
      </c>
      <c r="N168" t="inlineStr">
        <is>
          <t>27</t>
        </is>
      </c>
      <c r="O168" t="inlineStr">
        <is>
          <t>24</t>
        </is>
      </c>
    </row>
    <row r="169">
      <c r="A169" t="inlineStr">
        <is>
          <t>spruchmagie_heilung_5_selbstbeherrschung_erhoehen</t>
        </is>
      </c>
      <c r="B169" t="inlineStr">
        <is>
          <t>20</t>
        </is>
      </c>
      <c r="C169" t="inlineStr">
        <is>
          <t>Keine Gegenprobe möglich.</t>
        </is>
      </c>
      <c r="D169" t="inlineStr">
        <is>
          <t>Berührung</t>
        </is>
      </c>
      <c r="E169" t="inlineStr">
        <is>
          <t>Aura</t>
        </is>
      </c>
      <c r="F169" t="inlineStr">
        <is>
          <t>Aura</t>
        </is>
      </c>
      <c r="G169" t="inlineStr">
        <is>
          <t>Anhaltend</t>
        </is>
      </c>
      <c r="H169" t="inlineStr">
        <is>
          <t>2.5</t>
        </is>
      </c>
      <c r="I169" t="inlineStr">
        <is>
          <t>3</t>
        </is>
      </c>
      <c r="J169" t="inlineStr">
        <is>
          <t>Sofort</t>
        </is>
      </c>
      <c r="K169" t="inlineStr">
        <is>
          <t>(M)*min</t>
        </is>
      </c>
      <c r="L169" t="inlineStr">
        <is>
          <t>9</t>
        </is>
      </c>
      <c r="M169" t="inlineStr">
        <is>
          <t>17</t>
        </is>
      </c>
      <c r="N169" t="inlineStr">
        <is>
          <t>27</t>
        </is>
      </c>
      <c r="O169" t="inlineStr">
        <is>
          <t>10 + 8 / min</t>
        </is>
      </c>
    </row>
    <row r="170">
      <c r="A170" t="inlineStr">
        <is>
          <t>spruchmagie_heilung_5_mittlere_fernheilung</t>
        </is>
      </c>
      <c r="B170" t="inlineStr">
        <is>
          <t>20</t>
        </is>
      </c>
      <c r="C170" t="inlineStr">
        <is>
          <t>Keine Gegenprobe möglich.</t>
        </is>
      </c>
      <c r="D170" t="inlineStr">
        <is>
          <t>(M)*m</t>
        </is>
      </c>
      <c r="E170" t="inlineStr">
        <is>
          <t>Aura</t>
        </is>
      </c>
      <c r="F170" t="inlineStr">
        <is>
          <t>Aura</t>
        </is>
      </c>
      <c r="G170" t="inlineStr">
        <is>
          <t>Bipolar</t>
        </is>
      </c>
      <c r="H170" t="inlineStr">
        <is>
          <t>5</t>
        </is>
      </c>
      <c r="I170" t="inlineStr">
        <is>
          <t>9</t>
        </is>
      </c>
      <c r="J170" t="inlineStr">
        <is>
          <t>Sofort</t>
        </is>
      </c>
      <c r="K170" t="inlineStr">
        <is>
          <t>Permanent</t>
        </is>
      </c>
      <c r="L170" t="inlineStr">
        <is>
          <t>9</t>
        </is>
      </c>
      <c r="M170" t="inlineStr">
        <is>
          <t>17</t>
        </is>
      </c>
      <c r="N170" t="inlineStr">
        <is>
          <t>27</t>
        </is>
      </c>
      <c r="O170" t="inlineStr">
        <is>
          <t>16</t>
        </is>
      </c>
    </row>
    <row r="171">
      <c r="A171" t="inlineStr">
        <is>
          <t>spruchmagie_heilung_6_tod_verzoegern</t>
        </is>
      </c>
      <c r="B171" t="inlineStr">
        <is>
          <t>22</t>
        </is>
      </c>
      <c r="C171" t="inlineStr">
        <is>
          <t>Keine Gegenprobe möglich.</t>
        </is>
      </c>
      <c r="D171" t="inlineStr">
        <is>
          <t>Berührung</t>
        </is>
      </c>
      <c r="E171" t="inlineStr">
        <is>
          <t>Aura</t>
        </is>
      </c>
      <c r="F171" t="inlineStr">
        <is>
          <t>Aura</t>
        </is>
      </c>
      <c r="G171" t="inlineStr">
        <is>
          <t>Bipolar</t>
        </is>
      </c>
      <c r="H171" t="inlineStr">
        <is>
          <t>6</t>
        </is>
      </c>
      <c r="I171" t="inlineStr">
        <is>
          <t>30</t>
        </is>
      </c>
      <c r="J171" t="inlineStr">
        <is>
          <t>Magie*3min</t>
        </is>
      </c>
      <c r="K171" t="inlineStr">
        <is>
          <t>Magie*3min</t>
        </is>
      </c>
      <c r="L171" t="inlineStr">
        <is>
          <t>10</t>
        </is>
      </c>
      <c r="M171" t="inlineStr">
        <is>
          <t>19</t>
        </is>
      </c>
      <c r="N171" t="inlineStr">
        <is>
          <t>30</t>
        </is>
      </c>
      <c r="O171" t="inlineStr">
        <is>
          <t>30 + 3 / min</t>
        </is>
      </c>
    </row>
    <row r="172">
      <c r="A172" t="inlineStr">
        <is>
          <t>spruchmagie_heilung_6_maechtige_entseuchung</t>
        </is>
      </c>
      <c r="B172" t="inlineStr">
        <is>
          <t>22</t>
        </is>
      </c>
      <c r="C172" t="inlineStr">
        <is>
          <t>Keine Gegenprobe möglich.</t>
        </is>
      </c>
      <c r="D172" t="inlineStr">
        <is>
          <t>Berührung</t>
        </is>
      </c>
      <c r="E172" t="inlineStr">
        <is>
          <t>Aura</t>
        </is>
      </c>
      <c r="F172" t="inlineStr">
        <is>
          <t>Aura</t>
        </is>
      </c>
      <c r="G172" t="inlineStr">
        <is>
          <t>Bipolar</t>
        </is>
      </c>
      <c r="H172" t="inlineStr">
        <is>
          <t>6</t>
        </is>
      </c>
      <c r="I172" t="inlineStr">
        <is>
          <t>180</t>
        </is>
      </c>
      <c r="J172" t="inlineStr">
        <is>
          <t>3min</t>
        </is>
      </c>
      <c r="K172" t="inlineStr">
        <is>
          <t>Permanent</t>
        </is>
      </c>
      <c r="L172" t="inlineStr">
        <is>
          <t>10</t>
        </is>
      </c>
      <c r="M172" t="inlineStr">
        <is>
          <t>19</t>
        </is>
      </c>
      <c r="N172" t="inlineStr">
        <is>
          <t>30</t>
        </is>
      </c>
      <c r="O172" t="inlineStr">
        <is>
          <t>36</t>
        </is>
      </c>
    </row>
    <row r="173">
      <c r="A173" t="inlineStr">
        <is>
          <t>spruchmagie_heilung_6_magische_krankheit_heilen</t>
        </is>
      </c>
      <c r="B173" t="inlineStr">
        <is>
          <t>22</t>
        </is>
      </c>
      <c r="C173" t="inlineStr">
        <is>
          <t>Keine Gegenprobe möglich.</t>
        </is>
      </c>
      <c r="D173" t="inlineStr">
        <is>
          <t>Berührung</t>
        </is>
      </c>
      <c r="E173" t="inlineStr">
        <is>
          <t>Aura</t>
        </is>
      </c>
      <c r="F173" t="inlineStr">
        <is>
          <t>Aura</t>
        </is>
      </c>
      <c r="G173" t="inlineStr">
        <is>
          <t>Bipolar</t>
        </is>
      </c>
      <c r="H173" t="inlineStr">
        <is>
          <t>6</t>
        </is>
      </c>
      <c r="I173" t="inlineStr">
        <is>
          <t>120</t>
        </is>
      </c>
      <c r="J173" t="inlineStr">
        <is>
          <t>sofort</t>
        </is>
      </c>
      <c r="K173" t="inlineStr">
        <is>
          <t>Permanent</t>
        </is>
      </c>
      <c r="L173" t="inlineStr">
        <is>
          <t>10</t>
        </is>
      </c>
      <c r="M173" t="inlineStr">
        <is>
          <t>19</t>
        </is>
      </c>
      <c r="N173" t="inlineStr">
        <is>
          <t>30</t>
        </is>
      </c>
      <c r="O173" t="inlineStr">
        <is>
          <t>60</t>
        </is>
      </c>
    </row>
    <row r="174">
      <c r="A174" t="inlineStr">
        <is>
          <t>spruchmagie_heilung_6_regeneration_im_kampf</t>
        </is>
      </c>
      <c r="B174" t="inlineStr">
        <is>
          <t>22</t>
        </is>
      </c>
      <c r="C174" t="inlineStr">
        <is>
          <t>Keine Gegenprobe möglich.</t>
        </is>
      </c>
      <c r="D174" t="inlineStr">
        <is>
          <t>Berührung</t>
        </is>
      </c>
      <c r="E174" t="inlineStr">
        <is>
          <t>Aura</t>
        </is>
      </c>
      <c r="F174" t="inlineStr">
        <is>
          <t>Aura</t>
        </is>
      </c>
      <c r="G174" t="inlineStr">
        <is>
          <t>Anhaltend</t>
        </is>
      </c>
      <c r="H174" t="inlineStr">
        <is>
          <t>3</t>
        </is>
      </c>
      <c r="I174" t="inlineStr">
        <is>
          <t>8</t>
        </is>
      </c>
      <c r="J174" t="inlineStr">
        <is>
          <t>sofort</t>
        </is>
      </c>
      <c r="K174" t="inlineStr">
        <is>
          <t>(M)*sec</t>
        </is>
      </c>
      <c r="L174" t="inlineStr">
        <is>
          <t>10</t>
        </is>
      </c>
      <c r="M174" t="inlineStr">
        <is>
          <t>19</t>
        </is>
      </c>
      <c r="N174" t="inlineStr">
        <is>
          <t>30</t>
        </is>
      </c>
      <c r="O174" t="inlineStr">
        <is>
          <t>14 + 3 / sec</t>
        </is>
      </c>
    </row>
    <row r="175">
      <c r="A175" t="inlineStr">
        <is>
          <t>spruchmagie_heilung_6_gesundheit_erhoehen</t>
        </is>
      </c>
      <c r="B175" t="inlineStr">
        <is>
          <t>22</t>
        </is>
      </c>
      <c r="C175" t="inlineStr">
        <is>
          <t>Keine Gegenprobe möglich.</t>
        </is>
      </c>
      <c r="D175" t="inlineStr">
        <is>
          <t>Berührung</t>
        </is>
      </c>
      <c r="E175" t="inlineStr">
        <is>
          <t>Aura</t>
        </is>
      </c>
      <c r="F175" t="inlineStr">
        <is>
          <t>Aura</t>
        </is>
      </c>
      <c r="G175" t="inlineStr">
        <is>
          <t>Einmalig</t>
        </is>
      </c>
      <c r="H175" t="inlineStr">
        <is>
          <t>/</t>
        </is>
      </c>
      <c r="I175" t="inlineStr">
        <is>
          <t>4</t>
        </is>
      </c>
      <c r="J175" t="inlineStr">
        <is>
          <t>sofort</t>
        </is>
      </c>
      <c r="K175" t="inlineStr">
        <is>
          <t>(M)*min</t>
        </is>
      </c>
      <c r="L175" t="inlineStr">
        <is>
          <t>10</t>
        </is>
      </c>
      <c r="M175" t="inlineStr">
        <is>
          <t>19</t>
        </is>
      </c>
      <c r="N175" t="inlineStr">
        <is>
          <t>30</t>
        </is>
      </c>
      <c r="O175" t="inlineStr">
        <is>
          <t>28</t>
        </is>
      </c>
    </row>
    <row r="176">
      <c r="A176" t="inlineStr">
        <is>
          <t>spruchmagie_heilung_6_grosse_fernheilung</t>
        </is>
      </c>
      <c r="B176" t="inlineStr">
        <is>
          <t>22</t>
        </is>
      </c>
      <c r="C176" t="inlineStr">
        <is>
          <t>Keine Gegenprobe möglich.</t>
        </is>
      </c>
      <c r="D176" t="inlineStr">
        <is>
          <t>(M)*m</t>
        </is>
      </c>
      <c r="E176" t="inlineStr">
        <is>
          <t>Aura</t>
        </is>
      </c>
      <c r="F176" t="inlineStr">
        <is>
          <t>Aura</t>
        </is>
      </c>
      <c r="G176" t="inlineStr">
        <is>
          <t>Bipolar</t>
        </is>
      </c>
      <c r="H176" t="inlineStr">
        <is>
          <t>6</t>
        </is>
      </c>
      <c r="I176" t="inlineStr">
        <is>
          <t>6</t>
        </is>
      </c>
      <c r="J176" t="inlineStr">
        <is>
          <t>Sofort</t>
        </is>
      </c>
      <c r="K176" t="inlineStr">
        <is>
          <t>Permanent</t>
        </is>
      </c>
      <c r="L176" t="inlineStr">
        <is>
          <t>10</t>
        </is>
      </c>
      <c r="M176" t="inlineStr">
        <is>
          <t>19</t>
        </is>
      </c>
      <c r="N176" t="inlineStr">
        <is>
          <t>30</t>
        </is>
      </c>
      <c r="O176" t="inlineStr">
        <is>
          <t>16</t>
        </is>
      </c>
    </row>
    <row r="177">
      <c r="A177" t="inlineStr">
        <is>
          <t>spruchmagie_heilung_7_totale_regeneration</t>
        </is>
      </c>
      <c r="B177" t="inlineStr">
        <is>
          <t>24</t>
        </is>
      </c>
      <c r="C177" t="inlineStr">
        <is>
          <t>Keine Gegenprobe möglich.</t>
        </is>
      </c>
      <c r="D177" t="inlineStr">
        <is>
          <t>Berührung</t>
        </is>
      </c>
      <c r="E177" t="inlineStr">
        <is>
          <t>Aura</t>
        </is>
      </c>
      <c r="F177" t="inlineStr">
        <is>
          <t>Aura</t>
        </is>
      </c>
      <c r="G177" t="inlineStr">
        <is>
          <t>Bipolar</t>
        </is>
      </c>
      <c r="H177" t="inlineStr">
        <is>
          <t>7</t>
        </is>
      </c>
      <c r="I177" t="inlineStr">
        <is>
          <t>720</t>
        </is>
      </c>
      <c r="J177" t="inlineStr">
        <is>
          <t>Permanent</t>
        </is>
      </c>
      <c r="K177" t="inlineStr">
        <is>
          <t>Permanent</t>
        </is>
      </c>
      <c r="L177" t="inlineStr">
        <is>
          <t>11</t>
        </is>
      </c>
      <c r="M177" t="inlineStr">
        <is>
          <t>20</t>
        </is>
      </c>
      <c r="N177" t="inlineStr">
        <is>
          <t>32</t>
        </is>
      </c>
      <c r="O177" t="inlineStr">
        <is>
          <t>40</t>
        </is>
      </c>
    </row>
    <row r="178">
      <c r="A178" t="inlineStr">
        <is>
          <t>spruchmagie_heilung_7_trefferschwelle_erhoehen</t>
        </is>
      </c>
      <c r="B178" t="inlineStr">
        <is>
          <t>24</t>
        </is>
      </c>
      <c r="C178" t="inlineStr">
        <is>
          <t>Keine Gegenprobe möglich.</t>
        </is>
      </c>
      <c r="D178" t="inlineStr">
        <is>
          <t>Berührung</t>
        </is>
      </c>
      <c r="E178" t="inlineStr">
        <is>
          <t>Aura</t>
        </is>
      </c>
      <c r="F178" t="inlineStr">
        <is>
          <t>Aura</t>
        </is>
      </c>
      <c r="G178" t="inlineStr">
        <is>
          <t>Anhaltend</t>
        </is>
      </c>
      <c r="H178" t="inlineStr">
        <is>
          <t>3.5</t>
        </is>
      </c>
      <c r="I178" t="inlineStr">
        <is>
          <t>8</t>
        </is>
      </c>
      <c r="J178" t="inlineStr">
        <is>
          <t>sofort</t>
        </is>
      </c>
      <c r="K178" t="inlineStr">
        <is>
          <t>(M)*min</t>
        </is>
      </c>
      <c r="L178" t="inlineStr">
        <is>
          <t>11</t>
        </is>
      </c>
      <c r="M178" t="inlineStr">
        <is>
          <t>20</t>
        </is>
      </c>
      <c r="N178" t="inlineStr">
        <is>
          <t>32</t>
        </is>
      </c>
      <c r="O178" t="inlineStr">
        <is>
          <t>35</t>
        </is>
      </c>
    </row>
    <row r="179">
      <c r="A179" t="inlineStr">
        <is>
          <t>spruchmagie_heilung_7_wiederbelebung</t>
        </is>
      </c>
      <c r="B179" t="inlineStr">
        <is>
          <t>24</t>
        </is>
      </c>
      <c r="C179" t="inlineStr">
        <is>
          <t>Keine Gegenprobe möglich.</t>
        </is>
      </c>
      <c r="D179" t="inlineStr">
        <is>
          <t>Berührung</t>
        </is>
      </c>
      <c r="E179" t="inlineStr">
        <is>
          <t>Aura</t>
        </is>
      </c>
      <c r="F179" t="inlineStr">
        <is>
          <t>Aura</t>
        </is>
      </c>
      <c r="G179" t="inlineStr">
        <is>
          <t>Bipolar</t>
        </is>
      </c>
      <c r="H179" t="inlineStr">
        <is>
          <t>7</t>
        </is>
      </c>
      <c r="I179" t="inlineStr">
        <is>
          <t>1080</t>
        </is>
      </c>
      <c r="J179" t="inlineStr">
        <is>
          <t>1min</t>
        </is>
      </c>
      <c r="K179" t="inlineStr">
        <is>
          <t>Permanent</t>
        </is>
      </c>
      <c r="L179" t="inlineStr">
        <is>
          <t>24</t>
        </is>
      </c>
      <c r="M179" t="inlineStr">
        <is>
          <t>36</t>
        </is>
      </c>
      <c r="N179" t="inlineStr">
        <is>
          <t>52</t>
        </is>
      </c>
      <c r="O179" t="inlineStr">
        <is>
          <t>250</t>
        </is>
      </c>
    </row>
    <row r="180">
      <c r="A180" t="inlineStr">
        <is>
          <t>spruchmagie_heilung_7_maechtige_fernheilung</t>
        </is>
      </c>
      <c r="B180" t="inlineStr">
        <is>
          <t>24</t>
        </is>
      </c>
      <c r="C180" t="inlineStr">
        <is>
          <t>Keine Gegenprobe möglich.</t>
        </is>
      </c>
      <c r="D180" t="inlineStr">
        <is>
          <t>(M)*m</t>
        </is>
      </c>
      <c r="E180" t="inlineStr">
        <is>
          <t>Aura</t>
        </is>
      </c>
      <c r="F180" t="inlineStr">
        <is>
          <t>Aura</t>
        </is>
      </c>
      <c r="G180" t="inlineStr">
        <is>
          <t>Einmalig</t>
        </is>
      </c>
      <c r="H180" t="inlineStr">
        <is>
          <t>/</t>
        </is>
      </c>
      <c r="I180" t="inlineStr">
        <is>
          <t>6</t>
        </is>
      </c>
      <c r="J180" t="inlineStr">
        <is>
          <t>Sofort</t>
        </is>
      </c>
      <c r="K180" t="inlineStr">
        <is>
          <t>Permanent</t>
        </is>
      </c>
      <c r="L180" t="inlineStr">
        <is>
          <t>11</t>
        </is>
      </c>
      <c r="M180" t="inlineStr">
        <is>
          <t>20</t>
        </is>
      </c>
      <c r="N180" t="inlineStr">
        <is>
          <t>32</t>
        </is>
      </c>
      <c r="O180" t="inlineStr">
        <is>
          <t>28</t>
        </is>
      </c>
    </row>
    <row r="181">
      <c r="A181" t="inlineStr">
        <is>
          <t>spruchmagie_hellsicht_1_artefakt_erkennen</t>
        </is>
      </c>
      <c r="B181" t="inlineStr">
        <is>
          <t>11</t>
        </is>
      </c>
      <c r="C181" t="inlineStr">
        <is>
          <t>Keine Gegenprobe möglich.</t>
        </is>
      </c>
      <c r="D181" t="inlineStr">
        <is>
          <t>Berührung</t>
        </is>
      </c>
      <c r="E181" t="inlineStr">
        <is>
          <t>Gegenstand</t>
        </is>
      </c>
      <c r="F181" t="inlineStr">
        <is>
          <t>Aura</t>
        </is>
      </c>
      <c r="G181" t="inlineStr">
        <is>
          <t>Einmalig</t>
        </is>
      </c>
      <c r="H181" t="inlineStr">
        <is>
          <t>/</t>
        </is>
      </c>
      <c r="I181" t="inlineStr">
        <is>
          <t>5</t>
        </is>
      </c>
      <c r="J181" t="inlineStr">
        <is>
          <t>3*(höchster Grad des Artefaktes)</t>
        </is>
      </c>
      <c r="K181" t="inlineStr">
        <is>
          <t>permanent</t>
        </is>
      </c>
      <c r="L181" t="inlineStr">
        <is>
          <t>2</t>
        </is>
      </c>
      <c r="M181" t="inlineStr">
        <is>
          <t>6</t>
        </is>
      </c>
      <c r="N181" t="inlineStr">
        <is>
          <t>12</t>
        </is>
      </c>
      <c r="O181" t="inlineStr">
        <is>
          <t>3 + (höchster Grad des Artefaktes) x 2</t>
        </is>
      </c>
    </row>
    <row r="182">
      <c r="A182" t="inlineStr">
        <is>
          <t>spruchmagie_hellsicht_1_daemmerungssicht</t>
        </is>
      </c>
      <c r="B182" t="inlineStr">
        <is>
          <t>13</t>
        </is>
      </c>
      <c r="C182" t="inlineStr">
        <is>
          <t>Keine Gegenprobe möglich.</t>
        </is>
      </c>
      <c r="D182" t="inlineStr">
        <is>
          <t>Berührung</t>
        </is>
      </c>
      <c r="E182" t="inlineStr">
        <is>
          <t>Aura</t>
        </is>
      </c>
      <c r="F182" t="inlineStr">
        <is>
          <t>Aura</t>
        </is>
      </c>
      <c r="G182" t="inlineStr">
        <is>
          <t>Anhaltend</t>
        </is>
      </c>
      <c r="H182" t="inlineStr">
        <is>
          <t>0.5</t>
        </is>
      </c>
      <c r="I182" t="inlineStr">
        <is>
          <t>3</t>
        </is>
      </c>
      <c r="J182" t="inlineStr">
        <is>
          <t>sofort</t>
        </is>
      </c>
      <c r="K182" t="inlineStr">
        <is>
          <t>(M)*5min</t>
        </is>
      </c>
      <c r="L182" t="inlineStr">
        <is>
          <t>2</t>
        </is>
      </c>
      <c r="M182" t="inlineStr">
        <is>
          <t>6</t>
        </is>
      </c>
      <c r="N182" t="inlineStr">
        <is>
          <t>12</t>
        </is>
      </c>
      <c r="O182" t="inlineStr">
        <is>
          <t>1 / min</t>
        </is>
      </c>
    </row>
    <row r="183">
      <c r="A183" t="inlineStr">
        <is>
          <t>spruchmagie_hellsicht_2_infrarotsicht</t>
        </is>
      </c>
      <c r="B183" t="inlineStr">
        <is>
          <t>14</t>
        </is>
      </c>
      <c r="C183" t="inlineStr">
        <is>
          <t>Keine Gegenprobe möglich.</t>
        </is>
      </c>
      <c r="D183" t="inlineStr">
        <is>
          <t>Berührung</t>
        </is>
      </c>
      <c r="E183" t="inlineStr">
        <is>
          <t>Aura</t>
        </is>
      </c>
      <c r="F183" t="inlineStr">
        <is>
          <t>Aura</t>
        </is>
      </c>
      <c r="G183" t="inlineStr">
        <is>
          <t>Anhaltend</t>
        </is>
      </c>
      <c r="H183" t="inlineStr">
        <is>
          <t>1</t>
        </is>
      </c>
      <c r="I183" t="inlineStr">
        <is>
          <t>9</t>
        </is>
      </c>
      <c r="J183" t="inlineStr">
        <is>
          <t>sofort</t>
        </is>
      </c>
      <c r="K183" t="inlineStr">
        <is>
          <t>(M)*min</t>
        </is>
      </c>
      <c r="L183" t="inlineStr">
        <is>
          <t>4</t>
        </is>
      </c>
      <c r="M183" t="inlineStr">
        <is>
          <t>9</t>
        </is>
      </c>
      <c r="N183" t="inlineStr">
        <is>
          <t>16</t>
        </is>
      </c>
      <c r="O183" t="inlineStr">
        <is>
          <t>2 / min</t>
        </is>
      </c>
    </row>
    <row r="184">
      <c r="A184" t="inlineStr">
        <is>
          <t>spruchmagie_hellsicht_2_durchblick</t>
        </is>
      </c>
      <c r="B184" t="inlineStr">
        <is>
          <t>16</t>
        </is>
      </c>
      <c r="C184" t="inlineStr">
        <is>
          <t>Glücks-Probe, um der Wirkung zu entgehen.</t>
        </is>
      </c>
      <c r="D184" t="inlineStr">
        <is>
          <t>(M)*6cm</t>
        </is>
      </c>
      <c r="E184" t="inlineStr">
        <is>
          <t>Punkt im Raum</t>
        </is>
      </c>
      <c r="F184" t="inlineStr">
        <is>
          <t>Strahl</t>
        </is>
      </c>
      <c r="G184" t="inlineStr">
        <is>
          <t>Anhaltend</t>
        </is>
      </c>
      <c r="H184" t="inlineStr">
        <is>
          <t>1</t>
        </is>
      </c>
      <c r="I184" t="inlineStr">
        <is>
          <t>9</t>
        </is>
      </c>
      <c r="J184" t="inlineStr">
        <is>
          <t>3sec</t>
        </is>
      </c>
      <c r="K184" t="inlineStr">
        <is>
          <t>(M)*sec</t>
        </is>
      </c>
      <c r="L184" t="inlineStr">
        <is>
          <t>6</t>
        </is>
      </c>
      <c r="M184" t="inlineStr">
        <is>
          <t>12</t>
        </is>
      </c>
      <c r="N184" t="inlineStr">
        <is>
          <t>20</t>
        </is>
      </c>
      <c r="O184" t="inlineStr">
        <is>
          <t>2 / sec</t>
        </is>
      </c>
    </row>
    <row r="185">
      <c r="A185" t="inlineStr">
        <is>
          <t>spruchmagie_hellsicht_3_astralsicht</t>
        </is>
      </c>
      <c r="B185" t="inlineStr">
        <is>
          <t>16</t>
        </is>
      </c>
      <c r="C185" t="inlineStr">
        <is>
          <t>Keine Gegenprobe möglich.</t>
        </is>
      </c>
      <c r="D185" t="inlineStr">
        <is>
          <t>Berührung</t>
        </is>
      </c>
      <c r="E185" t="inlineStr">
        <is>
          <t>Aura</t>
        </is>
      </c>
      <c r="F185" t="inlineStr">
        <is>
          <t>Aura</t>
        </is>
      </c>
      <c r="G185" t="inlineStr">
        <is>
          <t>Anhaltend</t>
        </is>
      </c>
      <c r="H185" t="inlineStr">
        <is>
          <t>1.5</t>
        </is>
      </c>
      <c r="I185" t="inlineStr">
        <is>
          <t>6</t>
        </is>
      </c>
      <c r="J185" t="inlineStr">
        <is>
          <t>sofort</t>
        </is>
      </c>
      <c r="K185" t="inlineStr">
        <is>
          <t>(M)*min</t>
        </is>
      </c>
      <c r="L185" t="inlineStr">
        <is>
          <t>6</t>
        </is>
      </c>
      <c r="M185" t="inlineStr">
        <is>
          <t>12</t>
        </is>
      </c>
      <c r="N185" t="inlineStr">
        <is>
          <t>20</t>
        </is>
      </c>
      <c r="O185" t="inlineStr">
        <is>
          <t>3 / min</t>
        </is>
      </c>
    </row>
    <row r="186">
      <c r="A186" t="inlineStr">
        <is>
          <t>spruchmagie_hellsicht_3_blick_aufs_wesen</t>
        </is>
      </c>
      <c r="B186" t="inlineStr">
        <is>
          <t>16</t>
        </is>
      </c>
      <c r="C186" t="inlineStr">
        <is>
          <t>Glücks-Probe, um der Wirkung zu entgehen.</t>
        </is>
      </c>
      <c r="D186" t="inlineStr">
        <is>
          <t>Magie*m</t>
        </is>
      </c>
      <c r="E186" t="inlineStr">
        <is>
          <t>Aura</t>
        </is>
      </c>
      <c r="F186" t="inlineStr">
        <is>
          <t>Blitz</t>
        </is>
      </c>
      <c r="G186" t="inlineStr">
        <is>
          <t>Bipolar</t>
        </is>
      </c>
      <c r="H186" t="inlineStr">
        <is>
          <t>3</t>
        </is>
      </c>
      <c r="I186" t="inlineStr">
        <is>
          <t>9</t>
        </is>
      </c>
      <c r="J186" t="inlineStr">
        <is>
          <t>sofort</t>
        </is>
      </c>
      <c r="K186" t="inlineStr">
        <is>
          <t>Magie*sec</t>
        </is>
      </c>
      <c r="L186" t="inlineStr">
        <is>
          <t>6</t>
        </is>
      </c>
      <c r="M186" t="inlineStr">
        <is>
          <t>12</t>
        </is>
      </c>
      <c r="N186" t="inlineStr">
        <is>
          <t>20</t>
        </is>
      </c>
      <c r="O186" t="inlineStr">
        <is>
          <t>12</t>
        </is>
      </c>
    </row>
    <row r="187">
      <c r="A187" t="inlineStr">
        <is>
          <t>spruchmagie_hellsicht_4_blick_durch_fremde_augen</t>
        </is>
      </c>
      <c r="B187" t="inlineStr">
        <is>
          <t>18</t>
        </is>
      </c>
      <c r="C187" t="inlineStr">
        <is>
          <t>Glücks-Probe, um der Wirkung zu entgehen.</t>
        </is>
      </c>
      <c r="D187" t="inlineStr">
        <is>
          <t>(M)*10km</t>
        </is>
      </c>
      <c r="E187" t="inlineStr">
        <is>
          <t>Aura</t>
        </is>
      </c>
      <c r="F187" t="inlineStr">
        <is>
          <t>Blitz</t>
        </is>
      </c>
      <c r="G187" t="inlineStr">
        <is>
          <t>Bipolar</t>
        </is>
      </c>
      <c r="H187" t="inlineStr">
        <is>
          <t>4</t>
        </is>
      </c>
      <c r="I187" t="inlineStr">
        <is>
          <t>90</t>
        </is>
      </c>
      <c r="J187" t="inlineStr">
        <is>
          <t>5sec</t>
        </is>
      </c>
      <c r="K187" t="inlineStr">
        <is>
          <t>(M)*min</t>
        </is>
      </c>
      <c r="L187" t="inlineStr">
        <is>
          <t>8</t>
        </is>
      </c>
      <c r="M187" t="inlineStr">
        <is>
          <t>15</t>
        </is>
      </c>
      <c r="N187" t="inlineStr">
        <is>
          <t>24</t>
        </is>
      </c>
      <c r="O187" t="inlineStr">
        <is>
          <t>20 + 1/km + 1/min</t>
        </is>
      </c>
    </row>
    <row r="188">
      <c r="A188" t="inlineStr">
        <is>
          <t>spruchmagie_hellsicht_4_aura_analysieren</t>
        </is>
      </c>
      <c r="B188" t="inlineStr">
        <is>
          <t>18</t>
        </is>
      </c>
      <c r="C188" t="inlineStr">
        <is>
          <t>Glücks-Probe, um der Wirkung zu entgehen.</t>
        </is>
      </c>
      <c r="D188" t="inlineStr">
        <is>
          <t>(M)*m</t>
        </is>
      </c>
      <c r="E188" t="inlineStr">
        <is>
          <t>Aura</t>
        </is>
      </c>
      <c r="F188" t="inlineStr">
        <is>
          <t>Blitz</t>
        </is>
      </c>
      <c r="G188" t="inlineStr">
        <is>
          <t>Bipolar</t>
        </is>
      </c>
      <c r="H188" t="inlineStr">
        <is>
          <t>4</t>
        </is>
      </c>
      <c r="I188" t="inlineStr">
        <is>
          <t>12</t>
        </is>
      </c>
      <c r="J188" t="inlineStr">
        <is>
          <t>sofort</t>
        </is>
      </c>
      <c r="K188" t="inlineStr">
        <is>
          <t>Magie*2sec</t>
        </is>
      </c>
      <c r="L188" t="inlineStr">
        <is>
          <t>8</t>
        </is>
      </c>
      <c r="M188" t="inlineStr">
        <is>
          <t>15</t>
        </is>
      </c>
      <c r="N188" t="inlineStr">
        <is>
          <t>24</t>
        </is>
      </c>
      <c r="O188" t="inlineStr">
        <is>
          <t>18</t>
        </is>
      </c>
    </row>
    <row r="189">
      <c r="A189" t="inlineStr">
        <is>
          <t>spruchmagie_hellsicht_5_blick_in_die_gedanken</t>
        </is>
      </c>
      <c r="B189" t="inlineStr">
        <is>
          <t>19</t>
        </is>
      </c>
      <c r="C189" t="inlineStr">
        <is>
          <t>Glücks-Probe, um der Wirkung zu entgehen.</t>
        </is>
      </c>
      <c r="D189" t="inlineStr">
        <is>
          <t>Magie*m</t>
        </is>
      </c>
      <c r="E189" t="inlineStr">
        <is>
          <t>Aura</t>
        </is>
      </c>
      <c r="F189" t="inlineStr">
        <is>
          <t>Blitz</t>
        </is>
      </c>
      <c r="G189" t="inlineStr">
        <is>
          <t>Bipolar</t>
        </is>
      </c>
      <c r="H189" t="inlineStr">
        <is>
          <t>5</t>
        </is>
      </c>
      <c r="I189" t="inlineStr">
        <is>
          <t>18</t>
        </is>
      </c>
      <c r="J189" t="inlineStr">
        <is>
          <t>sofort</t>
        </is>
      </c>
      <c r="K189" t="inlineStr">
        <is>
          <t>(M)*3sec</t>
        </is>
      </c>
      <c r="L189" t="inlineStr">
        <is>
          <t>9</t>
        </is>
      </c>
      <c r="M189" t="inlineStr">
        <is>
          <t>17</t>
        </is>
      </c>
      <c r="N189" t="inlineStr">
        <is>
          <t>27</t>
        </is>
      </c>
      <c r="O189" t="inlineStr">
        <is>
          <t>15 + 3 / sec</t>
        </is>
      </c>
    </row>
    <row r="190">
      <c r="A190" t="inlineStr">
        <is>
          <t>spruchmagie_hellsicht_6_kampfmaschine</t>
        </is>
      </c>
      <c r="B190" t="inlineStr">
        <is>
          <t>23</t>
        </is>
      </c>
      <c r="C190" t="inlineStr">
        <is>
          <t>Keine Gegenprobe möglich.</t>
        </is>
      </c>
      <c r="D190" t="inlineStr">
        <is>
          <t>Berührung</t>
        </is>
      </c>
      <c r="E190" t="inlineStr">
        <is>
          <t>Gegenstand</t>
        </is>
      </c>
      <c r="F190" t="inlineStr">
        <is>
          <t>Aura</t>
        </is>
      </c>
      <c r="G190" t="inlineStr">
        <is>
          <t>Anhaltend</t>
        </is>
      </c>
      <c r="H190" t="inlineStr">
        <is>
          <t>3</t>
        </is>
      </c>
      <c r="I190" t="inlineStr">
        <is>
          <t>5</t>
        </is>
      </c>
      <c r="J190" t="inlineStr">
        <is>
          <t>sofort</t>
        </is>
      </c>
      <c r="K190" t="inlineStr">
        <is>
          <t>(M)*sec</t>
        </is>
      </c>
      <c r="L190" t="inlineStr">
        <is>
          <t>10</t>
        </is>
      </c>
      <c r="M190" t="inlineStr">
        <is>
          <t>19</t>
        </is>
      </c>
      <c r="N190" t="inlineStr">
        <is>
          <t>30</t>
        </is>
      </c>
      <c r="O190" t="inlineStr">
        <is>
          <t>7 / sec</t>
        </is>
      </c>
    </row>
    <row r="191">
      <c r="A191" t="inlineStr">
        <is>
          <t>spruchmagie_hellsicht_7_blick_in_die_zukunft</t>
        </is>
      </c>
      <c r="B191" t="inlineStr">
        <is>
          <t>24</t>
        </is>
      </c>
      <c r="C191" t="inlineStr">
        <is>
          <t>Keine Gegenprobe möglich.</t>
        </is>
      </c>
      <c r="D191" t="inlineStr">
        <is>
          <t>Selbst</t>
        </is>
      </c>
      <c r="E191" t="inlineStr">
        <is>
          <t>Selbst</t>
        </is>
      </c>
      <c r="F191" t="inlineStr">
        <is>
          <t>Aura</t>
        </is>
      </c>
      <c r="G191" t="inlineStr">
        <is>
          <t>Anhaltend</t>
        </is>
      </c>
      <c r="H191" t="inlineStr">
        <is>
          <t>3.5</t>
        </is>
      </c>
      <c r="I191" t="inlineStr">
        <is>
          <t>3</t>
        </is>
      </c>
      <c r="J191" t="inlineStr">
        <is>
          <t>sofort</t>
        </is>
      </c>
      <c r="K191" t="inlineStr">
        <is>
          <t>Magie*sec</t>
        </is>
      </c>
      <c r="L191" t="inlineStr">
        <is>
          <t>11</t>
        </is>
      </c>
      <c r="M191" t="inlineStr">
        <is>
          <t>20</t>
        </is>
      </c>
      <c r="N191" t="inlineStr">
        <is>
          <t>32</t>
        </is>
      </c>
      <c r="O191" t="inlineStr">
        <is>
          <t>15 / sec</t>
        </is>
      </c>
    </row>
    <row r="192">
      <c r="A192" t="inlineStr">
        <is>
          <t>spruchmagie_illusion_1_licht</t>
        </is>
      </c>
      <c r="B192" t="inlineStr">
        <is>
          <t>12</t>
        </is>
      </c>
      <c r="C192" t="inlineStr">
        <is>
          <t>Keine Gegenprobe möglich.</t>
        </is>
      </c>
      <c r="D192" t="inlineStr">
        <is>
          <t>Berührung</t>
        </is>
      </c>
      <c r="E192" t="inlineStr">
        <is>
          <t>Gegenstand</t>
        </is>
      </c>
      <c r="F192" t="inlineStr">
        <is>
          <t>Aura</t>
        </is>
      </c>
      <c r="G192" t="inlineStr">
        <is>
          <t>Anhaltend</t>
        </is>
      </c>
      <c r="H192" t="inlineStr">
        <is>
          <t>0.5</t>
        </is>
      </c>
      <c r="I192" t="inlineStr">
        <is>
          <t>15</t>
        </is>
      </c>
      <c r="J192" t="inlineStr">
        <is>
          <t>sofort</t>
        </is>
      </c>
      <c r="K192" t="inlineStr">
        <is>
          <t>(M)*min</t>
        </is>
      </c>
      <c r="L192" t="inlineStr">
        <is>
          <t>2</t>
        </is>
      </c>
      <c r="M192" t="inlineStr">
        <is>
          <t>6</t>
        </is>
      </c>
      <c r="N192" t="inlineStr">
        <is>
          <t>12</t>
        </is>
      </c>
      <c r="O192" t="inlineStr">
        <is>
          <t>10</t>
        </is>
      </c>
    </row>
    <row r="193">
      <c r="A193" t="inlineStr">
        <is>
          <t>spruchmagie_illusion_1_magische_schriftzeichen</t>
        </is>
      </c>
      <c r="B193" t="inlineStr">
        <is>
          <t>12</t>
        </is>
      </c>
      <c r="C193" t="inlineStr">
        <is>
          <t>Keine Gegenprobe möglich.</t>
        </is>
      </c>
      <c r="D193" t="inlineStr">
        <is>
          <t>(M)*5m</t>
        </is>
      </c>
      <c r="E193" t="inlineStr">
        <is>
          <t>Punkt im Raum</t>
        </is>
      </c>
      <c r="F193" t="inlineStr">
        <is>
          <t>Wand</t>
        </is>
      </c>
      <c r="G193" t="inlineStr">
        <is>
          <t>Einmalig</t>
        </is>
      </c>
      <c r="H193" t="inlineStr">
        <is>
          <t>/</t>
        </is>
      </c>
      <c r="I193" t="inlineStr">
        <is>
          <t>3</t>
        </is>
      </c>
      <c r="J193" t="inlineStr">
        <is>
          <t>5sec</t>
        </is>
      </c>
      <c r="K193" t="inlineStr">
        <is>
          <t>Magie*min</t>
        </is>
      </c>
      <c r="L193" t="inlineStr">
        <is>
          <t>2</t>
        </is>
      </c>
      <c r="M193" t="inlineStr">
        <is>
          <t>6</t>
        </is>
      </c>
      <c r="N193" t="inlineStr">
        <is>
          <t>12</t>
        </is>
      </c>
      <c r="O193" t="inlineStr">
        <is>
          <t>(Fläche in m²) * 2</t>
        </is>
      </c>
    </row>
    <row r="194">
      <c r="A194" t="inlineStr">
        <is>
          <t>spruchmagie_illusion_1_magische_verkleidung</t>
        </is>
      </c>
      <c r="B194" t="inlineStr">
        <is>
          <t>12</t>
        </is>
      </c>
      <c r="C194" t="inlineStr">
        <is>
          <t>Keine Gegenprobe möglich.</t>
        </is>
      </c>
      <c r="D194" t="inlineStr">
        <is>
          <t>Berührung</t>
        </is>
      </c>
      <c r="E194" t="inlineStr">
        <is>
          <t>Aura</t>
        </is>
      </c>
      <c r="F194" t="inlineStr">
        <is>
          <t>Aura</t>
        </is>
      </c>
      <c r="G194" t="inlineStr">
        <is>
          <t>Einmalig</t>
        </is>
      </c>
      <c r="H194" t="inlineStr">
        <is>
          <t>/</t>
        </is>
      </c>
      <c r="I194" t="inlineStr">
        <is>
          <t>30</t>
        </is>
      </c>
      <c r="J194" t="inlineStr">
        <is>
          <t>30sec</t>
        </is>
      </c>
      <c r="K194" t="inlineStr">
        <is>
          <t>permanent</t>
        </is>
      </c>
      <c r="L194" t="inlineStr">
        <is>
          <t>2</t>
        </is>
      </c>
      <c r="M194" t="inlineStr">
        <is>
          <t>6</t>
        </is>
      </c>
      <c r="N194" t="inlineStr">
        <is>
          <t>12</t>
        </is>
      </c>
      <c r="O194" t="inlineStr">
        <is>
          <t>10</t>
        </is>
      </c>
    </row>
    <row r="195">
      <c r="A195" t="inlineStr">
        <is>
          <t>spruchmagie_illusion_2_geraeuschillusion</t>
        </is>
      </c>
      <c r="B195" t="inlineStr">
        <is>
          <t>14</t>
        </is>
      </c>
      <c r="C195" t="inlineStr">
        <is>
          <t>Keine Gegenprobe möglich.</t>
        </is>
      </c>
      <c r="D195" t="inlineStr">
        <is>
          <t>(M)*3m</t>
        </is>
      </c>
      <c r="E195" t="inlineStr">
        <is>
          <t>Punkt im Raum</t>
        </is>
      </c>
      <c r="F195" t="inlineStr">
        <is>
          <t>Aura</t>
        </is>
      </c>
      <c r="G195" t="inlineStr">
        <is>
          <t>Bipolar</t>
        </is>
      </c>
      <c r="H195" t="inlineStr">
        <is>
          <t>2</t>
        </is>
      </c>
      <c r="I195" t="inlineStr">
        <is>
          <t>6</t>
        </is>
      </c>
      <c r="J195" t="inlineStr">
        <is>
          <t>Sofort</t>
        </is>
      </c>
      <c r="K195" t="inlineStr">
        <is>
          <t>(M)*sec</t>
        </is>
      </c>
      <c r="L195" t="inlineStr">
        <is>
          <t>4</t>
        </is>
      </c>
      <c r="M195" t="inlineStr">
        <is>
          <t>9</t>
        </is>
      </c>
      <c r="N195" t="inlineStr">
        <is>
          <t>16</t>
        </is>
      </c>
      <c r="O195" t="inlineStr">
        <is>
          <t>4 / sec</t>
        </is>
      </c>
    </row>
    <row r="196">
      <c r="A196" t="inlineStr">
        <is>
          <t>spruchmagie_illusion_2_stimme_veraendern</t>
        </is>
      </c>
      <c r="B196" t="inlineStr">
        <is>
          <t>14</t>
        </is>
      </c>
      <c r="C196" t="inlineStr">
        <is>
          <t>Keine Gegenprobe möglich.</t>
        </is>
      </c>
      <c r="D196" t="inlineStr">
        <is>
          <t>Berührung</t>
        </is>
      </c>
      <c r="E196" t="inlineStr">
        <is>
          <t>Aura</t>
        </is>
      </c>
      <c r="F196" t="inlineStr">
        <is>
          <t>Aura</t>
        </is>
      </c>
      <c r="G196" t="inlineStr">
        <is>
          <t>Anhaltend</t>
        </is>
      </c>
      <c r="H196" t="inlineStr">
        <is>
          <t>1</t>
        </is>
      </c>
      <c r="I196" t="inlineStr">
        <is>
          <t>15</t>
        </is>
      </c>
      <c r="J196" t="inlineStr">
        <is>
          <t>5sec</t>
        </is>
      </c>
      <c r="K196" t="inlineStr">
        <is>
          <t>Magie*2min</t>
        </is>
      </c>
      <c r="L196" t="inlineStr">
        <is>
          <t>4</t>
        </is>
      </c>
      <c r="M196" t="inlineStr">
        <is>
          <t>9</t>
        </is>
      </c>
      <c r="N196" t="inlineStr">
        <is>
          <t>16</t>
        </is>
      </c>
      <c r="O196" t="inlineStr">
        <is>
          <t>7 + 1 / min</t>
        </is>
      </c>
    </row>
    <row r="197">
      <c r="A197" t="inlineStr">
        <is>
          <t>spruchmagie_illusion_2_nebelwand</t>
        </is>
      </c>
      <c r="B197" t="inlineStr">
        <is>
          <t>14</t>
        </is>
      </c>
      <c r="C197" t="inlineStr">
        <is>
          <t>Keine Gegenprobe möglich.</t>
        </is>
      </c>
      <c r="D197" t="inlineStr">
        <is>
          <t>Magie*m</t>
        </is>
      </c>
      <c r="E197" t="inlineStr">
        <is>
          <t>Punkt im Raum</t>
        </is>
      </c>
      <c r="F197" t="inlineStr">
        <is>
          <t>Wand</t>
        </is>
      </c>
      <c r="G197" t="inlineStr">
        <is>
          <t>Einmalig</t>
        </is>
      </c>
      <c r="H197" t="inlineStr">
        <is>
          <t>/</t>
        </is>
      </c>
      <c r="I197" t="inlineStr">
        <is>
          <t>3</t>
        </is>
      </c>
      <c r="J197" t="inlineStr">
        <is>
          <t>Sofort</t>
        </is>
      </c>
      <c r="K197" t="inlineStr">
        <is>
          <t>Permanent</t>
        </is>
      </c>
      <c r="L197" t="inlineStr">
        <is>
          <t>4</t>
        </is>
      </c>
      <c r="M197" t="inlineStr">
        <is>
          <t>9</t>
        </is>
      </c>
      <c r="N197" t="inlineStr">
        <is>
          <t>16</t>
        </is>
      </c>
      <c r="O197" t="inlineStr">
        <is>
          <t>5</t>
        </is>
      </c>
    </row>
    <row r="198">
      <c r="A198" t="inlineStr">
        <is>
          <t>spruchmagie_illusion_2_zweites_gesicht</t>
        </is>
      </c>
      <c r="B198" t="inlineStr">
        <is>
          <t>14</t>
        </is>
      </c>
      <c r="C198" t="inlineStr">
        <is>
          <t>Keine Gegenprobe möglich.</t>
        </is>
      </c>
      <c r="D198" t="inlineStr">
        <is>
          <t>Selbst</t>
        </is>
      </c>
      <c r="E198" t="inlineStr">
        <is>
          <t>Selbst</t>
        </is>
      </c>
      <c r="F198" t="inlineStr">
        <is>
          <t>Aura</t>
        </is>
      </c>
      <c r="G198" t="inlineStr">
        <is>
          <t>Anhaltend</t>
        </is>
      </c>
      <c r="H198" t="inlineStr">
        <is>
          <t>1</t>
        </is>
      </c>
      <c r="I198" t="inlineStr">
        <is>
          <t>21</t>
        </is>
      </c>
      <c r="J198" t="inlineStr">
        <is>
          <t>4sec</t>
        </is>
      </c>
      <c r="K198" t="inlineStr">
        <is>
          <t>(M)*min</t>
        </is>
      </c>
      <c r="L198" t="inlineStr">
        <is>
          <t>4</t>
        </is>
      </c>
      <c r="M198" t="inlineStr">
        <is>
          <t>9</t>
        </is>
      </c>
      <c r="N198" t="inlineStr">
        <is>
          <t>16</t>
        </is>
      </c>
      <c r="O198" t="inlineStr">
        <is>
          <t>22</t>
        </is>
      </c>
    </row>
    <row r="199">
      <c r="A199" t="inlineStr">
        <is>
          <t>spruchmagie_illusion_3_durchsichtiger_gegenstand</t>
        </is>
      </c>
      <c r="B199" t="inlineStr">
        <is>
          <t>16</t>
        </is>
      </c>
      <c r="C199" t="inlineStr">
        <is>
          <t>Keine Gegenprobe möglich.</t>
        </is>
      </c>
      <c r="D199" t="inlineStr">
        <is>
          <t>Berührung</t>
        </is>
      </c>
      <c r="E199" t="inlineStr">
        <is>
          <t>Gegenstand</t>
        </is>
      </c>
      <c r="F199" t="inlineStr">
        <is>
          <t>Aura</t>
        </is>
      </c>
      <c r="G199" t="inlineStr">
        <is>
          <t>Anhaltend</t>
        </is>
      </c>
      <c r="H199" t="inlineStr">
        <is>
          <t>1.5</t>
        </is>
      </c>
      <c r="I199" t="inlineStr">
        <is>
          <t>12</t>
        </is>
      </c>
      <c r="J199" t="inlineStr">
        <is>
          <t>Sofort</t>
        </is>
      </c>
      <c r="K199" t="inlineStr">
        <is>
          <t>(M)*h</t>
        </is>
      </c>
      <c r="L199" t="inlineStr">
        <is>
          <t>7</t>
        </is>
      </c>
      <c r="M199" t="inlineStr">
        <is>
          <t>13</t>
        </is>
      </c>
      <c r="N199" t="inlineStr">
        <is>
          <t>21</t>
        </is>
      </c>
      <c r="O199" t="inlineStr">
        <is>
          <t>9 + 4 / h</t>
        </is>
      </c>
    </row>
    <row r="200">
      <c r="A200" t="inlineStr">
        <is>
          <t>spruchmagie_illusion_3_trugbild_der_haesslichkeit</t>
        </is>
      </c>
      <c r="B200" t="inlineStr">
        <is>
          <t>16</t>
        </is>
      </c>
      <c r="C200" t="inlineStr">
        <is>
          <t>Glücks-Probe, um der Wirkung zu entgehen.</t>
        </is>
      </c>
      <c r="D200" t="inlineStr">
        <is>
          <t>(M)*m</t>
        </is>
      </c>
      <c r="E200" t="inlineStr">
        <is>
          <t>Aura</t>
        </is>
      </c>
      <c r="F200" t="inlineStr">
        <is>
          <t>Blitz</t>
        </is>
      </c>
      <c r="G200" t="inlineStr">
        <is>
          <t>Einmalig</t>
        </is>
      </c>
      <c r="H200" t="inlineStr">
        <is>
          <t>/</t>
        </is>
      </c>
      <c r="I200" t="inlineStr">
        <is>
          <t>12</t>
        </is>
      </c>
      <c r="J200" t="inlineStr">
        <is>
          <t>Sofort</t>
        </is>
      </c>
      <c r="K200" t="inlineStr">
        <is>
          <t>(M)*min</t>
        </is>
      </c>
      <c r="L200" t="inlineStr">
        <is>
          <t>7</t>
        </is>
      </c>
      <c r="M200" t="inlineStr">
        <is>
          <t>13</t>
        </is>
      </c>
      <c r="N200" t="inlineStr">
        <is>
          <t>21</t>
        </is>
      </c>
      <c r="O200" t="inlineStr">
        <is>
          <t>8</t>
        </is>
      </c>
    </row>
    <row r="201">
      <c r="A201" t="inlineStr">
        <is>
          <t>spruchmagie_illusion_3_unbewegte_illusion</t>
        </is>
      </c>
      <c r="B201" t="inlineStr">
        <is>
          <t>16</t>
        </is>
      </c>
      <c r="C201" t="inlineStr">
        <is>
          <t>Keine Gegenprobe möglich.</t>
        </is>
      </c>
      <c r="D201" t="inlineStr">
        <is>
          <t>Magie*m</t>
        </is>
      </c>
      <c r="E201" t="inlineStr">
        <is>
          <t>Punkt im Raum</t>
        </is>
      </c>
      <c r="F201" t="inlineStr">
        <is>
          <t>Aura</t>
        </is>
      </c>
      <c r="G201" t="inlineStr">
        <is>
          <t>Anhaltend</t>
        </is>
      </c>
      <c r="H201" t="inlineStr">
        <is>
          <t>1.5</t>
        </is>
      </c>
      <c r="I201" t="inlineStr">
        <is>
          <t>15</t>
        </is>
      </c>
      <c r="J201" t="inlineStr">
        <is>
          <t>Sofort</t>
        </is>
      </c>
      <c r="K201" t="inlineStr">
        <is>
          <t>(M)*min</t>
        </is>
      </c>
      <c r="L201" t="inlineStr">
        <is>
          <t>7</t>
        </is>
      </c>
      <c r="M201" t="inlineStr">
        <is>
          <t>13</t>
        </is>
      </c>
      <c r="N201" t="inlineStr">
        <is>
          <t>21</t>
        </is>
      </c>
      <c r="O201" t="inlineStr">
        <is>
          <t>5 + 5 / min</t>
        </is>
      </c>
    </row>
    <row r="202">
      <c r="A202" t="inlineStr">
        <is>
          <t>spruchmagie_illusion_4_unsichtbarer_gegenstand</t>
        </is>
      </c>
      <c r="B202" t="inlineStr">
        <is>
          <t>18</t>
        </is>
      </c>
      <c r="C202" t="inlineStr">
        <is>
          <t>Keine Gegenprobe möglich.</t>
        </is>
      </c>
      <c r="D202" t="inlineStr">
        <is>
          <t>Berührung</t>
        </is>
      </c>
      <c r="E202" t="inlineStr">
        <is>
          <t>Gegenstand</t>
        </is>
      </c>
      <c r="F202" t="inlineStr">
        <is>
          <t>Aura</t>
        </is>
      </c>
      <c r="G202" t="inlineStr">
        <is>
          <t>Einmalig</t>
        </is>
      </c>
      <c r="H202" t="inlineStr">
        <is>
          <t>/</t>
        </is>
      </c>
      <c r="I202" t="inlineStr">
        <is>
          <t>9</t>
        </is>
      </c>
      <c r="J202" t="inlineStr">
        <is>
          <t>Sofort</t>
        </is>
      </c>
      <c r="K202" t="inlineStr">
        <is>
          <t>(M)*h</t>
        </is>
      </c>
      <c r="L202" t="inlineStr">
        <is>
          <t>8</t>
        </is>
      </c>
      <c r="M202" t="inlineStr">
        <is>
          <t>15</t>
        </is>
      </c>
      <c r="N202" t="inlineStr">
        <is>
          <t>24</t>
        </is>
      </c>
      <c r="O202" t="inlineStr">
        <is>
          <t>18</t>
        </is>
      </c>
    </row>
    <row r="203">
      <c r="A203" t="inlineStr">
        <is>
          <t>spruchmagie_illusion_4_grosser_funkentanz</t>
        </is>
      </c>
      <c r="B203" t="inlineStr">
        <is>
          <t>18</t>
        </is>
      </c>
      <c r="C203" t="inlineStr">
        <is>
          <t>Keine Gegenprobe möglich.</t>
        </is>
      </c>
      <c r="D203" t="inlineStr">
        <is>
          <t>Magie*2m</t>
        </is>
      </c>
      <c r="E203" t="inlineStr">
        <is>
          <t>Aura</t>
        </is>
      </c>
      <c r="F203" t="inlineStr">
        <is>
          <t>Aura</t>
        </is>
      </c>
      <c r="G203" t="inlineStr">
        <is>
          <t>Einmalig</t>
        </is>
      </c>
      <c r="H203" t="inlineStr">
        <is>
          <t>/</t>
        </is>
      </c>
      <c r="I203" t="inlineStr">
        <is>
          <t>9</t>
        </is>
      </c>
      <c r="J203" t="inlineStr">
        <is>
          <t>sofort</t>
        </is>
      </c>
      <c r="K203" t="inlineStr">
        <is>
          <t>(M)sec</t>
        </is>
      </c>
      <c r="L203" t="inlineStr">
        <is>
          <t>8</t>
        </is>
      </c>
      <c r="M203" t="inlineStr">
        <is>
          <t>15</t>
        </is>
      </c>
      <c r="N203" t="inlineStr">
        <is>
          <t>24</t>
        </is>
      </c>
      <c r="O203" t="inlineStr">
        <is>
          <t>20</t>
        </is>
      </c>
    </row>
    <row r="204">
      <c r="A204" t="inlineStr">
        <is>
          <t>spruchmagie_illusion_5_bewegte_illusion</t>
        </is>
      </c>
      <c r="B204" t="inlineStr">
        <is>
          <t>20</t>
        </is>
      </c>
      <c r="C204" t="inlineStr">
        <is>
          <t>Keine Gegenprobe möglich.</t>
        </is>
      </c>
      <c r="D204" t="inlineStr">
        <is>
          <t>(M)*m</t>
        </is>
      </c>
      <c r="E204" t="inlineStr">
        <is>
          <t>Punkt im Raum</t>
        </is>
      </c>
      <c r="F204" t="inlineStr">
        <is>
          <t>Aura</t>
        </is>
      </c>
      <c r="G204" t="inlineStr">
        <is>
          <t>Bipolar</t>
        </is>
      </c>
      <c r="H204" t="inlineStr">
        <is>
          <t>5</t>
        </is>
      </c>
      <c r="I204" t="inlineStr">
        <is>
          <t>6</t>
        </is>
      </c>
      <c r="J204" t="inlineStr">
        <is>
          <t>1sec</t>
        </is>
      </c>
      <c r="K204" t="inlineStr">
        <is>
          <t>(M)*min</t>
        </is>
      </c>
      <c r="L204" t="inlineStr">
        <is>
          <t>9</t>
        </is>
      </c>
      <c r="M204" t="inlineStr">
        <is>
          <t>17</t>
        </is>
      </c>
      <c r="N204" t="inlineStr">
        <is>
          <t>27</t>
        </is>
      </c>
      <c r="O204" t="inlineStr">
        <is>
          <t>8 + 4 / min</t>
        </is>
      </c>
    </row>
    <row r="205">
      <c r="A205" t="inlineStr">
        <is>
          <t>spruchmagie_illusion_5_vollsensorische_illusion</t>
        </is>
      </c>
      <c r="B205" t="inlineStr">
        <is>
          <t>20</t>
        </is>
      </c>
      <c r="C205" t="inlineStr">
        <is>
          <t>Keine Gegenprobe möglich.</t>
        </is>
      </c>
      <c r="D205" t="inlineStr">
        <is>
          <t>Magie*m</t>
        </is>
      </c>
      <c r="E205" t="inlineStr">
        <is>
          <t>Punkt im Raum</t>
        </is>
      </c>
      <c r="F205" t="inlineStr">
        <is>
          <t>Aura</t>
        </is>
      </c>
      <c r="G205" t="inlineStr">
        <is>
          <t>Einmalig</t>
        </is>
      </c>
      <c r="H205" t="inlineStr">
        <is>
          <t>/</t>
        </is>
      </c>
      <c r="I205" t="inlineStr">
        <is>
          <t>21</t>
        </is>
      </c>
      <c r="J205" t="inlineStr">
        <is>
          <t>1sec</t>
        </is>
      </c>
      <c r="K205" t="inlineStr">
        <is>
          <t>(M)*min</t>
        </is>
      </c>
      <c r="L205" t="inlineStr">
        <is>
          <t>9</t>
        </is>
      </c>
      <c r="M205" t="inlineStr">
        <is>
          <t>17</t>
        </is>
      </c>
      <c r="N205" t="inlineStr">
        <is>
          <t>27</t>
        </is>
      </c>
      <c r="O205" t="inlineStr">
        <is>
          <t>10 / 5 l</t>
        </is>
      </c>
    </row>
    <row r="206">
      <c r="A206" t="inlineStr">
        <is>
          <t>spruchmagie_luftbeschwoerung_1_sturmfaust</t>
        </is>
      </c>
      <c r="B206" t="inlineStr">
        <is>
          <t>10</t>
        </is>
      </c>
      <c r="C206" t="inlineStr">
        <is>
          <t>Keine Gegenprobe möglich.</t>
        </is>
      </c>
      <c r="D206" t="inlineStr">
        <is>
          <t>Selbst</t>
        </is>
      </c>
      <c r="E206" t="inlineStr">
        <is>
          <t>Selbst</t>
        </is>
      </c>
      <c r="F206" t="inlineStr">
        <is>
          <t>Aura</t>
        </is>
      </c>
      <c r="G206" t="inlineStr">
        <is>
          <t>Anhaltend</t>
        </is>
      </c>
      <c r="H206" t="inlineStr">
        <is>
          <t>0.5</t>
        </is>
      </c>
      <c r="I206" t="inlineStr">
        <is>
          <t>2</t>
        </is>
      </c>
      <c r="J206" t="inlineStr">
        <is>
          <t>sofort</t>
        </is>
      </c>
      <c r="K206" t="inlineStr">
        <is>
          <t>(M)*3sec</t>
        </is>
      </c>
      <c r="L206" t="inlineStr">
        <is>
          <t>2</t>
        </is>
      </c>
      <c r="M206" t="inlineStr">
        <is>
          <t>6</t>
        </is>
      </c>
      <c r="N206" t="inlineStr">
        <is>
          <t>12</t>
        </is>
      </c>
      <c r="O206" t="inlineStr">
        <is>
          <t>6</t>
        </is>
      </c>
    </row>
    <row r="207">
      <c r="A207" t="inlineStr">
        <is>
          <t>spruchmagie_luftbeschwoerung_1_sturmball</t>
        </is>
      </c>
      <c r="B207" t="inlineStr">
        <is>
          <t>11</t>
        </is>
      </c>
      <c r="C207" t="inlineStr">
        <is>
          <t>Bis {Magie}m: Glücks-Probe, ab {Magie}m: Ausweichen, ab {Magie}*2m: mit einem Schild Parieren, um der Wirkung zu entgehen.</t>
        </is>
      </c>
      <c r="D207" t="inlineStr">
        <is>
          <t>(M)*m</t>
        </is>
      </c>
      <c r="E207" t="inlineStr">
        <is>
          <t>Aura</t>
        </is>
      </c>
      <c r="F207" t="inlineStr">
        <is>
          <t>Ball</t>
        </is>
      </c>
      <c r="G207" t="inlineStr">
        <is>
          <t>Einmalig</t>
        </is>
      </c>
      <c r="H207" t="inlineStr">
        <is>
          <t>/</t>
        </is>
      </c>
      <c r="I207" t="inlineStr">
        <is>
          <t>6</t>
        </is>
      </c>
      <c r="J207" t="inlineStr">
        <is>
          <t>sofort</t>
        </is>
      </c>
      <c r="K207" t="inlineStr">
        <is>
          <t>permanent</t>
        </is>
      </c>
      <c r="L207" t="inlineStr">
        <is>
          <t>2</t>
        </is>
      </c>
      <c r="M207" t="inlineStr">
        <is>
          <t>6</t>
        </is>
      </c>
      <c r="N207" t="inlineStr">
        <is>
          <t>12</t>
        </is>
      </c>
      <c r="O207" t="inlineStr">
        <is>
          <t>4</t>
        </is>
      </c>
    </row>
    <row r="208">
      <c r="A208" t="inlineStr">
        <is>
          <t>spruchmagie_luftbeschwoerung_1_sturmwand</t>
        </is>
      </c>
      <c r="B208" t="inlineStr">
        <is>
          <t>12</t>
        </is>
      </c>
      <c r="C208" t="inlineStr">
        <is>
          <t>Keine Gegenprobe möglich.</t>
        </is>
      </c>
      <c r="D208" t="inlineStr">
        <is>
          <t>Magie/2m</t>
        </is>
      </c>
      <c r="E208" t="inlineStr">
        <is>
          <t>Punkt im Raum</t>
        </is>
      </c>
      <c r="F208" t="inlineStr">
        <is>
          <t>Wand</t>
        </is>
      </c>
      <c r="G208" t="inlineStr">
        <is>
          <t>Anhaltend</t>
        </is>
      </c>
      <c r="H208" t="inlineStr">
        <is>
          <t>0.5</t>
        </is>
      </c>
      <c r="I208" t="inlineStr">
        <is>
          <t>6</t>
        </is>
      </c>
      <c r="J208" t="inlineStr">
        <is>
          <t>3sec</t>
        </is>
      </c>
      <c r="K208" t="inlineStr">
        <is>
          <t>Magie*min</t>
        </is>
      </c>
      <c r="L208" t="inlineStr">
        <is>
          <t>2</t>
        </is>
      </c>
      <c r="M208" t="inlineStr">
        <is>
          <t>6</t>
        </is>
      </c>
      <c r="N208" t="inlineStr">
        <is>
          <t>12</t>
        </is>
      </c>
      <c r="O208" t="inlineStr">
        <is>
          <t>10 + 1 / 6 sec</t>
        </is>
      </c>
    </row>
    <row r="209">
      <c r="A209" t="inlineStr">
        <is>
          <t>spruchmagie_luftbeschwoerung_2_sturmpfeil</t>
        </is>
      </c>
      <c r="B209" t="inlineStr">
        <is>
          <t>13</t>
        </is>
      </c>
      <c r="C209" t="inlineStr">
        <is>
          <t>Bis {M}m: Glücks-Probe, bis {M}*2m: AW/2, danach AW oder mit einem Schild parieren, um der Wirkung zu entgehen.</t>
        </is>
      </c>
      <c r="D209" t="inlineStr">
        <is>
          <t>(M)*2m</t>
        </is>
      </c>
      <c r="E209" t="inlineStr">
        <is>
          <t>Aura</t>
        </is>
      </c>
      <c r="F209" t="inlineStr">
        <is>
          <t>Bolzen</t>
        </is>
      </c>
      <c r="G209" t="inlineStr">
        <is>
          <t>Einmalig</t>
        </is>
      </c>
      <c r="H209" t="inlineStr">
        <is>
          <t>/</t>
        </is>
      </c>
      <c r="I209" t="inlineStr">
        <is>
          <t>6</t>
        </is>
      </c>
      <c r="J209" t="inlineStr">
        <is>
          <t>sofort</t>
        </is>
      </c>
      <c r="K209" t="inlineStr">
        <is>
          <t>permanent</t>
        </is>
      </c>
      <c r="L209" t="inlineStr">
        <is>
          <t>4</t>
        </is>
      </c>
      <c r="M209" t="inlineStr">
        <is>
          <t>9</t>
        </is>
      </c>
      <c r="N209" t="inlineStr">
        <is>
          <t>16</t>
        </is>
      </c>
      <c r="O209" t="inlineStr">
        <is>
          <t>6</t>
        </is>
      </c>
    </row>
    <row r="210">
      <c r="A210" t="inlineStr">
        <is>
          <t>spruchmagie_luftbeschwoerung_2_sturmaura</t>
        </is>
      </c>
      <c r="B210" t="inlineStr">
        <is>
          <t>12</t>
        </is>
      </c>
      <c r="C210" t="inlineStr">
        <is>
          <t>Keine Gegenprobe möglich.</t>
        </is>
      </c>
      <c r="D210" t="inlineStr">
        <is>
          <t>Aura/3m</t>
        </is>
      </c>
      <c r="E210" t="inlineStr">
        <is>
          <t>Selbst</t>
        </is>
      </c>
      <c r="F210" t="inlineStr">
        <is>
          <t>Kugel</t>
        </is>
      </c>
      <c r="G210" t="inlineStr">
        <is>
          <t>Anhaltend</t>
        </is>
      </c>
      <c r="H210" t="inlineStr">
        <is>
          <t>1</t>
        </is>
      </c>
      <c r="I210" t="inlineStr">
        <is>
          <t>6</t>
        </is>
      </c>
      <c r="J210" t="inlineStr">
        <is>
          <t>sofort</t>
        </is>
      </c>
      <c r="K210" t="inlineStr">
        <is>
          <t>(M)*3sec</t>
        </is>
      </c>
      <c r="L210" t="inlineStr">
        <is>
          <t>4</t>
        </is>
      </c>
      <c r="M210" t="inlineStr">
        <is>
          <t>9</t>
        </is>
      </c>
      <c r="N210" t="inlineStr">
        <is>
          <t>16</t>
        </is>
      </c>
      <c r="O210" t="inlineStr">
        <is>
          <t>11 + 2 / sec</t>
        </is>
      </c>
    </row>
    <row r="211">
      <c r="A211" t="inlineStr">
        <is>
          <t>spruchmagie_luftbeschwoerung_2_sturmstrahl</t>
        </is>
      </c>
      <c r="B211" t="inlineStr">
        <is>
          <t>14</t>
        </is>
      </c>
      <c r="C211" t="inlineStr">
        <is>
          <t>Glücks-Probe, um der Wirkung zu entgehen.</t>
        </is>
      </c>
      <c r="D211" t="inlineStr">
        <is>
          <t>Magie*3m</t>
        </is>
      </c>
      <c r="E211" t="inlineStr">
        <is>
          <t>Punkt im Raum</t>
        </is>
      </c>
      <c r="F211" t="inlineStr">
        <is>
          <t>Strahl</t>
        </is>
      </c>
      <c r="G211" t="inlineStr">
        <is>
          <t>Anhaltend</t>
        </is>
      </c>
      <c r="H211" t="inlineStr">
        <is>
          <t>1</t>
        </is>
      </c>
      <c r="I211" t="inlineStr">
        <is>
          <t>6</t>
        </is>
      </c>
      <c r="J211" t="inlineStr">
        <is>
          <t>sofort</t>
        </is>
      </c>
      <c r="K211" t="inlineStr">
        <is>
          <t>Magie*sec</t>
        </is>
      </c>
      <c r="L211" t="inlineStr">
        <is>
          <t>4</t>
        </is>
      </c>
      <c r="M211" t="inlineStr">
        <is>
          <t>9</t>
        </is>
      </c>
      <c r="N211" t="inlineStr">
        <is>
          <t>16</t>
        </is>
      </c>
      <c r="O211" t="inlineStr">
        <is>
          <t>8 + 4 / sec</t>
        </is>
      </c>
    </row>
    <row r="212">
      <c r="A212" t="inlineStr">
        <is>
          <t>spruchmagie_luftbeschwoerung_3_grosse_sturmfaust</t>
        </is>
      </c>
      <c r="B212" t="inlineStr">
        <is>
          <t>14</t>
        </is>
      </c>
      <c r="C212" t="inlineStr">
        <is>
          <t>Keine Gegenprobe möglich.</t>
        </is>
      </c>
      <c r="D212" t="inlineStr">
        <is>
          <t>Selbst</t>
        </is>
      </c>
      <c r="E212" t="inlineStr">
        <is>
          <t>Selbst</t>
        </is>
      </c>
      <c r="F212" t="inlineStr">
        <is>
          <t>Aura</t>
        </is>
      </c>
      <c r="G212" t="inlineStr">
        <is>
          <t>Anhaltend</t>
        </is>
      </c>
      <c r="H212" t="inlineStr">
        <is>
          <t>1.5</t>
        </is>
      </c>
      <c r="I212" t="inlineStr">
        <is>
          <t>2</t>
        </is>
      </c>
      <c r="J212" t="inlineStr">
        <is>
          <t>sofort</t>
        </is>
      </c>
      <c r="K212" t="inlineStr">
        <is>
          <t>(M)*3sec</t>
        </is>
      </c>
      <c r="L212" t="inlineStr">
        <is>
          <t>7</t>
        </is>
      </c>
      <c r="M212" t="inlineStr">
        <is>
          <t>13</t>
        </is>
      </c>
      <c r="N212" t="inlineStr">
        <is>
          <t>21</t>
        </is>
      </c>
      <c r="O212" t="inlineStr">
        <is>
          <t>18</t>
        </is>
      </c>
    </row>
    <row r="213">
      <c r="A213" t="inlineStr">
        <is>
          <t>spruchmagie_luftbeschwoerung_3_sturmball_salve</t>
        </is>
      </c>
      <c r="B213" t="inlineStr">
        <is>
          <t>16</t>
        </is>
      </c>
      <c r="C213" t="inlineStr">
        <is>
          <t>Bis {Magie}m: Glücks-Probe, ab {Magie}m: Ausweichen, ab {Magie}*2m: mit einem Schild Parieren, um der Wirkung zu entgehen.</t>
        </is>
      </c>
      <c r="D213" t="inlineStr">
        <is>
          <t>(M)*m</t>
        </is>
      </c>
      <c r="E213" t="inlineStr">
        <is>
          <t>Aura</t>
        </is>
      </c>
      <c r="F213" t="inlineStr">
        <is>
          <t>Ball</t>
        </is>
      </c>
      <c r="G213" t="inlineStr">
        <is>
          <t>Einmalig</t>
        </is>
      </c>
      <c r="H213" t="inlineStr">
        <is>
          <t>/</t>
        </is>
      </c>
      <c r="I213" t="inlineStr">
        <is>
          <t>9</t>
        </is>
      </c>
      <c r="J213" t="inlineStr">
        <is>
          <t>sofort</t>
        </is>
      </c>
      <c r="K213" t="inlineStr">
        <is>
          <t>permanent</t>
        </is>
      </c>
      <c r="L213" t="inlineStr">
        <is>
          <t>7</t>
        </is>
      </c>
      <c r="M213" t="inlineStr">
        <is>
          <t>13</t>
        </is>
      </c>
      <c r="N213" t="inlineStr">
        <is>
          <t>21</t>
        </is>
      </c>
      <c r="O213" t="inlineStr">
        <is>
          <t>4/Ball</t>
        </is>
      </c>
    </row>
    <row r="214">
      <c r="A214" t="inlineStr">
        <is>
          <t>spruchmagie_luftbeschwoerung_3_luft_klinge</t>
        </is>
      </c>
      <c r="B214" t="inlineStr">
        <is>
          <t>16</t>
        </is>
      </c>
      <c r="C214" t="inlineStr">
        <is>
          <t>Keine Gegenprobe möglich.</t>
        </is>
      </c>
      <c r="D214" t="inlineStr">
        <is>
          <t>Berührung</t>
        </is>
      </c>
      <c r="E214" t="inlineStr">
        <is>
          <t>Gegenstand</t>
        </is>
      </c>
      <c r="F214" t="inlineStr">
        <is>
          <t>Aura</t>
        </is>
      </c>
      <c r="G214" t="inlineStr">
        <is>
          <t>Anhaltend</t>
        </is>
      </c>
      <c r="H214" t="inlineStr">
        <is>
          <t>1.5</t>
        </is>
      </c>
      <c r="I214" t="inlineStr">
        <is>
          <t>8</t>
        </is>
      </c>
      <c r="J214" t="inlineStr">
        <is>
          <t>1sec</t>
        </is>
      </c>
      <c r="K214" t="inlineStr">
        <is>
          <t>(M)*min</t>
        </is>
      </c>
      <c r="L214" t="inlineStr">
        <is>
          <t>7</t>
        </is>
      </c>
      <c r="M214" t="inlineStr">
        <is>
          <t>13</t>
        </is>
      </c>
      <c r="N214" t="inlineStr">
        <is>
          <t>21</t>
        </is>
      </c>
      <c r="O214" t="inlineStr">
        <is>
          <t>26</t>
        </is>
      </c>
    </row>
    <row r="215">
      <c r="A215" t="inlineStr">
        <is>
          <t>spruchmagie_luftbeschwoerung_3_sturm_pfeil</t>
        </is>
      </c>
      <c r="B215" t="inlineStr">
        <is>
          <t>16</t>
        </is>
      </c>
      <c r="C215" t="inlineStr">
        <is>
          <t>Keine Gegenprobe möglich.</t>
        </is>
      </c>
      <c r="D215" t="inlineStr">
        <is>
          <t>Berührung</t>
        </is>
      </c>
      <c r="E215" t="inlineStr">
        <is>
          <t>Gegenstand</t>
        </is>
      </c>
      <c r="F215" t="inlineStr">
        <is>
          <t>Aura</t>
        </is>
      </c>
      <c r="G215" t="inlineStr">
        <is>
          <t>Einmalig</t>
        </is>
      </c>
      <c r="H215" t="inlineStr">
        <is>
          <t>/</t>
        </is>
      </c>
      <c r="I215" t="inlineStr">
        <is>
          <t>3</t>
        </is>
      </c>
      <c r="J215" t="inlineStr">
        <is>
          <t>sofort</t>
        </is>
      </c>
      <c r="K215" t="inlineStr">
        <is>
          <t>(M)*3sec</t>
        </is>
      </c>
      <c r="L215" t="inlineStr">
        <is>
          <t>7</t>
        </is>
      </c>
      <c r="M215" t="inlineStr">
        <is>
          <t>13</t>
        </is>
      </c>
      <c r="N215" t="inlineStr">
        <is>
          <t>21</t>
        </is>
      </c>
      <c r="O215" t="inlineStr">
        <is>
          <t>4</t>
        </is>
      </c>
    </row>
    <row r="216">
      <c r="A216" t="inlineStr">
        <is>
          <t>spruchmagie_luftbeschwoerung_3_sturmblitz</t>
        </is>
      </c>
      <c r="B216" t="inlineStr">
        <is>
          <t>15</t>
        </is>
      </c>
      <c r="C216" t="inlineStr">
        <is>
          <t>Glücks-Probe, um der Wirkung zu entgehen.</t>
        </is>
      </c>
      <c r="D216" t="inlineStr">
        <is>
          <t>(M)*4m</t>
        </is>
      </c>
      <c r="E216" t="inlineStr">
        <is>
          <t>Aura</t>
        </is>
      </c>
      <c r="F216" t="inlineStr">
        <is>
          <t>Blitz</t>
        </is>
      </c>
      <c r="G216" t="inlineStr">
        <is>
          <t>Bipolar</t>
        </is>
      </c>
      <c r="H216" t="inlineStr">
        <is>
          <t>3</t>
        </is>
      </c>
      <c r="I216" t="inlineStr">
        <is>
          <t>6</t>
        </is>
      </c>
      <c r="J216" t="inlineStr">
        <is>
          <t>sofort</t>
        </is>
      </c>
      <c r="K216" t="inlineStr">
        <is>
          <t>permanent</t>
        </is>
      </c>
      <c r="L216" t="inlineStr">
        <is>
          <t>7</t>
        </is>
      </c>
      <c r="M216" t="inlineStr">
        <is>
          <t>13</t>
        </is>
      </c>
      <c r="N216" t="inlineStr">
        <is>
          <t>21</t>
        </is>
      </c>
      <c r="O216" t="inlineStr">
        <is>
          <t>6</t>
        </is>
      </c>
    </row>
    <row r="217">
      <c r="A217" t="inlineStr">
        <is>
          <t>spruchmagie_luftbeschwoerung_4_grosser_sturmball</t>
        </is>
      </c>
      <c r="B217" t="inlineStr">
        <is>
          <t>17</t>
        </is>
      </c>
      <c r="C217" t="inlineStr">
        <is>
          <t>Bis {Magie}m: Glücks-Probe, ab {Magie}m: Ausweichen, ab {Magie}*2m: mit einem Schild Parieren, um der Wirkung zu entgehen.</t>
        </is>
      </c>
      <c r="D217" t="inlineStr">
        <is>
          <t>(M)*2m</t>
        </is>
      </c>
      <c r="E217" t="inlineStr">
        <is>
          <t>Aura</t>
        </is>
      </c>
      <c r="F217" t="inlineStr">
        <is>
          <t>Ball</t>
        </is>
      </c>
      <c r="G217" t="inlineStr">
        <is>
          <t>Einmalig</t>
        </is>
      </c>
      <c r="H217" t="inlineStr">
        <is>
          <t>/</t>
        </is>
      </c>
      <c r="I217" t="inlineStr">
        <is>
          <t>6</t>
        </is>
      </c>
      <c r="J217" t="inlineStr">
        <is>
          <t>sofort</t>
        </is>
      </c>
      <c r="K217" t="inlineStr">
        <is>
          <t>permanent</t>
        </is>
      </c>
      <c r="L217" t="inlineStr">
        <is>
          <t>8</t>
        </is>
      </c>
      <c r="M217" t="inlineStr">
        <is>
          <t>15</t>
        </is>
      </c>
      <c r="N217" t="inlineStr">
        <is>
          <t>24</t>
        </is>
      </c>
      <c r="O217" t="inlineStr">
        <is>
          <t>12</t>
        </is>
      </c>
    </row>
    <row r="218">
      <c r="A218" t="inlineStr">
        <is>
          <t>spruchmagie_luftbeschwoerung_4_sturmpfeil_salve</t>
        </is>
      </c>
      <c r="B218" t="inlineStr">
        <is>
          <t>18</t>
        </is>
      </c>
      <c r="C218" t="inlineStr">
        <is>
          <t>Bis {M}m: Glücks-Probe, bis {M}*2m: AW/2, danach AW oder mit einem Schild parieren, um der Wirkung zu entgehen.</t>
        </is>
      </c>
      <c r="D218" t="inlineStr">
        <is>
          <t>(M)*2m</t>
        </is>
      </c>
      <c r="E218" t="inlineStr">
        <is>
          <t>Aura</t>
        </is>
      </c>
      <c r="F218" t="inlineStr">
        <is>
          <t>Bolzen</t>
        </is>
      </c>
      <c r="G218" t="inlineStr">
        <is>
          <t>Einmalig</t>
        </is>
      </c>
      <c r="H218" t="inlineStr">
        <is>
          <t>/</t>
        </is>
      </c>
      <c r="I218" t="inlineStr">
        <is>
          <t>9</t>
        </is>
      </c>
      <c r="J218" t="inlineStr">
        <is>
          <t>sofort</t>
        </is>
      </c>
      <c r="K218" t="inlineStr">
        <is>
          <t>permanent</t>
        </is>
      </c>
      <c r="L218" t="inlineStr">
        <is>
          <t>8</t>
        </is>
      </c>
      <c r="M218" t="inlineStr">
        <is>
          <t>15</t>
        </is>
      </c>
      <c r="N218" t="inlineStr">
        <is>
          <t>24</t>
        </is>
      </c>
      <c r="O218" t="inlineStr">
        <is>
          <t>6/Bolzen</t>
        </is>
      </c>
    </row>
    <row r="219">
      <c r="A219" t="inlineStr">
        <is>
          <t>spruchmagie_luftbeschwoerung_4_grosse_sturmwand</t>
        </is>
      </c>
      <c r="B219" t="inlineStr">
        <is>
          <t>16</t>
        </is>
      </c>
      <c r="C219" t="inlineStr">
        <is>
          <t>Keine Gegenprobe möglich.</t>
        </is>
      </c>
      <c r="D219" t="inlineStr">
        <is>
          <t>Magie/2m</t>
        </is>
      </c>
      <c r="E219" t="inlineStr">
        <is>
          <t>Punkt im Raum</t>
        </is>
      </c>
      <c r="F219" t="inlineStr">
        <is>
          <t>Wand</t>
        </is>
      </c>
      <c r="G219" t="inlineStr">
        <is>
          <t>Anhaltend</t>
        </is>
      </c>
      <c r="H219" t="inlineStr">
        <is>
          <t>2</t>
        </is>
      </c>
      <c r="I219" t="inlineStr">
        <is>
          <t>6</t>
        </is>
      </c>
      <c r="J219" t="inlineStr">
        <is>
          <t>2sec</t>
        </is>
      </c>
      <c r="K219" t="inlineStr">
        <is>
          <t>Magie*min</t>
        </is>
      </c>
      <c r="L219" t="inlineStr">
        <is>
          <t>8</t>
        </is>
      </c>
      <c r="M219" t="inlineStr">
        <is>
          <t>15</t>
        </is>
      </c>
      <c r="N219" t="inlineStr">
        <is>
          <t>24</t>
        </is>
      </c>
      <c r="O219" t="inlineStr">
        <is>
          <t>20 + 1 / 3 sec</t>
        </is>
      </c>
    </row>
    <row r="220">
      <c r="A220" t="inlineStr">
        <is>
          <t>spruchmagie_luftbeschwoerung_5_grosse_sturmaura</t>
        </is>
      </c>
      <c r="B220" t="inlineStr">
        <is>
          <t>18</t>
        </is>
      </c>
      <c r="C220" t="inlineStr">
        <is>
          <t>Keine Gegenprobe möglich.</t>
        </is>
      </c>
      <c r="D220" t="inlineStr">
        <is>
          <t>Aura/3m</t>
        </is>
      </c>
      <c r="E220" t="inlineStr">
        <is>
          <t>Selbst</t>
        </is>
      </c>
      <c r="F220" t="inlineStr">
        <is>
          <t>Kugel</t>
        </is>
      </c>
      <c r="G220" t="inlineStr">
        <is>
          <t>Anhaltend</t>
        </is>
      </c>
      <c r="H220" t="inlineStr">
        <is>
          <t>2.5</t>
        </is>
      </c>
      <c r="I220" t="inlineStr">
        <is>
          <t>6</t>
        </is>
      </c>
      <c r="J220" t="inlineStr">
        <is>
          <t>sofort</t>
        </is>
      </c>
      <c r="K220" t="inlineStr">
        <is>
          <t>(M)*3sec</t>
        </is>
      </c>
      <c r="L220" t="inlineStr">
        <is>
          <t>9</t>
        </is>
      </c>
      <c r="M220" t="inlineStr">
        <is>
          <t>17</t>
        </is>
      </c>
      <c r="N220" t="inlineStr">
        <is>
          <t>27</t>
        </is>
      </c>
      <c r="O220" t="inlineStr">
        <is>
          <t>15 + 3 / sec</t>
        </is>
      </c>
    </row>
    <row r="221">
      <c r="A221" t="inlineStr">
        <is>
          <t>spruchmagie_luftbeschwoerung_5_tornado</t>
        </is>
      </c>
      <c r="B221" t="inlineStr">
        <is>
          <t>20</t>
        </is>
      </c>
      <c r="C221" t="inlineStr">
        <is>
          <t>Keine Gegenprobe möglich.</t>
        </is>
      </c>
      <c r="D221" t="inlineStr">
        <is>
          <t>(M)*m Radius</t>
        </is>
      </c>
      <c r="E221" t="inlineStr">
        <is>
          <t>Selbst</t>
        </is>
      </c>
      <c r="F221" t="inlineStr">
        <is>
          <t>Kugel</t>
        </is>
      </c>
      <c r="G221" t="inlineStr">
        <is>
          <t>Einmalig</t>
        </is>
      </c>
      <c r="H221" t="inlineStr">
        <is>
          <t>/</t>
        </is>
      </c>
      <c r="I221" t="inlineStr">
        <is>
          <t>9</t>
        </is>
      </c>
      <c r="J221" t="inlineStr">
        <is>
          <t>sofort</t>
        </is>
      </c>
      <c r="K221" t="inlineStr">
        <is>
          <t>permanent</t>
        </is>
      </c>
      <c r="L221" t="inlineStr">
        <is>
          <t>9</t>
        </is>
      </c>
      <c r="M221" t="inlineStr">
        <is>
          <t>17</t>
        </is>
      </c>
      <c r="N221" t="inlineStr">
        <is>
          <t>27</t>
        </is>
      </c>
      <c r="O221" t="inlineStr">
        <is>
          <t>38</t>
        </is>
      </c>
    </row>
    <row r="222">
      <c r="A222" t="inlineStr">
        <is>
          <t>spruchmagie_luftbeschwoerung_5_grosser_sturmpfeil</t>
        </is>
      </c>
      <c r="B222" t="inlineStr">
        <is>
          <t>19</t>
        </is>
      </c>
      <c r="C222" t="inlineStr">
        <is>
          <t>Bis {M}m: Glücks-Probe, bis {M}*2m: AW/2, danach AW oder mit einem Schild parieren, um der Wirkung zu entgehen.</t>
        </is>
      </c>
      <c r="D222" t="inlineStr">
        <is>
          <t>(M)*3m</t>
        </is>
      </c>
      <c r="E222" t="inlineStr">
        <is>
          <t>Aura</t>
        </is>
      </c>
      <c r="F222" t="inlineStr">
        <is>
          <t>Bolzen</t>
        </is>
      </c>
      <c r="G222" t="inlineStr">
        <is>
          <t>Einmalig</t>
        </is>
      </c>
      <c r="H222" t="inlineStr">
        <is>
          <t>/</t>
        </is>
      </c>
      <c r="I222" t="inlineStr">
        <is>
          <t>6</t>
        </is>
      </c>
      <c r="J222" t="inlineStr">
        <is>
          <t>sofort</t>
        </is>
      </c>
      <c r="K222" t="inlineStr">
        <is>
          <t>permanent</t>
        </is>
      </c>
      <c r="L222" t="inlineStr">
        <is>
          <t>9</t>
        </is>
      </c>
      <c r="M222" t="inlineStr">
        <is>
          <t>17</t>
        </is>
      </c>
      <c r="N222" t="inlineStr">
        <is>
          <t>27</t>
        </is>
      </c>
      <c r="O222" t="inlineStr">
        <is>
          <t>16</t>
        </is>
      </c>
    </row>
    <row r="223">
      <c r="A223" t="inlineStr">
        <is>
          <t>spruchmagie_luftbeschwoerung_6_grosse_sturmball_salve</t>
        </is>
      </c>
      <c r="B223" t="inlineStr">
        <is>
          <t>22</t>
        </is>
      </c>
      <c r="C223" t="inlineStr">
        <is>
          <t>Bis {Magie}m: Glücks-Probe, ab {Magie}m: Ausweichen, ab {Magie}*2m: mit einem Schild Parieren, um der Wirkung zu entgehen.</t>
        </is>
      </c>
      <c r="D223" t="inlineStr">
        <is>
          <t>(M)*2m</t>
        </is>
      </c>
      <c r="E223" t="inlineStr">
        <is>
          <t>Aura</t>
        </is>
      </c>
      <c r="F223" t="inlineStr">
        <is>
          <t>Ball</t>
        </is>
      </c>
      <c r="G223" t="inlineStr">
        <is>
          <t>Einmalig</t>
        </is>
      </c>
      <c r="H223" t="inlineStr">
        <is>
          <t>/</t>
        </is>
      </c>
      <c r="I223" t="inlineStr">
        <is>
          <t>6</t>
        </is>
      </c>
      <c r="J223" t="inlineStr">
        <is>
          <t>sofort</t>
        </is>
      </c>
      <c r="K223" t="inlineStr">
        <is>
          <t>permanent</t>
        </is>
      </c>
      <c r="L223" t="inlineStr">
        <is>
          <t>10</t>
        </is>
      </c>
      <c r="M223" t="inlineStr">
        <is>
          <t>19</t>
        </is>
      </c>
      <c r="N223" t="inlineStr">
        <is>
          <t>30</t>
        </is>
      </c>
      <c r="O223" t="inlineStr">
        <is>
          <t>12/Ball</t>
        </is>
      </c>
    </row>
    <row r="224">
      <c r="A224" t="inlineStr">
        <is>
          <t>spruchmagie_luftbeschwoerung_6_grosser_sturmstrahl</t>
        </is>
      </c>
      <c r="B224" t="inlineStr">
        <is>
          <t>20</t>
        </is>
      </c>
      <c r="C224" t="inlineStr">
        <is>
          <t>Glücks-Probe, um der Wirkung zu entgehen.</t>
        </is>
      </c>
      <c r="D224" t="inlineStr">
        <is>
          <t>Magie*4m</t>
        </is>
      </c>
      <c r="E224" t="inlineStr">
        <is>
          <t>Punkt im Raum</t>
        </is>
      </c>
      <c r="F224" t="inlineStr">
        <is>
          <t>Strahl</t>
        </is>
      </c>
      <c r="G224" t="inlineStr">
        <is>
          <t>Anhaltend</t>
        </is>
      </c>
      <c r="H224" t="inlineStr">
        <is>
          <t>3</t>
        </is>
      </c>
      <c r="I224" t="inlineStr">
        <is>
          <t>6</t>
        </is>
      </c>
      <c r="J224" t="inlineStr">
        <is>
          <t>sofort</t>
        </is>
      </c>
      <c r="K224" t="inlineStr">
        <is>
          <t>permanent</t>
        </is>
      </c>
      <c r="L224" t="inlineStr">
        <is>
          <t>10</t>
        </is>
      </c>
      <c r="M224" t="inlineStr">
        <is>
          <t>19</t>
        </is>
      </c>
      <c r="N224" t="inlineStr">
        <is>
          <t>30</t>
        </is>
      </c>
      <c r="O224" t="inlineStr">
        <is>
          <t>15+ 7 / sec</t>
        </is>
      </c>
    </row>
    <row r="225">
      <c r="A225" t="inlineStr">
        <is>
          <t>spruchmagie_luftbeschwoerung_6_grosser_sturmblitz</t>
        </is>
      </c>
      <c r="B225" t="inlineStr">
        <is>
          <t>21</t>
        </is>
      </c>
      <c r="C225" t="inlineStr">
        <is>
          <t>Glücks-Probe, um der Wirkung zu entgehen.</t>
        </is>
      </c>
      <c r="D225" t="inlineStr">
        <is>
          <t>(M)*5m</t>
        </is>
      </c>
      <c r="E225" t="inlineStr">
        <is>
          <t>Aura</t>
        </is>
      </c>
      <c r="F225" t="inlineStr">
        <is>
          <t>Blitz</t>
        </is>
      </c>
      <c r="G225" t="inlineStr">
        <is>
          <t>Bipolar</t>
        </is>
      </c>
      <c r="H225" t="inlineStr">
        <is>
          <t>6</t>
        </is>
      </c>
      <c r="I225" t="inlineStr">
        <is>
          <t>6</t>
        </is>
      </c>
      <c r="J225" t="inlineStr">
        <is>
          <t>sofort</t>
        </is>
      </c>
      <c r="K225" t="inlineStr">
        <is>
          <t>permanent</t>
        </is>
      </c>
      <c r="L225" t="inlineStr">
        <is>
          <t>10</t>
        </is>
      </c>
      <c r="M225" t="inlineStr">
        <is>
          <t>19</t>
        </is>
      </c>
      <c r="N225" t="inlineStr">
        <is>
          <t>30</t>
        </is>
      </c>
      <c r="O225" t="inlineStr">
        <is>
          <t>16</t>
        </is>
      </c>
    </row>
    <row r="226">
      <c r="A226" t="inlineStr">
        <is>
          <t>spruchmagie_luftbeschwoerung_7_grosser_tornado</t>
        </is>
      </c>
      <c r="B226" t="inlineStr">
        <is>
          <t>24</t>
        </is>
      </c>
      <c r="C226" t="inlineStr">
        <is>
          <t>Keine Gegenprobe möglich.</t>
        </is>
      </c>
      <c r="D226" t="inlineStr">
        <is>
          <t>(M)*m Radius</t>
        </is>
      </c>
      <c r="E226" t="inlineStr">
        <is>
          <t>Selbst</t>
        </is>
      </c>
      <c r="F226" t="inlineStr">
        <is>
          <t>Kugel</t>
        </is>
      </c>
      <c r="G226" t="inlineStr">
        <is>
          <t>Einmalig</t>
        </is>
      </c>
      <c r="H226" t="inlineStr">
        <is>
          <t>/</t>
        </is>
      </c>
      <c r="I226" t="inlineStr">
        <is>
          <t>9</t>
        </is>
      </c>
      <c r="J226" t="inlineStr">
        <is>
          <t>sofort</t>
        </is>
      </c>
      <c r="K226" t="inlineStr">
        <is>
          <t>permanent</t>
        </is>
      </c>
      <c r="L226" t="inlineStr">
        <is>
          <t>11</t>
        </is>
      </c>
      <c r="M226" t="inlineStr">
        <is>
          <t>20</t>
        </is>
      </c>
      <c r="N226" t="inlineStr">
        <is>
          <t>32</t>
        </is>
      </c>
      <c r="O226" t="inlineStr">
        <is>
          <t>60</t>
        </is>
      </c>
    </row>
    <row r="227">
      <c r="A227" t="inlineStr">
        <is>
          <t>spruchmagie_luftbeschwoerung_7_grosse_sturmpfeil_salve</t>
        </is>
      </c>
      <c r="B227" t="inlineStr">
        <is>
          <t>23</t>
        </is>
      </c>
      <c r="C227" t="inlineStr">
        <is>
          <t>Bis {M}m: Glücks-Probe, bis {M}*2m: AW/2, danach AW oder mit einem Schild parieren, um der Wirkung zu entgehen.</t>
        </is>
      </c>
      <c r="D227" t="inlineStr">
        <is>
          <t>(M)*3m</t>
        </is>
      </c>
      <c r="E227" t="inlineStr">
        <is>
          <t>Aura</t>
        </is>
      </c>
      <c r="F227" t="inlineStr">
        <is>
          <t>Bolzen</t>
        </is>
      </c>
      <c r="G227" t="inlineStr">
        <is>
          <t>Einmalig</t>
        </is>
      </c>
      <c r="H227" t="inlineStr">
        <is>
          <t>/</t>
        </is>
      </c>
      <c r="I227" t="inlineStr">
        <is>
          <t>9</t>
        </is>
      </c>
      <c r="J227" t="inlineStr">
        <is>
          <t>sofort</t>
        </is>
      </c>
      <c r="K227" t="inlineStr">
        <is>
          <t>permanent</t>
        </is>
      </c>
      <c r="L227" t="inlineStr">
        <is>
          <t>11</t>
        </is>
      </c>
      <c r="M227" t="inlineStr">
        <is>
          <t>20</t>
        </is>
      </c>
      <c r="N227" t="inlineStr">
        <is>
          <t>32</t>
        </is>
      </c>
      <c r="O227" t="inlineStr">
        <is>
          <t>16/Bolzen</t>
        </is>
      </c>
    </row>
    <row r="228">
      <c r="A228" t="inlineStr">
        <is>
          <t>spruchmagie_magiebeschwoerung_1_magische_faust</t>
        </is>
      </c>
      <c r="B228" t="inlineStr">
        <is>
          <t>10</t>
        </is>
      </c>
      <c r="C228" t="inlineStr">
        <is>
          <t>Keine Gegenprobe möglich.</t>
        </is>
      </c>
      <c r="D228" t="inlineStr">
        <is>
          <t>Selbst</t>
        </is>
      </c>
      <c r="E228" t="inlineStr">
        <is>
          <t>Selbst</t>
        </is>
      </c>
      <c r="F228" t="inlineStr">
        <is>
          <t>Aura</t>
        </is>
      </c>
      <c r="G228" t="inlineStr">
        <is>
          <t>Anhaltend</t>
        </is>
      </c>
      <c r="H228" t="inlineStr">
        <is>
          <t>0.5</t>
        </is>
      </c>
      <c r="I228" t="inlineStr">
        <is>
          <t>2</t>
        </is>
      </c>
      <c r="J228" t="inlineStr">
        <is>
          <t>sofort</t>
        </is>
      </c>
      <c r="K228" t="inlineStr">
        <is>
          <t>(M)*3sec</t>
        </is>
      </c>
      <c r="L228" t="inlineStr">
        <is>
          <t>2</t>
        </is>
      </c>
      <c r="M228" t="inlineStr">
        <is>
          <t>6</t>
        </is>
      </c>
      <c r="N228" t="inlineStr">
        <is>
          <t>12</t>
        </is>
      </c>
      <c r="O228" t="inlineStr">
        <is>
          <t>6</t>
        </is>
      </c>
    </row>
    <row r="229">
      <c r="A229" t="inlineStr">
        <is>
          <t>spruchmagie_magiebeschwoerung_1_wand_aus_magie</t>
        </is>
      </c>
      <c r="B229" t="inlineStr">
        <is>
          <t>12</t>
        </is>
      </c>
      <c r="C229" t="inlineStr">
        <is>
          <t>Keine Gegenprobe möglich.</t>
        </is>
      </c>
      <c r="D229" t="inlineStr">
        <is>
          <t>Magie/2m</t>
        </is>
      </c>
      <c r="E229" t="inlineStr">
        <is>
          <t>Punkt im Raum</t>
        </is>
      </c>
      <c r="F229" t="inlineStr">
        <is>
          <t>Wand</t>
        </is>
      </c>
      <c r="G229" t="inlineStr">
        <is>
          <t>Anhaltend</t>
        </is>
      </c>
      <c r="H229" t="inlineStr">
        <is>
          <t>0.5</t>
        </is>
      </c>
      <c r="I229" t="inlineStr">
        <is>
          <t>6</t>
        </is>
      </c>
      <c r="J229" t="inlineStr">
        <is>
          <t>3sec</t>
        </is>
      </c>
      <c r="K229" t="inlineStr">
        <is>
          <t>Magie*min</t>
        </is>
      </c>
      <c r="L229" t="inlineStr">
        <is>
          <t>2</t>
        </is>
      </c>
      <c r="M229" t="inlineStr">
        <is>
          <t>6</t>
        </is>
      </c>
      <c r="N229" t="inlineStr">
        <is>
          <t>12</t>
        </is>
      </c>
      <c r="O229" t="inlineStr">
        <is>
          <t>10 + 1 / 6 sec</t>
        </is>
      </c>
    </row>
    <row r="230">
      <c r="A230" t="inlineStr">
        <is>
          <t>spruchmagie_magiebeschwoerung_2_magische_aura</t>
        </is>
      </c>
      <c r="B230" t="inlineStr">
        <is>
          <t>12</t>
        </is>
      </c>
      <c r="C230" t="inlineStr">
        <is>
          <t>Keine Gegenprobe möglich.</t>
        </is>
      </c>
      <c r="D230" t="inlineStr">
        <is>
          <t>Aura/3m</t>
        </is>
      </c>
      <c r="E230" t="inlineStr">
        <is>
          <t>Selbst</t>
        </is>
      </c>
      <c r="F230" t="inlineStr">
        <is>
          <t>Kugel</t>
        </is>
      </c>
      <c r="G230" t="inlineStr">
        <is>
          <t>Anhaltend</t>
        </is>
      </c>
      <c r="H230" t="inlineStr">
        <is>
          <t>1</t>
        </is>
      </c>
      <c r="I230" t="inlineStr">
        <is>
          <t>6</t>
        </is>
      </c>
      <c r="J230" t="inlineStr">
        <is>
          <t>sofort</t>
        </is>
      </c>
      <c r="K230" t="inlineStr">
        <is>
          <t>(M)*3sec</t>
        </is>
      </c>
      <c r="L230" t="inlineStr">
        <is>
          <t>4</t>
        </is>
      </c>
      <c r="M230" t="inlineStr">
        <is>
          <t>9</t>
        </is>
      </c>
      <c r="N230" t="inlineStr">
        <is>
          <t>16</t>
        </is>
      </c>
      <c r="O230" t="inlineStr">
        <is>
          <t>11 + 2 / sec</t>
        </is>
      </c>
    </row>
    <row r="231">
      <c r="A231" t="inlineStr">
        <is>
          <t>spruchmagie_magiebeschwoerung_2_magischer_strahl</t>
        </is>
      </c>
      <c r="B231" t="inlineStr">
        <is>
          <t>14</t>
        </is>
      </c>
      <c r="C231" t="inlineStr">
        <is>
          <t>Glücks-Probe, um der Wirkung zu entgehen.</t>
        </is>
      </c>
      <c r="D231" t="inlineStr">
        <is>
          <t>Magie*3m</t>
        </is>
      </c>
      <c r="E231" t="inlineStr">
        <is>
          <t>Punkt im Raum</t>
        </is>
      </c>
      <c r="F231" t="inlineStr">
        <is>
          <t>Strahl</t>
        </is>
      </c>
      <c r="G231" t="inlineStr">
        <is>
          <t>Anhaltend</t>
        </is>
      </c>
      <c r="H231" t="inlineStr">
        <is>
          <t>1</t>
        </is>
      </c>
      <c r="I231" t="inlineStr">
        <is>
          <t>6</t>
        </is>
      </c>
      <c r="J231" t="inlineStr">
        <is>
          <t>sofort</t>
        </is>
      </c>
      <c r="K231" t="inlineStr">
        <is>
          <t>Magie*sec</t>
        </is>
      </c>
      <c r="L231" t="inlineStr">
        <is>
          <t>4</t>
        </is>
      </c>
      <c r="M231" t="inlineStr">
        <is>
          <t>9</t>
        </is>
      </c>
      <c r="N231" t="inlineStr">
        <is>
          <t>16</t>
        </is>
      </c>
      <c r="O231" t="inlineStr">
        <is>
          <t>8 + 4 / sec</t>
        </is>
      </c>
    </row>
    <row r="232">
      <c r="A232" t="inlineStr">
        <is>
          <t>spruchmagie_magiebeschwoerung_3_grosse_magische_faust</t>
        </is>
      </c>
      <c r="B232" t="inlineStr">
        <is>
          <t>14</t>
        </is>
      </c>
      <c r="C232" t="inlineStr">
        <is>
          <t>Keine Gegenprobe möglich.</t>
        </is>
      </c>
      <c r="D232" t="inlineStr">
        <is>
          <t>Selbst</t>
        </is>
      </c>
      <c r="E232" t="inlineStr">
        <is>
          <t>Selbst</t>
        </is>
      </c>
      <c r="F232" t="inlineStr">
        <is>
          <t>Aura</t>
        </is>
      </c>
      <c r="G232" t="inlineStr">
        <is>
          <t>Anhaltend</t>
        </is>
      </c>
      <c r="H232" t="inlineStr">
        <is>
          <t>1.5</t>
        </is>
      </c>
      <c r="I232" t="inlineStr">
        <is>
          <t>2</t>
        </is>
      </c>
      <c r="J232" t="inlineStr">
        <is>
          <t>sofort</t>
        </is>
      </c>
      <c r="K232" t="inlineStr">
        <is>
          <t>(M)*3sec</t>
        </is>
      </c>
      <c r="L232" t="inlineStr">
        <is>
          <t>7</t>
        </is>
      </c>
      <c r="M232" t="inlineStr">
        <is>
          <t>13</t>
        </is>
      </c>
      <c r="N232" t="inlineStr">
        <is>
          <t>21</t>
        </is>
      </c>
      <c r="O232" t="inlineStr">
        <is>
          <t>18</t>
        </is>
      </c>
    </row>
    <row r="233">
      <c r="A233" t="inlineStr">
        <is>
          <t>spruchmagie_magiebeschwoerung_3_magische_ball_salve</t>
        </is>
      </c>
      <c r="B233" t="inlineStr">
        <is>
          <t>16</t>
        </is>
      </c>
      <c r="C233" t="inlineStr">
        <is>
          <t>Bis {Magie}m: Glücks-Probe, ab {Magie}m: Ausweichen, ab {Magie}*2m: mit einem Schild Parieren, um der Wirkung zu entgehen.</t>
        </is>
      </c>
      <c r="D233" t="inlineStr">
        <is>
          <t>(M)*m</t>
        </is>
      </c>
      <c r="E233" t="inlineStr">
        <is>
          <t>Aura</t>
        </is>
      </c>
      <c r="F233" t="inlineStr">
        <is>
          <t>Ball</t>
        </is>
      </c>
      <c r="G233" t="inlineStr">
        <is>
          <t>Einmalig</t>
        </is>
      </c>
      <c r="H233" t="inlineStr">
        <is>
          <t>/</t>
        </is>
      </c>
      <c r="I233" t="inlineStr">
        <is>
          <t>9</t>
        </is>
      </c>
      <c r="J233" t="inlineStr">
        <is>
          <t>sofort</t>
        </is>
      </c>
      <c r="K233" t="inlineStr">
        <is>
          <t>permanent</t>
        </is>
      </c>
      <c r="L233" t="inlineStr">
        <is>
          <t>7</t>
        </is>
      </c>
      <c r="M233" t="inlineStr">
        <is>
          <t>13</t>
        </is>
      </c>
      <c r="N233" t="inlineStr">
        <is>
          <t>21</t>
        </is>
      </c>
      <c r="O233" t="inlineStr">
        <is>
          <t>4/Ball</t>
        </is>
      </c>
    </row>
    <row r="234">
      <c r="A234" t="inlineStr">
        <is>
          <t>spruchmagie_magiebeschwoerung_3_blitz_klinge</t>
        </is>
      </c>
      <c r="B234" t="inlineStr">
        <is>
          <t>16</t>
        </is>
      </c>
      <c r="C234" t="inlineStr">
        <is>
          <t>Keine Gegenprobe möglich.</t>
        </is>
      </c>
      <c r="D234" t="inlineStr">
        <is>
          <t>Berührung</t>
        </is>
      </c>
      <c r="E234" t="inlineStr">
        <is>
          <t>Gegenstand</t>
        </is>
      </c>
      <c r="F234" t="inlineStr">
        <is>
          <t>Aura</t>
        </is>
      </c>
      <c r="G234" t="inlineStr">
        <is>
          <t>Anhaltend</t>
        </is>
      </c>
      <c r="H234" t="inlineStr">
        <is>
          <t>1.5</t>
        </is>
      </c>
      <c r="I234" t="inlineStr">
        <is>
          <t>8</t>
        </is>
      </c>
      <c r="J234" t="inlineStr">
        <is>
          <t>1sec</t>
        </is>
      </c>
      <c r="K234" t="inlineStr">
        <is>
          <t>(M)*min</t>
        </is>
      </c>
      <c r="L234" t="inlineStr">
        <is>
          <t>7</t>
        </is>
      </c>
      <c r="M234" t="inlineStr">
        <is>
          <t>13</t>
        </is>
      </c>
      <c r="N234" t="inlineStr">
        <is>
          <t>21</t>
        </is>
      </c>
      <c r="O234" t="inlineStr">
        <is>
          <t>26</t>
        </is>
      </c>
    </row>
    <row r="235">
      <c r="A235" t="inlineStr">
        <is>
          <t>spruchmagie_magiebeschwoerung_3_schock_pfeil</t>
        </is>
      </c>
      <c r="B235" t="inlineStr">
        <is>
          <t>16</t>
        </is>
      </c>
      <c r="C235" t="inlineStr">
        <is>
          <t>Keine Gegenprobe möglich.</t>
        </is>
      </c>
      <c r="D235" t="inlineStr">
        <is>
          <t>Berührung</t>
        </is>
      </c>
      <c r="E235" t="inlineStr">
        <is>
          <t>Gegenstand</t>
        </is>
      </c>
      <c r="F235" t="inlineStr">
        <is>
          <t>Aura</t>
        </is>
      </c>
      <c r="G235" t="inlineStr">
        <is>
          <t>Einmalig</t>
        </is>
      </c>
      <c r="H235" t="inlineStr">
        <is>
          <t>/</t>
        </is>
      </c>
      <c r="I235" t="inlineStr">
        <is>
          <t>3</t>
        </is>
      </c>
      <c r="J235" t="inlineStr">
        <is>
          <t>sofort</t>
        </is>
      </c>
      <c r="K235" t="inlineStr">
        <is>
          <t>(M)*3sec</t>
        </is>
      </c>
      <c r="L235" t="inlineStr">
        <is>
          <t>7</t>
        </is>
      </c>
      <c r="M235" t="inlineStr">
        <is>
          <t>13</t>
        </is>
      </c>
      <c r="N235" t="inlineStr">
        <is>
          <t>21</t>
        </is>
      </c>
      <c r="O235" t="inlineStr">
        <is>
          <t>4</t>
        </is>
      </c>
    </row>
    <row r="236">
      <c r="A236" t="inlineStr">
        <is>
          <t>spruchmagie_magiebeschwoerung_4_grosser_magischer_ball</t>
        </is>
      </c>
      <c r="B236" t="inlineStr">
        <is>
          <t>17</t>
        </is>
      </c>
      <c r="C236" t="inlineStr">
        <is>
          <t>Bis {Magie}m: Glücks-Probe, ab {Magie}m: Ausweichen, ab {Magie}*2m: mit einem Schild Parieren, um der Wirkung zu entgehen.</t>
        </is>
      </c>
      <c r="D236" t="inlineStr">
        <is>
          <t>(M)*2m</t>
        </is>
      </c>
      <c r="E236" t="inlineStr">
        <is>
          <t>Aura</t>
        </is>
      </c>
      <c r="F236" t="inlineStr">
        <is>
          <t>Ball</t>
        </is>
      </c>
      <c r="G236" t="inlineStr">
        <is>
          <t>Einmalig</t>
        </is>
      </c>
      <c r="H236" t="inlineStr">
        <is>
          <t>/</t>
        </is>
      </c>
      <c r="I236" t="inlineStr">
        <is>
          <t>6</t>
        </is>
      </c>
      <c r="J236" t="inlineStr">
        <is>
          <t>sofort</t>
        </is>
      </c>
      <c r="K236" t="inlineStr">
        <is>
          <t>permanent</t>
        </is>
      </c>
      <c r="L236" t="inlineStr">
        <is>
          <t>8</t>
        </is>
      </c>
      <c r="M236" t="inlineStr">
        <is>
          <t>15</t>
        </is>
      </c>
      <c r="N236" t="inlineStr">
        <is>
          <t>24</t>
        </is>
      </c>
      <c r="O236" t="inlineStr">
        <is>
          <t>12</t>
        </is>
      </c>
    </row>
    <row r="237">
      <c r="A237" t="inlineStr">
        <is>
          <t>spruchmagie_magiebeschwoerung_4_grosse_wand_aus_magie</t>
        </is>
      </c>
      <c r="B237" t="inlineStr">
        <is>
          <t>16</t>
        </is>
      </c>
      <c r="C237" t="inlineStr">
        <is>
          <t>Keine Gegenprobe möglich.</t>
        </is>
      </c>
      <c r="D237" t="inlineStr">
        <is>
          <t>Magie/2m</t>
        </is>
      </c>
      <c r="E237" t="inlineStr">
        <is>
          <t>Punkt im Raum</t>
        </is>
      </c>
      <c r="F237" t="inlineStr">
        <is>
          <t>Wand</t>
        </is>
      </c>
      <c r="G237" t="inlineStr">
        <is>
          <t>Anhaltend</t>
        </is>
      </c>
      <c r="H237" t="inlineStr">
        <is>
          <t>2</t>
        </is>
      </c>
      <c r="I237" t="inlineStr">
        <is>
          <t>6</t>
        </is>
      </c>
      <c r="J237" t="inlineStr">
        <is>
          <t>2sec</t>
        </is>
      </c>
      <c r="K237" t="inlineStr">
        <is>
          <t>Magie*min</t>
        </is>
      </c>
      <c r="L237" t="inlineStr">
        <is>
          <t>8</t>
        </is>
      </c>
      <c r="M237" t="inlineStr">
        <is>
          <t>15</t>
        </is>
      </c>
      <c r="N237" t="inlineStr">
        <is>
          <t>24</t>
        </is>
      </c>
      <c r="O237" t="inlineStr">
        <is>
          <t>20 + 1 / 3 sec</t>
        </is>
      </c>
    </row>
    <row r="238">
      <c r="A238" t="inlineStr">
        <is>
          <t>spruchmagie_magiebeschwoerung_5_grosses_magisches_geschoss</t>
        </is>
      </c>
      <c r="B238" t="inlineStr">
        <is>
          <t>19</t>
        </is>
      </c>
      <c r="C238" t="inlineStr">
        <is>
          <t>Bis {M}m: Glücks-Probe, bis {M}*2m: AW/2, danach AW oder mit einem Schild parieren, um der Wirkung zu entgehen.</t>
        </is>
      </c>
      <c r="D238" t="inlineStr">
        <is>
          <t>(M)*3m</t>
        </is>
      </c>
      <c r="E238" t="inlineStr">
        <is>
          <t>Aura</t>
        </is>
      </c>
      <c r="F238" t="inlineStr">
        <is>
          <t>Bolzen</t>
        </is>
      </c>
      <c r="G238" t="inlineStr">
        <is>
          <t>Einmalig</t>
        </is>
      </c>
      <c r="H238" t="inlineStr">
        <is>
          <t>/</t>
        </is>
      </c>
      <c r="I238" t="inlineStr">
        <is>
          <t>6</t>
        </is>
      </c>
      <c r="J238" t="inlineStr">
        <is>
          <t>sofort</t>
        </is>
      </c>
      <c r="K238" t="inlineStr">
        <is>
          <t>permanent</t>
        </is>
      </c>
      <c r="L238" t="inlineStr">
        <is>
          <t>9</t>
        </is>
      </c>
      <c r="M238" t="inlineStr">
        <is>
          <t>17</t>
        </is>
      </c>
      <c r="N238" t="inlineStr">
        <is>
          <t>27</t>
        </is>
      </c>
      <c r="O238" t="inlineStr">
        <is>
          <t>16</t>
        </is>
      </c>
    </row>
    <row r="239">
      <c r="A239" t="inlineStr">
        <is>
          <t>spruchmagie_magiebeschwoerung_6_grosser_magischer_strahl</t>
        </is>
      </c>
      <c r="B239" t="inlineStr">
        <is>
          <t>20</t>
        </is>
      </c>
      <c r="C239" t="inlineStr">
        <is>
          <t>Glücks-Probe, um der Wirkung zu entgehen.</t>
        </is>
      </c>
      <c r="D239" t="inlineStr">
        <is>
          <t>Magie*4m</t>
        </is>
      </c>
      <c r="E239" t="inlineStr">
        <is>
          <t>Punkt im Raum</t>
        </is>
      </c>
      <c r="F239" t="inlineStr">
        <is>
          <t>Strahl</t>
        </is>
      </c>
      <c r="G239" t="inlineStr">
        <is>
          <t>Anhaltend</t>
        </is>
      </c>
      <c r="H239" t="inlineStr">
        <is>
          <t>3</t>
        </is>
      </c>
      <c r="I239" t="inlineStr">
        <is>
          <t>6</t>
        </is>
      </c>
      <c r="J239" t="inlineStr">
        <is>
          <t>sofort</t>
        </is>
      </c>
      <c r="K239" t="inlineStr">
        <is>
          <t>permanent</t>
        </is>
      </c>
      <c r="L239" t="inlineStr">
        <is>
          <t>10</t>
        </is>
      </c>
      <c r="M239" t="inlineStr">
        <is>
          <t>19</t>
        </is>
      </c>
      <c r="N239" t="inlineStr">
        <is>
          <t>30</t>
        </is>
      </c>
      <c r="O239" t="inlineStr">
        <is>
          <t>15+ 7 / sec</t>
        </is>
      </c>
    </row>
    <row r="240">
      <c r="A240" t="inlineStr">
        <is>
          <t>spruchmagie_magiebeschwoerung_6_grosse_magische_entladung</t>
        </is>
      </c>
      <c r="B240" t="inlineStr">
        <is>
          <t>21</t>
        </is>
      </c>
      <c r="C240" t="inlineStr">
        <is>
          <t>Glücks-Probe, um der Wirkung zu entgehen.</t>
        </is>
      </c>
      <c r="D240" t="inlineStr">
        <is>
          <t>(M)*5m</t>
        </is>
      </c>
      <c r="E240" t="inlineStr">
        <is>
          <t>Aura</t>
        </is>
      </c>
      <c r="F240" t="inlineStr">
        <is>
          <t>Blitz</t>
        </is>
      </c>
      <c r="G240" t="inlineStr">
        <is>
          <t>Bipolar</t>
        </is>
      </c>
      <c r="H240" t="inlineStr">
        <is>
          <t>6</t>
        </is>
      </c>
      <c r="I240" t="inlineStr">
        <is>
          <t>6</t>
        </is>
      </c>
      <c r="J240" t="inlineStr">
        <is>
          <t>sofort</t>
        </is>
      </c>
      <c r="K240" t="inlineStr">
        <is>
          <t>permanent</t>
        </is>
      </c>
      <c r="L240" t="inlineStr">
        <is>
          <t>10</t>
        </is>
      </c>
      <c r="M240" t="inlineStr">
        <is>
          <t>19</t>
        </is>
      </c>
      <c r="N240" t="inlineStr">
        <is>
          <t>30</t>
        </is>
      </c>
      <c r="O240" t="inlineStr">
        <is>
          <t>16</t>
        </is>
      </c>
    </row>
    <row r="241">
      <c r="A241" t="inlineStr">
        <is>
          <t>spruchmagie_magiebeschwoerung_7_grosse_magische_geschoss_salve</t>
        </is>
      </c>
      <c r="B241" t="inlineStr">
        <is>
          <t>23</t>
        </is>
      </c>
      <c r="C241" t="inlineStr">
        <is>
          <t>Bis {M}m: Glücks-Probe, bis {M}*2m: AW/2, danach AW oder mit einem Schild parieren, um der Wirkung zu entgehen.</t>
        </is>
      </c>
      <c r="D241" t="inlineStr">
        <is>
          <t>(M)*3m</t>
        </is>
      </c>
      <c r="E241" t="inlineStr">
        <is>
          <t>Aura</t>
        </is>
      </c>
      <c r="F241" t="inlineStr">
        <is>
          <t>Bolzen</t>
        </is>
      </c>
      <c r="G241" t="inlineStr">
        <is>
          <t>Einmalig</t>
        </is>
      </c>
      <c r="H241" t="inlineStr">
        <is>
          <t>/</t>
        </is>
      </c>
      <c r="I241" t="inlineStr">
        <is>
          <t>9</t>
        </is>
      </c>
      <c r="J241" t="inlineStr">
        <is>
          <t>sofort</t>
        </is>
      </c>
      <c r="K241" t="inlineStr">
        <is>
          <t>permanent</t>
        </is>
      </c>
      <c r="L241" t="inlineStr">
        <is>
          <t>11</t>
        </is>
      </c>
      <c r="M241" t="inlineStr">
        <is>
          <t>20</t>
        </is>
      </c>
      <c r="N241" t="inlineStr">
        <is>
          <t>32</t>
        </is>
      </c>
      <c r="O241" t="inlineStr">
        <is>
          <t>16/Bolzen</t>
        </is>
      </c>
    </row>
    <row r="242">
      <c r="A242" t="inlineStr">
        <is>
          <t>spruchmagie_veraenderung_1_in_nahrung_verwandeln</t>
        </is>
      </c>
      <c r="B242" t="inlineStr">
        <is>
          <t>12</t>
        </is>
      </c>
      <c r="C242" t="inlineStr">
        <is>
          <t>Keine Gegenprobe möglich.</t>
        </is>
      </c>
      <c r="D242" t="inlineStr">
        <is>
          <t>Berührung</t>
        </is>
      </c>
      <c r="E242" t="inlineStr">
        <is>
          <t>Gegenstand</t>
        </is>
      </c>
      <c r="F242" t="inlineStr">
        <is>
          <t>Aura</t>
        </is>
      </c>
      <c r="G242" t="inlineStr">
        <is>
          <t>Einmalig</t>
        </is>
      </c>
      <c r="H242" t="inlineStr">
        <is>
          <t>/</t>
        </is>
      </c>
      <c r="I242" t="inlineStr">
        <is>
          <t>180</t>
        </is>
      </c>
      <c r="J242" t="inlineStr">
        <is>
          <t>1min</t>
        </is>
      </c>
      <c r="K242" t="inlineStr">
        <is>
          <t>Permanent</t>
        </is>
      </c>
      <c r="L242" t="inlineStr">
        <is>
          <t>2</t>
        </is>
      </c>
      <c r="M242" t="inlineStr">
        <is>
          <t>6</t>
        </is>
      </c>
      <c r="N242" t="inlineStr">
        <is>
          <t>12</t>
        </is>
      </c>
      <c r="O242" t="inlineStr">
        <is>
          <t>3 / l</t>
        </is>
      </c>
    </row>
    <row r="243">
      <c r="A243" t="inlineStr">
        <is>
          <t>spruchmagie_veraenderung_2_blankwaffe_erschaffen</t>
        </is>
      </c>
      <c r="B243" t="inlineStr">
        <is>
          <t>14</t>
        </is>
      </c>
      <c r="C243" t="inlineStr">
        <is>
          <t>Keine Gegenprobe möglich.</t>
        </is>
      </c>
      <c r="D243" t="inlineStr">
        <is>
          <t>Berührung</t>
        </is>
      </c>
      <c r="E243" t="inlineStr">
        <is>
          <t>Aura</t>
        </is>
      </c>
      <c r="F243" t="inlineStr">
        <is>
          <t>Aura</t>
        </is>
      </c>
      <c r="G243" t="inlineStr">
        <is>
          <t>Anhaltend</t>
        </is>
      </c>
      <c r="H243" t="inlineStr">
        <is>
          <t>1</t>
        </is>
      </c>
      <c r="I243" t="inlineStr">
        <is>
          <t>6</t>
        </is>
      </c>
      <c r="J243" t="inlineStr">
        <is>
          <t>2sec</t>
        </is>
      </c>
      <c r="K243" t="inlineStr">
        <is>
          <t>(M)*min</t>
        </is>
      </c>
      <c r="L243" t="inlineStr">
        <is>
          <t>4</t>
        </is>
      </c>
      <c r="M243" t="inlineStr">
        <is>
          <t>9</t>
        </is>
      </c>
      <c r="N243" t="inlineStr">
        <is>
          <t>16</t>
        </is>
      </c>
      <c r="O243" t="inlineStr">
        <is>
          <t>12</t>
        </is>
      </c>
    </row>
    <row r="244">
      <c r="A244" t="inlineStr">
        <is>
          <t>spruchmagie_veraenderung_2_material_erweichen</t>
        </is>
      </c>
      <c r="B244" t="inlineStr">
        <is>
          <t>14</t>
        </is>
      </c>
      <c r="C244" t="inlineStr">
        <is>
          <t>Keine Gegenprobe möglich.</t>
        </is>
      </c>
      <c r="D244" t="inlineStr">
        <is>
          <t>Berührung</t>
        </is>
      </c>
      <c r="E244" t="inlineStr">
        <is>
          <t>Gegenstand</t>
        </is>
      </c>
      <c r="F244" t="inlineStr">
        <is>
          <t>Aura</t>
        </is>
      </c>
      <c r="G244" t="inlineStr">
        <is>
          <t>Anhaltend</t>
        </is>
      </c>
      <c r="H244" t="inlineStr">
        <is>
          <t>1</t>
        </is>
      </c>
      <c r="I244" t="inlineStr">
        <is>
          <t>12</t>
        </is>
      </c>
      <c r="J244" t="inlineStr">
        <is>
          <t>Sofort</t>
        </is>
      </c>
      <c r="K244" t="inlineStr">
        <is>
          <t>(M)*sec</t>
        </is>
      </c>
      <c r="L244" t="inlineStr">
        <is>
          <t>4</t>
        </is>
      </c>
      <c r="M244" t="inlineStr">
        <is>
          <t>9</t>
        </is>
      </c>
      <c r="N244" t="inlineStr">
        <is>
          <t>16</t>
        </is>
      </c>
      <c r="O244" t="inlineStr">
        <is>
          <t>4 / 5 l</t>
        </is>
      </c>
    </row>
    <row r="245">
      <c r="A245" t="inlineStr">
        <is>
          <t>spruchmagie_veraenderung_2_material_schwaechen</t>
        </is>
      </c>
      <c r="B245" t="inlineStr">
        <is>
          <t>14</t>
        </is>
      </c>
      <c r="C245" t="inlineStr">
        <is>
          <t>Keine Gegenprobe möglich.</t>
        </is>
      </c>
      <c r="D245" t="inlineStr">
        <is>
          <t>Berührung</t>
        </is>
      </c>
      <c r="E245" t="inlineStr">
        <is>
          <t>Gegenstand</t>
        </is>
      </c>
      <c r="F245" t="inlineStr">
        <is>
          <t>Aura</t>
        </is>
      </c>
      <c r="G245" t="inlineStr">
        <is>
          <t>Anhaltend</t>
        </is>
      </c>
      <c r="H245" t="inlineStr">
        <is>
          <t>1</t>
        </is>
      </c>
      <c r="I245" t="inlineStr">
        <is>
          <t>9</t>
        </is>
      </c>
      <c r="J245" t="inlineStr">
        <is>
          <t>Sofort</t>
        </is>
      </c>
      <c r="K245" t="inlineStr">
        <is>
          <t>(M)*sec</t>
        </is>
      </c>
      <c r="L245" t="inlineStr">
        <is>
          <t>4</t>
        </is>
      </c>
      <c r="M245" t="inlineStr">
        <is>
          <t>9</t>
        </is>
      </c>
      <c r="N245" t="inlineStr">
        <is>
          <t>16</t>
        </is>
      </c>
      <c r="O245" t="inlineStr">
        <is>
          <t>3 / 5 l</t>
        </is>
      </c>
    </row>
    <row r="246">
      <c r="A246" t="inlineStr">
        <is>
          <t>spruchmagie_veraenderung_2_mechanik_schmieren</t>
        </is>
      </c>
      <c r="B246" t="inlineStr">
        <is>
          <t>14</t>
        </is>
      </c>
      <c r="C246" t="inlineStr">
        <is>
          <t>Glücks-Probe, um der Wirkung zu entgehen.</t>
        </is>
      </c>
      <c r="D246" t="inlineStr">
        <is>
          <t>Berührung</t>
        </is>
      </c>
      <c r="E246" t="inlineStr">
        <is>
          <t>Gegenstand</t>
        </is>
      </c>
      <c r="F246" t="inlineStr">
        <is>
          <t>Strahl</t>
        </is>
      </c>
      <c r="G246" t="inlineStr">
        <is>
          <t>Einmalig</t>
        </is>
      </c>
      <c r="H246" t="inlineStr">
        <is>
          <t>/</t>
        </is>
      </c>
      <c r="I246" t="inlineStr">
        <is>
          <t>5</t>
        </is>
      </c>
      <c r="J246" t="inlineStr">
        <is>
          <t>Sofort</t>
        </is>
      </c>
      <c r="K246" t="inlineStr">
        <is>
          <t>Permanent</t>
        </is>
      </c>
      <c r="L246" t="inlineStr">
        <is>
          <t>4</t>
        </is>
      </c>
      <c r="M246" t="inlineStr">
        <is>
          <t>9</t>
        </is>
      </c>
      <c r="N246" t="inlineStr">
        <is>
          <t>16</t>
        </is>
      </c>
      <c r="O246" t="inlineStr">
        <is>
          <t>3 / dm³</t>
        </is>
      </c>
    </row>
    <row r="247">
      <c r="A247" t="inlineStr">
        <is>
          <t>spruchmagie_veraenderung_3_material_verstaerken</t>
        </is>
      </c>
      <c r="B247" t="inlineStr">
        <is>
          <t>16</t>
        </is>
      </c>
      <c r="C247" t="inlineStr">
        <is>
          <t>Keine Gegenprobe möglich.</t>
        </is>
      </c>
      <c r="D247" t="inlineStr">
        <is>
          <t>Berührung</t>
        </is>
      </c>
      <c r="E247" t="inlineStr">
        <is>
          <t>Gegenstand</t>
        </is>
      </c>
      <c r="F247" t="inlineStr">
        <is>
          <t>Aura</t>
        </is>
      </c>
      <c r="G247" t="inlineStr">
        <is>
          <t>Anhaltend</t>
        </is>
      </c>
      <c r="H247" t="inlineStr">
        <is>
          <t>1.5</t>
        </is>
      </c>
      <c r="I247" t="inlineStr">
        <is>
          <t>3</t>
        </is>
      </c>
      <c r="J247" t="inlineStr">
        <is>
          <t>Sofort</t>
        </is>
      </c>
      <c r="K247" t="inlineStr">
        <is>
          <t>(M)*min</t>
        </is>
      </c>
      <c r="L247" t="inlineStr">
        <is>
          <t>7</t>
        </is>
      </c>
      <c r="M247" t="inlineStr">
        <is>
          <t>13</t>
        </is>
      </c>
      <c r="N247" t="inlineStr">
        <is>
          <t>21</t>
        </is>
      </c>
      <c r="O247" t="inlineStr">
        <is>
          <t>2 / min</t>
        </is>
      </c>
    </row>
    <row r="248">
      <c r="A248" t="inlineStr">
        <is>
          <t>spruchmagie_veraenderung_3_gegenstand_fixieren</t>
        </is>
      </c>
      <c r="B248" t="inlineStr">
        <is>
          <t>16</t>
        </is>
      </c>
      <c r="C248" t="inlineStr">
        <is>
          <t>Keine Gegenprobe möglich.</t>
        </is>
      </c>
      <c r="D248" t="inlineStr">
        <is>
          <t>Berührung</t>
        </is>
      </c>
      <c r="E248" t="inlineStr">
        <is>
          <t>Gegenstand</t>
        </is>
      </c>
      <c r="F248" t="inlineStr">
        <is>
          <t>Aura</t>
        </is>
      </c>
      <c r="G248" t="inlineStr">
        <is>
          <t>Anhaltend</t>
        </is>
      </c>
      <c r="H248" t="inlineStr">
        <is>
          <t>1.5</t>
        </is>
      </c>
      <c r="I248" t="inlineStr">
        <is>
          <t>9</t>
        </is>
      </c>
      <c r="J248" t="inlineStr">
        <is>
          <t>Sofort</t>
        </is>
      </c>
      <c r="K248" t="inlineStr">
        <is>
          <t>(M)*min</t>
        </is>
      </c>
      <c r="L248" t="inlineStr">
        <is>
          <t>7</t>
        </is>
      </c>
      <c r="M248" t="inlineStr">
        <is>
          <t>13</t>
        </is>
      </c>
      <c r="N248" t="inlineStr">
        <is>
          <t>21</t>
        </is>
      </c>
      <c r="O248" t="inlineStr">
        <is>
          <t>7 / m³</t>
        </is>
      </c>
    </row>
    <row r="249">
      <c r="A249" t="inlineStr">
        <is>
          <t>spruchmagie_veraenderung_3_material_verhaerten</t>
        </is>
      </c>
      <c r="B249" t="inlineStr">
        <is>
          <t>16</t>
        </is>
      </c>
      <c r="C249" t="inlineStr">
        <is>
          <t>Keine Gegenprobe möglich.</t>
        </is>
      </c>
      <c r="D249" t="inlineStr">
        <is>
          <t>Berührung</t>
        </is>
      </c>
      <c r="E249" t="inlineStr">
        <is>
          <t>Gegenstand</t>
        </is>
      </c>
      <c r="F249" t="inlineStr">
        <is>
          <t>Aura</t>
        </is>
      </c>
      <c r="G249" t="inlineStr">
        <is>
          <t>Anhaltend</t>
        </is>
      </c>
      <c r="H249" t="inlineStr">
        <is>
          <t>1.5</t>
        </is>
      </c>
      <c r="I249" t="inlineStr">
        <is>
          <t>6</t>
        </is>
      </c>
      <c r="J249" t="inlineStr">
        <is>
          <t>Sofort</t>
        </is>
      </c>
      <c r="K249" t="inlineStr">
        <is>
          <t>(M)*min</t>
        </is>
      </c>
      <c r="L249" t="inlineStr">
        <is>
          <t>7</t>
        </is>
      </c>
      <c r="M249" t="inlineStr">
        <is>
          <t>13</t>
        </is>
      </c>
      <c r="N249" t="inlineStr">
        <is>
          <t>21</t>
        </is>
      </c>
      <c r="O249" t="inlineStr">
        <is>
          <t>1 / 5 l</t>
        </is>
      </c>
    </row>
    <row r="250">
      <c r="A250" t="inlineStr">
        <is>
          <t>spruchmagie_veraenderung_3_in_pflanze_verwandeln</t>
        </is>
      </c>
      <c r="B250" t="inlineStr">
        <is>
          <t>16</t>
        </is>
      </c>
      <c r="C250" t="inlineStr">
        <is>
          <t>Keine Gegenprobe möglich.</t>
        </is>
      </c>
      <c r="D250" t="inlineStr">
        <is>
          <t>Berührung</t>
        </is>
      </c>
      <c r="E250" t="inlineStr">
        <is>
          <t>Aura</t>
        </is>
      </c>
      <c r="F250" t="inlineStr">
        <is>
          <t>Aura</t>
        </is>
      </c>
      <c r="G250" t="inlineStr">
        <is>
          <t>Einmalig</t>
        </is>
      </c>
      <c r="H250" t="inlineStr">
        <is>
          <t>/</t>
        </is>
      </c>
      <c r="I250" t="inlineStr">
        <is>
          <t>1440</t>
        </is>
      </c>
      <c r="J250" t="inlineStr">
        <is>
          <t>3min</t>
        </is>
      </c>
      <c r="K250" t="inlineStr">
        <is>
          <t>(M)*2h</t>
        </is>
      </c>
      <c r="L250" t="inlineStr">
        <is>
          <t>7</t>
        </is>
      </c>
      <c r="M250" t="inlineStr">
        <is>
          <t>13</t>
        </is>
      </c>
      <c r="N250" t="inlineStr">
        <is>
          <t>21</t>
        </is>
      </c>
      <c r="O250" t="inlineStr">
        <is>
          <t>45</t>
        </is>
      </c>
    </row>
    <row r="251">
      <c r="A251" t="inlineStr">
        <is>
          <t>spruchmagie_veraenderung_3_temperatur_veraendern</t>
        </is>
      </c>
      <c r="B251" t="inlineStr">
        <is>
          <t>16</t>
        </is>
      </c>
      <c r="C251" t="inlineStr">
        <is>
          <t>Keine Gegenprobe möglich.</t>
        </is>
      </c>
      <c r="D251" t="inlineStr">
        <is>
          <t>(M)*m</t>
        </is>
      </c>
      <c r="E251" t="inlineStr">
        <is>
          <t>Gegenstand</t>
        </is>
      </c>
      <c r="F251" t="inlineStr">
        <is>
          <t>Aura</t>
        </is>
      </c>
      <c r="G251" t="inlineStr">
        <is>
          <t>Einmalig</t>
        </is>
      </c>
      <c r="H251" t="inlineStr">
        <is>
          <t>/</t>
        </is>
      </c>
      <c r="I251" t="inlineStr">
        <is>
          <t>4</t>
        </is>
      </c>
      <c r="J251" t="inlineStr">
        <is>
          <t>Sofort</t>
        </is>
      </c>
      <c r="K251" t="inlineStr">
        <is>
          <t>Magie*sec</t>
        </is>
      </c>
      <c r="L251" t="inlineStr">
        <is>
          <t>7</t>
        </is>
      </c>
      <c r="M251" t="inlineStr">
        <is>
          <t>13</t>
        </is>
      </c>
      <c r="N251" t="inlineStr">
        <is>
          <t>21</t>
        </is>
      </c>
      <c r="O251" t="inlineStr">
        <is>
          <t>12</t>
        </is>
      </c>
    </row>
    <row r="252">
      <c r="A252" t="inlineStr">
        <is>
          <t>spruchmagie_veraenderung_4_ruestung_verstaerken</t>
        </is>
      </c>
      <c r="B252" t="inlineStr">
        <is>
          <t>18</t>
        </is>
      </c>
      <c r="C252" t="inlineStr">
        <is>
          <t>Keine Gegenprobe möglich.</t>
        </is>
      </c>
      <c r="D252" t="inlineStr">
        <is>
          <t>Selbst</t>
        </is>
      </c>
      <c r="E252" t="inlineStr">
        <is>
          <t>Selbst</t>
        </is>
      </c>
      <c r="F252" t="inlineStr">
        <is>
          <t>Aura</t>
        </is>
      </c>
      <c r="G252" t="inlineStr">
        <is>
          <t>Anhaltend</t>
        </is>
      </c>
      <c r="H252" t="inlineStr">
        <is>
          <t>2</t>
        </is>
      </c>
      <c r="I252" t="inlineStr">
        <is>
          <t>12</t>
        </is>
      </c>
      <c r="J252" t="inlineStr">
        <is>
          <t>Sofort</t>
        </is>
      </c>
      <c r="K252" t="inlineStr">
        <is>
          <t>Magie*min</t>
        </is>
      </c>
      <c r="L252" t="inlineStr">
        <is>
          <t>8</t>
        </is>
      </c>
      <c r="M252" t="inlineStr">
        <is>
          <t>15</t>
        </is>
      </c>
      <c r="N252" t="inlineStr">
        <is>
          <t>24</t>
        </is>
      </c>
      <c r="O252" t="inlineStr">
        <is>
          <t>21 + 15 / min</t>
        </is>
      </c>
    </row>
    <row r="253">
      <c r="A253" t="inlineStr">
        <is>
          <t>spruchmagie_veraenderung_4_material_stabilisieren_konservieren</t>
        </is>
      </c>
      <c r="B253" t="inlineStr">
        <is>
          <t>18</t>
        </is>
      </c>
      <c r="C253" t="inlineStr">
        <is>
          <t>Keine Gegenprobe möglich.</t>
        </is>
      </c>
      <c r="D253" t="inlineStr">
        <is>
          <t>Berührung</t>
        </is>
      </c>
      <c r="E253" t="inlineStr">
        <is>
          <t>Gegenstand</t>
        </is>
      </c>
      <c r="F253" t="inlineStr">
        <is>
          <t>Aura</t>
        </is>
      </c>
      <c r="G253" t="inlineStr">
        <is>
          <t>Einmalig</t>
        </is>
      </c>
      <c r="H253" t="inlineStr">
        <is>
          <t>/</t>
        </is>
      </c>
      <c r="I253" t="inlineStr">
        <is>
          <t>3600</t>
        </is>
      </c>
      <c r="J253" t="inlineStr">
        <is>
          <t>sofort</t>
        </is>
      </c>
      <c r="K253" t="inlineStr">
        <is>
          <t>permanent</t>
        </is>
      </c>
      <c r="L253" t="inlineStr">
        <is>
          <t>8</t>
        </is>
      </c>
      <c r="M253" t="inlineStr">
        <is>
          <t>15</t>
        </is>
      </c>
      <c r="N253" t="inlineStr">
        <is>
          <t>24</t>
        </is>
      </c>
      <c r="O253" t="inlineStr">
        <is>
          <t>10/Liter</t>
        </is>
      </c>
    </row>
    <row r="254">
      <c r="A254" t="inlineStr">
        <is>
          <t>spruchmagie_veraenderung_4_gift_neutralisieren</t>
        </is>
      </c>
      <c r="B254" t="inlineStr">
        <is>
          <t>18</t>
        </is>
      </c>
      <c r="C254" t="inlineStr">
        <is>
          <t>Keine Gegenprobe möglich.</t>
        </is>
      </c>
      <c r="D254" t="inlineStr">
        <is>
          <t>(M)*2m</t>
        </is>
      </c>
      <c r="E254" t="inlineStr">
        <is>
          <t>Gegenstand</t>
        </is>
      </c>
      <c r="F254" t="inlineStr">
        <is>
          <t>Aura</t>
        </is>
      </c>
      <c r="G254" t="inlineStr">
        <is>
          <t>Einmalig</t>
        </is>
      </c>
      <c r="H254" t="inlineStr">
        <is>
          <t>/</t>
        </is>
      </c>
      <c r="I254" t="inlineStr">
        <is>
          <t>90</t>
        </is>
      </c>
      <c r="J254" t="inlineStr">
        <is>
          <t>3sec</t>
        </is>
      </c>
      <c r="K254" t="inlineStr">
        <is>
          <t>Permanent</t>
        </is>
      </c>
      <c r="L254" t="inlineStr">
        <is>
          <t>8</t>
        </is>
      </c>
      <c r="M254" t="inlineStr">
        <is>
          <t>15</t>
        </is>
      </c>
      <c r="N254" t="inlineStr">
        <is>
          <t>24</t>
        </is>
      </c>
      <c r="O254" t="inlineStr">
        <is>
          <t>8 / m³</t>
        </is>
      </c>
    </row>
    <row r="255">
      <c r="A255" t="inlineStr">
        <is>
          <t>spruchmagie_veraenderung_4_mechanik_blockieren</t>
        </is>
      </c>
      <c r="B255" t="inlineStr">
        <is>
          <t>18</t>
        </is>
      </c>
      <c r="C255" t="inlineStr">
        <is>
          <t>Keine Gegenprobe möglich.</t>
        </is>
      </c>
      <c r="D255" t="inlineStr">
        <is>
          <t>Magie*m</t>
        </is>
      </c>
      <c r="E255" t="inlineStr">
        <is>
          <t>Gegenstand</t>
        </is>
      </c>
      <c r="F255" t="inlineStr">
        <is>
          <t>Aura</t>
        </is>
      </c>
      <c r="G255" t="inlineStr">
        <is>
          <t>Einmalig</t>
        </is>
      </c>
      <c r="H255" t="inlineStr">
        <is>
          <t>/</t>
        </is>
      </c>
      <c r="I255" t="inlineStr">
        <is>
          <t>12</t>
        </is>
      </c>
      <c r="J255" t="inlineStr">
        <is>
          <t>Sofort</t>
        </is>
      </c>
      <c r="K255" t="inlineStr">
        <is>
          <t>Magie*min</t>
        </is>
      </c>
      <c r="L255" t="inlineStr">
        <is>
          <t>8</t>
        </is>
      </c>
      <c r="M255" t="inlineStr">
        <is>
          <t>15</t>
        </is>
      </c>
      <c r="N255" t="inlineStr">
        <is>
          <t>24</t>
        </is>
      </c>
      <c r="O255" t="inlineStr">
        <is>
          <t>10 / m³</t>
        </is>
      </c>
    </row>
    <row r="256">
      <c r="A256" t="inlineStr">
        <is>
          <t>spruchmagie_veraenderung_4_verwandlung_in_element</t>
        </is>
      </c>
      <c r="B256" t="inlineStr">
        <is>
          <t>18</t>
        </is>
      </c>
      <c r="C256" t="inlineStr">
        <is>
          <t>Keine Gegenprobe möglich.</t>
        </is>
      </c>
      <c r="D256" t="inlineStr">
        <is>
          <t>Magie*m</t>
        </is>
      </c>
      <c r="E256" t="inlineStr">
        <is>
          <t>Gegenstand</t>
        </is>
      </c>
      <c r="F256" t="inlineStr">
        <is>
          <t>Aura</t>
        </is>
      </c>
      <c r="G256" t="inlineStr">
        <is>
          <t>Einmalig</t>
        </is>
      </c>
      <c r="H256" t="inlineStr">
        <is>
          <t>/</t>
        </is>
      </c>
      <c r="I256" t="inlineStr">
        <is>
          <t>6</t>
        </is>
      </c>
      <c r="J256" t="inlineStr">
        <is>
          <t>3sec</t>
        </is>
      </c>
      <c r="K256" t="inlineStr">
        <is>
          <t>Permanent</t>
        </is>
      </c>
      <c r="L256" t="inlineStr">
        <is>
          <t>8</t>
        </is>
      </c>
      <c r="M256" t="inlineStr">
        <is>
          <t>15</t>
        </is>
      </c>
      <c r="N256" t="inlineStr">
        <is>
          <t>24</t>
        </is>
      </c>
      <c r="O256" t="inlineStr">
        <is>
          <t>6 / dm³</t>
        </is>
      </c>
    </row>
    <row r="257">
      <c r="A257" t="inlineStr">
        <is>
          <t>spruchmagie_veraenderung_5_schwerkraft_erhoehen</t>
        </is>
      </c>
      <c r="B257" t="inlineStr">
        <is>
          <t>20</t>
        </is>
      </c>
      <c r="C257" t="inlineStr">
        <is>
          <t>Keine Gegenprobe möglich.</t>
        </is>
      </c>
      <c r="D257" t="inlineStr">
        <is>
          <t>(M)*m</t>
        </is>
      </c>
      <c r="E257" t="inlineStr">
        <is>
          <t>Selbst</t>
        </is>
      </c>
      <c r="F257" t="inlineStr">
        <is>
          <t>Kugel</t>
        </is>
      </c>
      <c r="G257" t="inlineStr">
        <is>
          <t>Bipolar</t>
        </is>
      </c>
      <c r="H257" t="inlineStr">
        <is>
          <t>5</t>
        </is>
      </c>
      <c r="I257" t="inlineStr">
        <is>
          <t>12</t>
        </is>
      </c>
      <c r="J257" t="inlineStr">
        <is>
          <t>Sofort</t>
        </is>
      </c>
      <c r="K257" t="inlineStr">
        <is>
          <t>(M)/2sec</t>
        </is>
      </c>
      <c r="L257" t="inlineStr">
        <is>
          <t>9</t>
        </is>
      </c>
      <c r="M257" t="inlineStr">
        <is>
          <t>17</t>
        </is>
      </c>
      <c r="N257" t="inlineStr">
        <is>
          <t>27</t>
        </is>
      </c>
      <c r="O257" t="inlineStr">
        <is>
          <t>10 / sec</t>
        </is>
      </c>
    </row>
    <row r="258">
      <c r="A258" t="inlineStr">
        <is>
          <t>spruchmagie_veraenderung_5_ruestung_schwaechen</t>
        </is>
      </c>
      <c r="B258" t="inlineStr">
        <is>
          <t>20</t>
        </is>
      </c>
      <c r="C258" t="inlineStr">
        <is>
          <t>Glücks-Probe, um der Wirkung zu entgehen.</t>
        </is>
      </c>
      <c r="D258" t="inlineStr">
        <is>
          <t>(M)*m</t>
        </is>
      </c>
      <c r="E258" t="inlineStr">
        <is>
          <t>Aura</t>
        </is>
      </c>
      <c r="F258" t="inlineStr">
        <is>
          <t>Blitz</t>
        </is>
      </c>
      <c r="G258" t="inlineStr">
        <is>
          <t>Einmalig</t>
        </is>
      </c>
      <c r="H258" t="inlineStr">
        <is>
          <t>/</t>
        </is>
      </c>
      <c r="I258" t="inlineStr">
        <is>
          <t>6</t>
        </is>
      </c>
      <c r="J258" t="inlineStr">
        <is>
          <t>Sofort</t>
        </is>
      </c>
      <c r="K258" t="inlineStr">
        <is>
          <t>(M)*sec</t>
        </is>
      </c>
      <c r="L258" t="inlineStr">
        <is>
          <t>9</t>
        </is>
      </c>
      <c r="M258" t="inlineStr">
        <is>
          <t>17</t>
        </is>
      </c>
      <c r="N258" t="inlineStr">
        <is>
          <t>27</t>
        </is>
      </c>
      <c r="O258" t="inlineStr">
        <is>
          <t>30</t>
        </is>
      </c>
    </row>
    <row r="259">
      <c r="A259" t="inlineStr">
        <is>
          <t>spruchmagie_veraenderung_6_weg_aus_licht</t>
        </is>
      </c>
      <c r="B259" t="inlineStr">
        <is>
          <t>22</t>
        </is>
      </c>
      <c r="C259" t="inlineStr">
        <is>
          <t>Keine Gegenprobe möglich.</t>
        </is>
      </c>
      <c r="D259" t="inlineStr">
        <is>
          <t>(M)*10m</t>
        </is>
      </c>
      <c r="E259" t="inlineStr">
        <is>
          <t>Aura</t>
        </is>
      </c>
      <c r="F259" t="inlineStr">
        <is>
          <t>Aura</t>
        </is>
      </c>
      <c r="G259" t="inlineStr">
        <is>
          <t>Anhaltend</t>
        </is>
      </c>
      <c r="H259" t="inlineStr">
        <is>
          <t>3</t>
        </is>
      </c>
      <c r="I259" t="inlineStr">
        <is>
          <t>21</t>
        </is>
      </c>
      <c r="J259" t="inlineStr">
        <is>
          <t>(Länge in Metern)/10sec</t>
        </is>
      </c>
      <c r="K259" t="inlineStr">
        <is>
          <t>Magie*h</t>
        </is>
      </c>
      <c r="L259" t="inlineStr">
        <is>
          <t>10</t>
        </is>
      </c>
      <c r="M259" t="inlineStr">
        <is>
          <t>19</t>
        </is>
      </c>
      <c r="N259" t="inlineStr">
        <is>
          <t>30</t>
        </is>
      </c>
      <c r="O259" t="inlineStr">
        <is>
          <t>35 + 5 / min</t>
        </is>
      </c>
    </row>
    <row r="260">
      <c r="A260" t="inlineStr">
        <is>
          <t>spruchmagie_veraenderung_6_wettermeisterschaft</t>
        </is>
      </c>
      <c r="B260" t="inlineStr">
        <is>
          <t>22</t>
        </is>
      </c>
      <c r="C260" t="inlineStr">
        <is>
          <t>Keine Gegenprobe möglich.</t>
        </is>
      </c>
      <c r="D260" t="inlineStr">
        <is>
          <t>Magie*kmRadius</t>
        </is>
      </c>
      <c r="E260" t="inlineStr">
        <is>
          <t>Selbst</t>
        </is>
      </c>
      <c r="F260" t="inlineStr">
        <is>
          <t>Kugel</t>
        </is>
      </c>
      <c r="G260" t="inlineStr">
        <is>
          <t>Einmalig</t>
        </is>
      </c>
      <c r="H260" t="inlineStr">
        <is>
          <t>/</t>
        </is>
      </c>
      <c r="I260" t="inlineStr">
        <is>
          <t>3600</t>
        </is>
      </c>
      <c r="J260" t="inlineStr">
        <is>
          <t>10min</t>
        </is>
      </c>
      <c r="K260" t="inlineStr">
        <is>
          <t>Magie*h</t>
        </is>
      </c>
      <c r="L260" t="inlineStr">
        <is>
          <t>10</t>
        </is>
      </c>
      <c r="M260" t="inlineStr">
        <is>
          <t>19</t>
        </is>
      </c>
      <c r="N260" t="inlineStr">
        <is>
          <t>30</t>
        </is>
      </c>
      <c r="O260" t="inlineStr">
        <is>
          <t>25 / Stufe</t>
        </is>
      </c>
    </row>
    <row r="261">
      <c r="A261" t="inlineStr">
        <is>
          <t>spruchmagie_veraenderung_6_unbelebte_materie_zerstoeren</t>
        </is>
      </c>
      <c r="B261" t="inlineStr">
        <is>
          <t>22</t>
        </is>
      </c>
      <c r="C261" t="inlineStr">
        <is>
          <t>Glücks-Probe, um der Wirkung zu entgehen.</t>
        </is>
      </c>
      <c r="D261" t="inlineStr">
        <is>
          <t>(M)/2m</t>
        </is>
      </c>
      <c r="E261" t="inlineStr">
        <is>
          <t>Punkt im Raum</t>
        </is>
      </c>
      <c r="F261" t="inlineStr">
        <is>
          <t>Strahl</t>
        </is>
      </c>
      <c r="G261" t="inlineStr">
        <is>
          <t>Anhaltend</t>
        </is>
      </c>
      <c r="H261" t="inlineStr">
        <is>
          <t>3</t>
        </is>
      </c>
      <c r="I261" t="inlineStr">
        <is>
          <t>6</t>
        </is>
      </c>
      <c r="J261" t="inlineStr">
        <is>
          <t>Sofort</t>
        </is>
      </c>
      <c r="K261" t="inlineStr">
        <is>
          <t>Magie*2sec</t>
        </is>
      </c>
      <c r="L261" t="inlineStr">
        <is>
          <t>10</t>
        </is>
      </c>
      <c r="M261" t="inlineStr">
        <is>
          <t>19</t>
        </is>
      </c>
      <c r="N261" t="inlineStr">
        <is>
          <t>30</t>
        </is>
      </c>
      <c r="O261" t="inlineStr">
        <is>
          <t>10 + 6 / sec</t>
        </is>
      </c>
    </row>
    <row r="262">
      <c r="A262" t="inlineStr">
        <is>
          <t>spruchmagie_veraenderung_7_materie_zerstoeren</t>
        </is>
      </c>
      <c r="B262" t="inlineStr">
        <is>
          <t>24</t>
        </is>
      </c>
      <c r="C262" t="inlineStr">
        <is>
          <t>Glücks-Probe, um der Wirkung zu entgehen.</t>
        </is>
      </c>
      <c r="D262" t="inlineStr">
        <is>
          <t>(M)*m</t>
        </is>
      </c>
      <c r="E262" t="inlineStr">
        <is>
          <t>Punkt im Raum</t>
        </is>
      </c>
      <c r="F262" t="inlineStr">
        <is>
          <t>Strahl</t>
        </is>
      </c>
      <c r="G262" t="inlineStr">
        <is>
          <t>Anhaltend</t>
        </is>
      </c>
      <c r="H262" t="inlineStr">
        <is>
          <t>3.5</t>
        </is>
      </c>
      <c r="I262" t="inlineStr">
        <is>
          <t>6</t>
        </is>
      </c>
      <c r="J262" t="inlineStr">
        <is>
          <t>Sofort</t>
        </is>
      </c>
      <c r="K262" t="inlineStr">
        <is>
          <t>Magie*2sec</t>
        </is>
      </c>
      <c r="L262" t="inlineStr">
        <is>
          <t>11</t>
        </is>
      </c>
      <c r="M262" t="inlineStr">
        <is>
          <t>20</t>
        </is>
      </c>
      <c r="N262" t="inlineStr">
        <is>
          <t>32</t>
        </is>
      </c>
      <c r="O262" t="inlineStr">
        <is>
          <t>12 + 7 / sec</t>
        </is>
      </c>
    </row>
    <row r="263">
      <c r="A263" t="inlineStr">
        <is>
          <t>spruchmagie_veraenderung_7_stillstand</t>
        </is>
      </c>
      <c r="B263" t="inlineStr">
        <is>
          <t>24</t>
        </is>
      </c>
      <c r="C263" t="inlineStr">
        <is>
          <t>Keine Gegenprobe möglich.</t>
        </is>
      </c>
      <c r="D263" t="inlineStr">
        <is>
          <t>(M)*m</t>
        </is>
      </c>
      <c r="E263" t="inlineStr">
        <is>
          <t>Punkt im Raum</t>
        </is>
      </c>
      <c r="F263" t="inlineStr">
        <is>
          <t>Kugel</t>
        </is>
      </c>
      <c r="G263" t="inlineStr">
        <is>
          <t>Bipolar</t>
        </is>
      </c>
      <c r="H263" t="inlineStr">
        <is>
          <t>7</t>
        </is>
      </c>
      <c r="I263" t="inlineStr">
        <is>
          <t>4</t>
        </is>
      </c>
      <c r="J263" t="inlineStr">
        <is>
          <t>Sofort</t>
        </is>
      </c>
      <c r="K263" t="inlineStr">
        <is>
          <t>(M)*sec</t>
        </is>
      </c>
      <c r="L263" t="inlineStr">
        <is>
          <t>11</t>
        </is>
      </c>
      <c r="M263" t="inlineStr">
        <is>
          <t>20</t>
        </is>
      </c>
      <c r="N263" t="inlineStr">
        <is>
          <t>32</t>
        </is>
      </c>
      <c r="O263" t="inlineStr">
        <is>
          <t>40 / sec</t>
        </is>
      </c>
    </row>
    <row r="264">
      <c r="A264" t="inlineStr">
        <is>
          <t>spruchmagie_veraenderung_7_fleisch_zu_stein</t>
        </is>
      </c>
      <c r="B264" t="inlineStr">
        <is>
          <t>24</t>
        </is>
      </c>
      <c r="C264" t="inlineStr">
        <is>
          <t>Glücks-Probe, um der Wirkung zu entgehen.</t>
        </is>
      </c>
      <c r="D264" t="inlineStr">
        <is>
          <t>Magie*m</t>
        </is>
      </c>
      <c r="E264" t="inlineStr">
        <is>
          <t>Aura</t>
        </is>
      </c>
      <c r="F264" t="inlineStr">
        <is>
          <t>Strahl</t>
        </is>
      </c>
      <c r="G264" t="inlineStr">
        <is>
          <t>Einmalig</t>
        </is>
      </c>
      <c r="H264" t="inlineStr">
        <is>
          <t>/</t>
        </is>
      </c>
      <c r="I264" t="inlineStr">
        <is>
          <t>15</t>
        </is>
      </c>
      <c r="J264" t="inlineStr">
        <is>
          <t>60sec</t>
        </is>
      </c>
      <c r="K264" t="inlineStr">
        <is>
          <t>(M)*Tage</t>
        </is>
      </c>
      <c r="L264" t="inlineStr">
        <is>
          <t>11</t>
        </is>
      </c>
      <c r="M264" t="inlineStr">
        <is>
          <t>20</t>
        </is>
      </c>
      <c r="N264" t="inlineStr">
        <is>
          <t>32</t>
        </is>
      </c>
      <c r="O264" t="inlineStr">
        <is>
          <t>111</t>
        </is>
      </c>
    </row>
    <row r="265">
      <c r="A265" t="inlineStr">
        <is>
          <t>spruchmagie_verzauberung_1_whk_erhoehen</t>
        </is>
      </c>
      <c r="B265" t="inlineStr">
        <is>
          <t>12</t>
        </is>
      </c>
      <c r="C265" t="inlineStr">
        <is>
          <t>Keine Gegenprobe möglich.</t>
        </is>
      </c>
      <c r="D265" t="inlineStr">
        <is>
          <t>Berührung</t>
        </is>
      </c>
      <c r="E265" t="inlineStr">
        <is>
          <t>Aura</t>
        </is>
      </c>
      <c r="F265" t="inlineStr">
        <is>
          <t>Aura</t>
        </is>
      </c>
      <c r="G265" t="inlineStr">
        <is>
          <t>Einmalig</t>
        </is>
      </c>
      <c r="H265" t="inlineStr">
        <is>
          <t>/</t>
        </is>
      </c>
      <c r="I265" t="inlineStr">
        <is>
          <t>30</t>
        </is>
      </c>
      <c r="J265" t="inlineStr">
        <is>
          <t>Sofort</t>
        </is>
      </c>
      <c r="K265" t="inlineStr">
        <is>
          <t>Magie*h</t>
        </is>
      </c>
      <c r="L265" t="inlineStr">
        <is>
          <t>2</t>
        </is>
      </c>
      <c r="M265" t="inlineStr">
        <is>
          <t>6</t>
        </is>
      </c>
      <c r="N265" t="inlineStr">
        <is>
          <t>12</t>
        </is>
      </c>
      <c r="O265" t="inlineStr">
        <is>
          <t>15</t>
        </is>
      </c>
    </row>
    <row r="266">
      <c r="A266" t="inlineStr">
        <is>
          <t>spruchmagie_verzauberung_1_manaspende</t>
        </is>
      </c>
      <c r="B266" t="inlineStr">
        <is>
          <t>12</t>
        </is>
      </c>
      <c r="C266" t="inlineStr">
        <is>
          <t>Keine Gegenprobe möglich.</t>
        </is>
      </c>
      <c r="D266" t="inlineStr">
        <is>
          <t>Berührung</t>
        </is>
      </c>
      <c r="E266" t="inlineStr">
        <is>
          <t>Aura</t>
        </is>
      </c>
      <c r="F266" t="inlineStr">
        <is>
          <t>Aura</t>
        </is>
      </c>
      <c r="G266" t="inlineStr">
        <is>
          <t>Einmalig</t>
        </is>
      </c>
      <c r="H266" t="inlineStr">
        <is>
          <t>/</t>
        </is>
      </c>
      <c r="I266" t="inlineStr">
        <is>
          <t>60</t>
        </is>
      </c>
      <c r="J266" t="inlineStr">
        <is>
          <t>5sec</t>
        </is>
      </c>
      <c r="K266" t="inlineStr">
        <is>
          <t>Permanent</t>
        </is>
      </c>
      <c r="L266" t="inlineStr">
        <is>
          <t>2</t>
        </is>
      </c>
      <c r="M266" t="inlineStr">
        <is>
          <t>6</t>
        </is>
      </c>
      <c r="N266" t="inlineStr">
        <is>
          <t>12</t>
        </is>
      </c>
      <c r="O266" t="inlineStr">
        <is>
          <t>(M) * 2 +4</t>
        </is>
      </c>
    </row>
    <row r="267">
      <c r="A267" t="inlineStr">
        <is>
          <t>spruchmagie_verzauberung_1_kleine_telekinese</t>
        </is>
      </c>
      <c r="B267" t="inlineStr">
        <is>
          <t>12</t>
        </is>
      </c>
      <c r="C267" t="inlineStr">
        <is>
          <t>Glücks-Probe, um der Wirkung zu entgehen.</t>
        </is>
      </c>
      <c r="D267" t="inlineStr">
        <is>
          <t>(M)*m</t>
        </is>
      </c>
      <c r="E267" t="inlineStr">
        <is>
          <t>Gegenstand</t>
        </is>
      </c>
      <c r="F267" t="inlineStr">
        <is>
          <t>Strahl</t>
        </is>
      </c>
      <c r="G267" t="inlineStr">
        <is>
          <t>Bipolar</t>
        </is>
      </c>
      <c r="H267" t="inlineStr">
        <is>
          <t>1</t>
        </is>
      </c>
      <c r="I267" t="inlineStr">
        <is>
          <t>5</t>
        </is>
      </c>
      <c r="J267" t="inlineStr">
        <is>
          <t>Sofort</t>
        </is>
      </c>
      <c r="K267" t="inlineStr">
        <is>
          <t>(M)*10sec</t>
        </is>
      </c>
      <c r="L267" t="inlineStr">
        <is>
          <t>2</t>
        </is>
      </c>
      <c r="M267" t="inlineStr">
        <is>
          <t>6</t>
        </is>
      </c>
      <c r="N267" t="inlineStr">
        <is>
          <t>12</t>
        </is>
      </c>
      <c r="O267" t="inlineStr">
        <is>
          <t>(1 / 50 g) / 10 sec</t>
        </is>
      </c>
    </row>
    <row r="268">
      <c r="A268" t="inlineStr">
        <is>
          <t>spruchmagie_verzauberung_2_kiemen</t>
        </is>
      </c>
      <c r="B268" t="inlineStr">
        <is>
          <t>14</t>
        </is>
      </c>
      <c r="C268" t="inlineStr">
        <is>
          <t>Keine Gegenprobe möglich.</t>
        </is>
      </c>
      <c r="D268" t="inlineStr">
        <is>
          <t>Berührung</t>
        </is>
      </c>
      <c r="E268" t="inlineStr">
        <is>
          <t>Aura</t>
        </is>
      </c>
      <c r="F268" t="inlineStr">
        <is>
          <t>Aura</t>
        </is>
      </c>
      <c r="G268" t="inlineStr">
        <is>
          <t>Einmalig</t>
        </is>
      </c>
      <c r="H268" t="inlineStr">
        <is>
          <t>/</t>
        </is>
      </c>
      <c r="I268" t="inlineStr">
        <is>
          <t>45</t>
        </is>
      </c>
      <c r="J268" t="inlineStr">
        <is>
          <t>15sec</t>
        </is>
      </c>
      <c r="K268" t="inlineStr">
        <is>
          <t>(M)*5min</t>
        </is>
      </c>
      <c r="L268" t="inlineStr">
        <is>
          <t>4</t>
        </is>
      </c>
      <c r="M268" t="inlineStr">
        <is>
          <t>9</t>
        </is>
      </c>
      <c r="N268" t="inlineStr">
        <is>
          <t>16</t>
        </is>
      </c>
      <c r="O268" t="inlineStr">
        <is>
          <t>18</t>
        </is>
      </c>
    </row>
    <row r="269">
      <c r="A269" t="inlineStr">
        <is>
          <t>spruchmagie_verzauberung_2_explosionsfalle</t>
        </is>
      </c>
      <c r="B269" t="inlineStr">
        <is>
          <t>14</t>
        </is>
      </c>
      <c r="C269" t="inlineStr">
        <is>
          <t>Keine Gegenprobe möglich.</t>
        </is>
      </c>
      <c r="D269" t="inlineStr">
        <is>
          <t>Berührung</t>
        </is>
      </c>
      <c r="E269" t="inlineStr">
        <is>
          <t>Gegenstand</t>
        </is>
      </c>
      <c r="F269" t="inlineStr">
        <is>
          <t>Aura</t>
        </is>
      </c>
      <c r="G269" t="inlineStr">
        <is>
          <t>Anhaltend</t>
        </is>
      </c>
      <c r="H269" t="inlineStr">
        <is>
          <t>1</t>
        </is>
      </c>
      <c r="I269" t="inlineStr">
        <is>
          <t>12</t>
        </is>
      </c>
      <c r="J269" t="inlineStr">
        <is>
          <t>1sec</t>
        </is>
      </c>
      <c r="K269" t="inlineStr">
        <is>
          <t>(M)*h</t>
        </is>
      </c>
      <c r="L269" t="inlineStr">
        <is>
          <t>4</t>
        </is>
      </c>
      <c r="M269" t="inlineStr">
        <is>
          <t>9</t>
        </is>
      </c>
      <c r="N269" t="inlineStr">
        <is>
          <t>16</t>
        </is>
      </c>
      <c r="O269" t="inlineStr">
        <is>
          <t>25</t>
        </is>
      </c>
    </row>
    <row r="270">
      <c r="A270" t="inlineStr">
        <is>
          <t>spruchmagie_verzauberung_2_mana_fernspende</t>
        </is>
      </c>
      <c r="B270" t="inlineStr">
        <is>
          <t>14</t>
        </is>
      </c>
      <c r="C270" t="inlineStr">
        <is>
          <t>Keine Gegenprobe möglich.</t>
        </is>
      </c>
      <c r="D270" t="inlineStr">
        <is>
          <t>(M)/2m</t>
        </is>
      </c>
      <c r="E270" t="inlineStr">
        <is>
          <t>Aura</t>
        </is>
      </c>
      <c r="F270" t="inlineStr">
        <is>
          <t>Aura</t>
        </is>
      </c>
      <c r="G270" t="inlineStr">
        <is>
          <t>Bipolar</t>
        </is>
      </c>
      <c r="H270" t="inlineStr">
        <is>
          <t>2</t>
        </is>
      </c>
      <c r="I270" t="inlineStr">
        <is>
          <t>6</t>
        </is>
      </c>
      <c r="J270" t="inlineStr">
        <is>
          <t>1sec pro 10Mana</t>
        </is>
      </c>
      <c r="K270" t="inlineStr">
        <is>
          <t>permanent</t>
        </is>
      </c>
      <c r="L270" t="inlineStr">
        <is>
          <t>4</t>
        </is>
      </c>
      <c r="M270" t="inlineStr">
        <is>
          <t>9</t>
        </is>
      </c>
      <c r="N270" t="inlineStr">
        <is>
          <t>16</t>
        </is>
      </c>
      <c r="O270" t="inlineStr">
        <is>
          <t>(M) * 2 + 16</t>
        </is>
      </c>
    </row>
    <row r="271">
      <c r="A271" t="inlineStr">
        <is>
          <t>spruchmagie_verzauberung_2_leben_einhauchen</t>
        </is>
      </c>
      <c r="B271" t="inlineStr">
        <is>
          <t>14</t>
        </is>
      </c>
      <c r="C271" t="inlineStr">
        <is>
          <t>Keine Gegenprobe möglich.</t>
        </is>
      </c>
      <c r="D271" t="inlineStr">
        <is>
          <t>(M)/3m</t>
        </is>
      </c>
      <c r="E271" t="inlineStr">
        <is>
          <t>Gegenstand</t>
        </is>
      </c>
      <c r="F271" t="inlineStr">
        <is>
          <t>Aura</t>
        </is>
      </c>
      <c r="G271" t="inlineStr">
        <is>
          <t>Anhaltend</t>
        </is>
      </c>
      <c r="H271" t="inlineStr">
        <is>
          <t>1</t>
        </is>
      </c>
      <c r="I271" t="inlineStr">
        <is>
          <t>7sec</t>
        </is>
      </c>
      <c r="J271" t="inlineStr">
        <is>
          <t>1sec</t>
        </is>
      </c>
      <c r="K271" t="inlineStr">
        <is>
          <t>(M)*min</t>
        </is>
      </c>
      <c r="L271" t="inlineStr">
        <is>
          <t>4</t>
        </is>
      </c>
      <c r="M271" t="inlineStr">
        <is>
          <t>9</t>
        </is>
      </c>
      <c r="N271" t="inlineStr">
        <is>
          <t>16</t>
        </is>
      </c>
      <c r="O271" t="inlineStr">
        <is>
          <t>7+1/min</t>
        </is>
      </c>
    </row>
    <row r="272">
      <c r="A272" t="inlineStr">
        <is>
          <t>spruchmagie_verzauberung_3_geistige_eigenschaft_erhoehen</t>
        </is>
      </c>
      <c r="B272" t="inlineStr">
        <is>
          <t>16</t>
        </is>
      </c>
      <c r="C272" t="inlineStr">
        <is>
          <t>Keine Gegenprobe möglich.</t>
        </is>
      </c>
      <c r="D272" t="inlineStr">
        <is>
          <t>Berührung</t>
        </is>
      </c>
      <c r="E272" t="inlineStr">
        <is>
          <t>Aura</t>
        </is>
      </c>
      <c r="F272" t="inlineStr">
        <is>
          <t>Aura</t>
        </is>
      </c>
      <c r="G272" t="inlineStr">
        <is>
          <t>Einmalig</t>
        </is>
      </c>
      <c r="H272" t="inlineStr">
        <is>
          <t>/</t>
        </is>
      </c>
      <c r="I272" t="inlineStr">
        <is>
          <t>24</t>
        </is>
      </c>
      <c r="J272" t="inlineStr">
        <is>
          <t>sofort</t>
        </is>
      </c>
      <c r="K272" t="inlineStr">
        <is>
          <t>(M)*min</t>
        </is>
      </c>
      <c r="L272" t="inlineStr">
        <is>
          <t>7</t>
        </is>
      </c>
      <c r="M272" t="inlineStr">
        <is>
          <t>13</t>
        </is>
      </c>
      <c r="N272" t="inlineStr">
        <is>
          <t>21</t>
        </is>
      </c>
      <c r="O272" t="inlineStr">
        <is>
          <t>18</t>
        </is>
      </c>
    </row>
    <row r="273">
      <c r="A273" t="inlineStr">
        <is>
          <t>spruchmagie_verzauberung_3_blitz_klinge_v</t>
        </is>
      </c>
      <c r="B273" t="inlineStr">
        <is>
          <t>16</t>
        </is>
      </c>
      <c r="C273" t="inlineStr">
        <is>
          <t>Keine Gegenprobe möglich.</t>
        </is>
      </c>
      <c r="D273" t="inlineStr">
        <is>
          <t>Berührung</t>
        </is>
      </c>
      <c r="E273" t="inlineStr">
        <is>
          <t>Gegenstand</t>
        </is>
      </c>
      <c r="F273" t="inlineStr">
        <is>
          <t>Aura</t>
        </is>
      </c>
      <c r="G273" t="inlineStr">
        <is>
          <t>Anhaltend</t>
        </is>
      </c>
      <c r="H273" t="inlineStr">
        <is>
          <t>1.5</t>
        </is>
      </c>
      <c r="I273" t="inlineStr">
        <is>
          <t>8</t>
        </is>
      </c>
      <c r="J273" t="inlineStr">
        <is>
          <t>1sec</t>
        </is>
      </c>
      <c r="K273" t="inlineStr">
        <is>
          <t>(M)*min</t>
        </is>
      </c>
      <c r="L273" t="inlineStr">
        <is>
          <t>7</t>
        </is>
      </c>
      <c r="M273" t="inlineStr">
        <is>
          <t>13</t>
        </is>
      </c>
      <c r="N273" t="inlineStr">
        <is>
          <t>21</t>
        </is>
      </c>
      <c r="O273" t="inlineStr">
        <is>
          <t>26</t>
        </is>
      </c>
    </row>
    <row r="274">
      <c r="A274" t="inlineStr">
        <is>
          <t>spruchmagie_verzauberung_3_erd_klinge_v</t>
        </is>
      </c>
      <c r="B274" t="inlineStr">
        <is>
          <t>16</t>
        </is>
      </c>
      <c r="C274" t="inlineStr">
        <is>
          <t>Keine Gegenprobe möglich.</t>
        </is>
      </c>
      <c r="D274" t="inlineStr">
        <is>
          <t>Berührung</t>
        </is>
      </c>
      <c r="E274" t="inlineStr">
        <is>
          <t>Gegenstand</t>
        </is>
      </c>
      <c r="F274" t="inlineStr">
        <is>
          <t>Aura</t>
        </is>
      </c>
      <c r="G274" t="inlineStr">
        <is>
          <t>Anhaltend</t>
        </is>
      </c>
      <c r="H274" t="inlineStr">
        <is>
          <t>1.5</t>
        </is>
      </c>
      <c r="I274" t="inlineStr">
        <is>
          <t>8</t>
        </is>
      </c>
      <c r="J274" t="inlineStr">
        <is>
          <t>1sec</t>
        </is>
      </c>
      <c r="K274" t="inlineStr">
        <is>
          <t>(M)*min</t>
        </is>
      </c>
      <c r="L274" t="inlineStr">
        <is>
          <t>7</t>
        </is>
      </c>
      <c r="M274" t="inlineStr">
        <is>
          <t>13</t>
        </is>
      </c>
      <c r="N274" t="inlineStr">
        <is>
          <t>21</t>
        </is>
      </c>
      <c r="O274" t="inlineStr">
        <is>
          <t>26</t>
        </is>
      </c>
    </row>
    <row r="275">
      <c r="A275" t="inlineStr">
        <is>
          <t>spruchmagie_verzauberung_3_feuer_klinge_v</t>
        </is>
      </c>
      <c r="B275" t="inlineStr">
        <is>
          <t>16</t>
        </is>
      </c>
      <c r="C275" t="inlineStr">
        <is>
          <t>Keine Gegenprobe möglich.</t>
        </is>
      </c>
      <c r="D275" t="inlineStr">
        <is>
          <t>Berührung</t>
        </is>
      </c>
      <c r="E275" t="inlineStr">
        <is>
          <t>Gegenstand</t>
        </is>
      </c>
      <c r="F275" t="inlineStr">
        <is>
          <t>Aura</t>
        </is>
      </c>
      <c r="G275" t="inlineStr">
        <is>
          <t>Anhaltend</t>
        </is>
      </c>
      <c r="H275" t="inlineStr">
        <is>
          <t>1.5</t>
        </is>
      </c>
      <c r="I275" t="inlineStr">
        <is>
          <t>8</t>
        </is>
      </c>
      <c r="J275" t="inlineStr">
        <is>
          <t>1sec</t>
        </is>
      </c>
      <c r="K275" t="inlineStr">
        <is>
          <t>(M)*min</t>
        </is>
      </c>
      <c r="L275" t="inlineStr">
        <is>
          <t>7</t>
        </is>
      </c>
      <c r="M275" t="inlineStr">
        <is>
          <t>13</t>
        </is>
      </c>
      <c r="N275" t="inlineStr">
        <is>
          <t>21</t>
        </is>
      </c>
      <c r="O275" t="inlineStr">
        <is>
          <t>26</t>
        </is>
      </c>
    </row>
    <row r="276">
      <c r="A276" t="inlineStr">
        <is>
          <t>spruchmagie_verzauberung_3_flammen_pfeil_v</t>
        </is>
      </c>
      <c r="B276" t="inlineStr">
        <is>
          <t>16</t>
        </is>
      </c>
      <c r="C276" t="inlineStr">
        <is>
          <t>Keine Gegenprobe möglich.</t>
        </is>
      </c>
      <c r="D276" t="inlineStr">
        <is>
          <t>Berührung</t>
        </is>
      </c>
      <c r="E276" t="inlineStr">
        <is>
          <t>Gegenstand</t>
        </is>
      </c>
      <c r="F276" t="inlineStr">
        <is>
          <t>Aura</t>
        </is>
      </c>
      <c r="G276" t="inlineStr">
        <is>
          <t>Einmalig</t>
        </is>
      </c>
      <c r="H276" t="inlineStr">
        <is>
          <t>/</t>
        </is>
      </c>
      <c r="I276" t="inlineStr">
        <is>
          <t>2</t>
        </is>
      </c>
      <c r="J276" t="inlineStr">
        <is>
          <t>sofort</t>
        </is>
      </c>
      <c r="K276" t="inlineStr">
        <is>
          <t>(M)*3sec</t>
        </is>
      </c>
      <c r="L276" t="inlineStr">
        <is>
          <t>7</t>
        </is>
      </c>
      <c r="M276" t="inlineStr">
        <is>
          <t>13</t>
        </is>
      </c>
      <c r="N276" t="inlineStr">
        <is>
          <t>21</t>
        </is>
      </c>
      <c r="O276" t="inlineStr">
        <is>
          <t>4</t>
        </is>
      </c>
    </row>
    <row r="277">
      <c r="A277" t="inlineStr">
        <is>
          <t>spruchmagie_verzauberung_3_geistesbund</t>
        </is>
      </c>
      <c r="B277" t="inlineStr">
        <is>
          <t>16</t>
        </is>
      </c>
      <c r="C277" t="inlineStr">
        <is>
          <t>Keine Gegenprobe möglich.</t>
        </is>
      </c>
      <c r="D277" t="inlineStr">
        <is>
          <t>Berührung</t>
        </is>
      </c>
      <c r="E277" t="inlineStr">
        <is>
          <t>Aura</t>
        </is>
      </c>
      <c r="F277" t="inlineStr">
        <is>
          <t>Aura</t>
        </is>
      </c>
      <c r="G277" t="inlineStr">
        <is>
          <t>Einmalig</t>
        </is>
      </c>
      <c r="H277" t="inlineStr">
        <is>
          <t>/</t>
        </is>
      </c>
      <c r="I277" t="inlineStr">
        <is>
          <t>720</t>
        </is>
      </c>
      <c r="J277" t="inlineStr">
        <is>
          <t>Sofort</t>
        </is>
      </c>
      <c r="K277" t="inlineStr">
        <is>
          <t>(M)*min</t>
        </is>
      </c>
      <c r="L277" t="inlineStr">
        <is>
          <t>7</t>
        </is>
      </c>
      <c r="M277" t="inlineStr">
        <is>
          <t>13</t>
        </is>
      </c>
      <c r="N277" t="inlineStr">
        <is>
          <t>21</t>
        </is>
      </c>
      <c r="O277" t="inlineStr">
        <is>
          <t>8</t>
        </is>
      </c>
    </row>
    <row r="278">
      <c r="A278" t="inlineStr">
        <is>
          <t>spruchmagie_verzauberung_3_frost_klinge_v</t>
        </is>
      </c>
      <c r="B278" t="inlineStr">
        <is>
          <t>16</t>
        </is>
      </c>
      <c r="C278" t="inlineStr">
        <is>
          <t>Keine Gegenprobe möglich.</t>
        </is>
      </c>
      <c r="D278" t="inlineStr">
        <is>
          <t>Berührung</t>
        </is>
      </c>
      <c r="E278" t="inlineStr">
        <is>
          <t>Gegenstand</t>
        </is>
      </c>
      <c r="F278" t="inlineStr">
        <is>
          <t>Aura</t>
        </is>
      </c>
      <c r="G278" t="inlineStr">
        <is>
          <t>Anhaltend</t>
        </is>
      </c>
      <c r="H278" t="inlineStr">
        <is>
          <t>1.5</t>
        </is>
      </c>
      <c r="I278" t="inlineStr">
        <is>
          <t>8</t>
        </is>
      </c>
      <c r="J278" t="inlineStr">
        <is>
          <t>1sec</t>
        </is>
      </c>
      <c r="K278" t="inlineStr">
        <is>
          <t>(M)*min</t>
        </is>
      </c>
      <c r="L278" t="inlineStr">
        <is>
          <t>7</t>
        </is>
      </c>
      <c r="M278" t="inlineStr">
        <is>
          <t>13</t>
        </is>
      </c>
      <c r="N278" t="inlineStr">
        <is>
          <t>21</t>
        </is>
      </c>
      <c r="O278" t="inlineStr">
        <is>
          <t>26</t>
        </is>
      </c>
    </row>
    <row r="279">
      <c r="A279" t="inlineStr">
        <is>
          <t>spruchmagie_verzauberung_3_frost_pfeil_v</t>
        </is>
      </c>
      <c r="B279" t="inlineStr">
        <is>
          <t>16</t>
        </is>
      </c>
      <c r="C279" t="inlineStr">
        <is>
          <t>Keine Gegenprobe möglich.</t>
        </is>
      </c>
      <c r="D279" t="inlineStr">
        <is>
          <t>Berührung</t>
        </is>
      </c>
      <c r="E279" t="inlineStr">
        <is>
          <t>Gegenstand</t>
        </is>
      </c>
      <c r="F279" t="inlineStr">
        <is>
          <t>Aura</t>
        </is>
      </c>
      <c r="G279" t="inlineStr">
        <is>
          <t>Einmalig</t>
        </is>
      </c>
      <c r="H279" t="inlineStr">
        <is>
          <t>/</t>
        </is>
      </c>
      <c r="I279" t="inlineStr">
        <is>
          <t>2</t>
        </is>
      </c>
      <c r="J279" t="inlineStr">
        <is>
          <t>sofort</t>
        </is>
      </c>
      <c r="K279" t="inlineStr">
        <is>
          <t>(M)*3sec</t>
        </is>
      </c>
      <c r="L279" t="inlineStr">
        <is>
          <t>7</t>
        </is>
      </c>
      <c r="M279" t="inlineStr">
        <is>
          <t>13</t>
        </is>
      </c>
      <c r="N279" t="inlineStr">
        <is>
          <t>21</t>
        </is>
      </c>
      <c r="O279" t="inlineStr">
        <is>
          <t>4</t>
        </is>
      </c>
    </row>
    <row r="280">
      <c r="A280" t="inlineStr">
        <is>
          <t>spruchmagie_verzauberung_3_luft_klinge_v</t>
        </is>
      </c>
      <c r="B280" t="inlineStr">
        <is>
          <t>16</t>
        </is>
      </c>
      <c r="C280" t="inlineStr">
        <is>
          <t>Keine Gegenprobe möglich.</t>
        </is>
      </c>
      <c r="D280" t="inlineStr">
        <is>
          <t>Berührung</t>
        </is>
      </c>
      <c r="E280" t="inlineStr">
        <is>
          <t>Gegenstand</t>
        </is>
      </c>
      <c r="F280" t="inlineStr">
        <is>
          <t>Aura</t>
        </is>
      </c>
      <c r="G280" t="inlineStr">
        <is>
          <t>Anhaltend</t>
        </is>
      </c>
      <c r="H280" t="inlineStr">
        <is>
          <t>1.5</t>
        </is>
      </c>
      <c r="I280" t="inlineStr">
        <is>
          <t>8</t>
        </is>
      </c>
      <c r="J280" t="inlineStr">
        <is>
          <t>1sec</t>
        </is>
      </c>
      <c r="K280" t="inlineStr">
        <is>
          <t>(M)*min</t>
        </is>
      </c>
      <c r="L280" t="inlineStr">
        <is>
          <t>7</t>
        </is>
      </c>
      <c r="M280" t="inlineStr">
        <is>
          <t>13</t>
        </is>
      </c>
      <c r="N280" t="inlineStr">
        <is>
          <t>21</t>
        </is>
      </c>
      <c r="O280" t="inlineStr">
        <is>
          <t>26</t>
        </is>
      </c>
    </row>
    <row r="281">
      <c r="A281" t="inlineStr">
        <is>
          <t>spruchmagie_verzauberung_3_schock_pfeil_v</t>
        </is>
      </c>
      <c r="B281" t="inlineStr">
        <is>
          <t>16</t>
        </is>
      </c>
      <c r="C281" t="inlineStr">
        <is>
          <t>Keine Gegenprobe möglich.</t>
        </is>
      </c>
      <c r="D281" t="inlineStr">
        <is>
          <t>Berührung</t>
        </is>
      </c>
      <c r="E281" t="inlineStr">
        <is>
          <t>Gegenstand</t>
        </is>
      </c>
      <c r="F281" t="inlineStr">
        <is>
          <t>Aura</t>
        </is>
      </c>
      <c r="G281" t="inlineStr">
        <is>
          <t>Einmalig</t>
        </is>
      </c>
      <c r="H281" t="inlineStr">
        <is>
          <t>/</t>
        </is>
      </c>
      <c r="I281" t="inlineStr">
        <is>
          <t>2</t>
        </is>
      </c>
      <c r="J281" t="inlineStr">
        <is>
          <t>sofort</t>
        </is>
      </c>
      <c r="K281" t="inlineStr">
        <is>
          <t>(M)*3sec</t>
        </is>
      </c>
      <c r="L281" t="inlineStr">
        <is>
          <t>7</t>
        </is>
      </c>
      <c r="M281" t="inlineStr">
        <is>
          <t>13</t>
        </is>
      </c>
      <c r="N281" t="inlineStr">
        <is>
          <t>21</t>
        </is>
      </c>
      <c r="O281" t="inlineStr">
        <is>
          <t>4</t>
        </is>
      </c>
    </row>
    <row r="282">
      <c r="A282" t="inlineStr">
        <is>
          <t>spruchmagie_verzauberung_3_sinne_verbessern</t>
        </is>
      </c>
      <c r="B282" t="inlineStr">
        <is>
          <t>16</t>
        </is>
      </c>
      <c r="C282" t="inlineStr">
        <is>
          <t>Keine Gegenprobe möglich.</t>
        </is>
      </c>
      <c r="D282" t="inlineStr">
        <is>
          <t>Berührung</t>
        </is>
      </c>
      <c r="E282" t="inlineStr">
        <is>
          <t>Aura</t>
        </is>
      </c>
      <c r="F282" t="inlineStr">
        <is>
          <t>Aura</t>
        </is>
      </c>
      <c r="G282" t="inlineStr">
        <is>
          <t>Anhaltend</t>
        </is>
      </c>
      <c r="H282" t="inlineStr">
        <is>
          <t>1.5</t>
        </is>
      </c>
      <c r="I282" t="inlineStr">
        <is>
          <t>4</t>
        </is>
      </c>
      <c r="J282" t="inlineStr">
        <is>
          <t>Sofort</t>
        </is>
      </c>
      <c r="K282" t="inlineStr">
        <is>
          <t>(M)*min</t>
        </is>
      </c>
      <c r="L282" t="inlineStr">
        <is>
          <t>7</t>
        </is>
      </c>
      <c r="M282" t="inlineStr">
        <is>
          <t>13</t>
        </is>
      </c>
      <c r="N282" t="inlineStr">
        <is>
          <t>21</t>
        </is>
      </c>
      <c r="O282" t="inlineStr">
        <is>
          <t>12 + 4 / min</t>
        </is>
      </c>
    </row>
    <row r="283">
      <c r="A283" t="inlineStr">
        <is>
          <t>spruchmagie_verzauberung_3_splitter_pfeil_v</t>
        </is>
      </c>
      <c r="B283" t="inlineStr">
        <is>
          <t>16</t>
        </is>
      </c>
      <c r="C283" t="inlineStr">
        <is>
          <t>Keine Gegenprobe möglich.</t>
        </is>
      </c>
      <c r="D283" t="inlineStr">
        <is>
          <t>Berührung</t>
        </is>
      </c>
      <c r="E283" t="inlineStr">
        <is>
          <t>Gegenstand</t>
        </is>
      </c>
      <c r="F283" t="inlineStr">
        <is>
          <t>Aura</t>
        </is>
      </c>
      <c r="G283" t="inlineStr">
        <is>
          <t>Einmalig</t>
        </is>
      </c>
      <c r="H283" t="inlineStr">
        <is>
          <t>/</t>
        </is>
      </c>
      <c r="I283" t="inlineStr">
        <is>
          <t>2</t>
        </is>
      </c>
      <c r="J283" t="inlineStr">
        <is>
          <t>sofort</t>
        </is>
      </c>
      <c r="K283" t="inlineStr">
        <is>
          <t>(M)*3sec</t>
        </is>
      </c>
      <c r="L283" t="inlineStr">
        <is>
          <t>7</t>
        </is>
      </c>
      <c r="M283" t="inlineStr">
        <is>
          <t>13</t>
        </is>
      </c>
      <c r="N283" t="inlineStr">
        <is>
          <t>21</t>
        </is>
      </c>
      <c r="O283" t="inlineStr">
        <is>
          <t>4</t>
        </is>
      </c>
    </row>
    <row r="284">
      <c r="A284" t="inlineStr">
        <is>
          <t>spruchmagie_verzauberung_3_unbelebtes_teleportieren</t>
        </is>
      </c>
      <c r="B284" t="inlineStr">
        <is>
          <t>16</t>
        </is>
      </c>
      <c r="C284" t="inlineStr">
        <is>
          <t>Keine Gegenprobe möglich.</t>
        </is>
      </c>
      <c r="D284" t="inlineStr">
        <is>
          <t>Berührung</t>
        </is>
      </c>
      <c r="E284" t="inlineStr">
        <is>
          <t>Punkt im Raum</t>
        </is>
      </c>
      <c r="F284" t="inlineStr">
        <is>
          <t>Aura</t>
        </is>
      </c>
      <c r="G284" t="inlineStr">
        <is>
          <t>Bipolar</t>
        </is>
      </c>
      <c r="H284" t="inlineStr">
        <is>
          <t>3</t>
        </is>
      </c>
      <c r="I284" t="inlineStr">
        <is>
          <t>3</t>
        </is>
      </c>
      <c r="J284" t="inlineStr">
        <is>
          <t>1sec</t>
        </is>
      </c>
      <c r="K284" t="inlineStr">
        <is>
          <t>permanent</t>
        </is>
      </c>
      <c r="L284" t="inlineStr">
        <is>
          <t>7</t>
        </is>
      </c>
      <c r="M284" t="inlineStr">
        <is>
          <t>13</t>
        </is>
      </c>
      <c r="N284" t="inlineStr">
        <is>
          <t>21</t>
        </is>
      </c>
      <c r="O284" t="inlineStr">
        <is>
          <t>11</t>
        </is>
      </c>
    </row>
    <row r="285">
      <c r="A285" t="inlineStr">
        <is>
          <t>spruchmagie_verzauberung_3_sturm_pfeil_v</t>
        </is>
      </c>
      <c r="B285" t="inlineStr">
        <is>
          <t>16</t>
        </is>
      </c>
      <c r="C285" t="inlineStr">
        <is>
          <t>Keine Gegenprobe möglich.</t>
        </is>
      </c>
      <c r="D285" t="inlineStr">
        <is>
          <t>Berührung</t>
        </is>
      </c>
      <c r="E285" t="inlineStr">
        <is>
          <t>Gegenstand</t>
        </is>
      </c>
      <c r="F285" t="inlineStr">
        <is>
          <t>Aura</t>
        </is>
      </c>
      <c r="G285" t="inlineStr">
        <is>
          <t>Einmalig</t>
        </is>
      </c>
      <c r="H285" t="inlineStr">
        <is>
          <t>/</t>
        </is>
      </c>
      <c r="I285" t="inlineStr">
        <is>
          <t>2</t>
        </is>
      </c>
      <c r="J285" t="inlineStr">
        <is>
          <t>sofort</t>
        </is>
      </c>
      <c r="K285" t="inlineStr">
        <is>
          <t>(M)*3sec</t>
        </is>
      </c>
      <c r="L285" t="inlineStr">
        <is>
          <t>7</t>
        </is>
      </c>
      <c r="M285" t="inlineStr">
        <is>
          <t>13</t>
        </is>
      </c>
      <c r="N285" t="inlineStr">
        <is>
          <t>21</t>
        </is>
      </c>
      <c r="O285" t="inlineStr">
        <is>
          <t>4</t>
        </is>
      </c>
    </row>
    <row r="286">
      <c r="A286" t="inlineStr">
        <is>
          <t>spruchmagie_verzauberung_3_haesslichkeit</t>
        </is>
      </c>
      <c r="B286" t="inlineStr">
        <is>
          <t>16</t>
        </is>
      </c>
      <c r="C286" t="inlineStr">
        <is>
          <t>Glücks-Probe, um der Wirkung zu entgehen.</t>
        </is>
      </c>
      <c r="D286" t="inlineStr">
        <is>
          <t>(M)*m</t>
        </is>
      </c>
      <c r="E286" t="inlineStr">
        <is>
          <t>Aura</t>
        </is>
      </c>
      <c r="F286" t="inlineStr">
        <is>
          <t>Blitz</t>
        </is>
      </c>
      <c r="G286" t="inlineStr">
        <is>
          <t>Einmalig</t>
        </is>
      </c>
      <c r="H286" t="inlineStr">
        <is>
          <t>/</t>
        </is>
      </c>
      <c r="I286" t="inlineStr">
        <is>
          <t>12</t>
        </is>
      </c>
      <c r="J286" t="inlineStr">
        <is>
          <t>Sofort</t>
        </is>
      </c>
      <c r="K286" t="inlineStr">
        <is>
          <t>(M)*min</t>
        </is>
      </c>
      <c r="L286" t="inlineStr">
        <is>
          <t>7</t>
        </is>
      </c>
      <c r="M286" t="inlineStr">
        <is>
          <t>13</t>
        </is>
      </c>
      <c r="N286" t="inlineStr">
        <is>
          <t>21</t>
        </is>
      </c>
      <c r="O286" t="inlineStr">
        <is>
          <t>8</t>
        </is>
      </c>
    </row>
    <row r="287">
      <c r="A287" t="inlineStr">
        <is>
          <t>spruchmagie_verzauberung_3_beschleuniger</t>
        </is>
      </c>
      <c r="B287" t="inlineStr">
        <is>
          <t>16</t>
        </is>
      </c>
      <c r="C287" t="inlineStr">
        <is>
          <t>Keine Gegenprobe möglich.</t>
        </is>
      </c>
      <c r="D287" t="inlineStr">
        <is>
          <t>Selbst</t>
        </is>
      </c>
      <c r="E287" t="inlineStr">
        <is>
          <t>Selbst</t>
        </is>
      </c>
      <c r="F287" t="inlineStr">
        <is>
          <t>Aura</t>
        </is>
      </c>
      <c r="G287" t="inlineStr">
        <is>
          <t>Anhaltend</t>
        </is>
      </c>
      <c r="H287" t="inlineStr">
        <is>
          <t>1.5</t>
        </is>
      </c>
      <c r="I287" t="inlineStr">
        <is>
          <t>5</t>
        </is>
      </c>
      <c r="J287" t="inlineStr">
        <is>
          <t>Sofort</t>
        </is>
      </c>
      <c r="K287" t="inlineStr">
        <is>
          <t>(M)*sec</t>
        </is>
      </c>
      <c r="L287" t="inlineStr">
        <is>
          <t>7</t>
        </is>
      </c>
      <c r="M287" t="inlineStr">
        <is>
          <t>13</t>
        </is>
      </c>
      <c r="N287" t="inlineStr">
        <is>
          <t>21</t>
        </is>
      </c>
      <c r="O287" t="inlineStr">
        <is>
          <t>18 + 4 / sec</t>
        </is>
      </c>
    </row>
    <row r="288">
      <c r="A288" t="inlineStr">
        <is>
          <t>spruchmagie_verzauberung_3_koerperliche_eigenschaft_senken</t>
        </is>
      </c>
      <c r="B288" t="inlineStr">
        <is>
          <t>16</t>
        </is>
      </c>
      <c r="C288" t="inlineStr">
        <is>
          <t>Glücks-Probe, um der Wirkung zu entgehen.</t>
        </is>
      </c>
      <c r="D288" t="inlineStr">
        <is>
          <t>(M)/2m</t>
        </is>
      </c>
      <c r="E288" t="inlineStr">
        <is>
          <t>Aura</t>
        </is>
      </c>
      <c r="F288" t="inlineStr">
        <is>
          <t>Blitz</t>
        </is>
      </c>
      <c r="G288" t="inlineStr">
        <is>
          <t>Einmalig</t>
        </is>
      </c>
      <c r="H288" t="inlineStr">
        <is>
          <t>/</t>
        </is>
      </c>
      <c r="I288" t="inlineStr">
        <is>
          <t>6</t>
        </is>
      </c>
      <c r="J288" t="inlineStr">
        <is>
          <t>Sofort</t>
        </is>
      </c>
      <c r="K288" t="inlineStr">
        <is>
          <t>Magie*min</t>
        </is>
      </c>
      <c r="L288" t="inlineStr">
        <is>
          <t>7</t>
        </is>
      </c>
      <c r="M288" t="inlineStr">
        <is>
          <t>13</t>
        </is>
      </c>
      <c r="N288" t="inlineStr">
        <is>
          <t>21</t>
        </is>
      </c>
      <c r="O288" t="inlineStr">
        <is>
          <t>24</t>
        </is>
      </c>
    </row>
    <row r="289">
      <c r="A289" t="inlineStr">
        <is>
          <t>spruchmagie_verzauberung_4_verlangsamen</t>
        </is>
      </c>
      <c r="B289" t="inlineStr">
        <is>
          <t>18</t>
        </is>
      </c>
      <c r="C289" t="inlineStr">
        <is>
          <t>Keine Gegenprobe möglich.</t>
        </is>
      </c>
      <c r="D289" t="inlineStr">
        <is>
          <t>Berührung</t>
        </is>
      </c>
      <c r="E289" t="inlineStr">
        <is>
          <t>Aura</t>
        </is>
      </c>
      <c r="F289" t="inlineStr">
        <is>
          <t>Aura</t>
        </is>
      </c>
      <c r="G289" t="inlineStr">
        <is>
          <t>Anhaltend</t>
        </is>
      </c>
      <c r="H289" t="inlineStr">
        <is>
          <t>2</t>
        </is>
      </c>
      <c r="I289" t="inlineStr">
        <is>
          <t>5</t>
        </is>
      </c>
      <c r="J289" t="inlineStr">
        <is>
          <t>Sofort</t>
        </is>
      </c>
      <c r="K289" t="inlineStr">
        <is>
          <t>(M)*sec</t>
        </is>
      </c>
      <c r="L289" t="inlineStr">
        <is>
          <t>8</t>
        </is>
      </c>
      <c r="M289" t="inlineStr">
        <is>
          <t>15</t>
        </is>
      </c>
      <c r="N289" t="inlineStr">
        <is>
          <t>24</t>
        </is>
      </c>
      <c r="O289" t="inlineStr">
        <is>
          <t>10 + 3 / sec</t>
        </is>
      </c>
    </row>
    <row r="290">
      <c r="A290" t="inlineStr">
        <is>
          <t>spruchmagie_verzauberung_4_in_tier_verwandeln</t>
        </is>
      </c>
      <c r="B290" t="inlineStr">
        <is>
          <t>18</t>
        </is>
      </c>
      <c r="C290" t="inlineStr">
        <is>
          <t>Keine Gegenprobe möglich.</t>
        </is>
      </c>
      <c r="D290" t="inlineStr">
        <is>
          <t>Berührung</t>
        </is>
      </c>
      <c r="E290" t="inlineStr">
        <is>
          <t>Aura</t>
        </is>
      </c>
      <c r="F290" t="inlineStr">
        <is>
          <t>Aura</t>
        </is>
      </c>
      <c r="G290" t="inlineStr">
        <is>
          <t>Einmalig</t>
        </is>
      </c>
      <c r="H290" t="inlineStr">
        <is>
          <t>/</t>
        </is>
      </c>
      <c r="I290" t="inlineStr">
        <is>
          <t>300</t>
        </is>
      </c>
      <c r="J290" t="inlineStr">
        <is>
          <t>1min</t>
        </is>
      </c>
      <c r="K290" t="inlineStr">
        <is>
          <t>(M)*min</t>
        </is>
      </c>
      <c r="L290" t="inlineStr">
        <is>
          <t>8</t>
        </is>
      </c>
      <c r="M290" t="inlineStr">
        <is>
          <t>15</t>
        </is>
      </c>
      <c r="N290" t="inlineStr">
        <is>
          <t>24</t>
        </is>
      </c>
      <c r="O290" t="inlineStr">
        <is>
          <t>35</t>
        </is>
      </c>
    </row>
    <row r="291">
      <c r="A291" t="inlineStr">
        <is>
          <t>spruchmagie_verzauberung_4_wachstum_beeinflussen</t>
        </is>
      </c>
      <c r="B291" t="inlineStr">
        <is>
          <t>18</t>
        </is>
      </c>
      <c r="C291" t="inlineStr">
        <is>
          <t>Keine Gegenprobe möglich.</t>
        </is>
      </c>
      <c r="D291" t="inlineStr">
        <is>
          <t>Berührung</t>
        </is>
      </c>
      <c r="E291" t="inlineStr">
        <is>
          <t>Aura</t>
        </is>
      </c>
      <c r="F291" t="inlineStr">
        <is>
          <t>Aura</t>
        </is>
      </c>
      <c r="G291" t="inlineStr">
        <is>
          <t>Bipolar</t>
        </is>
      </c>
      <c r="H291" t="inlineStr">
        <is>
          <t>4</t>
        </is>
      </c>
      <c r="I291" t="inlineStr">
        <is>
          <t>1260</t>
        </is>
      </c>
      <c r="J291" t="inlineStr">
        <is>
          <t>1min pro „Monat“</t>
        </is>
      </c>
      <c r="K291" t="inlineStr">
        <is>
          <t>Permanent</t>
        </is>
      </c>
      <c r="L291" t="inlineStr">
        <is>
          <t>8</t>
        </is>
      </c>
      <c r="M291" t="inlineStr">
        <is>
          <t>15</t>
        </is>
      </c>
      <c r="N291" t="inlineStr">
        <is>
          <t>24</t>
        </is>
      </c>
      <c r="O291" t="inlineStr">
        <is>
          <t>24 / „Monat“</t>
        </is>
      </c>
    </row>
    <row r="292">
      <c r="A292" t="inlineStr">
        <is>
          <t>spruchmagie_verzauberung_4_geistige_eigenschaft_senken</t>
        </is>
      </c>
      <c r="B292" t="inlineStr">
        <is>
          <t>18</t>
        </is>
      </c>
      <c r="C292" t="inlineStr">
        <is>
          <t>Glücks-Probe, um der Wirkung zu entgehen.</t>
        </is>
      </c>
      <c r="D292" t="inlineStr">
        <is>
          <t>(M)*m</t>
        </is>
      </c>
      <c r="E292" t="inlineStr">
        <is>
          <t>Aura</t>
        </is>
      </c>
      <c r="F292" t="inlineStr">
        <is>
          <t>Blitz</t>
        </is>
      </c>
      <c r="G292" t="inlineStr">
        <is>
          <t>Einmalig</t>
        </is>
      </c>
      <c r="H292" t="inlineStr">
        <is>
          <t>/</t>
        </is>
      </c>
      <c r="I292" t="inlineStr">
        <is>
          <t>9</t>
        </is>
      </c>
      <c r="J292" t="inlineStr">
        <is>
          <t>Sofort</t>
        </is>
      </c>
      <c r="K292" t="inlineStr">
        <is>
          <t>(M)*min</t>
        </is>
      </c>
      <c r="L292" t="inlineStr">
        <is>
          <t>8</t>
        </is>
      </c>
      <c r="M292" t="inlineStr">
        <is>
          <t>15</t>
        </is>
      </c>
      <c r="N292" t="inlineStr">
        <is>
          <t>24</t>
        </is>
      </c>
      <c r="O292" t="inlineStr">
        <is>
          <t>18</t>
        </is>
      </c>
    </row>
    <row r="293">
      <c r="A293" t="inlineStr">
        <is>
          <t>spruchmagie_verzauberung_4_grosse_telekinese</t>
        </is>
      </c>
      <c r="B293" t="inlineStr">
        <is>
          <t>18</t>
        </is>
      </c>
      <c r="C293" t="inlineStr">
        <is>
          <t>Glücks-Probe, um der Wirkung zu entgehen.</t>
        </is>
      </c>
      <c r="D293" t="inlineStr">
        <is>
          <t>(M)*m</t>
        </is>
      </c>
      <c r="E293" t="inlineStr">
        <is>
          <t>Gegenstand</t>
        </is>
      </c>
      <c r="F293" t="inlineStr">
        <is>
          <t>Strahl</t>
        </is>
      </c>
      <c r="G293" t="inlineStr">
        <is>
          <t>Bipolar</t>
        </is>
      </c>
      <c r="H293" t="inlineStr">
        <is>
          <t>4</t>
        </is>
      </c>
      <c r="I293" t="inlineStr">
        <is>
          <t>6</t>
        </is>
      </c>
      <c r="J293" t="inlineStr">
        <is>
          <t>Sofort</t>
        </is>
      </c>
      <c r="K293" t="inlineStr">
        <is>
          <t>(M)*10sec</t>
        </is>
      </c>
      <c r="L293" t="inlineStr">
        <is>
          <t>8</t>
        </is>
      </c>
      <c r="M293" t="inlineStr">
        <is>
          <t>15</t>
        </is>
      </c>
      <c r="N293" t="inlineStr">
        <is>
          <t>24</t>
        </is>
      </c>
      <c r="O293" t="inlineStr">
        <is>
          <t>1 / 1 kg / 10 sec</t>
        </is>
      </c>
    </row>
    <row r="294">
      <c r="A294" t="inlineStr">
        <is>
          <t>spruchmagie_verzauberung_4_golem_diener</t>
        </is>
      </c>
      <c r="B294" t="inlineStr">
        <is>
          <t>18</t>
        </is>
      </c>
      <c r="C294" t="inlineStr">
        <is>
          <t>Keine Gegenprobe möglich.</t>
        </is>
      </c>
      <c r="D294" t="inlineStr">
        <is>
          <t>Magie*m</t>
        </is>
      </c>
      <c r="E294" t="inlineStr">
        <is>
          <t>Gegenstand</t>
        </is>
      </c>
      <c r="F294" t="inlineStr">
        <is>
          <t>Aura</t>
        </is>
      </c>
      <c r="G294" t="inlineStr">
        <is>
          <t>Anhaltend</t>
        </is>
      </c>
      <c r="H294" t="inlineStr">
        <is>
          <t>2</t>
        </is>
      </c>
      <c r="I294" t="inlineStr">
        <is>
          <t>90sec</t>
        </is>
      </c>
      <c r="J294" t="inlineStr">
        <is>
          <t>6sec</t>
        </is>
      </c>
      <c r="K294" t="inlineStr">
        <is>
          <t>Magie*Std</t>
        </is>
      </c>
      <c r="L294" t="inlineStr">
        <is>
          <t>8</t>
        </is>
      </c>
      <c r="M294" t="inlineStr">
        <is>
          <t>15</t>
        </is>
      </c>
      <c r="N294" t="inlineStr">
        <is>
          <t>24</t>
        </is>
      </c>
      <c r="O294" t="inlineStr">
        <is>
          <t>30 + 15 / Std</t>
        </is>
      </c>
    </row>
    <row r="295">
      <c r="A295" t="inlineStr">
        <is>
          <t>spruchmagie_verzauberung_5_schwaeche</t>
        </is>
      </c>
      <c r="B295" t="inlineStr">
        <is>
          <t>20</t>
        </is>
      </c>
      <c r="C295" t="inlineStr">
        <is>
          <t>Glücks-Probe, um der Wirkung zu entgehen.</t>
        </is>
      </c>
      <c r="D295" t="inlineStr">
        <is>
          <t>(M)*m</t>
        </is>
      </c>
      <c r="E295" t="inlineStr">
        <is>
          <t>Aura</t>
        </is>
      </c>
      <c r="F295" t="inlineStr">
        <is>
          <t>Blitz</t>
        </is>
      </c>
      <c r="G295" t="inlineStr">
        <is>
          <t>Einmalig</t>
        </is>
      </c>
      <c r="H295" t="inlineStr">
        <is>
          <t>/</t>
        </is>
      </c>
      <c r="I295" t="inlineStr">
        <is>
          <t>6</t>
        </is>
      </c>
      <c r="J295" t="inlineStr">
        <is>
          <t>Sofort</t>
        </is>
      </c>
      <c r="K295" t="inlineStr">
        <is>
          <t>(M)*min</t>
        </is>
      </c>
      <c r="L295" t="inlineStr">
        <is>
          <t>9</t>
        </is>
      </c>
      <c r="M295" t="inlineStr">
        <is>
          <t>17</t>
        </is>
      </c>
      <c r="N295" t="inlineStr">
        <is>
          <t>27</t>
        </is>
      </c>
      <c r="O295" t="inlineStr">
        <is>
          <t>30</t>
        </is>
      </c>
    </row>
    <row r="296">
      <c r="A296" t="inlineStr">
        <is>
          <t>spruchmagie_verzauberung_5_warp</t>
        </is>
      </c>
      <c r="B296" t="inlineStr">
        <is>
          <t>20</t>
        </is>
      </c>
      <c r="C296" t="inlineStr">
        <is>
          <t>Keine Gegenprobe möglich.</t>
        </is>
      </c>
      <c r="D296" t="inlineStr">
        <is>
          <t>(M)*10m</t>
        </is>
      </c>
      <c r="E296" t="inlineStr">
        <is>
          <t>Punkt im Raum</t>
        </is>
      </c>
      <c r="F296" t="inlineStr">
        <is>
          <t>Aura</t>
        </is>
      </c>
      <c r="G296" t="inlineStr">
        <is>
          <t>Bipolar</t>
        </is>
      </c>
      <c r="H296" t="inlineStr">
        <is>
          <t>5</t>
        </is>
      </c>
      <c r="I296" t="inlineStr">
        <is>
          <t>3</t>
        </is>
      </c>
      <c r="J296" t="inlineStr">
        <is>
          <t>1sec</t>
        </is>
      </c>
      <c r="K296" t="inlineStr">
        <is>
          <t>Permanent</t>
        </is>
      </c>
      <c r="L296" t="inlineStr">
        <is>
          <t>9</t>
        </is>
      </c>
      <c r="M296" t="inlineStr">
        <is>
          <t>17</t>
        </is>
      </c>
      <c r="N296" t="inlineStr">
        <is>
          <t>27</t>
        </is>
      </c>
      <c r="O296" t="inlineStr">
        <is>
          <t>22</t>
        </is>
      </c>
    </row>
    <row r="297">
      <c r="A297" t="inlineStr">
        <is>
          <t>spruchmagie_verzauberung_5_verwandlung</t>
        </is>
      </c>
      <c r="B297" t="inlineStr">
        <is>
          <t>20</t>
        </is>
      </c>
      <c r="C297" t="inlineStr">
        <is>
          <t>Keine Gegenprobe möglich.</t>
        </is>
      </c>
      <c r="D297" t="inlineStr">
        <is>
          <t>Berührung</t>
        </is>
      </c>
      <c r="E297" t="inlineStr">
        <is>
          <t>Aura</t>
        </is>
      </c>
      <c r="F297" t="inlineStr">
        <is>
          <t>Aura</t>
        </is>
      </c>
      <c r="G297" t="inlineStr">
        <is>
          <t>Einmalig</t>
        </is>
      </c>
      <c r="H297" t="inlineStr">
        <is>
          <t>/</t>
        </is>
      </c>
      <c r="I297" t="inlineStr">
        <is>
          <t>21600</t>
        </is>
      </c>
      <c r="J297" t="inlineStr">
        <is>
          <t>3min</t>
        </is>
      </c>
      <c r="K297" t="inlineStr">
        <is>
          <t>Permanent</t>
        </is>
      </c>
      <c r="L297" t="inlineStr">
        <is>
          <t>9</t>
        </is>
      </c>
      <c r="M297" t="inlineStr">
        <is>
          <t>17</t>
        </is>
      </c>
      <c r="N297" t="inlineStr">
        <is>
          <t>27</t>
        </is>
      </c>
      <c r="O297" t="inlineStr">
        <is>
          <t>90</t>
        </is>
      </c>
    </row>
    <row r="298">
      <c r="A298" t="inlineStr">
        <is>
          <t>spruchmagie_verzauberung_5_mechanismus_antreiben</t>
        </is>
      </c>
      <c r="B298" t="inlineStr">
        <is>
          <t>20</t>
        </is>
      </c>
      <c r="C298" t="inlineStr">
        <is>
          <t>Keine Gegenprobe möglich.</t>
        </is>
      </c>
      <c r="D298" t="inlineStr">
        <is>
          <t>Berührung</t>
        </is>
      </c>
      <c r="E298" t="inlineStr">
        <is>
          <t>Gegenstand</t>
        </is>
      </c>
      <c r="F298" t="inlineStr">
        <is>
          <t>Aura</t>
        </is>
      </c>
      <c r="G298" t="inlineStr">
        <is>
          <t>Bipolar</t>
        </is>
      </c>
      <c r="H298" t="inlineStr">
        <is>
          <t>5</t>
        </is>
      </c>
      <c r="I298" t="inlineStr">
        <is>
          <t>9</t>
        </is>
      </c>
      <c r="J298" t="inlineStr">
        <is>
          <t>3sec</t>
        </is>
      </c>
      <c r="K298" t="inlineStr">
        <is>
          <t>(M)*h</t>
        </is>
      </c>
      <c r="L298" t="inlineStr">
        <is>
          <t>9</t>
        </is>
      </c>
      <c r="M298" t="inlineStr">
        <is>
          <t>17</t>
        </is>
      </c>
      <c r="N298" t="inlineStr">
        <is>
          <t>27</t>
        </is>
      </c>
      <c r="O298" t="inlineStr">
        <is>
          <t>(1 / PS) + (1 / PS) / min</t>
        </is>
      </c>
    </row>
    <row r="299">
      <c r="A299" t="inlineStr">
        <is>
          <t>spruchmagie_verzauberung_5_gecko</t>
        </is>
      </c>
      <c r="B299" t="inlineStr">
        <is>
          <t>20</t>
        </is>
      </c>
      <c r="C299" t="inlineStr">
        <is>
          <t>Keine Gegenprobe möglich.</t>
        </is>
      </c>
      <c r="D299" t="inlineStr">
        <is>
          <t>Berührung</t>
        </is>
      </c>
      <c r="E299" t="inlineStr">
        <is>
          <t>Aura</t>
        </is>
      </c>
      <c r="F299" t="inlineStr">
        <is>
          <t>Aura</t>
        </is>
      </c>
      <c r="G299" t="inlineStr">
        <is>
          <t>Anhaltend</t>
        </is>
      </c>
      <c r="H299" t="inlineStr">
        <is>
          <t>2.5</t>
        </is>
      </c>
      <c r="I299" t="inlineStr">
        <is>
          <t>12</t>
        </is>
      </c>
      <c r="J299" t="inlineStr">
        <is>
          <t>Sofort</t>
        </is>
      </c>
      <c r="K299" t="inlineStr">
        <is>
          <t>(M)*min</t>
        </is>
      </c>
      <c r="L299" t="inlineStr">
        <is>
          <t>9</t>
        </is>
      </c>
      <c r="M299" t="inlineStr">
        <is>
          <t>17</t>
        </is>
      </c>
      <c r="N299" t="inlineStr">
        <is>
          <t>27</t>
        </is>
      </c>
      <c r="O299" t="inlineStr">
        <is>
          <t>8 + 2 / min</t>
        </is>
      </c>
    </row>
    <row r="300">
      <c r="A300" t="inlineStr">
        <is>
          <t>spruchmagie_verzauberung_5_nebelleib</t>
        </is>
      </c>
      <c r="B300" t="inlineStr">
        <is>
          <t>20</t>
        </is>
      </c>
      <c r="C300" t="inlineStr">
        <is>
          <t>Keine Gegenprobe möglich.</t>
        </is>
      </c>
      <c r="D300" t="inlineStr">
        <is>
          <t>Selbst</t>
        </is>
      </c>
      <c r="E300" t="inlineStr">
        <is>
          <t>Selbst</t>
        </is>
      </c>
      <c r="F300" t="inlineStr">
        <is>
          <t>Aura</t>
        </is>
      </c>
      <c r="G300" t="inlineStr">
        <is>
          <t>Anhaltend</t>
        </is>
      </c>
      <c r="H300" t="inlineStr">
        <is>
          <t>2.5</t>
        </is>
      </c>
      <c r="I300" t="inlineStr">
        <is>
          <t>9</t>
        </is>
      </c>
      <c r="J300" t="inlineStr">
        <is>
          <t>1sec</t>
        </is>
      </c>
      <c r="K300" t="inlineStr">
        <is>
          <t>(M)*min</t>
        </is>
      </c>
      <c r="L300" t="inlineStr">
        <is>
          <t>9</t>
        </is>
      </c>
      <c r="M300" t="inlineStr">
        <is>
          <t>17</t>
        </is>
      </c>
      <c r="N300" t="inlineStr">
        <is>
          <t>27</t>
        </is>
      </c>
      <c r="O300" t="inlineStr">
        <is>
          <t>25 + 10 / min</t>
        </is>
      </c>
    </row>
    <row r="301">
      <c r="A301" t="inlineStr">
        <is>
          <t>spruchmagie_verzauberung_5_golem_kaempfer</t>
        </is>
      </c>
      <c r="B301" t="inlineStr">
        <is>
          <t>20</t>
        </is>
      </c>
      <c r="C301" t="inlineStr">
        <is>
          <t>Keine Gegenprobe möglich.</t>
        </is>
      </c>
      <c r="D301" t="inlineStr">
        <is>
          <t>Magie*m</t>
        </is>
      </c>
      <c r="E301" t="inlineStr">
        <is>
          <t>Gegenstand</t>
        </is>
      </c>
      <c r="F301" t="inlineStr">
        <is>
          <t>Aura</t>
        </is>
      </c>
      <c r="G301" t="inlineStr">
        <is>
          <t>Anhaltend</t>
        </is>
      </c>
      <c r="H301" t="inlineStr">
        <is>
          <t>2.5</t>
        </is>
      </c>
      <c r="I301" t="inlineStr">
        <is>
          <t>12sec</t>
        </is>
      </c>
      <c r="J301" t="inlineStr">
        <is>
          <t>2sec</t>
        </is>
      </c>
      <c r="K301" t="inlineStr">
        <is>
          <t>Magie*min</t>
        </is>
      </c>
      <c r="L301" t="inlineStr">
        <is>
          <t>9</t>
        </is>
      </c>
      <c r="M301" t="inlineStr">
        <is>
          <t>17</t>
        </is>
      </c>
      <c r="N301" t="inlineStr">
        <is>
          <t>27</t>
        </is>
      </c>
      <c r="O301" t="inlineStr">
        <is>
          <t>18 + 12 / min</t>
        </is>
      </c>
    </row>
    <row r="302">
      <c r="A302" t="inlineStr">
        <is>
          <t>spruchmagie_verzauberung_6_last_des_alters</t>
        </is>
      </c>
      <c r="B302" t="inlineStr">
        <is>
          <t>22</t>
        </is>
      </c>
      <c r="C302" t="inlineStr">
        <is>
          <t>Keine Gegenprobe möglich.</t>
        </is>
      </c>
      <c r="D302" t="inlineStr">
        <is>
          <t>Berührung</t>
        </is>
      </c>
      <c r="E302" t="inlineStr">
        <is>
          <t>Aura</t>
        </is>
      </c>
      <c r="F302" t="inlineStr">
        <is>
          <t>Aura</t>
        </is>
      </c>
      <c r="G302" t="inlineStr">
        <is>
          <t>Einmalig</t>
        </is>
      </c>
      <c r="H302" t="inlineStr">
        <is>
          <t>/</t>
        </is>
      </c>
      <c r="I302" t="inlineStr">
        <is>
          <t>2700</t>
        </is>
      </c>
      <c r="J302" t="inlineStr">
        <is>
          <t>3min</t>
        </is>
      </c>
      <c r="K302" t="inlineStr">
        <is>
          <t>(M)*h</t>
        </is>
      </c>
      <c r="L302" t="inlineStr">
        <is>
          <t>10</t>
        </is>
      </c>
      <c r="M302" t="inlineStr">
        <is>
          <t>19</t>
        </is>
      </c>
      <c r="N302" t="inlineStr">
        <is>
          <t>30</t>
        </is>
      </c>
      <c r="O302" t="inlineStr">
        <is>
          <t>75</t>
        </is>
      </c>
    </row>
    <row r="303">
      <c r="A303" t="inlineStr">
        <is>
          <t>spruchmagie_verzauberung_6_dummheit</t>
        </is>
      </c>
      <c r="B303" t="inlineStr">
        <is>
          <t>22</t>
        </is>
      </c>
      <c r="C303" t="inlineStr">
        <is>
          <t>Glücks-Probe, um der Wirkung zu entgehen.</t>
        </is>
      </c>
      <c r="D303" t="inlineStr">
        <is>
          <t>(M)*m</t>
        </is>
      </c>
      <c r="E303" t="inlineStr">
        <is>
          <t>Aura</t>
        </is>
      </c>
      <c r="F303" t="inlineStr">
        <is>
          <t>Blitz</t>
        </is>
      </c>
      <c r="G303" t="inlineStr">
        <is>
          <t>Einmalig</t>
        </is>
      </c>
      <c r="H303" t="inlineStr">
        <is>
          <t>/</t>
        </is>
      </c>
      <c r="I303" t="inlineStr">
        <is>
          <t>6</t>
        </is>
      </c>
      <c r="J303" t="inlineStr">
        <is>
          <t>Sofort</t>
        </is>
      </c>
      <c r="K303" t="inlineStr">
        <is>
          <t>(M)*min</t>
        </is>
      </c>
      <c r="L303" t="inlineStr">
        <is>
          <t>10</t>
        </is>
      </c>
      <c r="M303" t="inlineStr">
        <is>
          <t>19</t>
        </is>
      </c>
      <c r="N303" t="inlineStr">
        <is>
          <t>30</t>
        </is>
      </c>
      <c r="O303" t="inlineStr">
        <is>
          <t>30</t>
        </is>
      </c>
    </row>
    <row r="304">
      <c r="A304" t="inlineStr">
        <is>
          <t>spruchmagie_verzauberung_6_eisenhaut</t>
        </is>
      </c>
      <c r="B304" t="inlineStr">
        <is>
          <t>22</t>
        </is>
      </c>
      <c r="C304" t="inlineStr">
        <is>
          <t>Keine Gegenprobe möglich.</t>
        </is>
      </c>
      <c r="D304" t="inlineStr">
        <is>
          <t>Selbst</t>
        </is>
      </c>
      <c r="E304" t="inlineStr">
        <is>
          <t>Selbst</t>
        </is>
      </c>
      <c r="F304" t="inlineStr">
        <is>
          <t>Aura</t>
        </is>
      </c>
      <c r="G304" t="inlineStr">
        <is>
          <t>Einmalig</t>
        </is>
      </c>
      <c r="H304" t="inlineStr">
        <is>
          <t>/</t>
        </is>
      </c>
      <c r="I304" t="inlineStr">
        <is>
          <t>9</t>
        </is>
      </c>
      <c r="J304" t="inlineStr">
        <is>
          <t>Sofort</t>
        </is>
      </c>
      <c r="K304" t="inlineStr">
        <is>
          <t>Magie*min</t>
        </is>
      </c>
      <c r="L304" t="inlineStr">
        <is>
          <t>7</t>
        </is>
      </c>
      <c r="M304" t="inlineStr">
        <is>
          <t>13</t>
        </is>
      </c>
      <c r="N304" t="inlineStr">
        <is>
          <t>21</t>
        </is>
      </c>
      <c r="O304" t="inlineStr">
        <is>
          <t>28</t>
        </is>
      </c>
    </row>
    <row r="305">
      <c r="A305" t="inlineStr">
        <is>
          <t>spruchmagie_verzauberung_7_verjuengung</t>
        </is>
      </c>
      <c r="B305" t="inlineStr">
        <is>
          <t>24</t>
        </is>
      </c>
      <c r="C305" t="inlineStr">
        <is>
          <t>Keine Gegenprobe möglich.</t>
        </is>
      </c>
      <c r="D305" t="inlineStr">
        <is>
          <t>Berührung</t>
        </is>
      </c>
      <c r="E305" t="inlineStr">
        <is>
          <t>Aura</t>
        </is>
      </c>
      <c r="F305" t="inlineStr">
        <is>
          <t>Aura</t>
        </is>
      </c>
      <c r="G305" t="inlineStr">
        <is>
          <t>Einmalig</t>
        </is>
      </c>
      <c r="H305" t="inlineStr">
        <is>
          <t>/</t>
        </is>
      </c>
      <c r="I305" t="inlineStr">
        <is>
          <t>5400</t>
        </is>
      </c>
      <c r="J305" t="inlineStr">
        <is>
          <t>3min</t>
        </is>
      </c>
      <c r="K305" t="inlineStr">
        <is>
          <t>(M)*h</t>
        </is>
      </c>
      <c r="L305" t="inlineStr">
        <is>
          <t>11</t>
        </is>
      </c>
      <c r="M305" t="inlineStr">
        <is>
          <t>20</t>
        </is>
      </c>
      <c r="N305" t="inlineStr">
        <is>
          <t>32</t>
        </is>
      </c>
      <c r="O305" t="inlineStr">
        <is>
          <t>75</t>
        </is>
      </c>
    </row>
    <row r="306">
      <c r="A306" t="inlineStr">
        <is>
          <t>spruchmagie_verzauberung_7_grosser_golem</t>
        </is>
      </c>
      <c r="B306" t="inlineStr">
        <is>
          <t>24</t>
        </is>
      </c>
      <c r="C306" t="inlineStr">
        <is>
          <t>Keine Gegenprobe möglich.</t>
        </is>
      </c>
      <c r="D306" t="inlineStr">
        <is>
          <t>Magie*m</t>
        </is>
      </c>
      <c r="E306" t="inlineStr">
        <is>
          <t>Gegenstand</t>
        </is>
      </c>
      <c r="F306" t="inlineStr">
        <is>
          <t>Aura</t>
        </is>
      </c>
      <c r="G306" t="inlineStr">
        <is>
          <t>Anhaltend</t>
        </is>
      </c>
      <c r="H306" t="inlineStr">
        <is>
          <t>3.5</t>
        </is>
      </c>
      <c r="I306" t="inlineStr">
        <is>
          <t>90</t>
        </is>
      </c>
      <c r="J306" t="inlineStr">
        <is>
          <t>10sec</t>
        </is>
      </c>
      <c r="K306" t="inlineStr">
        <is>
          <t>(M)*min</t>
        </is>
      </c>
      <c r="L306" t="inlineStr">
        <is>
          <t>11</t>
        </is>
      </c>
      <c r="M306" t="inlineStr">
        <is>
          <t>20</t>
        </is>
      </c>
      <c r="N306" t="inlineStr">
        <is>
          <t>32</t>
        </is>
      </c>
      <c r="O306" t="inlineStr">
        <is>
          <t>50 + 17 / min</t>
        </is>
      </c>
    </row>
    <row r="307">
      <c r="A307" t="inlineStr">
        <is>
          <t>spruchmagie_verzauberung_7_krueppel</t>
        </is>
      </c>
      <c r="B307" t="inlineStr">
        <is>
          <t>24</t>
        </is>
      </c>
      <c r="C307" t="inlineStr">
        <is>
          <t>Glücks-Probe, um der Wirkung zu entgehen.</t>
        </is>
      </c>
      <c r="D307" t="inlineStr">
        <is>
          <t>(M)*m</t>
        </is>
      </c>
      <c r="E307" t="inlineStr">
        <is>
          <t>Aura</t>
        </is>
      </c>
      <c r="F307" t="inlineStr">
        <is>
          <t>Blitz</t>
        </is>
      </c>
      <c r="G307" t="inlineStr">
        <is>
          <t>Einmalig</t>
        </is>
      </c>
      <c r="H307" t="inlineStr">
        <is>
          <t>/</t>
        </is>
      </c>
      <c r="I307" t="inlineStr">
        <is>
          <t>9</t>
        </is>
      </c>
      <c r="J307" t="inlineStr">
        <is>
          <t>Sofort</t>
        </is>
      </c>
      <c r="K307" t="inlineStr">
        <is>
          <t>Magie*min</t>
        </is>
      </c>
      <c r="L307" t="inlineStr">
        <is>
          <t>11</t>
        </is>
      </c>
      <c r="M307" t="inlineStr">
        <is>
          <t>20</t>
        </is>
      </c>
      <c r="N307" t="inlineStr">
        <is>
          <t>32</t>
        </is>
      </c>
      <c r="O307" t="inlineStr">
        <is>
          <t>30</t>
        </is>
      </c>
    </row>
    <row r="308">
      <c r="A308" t="inlineStr">
        <is>
          <t>spruchmagie_verzauberung_7_leib_aus_element</t>
        </is>
      </c>
      <c r="B308" t="inlineStr">
        <is>
          <t>24</t>
        </is>
      </c>
      <c r="C308" t="inlineStr">
        <is>
          <t>Keine Gegenprobe möglich.</t>
        </is>
      </c>
      <c r="D308" t="inlineStr">
        <is>
          <t>Selbst</t>
        </is>
      </c>
      <c r="E308" t="inlineStr">
        <is>
          <t>Selbst</t>
        </is>
      </c>
      <c r="F308" t="inlineStr">
        <is>
          <t>Aura</t>
        </is>
      </c>
      <c r="G308" t="inlineStr">
        <is>
          <t>Anhaltend</t>
        </is>
      </c>
      <c r="H308" t="inlineStr">
        <is>
          <t>3.5</t>
        </is>
      </c>
      <c r="I308" t="inlineStr">
        <is>
          <t>12</t>
        </is>
      </c>
      <c r="J308" t="inlineStr">
        <is>
          <t>1sec</t>
        </is>
      </c>
      <c r="K308" t="inlineStr">
        <is>
          <t>(M)*h</t>
        </is>
      </c>
      <c r="L308" t="inlineStr">
        <is>
          <t>11</t>
        </is>
      </c>
      <c r="M308" t="inlineStr">
        <is>
          <t>20</t>
        </is>
      </c>
      <c r="N308" t="inlineStr">
        <is>
          <t>32</t>
        </is>
      </c>
      <c r="O308" t="inlineStr">
        <is>
          <t>30</t>
        </is>
      </c>
    </row>
    <row r="309">
      <c r="A309" t="inlineStr">
        <is>
          <t>spruchmagie_verzauberung_7_tod_nn</t>
        </is>
      </c>
      <c r="B309" t="inlineStr">
        <is>
          <t>24</t>
        </is>
      </c>
      <c r="C309" t="inlineStr">
        <is>
          <t>Glücks-Probe, um der Wirkung zu entgehen.</t>
        </is>
      </c>
      <c r="D309" t="inlineStr">
        <is>
          <t>Magie*m</t>
        </is>
      </c>
      <c r="E309" t="inlineStr">
        <is>
          <t>Aura</t>
        </is>
      </c>
      <c r="F309" t="inlineStr">
        <is>
          <t>Blitz</t>
        </is>
      </c>
      <c r="G309" t="inlineStr">
        <is>
          <t>Einmalig</t>
        </is>
      </c>
      <c r="H309" t="inlineStr">
        <is>
          <t>/</t>
        </is>
      </c>
      <c r="I309" t="inlineStr">
        <is>
          <t>9</t>
        </is>
      </c>
      <c r="J309" t="inlineStr">
        <is>
          <t>Sofort</t>
        </is>
      </c>
      <c r="K309" t="inlineStr">
        <is>
          <t>Permanent</t>
        </is>
      </c>
      <c r="L309" t="inlineStr">
        <is>
          <t>11</t>
        </is>
      </c>
      <c r="M309" t="inlineStr">
        <is>
          <t>20</t>
        </is>
      </c>
      <c r="N309" t="inlineStr">
        <is>
          <t>32</t>
        </is>
      </c>
      <c r="O309" t="inlineStr">
        <is>
          <t>20</t>
        </is>
      </c>
    </row>
    <row r="310">
      <c r="A310" t="inlineStr">
        <is>
          <t>spruchmagie_wasserbeschwoerung_1_frostwand</t>
        </is>
      </c>
      <c r="B310" t="inlineStr">
        <is>
          <t>12</t>
        </is>
      </c>
      <c r="C310" t="inlineStr">
        <is>
          <t>Keine Gegenprobe möglich.</t>
        </is>
      </c>
      <c r="D310" t="inlineStr">
        <is>
          <t>Magie/2m</t>
        </is>
      </c>
      <c r="E310" t="inlineStr">
        <is>
          <t>Punkt im Raum</t>
        </is>
      </c>
      <c r="F310" t="inlineStr">
        <is>
          <t>Wand</t>
        </is>
      </c>
      <c r="G310" t="inlineStr">
        <is>
          <t>Anhaltend</t>
        </is>
      </c>
      <c r="H310" t="inlineStr">
        <is>
          <t>0.5</t>
        </is>
      </c>
      <c r="I310" t="inlineStr">
        <is>
          <t>6</t>
        </is>
      </c>
      <c r="J310" t="inlineStr">
        <is>
          <t>3sec</t>
        </is>
      </c>
      <c r="K310" t="inlineStr">
        <is>
          <t>Magie*min</t>
        </is>
      </c>
      <c r="L310" t="inlineStr">
        <is>
          <t>2</t>
        </is>
      </c>
      <c r="M310" t="inlineStr">
        <is>
          <t>6</t>
        </is>
      </c>
      <c r="N310" t="inlineStr">
        <is>
          <t>12</t>
        </is>
      </c>
      <c r="O310" t="inlineStr">
        <is>
          <t>10 + 1 / 6 sec</t>
        </is>
      </c>
    </row>
    <row r="311">
      <c r="A311" t="inlineStr">
        <is>
          <t>spruchmagie_wasserbeschwoerung_1_frostfaust</t>
        </is>
      </c>
      <c r="B311" t="inlineStr">
        <is>
          <t>10</t>
        </is>
      </c>
      <c r="C311" t="inlineStr">
        <is>
          <t>Keine Gegenprobe möglich.</t>
        </is>
      </c>
      <c r="D311" t="inlineStr">
        <is>
          <t>Selbst</t>
        </is>
      </c>
      <c r="E311" t="inlineStr">
        <is>
          <t>Selbst</t>
        </is>
      </c>
      <c r="F311" t="inlineStr">
        <is>
          <t>Aura</t>
        </is>
      </c>
      <c r="G311" t="inlineStr">
        <is>
          <t>Anhaltend</t>
        </is>
      </c>
      <c r="H311" t="inlineStr">
        <is>
          <t>0.5</t>
        </is>
      </c>
      <c r="I311" t="inlineStr">
        <is>
          <t>2</t>
        </is>
      </c>
      <c r="J311" t="inlineStr">
        <is>
          <t>sofort</t>
        </is>
      </c>
      <c r="K311" t="inlineStr">
        <is>
          <t>(M)*3sec</t>
        </is>
      </c>
      <c r="L311" t="inlineStr">
        <is>
          <t>2</t>
        </is>
      </c>
      <c r="M311" t="inlineStr">
        <is>
          <t>6</t>
        </is>
      </c>
      <c r="N311" t="inlineStr">
        <is>
          <t>12</t>
        </is>
      </c>
      <c r="O311" t="inlineStr">
        <is>
          <t>6</t>
        </is>
      </c>
    </row>
    <row r="312">
      <c r="A312" t="inlineStr">
        <is>
          <t>spruchmagie_wasserbeschwoerung_1_eisball</t>
        </is>
      </c>
      <c r="B312" t="inlineStr">
        <is>
          <t>11</t>
        </is>
      </c>
      <c r="C312" t="inlineStr">
        <is>
          <t>Bis {Magie}m: Glücks-Probe, ab {Magie}m: Ausweichen, ab {Magie}*2m: mit einem Schild Parieren, um der Wirkung zu entgehen.</t>
        </is>
      </c>
      <c r="D312" t="inlineStr">
        <is>
          <t>(M)*m</t>
        </is>
      </c>
      <c r="E312" t="inlineStr">
        <is>
          <t>Aura</t>
        </is>
      </c>
      <c r="F312" t="inlineStr">
        <is>
          <t>Ball</t>
        </is>
      </c>
      <c r="G312" t="inlineStr">
        <is>
          <t>Einmalig</t>
        </is>
      </c>
      <c r="H312" t="inlineStr">
        <is>
          <t>/</t>
        </is>
      </c>
      <c r="I312" t="inlineStr">
        <is>
          <t>6</t>
        </is>
      </c>
      <c r="J312" t="inlineStr">
        <is>
          <t>sofort</t>
        </is>
      </c>
      <c r="K312" t="inlineStr">
        <is>
          <t>permanent</t>
        </is>
      </c>
      <c r="L312" t="inlineStr">
        <is>
          <t>2</t>
        </is>
      </c>
      <c r="M312" t="inlineStr">
        <is>
          <t>6</t>
        </is>
      </c>
      <c r="N312" t="inlineStr">
        <is>
          <t>12</t>
        </is>
      </c>
      <c r="O312" t="inlineStr">
        <is>
          <t>4</t>
        </is>
      </c>
    </row>
    <row r="313">
      <c r="A313" t="inlineStr">
        <is>
          <t>spruchmagie_wasserbeschwoerung_2_eis_aura</t>
        </is>
      </c>
      <c r="B313" t="inlineStr">
        <is>
          <t>12</t>
        </is>
      </c>
      <c r="C313" t="inlineStr">
        <is>
          <t>Keine Gegenprobe möglich.</t>
        </is>
      </c>
      <c r="D313" t="inlineStr">
        <is>
          <t>Aura/3m</t>
        </is>
      </c>
      <c r="E313" t="inlineStr">
        <is>
          <t>Selbst</t>
        </is>
      </c>
      <c r="F313" t="inlineStr">
        <is>
          <t>Kugel</t>
        </is>
      </c>
      <c r="G313" t="inlineStr">
        <is>
          <t>Anhaltend</t>
        </is>
      </c>
      <c r="H313" t="inlineStr">
        <is>
          <t>1</t>
        </is>
      </c>
      <c r="I313" t="inlineStr">
        <is>
          <t>6</t>
        </is>
      </c>
      <c r="J313" t="inlineStr">
        <is>
          <t>sofort</t>
        </is>
      </c>
      <c r="K313" t="inlineStr">
        <is>
          <t>(M)*3sec</t>
        </is>
      </c>
      <c r="L313" t="inlineStr">
        <is>
          <t>4</t>
        </is>
      </c>
      <c r="M313" t="inlineStr">
        <is>
          <t>9</t>
        </is>
      </c>
      <c r="N313" t="inlineStr">
        <is>
          <t>16</t>
        </is>
      </c>
      <c r="O313" t="inlineStr">
        <is>
          <t>11 + 2 / sec</t>
        </is>
      </c>
    </row>
    <row r="314">
      <c r="A314" t="inlineStr">
        <is>
          <t>spruchmagie_wasserbeschwoerung_2_eisstrahl</t>
        </is>
      </c>
      <c r="B314" t="inlineStr">
        <is>
          <t>14</t>
        </is>
      </c>
      <c r="C314" t="inlineStr">
        <is>
          <t>Glücks-Probe, um der Wirkung zu entgehen.</t>
        </is>
      </c>
      <c r="D314" t="inlineStr">
        <is>
          <t>Magie*3m</t>
        </is>
      </c>
      <c r="E314" t="inlineStr">
        <is>
          <t>Punkt im Raum</t>
        </is>
      </c>
      <c r="F314" t="inlineStr">
        <is>
          <t>Strahl</t>
        </is>
      </c>
      <c r="G314" t="inlineStr">
        <is>
          <t>Anhaltend</t>
        </is>
      </c>
      <c r="H314" t="inlineStr">
        <is>
          <t>1</t>
        </is>
      </c>
      <c r="I314" t="inlineStr">
        <is>
          <t>6</t>
        </is>
      </c>
      <c r="J314" t="inlineStr">
        <is>
          <t>sofort</t>
        </is>
      </c>
      <c r="K314" t="inlineStr">
        <is>
          <t>Magie*sec</t>
        </is>
      </c>
      <c r="L314" t="inlineStr">
        <is>
          <t>4</t>
        </is>
      </c>
      <c r="M314" t="inlineStr">
        <is>
          <t>9</t>
        </is>
      </c>
      <c r="N314" t="inlineStr">
        <is>
          <t>16</t>
        </is>
      </c>
      <c r="O314" t="inlineStr">
        <is>
          <t>8 + 4 / sec</t>
        </is>
      </c>
    </row>
    <row r="315">
      <c r="A315" t="inlineStr">
        <is>
          <t>spruchmagie_wasserbeschwoerung_2_frostbolzen</t>
        </is>
      </c>
      <c r="B315" t="inlineStr">
        <is>
          <t>13</t>
        </is>
      </c>
      <c r="C315" t="inlineStr">
        <is>
          <t>Bis {M}m: Glücks-Probe, bis {M}*2m: AW/2, danach AW oder mit einem Schild parieren, um der Wirkung zu entgehen.</t>
        </is>
      </c>
      <c r="D315" t="inlineStr">
        <is>
          <t>(M)*2m</t>
        </is>
      </c>
      <c r="E315" t="inlineStr">
        <is>
          <t>Aura</t>
        </is>
      </c>
      <c r="F315" t="inlineStr">
        <is>
          <t>Bolzen</t>
        </is>
      </c>
      <c r="G315" t="inlineStr">
        <is>
          <t>Einmalig</t>
        </is>
      </c>
      <c r="H315" t="inlineStr">
        <is>
          <t>/</t>
        </is>
      </c>
      <c r="I315" t="inlineStr">
        <is>
          <t>6</t>
        </is>
      </c>
      <c r="J315" t="inlineStr">
        <is>
          <t>sofort</t>
        </is>
      </c>
      <c r="K315" t="inlineStr">
        <is>
          <t>permanent</t>
        </is>
      </c>
      <c r="L315" t="inlineStr">
        <is>
          <t>4</t>
        </is>
      </c>
      <c r="M315" t="inlineStr">
        <is>
          <t>9</t>
        </is>
      </c>
      <c r="N315" t="inlineStr">
        <is>
          <t>16</t>
        </is>
      </c>
      <c r="O315" t="inlineStr">
        <is>
          <t>6</t>
        </is>
      </c>
    </row>
    <row r="316">
      <c r="A316" t="inlineStr">
        <is>
          <t>spruchmagie_wasserbeschwoerung_3_frost_klinge</t>
        </is>
      </c>
      <c r="B316" t="inlineStr">
        <is>
          <t>16</t>
        </is>
      </c>
      <c r="C316" t="inlineStr">
        <is>
          <t>Keine Gegenprobe möglich.</t>
        </is>
      </c>
      <c r="D316" t="inlineStr">
        <is>
          <t>Berührung</t>
        </is>
      </c>
      <c r="E316" t="inlineStr">
        <is>
          <t>Gegenstand</t>
        </is>
      </c>
      <c r="F316" t="inlineStr">
        <is>
          <t>Aura</t>
        </is>
      </c>
      <c r="G316" t="inlineStr">
        <is>
          <t>Anhaltend</t>
        </is>
      </c>
      <c r="H316" t="inlineStr">
        <is>
          <t>1.5</t>
        </is>
      </c>
      <c r="I316" t="inlineStr">
        <is>
          <t>8</t>
        </is>
      </c>
      <c r="J316" t="inlineStr">
        <is>
          <t>1sec</t>
        </is>
      </c>
      <c r="K316" t="inlineStr">
        <is>
          <t>(M)*min</t>
        </is>
      </c>
      <c r="L316" t="inlineStr">
        <is>
          <t>7</t>
        </is>
      </c>
      <c r="M316" t="inlineStr">
        <is>
          <t>13</t>
        </is>
      </c>
      <c r="N316" t="inlineStr">
        <is>
          <t>21</t>
        </is>
      </c>
      <c r="O316" t="inlineStr">
        <is>
          <t>26</t>
        </is>
      </c>
    </row>
    <row r="317">
      <c r="A317" t="inlineStr">
        <is>
          <t>spruchmagie_wasserbeschwoerung_3_frost_pfeil</t>
        </is>
      </c>
      <c r="B317" t="inlineStr">
        <is>
          <t>16</t>
        </is>
      </c>
      <c r="C317" t="inlineStr">
        <is>
          <t>Keine Gegenprobe möglich.</t>
        </is>
      </c>
      <c r="D317" t="inlineStr">
        <is>
          <t>Berührung</t>
        </is>
      </c>
      <c r="E317" t="inlineStr">
        <is>
          <t>Gegenstand</t>
        </is>
      </c>
      <c r="F317" t="inlineStr">
        <is>
          <t>Aura</t>
        </is>
      </c>
      <c r="G317" t="inlineStr">
        <is>
          <t>Einmalig</t>
        </is>
      </c>
      <c r="H317" t="inlineStr">
        <is>
          <t>/</t>
        </is>
      </c>
      <c r="I317" t="inlineStr">
        <is>
          <t>3</t>
        </is>
      </c>
      <c r="J317" t="inlineStr">
        <is>
          <t>sofort</t>
        </is>
      </c>
      <c r="K317" t="inlineStr">
        <is>
          <t>(M)*3sec</t>
        </is>
      </c>
      <c r="L317" t="inlineStr">
        <is>
          <t>7</t>
        </is>
      </c>
      <c r="M317" t="inlineStr">
        <is>
          <t>13</t>
        </is>
      </c>
      <c r="N317" t="inlineStr">
        <is>
          <t>21</t>
        </is>
      </c>
      <c r="O317" t="inlineStr">
        <is>
          <t>4</t>
        </is>
      </c>
    </row>
    <row r="318">
      <c r="A318" t="inlineStr">
        <is>
          <t>spruchmagie_wasserbeschwoerung_3_eisblitz</t>
        </is>
      </c>
      <c r="B318" t="inlineStr">
        <is>
          <t>15</t>
        </is>
      </c>
      <c r="C318" t="inlineStr">
        <is>
          <t>Glücks-Probe, um der Wirkung zu entgehen.</t>
        </is>
      </c>
      <c r="D318" t="inlineStr">
        <is>
          <t>(M)*4m</t>
        </is>
      </c>
      <c r="E318" t="inlineStr">
        <is>
          <t>Aura</t>
        </is>
      </c>
      <c r="F318" t="inlineStr">
        <is>
          <t>Blitz</t>
        </is>
      </c>
      <c r="G318" t="inlineStr">
        <is>
          <t>Bipolar</t>
        </is>
      </c>
      <c r="H318" t="inlineStr">
        <is>
          <t>3</t>
        </is>
      </c>
      <c r="I318" t="inlineStr">
        <is>
          <t>6</t>
        </is>
      </c>
      <c r="J318" t="inlineStr">
        <is>
          <t>sofort</t>
        </is>
      </c>
      <c r="K318" t="inlineStr">
        <is>
          <t>permanent</t>
        </is>
      </c>
      <c r="L318" t="inlineStr">
        <is>
          <t>7</t>
        </is>
      </c>
      <c r="M318" t="inlineStr">
        <is>
          <t>13</t>
        </is>
      </c>
      <c r="N318" t="inlineStr">
        <is>
          <t>21</t>
        </is>
      </c>
      <c r="O318" t="inlineStr">
        <is>
          <t>6</t>
        </is>
      </c>
    </row>
    <row r="319">
      <c r="A319" t="inlineStr">
        <is>
          <t>spruchmagie_wasserbeschwoerung_3_grosse_frostfaust</t>
        </is>
      </c>
      <c r="B319" t="inlineStr">
        <is>
          <t>14</t>
        </is>
      </c>
      <c r="C319" t="inlineStr">
        <is>
          <t>Keine Gegenprobe möglich.</t>
        </is>
      </c>
      <c r="D319" t="inlineStr">
        <is>
          <t>Selbst</t>
        </is>
      </c>
      <c r="E319" t="inlineStr">
        <is>
          <t>Selbst</t>
        </is>
      </c>
      <c r="F319" t="inlineStr">
        <is>
          <t>Aura</t>
        </is>
      </c>
      <c r="G319" t="inlineStr">
        <is>
          <t>Anhaltend</t>
        </is>
      </c>
      <c r="H319" t="inlineStr">
        <is>
          <t>1.5</t>
        </is>
      </c>
      <c r="I319" t="inlineStr">
        <is>
          <t>2</t>
        </is>
      </c>
      <c r="J319" t="inlineStr">
        <is>
          <t>sofort</t>
        </is>
      </c>
      <c r="K319" t="inlineStr">
        <is>
          <t>(M)*3sec</t>
        </is>
      </c>
      <c r="L319" t="inlineStr">
        <is>
          <t>7</t>
        </is>
      </c>
      <c r="M319" t="inlineStr">
        <is>
          <t>13</t>
        </is>
      </c>
      <c r="N319" t="inlineStr">
        <is>
          <t>21</t>
        </is>
      </c>
      <c r="O319" t="inlineStr">
        <is>
          <t>18</t>
        </is>
      </c>
    </row>
    <row r="320">
      <c r="A320" t="inlineStr">
        <is>
          <t>spruchmagie_wasserbeschwoerung_3_eisball_salve</t>
        </is>
      </c>
      <c r="B320" t="inlineStr">
        <is>
          <t>16</t>
        </is>
      </c>
      <c r="C320" t="inlineStr">
        <is>
          <t>Bis {Magie}m: Glücks-Probe, ab {Magie}m: Ausweichen, ab {Magie}*2m: mit einem Schild Parieren, um der Wirkung zu entgehen.</t>
        </is>
      </c>
      <c r="D320" t="inlineStr">
        <is>
          <t>(M)*m</t>
        </is>
      </c>
      <c r="E320" t="inlineStr">
        <is>
          <t>Aura</t>
        </is>
      </c>
      <c r="F320" t="inlineStr">
        <is>
          <t>Ball</t>
        </is>
      </c>
      <c r="G320" t="inlineStr">
        <is>
          <t>Einmalig</t>
        </is>
      </c>
      <c r="H320" t="inlineStr">
        <is>
          <t>/</t>
        </is>
      </c>
      <c r="I320" t="inlineStr">
        <is>
          <t>9</t>
        </is>
      </c>
      <c r="J320" t="inlineStr">
        <is>
          <t>sofort</t>
        </is>
      </c>
      <c r="K320" t="inlineStr">
        <is>
          <t>permanent</t>
        </is>
      </c>
      <c r="L320" t="inlineStr">
        <is>
          <t>7</t>
        </is>
      </c>
      <c r="M320" t="inlineStr">
        <is>
          <t>13</t>
        </is>
      </c>
      <c r="N320" t="inlineStr">
        <is>
          <t>21</t>
        </is>
      </c>
      <c r="O320" t="inlineStr">
        <is>
          <t>4/Ball</t>
        </is>
      </c>
    </row>
    <row r="321">
      <c r="A321" t="inlineStr">
        <is>
          <t>spruchmagie_wasserbeschwoerung_4_grosse_frostwand</t>
        </is>
      </c>
      <c r="B321" t="inlineStr">
        <is>
          <t>16</t>
        </is>
      </c>
      <c r="C321" t="inlineStr">
        <is>
          <t>Keine Gegenprobe möglich.</t>
        </is>
      </c>
      <c r="D321" t="inlineStr">
        <is>
          <t>Magie/2m</t>
        </is>
      </c>
      <c r="E321" t="inlineStr">
        <is>
          <t>Punkt im Raum</t>
        </is>
      </c>
      <c r="F321" t="inlineStr">
        <is>
          <t>Wand</t>
        </is>
      </c>
      <c r="G321" t="inlineStr">
        <is>
          <t>Anhaltend</t>
        </is>
      </c>
      <c r="H321" t="inlineStr">
        <is>
          <t>2</t>
        </is>
      </c>
      <c r="I321" t="inlineStr">
        <is>
          <t>6</t>
        </is>
      </c>
      <c r="J321" t="inlineStr">
        <is>
          <t>2sec</t>
        </is>
      </c>
      <c r="K321" t="inlineStr">
        <is>
          <t>Magie*min</t>
        </is>
      </c>
      <c r="L321" t="inlineStr">
        <is>
          <t>8</t>
        </is>
      </c>
      <c r="M321" t="inlineStr">
        <is>
          <t>15</t>
        </is>
      </c>
      <c r="N321" t="inlineStr">
        <is>
          <t>24</t>
        </is>
      </c>
      <c r="O321" t="inlineStr">
        <is>
          <t>20 + 1 / 3 sec</t>
        </is>
      </c>
    </row>
    <row r="322">
      <c r="A322" t="inlineStr">
        <is>
          <t>spruchmagie_wasserbeschwoerung_4_grosser_eisball</t>
        </is>
      </c>
      <c r="B322" t="inlineStr">
        <is>
          <t>17</t>
        </is>
      </c>
      <c r="C322" t="inlineStr">
        <is>
          <t>Bis {Magie}m: Glücks-Probe, ab {Magie}m: Ausweichen, ab {Magie}*2m: mit einem Schild Parieren, um der Wirkung zu entgehen.</t>
        </is>
      </c>
      <c r="D322" t="inlineStr">
        <is>
          <t>(M)*2m</t>
        </is>
      </c>
      <c r="E322" t="inlineStr">
        <is>
          <t>Aura</t>
        </is>
      </c>
      <c r="F322" t="inlineStr">
        <is>
          <t>Ball</t>
        </is>
      </c>
      <c r="G322" t="inlineStr">
        <is>
          <t>Einmalig</t>
        </is>
      </c>
      <c r="H322" t="inlineStr">
        <is>
          <t>/</t>
        </is>
      </c>
      <c r="I322" t="inlineStr">
        <is>
          <t>6</t>
        </is>
      </c>
      <c r="J322" t="inlineStr">
        <is>
          <t>sofort</t>
        </is>
      </c>
      <c r="K322" t="inlineStr">
        <is>
          <t>permanent</t>
        </is>
      </c>
      <c r="L322" t="inlineStr">
        <is>
          <t>8</t>
        </is>
      </c>
      <c r="M322" t="inlineStr">
        <is>
          <t>15</t>
        </is>
      </c>
      <c r="N322" t="inlineStr">
        <is>
          <t>24</t>
        </is>
      </c>
      <c r="O322" t="inlineStr">
        <is>
          <t>12</t>
        </is>
      </c>
    </row>
    <row r="323">
      <c r="A323" t="inlineStr">
        <is>
          <t>spruchmagie_wasserbeschwoerung_4_frostbolzen_salve</t>
        </is>
      </c>
      <c r="B323" t="inlineStr">
        <is>
          <t>18</t>
        </is>
      </c>
      <c r="C323" t="inlineStr">
        <is>
          <t>Bis {M}m: Glücks-Probe, bis {M}*2m: AW/2, danach AW oder mit einem Schild parieren, um der Wirkung zu entgehen.</t>
        </is>
      </c>
      <c r="D323" t="inlineStr">
        <is>
          <t>(M)*2m</t>
        </is>
      </c>
      <c r="E323" t="inlineStr">
        <is>
          <t>Aura</t>
        </is>
      </c>
      <c r="F323" t="inlineStr">
        <is>
          <t>Bolzen</t>
        </is>
      </c>
      <c r="G323" t="inlineStr">
        <is>
          <t>Einmalig</t>
        </is>
      </c>
      <c r="H323" t="inlineStr">
        <is>
          <t>/</t>
        </is>
      </c>
      <c r="I323" t="inlineStr">
        <is>
          <t>9</t>
        </is>
      </c>
      <c r="J323" t="inlineStr">
        <is>
          <t>sofort</t>
        </is>
      </c>
      <c r="K323" t="inlineStr">
        <is>
          <t>permanent</t>
        </is>
      </c>
      <c r="L323" t="inlineStr">
        <is>
          <t>8</t>
        </is>
      </c>
      <c r="M323" t="inlineStr">
        <is>
          <t>15</t>
        </is>
      </c>
      <c r="N323" t="inlineStr">
        <is>
          <t>24</t>
        </is>
      </c>
      <c r="O323" t="inlineStr">
        <is>
          <t>6/Bolzen</t>
        </is>
      </c>
    </row>
    <row r="324">
      <c r="A324" t="inlineStr">
        <is>
          <t>spruchmagie_wasserbeschwoerung_5_grosse_eisaura</t>
        </is>
      </c>
      <c r="B324" t="inlineStr">
        <is>
          <t>18</t>
        </is>
      </c>
      <c r="C324" t="inlineStr">
        <is>
          <t>Keine Gegenprobe möglich.</t>
        </is>
      </c>
      <c r="D324" t="inlineStr">
        <is>
          <t>Aura/3m</t>
        </is>
      </c>
      <c r="E324" t="inlineStr">
        <is>
          <t>Selbst</t>
        </is>
      </c>
      <c r="F324" t="inlineStr">
        <is>
          <t>Kugel</t>
        </is>
      </c>
      <c r="G324" t="inlineStr">
        <is>
          <t>Anhaltend</t>
        </is>
      </c>
      <c r="H324" t="inlineStr">
        <is>
          <t>2.5</t>
        </is>
      </c>
      <c r="I324" t="inlineStr">
        <is>
          <t>6</t>
        </is>
      </c>
      <c r="J324" t="inlineStr">
        <is>
          <t>sofort</t>
        </is>
      </c>
      <c r="K324" t="inlineStr">
        <is>
          <t>(M)*3sec</t>
        </is>
      </c>
      <c r="L324" t="inlineStr">
        <is>
          <t>9</t>
        </is>
      </c>
      <c r="M324" t="inlineStr">
        <is>
          <t>17</t>
        </is>
      </c>
      <c r="N324" t="inlineStr">
        <is>
          <t>27</t>
        </is>
      </c>
      <c r="O324" t="inlineStr">
        <is>
          <t>15 + 3 / sec</t>
        </is>
      </c>
    </row>
    <row r="325">
      <c r="A325" t="inlineStr">
        <is>
          <t>spruchmagie_wasserbeschwoerung_5_blizzard</t>
        </is>
      </c>
      <c r="B325" t="inlineStr">
        <is>
          <t>20</t>
        </is>
      </c>
      <c r="C325" t="inlineStr">
        <is>
          <t>Keine Gegenprobe möglich.</t>
        </is>
      </c>
      <c r="D325" t="inlineStr">
        <is>
          <t>(M)*m Radius</t>
        </is>
      </c>
      <c r="E325" t="inlineStr">
        <is>
          <t>Selbst</t>
        </is>
      </c>
      <c r="F325" t="inlineStr">
        <is>
          <t>Kugel</t>
        </is>
      </c>
      <c r="G325" t="inlineStr">
        <is>
          <t>Einmalig</t>
        </is>
      </c>
      <c r="H325" t="inlineStr">
        <is>
          <t>/</t>
        </is>
      </c>
      <c r="I325" t="inlineStr">
        <is>
          <t>9</t>
        </is>
      </c>
      <c r="J325" t="inlineStr">
        <is>
          <t>sofort</t>
        </is>
      </c>
      <c r="K325" t="inlineStr">
        <is>
          <t>permanent</t>
        </is>
      </c>
      <c r="L325" t="inlineStr">
        <is>
          <t>9</t>
        </is>
      </c>
      <c r="M325" t="inlineStr">
        <is>
          <t>17</t>
        </is>
      </c>
      <c r="N325" t="inlineStr">
        <is>
          <t>27</t>
        </is>
      </c>
      <c r="O325" t="inlineStr">
        <is>
          <t>38</t>
        </is>
      </c>
    </row>
    <row r="326">
      <c r="A326" t="inlineStr">
        <is>
          <t>spruchmagie_wasserbeschwoerung_5_grosser_frostbolzen</t>
        </is>
      </c>
      <c r="B326" t="inlineStr">
        <is>
          <t>19</t>
        </is>
      </c>
      <c r="C326" t="inlineStr">
        <is>
          <t>Bis {M}m: Glücks-Probe, bis {M}*2m: AW/2, danach AW oder mit einem Schild parieren, um der Wirkung zu entgehen.</t>
        </is>
      </c>
      <c r="D326" t="inlineStr">
        <is>
          <t>(M)*3m</t>
        </is>
      </c>
      <c r="E326" t="inlineStr">
        <is>
          <t>Aura</t>
        </is>
      </c>
      <c r="F326" t="inlineStr">
        <is>
          <t>Bolzen</t>
        </is>
      </c>
      <c r="G326" t="inlineStr">
        <is>
          <t>Einmalig</t>
        </is>
      </c>
      <c r="H326" t="inlineStr">
        <is>
          <t>/</t>
        </is>
      </c>
      <c r="I326" t="inlineStr">
        <is>
          <t>6</t>
        </is>
      </c>
      <c r="J326" t="inlineStr">
        <is>
          <t>sofort</t>
        </is>
      </c>
      <c r="K326" t="inlineStr">
        <is>
          <t>permanent</t>
        </is>
      </c>
      <c r="L326" t="inlineStr">
        <is>
          <t>9</t>
        </is>
      </c>
      <c r="M326" t="inlineStr">
        <is>
          <t>17</t>
        </is>
      </c>
      <c r="N326" t="inlineStr">
        <is>
          <t>27</t>
        </is>
      </c>
      <c r="O326" t="inlineStr">
        <is>
          <t>16</t>
        </is>
      </c>
    </row>
    <row r="327">
      <c r="A327" t="inlineStr">
        <is>
          <t>spruchmagie_wasserbeschwoerung_6_grosser_eisstrahl</t>
        </is>
      </c>
      <c r="B327" t="inlineStr">
        <is>
          <t>20</t>
        </is>
      </c>
      <c r="C327" t="inlineStr">
        <is>
          <t>Glücks-Probe, um der Wirkung zu entgehen.</t>
        </is>
      </c>
      <c r="D327" t="inlineStr">
        <is>
          <t>Magie*4m</t>
        </is>
      </c>
      <c r="E327" t="inlineStr">
        <is>
          <t>Punkt im Raum</t>
        </is>
      </c>
      <c r="F327" t="inlineStr">
        <is>
          <t>Strahl</t>
        </is>
      </c>
      <c r="G327" t="inlineStr">
        <is>
          <t>Anhaltend</t>
        </is>
      </c>
      <c r="H327" t="inlineStr">
        <is>
          <t>3</t>
        </is>
      </c>
      <c r="I327" t="inlineStr">
        <is>
          <t>6</t>
        </is>
      </c>
      <c r="J327" t="inlineStr">
        <is>
          <t>sofort</t>
        </is>
      </c>
      <c r="K327" t="inlineStr">
        <is>
          <t>permanent</t>
        </is>
      </c>
      <c r="L327" t="inlineStr">
        <is>
          <t>10</t>
        </is>
      </c>
      <c r="M327" t="inlineStr">
        <is>
          <t>19</t>
        </is>
      </c>
      <c r="N327" t="inlineStr">
        <is>
          <t>30</t>
        </is>
      </c>
      <c r="O327" t="inlineStr">
        <is>
          <t>15+ 7 / sec</t>
        </is>
      </c>
    </row>
    <row r="328">
      <c r="A328" t="inlineStr">
        <is>
          <t>spruchmagie_wasserbeschwoerung_6_grosser_eisblitz</t>
        </is>
      </c>
      <c r="B328" t="inlineStr">
        <is>
          <t>21</t>
        </is>
      </c>
      <c r="C328" t="inlineStr">
        <is>
          <t>Glücks-Probe, um der Wirkung zu entgehen.</t>
        </is>
      </c>
      <c r="D328" t="inlineStr">
        <is>
          <t>(M)*5m</t>
        </is>
      </c>
      <c r="E328" t="inlineStr">
        <is>
          <t>Aura</t>
        </is>
      </c>
      <c r="F328" t="inlineStr">
        <is>
          <t>Blitz</t>
        </is>
      </c>
      <c r="G328" t="inlineStr">
        <is>
          <t>Bipolar</t>
        </is>
      </c>
      <c r="H328" t="inlineStr">
        <is>
          <t>6</t>
        </is>
      </c>
      <c r="I328" t="inlineStr">
        <is>
          <t>6</t>
        </is>
      </c>
      <c r="J328" t="inlineStr">
        <is>
          <t>sofort</t>
        </is>
      </c>
      <c r="K328" t="inlineStr">
        <is>
          <t>permanent</t>
        </is>
      </c>
      <c r="L328" t="inlineStr">
        <is>
          <t>10</t>
        </is>
      </c>
      <c r="M328" t="inlineStr">
        <is>
          <t>19</t>
        </is>
      </c>
      <c r="N328" t="inlineStr">
        <is>
          <t>30</t>
        </is>
      </c>
      <c r="O328" t="inlineStr">
        <is>
          <t>16</t>
        </is>
      </c>
    </row>
    <row r="329">
      <c r="A329" t="inlineStr">
        <is>
          <t>spruchmagie_wasserbeschwoerung_6_grosse_eisball_salve</t>
        </is>
      </c>
      <c r="B329" t="inlineStr">
        <is>
          <t>22</t>
        </is>
      </c>
      <c r="C329" t="inlineStr">
        <is>
          <t>Bis {Magie}m: Glücks-Probe, ab {Magie}m: Ausweichen, ab {Magie}*2m: mit einem Schild Parieren, um der Wirkung zu entgehen.</t>
        </is>
      </c>
      <c r="D329" t="inlineStr">
        <is>
          <t>(M)*2m</t>
        </is>
      </c>
      <c r="E329" t="inlineStr">
        <is>
          <t>Aura</t>
        </is>
      </c>
      <c r="F329" t="inlineStr">
        <is>
          <t>Ball</t>
        </is>
      </c>
      <c r="G329" t="inlineStr">
        <is>
          <t>Einmalig</t>
        </is>
      </c>
      <c r="H329" t="inlineStr">
        <is>
          <t>/</t>
        </is>
      </c>
      <c r="I329" t="inlineStr">
        <is>
          <t>6</t>
        </is>
      </c>
      <c r="J329" t="inlineStr">
        <is>
          <t>sofort</t>
        </is>
      </c>
      <c r="K329" t="inlineStr">
        <is>
          <t>permanent</t>
        </is>
      </c>
      <c r="L329" t="inlineStr">
        <is>
          <t>10</t>
        </is>
      </c>
      <c r="M329" t="inlineStr">
        <is>
          <t>19</t>
        </is>
      </c>
      <c r="N329" t="inlineStr">
        <is>
          <t>30</t>
        </is>
      </c>
      <c r="O329" t="inlineStr">
        <is>
          <t>12/Ball</t>
        </is>
      </c>
    </row>
    <row r="330">
      <c r="A330" t="inlineStr">
        <is>
          <t>spruchmagie_wasserbeschwoerung_7_grosser_blizzard</t>
        </is>
      </c>
      <c r="B330" t="inlineStr">
        <is>
          <t>24</t>
        </is>
      </c>
      <c r="C330" t="inlineStr">
        <is>
          <t>Keine Gegenprobe möglich.</t>
        </is>
      </c>
      <c r="D330" t="inlineStr">
        <is>
          <t>(M)*m Radius</t>
        </is>
      </c>
      <c r="E330" t="inlineStr">
        <is>
          <t>Selbst</t>
        </is>
      </c>
      <c r="F330" t="inlineStr">
        <is>
          <t>Kugel</t>
        </is>
      </c>
      <c r="G330" t="inlineStr">
        <is>
          <t>Einmalig</t>
        </is>
      </c>
      <c r="H330" t="inlineStr">
        <is>
          <t>/</t>
        </is>
      </c>
      <c r="I330" t="inlineStr">
        <is>
          <t>9</t>
        </is>
      </c>
      <c r="J330" t="inlineStr">
        <is>
          <t>sofort</t>
        </is>
      </c>
      <c r="K330" t="inlineStr">
        <is>
          <t>permanent</t>
        </is>
      </c>
      <c r="L330" t="inlineStr">
        <is>
          <t>11</t>
        </is>
      </c>
      <c r="M330" t="inlineStr">
        <is>
          <t>20</t>
        </is>
      </c>
      <c r="N330" t="inlineStr">
        <is>
          <t>32</t>
        </is>
      </c>
      <c r="O330" t="inlineStr">
        <is>
          <t>60</t>
        </is>
      </c>
    </row>
    <row r="331">
      <c r="A331" t="inlineStr">
        <is>
          <t>spruchmagie_wasserbeschwoerung_7_grosse_frostbolzen_salve</t>
        </is>
      </c>
      <c r="B331" t="inlineStr">
        <is>
          <t>23</t>
        </is>
      </c>
      <c r="C331" t="inlineStr">
        <is>
          <t>Bis {M}m: Glücks-Probe, bis {M}*2m: AW/2, danach AW oder mit einem Schild parieren, um der Wirkung zu entgehen.</t>
        </is>
      </c>
      <c r="D331" t="inlineStr">
        <is>
          <t>(M)*3m</t>
        </is>
      </c>
      <c r="E331" t="inlineStr">
        <is>
          <t>Aura</t>
        </is>
      </c>
      <c r="F331" t="inlineStr">
        <is>
          <t>Bolzen</t>
        </is>
      </c>
      <c r="G331" t="inlineStr">
        <is>
          <t>Einmalig</t>
        </is>
      </c>
      <c r="H331" t="inlineStr">
        <is>
          <t>/</t>
        </is>
      </c>
      <c r="I331" t="inlineStr">
        <is>
          <t>9</t>
        </is>
      </c>
      <c r="J331" t="inlineStr">
        <is>
          <t>sofort</t>
        </is>
      </c>
      <c r="K331" t="inlineStr">
        <is>
          <t>permanent</t>
        </is>
      </c>
      <c r="L331" t="inlineStr">
        <is>
          <t>11</t>
        </is>
      </c>
      <c r="M331" t="inlineStr">
        <is>
          <t>20</t>
        </is>
      </c>
      <c r="N331" t="inlineStr">
        <is>
          <t>32</t>
        </is>
      </c>
      <c r="O331" t="inlineStr">
        <is>
          <t>16/Bolzen</t>
        </is>
      </c>
    </row>
  </sheetData>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9.140625" defaultRowHeight="15"/>
  <cols>
    <col width="11.28515625" customWidth="1" style="48" min="1" max="1"/>
    <col width="12.42578125" customWidth="1" style="48" min="2" max="2"/>
    <col width="2.42578125" customWidth="1" style="48" min="3" max="4"/>
  </cols>
  <sheetData>
    <row r="1">
      <c r="A1" t="inlineStr">
        <is>
          <t>Wirkungsstufe</t>
        </is>
      </c>
      <c r="B1" t="inlineStr">
        <is>
          <t>Schadenswürfel</t>
        </is>
      </c>
      <c r="C1" t="inlineStr">
        <is>
          <t>RB</t>
        </is>
      </c>
      <c r="D1" t="inlineStr">
        <is>
          <t>SB</t>
        </is>
      </c>
    </row>
    <row r="2">
      <c r="A2" t="n">
        <v>1</v>
      </c>
      <c r="B2" t="inlineStr">
        <is>
          <t>W4</t>
        </is>
      </c>
      <c r="C2" t="n">
        <v>2</v>
      </c>
      <c r="D2" t="n">
        <v>3</v>
      </c>
    </row>
    <row r="3">
      <c r="A3" t="n">
        <v>2</v>
      </c>
      <c r="B3" t="inlineStr">
        <is>
          <t>W6</t>
        </is>
      </c>
      <c r="C3" t="n">
        <v>2</v>
      </c>
      <c r="D3" t="n">
        <v>3</v>
      </c>
    </row>
    <row r="4">
      <c r="A4" t="n">
        <v>3</v>
      </c>
      <c r="B4" t="inlineStr">
        <is>
          <t>W8</t>
        </is>
      </c>
      <c r="C4" t="n">
        <v>2</v>
      </c>
      <c r="D4" t="n">
        <v>3</v>
      </c>
    </row>
    <row r="5">
      <c r="A5" t="n">
        <v>4</v>
      </c>
      <c r="B5" t="inlineStr">
        <is>
          <t>W10</t>
        </is>
      </c>
      <c r="C5" t="n">
        <v>2</v>
      </c>
      <c r="D5" t="n">
        <v>3</v>
      </c>
    </row>
    <row r="6">
      <c r="A6" t="n">
        <v>5</v>
      </c>
      <c r="B6" t="inlineStr">
        <is>
          <t>W12</t>
        </is>
      </c>
      <c r="C6" t="n">
        <v>3</v>
      </c>
      <c r="D6" t="n">
        <v>4</v>
      </c>
    </row>
    <row r="7">
      <c r="A7" t="n">
        <v>6</v>
      </c>
      <c r="B7" t="inlineStr">
        <is>
          <t>W15</t>
        </is>
      </c>
      <c r="C7" t="n">
        <v>4</v>
      </c>
      <c r="D7" t="n">
        <v>7</v>
      </c>
    </row>
    <row r="8">
      <c r="A8" t="n">
        <v>7</v>
      </c>
      <c r="B8" t="inlineStr">
        <is>
          <t>W20</t>
        </is>
      </c>
      <c r="C8" t="n">
        <v>8</v>
      </c>
      <c r="D8" t="n">
        <v>13</v>
      </c>
    </row>
    <row r="9">
      <c r="A9" t="n">
        <v>8</v>
      </c>
      <c r="B9" t="inlineStr">
        <is>
          <t>W30</t>
        </is>
      </c>
      <c r="C9" t="n">
        <v>9</v>
      </c>
      <c r="D9" t="n">
        <v>14</v>
      </c>
    </row>
    <row r="10">
      <c r="A10" t="n">
        <v>9</v>
      </c>
      <c r="B10" t="inlineStr">
        <is>
          <t>2W20</t>
        </is>
      </c>
      <c r="C10" t="n">
        <v>15</v>
      </c>
      <c r="D10" t="n">
        <v>25</v>
      </c>
    </row>
    <row r="11">
      <c r="A11" t="n">
        <v>10</v>
      </c>
      <c r="B11" t="inlineStr">
        <is>
          <t>2W30</t>
        </is>
      </c>
      <c r="C11" t="n">
        <v>24</v>
      </c>
      <c r="D11" t="n">
        <v>39</v>
      </c>
    </row>
  </sheetData>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L61"/>
  <sheetViews>
    <sheetView showGridLines="0" workbookViewId="0">
      <selection activeCell="A1" sqref="A1"/>
    </sheetView>
  </sheetViews>
  <sheetFormatPr baseColWidth="10" defaultColWidth="9.140625" defaultRowHeight="15"/>
  <cols>
    <col width="20" customWidth="1" style="48" min="1" max="1"/>
    <col width="28" customWidth="1" style="48" min="2" max="2"/>
    <col width="12" customWidth="1" style="48" min="3" max="3"/>
    <col width="72" customWidth="1" style="48" min="4" max="4"/>
    <col width="18" customWidth="1" style="48" min="5" max="5"/>
    <col width="24" customWidth="1" style="48" min="6" max="6"/>
    <col width="14" customWidth="1" style="48" min="7" max="8"/>
    <col width="20" customWidth="1" style="48" min="9" max="9"/>
    <col width="11" customWidth="1" style="48" min="10" max="11"/>
    <col width="16" customWidth="1" style="48" min="12" max="12"/>
  </cols>
  <sheetData>
    <row r="1" ht="27.95000076293945" customHeight="1" s="48">
      <c r="A1" s="57" t="inlineStr">
        <is>
          <t>Typ</t>
        </is>
      </c>
      <c r="B1" s="57" t="inlineStr">
        <is>
          <t>Name</t>
        </is>
      </c>
      <c r="C1" s="57" t="inlineStr">
        <is>
          <t>Gebet</t>
        </is>
      </c>
      <c r="D1" s="57" t="inlineStr">
        <is>
          <t>Wirkung</t>
        </is>
      </c>
      <c r="E1" s="57" t="inlineStr">
        <is>
          <t>Ziel</t>
        </is>
      </c>
      <c r="F1" s="57" t="inlineStr">
        <is>
          <t>RW</t>
        </is>
      </c>
      <c r="G1" s="57" t="inlineStr">
        <is>
          <t>VD</t>
        </is>
      </c>
      <c r="H1" s="57" t="inlineStr">
        <is>
          <t>ED</t>
        </is>
      </c>
      <c r="I1" s="57" t="inlineStr">
        <is>
          <t>WD</t>
        </is>
      </c>
      <c r="J1" s="57" t="inlineStr">
        <is>
          <t>MinKarma</t>
        </is>
      </c>
      <c r="K1" s="57" t="inlineStr">
        <is>
          <t>Malus</t>
        </is>
      </c>
      <c r="L1" s="57" t="inlineStr">
        <is>
          <t>KPP</t>
        </is>
      </c>
    </row>
    <row r="2" ht="60" customHeight="1" s="48">
      <c r="A2" s="58" t="inlineStr">
        <is>
          <t>Allgemeine Wunder</t>
        </is>
      </c>
      <c r="B2" s="58" t="inlineStr">
        <is>
          <t>Heiliger Blitz</t>
        </is>
      </c>
      <c r="C2" s="58" t="inlineStr">
        <is>
          <t>Stoß</t>
        </is>
      </c>
      <c r="D2" s="58" t="inlineStr">
        <is>
          <t>Das Opfer erleidet W10 + {Karma}, Heiligen Schaden, Rüstung ignorierend, auf 1 TZ (W30). Das Wunder kann max. ({Aura}+{Karma}) W6 zusätzlichen Schaden machen, wenn die Anrufungszeit um 2sec verlängert wird. Dämonen und Untote werden immer Getroffen.</t>
        </is>
      </c>
      <c r="E2" s="58" t="inlineStr">
        <is>
          <t>Aura</t>
        </is>
      </c>
      <c r="F2" s="58" t="inlineStr">
        <is>
          <t>(M)x2m</t>
        </is>
      </c>
      <c r="G2" s="58" t="inlineStr">
        <is>
          <t>1sec</t>
        </is>
      </c>
      <c r="H2" s="58" t="inlineStr">
        <is>
          <t>sofort</t>
        </is>
      </c>
      <c r="I2" s="58" t="inlineStr">
        <is>
          <t>permanent</t>
        </is>
      </c>
      <c r="J2" s="59" t="n">
        <v>1</v>
      </c>
      <c r="K2" s="59" t="n">
        <v>3</v>
      </c>
      <c r="L2" s="58" t="inlineStr">
        <is>
          <t>15</t>
        </is>
      </c>
    </row>
    <row r="3" ht="60" customHeight="1" s="48">
      <c r="A3" s="58" t="inlineStr">
        <is>
          <t>Allgemeine Wunder</t>
        </is>
      </c>
      <c r="B3" s="58" t="inlineStr">
        <is>
          <t>Heiliger Bolzen</t>
        </is>
      </c>
      <c r="C3" s="58" t="inlineStr">
        <is>
          <t>Stoß</t>
        </is>
      </c>
      <c r="D3" s="58" t="inlineStr">
        <is>
          <t>Aus dem Nichts schießt ein weißer Blitz mit 40m/s auf sein Ziel zu. Das Opfer hat eine Glücks-Probe. Schaden nur auf Dämonen oder Untote. Auf 1 TZ (W30) : 2W12 + {Magie} + {Karma}, Heiliger Schaden, RB=unendlich</t>
        </is>
      </c>
      <c r="E3" s="58" t="inlineStr">
        <is>
          <t>Aura</t>
        </is>
      </c>
      <c r="F3" s="58" t="inlineStr">
        <is>
          <t>(M)x10m</t>
        </is>
      </c>
      <c r="G3" s="58" t="inlineStr">
        <is>
          <t>1sec</t>
        </is>
      </c>
      <c r="H3" s="58" t="inlineStr">
        <is>
          <t>sofort</t>
        </is>
      </c>
      <c r="I3" s="58" t="inlineStr">
        <is>
          <t>permanent</t>
        </is>
      </c>
      <c r="J3" s="59" t="n">
        <v>1</v>
      </c>
      <c r="K3" s="59" t="n">
        <v>4</v>
      </c>
      <c r="L3" s="58" t="inlineStr">
        <is>
          <t>25</t>
        </is>
      </c>
    </row>
    <row r="4" ht="60" customHeight="1" s="48">
      <c r="A4" s="58" t="inlineStr">
        <is>
          <t>Allgemeine Wunder</t>
        </is>
      </c>
      <c r="B4" s="58" t="inlineStr">
        <is>
          <t>Heilige Wand</t>
        </is>
      </c>
      <c r="C4" s="58" t="inlineStr">
        <is>
          <t>Wunder</t>
        </is>
      </c>
      <c r="D4" s="58" t="inlineStr">
        <is>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is>
      </c>
      <c r="E4" s="58" t="inlineStr">
        <is>
          <t>Punkt im Raum</t>
        </is>
      </c>
      <c r="F4" s="58" t="inlineStr">
        <is>
          <t>(M)/30m</t>
        </is>
      </c>
      <c r="G4" s="58" t="inlineStr">
        <is>
          <t>1min</t>
        </is>
      </c>
      <c r="H4" s="58" t="inlineStr">
        <is>
          <t>sofort</t>
        </is>
      </c>
      <c r="I4" s="58" t="inlineStr">
        <is>
          <t>Max: (M)*min</t>
        </is>
      </c>
      <c r="J4" s="59" t="n">
        <v>3</v>
      </c>
      <c r="K4" s="59" t="n">
        <v>13</v>
      </c>
      <c r="L4" s="58" t="inlineStr">
        <is>
          <t>120</t>
        </is>
      </c>
    </row>
    <row r="5" ht="60" customHeight="1" s="48">
      <c r="A5" s="58" t="inlineStr">
        <is>
          <t>Allgemeine Wunder</t>
        </is>
      </c>
      <c r="B5" s="58" t="inlineStr">
        <is>
          <t>Heilige Welle</t>
        </is>
      </c>
      <c r="C5" s="58" t="inlineStr">
        <is>
          <t>Stoß</t>
        </is>
      </c>
      <c r="D5" s="58" t="inlineStr">
        <is>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is>
      </c>
      <c r="E5" s="58" t="inlineStr">
        <is>
          <t>Selbst</t>
        </is>
      </c>
      <c r="F5" s="58" t="inlineStr">
        <is>
          <t>(M) m</t>
        </is>
      </c>
      <c r="G5" s="58" t="inlineStr">
        <is>
          <t>1sec</t>
        </is>
      </c>
      <c r="H5" s="58" t="inlineStr">
        <is>
          <t>sofort</t>
        </is>
      </c>
      <c r="I5" s="58" t="inlineStr">
        <is>
          <t>permanent</t>
        </is>
      </c>
      <c r="J5" s="59" t="n">
        <v>5</v>
      </c>
      <c r="K5" s="59" t="n">
        <v>12</v>
      </c>
      <c r="L5" s="58" t="inlineStr">
        <is>
          <t>115</t>
        </is>
      </c>
    </row>
    <row r="6" ht="60" customHeight="1" s="48">
      <c r="A6" s="58" t="inlineStr">
        <is>
          <t>Allgemeine Wunder</t>
        </is>
      </c>
      <c r="B6" s="58" t="inlineStr">
        <is>
          <t>Heiliger Strahl</t>
        </is>
      </c>
      <c r="C6" s="58" t="inlineStr">
        <is>
          <t>Stoß</t>
        </is>
      </c>
      <c r="D6" s="58" t="inlineStr">
        <is>
          <t>Aus den Händen des Kleriker schießt ein leuchtender, von Blitzen umrahmter Strahl, der 2W20 + ({Aura} + {Karma}) Heiligen Schaden auf 1 TZ (W30) macht. Der Strahl ist schwenkbar. Der Kleriker kann den Strahl max. ({Aura} + {Karma}) sec aufrechterhalten.</t>
        </is>
      </c>
      <c r="E6" s="58" t="inlineStr">
        <is>
          <t>Punkt im Raum</t>
        </is>
      </c>
      <c r="F6" s="58" t="inlineStr">
        <is>
          <t>(M)/2m</t>
        </is>
      </c>
      <c r="G6" s="58" t="inlineStr">
        <is>
          <t>1sec</t>
        </is>
      </c>
      <c r="H6" s="58" t="inlineStr">
        <is>
          <t>sofort</t>
        </is>
      </c>
      <c r="I6" s="58" t="inlineStr">
        <is>
          <t>2+(Aura +Karma) *2sec</t>
        </is>
      </c>
      <c r="J6" s="59" t="n">
        <v>4</v>
      </c>
      <c r="K6" s="59" t="n">
        <v>12</v>
      </c>
      <c r="L6" s="58" t="inlineStr">
        <is>
          <t>60</t>
        </is>
      </c>
    </row>
    <row r="7" ht="60" customHeight="1" s="48">
      <c r="A7" s="58" t="inlineStr">
        <is>
          <t>Allgemeine Wunder</t>
        </is>
      </c>
      <c r="B7" s="58" t="inlineStr">
        <is>
          <t>Heiliges Land</t>
        </is>
      </c>
      <c r="C7" s="58" t="inlineStr">
        <is>
          <t>Ritual</t>
        </is>
      </c>
      <c r="D7" s="58" t="inlineStr">
        <is>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is>
      </c>
      <c r="E7" s="58" t="inlineStr">
        <is>
          <t>Selbst</t>
        </is>
      </c>
      <c r="F7" s="58" t="inlineStr">
        <is>
          <t>(M) x Aura x Karma x 10m Radius</t>
        </is>
      </c>
      <c r="G7" s="58" t="inlineStr">
        <is>
          <t>1h</t>
        </is>
      </c>
      <c r="H7" s="58" t="inlineStr">
        <is>
          <t>sofort</t>
        </is>
      </c>
      <c r="I7" s="58" t="inlineStr">
        <is>
          <t>Aura *Karma *Std</t>
        </is>
      </c>
      <c r="J7" s="59" t="n">
        <v>6</v>
      </c>
      <c r="K7" s="59" t="n">
        <v>20</v>
      </c>
      <c r="L7" s="58" t="inlineStr">
        <is>
          <t>325</t>
        </is>
      </c>
    </row>
    <row r="8" ht="60" customHeight="1" s="48">
      <c r="A8" s="58" t="inlineStr">
        <is>
          <t>Allgemeine Wunder</t>
        </is>
      </c>
      <c r="B8" s="58" t="inlineStr">
        <is>
          <t>Avatar rufen</t>
        </is>
      </c>
      <c r="C8" s="58" t="inlineStr">
        <is>
          <t>Ritual</t>
        </is>
      </c>
      <c r="D8" s="58" t="inlineStr">
        <is>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is>
      </c>
      <c r="E8" s="58" t="inlineStr">
        <is>
          <t>Punkt im Raum</t>
        </is>
      </c>
      <c r="F8" s="58" t="inlineStr">
        <is>
          <t>Aura+ Karma</t>
        </is>
      </c>
      <c r="G8" s="58" t="inlineStr">
        <is>
          <t>1h</t>
        </is>
      </c>
      <c r="H8" s="58" t="inlineStr">
        <is>
          <t>sofort</t>
        </is>
      </c>
      <c r="I8" s="58" t="inlineStr">
        <is>
          <t>Beliebig
1KPP pro Min</t>
        </is>
      </c>
      <c r="J8" s="59" t="n">
        <v>7</v>
      </c>
      <c r="K8" s="59" t="n">
        <v>25</v>
      </c>
      <c r="L8" s="58" t="inlineStr">
        <is>
          <t>425</t>
        </is>
      </c>
    </row>
    <row r="9" ht="60" customHeight="1" s="48">
      <c r="A9" s="58" t="inlineStr">
        <is>
          <t>Allgemeine Wunder</t>
        </is>
      </c>
      <c r="B9" s="58" t="inlineStr">
        <is>
          <t>Weihe</t>
        </is>
      </c>
      <c r="C9" s="58" t="inlineStr">
        <is>
          <t>Stoß</t>
        </is>
      </c>
      <c r="D9" s="58" t="inlineStr">
        <is>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is>
      </c>
      <c r="E9" s="58" t="inlineStr">
        <is>
          <t>Selbst</t>
        </is>
      </c>
      <c r="F9" s="58" t="inlineStr">
        <is>
          <t>(M)/7m</t>
        </is>
      </c>
      <c r="G9" s="58" t="inlineStr">
        <is>
          <t>1Sec</t>
        </is>
      </c>
      <c r="H9" s="58" t="inlineStr">
        <is>
          <t>sofort</t>
        </is>
      </c>
      <c r="I9" s="58" t="inlineStr">
        <is>
          <t>(M)*sec</t>
        </is>
      </c>
      <c r="J9" s="59" t="n">
        <v>3</v>
      </c>
      <c r="K9" s="59" t="n">
        <v>13</v>
      </c>
      <c r="L9" s="58" t="inlineStr">
        <is>
          <t>60</t>
        </is>
      </c>
    </row>
    <row r="10" ht="60" customHeight="1" s="48">
      <c r="A10" s="58" t="inlineStr">
        <is>
          <t>Allgemeine Wunder</t>
        </is>
      </c>
      <c r="B10" s="58" t="inlineStr">
        <is>
          <t>Wasser weihen</t>
        </is>
      </c>
      <c r="C10" s="58" t="inlineStr">
        <is>
          <t>Wunder</t>
        </is>
      </c>
      <c r="D10" s="58" t="inlineStr">
        <is>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is>
      </c>
      <c r="E10" s="58" t="inlineStr">
        <is>
          <t>Gegenstand</t>
        </is>
      </c>
      <c r="F10" s="58" t="inlineStr">
        <is>
          <t>Berührung</t>
        </is>
      </c>
      <c r="G10" s="58" t="inlineStr">
        <is>
          <t>1Minute</t>
        </is>
      </c>
      <c r="H10" s="58" t="inlineStr">
        <is>
          <t>sofort</t>
        </is>
      </c>
      <c r="I10" s="58" t="inlineStr">
        <is>
          <t>777 Jahre</t>
        </is>
      </c>
      <c r="J10" s="59" t="n">
        <v>2</v>
      </c>
      <c r="K10" s="59" t="n">
        <v>10</v>
      </c>
      <c r="L10" s="58" t="inlineStr">
        <is>
          <t>10</t>
        </is>
      </c>
    </row>
    <row r="11" ht="60" customHeight="1" s="48">
      <c r="A11" s="58" t="inlineStr">
        <is>
          <t>Allgemeine Wunder</t>
        </is>
      </c>
      <c r="B11" s="58" t="inlineStr">
        <is>
          <t>Gegenstand Segnen</t>
        </is>
      </c>
      <c r="C11" s="58" t="inlineStr">
        <is>
          <t>Ritual</t>
        </is>
      </c>
      <c r="D11" s="58" t="inlineStr">
        <is>
          <t>Ein Gegensand oder eine Waffe machen ab sofort Gesegneten schaden. x2 gegen Untote und x5 gegen Dämonen. Außerdem erhöht sich die Stabilität um 5 und ignoriert Magische schilde.</t>
        </is>
      </c>
      <c r="E11" s="58" t="inlineStr">
        <is>
          <t>Gegenstand</t>
        </is>
      </c>
      <c r="F11" s="58" t="inlineStr">
        <is>
          <t>Berührung</t>
        </is>
      </c>
      <c r="G11" s="58" t="inlineStr">
        <is>
          <t>1Std</t>
        </is>
      </c>
      <c r="H11" s="58" t="inlineStr">
        <is>
          <t>sofort</t>
        </is>
      </c>
      <c r="I11" s="58" t="inlineStr">
        <is>
          <t>777Jahre</t>
        </is>
      </c>
      <c r="J11" s="59" t="n">
        <v>5</v>
      </c>
      <c r="K11" s="59" t="n">
        <v>12</v>
      </c>
      <c r="L11" s="58" t="inlineStr">
        <is>
          <t>220</t>
        </is>
      </c>
    </row>
    <row r="12" ht="60" customHeight="1" s="48">
      <c r="A12" s="58" t="inlineStr">
        <is>
          <t>Allgemeine Wunder</t>
        </is>
      </c>
      <c r="B12" s="58" t="inlineStr">
        <is>
          <t>Gegenstand Heilig sprechen</t>
        </is>
      </c>
      <c r="C12" s="58" t="inlineStr">
        <is>
          <t>Ritual</t>
        </is>
      </c>
      <c r="D12" s="58" t="inlineStr">
        <is>
          <t>Ein Gegensand oder eine Waffe machen ab sofort Heiligen schaden. x5 gegen Untote und x10 gegen Dämonen. Außerdem erhöht sich die Stabilität um 15 und ignoriert Magische schilde.</t>
        </is>
      </c>
      <c r="E12" s="58" t="inlineStr">
        <is>
          <t>Gegenstand</t>
        </is>
      </c>
      <c r="F12" s="58" t="inlineStr">
        <is>
          <t>Berührung</t>
        </is>
      </c>
      <c r="G12" s="58" t="inlineStr">
        <is>
          <t>7Std</t>
        </is>
      </c>
      <c r="H12" s="58" t="inlineStr">
        <is>
          <t>sofort</t>
        </is>
      </c>
      <c r="I12" s="58" t="inlineStr">
        <is>
          <t>permanent</t>
        </is>
      </c>
      <c r="J12" s="59" t="n">
        <v>7</v>
      </c>
      <c r="K12" s="59" t="n">
        <v>15</v>
      </c>
      <c r="L12" s="58" t="inlineStr">
        <is>
          <t>395</t>
        </is>
      </c>
    </row>
    <row r="13" ht="60" customHeight="1" s="48">
      <c r="A13" s="58" t="inlineStr">
        <is>
          <t>Allgemeine Wunder</t>
        </is>
      </c>
      <c r="B13" s="58" t="inlineStr">
        <is>
          <t>Heilige Sicht</t>
        </is>
      </c>
      <c r="C13" s="58" t="inlineStr">
        <is>
          <t>Stoß</t>
        </is>
      </c>
      <c r="D13" s="58" t="inlineStr">
        <is>
          <t>ALLE heiligen Auren von Lebewesen oder Gegenständen werden für den Kleriker deutlich sichtbar.</t>
        </is>
      </c>
      <c r="E13" s="58" t="inlineStr">
        <is>
          <t>Selbst</t>
        </is>
      </c>
      <c r="F13" s="58" t="inlineStr">
        <is>
          <t>Sicht Unmagisch verstärkt</t>
        </is>
      </c>
      <c r="G13" s="58" t="inlineStr">
        <is>
          <t>1Sec</t>
        </is>
      </c>
      <c r="H13" s="58" t="inlineStr">
        <is>
          <t>sofort</t>
        </is>
      </c>
      <c r="I13" s="58" t="inlineStr">
        <is>
          <t>Karma *sec</t>
        </is>
      </c>
      <c r="J13" s="59" t="n">
        <v>1</v>
      </c>
      <c r="K13" s="59" t="n">
        <v>12</v>
      </c>
      <c r="L13" s="58" t="inlineStr">
        <is>
          <t>20</t>
        </is>
      </c>
    </row>
    <row r="14" ht="60" customHeight="1" s="48">
      <c r="A14" s="58" t="inlineStr">
        <is>
          <t>Allgemeine Wunder</t>
        </is>
      </c>
      <c r="B14" s="58" t="inlineStr">
        <is>
          <t>Heilige Rüstung</t>
        </is>
      </c>
      <c r="C14" s="58" t="inlineStr">
        <is>
          <t>Stoß</t>
        </is>
      </c>
      <c r="D14" s="58" t="inlineStr">
        <is>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is>
      </c>
      <c r="E14" s="58" t="inlineStr">
        <is>
          <t>Selbst</t>
        </is>
      </c>
      <c r="F14" s="58" t="inlineStr">
        <is>
          <t>(M)*m</t>
        </is>
      </c>
      <c r="G14" s="58" t="inlineStr">
        <is>
          <t>1sec</t>
        </is>
      </c>
      <c r="H14" s="58" t="inlineStr">
        <is>
          <t>sofort</t>
        </is>
      </c>
      <c r="I14" s="58" t="inlineStr">
        <is>
          <t>Karma * 5min</t>
        </is>
      </c>
      <c r="J14" s="59" t="n">
        <v>3</v>
      </c>
      <c r="K14" s="59" t="n">
        <v>11</v>
      </c>
      <c r="L14" s="58" t="inlineStr">
        <is>
          <t>Karma * 10</t>
        </is>
      </c>
    </row>
    <row r="15" ht="60" customHeight="1" s="48">
      <c r="A15" s="58" t="inlineStr">
        <is>
          <t>Lloth</t>
        </is>
      </c>
      <c r="B15" s="58" t="inlineStr">
        <is>
          <t>Kugel der Dunkelheit</t>
        </is>
      </c>
      <c r="C15" s="58" t="inlineStr">
        <is>
          <t>Stoß</t>
        </is>
      </c>
      <c r="D15" s="58" t="inlineStr">
        <is>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is>
      </c>
      <c r="E15" s="58" t="inlineStr">
        <is>
          <t>Selbst</t>
        </is>
      </c>
      <c r="F15" s="58" t="inlineStr">
        <is>
          <t>Selbst</t>
        </is>
      </c>
      <c r="G15" s="58" t="inlineStr">
        <is>
          <t>1sec</t>
        </is>
      </c>
      <c r="H15" s="58" t="inlineStr">
        <is>
          <t>sofort</t>
        </is>
      </c>
      <c r="I15" s="58" t="inlineStr">
        <is>
          <t>Karma *2min</t>
        </is>
      </c>
      <c r="J15" s="59" t="n">
        <v>3</v>
      </c>
      <c r="K15" s="59" t="n">
        <v>13</v>
      </c>
      <c r="L15" s="58" t="inlineStr">
        <is>
          <t>70</t>
        </is>
      </c>
    </row>
    <row r="16" ht="60" customHeight="1" s="48">
      <c r="A16" s="58" t="inlineStr">
        <is>
          <t>Lloth</t>
        </is>
      </c>
      <c r="B16" s="58" t="inlineStr">
        <is>
          <t>Fluch der Lloth</t>
        </is>
      </c>
      <c r="C16" s="58" t="inlineStr">
        <is>
          <t>Stoß</t>
        </is>
      </c>
      <c r="D16" s="58" t="inlineStr">
        <is>
          <t>Vom Kleriker gehen kaum sichtbare, scheinbar aus schwarzem Nebel bestehende, tentakelartige Finger aus, die {Karma}/3 feindliche Ziele umschlingen und an ihrer Bewegung hindern. Dies führt zu einer Behinderung von {Karma}.</t>
        </is>
      </c>
      <c r="E16" s="58" t="inlineStr">
        <is>
          <t>Selbst</t>
        </is>
      </c>
      <c r="F16" s="58" t="inlineStr">
        <is>
          <t>(M)m</t>
        </is>
      </c>
      <c r="G16" s="58" t="inlineStr">
        <is>
          <t>1sec</t>
        </is>
      </c>
      <c r="H16" s="58" t="inlineStr">
        <is>
          <t>sofort</t>
        </is>
      </c>
      <c r="I16" s="58" t="inlineStr">
        <is>
          <t>Karma *min</t>
        </is>
      </c>
      <c r="J16" s="59" t="n">
        <v>4</v>
      </c>
      <c r="K16" s="59" t="n">
        <v>13</v>
      </c>
      <c r="L16" s="58" t="inlineStr">
        <is>
          <t>80</t>
        </is>
      </c>
    </row>
    <row r="17" ht="60" customHeight="1" s="48">
      <c r="A17" s="58" t="inlineStr">
        <is>
          <t>Lloth</t>
        </is>
      </c>
      <c r="B17" s="58" t="inlineStr">
        <is>
          <t>Rache der Lloth</t>
        </is>
      </c>
      <c r="C17" s="58" t="inlineStr">
        <is>
          <t>Stoß</t>
        </is>
      </c>
      <c r="D17" s="58" t="inlineStr">
        <is>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is>
      </c>
      <c r="E17" s="58" t="inlineStr">
        <is>
          <t>Selbst</t>
        </is>
      </c>
      <c r="F17" s="58" t="inlineStr">
        <is>
          <t>(M)*100m</t>
        </is>
      </c>
      <c r="G17" s="58" t="inlineStr">
        <is>
          <t>1sec</t>
        </is>
      </c>
      <c r="H17" s="58" t="inlineStr">
        <is>
          <t>sofort</t>
        </is>
      </c>
      <c r="I17" s="58" t="inlineStr">
        <is>
          <t>Karma *2min</t>
        </is>
      </c>
      <c r="J17" s="59" t="n">
        <v>2</v>
      </c>
      <c r="K17" s="59" t="n">
        <v>13</v>
      </c>
      <c r="L17" s="58" t="inlineStr">
        <is>
          <t>60</t>
        </is>
      </c>
    </row>
    <row r="18" ht="60" customHeight="1" s="48">
      <c r="A18" s="58" t="inlineStr">
        <is>
          <t>Lloth</t>
        </is>
      </c>
      <c r="B18" s="58" t="inlineStr">
        <is>
          <t>Verfall</t>
        </is>
      </c>
      <c r="C18" s="58" t="inlineStr">
        <is>
          <t>Stoß</t>
        </is>
      </c>
      <c r="D18" s="58" t="inlineStr">
        <is>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is>
      </c>
      <c r="E18" s="58" t="inlineStr">
        <is>
          <t>Aura</t>
        </is>
      </c>
      <c r="F18" s="58" t="inlineStr">
        <is>
          <t>(M)/2m</t>
        </is>
      </c>
      <c r="G18" s="58" t="inlineStr">
        <is>
          <t>1sec</t>
        </is>
      </c>
      <c r="H18" s="58" t="inlineStr">
        <is>
          <t>sofort</t>
        </is>
      </c>
      <c r="I18" s="58" t="inlineStr">
        <is>
          <t>permanent</t>
        </is>
      </c>
      <c r="J18" s="59" t="n">
        <v>3</v>
      </c>
      <c r="K18" s="59" t="n">
        <v>13</v>
      </c>
      <c r="L18" s="58" t="inlineStr">
        <is>
          <t>50</t>
        </is>
      </c>
    </row>
    <row r="19" ht="60" customHeight="1" s="48">
      <c r="A19" s="58" t="inlineStr">
        <is>
          <t>Lloth</t>
        </is>
      </c>
      <c r="B19" s="58" t="inlineStr">
        <is>
          <t>Pestilenz</t>
        </is>
      </c>
      <c r="C19" s="58" t="inlineStr">
        <is>
          <t>Wunder</t>
        </is>
      </c>
      <c r="D19" s="58" t="inlineStr">
        <is>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is>
      </c>
      <c r="E19" s="58" t="inlineStr">
        <is>
          <t>Aura</t>
        </is>
      </c>
      <c r="F19" s="58" t="inlineStr">
        <is>
          <t>Berührung</t>
        </is>
      </c>
      <c r="G19" s="58" t="inlineStr">
        <is>
          <t>1min</t>
        </is>
      </c>
      <c r="H19" s="58" t="inlineStr">
        <is>
          <t>sofort</t>
        </is>
      </c>
      <c r="I19" s="58" t="inlineStr">
        <is>
          <t>permanent</t>
        </is>
      </c>
      <c r="J19" s="59" t="n">
        <v>6</v>
      </c>
      <c r="K19" s="59" t="n">
        <v>16</v>
      </c>
      <c r="L19" s="58" t="inlineStr">
        <is>
          <t>300</t>
        </is>
      </c>
    </row>
    <row r="20" ht="60" customHeight="1" s="48">
      <c r="A20" s="58" t="inlineStr">
        <is>
          <t>Lloth</t>
        </is>
      </c>
      <c r="B20" s="58" t="inlineStr">
        <is>
          <t>Wasser zu Blut</t>
        </is>
      </c>
      <c r="C20" s="58" t="inlineStr">
        <is>
          <t>Wunder</t>
        </is>
      </c>
      <c r="D20" s="58" t="inlineStr">
        <is>
          <t>Auf Bitten des Klerikers verwandelt Lloth {Karma} Liter Wasser in feinstes, körperwarmes Elfenblut. Das auf diese Weise erschaffene Blut verhält sich wie jedes andere Elfenblut auch.</t>
        </is>
      </c>
      <c r="E20" s="58" t="inlineStr">
        <is>
          <t>Gegenstand</t>
        </is>
      </c>
      <c r="F20" s="58" t="inlineStr">
        <is>
          <t>Berührung</t>
        </is>
      </c>
      <c r="G20" s="58" t="inlineStr">
        <is>
          <t>1min</t>
        </is>
      </c>
      <c r="H20" s="58" t="inlineStr">
        <is>
          <t>sofort</t>
        </is>
      </c>
      <c r="I20" s="58" t="inlineStr">
        <is>
          <t>permanent</t>
        </is>
      </c>
      <c r="J20" s="59" t="n">
        <v>1</v>
      </c>
      <c r="K20" s="59" t="n">
        <v>10</v>
      </c>
      <c r="L20" s="58" t="inlineStr">
        <is>
          <t>10</t>
        </is>
      </c>
    </row>
    <row r="21" ht="60" customHeight="1" s="48">
      <c r="A21" s="58" t="inlineStr">
        <is>
          <t>Lloth</t>
        </is>
      </c>
      <c r="B21" s="58" t="inlineStr">
        <is>
          <t>Mantel der Unauffindbarkeit</t>
        </is>
      </c>
      <c r="C21" s="58" t="inlineStr">
        <is>
          <t>Wunder</t>
        </is>
      </c>
      <c r="D21" s="58" t="inlineStr">
        <is>
          <t>Lloth löscht sämtliche vom Kleriker und bis zu {Karma}/2 befreundete Ziele, die sich innerhalb von {M}m um den Kleriker befinden, verursachten Spuren und Fährten vollständig aus. Zudem verursachen die Begünstigten während der Wirkungsdauer keinerlei Geräusche.</t>
        </is>
      </c>
      <c r="E21" s="58" t="inlineStr">
        <is>
          <t>Selbst</t>
        </is>
      </c>
      <c r="F21" s="58" t="inlineStr">
        <is>
          <t>(M)*m</t>
        </is>
      </c>
      <c r="G21" s="58" t="inlineStr">
        <is>
          <t>1min</t>
        </is>
      </c>
      <c r="H21" s="58" t="inlineStr">
        <is>
          <t>sofort</t>
        </is>
      </c>
      <c r="I21" s="58" t="inlineStr">
        <is>
          <t>Karma *2Std</t>
        </is>
      </c>
      <c r="J21" s="59" t="n">
        <v>5</v>
      </c>
      <c r="K21" s="59" t="n">
        <v>14</v>
      </c>
      <c r="L21" s="58" t="inlineStr">
        <is>
          <t>130</t>
        </is>
      </c>
    </row>
    <row r="22" ht="60" customHeight="1" s="48">
      <c r="A22" s="58" t="inlineStr">
        <is>
          <t>Lloth</t>
        </is>
      </c>
      <c r="B22" s="58" t="inlineStr">
        <is>
          <t>Mantel der Schatten</t>
        </is>
      </c>
      <c r="C22" s="58" t="inlineStr">
        <is>
          <t>Wunder</t>
        </is>
      </c>
      <c r="D22" s="58" t="inlineStr">
        <is>
          <t>Der Kleriker wird unsichtbar. Die Unsichtbarkeit betrifft ihn selbst und alles innerhalb seiner Aura, was nicht über eine eigene Aura verfügt. Im Kampf gegen den unsichtbaren Kleriker erhält jeder Gegner eine Behinderung von 10.</t>
        </is>
      </c>
      <c r="E22" s="58" t="inlineStr">
        <is>
          <t>Selbst</t>
        </is>
      </c>
      <c r="F22" s="58" t="inlineStr">
        <is>
          <t>(M)*m</t>
        </is>
      </c>
      <c r="G22" s="58" t="inlineStr">
        <is>
          <t>1min</t>
        </is>
      </c>
      <c r="H22" s="58" t="inlineStr">
        <is>
          <t>sofort</t>
        </is>
      </c>
      <c r="I22" s="58" t="inlineStr">
        <is>
          <t>Karma *2Min</t>
        </is>
      </c>
      <c r="J22" s="59" t="n">
        <v>4</v>
      </c>
      <c r="K22" s="59" t="n">
        <v>17</v>
      </c>
      <c r="L22" s="58" t="inlineStr">
        <is>
          <t>200</t>
        </is>
      </c>
    </row>
    <row r="23" ht="60" customHeight="1" s="48">
      <c r="A23" s="58" t="inlineStr">
        <is>
          <t>Lloth</t>
        </is>
      </c>
      <c r="B23" s="58" t="inlineStr">
        <is>
          <t>Vergiften</t>
        </is>
      </c>
      <c r="C23" s="58" t="inlineStr">
        <is>
          <t>Wunder</t>
        </is>
      </c>
      <c r="D23" s="58" t="inlineStr">
        <is>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is>
      </c>
      <c r="E23" s="58" t="inlineStr">
        <is>
          <t>Selbst</t>
        </is>
      </c>
      <c r="F23" s="58" t="inlineStr">
        <is>
          <t>Selbst</t>
        </is>
      </c>
      <c r="G23" s="58" t="inlineStr">
        <is>
          <t>1min</t>
        </is>
      </c>
      <c r="H23" s="58" t="inlineStr">
        <is>
          <t>sofort</t>
        </is>
      </c>
      <c r="I23" s="58" t="inlineStr">
        <is>
          <t>Karma*min</t>
        </is>
      </c>
      <c r="J23" s="59" t="n">
        <v>3</v>
      </c>
      <c r="K23" s="59" t="n">
        <v>13</v>
      </c>
      <c r="L23" s="58" t="inlineStr">
        <is>
          <t>120</t>
        </is>
      </c>
    </row>
    <row r="24" ht="60" customHeight="1" s="48">
      <c r="A24" s="58" t="inlineStr">
        <is>
          <t>Lloth</t>
        </is>
      </c>
      <c r="B24" s="58" t="inlineStr">
        <is>
          <t>Tod</t>
        </is>
      </c>
      <c r="C24" s="58" t="inlineStr">
        <is>
          <t>Wunder</t>
        </is>
      </c>
      <c r="D24" s="58" t="inlineStr">
        <is>
          <t>Der nächste Mensch, den der Kleriker nach der Anrufung berührt (Aura-Kontakt), altert um {Karma}*2% seiner maximal möglichen Lebensspanne.</t>
        </is>
      </c>
      <c r="E24" s="58" t="inlineStr">
        <is>
          <t>Aura</t>
        </is>
      </c>
      <c r="F24" s="58" t="inlineStr">
        <is>
          <t>Berührung</t>
        </is>
      </c>
      <c r="G24" s="58" t="inlineStr">
        <is>
          <t>1min</t>
        </is>
      </c>
      <c r="H24" s="58" t="inlineStr">
        <is>
          <t>sofort</t>
        </is>
      </c>
      <c r="I24" s="58" t="inlineStr">
        <is>
          <t>permanent</t>
        </is>
      </c>
      <c r="J24" s="59" t="n">
        <v>6</v>
      </c>
      <c r="K24" s="59" t="n">
        <v>16</v>
      </c>
      <c r="L24" s="58" t="inlineStr">
        <is>
          <t>250</t>
        </is>
      </c>
    </row>
    <row r="25" ht="60" customHeight="1" s="48">
      <c r="A25" s="58" t="inlineStr">
        <is>
          <t>Lloth</t>
        </is>
      </c>
      <c r="B25" s="58" t="inlineStr">
        <is>
          <t>Lebensentzug</t>
        </is>
      </c>
      <c r="C25" s="58" t="inlineStr">
        <is>
          <t>Ritual</t>
        </is>
      </c>
      <c r="D25" s="58" t="inlineStr">
        <is>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is>
      </c>
      <c r="E25" s="58" t="inlineStr">
        <is>
          <t>Aura</t>
        </is>
      </c>
      <c r="F25" s="58" t="inlineStr">
        <is>
          <t>Berührung</t>
        </is>
      </c>
      <c r="G25" s="58" t="inlineStr">
        <is>
          <t>Max. Karma Std</t>
        </is>
      </c>
      <c r="H25" s="58" t="inlineStr">
        <is>
          <t>sofort</t>
        </is>
      </c>
      <c r="I25" s="58" t="inlineStr">
        <is>
          <t>permanent</t>
        </is>
      </c>
      <c r="J25" s="59" t="n">
        <v>7</v>
      </c>
      <c r="K25" s="59" t="n">
        <v>21</v>
      </c>
      <c r="L25" s="58" t="inlineStr">
        <is>
          <t>375</t>
        </is>
      </c>
    </row>
    <row r="26" ht="60" customHeight="1" s="48">
      <c r="A26" s="58" t="inlineStr">
        <is>
          <t>Khartazh</t>
        </is>
      </c>
      <c r="B26" s="58" t="inlineStr">
        <is>
          <t>Duellsegen</t>
        </is>
      </c>
      <c r="C26" s="58" t="inlineStr">
        <is>
          <t>Ritual</t>
        </is>
      </c>
      <c r="D26" s="58" t="inlineStr">
        <is>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is>
      </c>
      <c r="E26" s="58" t="inlineStr">
        <is>
          <t>Punkt im Raum</t>
        </is>
      </c>
      <c r="F26" s="58" t="inlineStr">
        <is>
          <t>Karma*10m</t>
        </is>
      </c>
      <c r="G26" s="58" t="inlineStr">
        <is>
          <t>1Std</t>
        </is>
      </c>
      <c r="H26" s="58" t="inlineStr">
        <is>
          <t>sofort</t>
        </is>
      </c>
      <c r="I26" s="58" t="inlineStr">
        <is>
          <t>Bis zum Ende des Duells</t>
        </is>
      </c>
      <c r="J26" s="59" t="n">
        <v>2</v>
      </c>
      <c r="K26" s="59" t="n">
        <v>7</v>
      </c>
      <c r="L26" s="58" t="inlineStr">
        <is>
          <t>50</t>
        </is>
      </c>
    </row>
    <row r="27" ht="60" customHeight="1" s="48">
      <c r="A27" s="58" t="inlineStr">
        <is>
          <t>Khartazh</t>
        </is>
      </c>
      <c r="B27" s="58" t="inlineStr">
        <is>
          <t>Berserker</t>
        </is>
      </c>
      <c r="C27" s="58" t="inlineStr">
        <is>
          <t>Stoß</t>
        </is>
      </c>
      <c r="D27" s="58" t="inlineStr">
        <is>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is>
      </c>
      <c r="E27" s="58" t="inlineStr">
        <is>
          <t>Aura</t>
        </is>
      </c>
      <c r="F27" s="58" t="inlineStr">
        <is>
          <t>Selbst</t>
        </is>
      </c>
      <c r="G27" s="58" t="inlineStr">
        <is>
          <t>1sec</t>
        </is>
      </c>
      <c r="H27" s="58" t="inlineStr">
        <is>
          <t>sofort</t>
        </is>
      </c>
      <c r="I27" s="58" t="inlineStr">
        <is>
          <t>Karma*min</t>
        </is>
      </c>
      <c r="J27" s="59" t="n">
        <v>3</v>
      </c>
      <c r="K27" s="59" t="n">
        <v>14</v>
      </c>
      <c r="L27" s="58" t="inlineStr">
        <is>
          <t>60</t>
        </is>
      </c>
    </row>
    <row r="28" ht="60" customHeight="1" s="48">
      <c r="A28" s="58" t="inlineStr">
        <is>
          <t>Khartazh</t>
        </is>
      </c>
      <c r="B28" s="58" t="inlineStr">
        <is>
          <t>Abhärtung</t>
        </is>
      </c>
      <c r="C28" s="58" t="inlineStr">
        <is>
          <t>Stoß</t>
        </is>
      </c>
      <c r="D28" s="58" t="inlineStr">
        <is>
          <t>Der Kleriker steht unter Khartazhs Schutz, wodurch er keine kritischen und tödlichen Treffer mehr erleidet. Jeder solche gegen ihn erzielte Treffer wird als normaler Treffer auf derselben TZ gewertet.</t>
        </is>
      </c>
      <c r="E28" s="58" t="inlineStr">
        <is>
          <t>Selbst</t>
        </is>
      </c>
      <c r="F28" s="58" t="inlineStr">
        <is>
          <t>Selbst</t>
        </is>
      </c>
      <c r="G28" s="58" t="inlineStr">
        <is>
          <t>1sec</t>
        </is>
      </c>
      <c r="H28" s="58" t="inlineStr">
        <is>
          <t>sofort</t>
        </is>
      </c>
      <c r="I28" s="58" t="inlineStr">
        <is>
          <t>Karma*min</t>
        </is>
      </c>
      <c r="J28" s="59" t="n">
        <v>3</v>
      </c>
      <c r="K28" s="59" t="n">
        <v>14</v>
      </c>
      <c r="L28" s="58" t="inlineStr">
        <is>
          <t>60</t>
        </is>
      </c>
    </row>
    <row r="29" ht="60" customHeight="1" s="48">
      <c r="A29" s="58" t="inlineStr">
        <is>
          <t>Khartazh</t>
        </is>
      </c>
      <c r="B29" s="58" t="inlineStr">
        <is>
          <t>Mehrfachtreffer</t>
        </is>
      </c>
      <c r="C29" s="58" t="inlineStr">
        <is>
          <t>Stoß</t>
        </is>
      </c>
      <c r="D29" s="58" t="inlineStr">
        <is>
          <t>Jede vom Kleriker ausgeführte Attacke trifft {Karma}/3 zusätzliche Ziele in NK Reichweite. Diese Attacken können normal vermieden werden (AW/PA).</t>
        </is>
      </c>
      <c r="E29" s="58" t="inlineStr">
        <is>
          <t>Selbst</t>
        </is>
      </c>
      <c r="F29" s="58" t="inlineStr">
        <is>
          <t>Selbst</t>
        </is>
      </c>
      <c r="G29" s="58" t="inlineStr">
        <is>
          <t>1sec</t>
        </is>
      </c>
      <c r="H29" s="58" t="inlineStr">
        <is>
          <t>sofort</t>
        </is>
      </c>
      <c r="I29" s="58" t="inlineStr">
        <is>
          <t>Karma*min</t>
        </is>
      </c>
      <c r="J29" s="59" t="n">
        <v>4</v>
      </c>
      <c r="K29" s="59" t="n">
        <v>17</v>
      </c>
      <c r="L29" s="58" t="inlineStr">
        <is>
          <t>180</t>
        </is>
      </c>
    </row>
    <row r="30" ht="60" customHeight="1" s="48">
      <c r="A30" s="58" t="inlineStr">
        <is>
          <t>Khartazh</t>
        </is>
      </c>
      <c r="B30" s="58" t="inlineStr">
        <is>
          <t>Traum-Vision</t>
        </is>
      </c>
      <c r="C30" s="58" t="inlineStr">
        <is>
          <t>Ritual</t>
        </is>
      </c>
      <c r="D30" s="58" t="inlineStr">
        <is>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is>
      </c>
      <c r="E30" s="58" t="inlineStr">
        <is>
          <t>Aura</t>
        </is>
      </c>
      <c r="F30" s="58" t="inlineStr">
        <is>
          <t>Welt</t>
        </is>
      </c>
      <c r="G30" s="58" t="inlineStr">
        <is>
          <t>2Std</t>
        </is>
      </c>
      <c r="H30" s="58" t="inlineStr">
        <is>
          <t>sofort</t>
        </is>
      </c>
      <c r="I30" s="58" t="inlineStr">
        <is>
          <t>permanent</t>
        </is>
      </c>
      <c r="J30" s="59" t="n">
        <v>6</v>
      </c>
      <c r="K30" s="59" t="n">
        <v>7</v>
      </c>
      <c r="L30" s="58" t="inlineStr">
        <is>
          <t>77</t>
        </is>
      </c>
    </row>
    <row r="31" ht="60" customHeight="1" s="48">
      <c r="A31" s="58" t="inlineStr">
        <is>
          <t>Khartazh</t>
        </is>
      </c>
      <c r="B31" s="58" t="inlineStr">
        <is>
          <t>Schlachtenglück</t>
        </is>
      </c>
      <c r="C31" s="58" t="inlineStr">
        <is>
          <t>Wunder</t>
        </is>
      </c>
      <c r="D31" s="58" t="inlineStr">
        <is>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is>
      </c>
      <c r="E31" s="58" t="inlineStr">
        <is>
          <t>Selbst</t>
        </is>
      </c>
      <c r="F31" s="58" t="inlineStr">
        <is>
          <t>(M)*5m</t>
        </is>
      </c>
      <c r="G31" s="58" t="inlineStr">
        <is>
          <t>1min</t>
        </is>
      </c>
      <c r="H31" s="58" t="inlineStr">
        <is>
          <t>sofort</t>
        </is>
      </c>
      <c r="I31" s="58" t="inlineStr">
        <is>
          <t>Karma *10min</t>
        </is>
      </c>
      <c r="J31" s="59" t="n">
        <v>5</v>
      </c>
      <c r="K31" s="59" t="n">
        <v>15</v>
      </c>
      <c r="L31" s="58" t="inlineStr">
        <is>
          <t>190</t>
        </is>
      </c>
    </row>
    <row r="32" ht="60" customHeight="1" s="48">
      <c r="A32" s="58" t="inlineStr">
        <is>
          <t>Khartazh</t>
        </is>
      </c>
      <c r="B32" s="58" t="inlineStr">
        <is>
          <t>Khartazhs Wille</t>
        </is>
      </c>
      <c r="C32" s="58" t="inlineStr">
        <is>
          <t>Ritual</t>
        </is>
      </c>
      <c r="D32" s="58" t="inlineStr">
        <is>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is>
      </c>
      <c r="E32" s="58" t="inlineStr">
        <is>
          <t>Selbst</t>
        </is>
      </c>
      <c r="F32" s="58" t="inlineStr">
        <is>
          <t>(M)*20m</t>
        </is>
      </c>
      <c r="G32" s="58" t="inlineStr">
        <is>
          <t>1Std</t>
        </is>
      </c>
      <c r="H32" s="58" t="inlineStr">
        <is>
          <t>sofort</t>
        </is>
      </c>
      <c r="I32" s="58" t="inlineStr">
        <is>
          <t>Karma * Std</t>
        </is>
      </c>
      <c r="J32" s="59" t="n">
        <v>7</v>
      </c>
      <c r="K32" s="59" t="n">
        <v>17</v>
      </c>
      <c r="L32" s="58" t="inlineStr">
        <is>
          <t>320</t>
        </is>
      </c>
    </row>
    <row r="33" ht="60" customHeight="1" s="48">
      <c r="A33" s="58" t="inlineStr">
        <is>
          <t>Khartazh</t>
        </is>
      </c>
      <c r="B33" s="58" t="inlineStr">
        <is>
          <t>Khartazhs Intuition</t>
        </is>
      </c>
      <c r="C33" s="58" t="inlineStr">
        <is>
          <t>Stoß</t>
        </is>
      </c>
      <c r="D33" s="58" t="inlineStr">
        <is>
          <t>Der Kleriker und {Karma}/3 befreundete Ziele ahnen die Attacken ihrer Gegner förmlich voraus. Sie erhalten PA- und AW-Klasse +1.</t>
        </is>
      </c>
      <c r="E33" s="58" t="inlineStr">
        <is>
          <t>Selbst</t>
        </is>
      </c>
      <c r="F33" s="58" t="inlineStr">
        <is>
          <t>(M)*5m</t>
        </is>
      </c>
      <c r="G33" s="58" t="inlineStr">
        <is>
          <t>1sec</t>
        </is>
      </c>
      <c r="H33" s="58" t="inlineStr">
        <is>
          <t>sofort</t>
        </is>
      </c>
      <c r="I33" s="58" t="inlineStr">
        <is>
          <t>Karma *10min</t>
        </is>
      </c>
      <c r="J33" s="59" t="n">
        <v>4</v>
      </c>
      <c r="K33" s="59" t="n">
        <v>15</v>
      </c>
      <c r="L33" s="58" t="inlineStr">
        <is>
          <t>215</t>
        </is>
      </c>
    </row>
    <row r="34" ht="60" customHeight="1" s="48">
      <c r="A34" s="58" t="inlineStr">
        <is>
          <t>Khartazh</t>
        </is>
      </c>
      <c r="B34" s="58" t="inlineStr">
        <is>
          <t>Wasser zu Met</t>
        </is>
      </c>
      <c r="C34" s="58" t="inlineStr">
        <is>
          <t>Wunder</t>
        </is>
      </c>
      <c r="D34" s="58" t="inlineStr">
        <is>
          <t>Auf Bitten des Klerikers verwandelt Khartazh {Karma} Liter Wasser in feinsten, wohltemperierten Orcischen Met. Der auf diese Weise erschaffene Met verhält sich wie jedes andere Met auch.</t>
        </is>
      </c>
      <c r="E34" s="58" t="inlineStr">
        <is>
          <t>Gegenstand</t>
        </is>
      </c>
      <c r="F34" s="58" t="inlineStr">
        <is>
          <t>Berührung</t>
        </is>
      </c>
      <c r="G34" s="58" t="inlineStr">
        <is>
          <t>1min</t>
        </is>
      </c>
      <c r="H34" s="58" t="inlineStr">
        <is>
          <t>sofort</t>
        </is>
      </c>
      <c r="I34" s="58" t="inlineStr">
        <is>
          <t>permanent</t>
        </is>
      </c>
      <c r="J34" s="59" t="n">
        <v>1</v>
      </c>
      <c r="K34" s="59" t="n">
        <v>10</v>
      </c>
      <c r="L34" s="58" t="inlineStr">
        <is>
          <t>10</t>
        </is>
      </c>
    </row>
    <row r="35" ht="60" customHeight="1" s="48">
      <c r="A35" s="58" t="inlineStr">
        <is>
          <t>Khartazh</t>
        </is>
      </c>
      <c r="B35" s="58" t="inlineStr">
        <is>
          <t>Sichere Hand</t>
        </is>
      </c>
      <c r="C35" s="58" t="inlineStr">
        <is>
          <t>Stoß</t>
        </is>
      </c>
      <c r="D35" s="58" t="inlineStr">
        <is>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is>
      </c>
      <c r="E35" s="58" t="inlineStr">
        <is>
          <t>Selbst</t>
        </is>
      </c>
      <c r="F35" s="58" t="inlineStr">
        <is>
          <t>Selbst</t>
        </is>
      </c>
      <c r="G35" s="58" t="inlineStr">
        <is>
          <t>1sec</t>
        </is>
      </c>
      <c r="H35" s="58" t="inlineStr">
        <is>
          <t>sofort</t>
        </is>
      </c>
      <c r="I35" s="58" t="inlineStr">
        <is>
          <t>Karma *10min</t>
        </is>
      </c>
      <c r="J35" s="59" t="n">
        <v>2</v>
      </c>
      <c r="K35" s="59" t="n">
        <v>12</v>
      </c>
      <c r="L35" s="58" t="inlineStr">
        <is>
          <t>60</t>
        </is>
      </c>
    </row>
    <row r="36" ht="60" customHeight="1" s="48">
      <c r="A36" s="58" t="inlineStr">
        <is>
          <t>Nomna</t>
        </is>
      </c>
      <c r="B36" s="58" t="inlineStr">
        <is>
          <t>Leberschutz</t>
        </is>
      </c>
      <c r="C36" s="58" t="inlineStr">
        <is>
          <t>Wunder</t>
        </is>
      </c>
      <c r="D36" s="58" t="inlineStr">
        <is>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is>
      </c>
      <c r="E36" s="58" t="inlineStr">
        <is>
          <t>Aura</t>
        </is>
      </c>
      <c r="F36" s="58" t="inlineStr">
        <is>
          <t>Karma x Meter</t>
        </is>
      </c>
      <c r="G36" s="58" t="inlineStr">
        <is>
          <t>1Min</t>
        </is>
      </c>
      <c r="H36" s="58" t="inlineStr">
        <is>
          <t>sofort</t>
        </is>
      </c>
      <c r="I36" s="58" t="inlineStr">
        <is>
          <t>777Jahre</t>
        </is>
      </c>
      <c r="J36" s="59" t="n">
        <v>2</v>
      </c>
      <c r="K36" s="59" t="n">
        <v>12</v>
      </c>
      <c r="L36" s="58" t="inlineStr">
        <is>
          <t>30</t>
        </is>
      </c>
    </row>
    <row r="37" ht="60" customHeight="1" s="48">
      <c r="A37" s="58" t="inlineStr">
        <is>
          <t>Nomna</t>
        </is>
      </c>
      <c r="B37" s="58" t="inlineStr">
        <is>
          <t>Wissen der Göttin</t>
        </is>
      </c>
      <c r="C37" s="58" t="inlineStr">
        <is>
          <t>Wunder</t>
        </is>
      </c>
      <c r="D37" s="58" t="inlineStr">
        <is>
          <t>Eine beliebige optionale Fertigkeit (Stoßgebet, Gebet und Ritual sind hiervon ausgenommen) wird um {Karma} x5 Punkte erhöht, wenn der Betreffende mindestens 1 Punkt in ihr gesteigert hat. Unbekannte werden auf {Karma} x3 Gesetzt. Dazu gehören auch Sprachen.</t>
        </is>
      </c>
      <c r="E37" s="58" t="inlineStr">
        <is>
          <t>Aura</t>
        </is>
      </c>
      <c r="F37" s="58" t="inlineStr">
        <is>
          <t>Berührung</t>
        </is>
      </c>
      <c r="G37" s="58" t="inlineStr">
        <is>
          <t>1Min</t>
        </is>
      </c>
      <c r="H37" s="58" t="inlineStr">
        <is>
          <t>sofort</t>
        </is>
      </c>
      <c r="I37" s="58" t="inlineStr">
        <is>
          <t>Karma * Std</t>
        </is>
      </c>
      <c r="J37" s="59" t="n">
        <v>1</v>
      </c>
      <c r="K37" s="59" t="n">
        <v>12</v>
      </c>
      <c r="L37" s="58" t="inlineStr">
        <is>
          <t>100</t>
        </is>
      </c>
    </row>
    <row r="38" ht="60" customHeight="1" s="48">
      <c r="A38" s="58" t="inlineStr">
        <is>
          <t>Nomna</t>
        </is>
      </c>
      <c r="B38" s="58" t="inlineStr">
        <is>
          <t>Handwerkersegen</t>
        </is>
      </c>
      <c r="C38" s="58" t="inlineStr">
        <is>
          <t>Ritual</t>
        </is>
      </c>
      <c r="D38" s="58" t="inlineStr">
        <is>
          <t>Alle Proben für das ausgewählte Handwerks werden um {Karma} x3 erhöht, wenn der betreffende mindestens 1 Punkt in ihr gesteigert hat. Unbekannte Handwerke werden auf {Karma} Gesetzt.</t>
        </is>
      </c>
      <c r="E38" s="58" t="inlineStr">
        <is>
          <t>Aura</t>
        </is>
      </c>
      <c r="F38" s="58" t="inlineStr">
        <is>
          <t>Berührung</t>
        </is>
      </c>
      <c r="G38" s="58" t="inlineStr">
        <is>
          <t>1Stunde</t>
        </is>
      </c>
      <c r="H38" s="58" t="inlineStr">
        <is>
          <t>sofort</t>
        </is>
      </c>
      <c r="I38" s="58" t="inlineStr">
        <is>
          <t>30 Tage</t>
        </is>
      </c>
      <c r="J38" s="59" t="n">
        <v>3</v>
      </c>
      <c r="K38" s="59" t="n">
        <v>16</v>
      </c>
      <c r="L38" s="58" t="inlineStr">
        <is>
          <t>70</t>
        </is>
      </c>
    </row>
    <row r="39" ht="60" customHeight="1" s="48">
      <c r="A39" s="58" t="inlineStr">
        <is>
          <t>Nomna</t>
        </is>
      </c>
      <c r="B39" s="58" t="inlineStr">
        <is>
          <t>Rache der Lügen</t>
        </is>
      </c>
      <c r="C39" s="58" t="inlineStr">
        <is>
          <t>Ritual</t>
        </is>
      </c>
      <c r="D39" s="58" t="inlineStr">
        <is>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is>
      </c>
      <c r="E39" s="58" t="inlineStr">
        <is>
          <t>Aura</t>
        </is>
      </c>
      <c r="F39" s="58" t="inlineStr">
        <is>
          <t>Berührung</t>
        </is>
      </c>
      <c r="G39" s="58" t="inlineStr">
        <is>
          <t>1Stunde</t>
        </is>
      </c>
      <c r="H39" s="58" t="inlineStr">
        <is>
          <t>sofort</t>
        </is>
      </c>
      <c r="I39" s="58" t="inlineStr">
        <is>
          <t>Karma * Std</t>
        </is>
      </c>
      <c r="J39" s="59" t="n">
        <v>6</v>
      </c>
      <c r="K39" s="59" t="n">
        <v>17</v>
      </c>
      <c r="L39" s="58" t="inlineStr">
        <is>
          <t>250</t>
        </is>
      </c>
    </row>
    <row r="40" ht="60" customHeight="1" s="48">
      <c r="A40" s="58" t="inlineStr">
        <is>
          <t>Nomna</t>
        </is>
      </c>
      <c r="B40" s="58" t="inlineStr">
        <is>
          <t>Magiersegen</t>
        </is>
      </c>
      <c r="C40" s="58" t="inlineStr">
        <is>
          <t>Wunder</t>
        </is>
      </c>
      <c r="D40" s="58" t="inlineStr">
        <is>
          <t>Weisheit, {M} und Zauber Gute des Ziels werden um {Karma} erhöht. Das Mana erhöht sich einmalig um 50 Punkte, die allerdings nicht regeneriert werden aber auch nicht die LE Kopf angreifen wenn sie ausgegeben wurden und die Wirkung endet.</t>
        </is>
      </c>
      <c r="E40" s="58" t="inlineStr">
        <is>
          <t>Aura</t>
        </is>
      </c>
      <c r="F40" s="58" t="inlineStr">
        <is>
          <t>Berührung</t>
        </is>
      </c>
      <c r="G40" s="58" t="inlineStr">
        <is>
          <t>10 Minuten</t>
        </is>
      </c>
      <c r="H40" s="58" t="inlineStr">
        <is>
          <t>sofort</t>
        </is>
      </c>
      <c r="I40" s="58" t="inlineStr">
        <is>
          <t>7 Stunden</t>
        </is>
      </c>
      <c r="J40" s="59" t="n">
        <v>7</v>
      </c>
      <c r="K40" s="59" t="n">
        <v>15</v>
      </c>
      <c r="L40" s="58" t="inlineStr">
        <is>
          <t>295</t>
        </is>
      </c>
    </row>
    <row r="41" ht="60" customHeight="1" s="48">
      <c r="A41" s="58" t="inlineStr">
        <is>
          <t>Nomna</t>
        </is>
      </c>
      <c r="B41" s="58" t="inlineStr">
        <is>
          <t>Erzvision</t>
        </is>
      </c>
      <c r="C41" s="58" t="inlineStr">
        <is>
          <t>Wunder</t>
        </is>
      </c>
      <c r="D41" s="58" t="inlineStr">
        <is>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is>
      </c>
      <c r="E41" s="58" t="inlineStr">
        <is>
          <t>Selbst</t>
        </is>
      </c>
      <c r="F41" s="58" t="inlineStr">
        <is>
          <t>Selbst</t>
        </is>
      </c>
      <c r="G41" s="58" t="inlineStr">
        <is>
          <t>1min</t>
        </is>
      </c>
      <c r="H41" s="58" t="inlineStr">
        <is>
          <t>sofort</t>
        </is>
      </c>
      <c r="I41" s="58" t="inlineStr">
        <is>
          <t>Karma *2min</t>
        </is>
      </c>
      <c r="J41" s="59" t="n">
        <v>1</v>
      </c>
      <c r="K41" s="59" t="n">
        <v>7</v>
      </c>
      <c r="L41" s="58" t="inlineStr">
        <is>
          <t>50</t>
        </is>
      </c>
    </row>
    <row r="42" ht="60" customHeight="1" s="48">
      <c r="A42" s="58" t="inlineStr">
        <is>
          <t>Nomna</t>
        </is>
      </c>
      <c r="B42" s="58" t="inlineStr">
        <is>
          <t>Wasser zu Bier</t>
        </is>
      </c>
      <c r="C42" s="58" t="inlineStr">
        <is>
          <t>Wunder</t>
        </is>
      </c>
      <c r="D42" s="58" t="inlineStr">
        <is>
          <t>Auf Bitten des Klerikers verwandelt Nomna {Karma} Liter Wasser in feinstes, wohltemperiertes Zwergisches Starkbier. Das auf diese Weise erschaffene Starkbier verhält sich wie jedes andere Starkbier auch.</t>
        </is>
      </c>
      <c r="E42" s="58" t="inlineStr">
        <is>
          <t>Gegenstand</t>
        </is>
      </c>
      <c r="F42" s="58" t="inlineStr">
        <is>
          <t>Berührung</t>
        </is>
      </c>
      <c r="G42" s="58" t="inlineStr">
        <is>
          <t>1min</t>
        </is>
      </c>
      <c r="H42" s="58" t="inlineStr">
        <is>
          <t>sofort</t>
        </is>
      </c>
      <c r="I42" s="58" t="inlineStr">
        <is>
          <t>permanent</t>
        </is>
      </c>
      <c r="J42" s="59" t="n">
        <v>1</v>
      </c>
      <c r="K42" s="59" t="n">
        <v>10</v>
      </c>
      <c r="L42" s="58" t="inlineStr">
        <is>
          <t>10</t>
        </is>
      </c>
    </row>
    <row r="43" ht="60" customHeight="1" s="48">
      <c r="A43" s="58" t="inlineStr">
        <is>
          <t>Nomna</t>
        </is>
      </c>
      <c r="B43" s="58" t="inlineStr">
        <is>
          <t>Stärke des Erzes</t>
        </is>
      </c>
      <c r="C43" s="58" t="inlineStr">
        <is>
          <t>Wunder</t>
        </is>
      </c>
      <c r="D43" s="58" t="inlineStr">
        <is>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is>
      </c>
      <c r="E43" s="58" t="inlineStr">
        <is>
          <t>Gegenstand</t>
        </is>
      </c>
      <c r="F43" s="58" t="inlineStr">
        <is>
          <t>Berührung</t>
        </is>
      </c>
      <c r="G43" s="58" t="inlineStr">
        <is>
          <t>5min</t>
        </is>
      </c>
      <c r="H43" s="58" t="inlineStr">
        <is>
          <t>sofort</t>
        </is>
      </c>
      <c r="I43" s="58" t="inlineStr">
        <is>
          <t>Karma * Std</t>
        </is>
      </c>
      <c r="J43" s="59" t="n">
        <v>3</v>
      </c>
      <c r="K43" s="59" t="n">
        <v>15</v>
      </c>
      <c r="L43" s="58" t="inlineStr">
        <is>
          <t>205</t>
        </is>
      </c>
    </row>
    <row r="44" ht="60" customHeight="1" s="48">
      <c r="A44" s="58" t="inlineStr">
        <is>
          <t>Nomna</t>
        </is>
      </c>
      <c r="B44" s="58" t="inlineStr">
        <is>
          <t>Ewige Seele</t>
        </is>
      </c>
      <c r="C44" s="58" t="inlineStr">
        <is>
          <t>Ritual</t>
        </is>
      </c>
      <c r="D44" s="58" t="inlineStr">
        <is>
          <t>Die willige Seele eines Nomna-Gläubigen wird durch dieses Ritual in einen mindestens faustgroßen Seelenstein gebannt. Die Stabilität des Seelensteins erhöht sich hierdurch um den Faktor 100. Solange der Seelenstein Bestand hat, existiert auch die Seele weiter.</t>
        </is>
      </c>
      <c r="E44" s="58" t="inlineStr">
        <is>
          <t>Aura</t>
        </is>
      </c>
      <c r="F44" s="58" t="inlineStr">
        <is>
          <t>Berührung</t>
        </is>
      </c>
      <c r="G44" s="58" t="inlineStr">
        <is>
          <t>7Std</t>
        </is>
      </c>
      <c r="H44" s="58" t="inlineStr">
        <is>
          <t>sofort</t>
        </is>
      </c>
      <c r="I44" s="58" t="inlineStr">
        <is>
          <t>permanent</t>
        </is>
      </c>
      <c r="J44" s="59" t="n">
        <v>6</v>
      </c>
      <c r="K44" s="59" t="n">
        <v>16</v>
      </c>
      <c r="L44" s="58" t="inlineStr">
        <is>
          <t>385</t>
        </is>
      </c>
    </row>
    <row r="45" ht="60" customHeight="1" s="48">
      <c r="A45" s="58" t="inlineStr">
        <is>
          <t>Nomna</t>
        </is>
      </c>
      <c r="B45" s="58" t="inlineStr">
        <is>
          <t>Weisheit der Ahnen</t>
        </is>
      </c>
      <c r="C45" s="58" t="inlineStr">
        <is>
          <t>Wunder</t>
        </is>
      </c>
      <c r="D45" s="58" t="inlineStr">
        <is>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is>
      </c>
      <c r="E45" s="58" t="inlineStr">
        <is>
          <t>Aura</t>
        </is>
      </c>
      <c r="F45" s="58" t="inlineStr">
        <is>
          <t>Berührung</t>
        </is>
      </c>
      <c r="G45" s="58" t="inlineStr">
        <is>
          <t>1min</t>
        </is>
      </c>
      <c r="H45" s="58" t="inlineStr">
        <is>
          <t>sofort</t>
        </is>
      </c>
      <c r="I45" s="58" t="inlineStr">
        <is>
          <t>7Std</t>
        </is>
      </c>
      <c r="J45" s="59" t="n">
        <v>4</v>
      </c>
      <c r="K45" s="59" t="n">
        <v>10</v>
      </c>
      <c r="L45" s="58" t="inlineStr">
        <is>
          <t>70</t>
        </is>
      </c>
    </row>
    <row r="46" ht="60" customHeight="1" s="48">
      <c r="A46" s="58" t="inlineStr">
        <is>
          <t>Nomna</t>
        </is>
      </c>
      <c r="B46" s="58" t="inlineStr">
        <is>
          <t>Kriegersegen</t>
        </is>
      </c>
      <c r="C46" s="58" t="inlineStr">
        <is>
          <t>Wunder</t>
        </is>
      </c>
      <c r="D46" s="58" t="inlineStr">
        <is>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is>
      </c>
      <c r="E46" s="58" t="inlineStr">
        <is>
          <t>Aura</t>
        </is>
      </c>
      <c r="F46" s="58" t="inlineStr">
        <is>
          <t>Berührung</t>
        </is>
      </c>
      <c r="G46" s="58" t="inlineStr">
        <is>
          <t>10min</t>
        </is>
      </c>
      <c r="H46" s="58" t="inlineStr">
        <is>
          <t>sofort</t>
        </is>
      </c>
      <c r="I46" s="58" t="inlineStr">
        <is>
          <t>7Std</t>
        </is>
      </c>
      <c r="J46" s="59" t="n">
        <v>7</v>
      </c>
      <c r="K46" s="59" t="n">
        <v>15</v>
      </c>
      <c r="L46" s="58" t="inlineStr">
        <is>
          <t>295</t>
        </is>
      </c>
    </row>
    <row r="47" ht="60" customHeight="1" s="48">
      <c r="A47" s="58" t="inlineStr">
        <is>
          <t>Tepod</t>
        </is>
      </c>
      <c r="B47" s="58" t="inlineStr">
        <is>
          <t>Wasser zu Nektar</t>
        </is>
      </c>
      <c r="C47" s="58" t="inlineStr">
        <is>
          <t>Wunder</t>
        </is>
      </c>
      <c r="D47" s="58" t="inlineStr">
        <is>
          <t>Auf Bitten des Klerikers verwandeln die Götter {Karma} Liter Wasser in feinsten Nektar. Der auf diese Weise erschaffene Nektar verhält sich wie jeder andere Nektar auch.</t>
        </is>
      </c>
      <c r="E47" s="58" t="inlineStr">
        <is>
          <t>Gegenstand</t>
        </is>
      </c>
      <c r="F47" s="58" t="inlineStr">
        <is>
          <t>Berührung</t>
        </is>
      </c>
      <c r="G47" s="58" t="inlineStr">
        <is>
          <t>1min</t>
        </is>
      </c>
      <c r="H47" s="58" t="inlineStr">
        <is>
          <t>sofort</t>
        </is>
      </c>
      <c r="I47" s="58" t="inlineStr">
        <is>
          <t>permanent</t>
        </is>
      </c>
      <c r="J47" s="59" t="n">
        <v>1</v>
      </c>
      <c r="K47" s="59" t="n">
        <v>10</v>
      </c>
      <c r="L47" s="58" t="inlineStr">
        <is>
          <t>10</t>
        </is>
      </c>
    </row>
    <row r="48" ht="60" customHeight="1" s="48">
      <c r="A48" s="58" t="inlineStr">
        <is>
          <t>Tepod</t>
        </is>
      </c>
      <c r="B48" s="58" t="inlineStr">
        <is>
          <t>Cenalias Segen</t>
        </is>
      </c>
      <c r="C48" s="58" t="inlineStr">
        <is>
          <t>Wunder</t>
        </is>
      </c>
      <c r="D48" s="58" t="inlineStr">
        <is>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is>
      </c>
      <c r="E48" s="58" t="inlineStr">
        <is>
          <t>Selbst</t>
        </is>
      </c>
      <c r="F48" s="58" t="inlineStr">
        <is>
          <t>Selbst</t>
        </is>
      </c>
      <c r="G48" s="58" t="inlineStr">
        <is>
          <t>1min</t>
        </is>
      </c>
      <c r="H48" s="58" t="inlineStr">
        <is>
          <t>sofort</t>
        </is>
      </c>
      <c r="I48" s="58" t="inlineStr">
        <is>
          <t>Karma *2Std</t>
        </is>
      </c>
      <c r="J48" s="59" t="n">
        <v>5</v>
      </c>
      <c r="K48" s="59" t="n">
        <v>14</v>
      </c>
      <c r="L48" s="58" t="inlineStr">
        <is>
          <t>130</t>
        </is>
      </c>
    </row>
    <row r="49" ht="60" customHeight="1" s="48">
      <c r="A49" s="58" t="inlineStr">
        <is>
          <t>Tepod</t>
        </is>
      </c>
      <c r="B49" s="58" t="inlineStr">
        <is>
          <t>Segen des Ausgestoßenen Schmiedes</t>
        </is>
      </c>
      <c r="C49" s="58" t="inlineStr">
        <is>
          <t>Wunder</t>
        </is>
      </c>
      <c r="D49" s="58" t="inlineStr">
        <is>
          <t>Das Ziel ignoriert während der Wirkungsdauer {Karma}*2 Punkte Behinderung. Er wirkt gegen jede Form bereits erlittener als auch noch eventuell zu erleidender Behinderung.</t>
        </is>
      </c>
      <c r="E49" s="58" t="inlineStr">
        <is>
          <t>Aura</t>
        </is>
      </c>
      <c r="F49" s="58" t="inlineStr">
        <is>
          <t>Karma x Meter</t>
        </is>
      </c>
      <c r="G49" s="58" t="inlineStr">
        <is>
          <t>1Min</t>
        </is>
      </c>
      <c r="H49" s="58" t="inlineStr">
        <is>
          <t>sofort</t>
        </is>
      </c>
      <c r="I49" s="58" t="inlineStr">
        <is>
          <t>Karma Std</t>
        </is>
      </c>
      <c r="J49" s="59" t="n">
        <v>2</v>
      </c>
      <c r="K49" s="59" t="n">
        <v>12</v>
      </c>
      <c r="L49" s="58" t="inlineStr">
        <is>
          <t>30</t>
        </is>
      </c>
    </row>
    <row r="50" ht="60" customHeight="1" s="48">
      <c r="A50" s="58" t="inlineStr">
        <is>
          <t>Tepod</t>
        </is>
      </c>
      <c r="B50" s="58" t="inlineStr">
        <is>
          <t>Rückkehr zu den Wurzeln</t>
        </is>
      </c>
      <c r="C50" s="58" t="inlineStr">
        <is>
          <t>Ritual</t>
        </is>
      </c>
      <c r="D50" s="58" t="inlineStr">
        <is>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is>
      </c>
      <c r="E50" s="58" t="inlineStr">
        <is>
          <t>Gegenstand</t>
        </is>
      </c>
      <c r="F50" s="58" t="inlineStr">
        <is>
          <t>(M)m</t>
        </is>
      </c>
      <c r="G50" s="58" t="inlineStr">
        <is>
          <t>1Std.</t>
        </is>
      </c>
      <c r="H50" s="58" t="inlineStr">
        <is>
          <t>sofort</t>
        </is>
      </c>
      <c r="I50" s="58" t="inlineStr">
        <is>
          <t>permanent</t>
        </is>
      </c>
      <c r="J50" s="59" t="n">
        <v>4</v>
      </c>
      <c r="K50" s="59" t="n">
        <v>7</v>
      </c>
      <c r="L50" s="58" t="inlineStr">
        <is>
          <t>50</t>
        </is>
      </c>
    </row>
    <row r="51" ht="60" customHeight="1" s="48">
      <c r="A51" s="58" t="inlineStr">
        <is>
          <t>Tepod</t>
        </is>
      </c>
      <c r="B51" s="58" t="inlineStr">
        <is>
          <t>Uribensprung</t>
        </is>
      </c>
      <c r="C51" s="58" t="inlineStr">
        <is>
          <t>Ritual</t>
        </is>
      </c>
      <c r="D51" s="58" t="inlineStr">
        <is>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is>
      </c>
      <c r="E51" s="58" t="inlineStr">
        <is>
          <t>Selbst</t>
        </is>
      </c>
      <c r="F51" s="58" t="inlineStr">
        <is>
          <t>Berührung</t>
        </is>
      </c>
      <c r="G51" s="58" t="inlineStr">
        <is>
          <t>1Std.</t>
        </is>
      </c>
      <c r="H51" s="58" t="inlineStr">
        <is>
          <t>sofort</t>
        </is>
      </c>
      <c r="I51" s="58" t="inlineStr">
        <is>
          <t>permanent</t>
        </is>
      </c>
      <c r="J51" s="59" t="n">
        <v>5</v>
      </c>
      <c r="K51" s="59" t="n">
        <v>16</v>
      </c>
      <c r="L51" s="58" t="inlineStr">
        <is>
          <t>100</t>
        </is>
      </c>
    </row>
    <row r="52" ht="60" customHeight="1" s="48">
      <c r="A52" s="58" t="inlineStr">
        <is>
          <t>Tepod</t>
        </is>
      </c>
      <c r="B52" s="58" t="inlineStr">
        <is>
          <t>Sinne des Waldes</t>
        </is>
      </c>
      <c r="C52" s="58" t="inlineStr">
        <is>
          <t>Wunder</t>
        </is>
      </c>
      <c r="D52" s="58" t="inlineStr">
        <is>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2" s="58" t="inlineStr">
        <is>
          <t>Selbst</t>
        </is>
      </c>
      <c r="F52" s="58" t="inlineStr">
        <is>
          <t>Selbst</t>
        </is>
      </c>
      <c r="G52" s="58" t="inlineStr">
        <is>
          <t>1Min</t>
        </is>
      </c>
      <c r="H52" s="58" t="inlineStr">
        <is>
          <t>sofort</t>
        </is>
      </c>
      <c r="I52" s="58" t="inlineStr">
        <is>
          <t>Karma Min</t>
        </is>
      </c>
      <c r="J52" s="59" t="n">
        <v>3</v>
      </c>
      <c r="K52" s="59" t="n">
        <v>11</v>
      </c>
      <c r="L52" s="58" t="inlineStr">
        <is>
          <t>77</t>
        </is>
      </c>
    </row>
    <row r="53" ht="60" customHeight="1" s="48">
      <c r="A53" s="58" t="inlineStr">
        <is>
          <t>Tepod</t>
        </is>
      </c>
      <c r="B53" s="58" t="inlineStr">
        <is>
          <t>Tierische Sinne</t>
        </is>
      </c>
      <c r="C53" s="58" t="inlineStr">
        <is>
          <t>Wunder</t>
        </is>
      </c>
      <c r="D53" s="58" t="inlineStr">
        <is>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3" s="58" t="inlineStr">
        <is>
          <t>Selbst</t>
        </is>
      </c>
      <c r="F53" s="58" t="inlineStr">
        <is>
          <t>Selbst</t>
        </is>
      </c>
      <c r="G53" s="58" t="inlineStr">
        <is>
          <t>1Min</t>
        </is>
      </c>
      <c r="H53" s="58" t="inlineStr">
        <is>
          <t>sofort</t>
        </is>
      </c>
      <c r="I53" s="58" t="inlineStr">
        <is>
          <t>Karma Min</t>
        </is>
      </c>
      <c r="J53" s="59" t="n">
        <v>4</v>
      </c>
      <c r="K53" s="59" t="n">
        <v>17</v>
      </c>
      <c r="L53" s="58" t="inlineStr">
        <is>
          <t>90</t>
        </is>
      </c>
    </row>
    <row r="54" ht="60" customHeight="1" s="48">
      <c r="A54" s="58" t="inlineStr">
        <is>
          <t>Tepod</t>
        </is>
      </c>
      <c r="B54" s="58" t="inlineStr">
        <is>
          <t>Lahja's Gabe</t>
        </is>
      </c>
      <c r="C54" s="58" t="inlineStr">
        <is>
          <t>Ritual</t>
        </is>
      </c>
      <c r="D54" s="58" t="inlineStr">
        <is>
          <t>Die Göttin der Heilung und Jugend verjüngt durch den Kleriker das Ziel um {Karma}% der maximalen Lebensspanne pro Stunde.
Das Ziel muss während der gesamten Ritualdauer in direktem Kontakt zu einem Uribenbaum stehen.</t>
        </is>
      </c>
      <c r="E54" s="58" t="inlineStr">
        <is>
          <t>Aura</t>
        </is>
      </c>
      <c r="F54" s="58" t="inlineStr">
        <is>
          <t>Berührung</t>
        </is>
      </c>
      <c r="G54" s="58" t="inlineStr">
        <is>
          <t>Max. Karma Std</t>
        </is>
      </c>
      <c r="H54" s="58" t="inlineStr">
        <is>
          <t>sofort</t>
        </is>
      </c>
      <c r="I54" s="58" t="inlineStr">
        <is>
          <t>permanent</t>
        </is>
      </c>
      <c r="J54" s="59" t="n">
        <v>7</v>
      </c>
      <c r="K54" s="59" t="n">
        <v>21</v>
      </c>
      <c r="L54" s="58" t="inlineStr">
        <is>
          <t>425</t>
        </is>
      </c>
    </row>
    <row r="55" ht="60" customHeight="1" s="48">
      <c r="A55" s="58" t="inlineStr">
        <is>
          <t>Tepod</t>
        </is>
      </c>
      <c r="B55" s="58" t="inlineStr">
        <is>
          <t>Ewige Seele</t>
        </is>
      </c>
      <c r="C55" s="58" t="inlineStr">
        <is>
          <t>Ritual</t>
        </is>
      </c>
      <c r="D55" s="58" t="inlineStr">
        <is>
          <t>Die willige Seele eines Tepod-Gläubigen wird durch dieses Ritual in einen Uribenbaum geführt. Solange der Uribenbaum lebt, existiert auch die Seele weiter.</t>
        </is>
      </c>
      <c r="E55" s="58" t="inlineStr">
        <is>
          <t>Aura</t>
        </is>
      </c>
      <c r="F55" s="58" t="inlineStr">
        <is>
          <t>Berührung</t>
        </is>
      </c>
      <c r="G55" s="58" t="inlineStr">
        <is>
          <t>7Std</t>
        </is>
      </c>
      <c r="H55" s="58" t="inlineStr">
        <is>
          <t>sofort</t>
        </is>
      </c>
      <c r="I55" s="58" t="inlineStr">
        <is>
          <t>permanent</t>
        </is>
      </c>
      <c r="J55" s="59" t="n">
        <v>6</v>
      </c>
      <c r="K55" s="59" t="n">
        <v>16</v>
      </c>
      <c r="L55" s="58" t="inlineStr">
        <is>
          <t>385</t>
        </is>
      </c>
    </row>
    <row r="56" ht="60" customHeight="1" s="48">
      <c r="A56" s="58" t="inlineStr">
        <is>
          <t>Tepod</t>
        </is>
      </c>
      <c r="B56" s="58" t="inlineStr">
        <is>
          <t>Weisheit der Ahnen</t>
        </is>
      </c>
      <c r="C56" s="58" t="inlineStr">
        <is>
          <t>Wunder</t>
        </is>
      </c>
      <c r="D56" s="58" t="inlineStr">
        <is>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is>
      </c>
      <c r="E56" s="58" t="inlineStr">
        <is>
          <t>Aura</t>
        </is>
      </c>
      <c r="F56" s="58" t="inlineStr">
        <is>
          <t>Berührung</t>
        </is>
      </c>
      <c r="G56" s="58" t="inlineStr">
        <is>
          <t>1min</t>
        </is>
      </c>
      <c r="H56" s="58" t="inlineStr">
        <is>
          <t>sofort</t>
        </is>
      </c>
      <c r="I56" s="58" t="inlineStr">
        <is>
          <t>Karma Std</t>
        </is>
      </c>
      <c r="J56" s="59" t="n">
        <v>4</v>
      </c>
      <c r="K56" s="59" t="n">
        <v>13</v>
      </c>
      <c r="L56" s="58" t="inlineStr">
        <is>
          <t>70</t>
        </is>
      </c>
    </row>
    <row r="57" ht="60" customHeight="1" s="48">
      <c r="A57" s="58" t="inlineStr">
        <is>
          <t>Tepod</t>
        </is>
      </c>
      <c r="B57" s="58" t="inlineStr">
        <is>
          <t>Uribengebet</t>
        </is>
      </c>
      <c r="C57" s="58" t="inlineStr">
        <is>
          <t>Ritual</t>
        </is>
      </c>
      <c r="D57" s="58" t="inlineStr">
        <is>
          <t xml:space="preserve">Der Kleriker verbindet sich eng mit dem Uribenbaum und beeinflusst sein Wachstum. Er kann den Baum um (2*Karma)% wachsen lassen und dabei nach seinem Willen formen. </t>
        </is>
      </c>
      <c r="E57" s="58" t="inlineStr">
        <is>
          <t>Aura</t>
        </is>
      </c>
      <c r="F57" s="58" t="inlineStr">
        <is>
          <t>Berührung</t>
        </is>
      </c>
      <c r="G57" s="58" t="inlineStr">
        <is>
          <t>7h</t>
        </is>
      </c>
      <c r="H57" s="58" t="inlineStr">
        <is>
          <t>sofort</t>
        </is>
      </c>
      <c r="I57" s="58" t="inlineStr">
        <is>
          <t>permanent</t>
        </is>
      </c>
      <c r="J57" s="59" t="n">
        <v>4</v>
      </c>
      <c r="K57" s="59" t="n">
        <v>7</v>
      </c>
      <c r="L57" s="58" t="n">
        <v>50</v>
      </c>
    </row>
    <row r="58" ht="60" customHeight="1" s="48">
      <c r="A58" s="58" t="inlineStr">
        <is>
          <t>Tepod</t>
        </is>
      </c>
      <c r="B58" s="58" t="inlineStr">
        <is>
          <t>Land der Segnung</t>
        </is>
      </c>
      <c r="C58" s="58" t="inlineStr">
        <is>
          <t>Ritual</t>
        </is>
      </c>
      <c r="D58" s="58" t="inlineStr">
        <is>
          <t>Der Kleriker segnet Land und {Karma}/2 Lebewesen im Umkreis von {Karma}*10m mit göttlicher Fruchtbarkeit.</t>
        </is>
      </c>
      <c r="E58" s="58" t="inlineStr">
        <is>
          <t>Selbst</t>
        </is>
      </c>
      <c r="F58" s="58" t="inlineStr">
        <is>
          <t>Selbst</t>
        </is>
      </c>
      <c r="G58" s="58" t="inlineStr">
        <is>
          <t>1 Std</t>
        </is>
      </c>
      <c r="H58" s="58" t="inlineStr">
        <is>
          <t>sofort</t>
        </is>
      </c>
      <c r="I58" s="58" t="inlineStr">
        <is>
          <t>Karma Jahre</t>
        </is>
      </c>
      <c r="J58" s="59" t="n">
        <v>1</v>
      </c>
      <c r="K58" s="59" t="n">
        <v>7</v>
      </c>
      <c r="L58" s="58" t="inlineStr">
        <is>
          <t>50</t>
        </is>
      </c>
    </row>
    <row r="59" ht="60" customHeight="1" s="48">
      <c r="A59" s="58" t="inlineStr">
        <is>
          <t>Tepod</t>
        </is>
      </c>
      <c r="B59" s="58" t="inlineStr">
        <is>
          <t>Tepod's Schild</t>
        </is>
      </c>
      <c r="C59" s="58" t="inlineStr">
        <is>
          <t>Stoß</t>
        </is>
      </c>
      <c r="D59" s="58" t="inlineStr">
        <is>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is>
      </c>
      <c r="E59" s="58" t="inlineStr">
        <is>
          <t>Selbst</t>
        </is>
      </c>
      <c r="F59" s="58" t="inlineStr">
        <is>
          <t>Selbst</t>
        </is>
      </c>
      <c r="G59" s="58" t="inlineStr">
        <is>
          <t>1Sec</t>
        </is>
      </c>
      <c r="H59" s="58" t="inlineStr">
        <is>
          <t>sofort</t>
        </is>
      </c>
      <c r="I59" s="58" t="inlineStr">
        <is>
          <t>Max Karma Min</t>
        </is>
      </c>
      <c r="J59" s="59" t="n">
        <v>3</v>
      </c>
      <c r="K59" s="59" t="n">
        <v>13</v>
      </c>
      <c r="L59" s="58" t="inlineStr">
        <is>
          <t>90</t>
        </is>
      </c>
    </row>
    <row r="60" ht="60" customHeight="1" s="48">
      <c r="A60" s="58" t="inlineStr">
        <is>
          <t>Tepod</t>
        </is>
      </c>
      <c r="B60" s="58" t="inlineStr">
        <is>
          <t>Ruf des Tepod</t>
        </is>
      </c>
      <c r="C60" s="58" t="inlineStr">
        <is>
          <t>Wunder</t>
        </is>
      </c>
      <c r="D60" s="58" t="inlineStr">
        <is>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is>
      </c>
      <c r="E60" s="58" t="inlineStr">
        <is>
          <t>Selbst</t>
        </is>
      </c>
      <c r="F60" s="58" t="inlineStr">
        <is>
          <t>Berührung</t>
        </is>
      </c>
      <c r="G60" s="58" t="inlineStr">
        <is>
          <t>1Min</t>
        </is>
      </c>
      <c r="H60" s="58" t="inlineStr">
        <is>
          <t>sofort</t>
        </is>
      </c>
      <c r="I60" s="58" t="inlineStr">
        <is>
          <t>permanent</t>
        </is>
      </c>
      <c r="J60" s="59" t="n">
        <v>5</v>
      </c>
      <c r="K60" s="59" t="n">
        <v>15</v>
      </c>
      <c r="L60" s="58" t="n">
        <v>125</v>
      </c>
    </row>
    <row r="61" ht="60" customHeight="1" s="48">
      <c r="A61" s="58" t="inlineStr">
        <is>
          <t>Tepod</t>
        </is>
      </c>
      <c r="B61" s="58" t="inlineStr">
        <is>
          <t>Lahja's Kuss</t>
        </is>
      </c>
      <c r="C61" s="58" t="inlineStr">
        <is>
          <t>Stoß</t>
        </is>
      </c>
      <c r="D61" s="58" t="inlineStr">
        <is>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is>
      </c>
      <c r="E61" s="58" t="inlineStr">
        <is>
          <t>Selbst</t>
        </is>
      </c>
      <c r="F61" s="58" t="inlineStr">
        <is>
          <t>(M)*m</t>
        </is>
      </c>
      <c r="G61" s="58" t="inlineStr">
        <is>
          <t>1 sec</t>
        </is>
      </c>
      <c r="H61" s="58" t="inlineStr">
        <is>
          <t>Karma sec</t>
        </is>
      </c>
      <c r="I61" s="58" t="inlineStr">
        <is>
          <t>permanent</t>
        </is>
      </c>
      <c r="J61" s="59" t="n">
        <v>4</v>
      </c>
      <c r="K61" s="59" t="n">
        <v>15</v>
      </c>
      <c r="L61" s="58" t="n">
        <v>70</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2026-08-28T21:55:00Z</dcterms:created>
  <dcterms:modified xmlns:dcterms="http://purl.org/dc/terms/" xmlns:xsi="http://www.w3.org/2001/XMLSchema-instance" xsi:type="dcterms:W3CDTF">2026-09-06T15:58:33Z</dcterms:modified>
</cp:coreProperties>
</file>