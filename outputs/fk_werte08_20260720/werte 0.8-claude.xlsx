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s Western Rollenspiel\LLM\"/>
    </mc:Choice>
  </mc:AlternateContent>
  <xr:revisionPtr revIDLastSave="0" documentId="13_ncr:1_{5A8B5F33-035F-4325-8859-FC3D0C527BEA}" xr6:coauthVersionLast="47" xr6:coauthVersionMax="47" xr10:uidLastSave="{00000000-0000-0000-0000-000000000000}"/>
  <bookViews>
    <workbookView xWindow="-120" yWindow="-120" windowWidth="51840" windowHeight="21120" xr2:uid="{00000000-000D-0000-FFFF-FFFF00000000}"/>
  </bookViews>
  <sheets>
    <sheet name="Werte" sheetId="1" r:id="rId1"/>
    <sheet name="EP-Stufe-Kreis" sheetId="3" r:id="rId2"/>
    <sheet name="WHK-Spez-Kosten" sheetId="4" r:id="rId3"/>
    <sheet name="Eigenschaften-Kosten" sheetId="5" r:id="rId4"/>
    <sheet name="Voelker-Maxima" sheetId="6" r:id="rId5"/>
    <sheet name="PSI-Zauberstufen" sheetId="7" r:id="rId6"/>
    <sheet name="KI-Baum-Kanten" sheetId="8" r:id="rId7"/>
    <sheet name="Preisliste" sheetId="9" r:id="rId8"/>
    <sheet name="Alchemika" sheetId="10" r:id="rId9"/>
    <sheet name="Ruestungstabelle" sheetId="11" r:id="rId10"/>
    <sheet name="NK-Material" sheetId="12" r:id="rId11"/>
    <sheet name="NK-Anpassung" sheetId="13" r:id="rId12"/>
    <sheet name="NK-Schaftmaterial" sheetId="14" r:id="rId13"/>
    <sheet name="NK-Fertigung" sheetId="15" r:id="rId14"/>
    <sheet name="NK-Waffen-Basis" sheetId="16" r:id="rId15"/>
    <sheet name="Entwickeln" sheetId="17" r:id="rId16"/>
    <sheet name="Schild-Material" sheetId="18" r:id="rId17"/>
    <sheet name="Schild-Fertigung" sheetId="19" r:id="rId18"/>
    <sheet name="Schild-Bespannung" sheetId="20" r:id="rId19"/>
    <sheet name="Schild-Verplatung" sheetId="21" r:id="rId20"/>
    <sheet name="Artefakt-Magus-Faehigkeiten" sheetId="22" r:id="rId21"/>
    <sheet name="Artefakt-Seelensteine" sheetId="23" r:id="rId22"/>
    <sheet name="Artefakt-Manamultiplikator" sheetId="24" r:id="rId23"/>
    <sheet name="Artefakt-Basis" sheetId="25" r:id="rId24"/>
    <sheet name="Artefakt-Kosten" sheetId="26" r:id="rId25"/>
    <sheet name="Verfuegbarkeit-Modifikatoren" sheetId="27" r:id="rId26"/>
    <sheet name="Ruestung-Basis" sheetId="28" r:id="rId27"/>
    <sheet name="Ruestung-Addons" sheetId="29" r:id="rId28"/>
    <sheet name="Ruestung-Verarbeitung" sheetId="30" r:id="rId29"/>
    <sheet name="Ruestung-Anpassung" sheetId="31" r:id="rId30"/>
    <sheet name="Munition-Feuerwaffen" sheetId="32" r:id="rId31"/>
    <sheet name="Munition-Ressourcen" sheetId="33" r:id="rId32"/>
    <sheet name="Boegen-Basis" sheetId="34" r:id="rId33"/>
    <sheet name="Pfeile-Basis" sheetId="35" r:id="rId34"/>
    <sheet name="Armbrust-Basis" sheetId="36" r:id="rId35"/>
    <sheet name="Bolzen-Basis" sheetId="37" r:id="rId36"/>
    <sheet name="Runengewehr-Basis" sheetId="38" r:id="rId37"/>
    <sheet name="Runengewehr-Munition" sheetId="39" r:id="rId38"/>
    <sheet name="Runengewehr-Gewehrrunen" sheetId="40" r:id="rId39"/>
    <sheet name="Sprachstufe-Kosten" sheetId="41" r:id="rId40"/>
    <sheet name="Kulturstufe-Kosten" sheetId="42" r:id="rId41"/>
    <sheet name="Boegen" sheetId="43" r:id="rId42"/>
    <sheet name="Armbrust" sheetId="44" r:id="rId43"/>
    <sheet name="Feuerwaffen-Munition" sheetId="45" r:id="rId44"/>
    <sheet name="Pfeile" sheetId="46" r:id="rId45"/>
    <sheet name="Bolzen" sheetId="47" r:id="rId46"/>
    <sheet name="Feuerwaffen" sheetId="48" r:id="rId47"/>
    <sheet name="Feuerwaffen-Ressourcen" sheetId="49" r:id="rId48"/>
  </sheets>
  <definedNames>
    <definedName name="test1">#REF!</definedName>
    <definedName name="tes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49" l="1"/>
  <c r="AE87" i="48"/>
  <c r="AD87" i="48"/>
  <c r="AB87" i="48"/>
  <c r="AF87" i="48" s="1"/>
  <c r="AA87" i="48"/>
  <c r="Z87" i="48"/>
  <c r="Y87" i="48"/>
  <c r="X87" i="48"/>
  <c r="W87" i="48"/>
  <c r="V87" i="48"/>
  <c r="U87" i="48"/>
  <c r="T87" i="48"/>
  <c r="S87" i="48"/>
  <c r="R87" i="48"/>
  <c r="Q87" i="48"/>
  <c r="P87" i="48"/>
  <c r="O87" i="48"/>
  <c r="N87" i="48"/>
  <c r="M87" i="48"/>
  <c r="L87" i="48"/>
  <c r="K87" i="48"/>
  <c r="AE86" i="48"/>
  <c r="AD86" i="48"/>
  <c r="AC86" i="48" s="1"/>
  <c r="AB86" i="48"/>
  <c r="AF86" i="48" s="1"/>
  <c r="AA86" i="48"/>
  <c r="Z86" i="48"/>
  <c r="Y86" i="48"/>
  <c r="X86" i="48"/>
  <c r="W86" i="48"/>
  <c r="V86" i="48"/>
  <c r="U86" i="48"/>
  <c r="T86" i="48"/>
  <c r="S86" i="48"/>
  <c r="R86" i="48"/>
  <c r="Q86" i="48"/>
  <c r="P86" i="48"/>
  <c r="O86" i="48"/>
  <c r="N86" i="48"/>
  <c r="M86" i="48"/>
  <c r="L86" i="48"/>
  <c r="K86" i="48"/>
  <c r="AE85" i="48"/>
  <c r="AD85" i="48"/>
  <c r="AC85" i="48" s="1"/>
  <c r="AB85" i="48"/>
  <c r="AF85" i="48" s="1"/>
  <c r="AA85" i="48"/>
  <c r="Z85" i="48"/>
  <c r="Y85" i="48"/>
  <c r="X85" i="48"/>
  <c r="W85" i="48"/>
  <c r="V85" i="48"/>
  <c r="U85" i="48"/>
  <c r="T85" i="48"/>
  <c r="S85" i="48"/>
  <c r="R85" i="48"/>
  <c r="Q85" i="48"/>
  <c r="P85" i="48"/>
  <c r="O85" i="48"/>
  <c r="N85" i="48"/>
  <c r="M85" i="48"/>
  <c r="L85" i="48"/>
  <c r="K85" i="48"/>
  <c r="AE84" i="48"/>
  <c r="AD84" i="48"/>
  <c r="AC84" i="48" s="1"/>
  <c r="AB84" i="48"/>
  <c r="AF84" i="48" s="1"/>
  <c r="AA84" i="48"/>
  <c r="Z84" i="48"/>
  <c r="Y84" i="48"/>
  <c r="X84" i="48"/>
  <c r="W84" i="48"/>
  <c r="V84" i="48"/>
  <c r="U84" i="48"/>
  <c r="T84" i="48"/>
  <c r="S84" i="48"/>
  <c r="R84" i="48"/>
  <c r="Q84" i="48"/>
  <c r="P84" i="48"/>
  <c r="O84" i="48"/>
  <c r="N84" i="48"/>
  <c r="M84" i="48"/>
  <c r="L84" i="48"/>
  <c r="K84" i="48"/>
  <c r="AE83" i="48"/>
  <c r="AD83" i="48"/>
  <c r="AB83" i="48"/>
  <c r="AF83" i="48" s="1"/>
  <c r="AA83" i="48"/>
  <c r="Z83" i="48"/>
  <c r="Y83" i="48"/>
  <c r="X83" i="48"/>
  <c r="W83" i="48"/>
  <c r="V83" i="48"/>
  <c r="U83" i="48"/>
  <c r="T83" i="48"/>
  <c r="S83" i="48"/>
  <c r="R83" i="48"/>
  <c r="Q83" i="48"/>
  <c r="P83" i="48"/>
  <c r="O83" i="48"/>
  <c r="N83" i="48"/>
  <c r="M83" i="48"/>
  <c r="L83" i="48"/>
  <c r="K83" i="48"/>
  <c r="AE82" i="48"/>
  <c r="AD82" i="48"/>
  <c r="AC82" i="48" s="1"/>
  <c r="AB82" i="48"/>
  <c r="AF82" i="48" s="1"/>
  <c r="AA82" i="48"/>
  <c r="Z82" i="48"/>
  <c r="Y82" i="48"/>
  <c r="X82" i="48"/>
  <c r="W82" i="48"/>
  <c r="V82" i="48"/>
  <c r="U82" i="48"/>
  <c r="T82" i="48"/>
  <c r="S82" i="48"/>
  <c r="R82" i="48"/>
  <c r="Q82" i="48"/>
  <c r="P82" i="48"/>
  <c r="O82" i="48"/>
  <c r="N82" i="48"/>
  <c r="M82" i="48"/>
  <c r="L82" i="48"/>
  <c r="K82" i="48"/>
  <c r="AE81" i="48"/>
  <c r="AD81" i="48"/>
  <c r="AC81" i="48" s="1"/>
  <c r="AB81" i="48"/>
  <c r="AF81" i="48" s="1"/>
  <c r="AA81" i="48"/>
  <c r="Z81" i="48"/>
  <c r="Y81" i="48"/>
  <c r="X81" i="48"/>
  <c r="W81" i="48"/>
  <c r="V81" i="48"/>
  <c r="U81" i="48"/>
  <c r="T81" i="48"/>
  <c r="S81" i="48"/>
  <c r="R81" i="48"/>
  <c r="Q81" i="48"/>
  <c r="P81" i="48"/>
  <c r="O81" i="48"/>
  <c r="N81" i="48"/>
  <c r="M81" i="48"/>
  <c r="L81" i="48"/>
  <c r="K81" i="48"/>
  <c r="AF80" i="48"/>
  <c r="AE80" i="48"/>
  <c r="AD80" i="48"/>
  <c r="AC80" i="48" s="1"/>
  <c r="AB80" i="48"/>
  <c r="AA80" i="48"/>
  <c r="Z80" i="48"/>
  <c r="Y80" i="48"/>
  <c r="X80" i="48"/>
  <c r="W80" i="48"/>
  <c r="V80" i="48"/>
  <c r="U80" i="48"/>
  <c r="T80" i="48"/>
  <c r="S80" i="48"/>
  <c r="R80" i="48"/>
  <c r="Q80" i="48"/>
  <c r="P80" i="48"/>
  <c r="O80" i="48"/>
  <c r="N80" i="48"/>
  <c r="M80" i="48"/>
  <c r="L80" i="48"/>
  <c r="K80" i="48"/>
  <c r="AE79" i="48"/>
  <c r="AD79" i="48"/>
  <c r="AC79" i="48" s="1"/>
  <c r="AB79" i="48"/>
  <c r="AF79" i="48" s="1"/>
  <c r="AA79" i="48"/>
  <c r="Z79" i="48"/>
  <c r="Y79" i="48"/>
  <c r="X79" i="48"/>
  <c r="W79" i="48"/>
  <c r="V79" i="48"/>
  <c r="U79" i="48"/>
  <c r="T79" i="48"/>
  <c r="S79" i="48"/>
  <c r="R79" i="48"/>
  <c r="Q79" i="48"/>
  <c r="P79" i="48"/>
  <c r="O79" i="48"/>
  <c r="N79" i="48"/>
  <c r="M79" i="48"/>
  <c r="L79" i="48"/>
  <c r="K79" i="48"/>
  <c r="AE78" i="48"/>
  <c r="AD78" i="48"/>
  <c r="AC78" i="48"/>
  <c r="AB78" i="48"/>
  <c r="AF78" i="48" s="1"/>
  <c r="AA78" i="48"/>
  <c r="Z78" i="48"/>
  <c r="Y78" i="48"/>
  <c r="X78" i="48"/>
  <c r="W78" i="48"/>
  <c r="V78" i="48"/>
  <c r="U78" i="48"/>
  <c r="T78" i="48"/>
  <c r="S78" i="48"/>
  <c r="R78" i="48"/>
  <c r="Q78" i="48"/>
  <c r="P78" i="48"/>
  <c r="O78" i="48"/>
  <c r="N78" i="48"/>
  <c r="M78" i="48"/>
  <c r="L78" i="48"/>
  <c r="K78" i="48"/>
  <c r="AE77" i="48"/>
  <c r="AD77" i="48"/>
  <c r="AB77" i="48"/>
  <c r="AF77" i="48" s="1"/>
  <c r="AA77" i="48"/>
  <c r="Z77" i="48"/>
  <c r="Y77" i="48"/>
  <c r="X77" i="48"/>
  <c r="W77" i="48"/>
  <c r="V77" i="48"/>
  <c r="U77" i="48"/>
  <c r="T77" i="48"/>
  <c r="S77" i="48"/>
  <c r="R77" i="48"/>
  <c r="Q77" i="48"/>
  <c r="P77" i="48"/>
  <c r="O77" i="48"/>
  <c r="N77" i="48"/>
  <c r="M77" i="48"/>
  <c r="L77" i="48"/>
  <c r="K77" i="48"/>
  <c r="AE76" i="48"/>
  <c r="AD76" i="48"/>
  <c r="AC76" i="48" s="1"/>
  <c r="AB76" i="48"/>
  <c r="AF76" i="48" s="1"/>
  <c r="AA76" i="48"/>
  <c r="Z76" i="48"/>
  <c r="Y76" i="48"/>
  <c r="X76" i="48"/>
  <c r="W76" i="48"/>
  <c r="V76" i="48"/>
  <c r="U76" i="48"/>
  <c r="T76" i="48"/>
  <c r="S76" i="48"/>
  <c r="R76" i="48"/>
  <c r="Q76" i="48"/>
  <c r="P76" i="48"/>
  <c r="O76" i="48"/>
  <c r="N76" i="48"/>
  <c r="M76" i="48"/>
  <c r="L76" i="48"/>
  <c r="K76" i="48"/>
  <c r="AE75" i="48"/>
  <c r="AD75" i="48"/>
  <c r="AC75" i="48" s="1"/>
  <c r="AB75" i="48"/>
  <c r="AF75" i="48" s="1"/>
  <c r="AA75" i="48"/>
  <c r="Z75" i="48"/>
  <c r="Y75" i="48"/>
  <c r="X75" i="48"/>
  <c r="W75" i="48"/>
  <c r="V75" i="48"/>
  <c r="U75" i="48"/>
  <c r="T75" i="48"/>
  <c r="S75" i="48"/>
  <c r="R75" i="48"/>
  <c r="Q75" i="48"/>
  <c r="P75" i="48"/>
  <c r="O75" i="48"/>
  <c r="N75" i="48"/>
  <c r="M75" i="48"/>
  <c r="L75" i="48"/>
  <c r="K75" i="48"/>
  <c r="AE74" i="48"/>
  <c r="AD74" i="48"/>
  <c r="AC74" i="48" s="1"/>
  <c r="AB74" i="48"/>
  <c r="AF74" i="48" s="1"/>
  <c r="AA74" i="48"/>
  <c r="Z74" i="48"/>
  <c r="Y74" i="48"/>
  <c r="X74" i="48"/>
  <c r="W74" i="48"/>
  <c r="V74" i="48"/>
  <c r="U74" i="48"/>
  <c r="T74" i="48"/>
  <c r="S74" i="48"/>
  <c r="R74" i="48"/>
  <c r="Q74" i="48"/>
  <c r="P74" i="48"/>
  <c r="O74" i="48"/>
  <c r="N74" i="48"/>
  <c r="M74" i="48"/>
  <c r="L74" i="48"/>
  <c r="K74" i="48"/>
  <c r="AE73" i="48"/>
  <c r="AD73" i="48"/>
  <c r="AC73" i="48" s="1"/>
  <c r="AB73" i="48"/>
  <c r="AF73" i="48" s="1"/>
  <c r="AA73" i="48"/>
  <c r="Z73" i="48"/>
  <c r="Y73" i="48"/>
  <c r="X73" i="48"/>
  <c r="W73" i="48"/>
  <c r="V73" i="48"/>
  <c r="U73" i="48"/>
  <c r="T73" i="48"/>
  <c r="S73" i="48"/>
  <c r="R73" i="48"/>
  <c r="Q73" i="48"/>
  <c r="P73" i="48"/>
  <c r="O73" i="48"/>
  <c r="N73" i="48"/>
  <c r="M73" i="48"/>
  <c r="L73" i="48"/>
  <c r="K73" i="48"/>
  <c r="AE72" i="48"/>
  <c r="AD72" i="48"/>
  <c r="AC72" i="48" s="1"/>
  <c r="AB72" i="48"/>
  <c r="AF72" i="48" s="1"/>
  <c r="AA72" i="48"/>
  <c r="Z72" i="48"/>
  <c r="Y72" i="48"/>
  <c r="X72" i="48"/>
  <c r="W72" i="48"/>
  <c r="V72" i="48"/>
  <c r="U72" i="48"/>
  <c r="T72" i="48"/>
  <c r="S72" i="48"/>
  <c r="R72" i="48"/>
  <c r="Q72" i="48"/>
  <c r="P72" i="48"/>
  <c r="O72" i="48"/>
  <c r="N72" i="48"/>
  <c r="M72" i="48"/>
  <c r="L72" i="48"/>
  <c r="K72" i="48"/>
  <c r="AF71" i="48"/>
  <c r="AE71" i="48"/>
  <c r="AD71" i="48"/>
  <c r="AC71" i="48" s="1"/>
  <c r="AB71" i="48"/>
  <c r="AA71" i="48"/>
  <c r="Z71" i="48"/>
  <c r="Y71" i="48"/>
  <c r="X71" i="48"/>
  <c r="W71" i="48"/>
  <c r="V71" i="48"/>
  <c r="U71" i="48"/>
  <c r="T71" i="48"/>
  <c r="S71" i="48"/>
  <c r="R71" i="48"/>
  <c r="Q71" i="48"/>
  <c r="P71" i="48"/>
  <c r="O71" i="48"/>
  <c r="N71" i="48"/>
  <c r="M71" i="48"/>
  <c r="L71" i="48"/>
  <c r="K71" i="48"/>
  <c r="AE70" i="48"/>
  <c r="AD70" i="48"/>
  <c r="AC70" i="48" s="1"/>
  <c r="AB70" i="48"/>
  <c r="AF70" i="48" s="1"/>
  <c r="AA70" i="48"/>
  <c r="Z70" i="48"/>
  <c r="Y70" i="48"/>
  <c r="X70" i="48"/>
  <c r="W70" i="48"/>
  <c r="V70" i="48"/>
  <c r="U70" i="48"/>
  <c r="T70" i="48"/>
  <c r="S70" i="48"/>
  <c r="R70" i="48"/>
  <c r="Q70" i="48"/>
  <c r="P70" i="48"/>
  <c r="O70" i="48"/>
  <c r="N70" i="48"/>
  <c r="M70" i="48"/>
  <c r="L70" i="48"/>
  <c r="K70" i="48"/>
  <c r="AE69" i="48"/>
  <c r="AD69" i="48"/>
  <c r="AB69" i="48"/>
  <c r="AF69" i="48" s="1"/>
  <c r="AA69" i="48"/>
  <c r="Z69" i="48"/>
  <c r="Y69" i="48"/>
  <c r="X69" i="48"/>
  <c r="W69" i="48"/>
  <c r="V69" i="48"/>
  <c r="U69" i="48"/>
  <c r="T69" i="48"/>
  <c r="S69" i="48"/>
  <c r="R69" i="48"/>
  <c r="Q69" i="48"/>
  <c r="P69" i="48"/>
  <c r="O69" i="48"/>
  <c r="N69" i="48"/>
  <c r="M69" i="48"/>
  <c r="L69" i="48"/>
  <c r="K69" i="48"/>
  <c r="AE68" i="48"/>
  <c r="AD68" i="48"/>
  <c r="AB68" i="48"/>
  <c r="AF68" i="48" s="1"/>
  <c r="AA68" i="48"/>
  <c r="Z68" i="48"/>
  <c r="Y68" i="48"/>
  <c r="X68" i="48"/>
  <c r="W68" i="48"/>
  <c r="V68" i="48"/>
  <c r="U68" i="48"/>
  <c r="T68" i="48"/>
  <c r="S68" i="48"/>
  <c r="R68" i="48"/>
  <c r="Q68" i="48"/>
  <c r="P68" i="48"/>
  <c r="O68" i="48"/>
  <c r="N68" i="48"/>
  <c r="M68" i="48"/>
  <c r="L68" i="48"/>
  <c r="K68" i="48"/>
  <c r="AE67" i="48"/>
  <c r="AD67" i="48"/>
  <c r="AB67" i="48"/>
  <c r="AF67" i="48" s="1"/>
  <c r="AA67" i="48"/>
  <c r="Z67" i="48"/>
  <c r="Y67" i="48"/>
  <c r="X67" i="48"/>
  <c r="W67" i="48"/>
  <c r="V67" i="48"/>
  <c r="U67" i="48"/>
  <c r="T67" i="48"/>
  <c r="S67" i="48"/>
  <c r="R67" i="48"/>
  <c r="Q67" i="48"/>
  <c r="P67" i="48"/>
  <c r="O67" i="48"/>
  <c r="N67" i="48"/>
  <c r="M67" i="48"/>
  <c r="L67" i="48"/>
  <c r="K67" i="48"/>
  <c r="AE66" i="48"/>
  <c r="AC66" i="48" s="1"/>
  <c r="AD66" i="48"/>
  <c r="AB66" i="48"/>
  <c r="AF66" i="48" s="1"/>
  <c r="AA66" i="48"/>
  <c r="Z66" i="48"/>
  <c r="Y66" i="48"/>
  <c r="X66" i="48"/>
  <c r="W66" i="48"/>
  <c r="V66" i="48"/>
  <c r="U66" i="48"/>
  <c r="T66" i="48"/>
  <c r="S66" i="48"/>
  <c r="R66" i="48"/>
  <c r="Q66" i="48"/>
  <c r="P66" i="48"/>
  <c r="O66" i="48"/>
  <c r="N66" i="48"/>
  <c r="M66" i="48"/>
  <c r="L66" i="48"/>
  <c r="K66" i="48"/>
  <c r="AE65" i="48"/>
  <c r="AD65" i="48"/>
  <c r="AC65" i="48" s="1"/>
  <c r="AB65" i="48"/>
  <c r="AF65" i="48" s="1"/>
  <c r="AA65" i="48"/>
  <c r="Z65" i="48"/>
  <c r="Y65" i="48"/>
  <c r="X65" i="48"/>
  <c r="W65" i="48"/>
  <c r="V65" i="48"/>
  <c r="U65" i="48"/>
  <c r="T65" i="48"/>
  <c r="S65" i="48"/>
  <c r="R65" i="48"/>
  <c r="Q65" i="48"/>
  <c r="P65" i="48"/>
  <c r="O65" i="48"/>
  <c r="N65" i="48"/>
  <c r="M65" i="48"/>
  <c r="L65" i="48"/>
  <c r="K65" i="48"/>
  <c r="AE64" i="48"/>
  <c r="AD64" i="48"/>
  <c r="AC64" i="48" s="1"/>
  <c r="AB64" i="48"/>
  <c r="AF64" i="48" s="1"/>
  <c r="AA64" i="48"/>
  <c r="Z64" i="48"/>
  <c r="Y64" i="48"/>
  <c r="X64" i="48"/>
  <c r="W64" i="48"/>
  <c r="V64" i="48"/>
  <c r="U64" i="48"/>
  <c r="T64" i="48"/>
  <c r="S64" i="48"/>
  <c r="R64" i="48"/>
  <c r="Q64" i="48"/>
  <c r="P64" i="48"/>
  <c r="O64" i="48"/>
  <c r="N64" i="48"/>
  <c r="M64" i="48"/>
  <c r="L64" i="48"/>
  <c r="K64" i="48"/>
  <c r="AE63" i="48"/>
  <c r="AD63" i="48"/>
  <c r="AB63" i="48"/>
  <c r="AF63" i="48" s="1"/>
  <c r="AA63" i="48"/>
  <c r="Z63" i="48"/>
  <c r="Y63" i="48"/>
  <c r="X63" i="48"/>
  <c r="W63" i="48"/>
  <c r="V63" i="48"/>
  <c r="U63" i="48"/>
  <c r="T63" i="48"/>
  <c r="S63" i="48"/>
  <c r="R63" i="48"/>
  <c r="Q63" i="48"/>
  <c r="P63" i="48"/>
  <c r="O63" i="48"/>
  <c r="N63" i="48"/>
  <c r="M63" i="48"/>
  <c r="L63" i="48"/>
  <c r="K63" i="48"/>
  <c r="AE62" i="48"/>
  <c r="AD62" i="48"/>
  <c r="AC62" i="48" s="1"/>
  <c r="AB62" i="48"/>
  <c r="AF62" i="48" s="1"/>
  <c r="AA62" i="48"/>
  <c r="Z62" i="48"/>
  <c r="Y62" i="48"/>
  <c r="X62" i="48"/>
  <c r="W62" i="48"/>
  <c r="V62" i="48"/>
  <c r="U62" i="48"/>
  <c r="T62" i="48"/>
  <c r="S62" i="48"/>
  <c r="R62" i="48"/>
  <c r="Q62" i="48"/>
  <c r="P62" i="48"/>
  <c r="O62" i="48"/>
  <c r="N62" i="48"/>
  <c r="M62" i="48"/>
  <c r="L62" i="48"/>
  <c r="K62" i="48"/>
  <c r="AE61" i="48"/>
  <c r="AD61" i="48"/>
  <c r="AC61" i="48" s="1"/>
  <c r="AB61" i="48"/>
  <c r="AF61" i="48" s="1"/>
  <c r="AA61" i="48"/>
  <c r="Z61" i="48"/>
  <c r="Y61" i="48"/>
  <c r="X61" i="48"/>
  <c r="W61" i="48"/>
  <c r="V61" i="48"/>
  <c r="U61" i="48"/>
  <c r="T61" i="48"/>
  <c r="S61" i="48"/>
  <c r="R61" i="48"/>
  <c r="Q61" i="48"/>
  <c r="P61" i="48"/>
  <c r="O61" i="48"/>
  <c r="N61" i="48"/>
  <c r="M61" i="48"/>
  <c r="L61" i="48"/>
  <c r="K61" i="48"/>
  <c r="AE60" i="48"/>
  <c r="AD60" i="48"/>
  <c r="AC60" i="48" s="1"/>
  <c r="AB60" i="48"/>
  <c r="AF60" i="48" s="1"/>
  <c r="AA60" i="48"/>
  <c r="Z60" i="48"/>
  <c r="Y60" i="48"/>
  <c r="X60" i="48"/>
  <c r="W60" i="48"/>
  <c r="V60" i="48"/>
  <c r="U60" i="48"/>
  <c r="T60" i="48"/>
  <c r="S60" i="48"/>
  <c r="R60" i="48"/>
  <c r="Q60" i="48"/>
  <c r="P60" i="48"/>
  <c r="O60" i="48"/>
  <c r="N60" i="48"/>
  <c r="M60" i="48"/>
  <c r="L60" i="48"/>
  <c r="K60" i="48"/>
  <c r="AE59" i="48"/>
  <c r="AD59" i="48"/>
  <c r="AB59" i="48"/>
  <c r="AF59" i="48" s="1"/>
  <c r="AA59" i="48"/>
  <c r="Z59" i="48"/>
  <c r="Y59" i="48"/>
  <c r="X59" i="48"/>
  <c r="W59" i="48"/>
  <c r="V59" i="48"/>
  <c r="U59" i="48"/>
  <c r="T59" i="48"/>
  <c r="S59" i="48"/>
  <c r="R59" i="48"/>
  <c r="Q59" i="48"/>
  <c r="P59" i="48"/>
  <c r="O59" i="48"/>
  <c r="N59" i="48"/>
  <c r="M59" i="48"/>
  <c r="L59" i="48"/>
  <c r="K59" i="48"/>
  <c r="AE58" i="48"/>
  <c r="AD58" i="48"/>
  <c r="AC58" i="48" s="1"/>
  <c r="AB58" i="48"/>
  <c r="AF58" i="48" s="1"/>
  <c r="AA58" i="48"/>
  <c r="Z58" i="48"/>
  <c r="Y58" i="48"/>
  <c r="X58" i="48"/>
  <c r="W58" i="48"/>
  <c r="V58" i="48"/>
  <c r="U58" i="48"/>
  <c r="T58" i="48"/>
  <c r="S58" i="48"/>
  <c r="R58" i="48"/>
  <c r="Q58" i="48"/>
  <c r="P58" i="48"/>
  <c r="O58" i="48"/>
  <c r="N58" i="48"/>
  <c r="M58" i="48"/>
  <c r="L58" i="48"/>
  <c r="K58" i="48"/>
  <c r="AE57" i="48"/>
  <c r="AD57" i="48"/>
  <c r="AC57" i="48" s="1"/>
  <c r="AB57" i="48"/>
  <c r="AF57" i="48" s="1"/>
  <c r="AA57" i="48"/>
  <c r="Z57" i="48"/>
  <c r="Y57" i="48"/>
  <c r="X57" i="48"/>
  <c r="W57" i="48"/>
  <c r="V57" i="48"/>
  <c r="U57" i="48"/>
  <c r="T57" i="48"/>
  <c r="S57" i="48"/>
  <c r="R57" i="48"/>
  <c r="Q57" i="48"/>
  <c r="P57" i="48"/>
  <c r="O57" i="48"/>
  <c r="N57" i="48"/>
  <c r="M57" i="48"/>
  <c r="L57" i="48"/>
  <c r="K57" i="48"/>
  <c r="AE56" i="48"/>
  <c r="AD56" i="48"/>
  <c r="AC56" i="48" s="1"/>
  <c r="AB56" i="48"/>
  <c r="AF56" i="48" s="1"/>
  <c r="AA56" i="48"/>
  <c r="Z56" i="48"/>
  <c r="Y56" i="48"/>
  <c r="X56" i="48"/>
  <c r="W56" i="48"/>
  <c r="V56" i="48"/>
  <c r="U56" i="48"/>
  <c r="T56" i="48"/>
  <c r="S56" i="48"/>
  <c r="R56" i="48"/>
  <c r="Q56" i="48"/>
  <c r="P56" i="48"/>
  <c r="O56" i="48"/>
  <c r="N56" i="48"/>
  <c r="M56" i="48"/>
  <c r="L56" i="48"/>
  <c r="K56" i="48"/>
  <c r="AF55" i="48"/>
  <c r="AE55" i="48"/>
  <c r="AD55" i="48"/>
  <c r="AC55" i="48" s="1"/>
  <c r="AB55" i="48"/>
  <c r="AA55" i="48"/>
  <c r="Z55" i="48"/>
  <c r="Y55" i="48"/>
  <c r="X55" i="48"/>
  <c r="W55" i="48"/>
  <c r="V55" i="48"/>
  <c r="U55" i="48"/>
  <c r="T55" i="48"/>
  <c r="S55" i="48"/>
  <c r="R55" i="48"/>
  <c r="Q55" i="48"/>
  <c r="P55" i="48"/>
  <c r="O55" i="48"/>
  <c r="N55" i="48"/>
  <c r="M55" i="48"/>
  <c r="L55" i="48"/>
  <c r="K55" i="48"/>
  <c r="AE54" i="48"/>
  <c r="AD54" i="48"/>
  <c r="AC54" i="48" s="1"/>
  <c r="AB54" i="48"/>
  <c r="AF54" i="48" s="1"/>
  <c r="AA54" i="48"/>
  <c r="Z54" i="48"/>
  <c r="Y54" i="48"/>
  <c r="X54" i="48"/>
  <c r="W54" i="48"/>
  <c r="V54" i="48"/>
  <c r="U54" i="48"/>
  <c r="T54" i="48"/>
  <c r="S54" i="48"/>
  <c r="R54" i="48"/>
  <c r="Q54" i="48"/>
  <c r="P54" i="48"/>
  <c r="O54" i="48"/>
  <c r="N54" i="48"/>
  <c r="M54" i="48"/>
  <c r="L54" i="48"/>
  <c r="K54" i="48"/>
  <c r="AE53" i="48"/>
  <c r="AD53" i="48"/>
  <c r="AC53" i="48" s="1"/>
  <c r="AB53" i="48"/>
  <c r="AF53" i="48" s="1"/>
  <c r="AA53" i="48"/>
  <c r="Z53" i="48"/>
  <c r="Y53" i="48"/>
  <c r="X53" i="48"/>
  <c r="W53" i="48"/>
  <c r="V53" i="48"/>
  <c r="U53" i="48"/>
  <c r="T53" i="48"/>
  <c r="S53" i="48"/>
  <c r="R53" i="48"/>
  <c r="Q53" i="48"/>
  <c r="P53" i="48"/>
  <c r="O53" i="48"/>
  <c r="N53" i="48"/>
  <c r="M53" i="48"/>
  <c r="L53" i="48"/>
  <c r="K53" i="48"/>
  <c r="AE52" i="48"/>
  <c r="AD52" i="48"/>
  <c r="AB52" i="48"/>
  <c r="AF52" i="48" s="1"/>
  <c r="AA52" i="48"/>
  <c r="Z52" i="48"/>
  <c r="Y52" i="48"/>
  <c r="X52" i="48"/>
  <c r="W52" i="48"/>
  <c r="V52" i="48"/>
  <c r="U52" i="48"/>
  <c r="T52" i="48"/>
  <c r="S52" i="48"/>
  <c r="R52" i="48"/>
  <c r="Q52" i="48"/>
  <c r="P52" i="48"/>
  <c r="O52" i="48"/>
  <c r="N52" i="48"/>
  <c r="M52" i="48"/>
  <c r="L52" i="48"/>
  <c r="K52" i="48"/>
  <c r="AE51" i="48"/>
  <c r="AD51" i="48"/>
  <c r="AC51" i="48" s="1"/>
  <c r="AB51" i="48"/>
  <c r="AF51" i="48" s="1"/>
  <c r="AA51" i="48"/>
  <c r="Z51" i="48"/>
  <c r="Y51" i="48"/>
  <c r="X51" i="48"/>
  <c r="W51" i="48"/>
  <c r="V51" i="48"/>
  <c r="U51" i="48"/>
  <c r="T51" i="48"/>
  <c r="S51" i="48"/>
  <c r="R51" i="48"/>
  <c r="Q51" i="48"/>
  <c r="P51" i="48"/>
  <c r="O51" i="48"/>
  <c r="N51" i="48"/>
  <c r="M51" i="48"/>
  <c r="L51" i="48"/>
  <c r="K51" i="48"/>
  <c r="AE50" i="48"/>
  <c r="AD50" i="48"/>
  <c r="AC50" i="48" s="1"/>
  <c r="AB50" i="48"/>
  <c r="AF50" i="48" s="1"/>
  <c r="AA50" i="48"/>
  <c r="Z50" i="48"/>
  <c r="Y50" i="48"/>
  <c r="X50" i="48"/>
  <c r="W50" i="48"/>
  <c r="V50" i="48"/>
  <c r="U50" i="48"/>
  <c r="T50" i="48"/>
  <c r="S50" i="48"/>
  <c r="R50" i="48"/>
  <c r="Q50" i="48"/>
  <c r="P50" i="48"/>
  <c r="O50" i="48"/>
  <c r="N50" i="48"/>
  <c r="M50" i="48"/>
  <c r="L50" i="48"/>
  <c r="K50" i="48"/>
  <c r="AE49" i="48"/>
  <c r="AD49" i="48"/>
  <c r="AC49" i="48" s="1"/>
  <c r="AB49" i="48"/>
  <c r="AF49" i="48" s="1"/>
  <c r="AA49" i="48"/>
  <c r="Z49" i="48"/>
  <c r="Y49" i="48"/>
  <c r="X49" i="48"/>
  <c r="W49" i="48"/>
  <c r="V49" i="48"/>
  <c r="U49" i="48"/>
  <c r="T49" i="48"/>
  <c r="S49" i="48"/>
  <c r="R49" i="48"/>
  <c r="Q49" i="48"/>
  <c r="P49" i="48"/>
  <c r="O49" i="48"/>
  <c r="N49" i="48"/>
  <c r="M49" i="48"/>
  <c r="L49" i="48"/>
  <c r="K49" i="48"/>
  <c r="AF48" i="48"/>
  <c r="AE48" i="48"/>
  <c r="AD48" i="48"/>
  <c r="AC48" i="48" s="1"/>
  <c r="AB48" i="48"/>
  <c r="AA48" i="48"/>
  <c r="Z48" i="48"/>
  <c r="Y48" i="48"/>
  <c r="X48" i="48"/>
  <c r="W48" i="48"/>
  <c r="V48" i="48"/>
  <c r="U48" i="48"/>
  <c r="T48" i="48"/>
  <c r="S48" i="48"/>
  <c r="R48" i="48"/>
  <c r="Q48" i="48"/>
  <c r="P48" i="48"/>
  <c r="O48" i="48"/>
  <c r="N48" i="48"/>
  <c r="M48" i="48"/>
  <c r="L48" i="48"/>
  <c r="K48" i="48"/>
  <c r="AF47" i="48"/>
  <c r="AE47" i="48"/>
  <c r="AD47" i="48"/>
  <c r="AB47" i="48"/>
  <c r="AA47" i="48"/>
  <c r="Z47" i="48"/>
  <c r="Y47" i="48"/>
  <c r="X47" i="48"/>
  <c r="W47" i="48"/>
  <c r="V47" i="48"/>
  <c r="U47" i="48"/>
  <c r="T47" i="48"/>
  <c r="S47" i="48"/>
  <c r="R47" i="48"/>
  <c r="Q47" i="48"/>
  <c r="P47" i="48"/>
  <c r="O47" i="48"/>
  <c r="N47" i="48"/>
  <c r="M47" i="48"/>
  <c r="L47" i="48"/>
  <c r="K47" i="48"/>
  <c r="AE46" i="48"/>
  <c r="AD46" i="48"/>
  <c r="AC46" i="48" s="1"/>
  <c r="AB46" i="48"/>
  <c r="AF46" i="48" s="1"/>
  <c r="AA46" i="48"/>
  <c r="Z46" i="48"/>
  <c r="Y46" i="48"/>
  <c r="X46" i="48"/>
  <c r="W46" i="48"/>
  <c r="V46" i="48"/>
  <c r="U46" i="48"/>
  <c r="T46" i="48"/>
  <c r="S46" i="48"/>
  <c r="R46" i="48"/>
  <c r="Q46" i="48"/>
  <c r="P46" i="48"/>
  <c r="O46" i="48"/>
  <c r="N46" i="48"/>
  <c r="M46" i="48"/>
  <c r="L46" i="48"/>
  <c r="K46" i="48"/>
  <c r="AE45" i="48"/>
  <c r="AD45" i="48"/>
  <c r="AB45" i="48"/>
  <c r="AF45" i="48" s="1"/>
  <c r="AA45" i="48"/>
  <c r="Z45" i="48"/>
  <c r="Y45" i="48"/>
  <c r="X45" i="48"/>
  <c r="W45" i="48"/>
  <c r="V45" i="48"/>
  <c r="U45" i="48"/>
  <c r="T45" i="48"/>
  <c r="S45" i="48"/>
  <c r="R45" i="48"/>
  <c r="Q45" i="48"/>
  <c r="P45" i="48"/>
  <c r="O45" i="48"/>
  <c r="N45" i="48"/>
  <c r="M45" i="48"/>
  <c r="L45" i="48"/>
  <c r="K45" i="48"/>
  <c r="AF44" i="48"/>
  <c r="AE44" i="48"/>
  <c r="AD44" i="48"/>
  <c r="AB44" i="48"/>
  <c r="AA44" i="48"/>
  <c r="Z44" i="48"/>
  <c r="Y44" i="48"/>
  <c r="X44" i="48"/>
  <c r="W44" i="48"/>
  <c r="V44" i="48"/>
  <c r="U44" i="48"/>
  <c r="T44" i="48"/>
  <c r="S44" i="48"/>
  <c r="R44" i="48"/>
  <c r="Q44" i="48"/>
  <c r="P44" i="48"/>
  <c r="O44" i="48"/>
  <c r="N44" i="48"/>
  <c r="M44" i="48"/>
  <c r="L44" i="48"/>
  <c r="K44" i="48"/>
  <c r="AE43" i="48"/>
  <c r="AD43" i="48"/>
  <c r="AC43" i="48" s="1"/>
  <c r="AB43" i="48"/>
  <c r="AF43" i="48" s="1"/>
  <c r="AA43" i="48"/>
  <c r="Z43" i="48"/>
  <c r="Y43" i="48"/>
  <c r="X43" i="48"/>
  <c r="W43" i="48"/>
  <c r="V43" i="48"/>
  <c r="U43" i="48"/>
  <c r="T43" i="48"/>
  <c r="S43" i="48"/>
  <c r="R43" i="48"/>
  <c r="Q43" i="48"/>
  <c r="P43" i="48"/>
  <c r="O43" i="48"/>
  <c r="N43" i="48"/>
  <c r="M43" i="48"/>
  <c r="L43" i="48"/>
  <c r="K43" i="48"/>
  <c r="AE42" i="48"/>
  <c r="AD42" i="48"/>
  <c r="AC42" i="48" s="1"/>
  <c r="AB42" i="48"/>
  <c r="AF42" i="48" s="1"/>
  <c r="AA42" i="48"/>
  <c r="Z42" i="48"/>
  <c r="Y42" i="48"/>
  <c r="X42" i="48"/>
  <c r="W42" i="48"/>
  <c r="V42" i="48"/>
  <c r="U42" i="48"/>
  <c r="T42" i="48"/>
  <c r="S42" i="48"/>
  <c r="R42" i="48"/>
  <c r="Q42" i="48"/>
  <c r="P42" i="48"/>
  <c r="O42" i="48"/>
  <c r="N42" i="48"/>
  <c r="M42" i="48"/>
  <c r="L42" i="48"/>
  <c r="K42" i="48"/>
  <c r="AE41" i="48"/>
  <c r="AD41" i="48"/>
  <c r="AC41" i="48" s="1"/>
  <c r="AB41" i="48"/>
  <c r="AF41" i="48" s="1"/>
  <c r="AA41" i="48"/>
  <c r="Z41" i="48"/>
  <c r="Y41" i="48"/>
  <c r="X41" i="48"/>
  <c r="W41" i="48"/>
  <c r="V41" i="48"/>
  <c r="U41" i="48"/>
  <c r="T41" i="48"/>
  <c r="S41" i="48"/>
  <c r="R41" i="48"/>
  <c r="Q41" i="48"/>
  <c r="P41" i="48"/>
  <c r="O41" i="48"/>
  <c r="N41" i="48"/>
  <c r="M41" i="48"/>
  <c r="L41" i="48"/>
  <c r="K41" i="48"/>
  <c r="AE40" i="48"/>
  <c r="AD40" i="48"/>
  <c r="AB40" i="48"/>
  <c r="AF40" i="48" s="1"/>
  <c r="AA40" i="48"/>
  <c r="Z40" i="48"/>
  <c r="Y40" i="48"/>
  <c r="X40" i="48"/>
  <c r="W40" i="48"/>
  <c r="V40" i="48"/>
  <c r="U40" i="48"/>
  <c r="T40" i="48"/>
  <c r="S40" i="48"/>
  <c r="R40" i="48"/>
  <c r="Q40" i="48"/>
  <c r="P40" i="48"/>
  <c r="O40" i="48"/>
  <c r="N40" i="48"/>
  <c r="M40" i="48"/>
  <c r="L40" i="48"/>
  <c r="K40" i="48"/>
  <c r="AF39" i="48"/>
  <c r="AE39" i="48"/>
  <c r="AD39" i="48"/>
  <c r="AB39" i="48"/>
  <c r="AA39" i="48"/>
  <c r="Z39" i="48"/>
  <c r="Y39" i="48"/>
  <c r="X39" i="48"/>
  <c r="W39" i="48"/>
  <c r="V39" i="48"/>
  <c r="U39" i="48"/>
  <c r="T39" i="48"/>
  <c r="S39" i="48"/>
  <c r="R39" i="48"/>
  <c r="Q39" i="48"/>
  <c r="P39" i="48"/>
  <c r="O39" i="48"/>
  <c r="N39" i="48"/>
  <c r="M39" i="48"/>
  <c r="L39" i="48"/>
  <c r="K39" i="48"/>
  <c r="AE38" i="48"/>
  <c r="AC38" i="48" s="1"/>
  <c r="AD38" i="48"/>
  <c r="AB38" i="48"/>
  <c r="AF38" i="48" s="1"/>
  <c r="AA38" i="48"/>
  <c r="Z38" i="48"/>
  <c r="Y38" i="48"/>
  <c r="X38" i="48"/>
  <c r="W38" i="48"/>
  <c r="V38" i="48"/>
  <c r="U38" i="48"/>
  <c r="T38" i="48"/>
  <c r="S38" i="48"/>
  <c r="R38" i="48"/>
  <c r="Q38" i="48"/>
  <c r="P38" i="48"/>
  <c r="O38" i="48"/>
  <c r="N38" i="48"/>
  <c r="M38" i="48"/>
  <c r="L38" i="48"/>
  <c r="K38" i="48"/>
  <c r="AF37" i="48"/>
  <c r="AE37" i="48"/>
  <c r="AD37" i="48"/>
  <c r="AB37" i="48"/>
  <c r="AA37" i="48"/>
  <c r="Z37" i="48"/>
  <c r="Y37" i="48"/>
  <c r="X37" i="48"/>
  <c r="W37" i="48"/>
  <c r="V37" i="48"/>
  <c r="U37" i="48"/>
  <c r="T37" i="48"/>
  <c r="S37" i="48"/>
  <c r="R37" i="48"/>
  <c r="Q37" i="48"/>
  <c r="P37" i="48"/>
  <c r="O37" i="48"/>
  <c r="N37" i="48"/>
  <c r="M37" i="48"/>
  <c r="L37" i="48"/>
  <c r="K37" i="48"/>
  <c r="AE36" i="48"/>
  <c r="AD36" i="48"/>
  <c r="AB36" i="48"/>
  <c r="AF36" i="48" s="1"/>
  <c r="AA36" i="48"/>
  <c r="Z36" i="48"/>
  <c r="Y36" i="48"/>
  <c r="X36" i="48"/>
  <c r="W36" i="48"/>
  <c r="V36" i="48"/>
  <c r="U36" i="48"/>
  <c r="T36" i="48"/>
  <c r="S36" i="48"/>
  <c r="R36" i="48"/>
  <c r="Q36" i="48"/>
  <c r="P36" i="48"/>
  <c r="O36" i="48"/>
  <c r="N36" i="48"/>
  <c r="M36" i="48"/>
  <c r="L36" i="48"/>
  <c r="K36" i="48"/>
  <c r="AE35" i="48"/>
  <c r="AD35" i="48"/>
  <c r="AC35" i="48" s="1"/>
  <c r="AB35" i="48"/>
  <c r="AF35" i="48" s="1"/>
  <c r="AA35" i="48"/>
  <c r="Z35" i="48"/>
  <c r="Y35" i="48"/>
  <c r="X35" i="48"/>
  <c r="W35" i="48"/>
  <c r="V35" i="48"/>
  <c r="U35" i="48"/>
  <c r="T35" i="48"/>
  <c r="S35" i="48"/>
  <c r="R35" i="48"/>
  <c r="Q35" i="48"/>
  <c r="P35" i="48"/>
  <c r="O35" i="48"/>
  <c r="N35" i="48"/>
  <c r="M35" i="48"/>
  <c r="L35" i="48"/>
  <c r="K35" i="48"/>
  <c r="AE34" i="48"/>
  <c r="AD34" i="48"/>
  <c r="AC34" i="48" s="1"/>
  <c r="AB34" i="48"/>
  <c r="AF34" i="48" s="1"/>
  <c r="AA34" i="48"/>
  <c r="Z34" i="48"/>
  <c r="Y34" i="48"/>
  <c r="X34" i="48"/>
  <c r="W34" i="48"/>
  <c r="V34" i="48"/>
  <c r="U34" i="48"/>
  <c r="T34" i="48"/>
  <c r="S34" i="48"/>
  <c r="R34" i="48"/>
  <c r="Q34" i="48"/>
  <c r="P34" i="48"/>
  <c r="O34" i="48"/>
  <c r="N34" i="48"/>
  <c r="M34" i="48"/>
  <c r="L34" i="48"/>
  <c r="K34" i="48"/>
  <c r="AE33" i="48"/>
  <c r="AD33" i="48"/>
  <c r="AC33" i="48" s="1"/>
  <c r="AB33" i="48"/>
  <c r="AF33" i="48" s="1"/>
  <c r="AA33" i="48"/>
  <c r="Z33" i="48"/>
  <c r="Y33" i="48"/>
  <c r="X33" i="48"/>
  <c r="W33" i="48"/>
  <c r="V33" i="48"/>
  <c r="U33" i="48"/>
  <c r="T33" i="48"/>
  <c r="S33" i="48"/>
  <c r="R33" i="48"/>
  <c r="Q33" i="48"/>
  <c r="P33" i="48"/>
  <c r="O33" i="48"/>
  <c r="N33" i="48"/>
  <c r="M33" i="48"/>
  <c r="L33" i="48"/>
  <c r="K33" i="48"/>
  <c r="AE32" i="48"/>
  <c r="AD32" i="48"/>
  <c r="AB32" i="48"/>
  <c r="AF32" i="48" s="1"/>
  <c r="AA32" i="48"/>
  <c r="Z32" i="48"/>
  <c r="Y32" i="48"/>
  <c r="X32" i="48"/>
  <c r="W32" i="48"/>
  <c r="V32" i="48"/>
  <c r="U32" i="48"/>
  <c r="T32" i="48"/>
  <c r="S32" i="48"/>
  <c r="R32" i="48"/>
  <c r="Q32" i="48"/>
  <c r="P32" i="48"/>
  <c r="O32" i="48"/>
  <c r="N32" i="48"/>
  <c r="M32" i="48"/>
  <c r="L32" i="48"/>
  <c r="K32" i="48"/>
  <c r="AE31" i="48"/>
  <c r="AD31" i="48"/>
  <c r="AC31" i="48" s="1"/>
  <c r="AB31" i="48"/>
  <c r="AF31" i="48" s="1"/>
  <c r="AA31" i="48"/>
  <c r="Z31" i="48"/>
  <c r="Y31" i="48"/>
  <c r="X31" i="48"/>
  <c r="W31" i="48"/>
  <c r="V31" i="48"/>
  <c r="U31" i="48"/>
  <c r="T31" i="48"/>
  <c r="S31" i="48"/>
  <c r="R31" i="48"/>
  <c r="Q31" i="48"/>
  <c r="P31" i="48"/>
  <c r="O31" i="48"/>
  <c r="N31" i="48"/>
  <c r="M31" i="48"/>
  <c r="L31" i="48"/>
  <c r="K31" i="48"/>
  <c r="AE30" i="48"/>
  <c r="AD30" i="48"/>
  <c r="AC30" i="48" s="1"/>
  <c r="AB30" i="48"/>
  <c r="AF30" i="48" s="1"/>
  <c r="AA30" i="48"/>
  <c r="Z30" i="48"/>
  <c r="Y30" i="48"/>
  <c r="X30" i="48"/>
  <c r="W30" i="48"/>
  <c r="V30" i="48"/>
  <c r="U30" i="48"/>
  <c r="T30" i="48"/>
  <c r="S30" i="48"/>
  <c r="R30" i="48"/>
  <c r="Q30" i="48"/>
  <c r="P30" i="48"/>
  <c r="O30" i="48"/>
  <c r="N30" i="48"/>
  <c r="M30" i="48"/>
  <c r="L30" i="48"/>
  <c r="K30" i="48"/>
  <c r="AF29" i="48"/>
  <c r="AE29" i="48"/>
  <c r="AD29" i="48"/>
  <c r="AB29" i="48"/>
  <c r="AA29" i="48"/>
  <c r="Z29" i="48"/>
  <c r="Y29" i="48"/>
  <c r="X29" i="48"/>
  <c r="W29" i="48"/>
  <c r="V29" i="48"/>
  <c r="U29" i="48"/>
  <c r="T29" i="48"/>
  <c r="S29" i="48"/>
  <c r="R29" i="48"/>
  <c r="Q29" i="48"/>
  <c r="P29" i="48"/>
  <c r="O29" i="48"/>
  <c r="N29" i="48"/>
  <c r="M29" i="48"/>
  <c r="L29" i="48"/>
  <c r="K29" i="48"/>
  <c r="AF28" i="48"/>
  <c r="AE28" i="48"/>
  <c r="AD28" i="48"/>
  <c r="AC28" i="48" s="1"/>
  <c r="AB28" i="48"/>
  <c r="AA28" i="48"/>
  <c r="Z28" i="48"/>
  <c r="Y28" i="48"/>
  <c r="X28" i="48"/>
  <c r="W28" i="48"/>
  <c r="V28" i="48"/>
  <c r="U28" i="48"/>
  <c r="T28" i="48"/>
  <c r="S28" i="48"/>
  <c r="R28" i="48"/>
  <c r="Q28" i="48"/>
  <c r="P28" i="48"/>
  <c r="O28" i="48"/>
  <c r="N28" i="48"/>
  <c r="M28" i="48"/>
  <c r="L28" i="48"/>
  <c r="K28" i="48"/>
  <c r="AE27" i="48"/>
  <c r="AD27" i="48"/>
  <c r="AC27" i="48" s="1"/>
  <c r="AB27" i="48"/>
  <c r="AF27" i="48" s="1"/>
  <c r="AA27" i="48"/>
  <c r="Z27" i="48"/>
  <c r="Y27" i="48"/>
  <c r="X27" i="48"/>
  <c r="W27" i="48"/>
  <c r="V27" i="48"/>
  <c r="U27" i="48"/>
  <c r="T27" i="48"/>
  <c r="S27" i="48"/>
  <c r="R27" i="48"/>
  <c r="Q27" i="48"/>
  <c r="P27" i="48"/>
  <c r="O27" i="48"/>
  <c r="N27" i="48"/>
  <c r="M27" i="48"/>
  <c r="L27" i="48"/>
  <c r="K27" i="48"/>
  <c r="AE26" i="48"/>
  <c r="AD26" i="48"/>
  <c r="AC26" i="48"/>
  <c r="AB26" i="48"/>
  <c r="AF26" i="48" s="1"/>
  <c r="AA26" i="48"/>
  <c r="Z26" i="48"/>
  <c r="Y26" i="48"/>
  <c r="X26" i="48"/>
  <c r="W26" i="48"/>
  <c r="V26" i="48"/>
  <c r="U26" i="48"/>
  <c r="T26" i="48"/>
  <c r="S26" i="48"/>
  <c r="R26" i="48"/>
  <c r="Q26" i="48"/>
  <c r="P26" i="48"/>
  <c r="O26" i="48"/>
  <c r="N26" i="48"/>
  <c r="M26" i="48"/>
  <c r="L26" i="48"/>
  <c r="K26" i="48"/>
  <c r="AE25" i="48"/>
  <c r="AD25" i="48"/>
  <c r="AC25" i="48"/>
  <c r="AB25" i="48"/>
  <c r="AF25" i="48" s="1"/>
  <c r="AA25" i="48"/>
  <c r="Z25" i="48"/>
  <c r="Y25" i="48"/>
  <c r="X25" i="48"/>
  <c r="W25" i="48"/>
  <c r="V25" i="48"/>
  <c r="U25" i="48"/>
  <c r="T25" i="48"/>
  <c r="S25" i="48"/>
  <c r="R25" i="48"/>
  <c r="Q25" i="48"/>
  <c r="P25" i="48"/>
  <c r="O25" i="48"/>
  <c r="N25" i="48"/>
  <c r="M25" i="48"/>
  <c r="L25" i="48"/>
  <c r="K25" i="48"/>
  <c r="AE24" i="48"/>
  <c r="AD24" i="48"/>
  <c r="AB24" i="48"/>
  <c r="AF24" i="48" s="1"/>
  <c r="AA24" i="48"/>
  <c r="Z24" i="48"/>
  <c r="Y24" i="48"/>
  <c r="X24" i="48"/>
  <c r="W24" i="48"/>
  <c r="V24" i="48"/>
  <c r="U24" i="48"/>
  <c r="T24" i="48"/>
  <c r="S24" i="48"/>
  <c r="R24" i="48"/>
  <c r="Q24" i="48"/>
  <c r="P24" i="48"/>
  <c r="O24" i="48"/>
  <c r="N24" i="48"/>
  <c r="M24" i="48"/>
  <c r="L24" i="48"/>
  <c r="K24" i="48"/>
  <c r="AF23" i="48"/>
  <c r="AE23" i="48"/>
  <c r="AD23" i="48"/>
  <c r="AC23" i="48" s="1"/>
  <c r="AB23" i="48"/>
  <c r="AA23" i="48"/>
  <c r="Z23" i="48"/>
  <c r="Y23" i="48"/>
  <c r="X23" i="48"/>
  <c r="W23" i="48"/>
  <c r="V23" i="48"/>
  <c r="U23" i="48"/>
  <c r="T23" i="48"/>
  <c r="S23" i="48"/>
  <c r="R23" i="48"/>
  <c r="Q23" i="48"/>
  <c r="P23" i="48"/>
  <c r="O23" i="48"/>
  <c r="N23" i="48"/>
  <c r="M23" i="48"/>
  <c r="L23" i="48"/>
  <c r="K23" i="48"/>
  <c r="AE22" i="48"/>
  <c r="AD22" i="48"/>
  <c r="AC22" i="48" s="1"/>
  <c r="AB22" i="48"/>
  <c r="AF22" i="48" s="1"/>
  <c r="AA22" i="48"/>
  <c r="Z22" i="48"/>
  <c r="Y22" i="48"/>
  <c r="X22" i="48"/>
  <c r="W22" i="48"/>
  <c r="V22" i="48"/>
  <c r="U22" i="48"/>
  <c r="T22" i="48"/>
  <c r="S22" i="48"/>
  <c r="R22" i="48"/>
  <c r="Q22" i="48"/>
  <c r="P22" i="48"/>
  <c r="O22" i="48"/>
  <c r="N22" i="48"/>
  <c r="M22" i="48"/>
  <c r="L22" i="48"/>
  <c r="K22" i="48"/>
  <c r="AE21" i="48"/>
  <c r="AD21" i="48"/>
  <c r="AC21" i="48" s="1"/>
  <c r="AB21" i="48"/>
  <c r="AF21" i="48" s="1"/>
  <c r="AA21" i="48"/>
  <c r="Z21" i="48"/>
  <c r="Y21" i="48"/>
  <c r="X21" i="48"/>
  <c r="W21" i="48"/>
  <c r="V21" i="48"/>
  <c r="U21" i="48"/>
  <c r="T21" i="48"/>
  <c r="S21" i="48"/>
  <c r="R21" i="48"/>
  <c r="Q21" i="48"/>
  <c r="P21" i="48"/>
  <c r="O21" i="48"/>
  <c r="N21" i="48"/>
  <c r="M21" i="48"/>
  <c r="L21" i="48"/>
  <c r="K21" i="48"/>
  <c r="AE20" i="48"/>
  <c r="AD20" i="48"/>
  <c r="AB20" i="48"/>
  <c r="AF20" i="48" s="1"/>
  <c r="AA20" i="48"/>
  <c r="Z20" i="48"/>
  <c r="Y20" i="48"/>
  <c r="X20" i="48"/>
  <c r="W20" i="48"/>
  <c r="V20" i="48"/>
  <c r="U20" i="48"/>
  <c r="T20" i="48"/>
  <c r="S20" i="48"/>
  <c r="R20" i="48"/>
  <c r="Q20" i="48"/>
  <c r="P20" i="48"/>
  <c r="O20" i="48"/>
  <c r="N20" i="48"/>
  <c r="M20" i="48"/>
  <c r="L20" i="48"/>
  <c r="K20" i="48"/>
  <c r="AE19" i="48"/>
  <c r="AD19" i="48"/>
  <c r="AB19" i="48"/>
  <c r="AF19" i="48" s="1"/>
  <c r="AA19" i="48"/>
  <c r="Z19" i="48"/>
  <c r="Y19" i="48"/>
  <c r="X19" i="48"/>
  <c r="W19" i="48"/>
  <c r="V19" i="48"/>
  <c r="U19" i="48"/>
  <c r="T19" i="48"/>
  <c r="S19" i="48"/>
  <c r="R19" i="48"/>
  <c r="Q19" i="48"/>
  <c r="P19" i="48"/>
  <c r="O19" i="48"/>
  <c r="N19" i="48"/>
  <c r="M19" i="48"/>
  <c r="L19" i="48"/>
  <c r="K19" i="48"/>
  <c r="AE18" i="48"/>
  <c r="AD18" i="48"/>
  <c r="AC18" i="48" s="1"/>
  <c r="AB18" i="48"/>
  <c r="AF18" i="48" s="1"/>
  <c r="AA18" i="48"/>
  <c r="Z18" i="48"/>
  <c r="Y18" i="48"/>
  <c r="X18" i="48"/>
  <c r="W18" i="48"/>
  <c r="V18" i="48"/>
  <c r="U18" i="48"/>
  <c r="T18" i="48"/>
  <c r="S18" i="48"/>
  <c r="R18" i="48"/>
  <c r="Q18" i="48"/>
  <c r="P18" i="48"/>
  <c r="O18" i="48"/>
  <c r="N18" i="48"/>
  <c r="M18" i="48"/>
  <c r="L18" i="48"/>
  <c r="K18" i="48"/>
  <c r="AE17" i="48"/>
  <c r="AD17" i="48"/>
  <c r="AC17" i="48" s="1"/>
  <c r="AB17" i="48"/>
  <c r="AF17" i="48" s="1"/>
  <c r="AA17" i="48"/>
  <c r="Z17" i="48"/>
  <c r="Y17" i="48"/>
  <c r="X17" i="48"/>
  <c r="W17" i="48"/>
  <c r="V17" i="48"/>
  <c r="U17" i="48"/>
  <c r="T17" i="48"/>
  <c r="S17" i="48"/>
  <c r="R17" i="48"/>
  <c r="Q17" i="48"/>
  <c r="P17" i="48"/>
  <c r="O17" i="48"/>
  <c r="N17" i="48"/>
  <c r="M17" i="48"/>
  <c r="L17" i="48"/>
  <c r="K17" i="48"/>
  <c r="AE16" i="48"/>
  <c r="AD16" i="48"/>
  <c r="AB16" i="48"/>
  <c r="AF16" i="48" s="1"/>
  <c r="AA16" i="48"/>
  <c r="Z16" i="48"/>
  <c r="Y16" i="48"/>
  <c r="X16" i="48"/>
  <c r="W16" i="48"/>
  <c r="V16" i="48"/>
  <c r="U16" i="48"/>
  <c r="T16" i="48"/>
  <c r="S16" i="48"/>
  <c r="R16" i="48"/>
  <c r="Q16" i="48"/>
  <c r="P16" i="48"/>
  <c r="O16" i="48"/>
  <c r="N16" i="48"/>
  <c r="M16" i="48"/>
  <c r="L16" i="48"/>
  <c r="K16" i="48"/>
  <c r="AE15" i="48"/>
  <c r="AD15" i="48"/>
  <c r="AB15" i="48"/>
  <c r="AF15" i="48" s="1"/>
  <c r="AA15" i="48"/>
  <c r="Z15" i="48"/>
  <c r="Y15" i="48"/>
  <c r="X15" i="48"/>
  <c r="W15" i="48"/>
  <c r="V15" i="48"/>
  <c r="U15" i="48"/>
  <c r="T15" i="48"/>
  <c r="S15" i="48"/>
  <c r="R15" i="48"/>
  <c r="Q15" i="48"/>
  <c r="P15" i="48"/>
  <c r="O15" i="48"/>
  <c r="N15" i="48"/>
  <c r="M15" i="48"/>
  <c r="L15" i="48"/>
  <c r="K15" i="48"/>
  <c r="AE14" i="48"/>
  <c r="AD14" i="48"/>
  <c r="AC14" i="48" s="1"/>
  <c r="AB14" i="48"/>
  <c r="AF14" i="48" s="1"/>
  <c r="AA14" i="48"/>
  <c r="Z14" i="48"/>
  <c r="Y14" i="48"/>
  <c r="X14" i="48"/>
  <c r="W14" i="48"/>
  <c r="V14" i="48"/>
  <c r="U14" i="48"/>
  <c r="T14" i="48"/>
  <c r="S14" i="48"/>
  <c r="R14" i="48"/>
  <c r="Q14" i="48"/>
  <c r="P14" i="48"/>
  <c r="O14" i="48"/>
  <c r="N14" i="48"/>
  <c r="M14" i="48"/>
  <c r="L14" i="48"/>
  <c r="K14" i="48"/>
  <c r="AE13" i="48"/>
  <c r="AD13" i="48"/>
  <c r="AC13" i="48" s="1"/>
  <c r="AB13" i="48"/>
  <c r="AF13" i="48" s="1"/>
  <c r="AA13" i="48"/>
  <c r="Z13" i="48"/>
  <c r="Y13" i="48"/>
  <c r="X13" i="48"/>
  <c r="W13" i="48"/>
  <c r="V13" i="48"/>
  <c r="U13" i="48"/>
  <c r="T13" i="48"/>
  <c r="S13" i="48"/>
  <c r="R13" i="48"/>
  <c r="Q13" i="48"/>
  <c r="P13" i="48"/>
  <c r="O13" i="48"/>
  <c r="N13" i="48"/>
  <c r="M13" i="48"/>
  <c r="L13" i="48"/>
  <c r="K13" i="48"/>
  <c r="AF12" i="48"/>
  <c r="AE12" i="48"/>
  <c r="AC12" i="48" s="1"/>
  <c r="AD12" i="48"/>
  <c r="AB12" i="48"/>
  <c r="AA12" i="48"/>
  <c r="Z12" i="48"/>
  <c r="Y12" i="48"/>
  <c r="X12" i="48"/>
  <c r="W12" i="48"/>
  <c r="V12" i="48"/>
  <c r="U12" i="48"/>
  <c r="T12" i="48"/>
  <c r="S12" i="48"/>
  <c r="R12" i="48"/>
  <c r="Q12" i="48"/>
  <c r="P12" i="48"/>
  <c r="O12" i="48"/>
  <c r="N12" i="48"/>
  <c r="M12" i="48"/>
  <c r="L12" i="48"/>
  <c r="K12" i="48"/>
  <c r="AE11" i="48"/>
  <c r="AD11" i="48"/>
  <c r="AC11" i="48" s="1"/>
  <c r="AB11" i="48"/>
  <c r="AF11" i="48" s="1"/>
  <c r="AA11" i="48"/>
  <c r="Z11" i="48"/>
  <c r="Y11" i="48"/>
  <c r="X11" i="48"/>
  <c r="W11" i="48"/>
  <c r="V11" i="48"/>
  <c r="U11" i="48"/>
  <c r="T11" i="48"/>
  <c r="S11" i="48"/>
  <c r="R11" i="48"/>
  <c r="Q11" i="48"/>
  <c r="P11" i="48"/>
  <c r="O11" i="48"/>
  <c r="N11" i="48"/>
  <c r="M11" i="48"/>
  <c r="L11" i="48"/>
  <c r="K11" i="48"/>
  <c r="AE10" i="48"/>
  <c r="AD10" i="48"/>
  <c r="AC10" i="48" s="1"/>
  <c r="AB10" i="48"/>
  <c r="AF10" i="48" s="1"/>
  <c r="AA10" i="48"/>
  <c r="Z10" i="48"/>
  <c r="Y10" i="48"/>
  <c r="X10" i="48"/>
  <c r="W10" i="48"/>
  <c r="V10" i="48"/>
  <c r="U10" i="48"/>
  <c r="T10" i="48"/>
  <c r="S10" i="48"/>
  <c r="R10" i="48"/>
  <c r="Q10" i="48"/>
  <c r="P10" i="48"/>
  <c r="O10" i="48"/>
  <c r="N10" i="48"/>
  <c r="M10" i="48"/>
  <c r="L10" i="48"/>
  <c r="K10" i="48"/>
  <c r="AE9" i="48"/>
  <c r="AD9" i="48"/>
  <c r="AC9" i="48" s="1"/>
  <c r="AB9" i="48"/>
  <c r="AF9" i="48" s="1"/>
  <c r="AA9" i="48"/>
  <c r="Z9" i="48"/>
  <c r="Y9" i="48"/>
  <c r="X9" i="48"/>
  <c r="W9" i="48"/>
  <c r="V9" i="48"/>
  <c r="U9" i="48"/>
  <c r="T9" i="48"/>
  <c r="S9" i="48"/>
  <c r="R9" i="48"/>
  <c r="Q9" i="48"/>
  <c r="P9" i="48"/>
  <c r="O9" i="48"/>
  <c r="N9" i="48"/>
  <c r="M9" i="48"/>
  <c r="L9" i="48"/>
  <c r="K9" i="48"/>
  <c r="AE8" i="48"/>
  <c r="AD8" i="48"/>
  <c r="AC8" i="48" s="1"/>
  <c r="AB8" i="48"/>
  <c r="AF8" i="48" s="1"/>
  <c r="AA8" i="48"/>
  <c r="Z8" i="48"/>
  <c r="Y8" i="48"/>
  <c r="X8" i="48"/>
  <c r="W8" i="48"/>
  <c r="V8" i="48"/>
  <c r="U8" i="48"/>
  <c r="T8" i="48"/>
  <c r="S8" i="48"/>
  <c r="R8" i="48"/>
  <c r="Q8" i="48"/>
  <c r="P8" i="48"/>
  <c r="O8" i="48"/>
  <c r="N8" i="48"/>
  <c r="M8" i="48"/>
  <c r="L8" i="48"/>
  <c r="K8" i="48"/>
  <c r="AF7" i="48"/>
  <c r="AE7" i="48"/>
  <c r="AD7" i="48"/>
  <c r="AC7" i="48" s="1"/>
  <c r="AB7" i="48"/>
  <c r="AA7" i="48"/>
  <c r="Z7" i="48"/>
  <c r="Y7" i="48"/>
  <c r="X7" i="48"/>
  <c r="W7" i="48"/>
  <c r="V7" i="48"/>
  <c r="U7" i="48"/>
  <c r="T7" i="48"/>
  <c r="S7" i="48"/>
  <c r="R7" i="48"/>
  <c r="Q7" i="48"/>
  <c r="P7" i="48"/>
  <c r="O7" i="48"/>
  <c r="N7" i="48"/>
  <c r="M7" i="48"/>
  <c r="L7" i="48"/>
  <c r="K7" i="48"/>
  <c r="AE6" i="48"/>
  <c r="AD6" i="48"/>
  <c r="AC6" i="48" s="1"/>
  <c r="AB6" i="48"/>
  <c r="AF6" i="48" s="1"/>
  <c r="AA6" i="48"/>
  <c r="Z6" i="48"/>
  <c r="Y6" i="48"/>
  <c r="X6" i="48"/>
  <c r="W6" i="48"/>
  <c r="V6" i="48"/>
  <c r="U6" i="48"/>
  <c r="T6" i="48"/>
  <c r="S6" i="48"/>
  <c r="R6" i="48"/>
  <c r="Q6" i="48"/>
  <c r="P6" i="48"/>
  <c r="O6" i="48"/>
  <c r="N6" i="48"/>
  <c r="M6" i="48"/>
  <c r="L6" i="48"/>
  <c r="K6" i="48"/>
  <c r="AE5" i="48"/>
  <c r="AD5" i="48"/>
  <c r="AB5" i="48"/>
  <c r="AF5" i="48" s="1"/>
  <c r="AA5" i="48"/>
  <c r="Z5" i="48"/>
  <c r="Y5" i="48"/>
  <c r="X5" i="48"/>
  <c r="W5" i="48"/>
  <c r="V5" i="48"/>
  <c r="U5" i="48"/>
  <c r="T5" i="48"/>
  <c r="S5" i="48"/>
  <c r="R5" i="48"/>
  <c r="Q5" i="48"/>
  <c r="P5" i="48"/>
  <c r="O5" i="48"/>
  <c r="N5" i="48"/>
  <c r="M5" i="48"/>
  <c r="L5" i="48"/>
  <c r="K5" i="48"/>
  <c r="AF4" i="48"/>
  <c r="AE4" i="48"/>
  <c r="AC4" i="48" s="1"/>
  <c r="AD4" i="48"/>
  <c r="AB4" i="48"/>
  <c r="AA4" i="48"/>
  <c r="Z4" i="48"/>
  <c r="Y4" i="48"/>
  <c r="X4" i="48"/>
  <c r="W4" i="48"/>
  <c r="V4" i="48"/>
  <c r="U4" i="48"/>
  <c r="T4" i="48"/>
  <c r="S4" i="48"/>
  <c r="R4" i="48"/>
  <c r="Q4" i="48"/>
  <c r="P4" i="48"/>
  <c r="O4" i="48"/>
  <c r="N4" i="48"/>
  <c r="M4" i="48"/>
  <c r="L4" i="48"/>
  <c r="K4" i="48"/>
  <c r="AE3" i="48"/>
  <c r="AD3" i="48"/>
  <c r="AC3" i="48" s="1"/>
  <c r="AB3" i="48"/>
  <c r="AF3" i="48" s="1"/>
  <c r="AA3" i="48"/>
  <c r="Z3" i="48"/>
  <c r="Y3" i="48"/>
  <c r="X3" i="48"/>
  <c r="W3" i="48"/>
  <c r="V3" i="48"/>
  <c r="U3" i="48"/>
  <c r="T3" i="48"/>
  <c r="S3" i="48"/>
  <c r="R3" i="48"/>
  <c r="Q3" i="48"/>
  <c r="P3" i="48"/>
  <c r="O3" i="48"/>
  <c r="N3" i="48"/>
  <c r="M3" i="48"/>
  <c r="L3" i="48"/>
  <c r="K3" i="48"/>
  <c r="AE2" i="48"/>
  <c r="AD2" i="48"/>
  <c r="AC2" i="48" s="1"/>
  <c r="AB2" i="48"/>
  <c r="AF2" i="48" s="1"/>
  <c r="AA2" i="48"/>
  <c r="Z2" i="48"/>
  <c r="Y2" i="48"/>
  <c r="X2" i="48"/>
  <c r="W2" i="48"/>
  <c r="V2" i="48"/>
  <c r="U2" i="48"/>
  <c r="T2" i="48"/>
  <c r="S2" i="48"/>
  <c r="R2" i="48"/>
  <c r="Q2" i="48"/>
  <c r="P2" i="48"/>
  <c r="O2" i="48"/>
  <c r="N2" i="48"/>
  <c r="M2" i="48"/>
  <c r="L2" i="48"/>
  <c r="K2" i="48"/>
  <c r="I87" i="45"/>
  <c r="G87" i="45"/>
  <c r="G86" i="45"/>
  <c r="I85" i="45"/>
  <c r="G85" i="45"/>
  <c r="G84" i="45"/>
  <c r="I83" i="45"/>
  <c r="G83" i="45"/>
  <c r="I82" i="45"/>
  <c r="G82" i="45"/>
  <c r="G81" i="45"/>
  <c r="I80" i="45"/>
  <c r="G80" i="45"/>
  <c r="G79" i="45"/>
  <c r="I78" i="45"/>
  <c r="G78" i="45"/>
  <c r="G77" i="45"/>
  <c r="I76" i="45"/>
  <c r="G76" i="45"/>
  <c r="I75" i="45"/>
  <c r="G75" i="45"/>
  <c r="I74" i="45"/>
  <c r="G74" i="45"/>
  <c r="I73" i="45"/>
  <c r="G73" i="45"/>
  <c r="G72" i="45"/>
  <c r="G71" i="45"/>
  <c r="I70" i="45"/>
  <c r="G70" i="45"/>
  <c r="G69" i="45"/>
  <c r="I68" i="45"/>
  <c r="G68" i="45"/>
  <c r="I67" i="45"/>
  <c r="G67" i="45"/>
  <c r="G66" i="45"/>
  <c r="I65" i="45"/>
  <c r="G65" i="45"/>
  <c r="I64" i="45"/>
  <c r="G64" i="45"/>
  <c r="I63" i="45"/>
  <c r="G63" i="45"/>
  <c r="G62" i="45"/>
  <c r="I61" i="45"/>
  <c r="G61" i="45"/>
  <c r="I60" i="45"/>
  <c r="G60" i="45"/>
  <c r="I59" i="45"/>
  <c r="G59" i="45"/>
  <c r="I58" i="45"/>
  <c r="G58" i="45"/>
  <c r="I57" i="45"/>
  <c r="G57" i="45"/>
  <c r="I56" i="45"/>
  <c r="G56" i="45"/>
  <c r="G55" i="45"/>
  <c r="I54" i="45"/>
  <c r="G54" i="45"/>
  <c r="I53" i="45"/>
  <c r="G53" i="45"/>
  <c r="I52" i="45"/>
  <c r="G52" i="45"/>
  <c r="I51" i="45"/>
  <c r="G51" i="45"/>
  <c r="G50" i="45"/>
  <c r="G49" i="45"/>
  <c r="I48" i="45"/>
  <c r="G48" i="45"/>
  <c r="I47" i="45"/>
  <c r="G47" i="45"/>
  <c r="I46" i="45"/>
  <c r="G46" i="45"/>
  <c r="G45" i="45"/>
  <c r="I44" i="45"/>
  <c r="G44" i="45"/>
  <c r="I43" i="45"/>
  <c r="G43" i="45"/>
  <c r="G42" i="45"/>
  <c r="G41" i="45"/>
  <c r="I40" i="45"/>
  <c r="G40" i="45"/>
  <c r="G39" i="45"/>
  <c r="I38" i="45"/>
  <c r="G38" i="45"/>
  <c r="G37" i="45"/>
  <c r="G36" i="45"/>
  <c r="I35" i="45"/>
  <c r="G35" i="45"/>
  <c r="G34" i="45"/>
  <c r="I33" i="45"/>
  <c r="G33" i="45"/>
  <c r="I32" i="45"/>
  <c r="G32" i="45"/>
  <c r="G31" i="45"/>
  <c r="G30" i="45"/>
  <c r="I29" i="45"/>
  <c r="G29" i="45"/>
  <c r="G28" i="45"/>
  <c r="I27" i="45"/>
  <c r="G27" i="45"/>
  <c r="G26" i="45"/>
  <c r="I25" i="45"/>
  <c r="G25" i="45"/>
  <c r="G24" i="45"/>
  <c r="I23" i="45"/>
  <c r="G23" i="45"/>
  <c r="G22" i="45"/>
  <c r="I21" i="45"/>
  <c r="G21" i="45"/>
  <c r="G20" i="45"/>
  <c r="G19" i="45"/>
  <c r="I18" i="45"/>
  <c r="G18" i="45"/>
  <c r="G17" i="45"/>
  <c r="I16" i="45"/>
  <c r="G16" i="45"/>
  <c r="G15" i="45"/>
  <c r="I14" i="45"/>
  <c r="G14" i="45"/>
  <c r="G13" i="45"/>
  <c r="G12" i="45"/>
  <c r="G11" i="45"/>
  <c r="I10" i="45"/>
  <c r="G10" i="45"/>
  <c r="G9" i="45"/>
  <c r="G8" i="45"/>
  <c r="I7" i="45"/>
  <c r="G7" i="45"/>
  <c r="I6" i="45"/>
  <c r="G6" i="45"/>
  <c r="I5" i="45"/>
  <c r="G5" i="45"/>
  <c r="I4" i="45"/>
  <c r="G4" i="45"/>
  <c r="I3" i="45"/>
  <c r="G3" i="45"/>
  <c r="I2" i="45"/>
  <c r="G2" i="45"/>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O6" i="10"/>
  <c r="O5" i="10"/>
  <c r="O4" i="10"/>
  <c r="O3" i="10"/>
  <c r="O2" i="10"/>
  <c r="AC5" i="48" l="1"/>
  <c r="AC15" i="48"/>
  <c r="AC52" i="48"/>
  <c r="AC32" i="48"/>
  <c r="AC29" i="48"/>
  <c r="AC39" i="48"/>
  <c r="AC19" i="48"/>
  <c r="AC36" i="48"/>
  <c r="AC59" i="48"/>
  <c r="AC69" i="48"/>
  <c r="AC16" i="48"/>
  <c r="AC63" i="48"/>
  <c r="AC40" i="48"/>
  <c r="AC20" i="48"/>
  <c r="AC37" i="48"/>
  <c r="AC47" i="48"/>
  <c r="AC83" i="48"/>
  <c r="AC44" i="48"/>
  <c r="AC67" i="48"/>
  <c r="AC77" i="48"/>
  <c r="AC24" i="48"/>
  <c r="AC87" i="48"/>
  <c r="AC45" i="48"/>
  <c r="AC68"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L1" authorId="0" shapeId="0" xr:uid="{00000000-0006-0000-0000-000001000000}">
      <text>
        <r>
          <rPr>
            <sz val="11"/>
            <color theme="1"/>
            <rFont val="Calibri"/>
          </rPr>
          <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t>
        </r>
      </text>
    </comment>
    <comment ref="M1" authorId="0" shapeId="0" xr:uid="{00000000-0006-0000-0000-000002000000}">
      <text>
        <r>
          <rPr>
            <sz val="11"/>
            <color theme="1"/>
            <rFont val="Calibri"/>
          </rPr>
          <t>Wann waehlbar/absteigerbar: 'E' = nur bei Erschaffung. Zahl = ab Erreichen dieses Kreises, dann immer bei Stufenaufstieg. 'E&amp;N' = beides (bei Erschaffung UND ab Kreis N). Quelle: NN NPC-Rechner 0.75, Sheet 'NPC-Rechner', Spalten AC/AN.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0E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000-000001000000}">
      <text>
        <r>
          <rPr>
            <sz val="11"/>
            <color theme="1"/>
            <rFont val="Calibri"/>
          </rPr>
          <t>Quelle: 'Schilde v1.4.docx', Tabelle 'Waffen Materialien' (Fundort: Waffen, Ruestung und Ausruestung/Waffen/NK), vom Nutzer als .docx bereitgestellt.
Gilt fuer Schilde (Schild-Basis in NK-Waffen-Basis, Spezialisierung 'Schild'). Feineisen ist das Referenzmaterial (Standard = alle Mods 0, Faktoren 1.0).
Preis-Faktor multipliziert den Preis-Basis-Wert des Schilds (siehe NK-Waffen-Basis Spalte 'Preis-Basis'), NICHT additiv wie bei normalen Waffen (NK-Material). Schilde haben also ein eigenes, multiplikatives Preissystem - siehe auch Schild-Fertigung und Schild-Bespannung.
Formel (Vorschlag, noch nicht als Werte-Formel umgesetzt):
  Preis = Preis-Basis * Preis-Faktor(Material) * Preis-Faktor(Fertigung) + Preis(Bespannung, falls gewaehlt)
  RS = RS-Basis + RS-Mod(Material) + RS-Mod(Bespannung)
  Klingenbrecher = Klingenbrecher-Basis + KB-Mod(Material) + KB-Mod(Fertigung) + KB-Mod(Bespannung)
  Klingenschutz = analog Klingenbrecher
  Staerke-Malus = Staerke-Malus-Basis + Staerke-Malus-Mod(Material) (Teiler bleibt unveraendert)
  AT/PA = AT/PA-Basis + AT/PA-Mod(Material) (Fertigung/Bespannung aendern AT/PA nicht)
  WK = WK-Basis + WK-Mod(Material) (Fertigung/Bespannung aendern WK nicht)
  Min-Staerke = Min-Staerke-1H-Basis * Min-Staerke-Faktor(Material) * Min-Staerke-Faktor(Bespannung)
Bugfix: Staerke-Malus-Basis der 11 Schilde (alle ausser Faustschild/Buckler) war in NK-Waffen-Basis faelschlich positiv (+5) statt negativ (-5) eingetragen - laut Schilde v1.4 gilt fuer alle Schilde einheitlich Staerke-Teiler 3, Staerke-Malus -5. Korrigiert.
Chitin und Kolhartz haben in der Quelle eine Preis-Spanne statt eines Einzelwerts ('*2,5 - *4' bzw. '*0,1 - *1000') - nicht praezisierbar, siehe Sheet 'Entwickeln'.
Adamandit-Klingenschutz-Mod steht in der Quelle als '+50%' (Prozentformat), waehrend alle anderen Zeilen dieser Spalte Flachwerte haben - vermutlich Tippfehler in der Quelle, wortgetreu uebernommen, siehe Sheet 'Entwickeln'.
--- Kampfzeitliche Schild-Regeln (Legende aus Schilde v1.4.docx) ---
Fuer das geplante Kampfmodul, NICHT Teil der Charaktererstellung:
- Ein Schild muss bei jeder Parade einen Bruchtest ablegen.
- Der Ruestungsschutz eines Schildes wird auch bei misslungener Parade zu dem des linken Arms addiert (bei kleinen Schilden nur Unterarm).
- Eine erfolgreiche Schildparade wird wie eine gelungene Waffenparade gewertet.
- Mit Schilden koennen Wurf- und Schusswaffen pariert werden (siehe FK-AW-Tab. Meisterscreen S2). Bei einer erfolgreichen Parade wird der Ruestungsschutz des Schildes vom Schaden der Waffe abgerechnet, egal welche Trefferzone getroffen wurde.
- Schilde werden im Kampf behandelt wie der Kampf mit zwei Waffen. Ausnahmen sind die Angriffsmodi: (a) Angriff oder Parade - Schild hat die in Klammern stehende Waffenklasse, Kaempfer kaempft mit normalen, nicht halbierten Werten (zugaenglich fuer alle, Schild wird als Update der Hauptwaffe gefuehrt); (b) Angriff und Parade - Schild hat seine 'normale' Waffenklasse (nur Zweihand-Kampfsystem); (c) Zwei Paraden - wie (b) (nur Zweihand-Kampfsystem). Bei (b) und (c) wird der Attacke-N-Mod auch von der Hauptwaffe abgezogen.
- Bei bestimmten Materialien koennen Schilde ihren Bruchtest mit 2 oder mehreren Wuerfen ablegen und muessen nur einen bestehen, um nicht zu zerbrechen.
- Die Ruestungsbehinderung eines Schildes entspricht seiner normalen Waffenklasse.
- Die Hand des Arms, mit dem der Schild gefuehrt wird, kann keine Waffe mehr fuehren, wohl aber Gegenstaende wie Tuergriffe manipulieren.
- Gegen Kettenwaffen haben Schilde eine um die Waffenklasse der Kettenwaffe erschwerte Parade.
- Kampfzauber koennen auch pariert werden, genau wie FK-Waffen, mit dem Unterschied, dass bei jeder gelungenen Parade ein Bruchtest gewuerfelt wird. Der Zaubergrad*7 ist der Klingenbrecher des Zaubers. Ball-Zauber gelten als Wurfwaffen, Bolzen-Zauber als Schusswaffe, Blitz-Zauber als Feuerwaffe.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100-000001000000}">
      <text>
        <r>
          <rPr>
            <sz val="11"/>
            <color theme="1"/>
            <rFont val="Calibri"/>
          </rPr>
          <t>Quelle: 'Schilde v1.4.docx', Tabelle 'Waffen Verbesserungen' &gt; 'Herstellung'.
Gesellenarbeit ist Standard (Faktor 1.0, keine Mods). Aendert nur Klingenbrecher/Klingenschutz und den Preis-Faktor - nicht AT/PA/WK/RS/Staerke.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200-000001000000}">
      <text>
        <r>
          <rPr>
            <sz val="11"/>
            <color theme="1"/>
            <rFont val="Calibri"/>
          </rPr>
          <t>Quelle: 'Schilde v1.4.docx', Tabelle 'Waffen Verbesserungen' &gt; 'Bespannung (alle Schilder)'. Preis ist ein FLACHER Dublonen-Betrag (Zuschlag), keine Preis-Faktor-Multiplikation wie bei Material/Fertigung.
Kohlharz hat in der Quelle eine Preisspanne (10-10000D) statt eines Einzelwerts - siehe Sheet 'Entwickeln'.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300-000001000000}">
      <text>
        <r>
          <rPr>
            <sz val="11"/>
            <color theme="1"/>
            <rFont val="Calibri"/>
          </rPr>
          <t>Quelle: 'Schilde v1.4.docx', Tabelle 'Waffen Verbesserungen' &gt; 'Verplatung (nur Holzschilder)'. Die Quelle listet nur diese 13 Materialnamen auf, alle Wertespalten sind in der Tabelle leer - keine Daten zum Uebernehmen vorhanden. 'Nur Holzschilder' bedeutet vermutlich: nur anwendbar auf Schilde mit Material 'Holz' oder 'Hart Holz'. Aktuell nicht nutzbar, siehe Sheet 'Entwickeln'.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400-000001000000}">
      <text>
        <r>
          <rPr>
            <sz val="11"/>
            <color theme="1"/>
            <rFont val="Calibri"/>
          </rPr>
          <t>Quelle: NN Artefakte 0.52.xlsx, Sheet 'Ressourcen', Bereich C8:H18 ('Faehigkeiten des Magus'). Rang 1-11 (Rang 1-2 namenlos '-', Rang 3 'Magus' ist die erste Stufe, die ueberhaupt Artefakte erschaffen kann - allerdings nur einmalige. Erst ab Rang 5 'Magus Major' sind auch permanente Artefakte moeglich (siehe Artefakt-Kosten: FP/FE-Untergrenzen 5/3).
'Angenommene-M' ist ein universeller Wirkungsstufen-Faktor, der je nach Artefakt fuer unterschiedliche In-Game-Effekte verwendet wird (Lichthelligkeit, Eigenschafts-Boost-Dauer etc.) - die konkrete Wirkung ist Kampfmodul-Scope, hier nur als Rohdaten fuer die Kostenformel relevant.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500-000001000000}">
      <text>
        <r>
          <rPr>
            <sz val="11"/>
            <color theme="1"/>
            <rFont val="Calibri"/>
          </rPr>
          <t>Quelle: NN Artefakte 0.52.xlsx, Sheet 'Ressourcen', Bereich B22:D31 ('Seelensteine'). Der Seelenstein ist der materielle Traeger jedes Artefakts; seine Groesse/sein Wert skaliert mit der Zauberstufe (= Artefakt-Grad).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600-000001000000}">
      <text>
        <r>
          <rPr>
            <sz val="11"/>
            <color theme="1"/>
            <rFont val="Calibri"/>
          </rPr>
          <t>Quelle: NN Artefakte 0.52.xlsx, Sheet 'Ressourcen', Bereich C36:D45 ('Wirkungsstufe/Faehigkeit-Differenz'). Kommt zum Tragen, wenn der Artefaktmagier (FE bzw. FP, mindestens Rang 3 bzw. 5) hoeherstufiger ist als der gewaehlte Artefakt-Grad L: die Manakosten werden dann NICHT einfach genommen, sondern mit Manamultiplikator[FE-L] multipliziert (=Rabatt fuer Ueberqualifikation). Formel = (2/3)^Differenz.</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700-000001000000}">
      <text>
        <r>
          <rPr>
            <sz val="11"/>
            <color theme="1"/>
            <rFont val="Calibri"/>
          </rPr>
          <t>Quelle: 'NN Artefakte 0.52.xlsx' (neueste Version, gepr�ft gegen 0.5/0.51/artefakte-und-foki-0-4 - 0.52 ist aktuell), Sheet 'Artefaktpreisliste'. 44 einzigartige Artefakte im Original, 'Koerperliche Eigenschaft erhoehen' (5 Attribute: Ath/Ges/Kon/Sch/Stae) und 'Geistige Eigenschaft erhoehen' (4 Attribute: Int/Mut/Sin/Wil) wurden je in eine Zeile pro Eigenschaft aufgeteilt (Nutzeranweisung), macht 51 Zeilen. 'Eigenschafts-Artefakt' (eigener Typ, unklarer Eigenschaftsumfang) bewusst NICHT aufgeteilt, siehe Sheet 'Entwickeln'.
'Vorbereitungszeit-sec' = Zaubergrad (Quelle: Formel G='=B', d.h. VZ ist immer identisch zum Zaubergrad).
'Zaubergrad' ist NICHT der 'Artefakt-Grad' (siehe Sheet Artefakt-Kosten) - es ist die feste Einstufung, aus der das Artefakt urspruenglich abgeleitet wurde (Nutzerbestaetigung). Beeinflusst nur die Vorbereitungszeit, nicht Preis/Verfuegbarkeit.
Wirkung/Wirkungsdauer sind teils grad-abhaengige Formeln im Original (ueber die 'Angenommene-M'-Spalte der Magus-Faehigkeiten-Tabelle), hier nur als Referenzwert bei Grad 7 uebernommen - exakte Grad-Skalierung der In-Game-Wirkung ist Kampfmodul-Scope, nicht Teil der Charaktererstellung.
Einmalige Artefakte sind nach einmaliger Nutzung zerstoert. Permanente Artefakte werden durch Nutzung nicht zerstoert und koennen einmal pro Tag ausgeloest werden (Nutzerangabe).
--- Attributs-Artefakte (ergaenzt) ---
Die urspruengliche Quellzeile 'Eigenschafts-Artefakt' (Grad 4, Mana 24, Wirkungsdauer 24h 'fuer einen magischen Tag') wurde durch Nutzerangabe geklaert: Es handelt sich um 'Attributs-Artefakte', die ALLE 10 Eigenschaften abdecken (Athletik/Geschicklichkeit/Konstitution/Schnelligkeit/Staerke/Ausstrahlung/Intelligenz/Mut/Sinnesschaerfe/Willenskraft), NUR als permanente Variante existieren (kein Einmal-Artefakt), in den Graden 1-7 wie alle anderen Artefakte, aber mit Verfuegbarkeit ausschliesslich ueber den Spielleiter (nicht ueber die normale Magus-Rang-Verfuegbarkeitstabelle erwerbbar) - daher in Artefakt-Kosten Verfuegbarkeit-permanent='Meister' statt einer Zahl, und keine Einmalig-Kosten/Verfuegbarkeit (Spalten leer).
--- KORREKTUR 2026-07-16 ---
Attributs-Artefakte bezogen sich faelschlich auf die 10 Eigenschaften (Athletik...Willenskraft, Kategorie 'Eigenschaften' im Werte-Sheet) statt auf die 7 echten 'Attribute' (Kategorie 'Attribute' im Werte-Sheet: Aura, Essenz, Glueck, Karma, Magie, Vitalitaet, Weisheit). Nutzer hat klargestellt: 'es gibt keine 10 attribute'. Korrigiert auf die 7 tatsaechlichen Attribute.</t>
        </r>
      </text>
    </comment>
    <comment ref="L1" authorId="0" shapeId="0" xr:uid="{00000000-0006-0000-1700-000002000000}">
      <text>
        <r>
          <rPr>
            <sz val="11"/>
            <color theme="1"/>
            <rFont val="Calibri"/>
          </rPr>
          <t>Spalte 'Eigenschaft' markiert Artefakte, die eine bestimmte Eigenschaft erhoehen (fuer die per-Eigenschaft aufgesplitteten Artefakttypen).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800-000001000000}">
      <text>
        <r>
          <rPr>
            <sz val="11"/>
            <color theme="1"/>
            <rFont val="Calibri"/>
          </rPr>
          <t>Vorberechnetes Kosten-/Verfuegbarkeits-Raster fuer jedes Artefakt (Sheet Artefakt-Basis) bei jedem waehlbaren Artefakt-Grad 1-7 (Nutzerbestaetigung: 'Artefakt-Grad' = Spalte L der Quelle, NICHT die Spalte 'Grad'/Zaubergrad).
Nachgebaute Formel aus NN Artefakte 0.52.xlsx (Ressourcen-Sheet-Lookups, siehe Artefakt-Magus-Faehigkeiten/-Seelensteine/-Manamultiplikator), verifiziert gegen die zwei einzigen unbeschaedigten Referenzwerte der Quelle (Licht bei Grad 7 -&gt; 8780/14080; Waffe erschaffen bei Grad 1 -&gt; 98/585 - beide exakt reproduziert).
Formel je Artefakt (K=Mana-Basis, L=gewaehlter Artefakt-Grad):
  EINMALIG:
    FE = MAX(L;3)  [Rang-Untergrenze: Magus ist die erste Stufe, die ueber-
                     haupt Artefakte erschaffen kann]
    ManaE = AUFRUNDEN(WENN(FE&gt;L; Manamultiplikator[FE-L]*K; K);0)
    ktE (Karat) = ManaE * 2 * Seelenstein[L].Karat-pro-Mana
    SSE (Seelenstein-Dublonen) = ManaE * 2 * Seelenstein[L].Dublonen-pro-Mana
    VKE = Magus[MAX(L;FE)].Gehalt*L + Magus[MAX(L;FE)].D-pro-Mana*20 + 2*2*ManaE
    Kosten-einmalig = SSE + VKE * (1/4 wenn L=1; 1/2 wenn L=2; sonst 1)
    Verfuegbarkeit-einmalig = Magus[FE].Verfuegbarkeit
  PERMANENT (analog, mit anderen Konstanten):
    FP = MAX(L;5)  [Rang-Untergrenze: Magus Major ist die erste Stufe, die
                     permanente statt nur einmalige Artefakte erschaffen kann]
    ManaP = AUFRUNDEN(WENN(FP&gt;L; Manamultiplikator[FP-L]*K; K);0)
    ktP = ManaP * 4 * Seelenstein[L].Karat-pro-Mana
    SSP = ManaP * 4 * Seelenstein[L].Dublonen-pro-Mana
    VKP = Magus[MAX(L;FP)].Gehalt*L + Magus[MAX(L;FP)].D-pro-Mana*40 + 20*4*ManaP
    Kosten-permanent = SSP + VKP * (1/2 wenn L=1; 3/4 wenn L=2; sonst 1)
    Verfuegbarkeit-permanent = Magus[FP].Verfuegbarkeit
BUGFIX gegenueber der Quelle: Die VKP-Formel (Spalte X) hatte in 41 von 44 Quellzeilen eine fehlende Multiplikation '*L' beim Gehalt-Term (nur bei den ersten 3 Zeilen 'Licht'/'Magisches Makeover'/'In Nahrung verwandeln' korrekt - klassischer Excel-Drag-Fehler: Formel wurde beim Runterziehen nicht konsistent kopiert). Hier durchgaengig die korrekte, symmetrische Form verwendet (wie VKE). Beispiel 'Koerperliche Eigenschaft erhoehen' bei Grad 7: Quelle (fehlerhaft) Kosten-permanent=13200, korrekt=16800.
Verfuegbarkeit ist eine 1-11-Rangstufe (Magus-Rang, siehe Artefakt-Magus-Faehigkeiten), NICHT das E/E&amp;Zahl-Format der Haupt-Werte-Tabelle - eigenstaendiges Subsystem (Nutzerentscheidung).
Attributs-Artefakte (10 Zeilen x 7 Grade = 70 Zeilen): permanent-only, Verfuegbarkeit-permanent='Meister' (kein numerischer Rang - nur ueber Spielleiter erhaeltlich), Kosten-einmalig/Verfuegbarkeit-einmalig bleiben leer, da es keine Einmal-Variante gibt.
--- Regulaere Ladenverfuegbarkeit (Nutzerkontext 2026-07-16) ---
Artefakte mit Verfuegbarkeit &lt;=3-4 gelten als 'im Laden erhaeltlich' (normaler Erwerb bei Charaktererstellung/im Spiel). Alles darueber ist schwer beschaffbar und bei Erstellung nur mit Zustimmung des Spielleiters moeglich.
Wichtig: Da FP (permanent) immer &gt;=5 ist (Rang 'Magus Major' ist die Mindeststufe fuer permanente Artefakte), haben PERMANENTE Artefakte NIE Verfuegbarkeit &lt;=4 - sie sind grundsaetzlich nie regulaer im Laden erhaeltlich, immer Spielleiter-Sache. Nur EINMALIGE Artefakte koennen bei Grad 1-3 (Verfuegbarkeit=3) bzw. Grad 4 (Verfuegbarkeit=4) reguleaer gekauft werden.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900-000001000000}">
      <text>
        <r>
          <rPr>
            <sz val="11"/>
            <color theme="1"/>
            <rFont val="Calibri"/>
          </rPr>
          <t>Quelle: 'NN_Verfuegbarkeiten_1.0.docx' (Grundregeln-Ordner, 2014 - neueste von 3 Fundstellen, die anderen beiden liegen in z_alt/ bzw. Entwickelkrams/Entwurf und sind ueberholt).
Dies ist der Wuerfelmechanismus, der bestimmt, ob ein Gegenstand an einem konkreten Ort/bei einem konkreten Haendler ERHAELTLICH ist. Die 'Verfuegbarkeit'-Werte, die in NK-Waffen-Basis, Schild-*, Artefakt-Kosten, Preisliste etc. gespeichert sind, sind jeweils die GRUND-VERFUEGBARKEIT (X) eines Gegenstands - der Eingabewert fuer diese Formel, kein fertiges Ergebnis.
Ablauf:
  Schritt 1: Grund-Verfuegbarkeit des Gegenstands = X (aus der jeweiligen Ausruestungs-Tabelle)
  Schritt 2: Xy = X * Faktor(Herstellungsort) * Faktor(Siedlungsgroesse) * Faktor(Handelsstufe) * Faktor(Haendler)
  Schritt 3: Probenwert = Xy + att_glueck (Glueck des Charakters)
  Probe: W100 (2W10) wird gewuerfelt. Gegenstand ist erhaeltlich, wenn W100 &lt; Probenwert.
Wichtig: 'Siedlungsgroesse=Wildnis' hat Faktor 0 - in der Wildnis ist reguleare Kauf-Verfuegbarkeit grundsaetzlich ausgeschlossen (Xy=0), unabhaengig von der Grund-Verfuegbarkeit des Gegenstands.
Dies ist ein ANDERES System als die 'Verfuegbarkeit'-Spalte im Haupt-Werte-Sheet (dort z.B. 'E' bei Vor-/Nachteilen) - das betrifft Charaktererstellungs-Restriktionen, nicht den Einkauf von Ausruestung im Spiel. Nicht verwechseln.</t>
        </r>
      </text>
    </comment>
    <comment ref="A28" authorId="0" shapeId="0" xr:uid="{00000000-0006-0000-1900-000002000000}">
      <text>
        <r>
          <rPr>
            <sz val="11"/>
            <color theme="1"/>
            <rFont val="Calibri"/>
          </rPr>
          <t>Quelle: 'Nasus Nasus Verfuegbarkeiten Entwurf v0.3.docx' (Grundregeln-Ordner, 2010 - ein frueherer Entwurf, von Nutzer als 'die alte Liste' bezeichnet). Der Multiplikator-Mechanismus dieses Entwurfs (additive Modifikatoren nach 5 Schritten: Alte/Neue Welt, Siedlungsgroesse, Volk, Bekanntheit, Volk-Passt-Ruestung) wird NICHT verwendet - er ist durch das neuere 'NN_Verfuegbarkeiten_1.0.docx' (2014, siehe oben in diesem Sheet) ersetzt worden.
Diese Legende (was 1-7 inhaltlich bedeutet) bleibt aber gueltig, da der Entwurf selbst sagt: 'Das Alte Nasus Nasus Verfuegbarkeiten System von 1-7 bleibt bestehen... Neu entwickelte Ausruestung bekommt auch wieder eine Verfuegbarkeit von 1-7.' Das erklaert die Grund-Verfuegbarkeit-Werte (X) in NK-Waffen-Basis/Schild-*/Preisliste (nicht die Artefakt-Magus-Rang-Skala 1-11, die ein eigenes, hoeher aufgeloestes Subsystem ist).
Die alte, additive Schritt-Tabelle (5 Kategorien: Alte/Neue Welt, Siedlungsgroesse, Volk, Bekanntheit, Ruestungs-Volk-Passung) ist zur historischen Referenz im Sheet 'Entwickeln' vermerkt, falls Teile davon spaeter wiederbelebt werden sollen.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A00-000001000000}">
      <text>
        <r>
          <rPr>
            <sz val="11"/>
            <color theme="1"/>
            <rFont val="Calibri"/>
          </rPr>
          <t>Quelle: 'NN NPC-Rechner 0.76.xlsx', Sheet 'RS-Sheet', Bereich A43:I67 (Nutzeranweisung: 'die komplette Liste ist in der NN NPC Rechner gespeichert').
Lage = Ruestungsklasse (1=Stoff, 2=Leder, 3=Kette, 4=Platte) UND gleichzeitig die MINDEST-Behinderung (RBE) dieses Ruestungsteils - siehe Formel in Sheet Ruestung-Preisformel bzw. Legende unten.
Verfuegbarkeit-NW/-AW = Grund-Verfuegbarkeit 'Neue Welt' / 'Alte Welt' (siehe Sheet Verfuegbarkeit-Modifikatoren fuer die Bedeutung 1-7 und den Wuerfelmechanismus).
Legende aus der Quelle:
- Hals, Schultergelenk, Ellenbogen, Haende, Knie und Fuesse werden nur mit halbem RS geschuetzt. Augen werden nicht geschuetzt. Fuer alle nicht genannten kritischen Trefferzonen gilt der volle Ruestungswert.
- Jedes Ruestungsteil kann durch Verarbeitung UND Anpassung je einmalig modifiziert werden (siehe Sheets Ruestung-Verarbeitung/Ruestung-Anpassung).
- Jedes Ruestungsteil hat seine Lage als Mindest-RBE (Ausnahme: Lage 5 - Umhaenge/Aufpanzerungen, siehe Sheet Ruestung-Addons).
Kein Haende-/Fuesse-Slot vorhanden (nur Kopf/Torso/Arme/Beine als anlegbare Slots, siehe Sheet Ruestungstabelle) - Panzerhandschuhe/-schienen/Eisenkappenstiefel/Orkischer Kampfhandschuh bleiben daher weiterhin ungeklaert, siehe Sheet Entwickeln.
--- Vollstaendige Preis-/RS-/BE-/Verfuegbarkeits-Formel ---
Fuer ein Ruestungsteil mit Basiswerten aus Ruestung-Basis, gewaehlter Verarbeitung (Ruestung-Verarbeitung) und gewaehlter Anpassung (Ruestung-Anpassung):
  RS = WENN(Ruestungsteil = 'Keine Ruestung'; 0; RS-Basis + RS-Mod(Verarbeitung))
  [Anpassung beeinflusst RS NIE]
  BE = WENN(Ruestungsteil = 'Keine Ruestung'; 0; MAX(Lage; BE-Basis + BE-Mod(Verarbeitung) + BE-Mod(Anpassung)))
  [Lage ist die Mindest-Behinderung (RBE) - kann durch gute Verarbeitung/Anpassung NICHT unterschritten werden]
  Preis = Materialkosten + Lohn-pro-Tag(Verarbeitung) * (Arbeitszeit-Tag-Basis + Zusaetzliche-Tage(Anpassung))
  Verfuegbarkeit-NW = MAX(Verfuegbarkeit-NW(Ruestung); Verfuegbarkeit-NW(Verarbeitung); Verfuegbarkeit-NW(Anpassung))
  Verfuegbarkeit-AW = analog mit den AW-Spalten
  [Die schwerste/seltenste Komponente bestimmt die Gesamt-Verfuegbarkeit]
Lage-5-Addons (Ruestung-Addons) rechnen NICHT nach dieser Formel - sie liefern ihre RS/BE/Verfuegbarkeit direkt, ohne Verarbeitung/Anpassung-Kombination, und haben (noch) keine eigene Preis-Spalte.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B00-000001000000}">
      <text>
        <r>
          <rPr>
            <sz val="11"/>
            <color theme="1"/>
            <rFont val="Calibri"/>
          </rPr>
          <t>Quelle: 'NN NPC-Rechner 0.76.xlsx', Sheet 'RS-Sheet', Bereich K44:Q48 ('Addons'). Das sind Aufpanzerungen/Umhaenge in einem eigenen 5. Slot ('Lage 5'), der NICHT der Mindest-RBE-Regel unterliegt und NICHT durch Verarbeitung/Anpassung modifiziert wird (im Gegensatz zu den 4 normalen Ruestungsteilen).
Preis fehlt in dieser Tabelle - die Quelle merkt selbst an: 'Drachenschuppen und andere Aufpanzerungen verfuegen ueber bestimmte Boni, die derzeit noch in der alten Waffentabelle aufgefuehrt sind...' Tatsaechlich referenzieren NK-Material und Schild-Material bereits 'Drachensch.' als Material-Multiplikator - die Addon-Preise sind dort vermutlich (teilweise) abgebildet, aber nicht 1:1 auf diese RS/BE-Werte gemappt. Siehe Sheet Entwickeln.
Anomalie: In der Quellformel fuer den 'Lage 5'-Datensatz greifen sowohl Verfuegbarkeit-NW als auch Verfuegbarkeit-AW auf dieselbe Spalte zu (H- und I-Formel identisch, VLOOKUP(...,6,FALSE) statt 6/7) - die beiden Verfuegbarkeit-Spalten dieser Addon-Tabelle sind daher in den finalen Rechnungen praktisch identisch. Koennte ein Kopierfehler sein oder beabsichtigt (Addons unterscheiden nicht zwischen Neuer/Alter Welt) - hier trotzdem mit zwei (identischen) Werten uebernommen, siehe Sheet Entwickeln.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C00-000001000000}">
      <text>
        <r>
          <rPr>
            <sz val="11"/>
            <color theme="1"/>
            <rFont val="Calibri"/>
          </rPr>
          <t>Quelle: 'NN NPC-Rechner 0.76.xlsx', Sheet 'RS-Sheet', Bereich K51:R54 ('Verarbeitung'). Gesellenarbeit ist Standard/Baseline (keine Mods). 'Lohn-pro-Tag' ist der Tageslohn des Handwerkers, siehe Preisformel: Materialkosten(Ruestung) + Lohn-pro-Tag(Verarbeitung) * (Arbeitszeit-Tage(Ruestung) + Zusaetzliche-Tage(Anpassung)).</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D00-000001000000}">
      <text>
        <r>
          <rPr>
            <sz val="11"/>
            <color theme="1"/>
            <rFont val="Calibri"/>
          </rPr>
          <t>Quelle: 'NN NPC-Rechner 0.76.xlsx', Sheet 'RS-Sheet', Bereich K56:R60 ('Anpassung'). 'Von der Stange' ist Standard/Baseline. Anpassung beeinflusst laut Quellformel NIE den RS-Wert (RS-Mod-Spalte in der Quelle durchgaengig leer), nur BE und Preis (ueber Zusaetzliche-Tage).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E00-000001000000}">
      <text>
        <r>
          <rPr>
            <sz val="11"/>
            <color theme="1"/>
            <rFont val="Calibri"/>
          </rPr>
          <t>Quelle: 'NN_Feuerwaffen_1.1.xlsx', Sheet 'Munition' (=1:1 Kopie der Materialkosten-Zeilen aus Sheet 'Ressourcen-Munition', siehe Sheet 'Munition-Ressourcen' fuer die Kostenaufschluesselung).
'Geeignet fuer' = Lademechanik der Feuerwaffe (Vorderlader/Hinterlader/Patronenwaffen) - eine Waffe kann NUR mit Munition ihres eigenen Kalibers UND ihrer eigenen Lademechanik-Kategorie geladen werden (Legende der Quelle). Ausnahme: Vorderlader mit Glattlauf koennen Geschosse mit +-1mm Kaliberabweichung verwenden, dann Schuss um 1 erschwert.
'S.P.&amp;Blei' = Schwarzpulver und Bleikugel getrennt gehandhabt (klassischer Vorderlader). 'VL. Papierpatrone' = Vorderlader-Papierpatrone (Pulver+Kugel in Papierhuelse, reduziert Nachladezeit um 5 Sekunden). 'Papierpatrone' (ohne VL.) = Hinterlader-Papierpatrone mit Zuendmittel (Zuendnadelsystem). 'Messingpatrone' = moderne Einheitspatrone fuer Patronenwaffen.
Pfeile/Bolzen fuer Boegen/Armbrueste sind NICHT Teil dieses Systems - die sind bereits als einfache Koecher-Pauschalpreise in Sheet 'Preisliste' vorhanden (z.B. 'Koecher, 10 Bolzen, Holz', 'Koecher, 20 Pfeile, Leder').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F00-000001000000}">
      <text>
        <r>
          <rPr>
            <sz val="11"/>
            <color theme="1"/>
            <rFont val="Calibri"/>
          </rPr>
          <t>Quelle: 'NN_Feuerwaffen_1.1.xlsx', Sheet 'Ressourcen-Munition'. Dokumentiert, wie die Preise in Sheet 'Munition-Feuerwaffen' zustande kommen: Materialkosten (Gewichtsanteile x Preis/kg je Rohstoff) + Herstellungskosten (Manufaktur-Tageskosten / Ausstoss-pro-Tag) = Gesamtkosten pro Schuss. Der finale 'Preis (1 Schuss)' in Munition-Feuerwaffen entspricht diesem 'Gesamtkosten-pro-Schuss' (z.B. Blei/Vorderlader Kaliber 12: 0,3822 = Basiswert, je Kaliber linear mit dem Kaliber-Durchmesser skaliert in der Originaltabelle - diese Skalierung selbst ist nicht als Formel hier hinterlegt, nur die fertig berechneten Preise pro Kaliber in Munition-Feuerwaffen).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000-000001000000}">
      <text>
        <r>
          <rPr>
            <sz val="11"/>
            <color theme="1"/>
            <rFont val="Calibri"/>
          </rPr>
          <t>Quelle: 'Bögen Tabelle v0.5.docx' (Waffen/FK-Ordner, vom Nutzer als .docx bereitgestellt). 41 Boegen ueber alle Voelker.
RW: Boegen verlieren NICHT wie Feuerwaffen TP ueber Entfernung - RW dient nur zur Ermittlung der maximalen Flugweite: Flugweite(m) = RW * Schaden(TP). Beispiel Quelle: Froggler-Bogen (Schadenswuerfel W6) + Eisenspitzen-Pfeil (+W8) = 9 TP, RW=27m -&gt; Flugweite 243m.
BE: Jeder Pfeil, der mehr als TS (Trefferschwelle) Schaden verursacht, bleibt stecken und verursacht die im Sheet 'Pfeile' angegebene BE. Zum schadenfreien Entfernen: [(Geschick+Medizin)-7] (Erschwerung x2 unter Kampfbedingungen), sonst W6+1 SP direkt auf die Trefferzone.
Verfuegbarkeit-NW/-AW/-Volk = 'Neue Welt Durchschnitt / Alte Welt Durchschnitt / Direkt beim Volk' (gleiche 1-7-Legende wie Sheet Verfuegbarkeit-Modifikatoren, aber DREI statt zwei Kontextwerte - eigene Konvention dieser Quelle, nicht identisch mit dem NW/AW-Paar aus Ruestung-Basis).
Mindeststaerke-Malus (bei Staerke unter Min-Staerke):
  -1: Schaden :2, Bespannzeit x2, Ladezeit +1 sec
  -2: Schaden :4, Bespannzeit x4, Ladezeit +3 sec
  -3: Schaden :6, Bespannzeit x6, Ladezeit +6 sec
  -4: Schaden :8, Bespannzeit x8, Ladezeit +10 sec
  -5: Bogen nicht mehr benutzbar
'Modifikatoren-roh': Liste von Werten (Slash-getrennt, 5 oder 6 Eintraege je nach Waffe, 'x' = nicht erreichbar), vermutlich Reichweiten-Erschwernisse analog zum 10/30/60/120/210m-Bandsystem der Feuerwaffen - aber die Quelle definiert NICHT, welche Entfernungsbaender den einzelnen Werten entsprechen, und die Eintragsanzahl ist nicht einheitlich (5 vs 6 Werte). Rohwert unveraendert uebernommen, Bedeutung ungeklaert - siehe Sheet Entwickeln.
Preis: 'nicht V.' = nicht verfuegbar/kein Marktpreis (z.B. traditionelle Stammes-Waffen). '+' Suffix = Mindestpreis, tatsaechlicher Preis Meistersache. Waehrungseinheit 'D' = Dublonen.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100-000001000000}">
      <text>
        <r>
          <rPr>
            <sz val="11"/>
            <color theme="1"/>
            <rFont val="Calibri"/>
          </rPr>
          <t>Quelle: 'Bögen Tabelle v0.5.docx', Tabelle 2 ('Pfeile'). Diese Werte sind ZUSAETZLICH zum Bogen-Schaden/RB des gewaehlten Bogens (siehe Sheet Boegen-Basis) zu addieren.
ANOMALIE: Die Quelltabelle hat zwei mit 'RW' beschriftete Spalten ohne Unterscheidung. Bei Pfeilen 'mit normaler Spitze' sind beide Spalten identisch (vermutlich eine Merge-Zellen-Formatierung im Original-Word-Dokument). Bei Pfeilen 'mit spezial Spitze' unterscheiden sich beide Spalten UND die erste 'RW'-Spalte ist bei mehreren Zeilen identisch mit der RB-Spalte (z.B. Breitkopfspitzen-Pfeil: RB=-1, RW-Spalte1=-1) - moeglicherweise ein weiterer Merge-Artefakt, bei dem RB ueber 2 Rasterspalten gespannt war. Nicht aufgeloest, beide Spalten wortgetreu uebernommen - siehe Sheet Entwickeln.
Waehrungseinheit 'FZ' (bei billigeren Pfeilen) - Umrechnungskurs FZ zu Dublonen (D) ist nirgends in diesem System dokumentiert, siehe Sheet Entwickeln.
Waehrungskurs geklaert (Nutzerangabe 2026-07-16): 1000 FZ ('Fuffzisch') = 1 Dublone (D).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200-000001000000}">
      <text>
        <r>
          <rPr>
            <sz val="11"/>
            <color theme="1"/>
            <rFont val="Calibri"/>
          </rPr>
          <t>Quelle: 'Ambrust Tabelle v0.3.docx' (Waffen/FK-Ordner, vom Nutzer als .docx bereitgestellt). 38 Armbrueste. Voellig fehlende Rassen-Abschnitte in der Quelle selbst (keine einzige Zeile, nur die Ueberschrift): Indianer, Katzenmenschen, Trolle, Zentauren - keine Armbrust-Modelle fuer diese Voelker vorhanden, im Gegensatz zu Boegen (dort haben alle 4 Voelker eigene Bogenmodelle). Siehe Sheet Entwickeln.
'Spanntechnik-roh': Rohtext mit bis zu 3 Spannmethoden (Hand/Geissfuss/Winde), Format je Methode 'MinStaerke,LadezeitSek:NachladeTeiler' - bei Repetier-Armbruesten stattdessen 'Repetiern:MinStae,LadezeitSek:Teiler / 5xBolzen nachladen:MinStae,LadezeitSek:Teiler(Erg:X fuer 1)' (komplett anderes Format). Wegen dieser Formatinkonsistenz NICHT in Spalten aufgesplittet, sondern als Rohtext uebernommen - Aufschluesselung kann spaeter erfolgen, wenn die genaue Bedeutung/Verwendung geklaert ist.
RW: Im Gegensatz zu Boegen verliert der Bolzen WIE bei Feuerwaffen pro RW-Intervall 1 SP; bei 0 SP faellt er zu Boden (Quelle nennt das Intervall nicht exakt beziffert, 'pro XX RW 1SP').
BE-Mechanik fuer Bolzen identisch zu Pfeilen (siehe Sheet Bolzen): [(Geschick+Medizin)-7] zum schadenfreien Entfernen, sonst W6+1 SP.
Mindeststaerke-Malus (Armbrust hat KEINEN Schadens-Malus, nur Bespann-/Ladezeit):
  -1: Bespannzeit x2, Ladezeit +2 sec
  -2: Bespannzeit x4, Ladezeit +6 sec
  -3: Bespannzeit x6, Ladezeit +12 sec
  -4: Bespannzeit x8, Ladezeit +20 sec
  -5: nicht mehr bespann-/nachladbar
Repetier-Armbrust: nur normale Bolzen mit normaler Spitze koennen ins 5-Schuss-Magazin geladen werden; nach Magazin-Nachladen muss der Repetier-Mechanismus einmal separat betaetigt werden, bevor der naechste Schuss moeglich ist.
Balläster: zur Steinschleuder umgebaute Armbrust fuer die Vogeljagd (Adlige); Munition kullert leicht aus der Abschusshalterung, daher nach dem Laden nicht mehr umherlaufen oder die Waffe nach unten richten.
'Modifikatoren-roh' hat dieselbe ungeklaerte Bedeutung wie bei Boegen, siehe Sheet Boegen-Basis und Entwickeln.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300-000001000000}">
      <text>
        <r>
          <rPr>
            <sz val="11"/>
            <color theme="1"/>
            <rFont val="Calibri"/>
          </rPr>
          <t>Quelle: 'Ambrust Tabelle v0.3.docx', Bolzen-Tabelle (Teil derselben Word-Tabelle wie Armbrust-Basis, ab '--- Bolzen ---'-Zeile). Diese Werte sind ZUSAETZLICH zum Armbrust-Schaden/RB der gewaehlten Armbrust (siehe Sheet Armbrust-Basis) zu addieren. Gleiche RW-Spalten-Anomalie und FZ-Waehrungsfrage wie bei Sheet Pfeile, siehe dortigen Kommentar und Sheet Entwickeln.
Waehrungskurs geklaert (Nutzerangabe 2026-07-16): 1000 FZ ('Fuffzisch') = 1 Dublone (D).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400-000001000000}">
      <text>
        <r>
          <rPr>
            <sz val="11"/>
            <color theme="1"/>
            <rFont val="Calibri"/>
          </rPr>
          <t>Quelle: 'Das Runengewehr.docx' (Waffen/FK-Ordner, vom Nutzer als .docx bereitgestellt). Eigenstaendiges Waffensystem, KEIN normales Feuerwaffen-System (Nutzerangabe: 'eigene Waffe mit eigenem System').
Funktionsweise: Wie ein normales Gewehr bedient (zielen, abdruecken). Zum Schiessen werden benoetigt: (1) das Runengewehr, (2) eine Gewehrrune (siehe Sheet Runengewehr-Gewehrrunen), (3) mindestens eine Munitionsrune (siehe Sheet Runengewehr-Munition). Grundsaetzlich ist jede Munitionsrune mit jeder Gewehrrune und jedem Runengewehr kompatibel. Weder Magie noch Aura sind zum Abfeuern noetig.
Nach jedem Schuss geht IMMER NUR die Munitionsrune kaputt (Gewehrrune und Gewehr bleiben erhalten, wiederverwendbar).
Der Schuss verpufft wirkungslos, wenn die Abweichung (Abw.) ueberschritten wird. Bei einem Patzer mit Abw.-Malus wird dieser Malus PERMANENT fuer jeden weiteren Schuss angerechnet (kein automatisches Zuruecksetzen erwaehnt).
Schaden = [Schaden-Formel der Munitionsrune, siehe Sheet Runengewehr-Munition] + Stufe der eingesetzten Gewehrrune. ACHTUNG: Die Munitions-Schadensformeln selbst enthalten teils bereits ein 'St.' (vermutlich Staerke-Bonus, z.B. 'W8+ St.') - das ist ein ANDERER Bonus als die 'Stufe der Gewehrrune' aus dieser Regel. Beide Boni sind wortgetreu aus der Quelle uebernommen, aber nicht gegeneinander abgeglichen - siehe Sheet Entwickeln.
Erweiterung: Ein Zusatzslot kann fuer 32D+ ans Gewehr angebracht werden, um zusaetzlich z.B. eine Unterwasserschussrune (65D+) oder eine Segnen-Rune (110D+) hineinzustecken - beide nur genannt, nicht naeher beschrieben in der Quelle.
Mod-10m bis Mod-210m: Reichweiten-Erschwernismodifikatoren analog zum Feuerwaffen-System (siehe NN_Feuerwaffen_1.1.xlsx-Legende: gilt fuer den jeweiligen Entfernungsbereich bis zum naechsten Band). Leere Zellen = Waffe erreicht dieses Band nicht (RW-max wird vorher unterschritten).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500-000001000000}">
      <text>
        <r>
          <rPr>
            <sz val="11"/>
            <color theme="1"/>
            <rFont val="Calibri"/>
          </rPr>
          <t>Quelle: 'Das Runengewehr.docx', Tabelle 'Die Munition'. 'St.' = vermutlich Staerke (Attribut) - wortgetreu aus der Quelle uebernommen, nicht mit der 'Stufe der Gewehrrune' zu verwechseln (siehe Kommentar auf Sheet Runengewehr-Basis).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600-000001000000}">
      <text>
        <r>
          <rPr>
            <sz val="11"/>
            <color theme="1"/>
            <rFont val="Calibri"/>
          </rPr>
          <t>Quelle: 'Das Runengewehr.docx', Tabelle 'Gewehrrunen'. Die Stufe wird laut Regeltext direkt zum Schaden addiert (siehe Sheet Runengewehr-Basis).</t>
        </r>
      </text>
    </comment>
  </commentList>
</comments>
</file>

<file path=xl/sharedStrings.xml><?xml version="1.0" encoding="utf-8"?>
<sst xmlns="http://schemas.openxmlformats.org/spreadsheetml/2006/main" count="24449" uniqueCount="7260">
  <si>
    <t>Referenz</t>
  </si>
  <si>
    <t>Kategorie</t>
  </si>
  <si>
    <t>Beschreibung</t>
  </si>
  <si>
    <t>Abkürzung</t>
  </si>
  <si>
    <t>Info</t>
  </si>
  <si>
    <t>Parent</t>
  </si>
  <si>
    <t>Art</t>
  </si>
  <si>
    <t>Formel</t>
  </si>
  <si>
    <t>Pool</t>
  </si>
  <si>
    <t>Flag</t>
  </si>
  <si>
    <t>Grad</t>
  </si>
  <si>
    <t>Kosten</t>
  </si>
  <si>
    <t>Verfuegbarkeit</t>
  </si>
  <si>
    <t>Mindest-TaW</t>
  </si>
  <si>
    <t>Eig-Bonus</t>
  </si>
  <si>
    <t>Wirkung</t>
  </si>
  <si>
    <t>spruchmagie_erdbeschwoerung_1_splitterwand</t>
  </si>
  <si>
    <t>Spruchmagie</t>
  </si>
  <si>
    <t>Splitterwand</t>
  </si>
  <si>
    <t>Erdbeschwörung</t>
  </si>
  <si>
    <t>Wert</t>
  </si>
  <si>
    <t>ACHTUNG: In der Quelle (NN_Spruchmagie_0.57) gibt es mehrere Zeilen mit gleichem Schule+Grad+Name aber abweichendem Wirkungstext (vermutlich alte+neue Version nebeneinander stehen geblieben) - hier wurde die letzte Version uebernommen, bitte pruefen.</t>
  </si>
  <si>
    <t>WENN(wert=0;0;10+(wert-1)*grad)</t>
  </si>
  <si>
    <t>eig_bonus_k_staerke</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</si>
  <si>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t>
  </si>
  <si>
    <t>spruchmagie_erdbeschwoerung_2_splitterstrahl</t>
  </si>
  <si>
    <t>Splitterstrahl</t>
  </si>
  <si>
    <t>Aus der Handfläche des Magiers schießt ein (M) cm dicker Strahl aus Erde. Schaden: W10+Magie, RB 3, pro sec, Treffer auf eine FK-TZ mit 1 zusätzlichen TZ-Reroll.</t>
  </si>
  <si>
    <t>spruchmagie_erdbeschwoerung_3_steinschlag</t>
  </si>
  <si>
    <t>Steinschlag</t>
  </si>
  <si>
    <t>Der Magus erschafft um das Opfer eine Kugel aus Erde.  Treffer auf FK-TZ mit 2 TZ-Rerolls auf die gewünschte Trefferzone. Schaden: 2W6 + Magie, RB 6.</t>
  </si>
  <si>
    <t>spruchmagie_erdbeschwoerung_4_grosse_splitterwand</t>
  </si>
  <si>
    <t>Große Splitterwand</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</si>
  <si>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t>
  </si>
  <si>
    <t>spruchmagie_erdbeschwoerung_5_grosse_splitteraura</t>
  </si>
  <si>
    <t>Große Splitteraura</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</si>
  <si>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t>
  </si>
  <si>
    <t>spruchmagie_erdbeschwoerung_5_grosser_steinschuss</t>
  </si>
  <si>
    <t>Großer Steinschuss</t>
  </si>
  <si>
    <t>Der Magus erschafft einen Bolzen aus Erde. Treffer auf FK-TZ. Schaden: 2W10 + Magie; RB: 6 + (M)/2</t>
  </si>
  <si>
    <t>spruchmagie_erdbeschwoerung_5_splittersturm</t>
  </si>
  <si>
    <t>Splittersturm</t>
  </si>
  <si>
    <t>Eine vom Magus ausgehende kugelförmige Explosion verursacht Elementarschaden. Es ist unmöglich, dem Schaden zu entgehen. Jede TZ wird getroffen. Schaden: W8 + Magie, RB 3.</t>
  </si>
  <si>
    <t>spruchmagie_erdbeschwoerung_6_grosser_splitterstrahl</t>
  </si>
  <si>
    <t>Großer Splitterstrahl</t>
  </si>
  <si>
    <t>Aus der Handfläche des Magiers schießt ein (M) cm dicker Strahl aus Erde. Schaden: 2W10 + Magie, RB 6, pro sec, Treffer auf eine FK-TZ mit 1 zusätzlichen TZ-Reroll.</t>
  </si>
  <si>
    <t>spruchmagie_erdbeschwoerung_6_grosser_steinschlag</t>
  </si>
  <si>
    <t>Großer Steinschlag</t>
  </si>
  <si>
    <t>Der Magus erschafft um das Opfer eine Kugel aus Erde. Treffer auf FK-TZ mit 2 TZ-Rerolls auf die gewünschte Trefferzone. Schaden: 2W12 + Magie, RB 9.</t>
  </si>
  <si>
    <t>spruchmagie_erdbeschwoerung_7_grosser_splittersturm</t>
  </si>
  <si>
    <t>Großer Splittersturm</t>
  </si>
  <si>
    <t xml:space="preserve">Eine vom Magus ausgehende kugelförmige Explosion verursacht Elementarschaden. Es ist unmöglich, dem Schaden zu entgehen. Jede TZ wird getroffen. Schaden: 2W15 + Magie, RB 15. </t>
  </si>
  <si>
    <t>spruchmagie_feuerbeschwoerung_1_flammenwand</t>
  </si>
  <si>
    <t>Flammenwand</t>
  </si>
  <si>
    <t>Feuerbeschwörung</t>
  </si>
  <si>
    <t>eig_bonus_g_mut</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</si>
  <si>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t>
  </si>
  <si>
    <t>spruchmagie_feuerbeschwoerung_2_flammenaura</t>
  </si>
  <si>
    <t>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</si>
  <si>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t>
  </si>
  <si>
    <t>spruchmagie_feuerbeschwoerung_2_flammenstrahl</t>
  </si>
  <si>
    <t>Flammenstrahl</t>
  </si>
  <si>
    <t>Aus der Handfläche des Magiers schießt ein (M) cm dicker Strahl aus Feuer. Schaden: W12+Magie pro sec, Treffer auf eine FK-TZ mit 1 zusätzlichen TZ-Reroll.</t>
  </si>
  <si>
    <t>spruchmagie_feuerbeschwoerung_3_feuerblitz</t>
  </si>
  <si>
    <t>Feuerblitz</t>
  </si>
  <si>
    <t>Der Magus erschafft um das Opfer eine Kugel aus Feuer.  Treffer auf FK-TZ mit 2 TZ-Rerolls auf die gewünschte Trefferzone. Schaden: 2W8 + Magie.</t>
  </si>
  <si>
    <t>spruchmagie_feuerbeschwoerung_4_grosse_flammenwand</t>
  </si>
  <si>
    <t>Große Flammenwand</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</si>
  <si>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t>
  </si>
  <si>
    <t>spruchmagie_feuerbeschwoerung_5_flammenmeer</t>
  </si>
  <si>
    <t>Flammenmeer</t>
  </si>
  <si>
    <t>Eine vom Magus ausgehende kugelförmige Explosion verursacht Elementarschaden. Es ist unmöglich, dem Schaden zu entgehen. Jede TZ wird getroffen. Schaden: W10 + Magie:2</t>
  </si>
  <si>
    <t>spruchmagie_feuerbeschwoerung_5_grosse_flammenaura</t>
  </si>
  <si>
    <t>Große 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</si>
  <si>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t>
  </si>
  <si>
    <t>spruchmagie_feuerbeschwoerung_5_grosser_feuerpfeil</t>
  </si>
  <si>
    <t>Großer Feuerpfeil</t>
  </si>
  <si>
    <t>Der Magus erschafft einen Bolzen aus Feuer. Treffer auf FK-TZ. Schaden: 2W12 + Magie; RB: (M)/2</t>
  </si>
  <si>
    <t>spruchmagie_feuerbeschwoerung_6_grosser_feuerblitz</t>
  </si>
  <si>
    <t>Großer Feuerblitz</t>
  </si>
  <si>
    <t>Der Magus erschafft um das Opfer eine Kugel aus Eis.  Treffer auf FK-TZ mit 2 TZ-Rerolls auf die gewünschte Trefferzone. Schaden: 2W15 + Magie.</t>
  </si>
  <si>
    <t>spruchmagie_feuerbeschwoerung_6_grosser_flammenstrahl</t>
  </si>
  <si>
    <t>Großer Flammenstrahl</t>
  </si>
  <si>
    <t>Aus der Handfläche des Magiers schießt ein (M) cm dicker Strahl aus Feuer. Schaden: 2W12 + Magie pro sec, Treffer auf eine FK-TZ mit 1 zusätzlichen TZ-Reroll.</t>
  </si>
  <si>
    <t>spruchmagie_feuerbeschwoerung_7_inferno</t>
  </si>
  <si>
    <t>Inferno</t>
  </si>
  <si>
    <t>Eine vom Magus ausgehende kugelförmige Explosion verursacht Elementarschaden. Es ist unmöglich, dem Schaden zu entgehen. Jede TZ wird getroffen. Schaden: 2W20 + Magie</t>
  </si>
  <si>
    <t>spruchmagie_luftbeschwoerung_1_sturmwand</t>
  </si>
  <si>
    <t>Sturmwand</t>
  </si>
  <si>
    <t>Luftbeschwörung</t>
  </si>
  <si>
    <t>eig_bonus_k_schnelligkeit</t>
  </si>
  <si>
    <t>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t>
  </si>
  <si>
    <t>spruchmagie_luftbeschwoerung_2_sturmaura</t>
  </si>
  <si>
    <t>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</si>
  <si>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t>
  </si>
  <si>
    <t>spruchmagie_luftbeschwoerung_2_sturmstrahl</t>
  </si>
  <si>
    <t>Sturmstrahl</t>
  </si>
  <si>
    <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t>
  </si>
  <si>
    <t>spruchmagie_luftbeschwoerung_3_sturmblitz</t>
  </si>
  <si>
    <t>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</si>
  <si>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t>
  </si>
  <si>
    <t>spruchmagie_luftbeschwoerung_4_grosse_sturmwand</t>
  </si>
  <si>
    <t>Große Sturmwand</t>
  </si>
  <si>
    <t>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t>
  </si>
  <si>
    <t>spruchmagie_luftbeschwoerung_5_grosse_sturmaura</t>
  </si>
  <si>
    <t>Große 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</si>
  <si>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t>
  </si>
  <si>
    <t>spruchmagie_luftbeschwoerung_5_grosser_sturmpfeil</t>
  </si>
  <si>
    <t>Großer Sturmpfeil</t>
  </si>
  <si>
    <t>Der Magus erschafft einen Bolzen aus Luft. Treffer auf FK-TZ. Das Opfer muss eine KB-Probeablegen, um nicht in der selben KR um so viele Meter zurückgeschleudert zu werden, wie der höchste Schadenswürfel anzeigt. Schaden: 2W10 + Magie; RB (M)/2, Erschwerung der KB-Probe: -TP -6.</t>
  </si>
  <si>
    <t>spruchmagie_luftbeschwoerung_5_tornado</t>
  </si>
  <si>
    <t>Tornado</t>
  </si>
  <si>
    <t>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t>
  </si>
  <si>
    <t>spruchmagie_luftbeschwoerung_6_grosser_sturmblitz</t>
  </si>
  <si>
    <t>Großer 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</si>
  <si>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t>
  </si>
  <si>
    <t>spruchmagie_luftbeschwoerung_6_grosser_sturmstrahl</t>
  </si>
  <si>
    <t>Großer Sturmstrahl</t>
  </si>
  <si>
    <t>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t>
  </si>
  <si>
    <t>spruchmagie_luftbeschwoerung_7_grosser_tornado</t>
  </si>
  <si>
    <t>Großer Tornado</t>
  </si>
  <si>
    <t>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t>
  </si>
  <si>
    <t>spruchmagie_magiebeschwoerung_1_wand_aus_magie</t>
  </si>
  <si>
    <t>Wand aus Magie</t>
  </si>
  <si>
    <t>Magiebeschwörung</t>
  </si>
  <si>
    <t>eig_bonus_k_ausstrahlung</t>
  </si>
  <si>
    <t>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t>
  </si>
  <si>
    <t>spruchmagie_magiebeschwoerung_2_magische_aura</t>
  </si>
  <si>
    <t>Magische Aura</t>
  </si>
  <si>
    <t>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t>
  </si>
  <si>
    <t>spruchmagie_magiebeschwoerung_2_magischer_strahl</t>
  </si>
  <si>
    <t>Magischer Strahl</t>
  </si>
  <si>
    <t>Aus der Handfläche des Magiers schießt ein (M) cm dicker Strahl aus Magie. Schaden: W10+Magie pro sec, zusätzliche Erschwerung der SB-Probe -3. Treffer auf eine FK-TZ mit 1 zusätzlichen TZ-Reroll, wenn min. 1 SP erzielt wird.</t>
  </si>
  <si>
    <t>spruchmagie_magiebeschwoerung_3_magische_entladung</t>
  </si>
  <si>
    <t>Magische Entladung</t>
  </si>
  <si>
    <t xml:space="preserve">Der Magus erschafft um das Opfer eine Kugel aus Magie.  Treffer auf FK (W30). Zwei Trefferzonen-Rerolls auf die gewünschte Trefferzone. Schaden: 2W12 + Magie, SB-Proben um 4 erschwert. Gegenprobe: Gück. </t>
  </si>
  <si>
    <t>spruchmagie_magiebeschwoerung_4_grosse_wand_aus_magie</t>
  </si>
  <si>
    <t>Große Wand aus Magie</t>
  </si>
  <si>
    <t>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t>
  </si>
  <si>
    <t>spruchmagie_magiebeschwoerung_5_grosse_magische_aura</t>
  </si>
  <si>
    <t>Große Magische Aura</t>
  </si>
  <si>
    <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t>
  </si>
  <si>
    <t>spruchmagie_magiebeschwoerung_5_grosses_magisches_geschoss</t>
  </si>
  <si>
    <t>Großes Magisches Geschoss</t>
  </si>
  <si>
    <t>Der Magus erschafft einen Bolzen aus Magie. Treffer auf FK-TZ. Schaden: 2W10 + Magie; RB (M)/2, zusätzliche Erschwerung der SB-Probe -6, wenn min. 1 SP erzielt wird.</t>
  </si>
  <si>
    <t>spruchmagie_magiebeschwoerung_5_statisches_feld</t>
  </si>
  <si>
    <t>Statisches Feld</t>
  </si>
  <si>
    <t xml:space="preserve">Eine vom Magus ausgehende kugelförmige Explosion verursacht Elementarschaden. Es ist unmöglich, dem Schaden zu entgehen. Alle TZ werden getroffen. Schaden: W10 + Magie:2 SB-Proben um 14 erschwert. </t>
  </si>
  <si>
    <t>spruchmagie_magiebeschwoerung_6_grosse_magische_entladung</t>
  </si>
  <si>
    <t>Große Magische Entladung</t>
  </si>
  <si>
    <t>Der Magus erschafft um das Opfer eine Kugel aus Magie. Treffer auf FK-TZ mit 2 TZ-Rerolls auf die gewünschte Trefferzone. Schaden: 2W12 + Magie, zusätzliche Erschwerung der SB-Probe -9, wenn min. 1 SP erzielt wird.</t>
  </si>
  <si>
    <t>spruchmagie_magiebeschwoerung_6_grosser_magischer_strahl</t>
  </si>
  <si>
    <t>Großer Magischer Strahl</t>
  </si>
  <si>
    <t>Aus der Handfläche des Magiers schießt ein (M) cm dicker Strahl aus Magie. Treffer auf eine FK-TZ mit 1 TZ-Reroll. Schaden: 2W10 + Magie pro sec, zusätzliche Erschwerung der SB-Probe -6, wenn min. 1 SP erzielt wird.</t>
  </si>
  <si>
    <t>spruchmagie_magiebeschwoerung_7_grosses_statisches_feld</t>
  </si>
  <si>
    <t>Großes statisches Feld</t>
  </si>
  <si>
    <t xml:space="preserve">Eine vom Magus ausgehende kugelförmige Explosion verursacht Elementarschaden. Es ist unmöglich, dem Schaden zu entgehen. Alle TZ werden getroffen. Schaden: W15 + (M):2 SB-Proben um 42 erschwert. </t>
  </si>
  <si>
    <t>spruchmagie_wasserbeschwoerung_1_frostwand</t>
  </si>
  <si>
    <t>Frostwand</t>
  </si>
  <si>
    <t>Wasserbeschwörung</t>
  </si>
  <si>
    <t>eig_bonus_k_athletik</t>
  </si>
  <si>
    <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t>
  </si>
  <si>
    <t>spruchmagie_wasserbeschwoerung_2_eisstrahl</t>
  </si>
  <si>
    <t>Eisstrahl</t>
  </si>
  <si>
    <t>Aus der Handfläche des Magiers schießt ein (M) cm dicker Strahl aus Wasser. Treffer auf eine FK-TZ mit 1 zusätzlichen TZ-Reroll. Schaden: W10+Magie pro sec. Pro 5 TP erleidet das Opfer zusätzliche BE 1, nur die höchste so erzielte BE zählt.</t>
  </si>
  <si>
    <t>spruchmagie_wasserbeschwoerung_3_eisblitz</t>
  </si>
  <si>
    <t>Eisblitz</t>
  </si>
  <si>
    <t>Der Magus erschafft um das Opfer eine Kugel aus Wasser.  Treffer auf FK-TZ mit 2 TZ-Rerolls auf die gewünschte Trefferzone. Schaden: 2W6 + Magie. Pro 5 TP erleidet das Opfer zusätzliche BE 1, nur die höchste so erzielte BE zählt.</t>
  </si>
  <si>
    <t>spruchmagie_wasserbeschwoerung_4_grosse_frostwand</t>
  </si>
  <si>
    <t>Große Frostwand</t>
  </si>
  <si>
    <t>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t>
  </si>
  <si>
    <t>spruchmagie_wasserbeschwoerung_5_blizzard</t>
  </si>
  <si>
    <t>Blizzard</t>
  </si>
  <si>
    <t>Eine vom Magus ausgehende kugelförmige Explosion verursacht Elementarschaden. Es ist unmöglich, dem Schaden zu entgehen. Jede TZ wird getroffen. Schaden: W8 + Magie. Pro 5 TP erleidet das Opfer zusätzliche BE 1, nur die höchste so erzielte BE zählt.</t>
  </si>
  <si>
    <t>spruchmagie_wasserbeschwoerung_5_grosse_eisaura</t>
  </si>
  <si>
    <t>Große 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</si>
  <si>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t>
  </si>
  <si>
    <t>spruchmagie_wasserbeschwoerung_5_grosser_frostbolzen</t>
  </si>
  <si>
    <t>Großer Frostbolzen</t>
  </si>
  <si>
    <t>Der Magus erschafft einen Bolzen aus Wasser. Treffer auf FK-TZ. Schaden: 2W10 + Magie; RB: (M)/2. Pro 5 TP erleidet das Opfer zusätzliche BE 1, nur die höchste so erzielte BE zählt.</t>
  </si>
  <si>
    <t>spruchmagie_wasserbeschwoerung_6_grosser_eisblitz</t>
  </si>
  <si>
    <t>Großer Eisblitz</t>
  </si>
  <si>
    <t>Der Magus erschafft um das Opfer eine Kugel aus Wasser. Treffer auf FK-TZ mit 2 TZ-Rerolls auf die gewünschte Trefferzone. Schaden: 2W12 + Magie. Pro 5 TP erleidet das Opfer zusätzliche BE 1, nur die höchste so erzielte BE zählt.</t>
  </si>
  <si>
    <t>spruchmagie_wasserbeschwoerung_6_grosser_eisstrahl</t>
  </si>
  <si>
    <t>Großer Eisstrahl</t>
  </si>
  <si>
    <t>Aus der Handfläche des Magiers schießt ein (M) cm dicker Strahl aus Wasser. Treffer auf eine FK-TZ mit 1 zusätzlichen TZ-Reroll. Schaden: 2W10 + Magie pro sec. Pro 5 TP erleidet das Opfer zusätzliche BE 1, nur die höchste so erzielte BE zählt.</t>
  </si>
  <si>
    <t>spruchmagie_wasserbeschwoerung_7_grosser_blizzard</t>
  </si>
  <si>
    <t>Großer Blizzard</t>
  </si>
  <si>
    <t>Eine vom Magus ausgehende kugelförmige Explosion verursacht Elementarschaden. Es ist unmöglich, dem Schaden zu entgehen. Jede TZ wird getroffen. Schaden: 2W15 + Magie. Pro 5 TP erleidet das Opfer zusätzliche BE 1, nur die höchste so erzielte BE zählt.</t>
  </si>
  <si>
    <t>spruchmagie_erdbeschwoerung_2_splitter_aura</t>
  </si>
  <si>
    <t>Splitter-Aura</t>
  </si>
  <si>
    <t>ACHTUNG: In der Quelle (NN_Spruchmagie_0.57) gibt es mehrere Zeilen mit gleichem Schule+Grad+Name aber abweichendem Wirkungstext (vermutlich alte+neue Version nebeneinander stehen geblieben) - hier wurde die letzte Version uebernommen, bitte pruefen. | Referenz enthielt Bindestrich (mehrdeutig mit Subtraktion) - zu Unterstrich normalisiert.</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</si>
  <si>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t>
  </si>
  <si>
    <t>spruchmagie_erdbeschwoerung_3_erd_klinge</t>
  </si>
  <si>
    <t>Erd-Klinge</t>
  </si>
  <si>
    <t>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t>
  </si>
  <si>
    <t>spruchmagie_erdbeschwoerung_3_splitter_pfeil</t>
  </si>
  <si>
    <t>Splitter-Pfeil</t>
  </si>
  <si>
    <t>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t>
  </si>
  <si>
    <t>spruchmagie_erdbeschwoerung_7_grosse_steinschuss_salve</t>
  </si>
  <si>
    <t>Große Steinschuss-Salve</t>
  </si>
  <si>
    <t xml:space="preserve">Der Magus erschafft Magie:2 Bolzen aus Erde. Jeweils Treffer auf FK-TZ. Schaden: 2W10 + Magie; RB: 6 + (M)/2 </t>
  </si>
  <si>
    <t>spruchmagie_feuerbeschwoerung_3_feuer_klinge</t>
  </si>
  <si>
    <t>Feuer-Klinge</t>
  </si>
  <si>
    <t>Eine Waffe erhält zusätzliche Schadenswirkung entsprechend der Magie des Magus: 1=W4, 2=W6, 3=W8, 4=W10, 5=W12, 6=W15, 7=W20, 8=W30, 9=2W20, 10=W50, 11=2W30. Bei guter oder besserer Probe können die KK-Punkte zum Erhöhen der Wirkung nur dafür eingesetzt werden, die W-Klasse zu erhöhen.  </t>
  </si>
  <si>
    <t>spruchmagie_feuerbeschwoerung_3_flammen_pfeil</t>
  </si>
  <si>
    <t>Flammen-Pfeil</t>
  </si>
  <si>
    <t>Ein Pfeil erhält eine zusätzliche Schadenswirkung entsprechend der Magie des Magus:1=W4, 2=W6, 3=W8, 4=W10, 5=W12, 6=W15, 7=W20, 8=W30, 9=2W20, 10=W50, 11=2W30. Bei guter oder besserer Probe können die KK-Punkte zum Erhöhen der Wirkung nur dafür eingesetzt werden, die W-Klasse zu erhöhen.  </t>
  </si>
  <si>
    <t>spruchmagie_feuerbeschwoerung_7_grosse_feuerpfeil_salve</t>
  </si>
  <si>
    <t>Große Feuerpfeil-Salve</t>
  </si>
  <si>
    <t xml:space="preserve">Der Magus erschafft Magie:2 Bolzen aus Feuer. Jeweils Treffer auf FK-TZ. Schaden: 2W12 + Magie; RB: (M)/2 </t>
  </si>
  <si>
    <t>spruchmagie_luftbeschwoerung_3_luft_klinge</t>
  </si>
  <si>
    <t>Luft-Klinge</t>
  </si>
  <si>
    <t>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</si>
  <si>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spruchmagie_luftbeschwoerung_3_sturm_pfeil</t>
  </si>
  <si>
    <t>Sturm-Pfeil</t>
  </si>
  <si>
    <t>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</si>
  <si>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spruchmagie_luftbeschwoerung_7_grosse_sturmpfeil_salve</t>
  </si>
  <si>
    <t>Große Sturmpfeil-Salve</t>
  </si>
  <si>
    <t>Der Magus erschafft Magie/2 Bolzen aus Luft. Jeweils Treffer auf FK-TZ. Das Opfer muss eine KB-Probeablegen, um nicht in der selben KR um so viele Meter zurückgeschleudert zu werden, wie der jeweils höchste Schadenswürfel anzeigt. Schaden: 2W10 + Magie, RB (M)/2, Erschwerung der KB-Probe: -TP -6.</t>
  </si>
  <si>
    <t>spruchmagie_magiebeschwoerung_3_blitz_klinge</t>
  </si>
  <si>
    <t>Blitz-Klinge</t>
  </si>
  <si>
    <t>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t>
  </si>
  <si>
    <t>spruchmagie_magiebeschwoerung_3_schock_pfeil</t>
  </si>
  <si>
    <t>Schock-Pfeil</t>
  </si>
  <si>
    <t>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t>
  </si>
  <si>
    <t>spruchmagie_magiebeschwoerung_7_grosse_magische_geschoss_salve</t>
  </si>
  <si>
    <t>Große Magische Geschoss-Salve</t>
  </si>
  <si>
    <t>Der Magus erschafft Magie/2 Bolzen aus Magie. Jeweils Treffer auf FK-TZ. Schaden: 2W10 + Magie, RB (M)/2, zusätzliche Erschwerung der SB-Probe -6, wenn min. 1 SP erzielt wird.</t>
  </si>
  <si>
    <t>spruchmagie_wasserbeschwoerung_2_eis_aura</t>
  </si>
  <si>
    <t>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</si>
  <si>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t>
  </si>
  <si>
    <t>spruchmagie_wasserbeschwoerung_3_frost_klinge</t>
  </si>
  <si>
    <t>Frost-Klinge</t>
  </si>
  <si>
    <t>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t>
  </si>
  <si>
    <t>spruchmagie_wasserbeschwoerung_3_frost_pfeil</t>
  </si>
  <si>
    <t>Frost-Pfeil</t>
  </si>
  <si>
    <t>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t>
  </si>
  <si>
    <t>spruchmagie_wasserbeschwoerung_7_grosse_frostbolzen_salve</t>
  </si>
  <si>
    <t>Große Frostbolzen-Salve</t>
  </si>
  <si>
    <t>Der Magus erschafft Magie/2 Bolzen aus Wasser. Jeweils Treffer auf FK-TZ. Schaden: 2W10 + Magie; RB: (M)/2. Pro 5 TP erleidet das Opfer zusätzliche BE 1, nur die höchste so erzielte BE zählt.</t>
  </si>
  <si>
    <t>ep_abenteuer</t>
  </si>
  <si>
    <t>Charakterwerte</t>
  </si>
  <si>
    <t>EP zum Abenteuerende</t>
  </si>
  <si>
    <t>S.1</t>
  </si>
  <si>
    <t>ep_gesamt-ep_start</t>
  </si>
  <si>
    <t>le_leberschutz</t>
  </si>
  <si>
    <t>Kampf</t>
  </si>
  <si>
    <t>Leberschutz</t>
  </si>
  <si>
    <t>S.3</t>
  </si>
  <si>
    <t>ep_gesamt</t>
  </si>
  <si>
    <t>Gesamte Erfahrungspunke</t>
  </si>
  <si>
    <t>ep_start</t>
  </si>
  <si>
    <t>EP bei Abenteuerbeginn</t>
  </si>
  <si>
    <t>whk_spez_kaufmann_gastwirt</t>
  </si>
  <si>
    <t>WHK</t>
  </si>
  <si>
    <t>-&gt; Gastwirt</t>
  </si>
  <si>
    <t>Kaufmann</t>
  </si>
  <si>
    <t>SVERWEIS(wert;'WHK-Spez-Kosten';3;1)</t>
  </si>
  <si>
    <t>whk_spez_kaufmann_sklavenhaendler</t>
  </si>
  <si>
    <t>-&gt; Sklavenhändler</t>
  </si>
  <si>
    <t>whk_spez_abrichten_drache</t>
  </si>
  <si>
    <t>-&gt; Drache</t>
  </si>
  <si>
    <t>Abrichten</t>
  </si>
  <si>
    <t>whk_spez_abrichten_laufvogel</t>
  </si>
  <si>
    <t>-&gt; Laufvogel</t>
  </si>
  <si>
    <t>whk_spez_abrichten_reitkrebse</t>
  </si>
  <si>
    <t>-&gt; Reitkrebse</t>
  </si>
  <si>
    <t>whk_spez_abrichten_reitreptilien</t>
  </si>
  <si>
    <t>-&gt; Reitreptilien</t>
  </si>
  <si>
    <t>whk_spez_abrichten_rok</t>
  </si>
  <si>
    <t>-&gt; Rok</t>
  </si>
  <si>
    <t>whk_spez_abrichten_warg</t>
  </si>
  <si>
    <t>-&gt; Warg</t>
  </si>
  <si>
    <t>whk_spez_ruestungsschmied_tierruestungen</t>
  </si>
  <si>
    <t>-&gt; Tierrüstungen</t>
  </si>
  <si>
    <t>Rüstungsschmied</t>
  </si>
  <si>
    <t>bewegung_f_schnell_schwimmen</t>
  </si>
  <si>
    <t>Bewegung</t>
  </si>
  <si>
    <t>Schnell Schwimmen</t>
  </si>
  <si>
    <t>Meisterscreen S.3</t>
  </si>
  <si>
    <t>(eig_k_konstitution+eig_k_athletik+gr_schwimmen)/30</t>
  </si>
  <si>
    <t>bewegung_f_sprinten</t>
  </si>
  <si>
    <t>Sprinten</t>
  </si>
  <si>
    <t>(eig_k_athletik+eig_k_schnelligkeit+gr_sprinten)/7+4</t>
  </si>
  <si>
    <t>spruchmagie_beherrschung_4_einschlaefern</t>
  </si>
  <si>
    <t>Einschläfern</t>
  </si>
  <si>
    <t>Beherrschung</t>
  </si>
  <si>
    <t>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t>
  </si>
  <si>
    <t>spruchmagie_beherrschung_7_maechtige_f_daemonen_herrschaft</t>
  </si>
  <si>
    <t>Mächtige f.Dämonen Herrschaft</t>
  </si>
  <si>
    <t>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t>
  </si>
  <si>
    <t>spruchmagie_beherrschung_5_massen_besaenftigung</t>
  </si>
  <si>
    <t>Massen Besänftigung</t>
  </si>
  <si>
    <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t>
  </si>
  <si>
    <t>spruchmagie_beherrschung_3_schmerzt_unterdruecken</t>
  </si>
  <si>
    <t>Schmerzt unterdrücken</t>
  </si>
  <si>
    <t>eig_bonus_g_willenskraft</t>
  </si>
  <si>
    <t>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t>
  </si>
  <si>
    <t>spruchmagie_beherrschung_2_zoegern</t>
  </si>
  <si>
    <t>Zögern</t>
  </si>
  <si>
    <t>eig_bonus_g_intelligenz</t>
  </si>
  <si>
    <t>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t>
  </si>
  <si>
    <t>vn_angst_magie_10</t>
  </si>
  <si>
    <t>Vor- und Nachteile</t>
  </si>
  <si>
    <t>Nervosität: Magie</t>
  </si>
  <si>
    <t>Auswahlgruppe angst_magie; maximal 1 Stufe; Angstwert 10; direkte Konfrontation: bei jeder erneuten direkten Konfrontation; bloße Gegenwart: BE -1.</t>
  </si>
  <si>
    <t>Angst: Magie</t>
  </si>
  <si>
    <t>Auswahl</t>
  </si>
  <si>
    <t>EP-Rate für 'magie' aus NN NPC-Rechner 0.75, Sheet 'NPC-Rechner' Formel '=AOxx*-10' (Zeile 52ff). Kosten = Stufenwert(10) * Rate(-10). | EXKLUSIV_ANGST=angst_magie | ANGST_INTERVALL=NEUE_KONFRONTATION | ANGST_DIREKTE_KONFRONTATION=1 | ANGST_BE=-1</t>
  </si>
  <si>
    <t>S</t>
  </si>
  <si>
    <t>Der Charakter reagiert auf alle Magie mit Nervosität und ist nicht in der Lage, irgendeine Form von Magie außer KI zu wirken. Bei direkter Konfrontation mit Magie, insbesondere wenn er gegen einen Magiewirker vorgeht, muss er bei jeder erneuten direkten Konfrontation eine um 10 erschwerte Mut-Probe bestehen, um handlungsfähig zu bleiben. Um Verzauberungen oder magische Heilung zuzulassen, ein Artefakt zu benutzen oder bewusst mit Magie zu interagieren, muss er einmalig eine um 10 erschwerte Willenskraft-Probe bestehen. Ist Magie zwar gegenwärtig, aber weder direkter Gegner noch Gegenstand, Wesen oder sonstiges Ziel, mit dem sich der Charakter aktuell befasst, sind keine Angst-Proben erforderlich; der Charakter erhält BE -1.</t>
  </si>
  <si>
    <t>vn_angst_magie_15</t>
  </si>
  <si>
    <t>Furcht: Magie</t>
  </si>
  <si>
    <t>Auswahlgruppe angst_magie; maximal 1 Stufe; Angstwert 15; direkte Konfrontation: sofort, danach alle 10 KR; bloße Gegenwart: BE -2.</t>
  </si>
  <si>
    <t>EP-Rate für 'magie' aus NN NPC-Rechner 0.75, Sheet 'NPC-Rechner' Formel '=AOxx*-10' (Zeile 52ff). Kosten = Stufenwert(15) * Rate(-10). | EXKLUSIV_ANGST=angst_magie | ANGST_INTERVALL=10_KR | ANGST_DIREKTE_KONFRONTATION=1 | ANGST_BE=-2</t>
  </si>
  <si>
    <t>Der Charakter reagiert auf alle Magie mit Furcht und ist nicht in der Lage, irgendeine Form von Magie außer KI zu wirken. Bei direkter Konfrontation mit Magie, insbesondere wenn er gegen einen Magiewirker vorgeht, muss er sofort, danach alle 10 KR eine um 15 erschwerte Mut-Probe bestehen, um handlungsfähig zu bleiben. Um Verzauberungen oder magische Heilung zuzulassen, ein Artefakt zu benutzen oder bewusst mit Magie zu interagieren, muss er einmalig eine um 15 erschwerte Willenskraft-Probe bestehen. Ist Magie zwar gegenwärtig, aber weder direkter Gegner noch Gegenstand, Wesen oder sonstiges Ziel, mit dem sich der Charakter aktuell befasst, sind keine Angst-Proben erforderlich; der Charakter erhält BE -2.</t>
  </si>
  <si>
    <t>vn_angst_magie_20</t>
  </si>
  <si>
    <t>Auswahlgruppe angst_magie; maximal 1 Stufe; Angstwert 20; direkte Konfrontation: sofort, danach alle 5 KR; bloße Gegenwart: BE -3.</t>
  </si>
  <si>
    <t>EP-Rate für 'magie' aus NN NPC-Rechner 0.75, Sheet 'NPC-Rechner' Formel '=AOxx*-10' (Zeile 52ff). Kosten = Stufenwert(20) * Rate(-10). | EXKLUSIV_ANGST=angst_magie | ANGST_INTERVALL=5_KR | ANGST_DIREKTE_KONFRONTATION=1 | ANGST_BE=-3</t>
  </si>
  <si>
    <t>Der Charakter reagiert auf alle Magie mit Angst und ist nicht in der Lage, irgendeine Form von Magie außer KI zu wirken. Bei direkter Konfrontation mit Magie, insbesondere wenn er gegen einen Magiewirker vorgeht, muss er sofort, danach alle 5 KR eine um 20 erschwerte Mut-Probe bestehen, um handlungsfähig zu bleiben. Um Verzauberungen oder magische Heilung zuzulassen, ein Artefakt zu benutzen oder bewusst mit Magie zu interagieren, muss er einmalig eine um 20 erschwerte Willenskraft-Probe bestehen. Ist Magie zwar gegenwärtig, aber weder direkter Gegner noch Gegenstand, Wesen oder sonstiges Ziel, mit dem sich der Charakter aktuell befasst, sind keine Angst-Proben erforderlich; der Charakter erhält BE -3.</t>
  </si>
  <si>
    <t>vn_angst_magie_30</t>
  </si>
  <si>
    <t>Phobie: Magie</t>
  </si>
  <si>
    <t>Auswahlgruppe angst_magie; maximal 1 Stufe; Angstwert 30; direkte Konfrontation: sofort, danach jede KR; bloße Gegenwart: BE -5.</t>
  </si>
  <si>
    <t>EP-Rate für 'magie' aus NN NPC-Rechner 0.75, Sheet 'NPC-Rechner' Formel '=AOxx*-10' (Zeile 52ff). Kosten = Stufenwert(30) * Rate(-10). | EXKLUSIV_ANGST=angst_magie | ANGST_INTERVALL=1_KR | ANGST_DIREKTE_KONFRONTATION=1 | ANGST_BE=-5</t>
  </si>
  <si>
    <t>Der Charakter leidet unter einer Phobie gegenüber aller Magie und ist nicht in der Lage, irgendeine Form von Magie außer KI zu wirken. Bei direkter Konfrontation mit Magie, insbesondere wenn er gegen einen Magiewirker vorgeht, muss er sofort, danach jede KR eine um 30 erschwerte Mut-Probe bestehen, um handlungsfähig zu bleiben. Um Verzauberungen oder magische Heilung zuzulassen, ein Artefakt zu benutzen oder bewusst mit Magie zu interagieren, muss er einmalig eine um 30 erschwerte Willenskraft-Probe bestehen. Ist Magie zwar gegenwärtig, aber weder direkter Gegner noch Gegenstand, Wesen oder sonstiges Ziel, mit dem sich der Charakter aktuell befasst, sind keine Angst-Proben erforderlich; der Charakter erhält BE -5.</t>
  </si>
  <si>
    <t>vn_angst_magie_5</t>
  </si>
  <si>
    <t>Unbehagen: Magie</t>
  </si>
  <si>
    <t>Auswahlgruppe angst_magie; maximal 1 Stufe; Angstwert 5; direkte Konfrontation: einmal pro Situation; bloße Gegenwart: BE 0.</t>
  </si>
  <si>
    <t>EP-Rate für 'magie' aus NN NPC-Rechner 0.75, Sheet 'NPC-Rechner' Formel '=AOxx*-10' (Zeile 52ff). Kosten = Stufenwert(5) * Rate(-10). | EXKLUSIV_ANGST=angst_magie | ANGST_INTERVALL=SITUATION | ANGST_DIREKTE_KONFRONTATION=1 | ANGST_BE=0</t>
  </si>
  <si>
    <t>Der Charakter empfindet Unbehagen gegenüber aller Magie und ist nicht in der Lage, irgendeine Form von Magie außer KI zu wirken. Bei direkter Konfrontation mit Magie, insbesondere wenn er gegen einen Magiewirker vorgeht, muss er einmal pro Situation eine um 5 erschwerte Mut-Probe bestehen, um handlungsfähig zu bleiben. Um Verzauberungen oder magische Heilung zuzulassen, ein Artefakt zu benutzen oder bewusst mit Magie zu interagieren, muss er einmalig eine um 5 erschwerte Willenskraft-Probe bestehen.</t>
  </si>
  <si>
    <t>vn_schlechte_eigenschaft_ausstrahlung</t>
  </si>
  <si>
    <t>Schlechte Eigenschaft: Ausstrahlung</t>
  </si>
  <si>
    <t>Max=9 (ab Kreis 3); Erstellungs-Max=7; nicht uebersteigerbar</t>
  </si>
  <si>
    <t>Ersetzt die normale Voelker-Maxima-Tabelle fuer diese Eigenschaft komplett (nicht MIN() mit dem Volkswert - die Regel ignoriert explizit die Erstellungs-/Kreis-3-Minima/Maxima und setzt eigene feste Werte).</t>
  </si>
  <si>
    <t>E</t>
  </si>
  <si>
    <t>vn_schlechte_eigenschaft_intelligenz</t>
  </si>
  <si>
    <t>Schlechte Eigenschaft: Intelligenz</t>
  </si>
  <si>
    <t>vn_schlechte_eigenschaft_mut</t>
  </si>
  <si>
    <t>Schlechte Eigenschaft: Mut</t>
  </si>
  <si>
    <t>vn_schlechte_eigenschaft_sinnesschaerfe</t>
  </si>
  <si>
    <t>Schlechte Eigenschaft: Sinnesschaerfe</t>
  </si>
  <si>
    <t>vn_schlechte_eigenschaft_willenskraft</t>
  </si>
  <si>
    <t>Schlechte Eigenschaft: Willenskraft</t>
  </si>
  <si>
    <t>vn_schlechte_eigenschaft_athletik</t>
  </si>
  <si>
    <t>Schlechte Eigenschaft: Athletik</t>
  </si>
  <si>
    <t>vn_schlechte_eigenschaft_geschicklichkeit</t>
  </si>
  <si>
    <t>Schlechte Eigenschaft: Geschicklichkeit</t>
  </si>
  <si>
    <t>vn_schlechte_eigenschaft_konstitution</t>
  </si>
  <si>
    <t>Schlechte Eigenschaft: Konstitution</t>
  </si>
  <si>
    <t>vn_schlechte_eigenschaft_schnelligkeit</t>
  </si>
  <si>
    <t>Schlechte Eigenschaft: Schnelligkeit</t>
  </si>
  <si>
    <t>vn_schlechte_eigenschaft_staerke</t>
  </si>
  <si>
    <t>Schlechte Eigenschaft: Staerke</t>
  </si>
  <si>
    <t>nk_pool_unbewaffnet</t>
  </si>
  <si>
    <t>Nahkampf</t>
  </si>
  <si>
    <t>Pool Unbewaffnet</t>
  </si>
  <si>
    <t>MAX(0;(eig_g_mut+eig_k_schnelligkeit+nk_unbewaffnet)/3-20)+MAX(0;(eig_k_athletik+eig_k_schnelligkeit+nk_unbewaffnet)/3-20)</t>
  </si>
  <si>
    <t>Formel hatte nur den Attacke-seitigen MAX-Term. Alle anderen 'Pool &lt;Gruppe&gt;'-Zeilen (198,203,207,212) kombinieren Attacke- und Parade-seitigen Überschuss - fehlenden Parade-Term ergänzt.</t>
  </si>
  <si>
    <t>f_ausdauer</t>
  </si>
  <si>
    <t>Ausdauer</t>
  </si>
  <si>
    <t>Ausd.</t>
  </si>
  <si>
    <t>S.2</t>
  </si>
  <si>
    <t>eig_k_athletik+2*eig_k_konstitution+(eig_k_staerke/2)+3*att_vitalitaet+stufe</t>
  </si>
  <si>
    <t>Formel referenzierte 'att_vitalität' (alte Umlautschreibweise) statt der aktuellen Referenz 'att_vitalitaet' - korrigiert.</t>
  </si>
  <si>
    <t>f_alchemieresistenz</t>
  </si>
  <si>
    <t>Alchemieresistenz</t>
  </si>
  <si>
    <t>AR</t>
  </si>
  <si>
    <t>eig_k_konstitution+3*att_vitalitaet+sf_alchemieresistenz</t>
  </si>
  <si>
    <t>Formel referenzierte 'att_vitalität' (alte Umlautschreibweise) statt der aktuellen Referenz 'att_vitalitaet' - korrigiert. | Formel referenzierte veraltete Gro�-/Kleinschreibung (sf_Alchemieresistenz) - an aktuelle (kleingeschriebene) Referenz angepasst.</t>
  </si>
  <si>
    <t>selbstbeherrschung</t>
  </si>
  <si>
    <t>Selbstbeherrschung</t>
  </si>
  <si>
    <t>SB</t>
  </si>
  <si>
    <t>(eig_g_mut+eig_g_willenskraft+eig_k_konstitution+eig_k_staerke+sf_selbstbeherrschung)/7+att_vitalitaet+12</t>
  </si>
  <si>
    <t>Formel referenzierte 'att_vitalität' (alte Umlautschreibweise) statt der aktuellen Referenz 'att_vitalitaet' - korrigiert. | Formel referenzierte veraltete Gro�-/Kleinschreibung (sf_Selbstbeherrschung) - an aktuelle (kleingeschriebene) Referenz angepasst.</t>
  </si>
  <si>
    <t>fk_basis_blasrohre</t>
  </si>
  <si>
    <t>Fernkampf</t>
  </si>
  <si>
    <t>Fernkampf-Basis-Wert Blasrohre</t>
  </si>
  <si>
    <t>(eig_g_sinneschaerfe+eig_k_geschicklichkeit+fk_blasrohre)/4</t>
  </si>
  <si>
    <t>Formel referenzierte veraltete Gro�-/Kleinschreibung (fk_blasrohre) - an aktuelle (kleingeschriebene) Referenz angepasst.</t>
  </si>
  <si>
    <t>fk_basis_spez_blasrohre_blasrohre</t>
  </si>
  <si>
    <t>Fernkampf-Spezialisierungs-Wert Blasrohre</t>
  </si>
  <si>
    <t>(eig_g_sinneschaerfe+eig_k_geschicklichkeit+fk_blasrohre+fk_spez_blasrohre_blasrohre)/4</t>
  </si>
  <si>
    <t>Formel referenzierte veraltete Gro�-/Kleinschreibung (fk_spez_Blasrohre_blasrohre, fk_blasrohre) - an aktuelle (kleingeschriebene) Referenz angepasst.</t>
  </si>
  <si>
    <t>aw_def_normal</t>
  </si>
  <si>
    <t>Defensives Ausweichen</t>
  </si>
  <si>
    <t>def. nAW</t>
  </si>
  <si>
    <t>(eig_k_athletik+eig_k_schnelligkeit+att_glueck+sf_ausweichen)/5+6-gewichtsbelastung</t>
  </si>
  <si>
    <t>Formel referenzierte veraltete Gro�-/Kleinschreibung (Gewichtsbelastung, sf_Ausweichen) - an aktuelle (kleingeschriebene) Referenz angepasst.</t>
  </si>
  <si>
    <t>aw_off_normal</t>
  </si>
  <si>
    <t>Offensives Ausweichen</t>
  </si>
  <si>
    <t>off. nAW</t>
  </si>
  <si>
    <t>(eig_k_athletik+eig_k_schnelligkeit+att_glueck+sf_ausweichen)/5+2-gewichtsbelastung</t>
  </si>
  <si>
    <t>aw_gut</t>
  </si>
  <si>
    <t>Gutes Ausweichen</t>
  </si>
  <si>
    <t>gAW</t>
  </si>
  <si>
    <t>(eig_bonus_k_athletik+sf_gutes_aw)/5+1</t>
  </si>
  <si>
    <t>Formel referenzierte veraltete Gro�-/Kleinschreibung (sf_Gutes_AW) - an aktuelle (kleingeschriebene) Referenz angepasst.</t>
  </si>
  <si>
    <t>mana</t>
  </si>
  <si>
    <t>Mana</t>
  </si>
  <si>
    <t>att_aura*7+att_magie*3+3*eig_g_willenskraft-30+eig_bonus_g_intelligenz*att_weisheit+stufe+sf_mana_talent*2</t>
  </si>
  <si>
    <t>Formel referenzierte veraltete Gro�-/Kleinschreibung (sf_Mana_Talent) - an aktuelle (kleingeschriebene) Referenz angepasst.</t>
  </si>
  <si>
    <t>aw_meisterlich</t>
  </si>
  <si>
    <t>Meisterliches Ausweichen</t>
  </si>
  <si>
    <t>mAW</t>
  </si>
  <si>
    <t>(eig_bonus_k_schnelligkeit+sf_meisterliches_ausweichen)/5+21</t>
  </si>
  <si>
    <t>Formel referenzierte veraltete Gro�-/Kleinschreibung (sf_Meisterliches_ausweichen) - an aktuelle (kleingeschriebene) Referenz angepasst.</t>
  </si>
  <si>
    <t>gbe_ausgeruestet</t>
  </si>
  <si>
    <t>Gewichtsbelastung</t>
  </si>
  <si>
    <t>Ausgerüstet</t>
  </si>
  <si>
    <t>eig_k_staerke+sf_tragen*1,5</t>
  </si>
  <si>
    <t>Formel referenzierte veraltete Gro�-/Kleinschreibung (sf_Tragen) - an aktuelle (kleingeschriebene) Referenz angepasst.</t>
  </si>
  <si>
    <t>gbe_leichtes_marschgepaeck</t>
  </si>
  <si>
    <t>Leichtes Marschgepäck</t>
  </si>
  <si>
    <t>eig_k_staerke+sf_tragen*3</t>
  </si>
  <si>
    <t>gbe_max_hebelast</t>
  </si>
  <si>
    <t>max. Hebelast</t>
  </si>
  <si>
    <t>eig_k_staerke+sf_tragen*15</t>
  </si>
  <si>
    <t>gbe_mittel_ueberladen</t>
  </si>
  <si>
    <t>Mittel Überladen</t>
  </si>
  <si>
    <t>eig_k_staerke+sf_tragen*7</t>
  </si>
  <si>
    <t>gbe_schwer_schleppend</t>
  </si>
  <si>
    <t>Schwer schleppend</t>
  </si>
  <si>
    <t>eig_k_staerke+sf_tragen*11</t>
  </si>
  <si>
    <t>gbe_schweres_marschgepaeck</t>
  </si>
  <si>
    <t>Schweres Marschgepäck</t>
  </si>
  <si>
    <t>eig_k_staerke+sf_tragen*5</t>
  </si>
  <si>
    <t>gbe_unbelastet</t>
  </si>
  <si>
    <t>Unbelastet</t>
  </si>
  <si>
    <t>eig_k_staerke+sf_tragen*0,5</t>
  </si>
  <si>
    <t>fk_gute_spez_schusswaffen_armbrust</t>
  </si>
  <si>
    <t>Fernkampf-Spezialisierungs-Gute-Wert Armbrust</t>
  </si>
  <si>
    <t>Diese Formel geht von der VOLLSTAENDIGEN Probe aus (Basiswert + Waffen-Modifikator + Entfernungs-Modifikator, siehe Waffentabellen z.B. NN_Feuerwaffen_1.1.xlsx). Die Berechnung dieser vollstaendigen Probe sowie die Sonderregel bei Probe&lt;=0 (nur Meisterlich=normaler Treffer bzw. Froehlich=guter Treffer moeglich) gehoeren ins zukuenftige Kampfmodul, nicht in den Charakterbogen - hier steht nur der Basismechanismus.</t>
  </si>
  <si>
    <t>WENN(talente_fernkampfgeschick_stufe_2&gt;0;1+AUFRUNDEN(fk_basis_spez_schusswaffen_armbrust/3;0);WENN(talente_fernkampfgeschick_stufe_1&gt;0;1+AUFRUNDEN(fk_basis_spez_schusswaffen_armbrust/4;0);1))</t>
  </si>
  <si>
    <t>Gleiches Muster wie fk_gute_* (Basiswaffe), nur auf den Spezialisierungs-Basiswert angewandt - Nutzerbestaetigung: 'Spezialisierungen sollten als simples +Spez in der /4 Formel gefuehrt sein'.</t>
  </si>
  <si>
    <t>fk_gute_spez_blasrohre_blasrohre</t>
  </si>
  <si>
    <t>Fernkampf-Spezialisierungs-Gute-Wert Blasrohre</t>
  </si>
  <si>
    <t>WENN(talente_fernkampfgeschick_stufe_2&gt;0;1+AUFRUNDEN(fk_basis_spez_blasrohre_blasrohre/3;0);WENN(talente_fernkampfgeschick_stufe_1&gt;0;1+AUFRUNDEN(fk_basis_spez_blasrohre_blasrohre/4;0);1))</t>
  </si>
  <si>
    <t>fk_gute_spez_schusswaffen_musketen</t>
  </si>
  <si>
    <t>Fernkampf-Spezialisierungs-Gute-Wert Musketen</t>
  </si>
  <si>
    <t>WENN(talente_fernkampfgeschick_stufe_2&gt;0;1+AUFRUNDEN(fk_basis_spez_schusswaffen_musketen/3;0);WENN(talente_fernkampfgeschick_stufe_1&gt;0;1+AUFRUNDEN(fk_basis_spez_schusswaffen_musketen/4;0);1))</t>
  </si>
  <si>
    <t>fk_gute_spez_schusswaffen_pistolen</t>
  </si>
  <si>
    <t>Fernkampf-Spezialisierungs-Gute-Wert Pistolen</t>
  </si>
  <si>
    <t>WENN(talente_fernkampfgeschick_stufe_2&gt;0;1+AUFRUNDEN(fk_basis_spez_schusswaffen_pistolen/3;0);WENN(talente_fernkampfgeschick_stufe_1&gt;0;1+AUFRUNDEN(fk_basis_spez_schusswaffen_pistolen/4;0);1))</t>
  </si>
  <si>
    <t>fk_gute_spez_boegen_boegen</t>
  </si>
  <si>
    <t>Fernkampf-Spezialisierungs-Gute-Wert Bögen</t>
  </si>
  <si>
    <t>WENN(talente_fernkampfgeschick_stufe_2&gt;0;1+AUFRUNDEN(fk_basis_spez_boegen_boegen/3;0);WENN(talente_fernkampfgeschick_stufe_1&gt;0;1+AUFRUNDEN(fk_basis_spez_boegen_boegen/4;0);1))</t>
  </si>
  <si>
    <t>fk_meisterlich_spez_schusswaffen_armbrust</t>
  </si>
  <si>
    <t>Fernkampf-Spezialisierungs-Meisterliche-Wert Armbrust</t>
  </si>
  <si>
    <t>WENN(talente_fernkampfgeschick_stufe_3&gt;0;21+AUFRUNDEN(fk_basis_spez_schusswaffen_armbrust/20;0);21)</t>
  </si>
  <si>
    <t>Gleiches Muster wie fk_meisterlich_* (Basiswaffe), nur auf den Spezialisierungs-Basiswert angewandt.</t>
  </si>
  <si>
    <t>fk_meisterlich_spez_blasrohre_blasrohre</t>
  </si>
  <si>
    <t>Fernkampf-Spezialisierungs-Meisterliche-Wert Blasrohre</t>
  </si>
  <si>
    <t>WENN(talente_fernkampfgeschick_stufe_3&gt;0;21+AUFRUNDEN(fk_basis_spez_blasrohre_blasrohre/20;0);21)</t>
  </si>
  <si>
    <t>fk_meisterlich_spez_schusswaffen_musketen</t>
  </si>
  <si>
    <t>Fernkampf-Spezialisierungs-Meisterliche-Wert Musketen</t>
  </si>
  <si>
    <t>WENN(talente_fernkampfgeschick_stufe_3&gt;0;21+AUFRUNDEN(fk_basis_spez_schusswaffen_musketen/20;0);21)</t>
  </si>
  <si>
    <t>fk_meisterlich_spez_schusswaffen_pistolen</t>
  </si>
  <si>
    <t>Fernkampf-Spezialisierungs-Meisterliche-Wert Pistolen</t>
  </si>
  <si>
    <t>WENN(talente_fernkampfgeschick_stufe_3&gt;0;21+AUFRUNDEN(fk_basis_spez_schusswaffen_pistolen/20;0);21)</t>
  </si>
  <si>
    <t>fk_meisterlich_spez_boegen_boegen</t>
  </si>
  <si>
    <t>Fernkampf-Spezialisierungs-Meisterliche-Wert Bögen</t>
  </si>
  <si>
    <t>WENN(talente_fernkampfgeschick_stufe_3&gt;0;21+AUFRUNDEN(fk_basis_spez_boegen_boegen/20;0);21)</t>
  </si>
  <si>
    <t>rs_arme</t>
  </si>
  <si>
    <t>Rüstungsschutz Arme</t>
  </si>
  <si>
    <t>SUMME(RS der 5 Ruestungslagen in Zone arme)</t>
  </si>
  <si>
    <t>Jede Koerperzone hat 5 Lagen (Stoff/Leder/Kette/Platte/Addon, siehe Sheets Ruestung-Basis/-Verarbeitung/-Anpassung/-Addons), deren RS sich aufaddieren (Nutzerangabe 2026-07-16, bestaetigt durch das Beispiel-Set in Sheet Ruestungstabelle: Kopf RS = 3+4+6+6+0 = 19). Einzel-Lagen-RS = RS-Basis(Ruestungsteil) + RS-Mod(Verarbeitung) [Anpassung wirkt nie auf RS, siehe Ruestung-Basis-Formel]. Welche Ruestung pro Lage/Zone gewaehlt ist, ist noch keine Referenz in diesem Sheet (keine Auswahl-Mechanik vorhanden) - Aufloesung der SUMME(...) obliegt der App/Charakterbogen-Logik, siehe Entwickeln.</t>
  </si>
  <si>
    <t>rs_beine</t>
  </si>
  <si>
    <t>Rüstungsschutz Beine</t>
  </si>
  <si>
    <t>SUMME(RS der 5 Ruestungslagen in Zone beine)</t>
  </si>
  <si>
    <t>rs_kopf</t>
  </si>
  <si>
    <t>Rüstungsschutz Kopf</t>
  </si>
  <si>
    <t>SUMME(RS der 5 Ruestungslagen in Zone kopf)</t>
  </si>
  <si>
    <t>rs_torso</t>
  </si>
  <si>
    <t>Rüstungsschutz Torso</t>
  </si>
  <si>
    <t>SUMME(RS der 5 Ruestungslagen in Zone torso)</t>
  </si>
  <si>
    <t>talente_gefahrensinn</t>
  </si>
  <si>
    <t>Talente</t>
  </si>
  <si>
    <t>Gefahrensinn</t>
  </si>
  <si>
    <t>Abenteurer</t>
  </si>
  <si>
    <t>Kein exakter Namenstreffer in NN NPC-Rechner 0.75/Talente - dort heißt das Talent 'Gefahreninstinkt' (Kategorie=Abenteurer). Vermutlich dasselbe Talent unter leicht anderem Namen, Parent trotzdem gesetzt.</t>
  </si>
  <si>
    <t>bewegung_f_leiter_steigen_schnell</t>
  </si>
  <si>
    <t>Leiter steigen schnell</t>
  </si>
  <si>
    <t>FEHLT</t>
  </si>
  <si>
    <t>kein Formeltext vorhanden</t>
  </si>
  <si>
    <t>bewegung_f_seil_hochklettern</t>
  </si>
  <si>
    <t>Seil hochklettern</t>
  </si>
  <si>
    <t>f_gefahreninstinkt</t>
  </si>
  <si>
    <t>Gefahreninstinkt</t>
  </si>
  <si>
    <t>GI</t>
  </si>
  <si>
    <t>eig_g_sinneschaerfe+sf_gefahreninstinkt</t>
  </si>
  <si>
    <t>kein Formeltext vorhanden | Formel = Sinnesschaerfe + SF Gefahreninstinkt (Nutzerangabe 2026-07-16). Einfache Probe, Probenwert = diese Formel, kann vom Meister situativ erschwert werden. Standard-Offsets fuer evtl. spaetere Gute/Meisterliche-Varianten waeren 1 bzw. 21 (Systemstandard, siehe aw_gut/aw_meisterlich), hier aber keine Sonderwerte noetig.</t>
  </si>
  <si>
    <t>bewegung_f_lesegeschwindigkeit</t>
  </si>
  <si>
    <t>Lesegeschwindigkeit (Wörter/min)</t>
  </si>
  <si>
    <t>kein Formeltext vorhanden | Referenz (Spalte G) enthält Klammern und Schrägstrich '(.../...)' unverändert aus der Beschreibung übernommen.</t>
  </si>
  <si>
    <t>ep_verbraucht</t>
  </si>
  <si>
    <t>Verbrauchte EP</t>
  </si>
  <si>
    <t>SUMME(Kosten aller gewaehlten Werte)</t>
  </si>
  <si>
    <t>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t>
  </si>
  <si>
    <t>startbudget_ausruestung</t>
  </si>
  <si>
    <t>Startbudget Ausruestung</t>
  </si>
  <si>
    <t>In Dublonen. 1 Dublone = 1000 Fuffzisch. Meister kann Kosten mit % anpassen (App-Verhalten, nicht Formel).</t>
  </si>
  <si>
    <t>Fixwert</t>
  </si>
  <si>
    <t>5000</t>
  </si>
  <si>
    <t>KORRIGIERT 2026-07-16 (Nutzerangabe): 5000 Dublonen Startbudget fuer Ausruestung bei Erschaffung (vorher faelschlich 4000 eingetragen).</t>
  </si>
  <si>
    <t>gr_betoeren</t>
  </si>
  <si>
    <t>Grundfertigkeit</t>
  </si>
  <si>
    <t>Betören</t>
  </si>
  <si>
    <t>Kosten = statisch 9 EP/Punkt (Nutzerangabe).</t>
  </si>
  <si>
    <t>wert*9</t>
  </si>
  <si>
    <t>gr_dauerlauf</t>
  </si>
  <si>
    <t>Dauerlauf</t>
  </si>
  <si>
    <t>gr_einschuechtern</t>
  </si>
  <si>
    <t>Einschüchtern</t>
  </si>
  <si>
    <t>gr_faehrtensuche</t>
  </si>
  <si>
    <t>Fährtensuche</t>
  </si>
  <si>
    <t>gr_fliegen</t>
  </si>
  <si>
    <t>Fliegen</t>
  </si>
  <si>
    <t>gr_klettern</t>
  </si>
  <si>
    <t>Klettern</t>
  </si>
  <si>
    <t>gr_koerperbeherrschung</t>
  </si>
  <si>
    <t>Körperbeherrschung</t>
  </si>
  <si>
    <t>KB</t>
  </si>
  <si>
    <t>gr_laufen</t>
  </si>
  <si>
    <t>Laufen</t>
  </si>
  <si>
    <t>gr_luft_anhalten</t>
  </si>
  <si>
    <t>Luft anhalten</t>
  </si>
  <si>
    <t>gr_luegen</t>
  </si>
  <si>
    <t>Lügen</t>
  </si>
  <si>
    <t>gr_menschenkenntnis</t>
  </si>
  <si>
    <t>Menschenkenntnis</t>
  </si>
  <si>
    <t>gr_orientierung</t>
  </si>
  <si>
    <t>Orientierung</t>
  </si>
  <si>
    <t>gr_reiten</t>
  </si>
  <si>
    <t>Reiten</t>
  </si>
  <si>
    <t>gr_rudern</t>
  </si>
  <si>
    <t>Rudern</t>
  </si>
  <si>
    <t>gr_schaetzen</t>
  </si>
  <si>
    <t>Schätzen</t>
  </si>
  <si>
    <t>gr_schleichen</t>
  </si>
  <si>
    <t>Schleichen</t>
  </si>
  <si>
    <t>gr_schwimmen</t>
  </si>
  <si>
    <t>Schwimmen</t>
  </si>
  <si>
    <t>gr_sprinten</t>
  </si>
  <si>
    <t>gr_springen</t>
  </si>
  <si>
    <t>Springen</t>
  </si>
  <si>
    <t>gr_ueberzeugen</t>
  </si>
  <si>
    <t>Überzeugen</t>
  </si>
  <si>
    <t>gr_verstecken</t>
  </si>
  <si>
    <t>Verstecken</t>
  </si>
  <si>
    <t>gr_werfen</t>
  </si>
  <si>
    <t>Werfen</t>
  </si>
  <si>
    <t>psi_deformation</t>
  </si>
  <si>
    <t>PSI</t>
  </si>
  <si>
    <t>Deformation</t>
  </si>
  <si>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</si>
  <si>
    <t>psi_hoehere_telekinese</t>
  </si>
  <si>
    <t>psi_destruktion</t>
  </si>
  <si>
    <t>Destruktion</t>
  </si>
  <si>
    <t>psi_pyrokinese</t>
  </si>
  <si>
    <t>psi_geschosse_ablenken</t>
  </si>
  <si>
    <t>Geschosse ablenken</t>
  </si>
  <si>
    <t>Höhere Telekinese</t>
  </si>
  <si>
    <t>psi_telekinese</t>
  </si>
  <si>
    <t>psi_im_schatten_verstecken</t>
  </si>
  <si>
    <t>Im Schatten verstecken</t>
  </si>
  <si>
    <t>psi_suggestion</t>
  </si>
  <si>
    <t>psi_im_wald_verstecken</t>
  </si>
  <si>
    <t>Im Wald verstecken</t>
  </si>
  <si>
    <t>psi_in_der_ferne_verstecken</t>
  </si>
  <si>
    <t>In der Ferne verstecken</t>
  </si>
  <si>
    <t>psi_in_der_menge_verstecken</t>
  </si>
  <si>
    <t>In der Menge verstecken</t>
  </si>
  <si>
    <t>psi_kryokinese</t>
  </si>
  <si>
    <t>Kryokinese</t>
  </si>
  <si>
    <t>Pyrokinese</t>
  </si>
  <si>
    <t>psi_telekinese_griff</t>
  </si>
  <si>
    <t>Telekinese Griff</t>
  </si>
  <si>
    <t>psi_telekinetisches_geschoss</t>
  </si>
  <si>
    <t>Telekinetisches Geschoss</t>
  </si>
  <si>
    <t>sf_alchemieresistenz</t>
  </si>
  <si>
    <t>Sonderfertigkeit</t>
  </si>
  <si>
    <t>sf_ausdauer</t>
  </si>
  <si>
    <t>sf_ausweichen</t>
  </si>
  <si>
    <t>Ausweichen</t>
  </si>
  <si>
    <t>AW</t>
  </si>
  <si>
    <t>sf_fliehen</t>
  </si>
  <si>
    <t>Fliehen</t>
  </si>
  <si>
    <t>sf_gefahreninstinkt</t>
  </si>
  <si>
    <t>sf_gutes_aw</t>
  </si>
  <si>
    <t>Gutes AW</t>
  </si>
  <si>
    <t>sf_ladeschuetze_armbrust</t>
  </si>
  <si>
    <t>Ladeschütze Armbrust</t>
  </si>
  <si>
    <t>sf_ladeschuetze_blasrohr</t>
  </si>
  <si>
    <t>Ladeschütze Blasrohr</t>
  </si>
  <si>
    <t>sf_ladeschuetze_bogen</t>
  </si>
  <si>
    <t>Ladeschütze Bogen</t>
  </si>
  <si>
    <t>sf_ladeschuetze_kanone</t>
  </si>
  <si>
    <t>Ladeschütze Kanone</t>
  </si>
  <si>
    <t>sf_ladeschuetze_patrone</t>
  </si>
  <si>
    <t>Ladeschütze Patrone</t>
  </si>
  <si>
    <t>sf_ladeschuetze_rune</t>
  </si>
  <si>
    <t>Ladeschütze Rune</t>
  </si>
  <si>
    <t>#sf_ladeschuetze_schleuder</t>
  </si>
  <si>
    <t>Ladeschütze Schleuder</t>
  </si>
  <si>
    <t>sf_ladeschuetze_vorderlader</t>
  </si>
  <si>
    <t>Ladeschütze Vorderlader</t>
  </si>
  <si>
    <t>sf_ladeschuetze_wurfmesser</t>
  </si>
  <si>
    <t>Ladeschütze Wurfmesser</t>
  </si>
  <si>
    <t>sf_mana_talent</t>
  </si>
  <si>
    <t>Mana-Talent</t>
  </si>
  <si>
    <t>sf_meditation</t>
  </si>
  <si>
    <t>Meditation</t>
  </si>
  <si>
    <t>sf_meisterliches_ausweichen</t>
  </si>
  <si>
    <t>sf_mentale_kapazitaet</t>
  </si>
  <si>
    <t>Mentale Kapazität</t>
  </si>
  <si>
    <t>MK</t>
  </si>
  <si>
    <t>sf_mentaler_fokus</t>
  </si>
  <si>
    <t>Mentaler Fokus</t>
  </si>
  <si>
    <t>MF</t>
  </si>
  <si>
    <t>sf_ruestungsmanoever</t>
  </si>
  <si>
    <t>Rüstungsmanöver</t>
  </si>
  <si>
    <t>RSM</t>
  </si>
  <si>
    <t>sf_selbstbeherrschung</t>
  </si>
  <si>
    <t>sf_tragen</t>
  </si>
  <si>
    <t>Tragen</t>
  </si>
  <si>
    <t>Suggestion</t>
  </si>
  <si>
    <t>psi_empathie</t>
  </si>
  <si>
    <t>Kosten = statisch 9 EP/Punkt (Nutzerangabe). | Beschreibung hatte Leerzeichen am Rand ('Suggestion ') - getrimmt.</t>
  </si>
  <si>
    <t>Empathie</t>
  </si>
  <si>
    <t>Kosten = statisch 9 EP/Punkt (Nutzerangabe). | Startpunkt des PSI-Zauberbaums (Telekinese/Empathie) - keine Vorbedingung.</t>
  </si>
  <si>
    <t>Telekinese</t>
  </si>
  <si>
    <t>att_aura</t>
  </si>
  <si>
    <t>Attribute</t>
  </si>
  <si>
    <t>Aura</t>
  </si>
  <si>
    <t>Aur</t>
  </si>
  <si>
    <t>80+wert*20</t>
  </si>
  <si>
    <t>att_essenz</t>
  </si>
  <si>
    <t>Essenz</t>
  </si>
  <si>
    <t>Ess</t>
  </si>
  <si>
    <t>att_glueck</t>
  </si>
  <si>
    <t>Glück</t>
  </si>
  <si>
    <t>Glü</t>
  </si>
  <si>
    <t>att_karma</t>
  </si>
  <si>
    <t>Karma</t>
  </si>
  <si>
    <t>Kar</t>
  </si>
  <si>
    <t>att_magie</t>
  </si>
  <si>
    <t>Magie</t>
  </si>
  <si>
    <t>Mag</t>
  </si>
  <si>
    <t>att_vitalitaet</t>
  </si>
  <si>
    <t>Vitalität</t>
  </si>
  <si>
    <t>Vit</t>
  </si>
  <si>
    <t>att_weisheit</t>
  </si>
  <si>
    <t>Weisheit</t>
  </si>
  <si>
    <t>Wei</t>
  </si>
  <si>
    <t>kreis+1</t>
  </si>
  <si>
    <t>eig_g_intelligenz</t>
  </si>
  <si>
    <t>Eigenschaft</t>
  </si>
  <si>
    <t>Intelligenz</t>
  </si>
  <si>
    <t>Int</t>
  </si>
  <si>
    <t>SVERWEIS(wert;'Eigenschaften-Kosten';2;0)</t>
  </si>
  <si>
    <t>eig_g_mut</t>
  </si>
  <si>
    <t>Mut</t>
  </si>
  <si>
    <t>eig_g_sinneschaerfe</t>
  </si>
  <si>
    <t>Sinnesschärfe</t>
  </si>
  <si>
    <t>Sin</t>
  </si>
  <si>
    <t>eig_g_willenskraft</t>
  </si>
  <si>
    <t>Willenskraft</t>
  </si>
  <si>
    <t>Wil</t>
  </si>
  <si>
    <t>eig_k_athletik</t>
  </si>
  <si>
    <t>Athletik</t>
  </si>
  <si>
    <t>Ath</t>
  </si>
  <si>
    <t>eig_k_ausstrahlung</t>
  </si>
  <si>
    <t>Ausstrahlung</t>
  </si>
  <si>
    <t>Aus</t>
  </si>
  <si>
    <t>eig_k_geschicklichkeit</t>
  </si>
  <si>
    <t>Geschicklichkeit</t>
  </si>
  <si>
    <t>Ges</t>
  </si>
  <si>
    <t>eig_k_konstitution</t>
  </si>
  <si>
    <t>Konstitution</t>
  </si>
  <si>
    <t>Kon</t>
  </si>
  <si>
    <t>eig_k_schnelligkeit</t>
  </si>
  <si>
    <t>Schnelligkeit</t>
  </si>
  <si>
    <t>Sch</t>
  </si>
  <si>
    <t>eig_k_staerke</t>
  </si>
  <si>
    <t>Stärke</t>
  </si>
  <si>
    <t>Stä</t>
  </si>
  <si>
    <t>ki_abhaertung</t>
  </si>
  <si>
    <t>KI</t>
  </si>
  <si>
    <t>Abhärtung</t>
  </si>
  <si>
    <t>KI Fertigkeits-Maximum=24, mit Talent 'KI-Meister' insgesamt 42.</t>
  </si>
  <si>
    <t>WENN(wert=0;0;10+(wert-1)*wert/2)</t>
  </si>
  <si>
    <t>eig_bonus_k_konstitution</t>
  </si>
  <si>
    <t>ki_adlerauge</t>
  </si>
  <si>
    <t>Adlerauge</t>
  </si>
  <si>
    <t>eig_bonus_g_sinneschaerfe</t>
  </si>
  <si>
    <t>ki_charisma</t>
  </si>
  <si>
    <t>Charisma</t>
  </si>
  <si>
    <t>ki_erleuchtung</t>
  </si>
  <si>
    <t>Erleuchtung</t>
  </si>
  <si>
    <t>ki_ewige_erinnerung</t>
  </si>
  <si>
    <t>Ewige Erinnerung</t>
  </si>
  <si>
    <t>ki_fledermausohr_aalnase</t>
  </si>
  <si>
    <t>Fledermausohr &amp; Aalnase (aka Luchsenohr)</t>
  </si>
  <si>
    <t>ki_froschlunge</t>
  </si>
  <si>
    <t>Froschlunge</t>
  </si>
  <si>
    <t>ki_geschossen_ausweichen</t>
  </si>
  <si>
    <t>Geschossen ausweichen</t>
  </si>
  <si>
    <t>ki_gleichgewicht_&amp;_feingefuehl</t>
  </si>
  <si>
    <t>Gleichgewicht &amp; Feingefühl</t>
  </si>
  <si>
    <t>eig_bonus_k_geschicklichkeit</t>
  </si>
  <si>
    <t>ki_heilender_schlaf</t>
  </si>
  <si>
    <t>Heilender Schlaf</t>
  </si>
  <si>
    <t>ki_kampfrausch</t>
  </si>
  <si>
    <t>Kampfrausch</t>
  </si>
  <si>
    <t>ki_katzenauge</t>
  </si>
  <si>
    <t>Katzenauge</t>
  </si>
  <si>
    <t>ki_konterattacke</t>
  </si>
  <si>
    <t>Konterattacke</t>
  </si>
  <si>
    <t>ki_kraftakt</t>
  </si>
  <si>
    <t>Kraftakt</t>
  </si>
  <si>
    <t>ki_magie_aufspueren</t>
  </si>
  <si>
    <t>Magie aufspüren</t>
  </si>
  <si>
    <t>ki_paradeserie</t>
  </si>
  <si>
    <t>Paradeserie</t>
  </si>
  <si>
    <t>ki_regeneration</t>
  </si>
  <si>
    <t>Regeneration</t>
  </si>
  <si>
    <t>ki_selbstheilung</t>
  </si>
  <si>
    <t>Selbstheilung</t>
  </si>
  <si>
    <t>ki_sprint</t>
  </si>
  <si>
    <t>Sprint</t>
  </si>
  <si>
    <t>ki_sprung</t>
  </si>
  <si>
    <t>Sprung</t>
  </si>
  <si>
    <t>ki_steinhaut</t>
  </si>
  <si>
    <t>Steinhaut</t>
  </si>
  <si>
    <t>ki_abwehr</t>
  </si>
  <si>
    <t>Abwehr</t>
  </si>
  <si>
    <t>ki_eigenanziehung_verringern</t>
  </si>
  <si>
    <t>Eigenanziehung verringern</t>
  </si>
  <si>
    <t>ki_wuchtschlag</t>
  </si>
  <si>
    <t>Wuchtschlag</t>
  </si>
  <si>
    <t>ki_meister_der_grundfertigkeiten</t>
  </si>
  <si>
    <t>Meister der Grundfertigkeiten</t>
  </si>
  <si>
    <t>1+AUFRUNDEN(wert/5;0)</t>
  </si>
  <si>
    <t>ki_f_mentale_kapazitaet</t>
  </si>
  <si>
    <t>eig_g_willenskraft+att_aura+stufe+sf_mentale_kapazitaet</t>
  </si>
  <si>
    <t>ki_f_mentaler_fokus</t>
  </si>
  <si>
    <t>eig_g_willenskraft+sf_mentaler_fokus</t>
  </si>
  <si>
    <t>ki_dauerlauf</t>
  </si>
  <si>
    <t>ki_ki_faehigkeiten</t>
  </si>
  <si>
    <t>KI-Fähigkeiten</t>
  </si>
  <si>
    <t>ki_ki_schutz</t>
  </si>
  <si>
    <t>KI-Schutz</t>
  </si>
  <si>
    <t>ki_konzentration</t>
  </si>
  <si>
    <t>Konzentration</t>
  </si>
  <si>
    <t>stufe</t>
  </si>
  <si>
    <t>Stufe</t>
  </si>
  <si>
    <t>Lookup</t>
  </si>
  <si>
    <t>SVERWEIS(ep_gesamt;'EP-Stufe-Kreis';2;1)</t>
  </si>
  <si>
    <t>kreis</t>
  </si>
  <si>
    <t>Kreis</t>
  </si>
  <si>
    <t>SVERWEIS(ep_gesamt;'EP-Stufe-Kreis';3;1)</t>
  </si>
  <si>
    <t>whk_spez_alchemie_brandbeschleuniger</t>
  </si>
  <si>
    <t>-&gt; Brandbeschleuniger</t>
  </si>
  <si>
    <t>Alchemie</t>
  </si>
  <si>
    <t>whk_spez_alchemie_dsa_material</t>
  </si>
  <si>
    <t>-&gt; DSA-Material</t>
  </si>
  <si>
    <t>whk_spez_alchemie_farbstoffe</t>
  </si>
  <si>
    <t>-&gt; Farbstoffe</t>
  </si>
  <si>
    <t>whk_spez_alchemie_fettprodukte</t>
  </si>
  <si>
    <t>-&gt; Fettprodukte</t>
  </si>
  <si>
    <t>whk_spez_alchemie_klebstoff</t>
  </si>
  <si>
    <t>-&gt; Klebstoff</t>
  </si>
  <si>
    <t>whk_spez_alchemie_klebstoffe</t>
  </si>
  <si>
    <t>-&gt; Klebstoffe</t>
  </si>
  <si>
    <t>whk_spez_alchemie_parfumeur</t>
  </si>
  <si>
    <t>-&gt; Parfumeur</t>
  </si>
  <si>
    <t>whk_spez_alchemie_pulver</t>
  </si>
  <si>
    <t>-&gt; Pulver</t>
  </si>
  <si>
    <t>whk_spez_alchemie_salze</t>
  </si>
  <si>
    <t>-&gt; Salze</t>
  </si>
  <si>
    <t>whk_spez_baecker_backwaren</t>
  </si>
  <si>
    <t>-&gt; Backwaren</t>
  </si>
  <si>
    <t>Bäcker</t>
  </si>
  <si>
    <t>whk_spez_baecker_konditor</t>
  </si>
  <si>
    <t>-&gt; Konditor</t>
  </si>
  <si>
    <t>whk_spez_barbier_bader</t>
  </si>
  <si>
    <t>-&gt; Bader</t>
  </si>
  <si>
    <t>Barbier</t>
  </si>
  <si>
    <t>whk_spez_barbier_frisoer</t>
  </si>
  <si>
    <t>-&gt; Frisör</t>
  </si>
  <si>
    <t>whk_spez_bergbau_edelsteine</t>
  </si>
  <si>
    <t>-&gt; Edelsteine</t>
  </si>
  <si>
    <t>Bergbau</t>
  </si>
  <si>
    <t>whk_spez_bergbau_gesteine</t>
  </si>
  <si>
    <t>-&gt; Gesteine</t>
  </si>
  <si>
    <t>whk_spez_bergbau_kohle</t>
  </si>
  <si>
    <t>-&gt; Kohle</t>
  </si>
  <si>
    <t>whk_spez_bergbau_salze</t>
  </si>
  <si>
    <t>whk_spez_bergbau_oelprodukte</t>
  </si>
  <si>
    <t>-&gt; Ölprodukte</t>
  </si>
  <si>
    <t>whk_spez_bootsbauer_dickschiffe</t>
  </si>
  <si>
    <t>-&gt; Dickschiffe</t>
  </si>
  <si>
    <t>Bootsbauer</t>
  </si>
  <si>
    <t>whk_spez_bootsbauer_kleine_schiffe</t>
  </si>
  <si>
    <t>-&gt; Kleine Schiffe</t>
  </si>
  <si>
    <t>whk_spez_brenner_alchemistische_zutaten</t>
  </si>
  <si>
    <t>-&gt; Alchemistische Zutaten</t>
  </si>
  <si>
    <t>Brenner</t>
  </si>
  <si>
    <t>whk_spez_brenner_geist</t>
  </si>
  <si>
    <t>-&gt; Geist</t>
  </si>
  <si>
    <t>whk_spez_brenner_kraeutergeist</t>
  </si>
  <si>
    <t>-&gt; Kräutergeist</t>
  </si>
  <si>
    <t>whk_spez_drucker_buchbinder</t>
  </si>
  <si>
    <t>-&gt; Buchbinder</t>
  </si>
  <si>
    <t>Drucker</t>
  </si>
  <si>
    <t>whk_spez_drucker_papierherstellung</t>
  </si>
  <si>
    <t>-&gt; Papierherstellung</t>
  </si>
  <si>
    <t>whk_spez_eisenbahner_lokfuehrer</t>
  </si>
  <si>
    <t>-&gt; Lokführer</t>
  </si>
  <si>
    <t>Eisenbahner</t>
  </si>
  <si>
    <t>whk_spez_feuerwaffenbauer_vorlagen</t>
  </si>
  <si>
    <t>-&gt; Vorlagen</t>
  </si>
  <si>
    <t>Feuerwaffenbauer</t>
  </si>
  <si>
    <t>whk_spez_fischer_angeln</t>
  </si>
  <si>
    <t>-&gt; Angeln</t>
  </si>
  <si>
    <t>Fischer</t>
  </si>
  <si>
    <t>whk_spez_fischer_fischoele</t>
  </si>
  <si>
    <t>-&gt; Fischöle</t>
  </si>
  <si>
    <t>whk_spez_fischer_netzfischen</t>
  </si>
  <si>
    <t>-&gt; Netzfischen</t>
  </si>
  <si>
    <t>whk_spez_fischer_schwammtaucher</t>
  </si>
  <si>
    <t>-&gt; Schwammtaucher</t>
  </si>
  <si>
    <t>whk_spez_fischer_walfang</t>
  </si>
  <si>
    <t>-&gt; Walfang</t>
  </si>
  <si>
    <t>whk_spez_fuhrmann_lastwagen</t>
  </si>
  <si>
    <t>-&gt; Lastwagen</t>
  </si>
  <si>
    <t>Fuhrmann</t>
  </si>
  <si>
    <t>whk_spez_fuhrmann_post</t>
  </si>
  <si>
    <t>-&gt; Post</t>
  </si>
  <si>
    <t>whk_spez_fuhrmann_reisewagen</t>
  </si>
  <si>
    <t>-&gt; Reisewagen</t>
  </si>
  <si>
    <t>whk_spez_fuehrung_dampferkapitaen</t>
  </si>
  <si>
    <t>-&gt; Dampferkapitän</t>
  </si>
  <si>
    <t>Führung</t>
  </si>
  <si>
    <t>whk_spez_fuehrung_handelszuege</t>
  </si>
  <si>
    <t>-&gt; Handelszüge</t>
  </si>
  <si>
    <t>whk_spez_fuehrung_luftschiffkapitaen</t>
  </si>
  <si>
    <t>-&gt; Luftschiffkapitän</t>
  </si>
  <si>
    <t>whk_spez_fuehrung_schiffskapitaen</t>
  </si>
  <si>
    <t>-&gt; Schiffskapitän</t>
  </si>
  <si>
    <t>whk_spez_fuehrung_zoellner</t>
  </si>
  <si>
    <t>-&gt; Zöllner</t>
  </si>
  <si>
    <t>whk_spez_glaser_alchemistische_apparaturen</t>
  </si>
  <si>
    <t>-&gt; Alchemistische Apparaturen</t>
  </si>
  <si>
    <t>Glaser</t>
  </si>
  <si>
    <t>whk_spez_glaser_alltagsgegenstaende</t>
  </si>
  <si>
    <t>-&gt; Alltagsgegenstände</t>
  </si>
  <si>
    <t>whk_spez_glaser_kristall</t>
  </si>
  <si>
    <t>-&gt; Kristall</t>
  </si>
  <si>
    <t>whk_spez_glaser_optiker</t>
  </si>
  <si>
    <t>-&gt; Optiker</t>
  </si>
  <si>
    <t>whk_spez_glaser_scheiben</t>
  </si>
  <si>
    <t>-&gt; Scheiben</t>
  </si>
  <si>
    <t>whk_spez_goldschmied_bronzeschmied</t>
  </si>
  <si>
    <t>-&gt; Bronzeschmied</t>
  </si>
  <si>
    <t>Goldschmied</t>
  </si>
  <si>
    <t>whk_spez_goldschmied_goldschmied</t>
  </si>
  <si>
    <t>-&gt; Goldschmied</t>
  </si>
  <si>
    <t>whk_spez_goldschmied_kupferschmied</t>
  </si>
  <si>
    <t>-&gt; Kupferschmied</t>
  </si>
  <si>
    <t>whk_spez_goldschmied_silberschmied</t>
  </si>
  <si>
    <t>-&gt; Silberschmied</t>
  </si>
  <si>
    <t>whk_spez_goldschmied_zinngeraet</t>
  </si>
  <si>
    <t>-&gt; Zinngerät</t>
  </si>
  <si>
    <t>whk_spez_holzbearbeitung_alltagsgegenstaende</t>
  </si>
  <si>
    <t>Holzbearbeitung</t>
  </si>
  <si>
    <t>whk_spez_holzbearbeitung_buerstenbinder</t>
  </si>
  <si>
    <t>-&gt; Bürstenbinder</t>
  </si>
  <si>
    <t>whk_spez_holzbearbeitung_fassbinder</t>
  </si>
  <si>
    <t>-&gt; Fassbinder</t>
  </si>
  <si>
    <t>whk_spez_holzbearbeitung_korbflechter</t>
  </si>
  <si>
    <t>-&gt; Korbflechter</t>
  </si>
  <si>
    <t>whk_spez_holzbearbeitung_koehler</t>
  </si>
  <si>
    <t>-&gt; Köhler</t>
  </si>
  <si>
    <t>whk_spez_holzbearbeitung_schnitzen</t>
  </si>
  <si>
    <t>-&gt; Schnitzen</t>
  </si>
  <si>
    <t>whk_spez_holzbearbeitung_tischler</t>
  </si>
  <si>
    <t>-&gt; Tischler</t>
  </si>
  <si>
    <t>whk_spez_holzbearbeitung_wagner</t>
  </si>
  <si>
    <t>-&gt; Wagner</t>
  </si>
  <si>
    <t>whk_spez_instrumentenbauer_blasinstrumente</t>
  </si>
  <si>
    <t>-&gt; Blasinstrumente</t>
  </si>
  <si>
    <t>Instrumentenbauer</t>
  </si>
  <si>
    <t>whk_spez_instrumentenbauer_saiteninstrumente</t>
  </si>
  <si>
    <t>-&gt; Saiteninstrumente</t>
  </si>
  <si>
    <t>whk_spez_instrumentenbauer_schlaginstrumente</t>
  </si>
  <si>
    <t>-&gt; Schlaginstrumente</t>
  </si>
  <si>
    <t>whk_spez_jaeger_kuerschner</t>
  </si>
  <si>
    <t>-&gt; Kürschner</t>
  </si>
  <si>
    <t>Jäger</t>
  </si>
  <si>
    <t>whk_spez_jaeger_voegel</t>
  </si>
  <si>
    <t>-&gt; Vögel</t>
  </si>
  <si>
    <t>whk_spez_koch_backen</t>
  </si>
  <si>
    <t>-&gt; Backen</t>
  </si>
  <si>
    <t>Koch</t>
  </si>
  <si>
    <t>whk_spez_koch_braten</t>
  </si>
  <si>
    <t>-&gt; Braten</t>
  </si>
  <si>
    <t>whk_spez_koch_raeuchern</t>
  </si>
  <si>
    <t>-&gt; Räuchern</t>
  </si>
  <si>
    <t>whk_spez_koch_roesten</t>
  </si>
  <si>
    <t>-&gt; Rösten</t>
  </si>
  <si>
    <t>whk_spez_kunsthandwerker_bildhauer</t>
  </si>
  <si>
    <t>-&gt; Bildhauer</t>
  </si>
  <si>
    <t>Kunsthandwerker</t>
  </si>
  <si>
    <t>whk_spez_kunsthandwerker_maler</t>
  </si>
  <si>
    <t>-&gt; Maler</t>
  </si>
  <si>
    <t>whk_spez_kunsthandwerker_taetowierer</t>
  </si>
  <si>
    <t>-&gt; Tätowierer</t>
  </si>
  <si>
    <t>whk_spez_landwirtschaft_gemuesebauer</t>
  </si>
  <si>
    <t>-&gt; Gemüsebauer</t>
  </si>
  <si>
    <t>Landwirtschaft</t>
  </si>
  <si>
    <t>whk_spez_landwirtschaft_getreide</t>
  </si>
  <si>
    <t>-&gt; Getreide</t>
  </si>
  <si>
    <t>whk_spez_landwirtschaft_obstbauer</t>
  </si>
  <si>
    <t>-&gt; Obstbauer</t>
  </si>
  <si>
    <t>whk_spez_landwirtschaft_palmengewaechse</t>
  </si>
  <si>
    <t>-&gt; Palmengewächse</t>
  </si>
  <si>
    <t>whk_spez_landwirtschaft_pflanzliche_fette</t>
  </si>
  <si>
    <t>-&gt; Pflanzliche Fette</t>
  </si>
  <si>
    <t>whk_spez_landwirtschaft_rueben</t>
  </si>
  <si>
    <t>-&gt; Rüben</t>
  </si>
  <si>
    <t>whk_spez_landwirtschaft_tabak</t>
  </si>
  <si>
    <t>-&gt; Tabak</t>
  </si>
  <si>
    <t>whk_spez_landwirtschaft_winzer</t>
  </si>
  <si>
    <t>-&gt; Winzer</t>
  </si>
  <si>
    <t>whk_spez_lederbearbeitung_handschuhe</t>
  </si>
  <si>
    <t>-&gt; Handschuhe</t>
  </si>
  <si>
    <t>Lederbearbeitung</t>
  </si>
  <si>
    <t>whk_spez_lederbearbeitung_oberbekleidung</t>
  </si>
  <si>
    <t>-&gt; Oberbekleidung</t>
  </si>
  <si>
    <t>whk_spez_lederbearbeitung_riemer</t>
  </si>
  <si>
    <t>-&gt; Riemer</t>
  </si>
  <si>
    <t>whk_spez_lederbearbeitung_sattler</t>
  </si>
  <si>
    <t>-&gt; Sattler</t>
  </si>
  <si>
    <t>whk_spez_lederbearbeitung_schuster</t>
  </si>
  <si>
    <t>-&gt; Schuster</t>
  </si>
  <si>
    <t>whk_spez_lederbearbeitung_waffenzubehoer</t>
  </si>
  <si>
    <t>-&gt; Waffenzubehör</t>
  </si>
  <si>
    <t>whk_spez_luftschiffbauer_sonderschiffe</t>
  </si>
  <si>
    <t>-&gt; Sonderschiffe</t>
  </si>
  <si>
    <t>Luftschiffbauer</t>
  </si>
  <si>
    <t>whk_spez_luftschiffbauer_transportschiffe</t>
  </si>
  <si>
    <t>-&gt; Transportschiffe</t>
  </si>
  <si>
    <t>whk_spez_mechanikus_einfache_mechanismen</t>
  </si>
  <si>
    <t>-&gt; Einfache Mechanismen</t>
  </si>
  <si>
    <t>Mechanikus</t>
  </si>
  <si>
    <t>whk_spez_mechanikus_rechenmaschinen</t>
  </si>
  <si>
    <t>-&gt; Rechenmaschinen</t>
  </si>
  <si>
    <t>whk_spez_mechanikus_uhrmacher</t>
  </si>
  <si>
    <t>-&gt; Uhrmacher</t>
  </si>
  <si>
    <t>whk_spez_medizin_veterinaer</t>
  </si>
  <si>
    <t>-&gt; Veterinär</t>
  </si>
  <si>
    <t>Medizin</t>
  </si>
  <si>
    <t>whk_spez_metallurgie_edelmetalle</t>
  </si>
  <si>
    <t>-&gt; Edelmetalle</t>
  </si>
  <si>
    <t>Metallurgie</t>
  </si>
  <si>
    <t>whk_spez_metallurgie_legierungen</t>
  </si>
  <si>
    <t>-&gt; Legierungen</t>
  </si>
  <si>
    <t>whk_spez_metallurgie_schwermetalle</t>
  </si>
  <si>
    <t>-&gt; Schwermetalle</t>
  </si>
  <si>
    <t>whk_spez_pflanzenkunde_baeume</t>
  </si>
  <si>
    <t>-&gt; Bäume</t>
  </si>
  <si>
    <t>Pflanzenkunde</t>
  </si>
  <si>
    <t>whk_spez_pflanzenkunde_dsa_pflanzen</t>
  </si>
  <si>
    <t>-&gt; DSA-Pflanzen</t>
  </si>
  <si>
    <t>whk_spez_pflanzenkunde_farbstoffe</t>
  </si>
  <si>
    <t>whk_spez_pflanzenkunde_kraeuter</t>
  </si>
  <si>
    <t>-&gt; Kräuter</t>
  </si>
  <si>
    <t>whk_spez_pflanzenkunde_moose</t>
  </si>
  <si>
    <t>-&gt; Moose</t>
  </si>
  <si>
    <t>whk_spez_pflanzenkunde_pilze</t>
  </si>
  <si>
    <t>-&gt; Pilze</t>
  </si>
  <si>
    <t>whk_spez_pflanzenkunde_straeucher</t>
  </si>
  <si>
    <t>-&gt; Sträucher</t>
  </si>
  <si>
    <t>whk_spez_schmied_feinschmied</t>
  </si>
  <si>
    <t>-&gt; Feinschmied</t>
  </si>
  <si>
    <t>Schmied</t>
  </si>
  <si>
    <t>whk_spez_schmied_grobschmied</t>
  </si>
  <si>
    <t>-&gt; Grobschmied</t>
  </si>
  <si>
    <t>whk_spez_schmied_hufschmied</t>
  </si>
  <si>
    <t>-&gt; Hufschmied</t>
  </si>
  <si>
    <t>whk_spez_schneider_decken</t>
  </si>
  <si>
    <t>-&gt; Decken</t>
  </si>
  <si>
    <t>Schneider</t>
  </si>
  <si>
    <t>whk_spez_schneider_flaggen</t>
  </si>
  <si>
    <t>-&gt; Flaggen</t>
  </si>
  <si>
    <t>whk_spez_schneider_handschuhe</t>
  </si>
  <si>
    <t>whk_spez_schneider_hutmacher</t>
  </si>
  <si>
    <t>-&gt; Hutmacher</t>
  </si>
  <si>
    <t>whk_spez_schneider_oberbekleidung</t>
  </si>
  <si>
    <t>whk_spez_schneider_seidenstoffe</t>
  </si>
  <si>
    <t>-&gt; Seidenstoffe</t>
  </si>
  <si>
    <t>whk_spez_schneider_spezialitaeten</t>
  </si>
  <si>
    <t>-&gt; Spezialitäten</t>
  </si>
  <si>
    <t>whk_spez_schneider_taschen</t>
  </si>
  <si>
    <t>-&gt; Taschen</t>
  </si>
  <si>
    <t>whk_spez_schneider_teppichknuepfer</t>
  </si>
  <si>
    <t>-&gt; Teppichknüpfer</t>
  </si>
  <si>
    <t>whk_spez_schneider_unterbekledung</t>
  </si>
  <si>
    <t>-&gt; Unterbekledung</t>
  </si>
  <si>
    <t>whk_spez_schneider_wattierung</t>
  </si>
  <si>
    <t>-&gt; Wattierung</t>
  </si>
  <si>
    <t>whk_spez_seiler_netze</t>
  </si>
  <si>
    <t>-&gt; Netze</t>
  </si>
  <si>
    <t>Seiler</t>
  </si>
  <si>
    <t>whk_spez_seiler_stricke</t>
  </si>
  <si>
    <t>-&gt; Stricke</t>
  </si>
  <si>
    <t>whk_spez_toepfer_emaillierung</t>
  </si>
  <si>
    <t>-&gt; Emaillierung</t>
  </si>
  <si>
    <t>Töpfer</t>
  </si>
  <si>
    <t>whk_spez_toepfer_geschirr</t>
  </si>
  <si>
    <t>-&gt; Geschirr</t>
  </si>
  <si>
    <t>whk_spez_viehwirtschaft_gefluegelwirtschaft</t>
  </si>
  <si>
    <t>-&gt; Geflügelwirtschaft</t>
  </si>
  <si>
    <t>Viehwirtschaft</t>
  </si>
  <si>
    <t>whk_spez_viehwirtschaft_imker</t>
  </si>
  <si>
    <t>-&gt; Imker</t>
  </si>
  <si>
    <t>whk_spez_viehwirtschaft_metzger</t>
  </si>
  <si>
    <t>-&gt; Metzger</t>
  </si>
  <si>
    <t>whk_spez_viehwirtschaft_milchwirtschaft</t>
  </si>
  <si>
    <t>-&gt; Milchwirtschaft</t>
  </si>
  <si>
    <t>whk_spez_viehwirtschaft_tierische_fette</t>
  </si>
  <si>
    <t>-&gt; Tierische Fette</t>
  </si>
  <si>
    <t>whk_spez_viehwirtschaft_weidevieh</t>
  </si>
  <si>
    <t>-&gt; Weidevieh</t>
  </si>
  <si>
    <t>whk_spez_waffenschmied_klingenwaffen</t>
  </si>
  <si>
    <t>-&gt; Klingenwaffen</t>
  </si>
  <si>
    <t>Waffenschmied</t>
  </si>
  <si>
    <t>whk_spez_weber_seidenstoffe</t>
  </si>
  <si>
    <t>Weber</t>
  </si>
  <si>
    <t>whk_spez_weber_stoffe</t>
  </si>
  <si>
    <t>-&gt; Stoffe</t>
  </si>
  <si>
    <t>whk_spez_weber_wolle</t>
  </si>
  <si>
    <t>-&gt; Wolle</t>
  </si>
  <si>
    <t>whk_alchemie</t>
  </si>
  <si>
    <t>whk_baecker</t>
  </si>
  <si>
    <t>whk_barbier</t>
  </si>
  <si>
    <t>whk_bergbau</t>
  </si>
  <si>
    <t>whk_bootsbauer</t>
  </si>
  <si>
    <t>whk_brenner</t>
  </si>
  <si>
    <t>whk_drucker</t>
  </si>
  <si>
    <t>whk_eisenbahner</t>
  </si>
  <si>
    <t>whk_feuerwaffenbauer</t>
  </si>
  <si>
    <t>whk_fischer</t>
  </si>
  <si>
    <t>whk_fuhrmann</t>
  </si>
  <si>
    <t>whk_fuehrung</t>
  </si>
  <si>
    <t>whk_glaser</t>
  </si>
  <si>
    <t>whk_goldschmied</t>
  </si>
  <si>
    <t>whk_holzbearbeitung</t>
  </si>
  <si>
    <t>whk_instrumentenbauer</t>
  </si>
  <si>
    <t>whk_jaeger</t>
  </si>
  <si>
    <t>whk_koch</t>
  </si>
  <si>
    <t>whk_kunsthandwerker</t>
  </si>
  <si>
    <t>whk_landwirtschaft</t>
  </si>
  <si>
    <t>whk_lederbearbeitung</t>
  </si>
  <si>
    <t>whk_luftschiffbauer</t>
  </si>
  <si>
    <t>whk_mechanikus</t>
  </si>
  <si>
    <t>whk_medizin</t>
  </si>
  <si>
    <t>whk_metallurgie</t>
  </si>
  <si>
    <t>whk_pflanzenkunde</t>
  </si>
  <si>
    <t>whk_schmied</t>
  </si>
  <si>
    <t>whk_schneider</t>
  </si>
  <si>
    <t>whk_seiler</t>
  </si>
  <si>
    <t>whk_toepfer</t>
  </si>
  <si>
    <t>whk_viehwirtschaft</t>
  </si>
  <si>
    <t>whk_waffenschmied</t>
  </si>
  <si>
    <t>whk_weber</t>
  </si>
  <si>
    <t>talentpunkte</t>
  </si>
  <si>
    <t>Talentpunkte</t>
  </si>
  <si>
    <t>20+stufe*5</t>
  </si>
  <si>
    <t>ssk_kultur_dalkini</t>
  </si>
  <si>
    <t>Sprache &amp; Kultur</t>
  </si>
  <si>
    <t>Dalkini</t>
  </si>
  <si>
    <t>SVERWEIS(wert;'Kulturstufe-Kosten';2;0)</t>
  </si>
  <si>
    <t>ssk_kultur_draw</t>
  </si>
  <si>
    <t>Draw</t>
  </si>
  <si>
    <t>ssk_kultur_elfen</t>
  </si>
  <si>
    <t>Elfen</t>
  </si>
  <si>
    <t>ssk_kultur_gnome</t>
  </si>
  <si>
    <t>Gnome</t>
  </si>
  <si>
    <t>ssk_kultur_goblins</t>
  </si>
  <si>
    <t>Goblins</t>
  </si>
  <si>
    <t>ssk_kultur_indianer</t>
  </si>
  <si>
    <t>Indianer</t>
  </si>
  <si>
    <t>ssk_kultur_katzen</t>
  </si>
  <si>
    <t>Katzen</t>
  </si>
  <si>
    <t>ssk_kultur_orks</t>
  </si>
  <si>
    <t>Orks</t>
  </si>
  <si>
    <t>ssk_kultur_trolle</t>
  </si>
  <si>
    <t>Trolle</t>
  </si>
  <si>
    <t>ssk_kultur_zentauren</t>
  </si>
  <si>
    <t>Zentauren</t>
  </si>
  <si>
    <t>ssk_kultur_zwerge</t>
  </si>
  <si>
    <t>Zwerge</t>
  </si>
  <si>
    <t>rerolls</t>
  </si>
  <si>
    <t>Rerolls</t>
  </si>
  <si>
    <t>fk_gute_blasrohre</t>
  </si>
  <si>
    <t>Fernkampf-Gute-Wert Blasrohre</t>
  </si>
  <si>
    <t>WENN(talente_fernkampfgeschick_stufe_2&gt;0;1+AUFRUNDEN(fk_basis_blasrohre/3;0);WENN(talente_fernkampfgeschick_stufe_1&gt;0;1+AUFRUNDEN(fk_basis_blasrohre/4;0);1))</t>
  </si>
  <si>
    <t>Nur mit Talent 'Fernkampfgeschick Stufe 1/2' ueber die Basis 1 steigerbar. Quelle: NN NPC-Rechner 0.76 Talente + Nutzerbestaetigung. Kein MIN()-Deckel.</t>
  </si>
  <si>
    <t>fk_gute_boegen</t>
  </si>
  <si>
    <t>Fernkampf-Gute-Wert Bögen</t>
  </si>
  <si>
    <t>WENN(talente_fernkampfgeschick_stufe_2&gt;0;1+AUFRUNDEN(fk_basis_boegen/3;0);WENN(talente_fernkampfgeschick_stufe_1&gt;0;1+AUFRUNDEN(fk_basis_boegen/4;0);1))</t>
  </si>
  <si>
    <t>fk_gute_schusswaffen</t>
  </si>
  <si>
    <t>Fernkampf-Gute-Wert Schusswaffen</t>
  </si>
  <si>
    <t>WENN(talente_fernkampfgeschick_stufe_2&gt;0;1+AUFRUNDEN(fk_basis_schusswaffen/3;0);WENN(talente_fernkampfgeschick_stufe_1&gt;0;1+AUFRUNDEN(fk_basis_schusswaffen/4;0);1))</t>
  </si>
  <si>
    <t>fk_gute_wurfwaffen</t>
  </si>
  <si>
    <t>Fernkampf-Gute-Wert Wurfwaffen</t>
  </si>
  <si>
    <t>WENN(talente_fernkampfgeschick_stufe_2&gt;0;1+AUFRUNDEN(fk_basis_wurfwaffen/3;0);WENN(talente_fernkampfgeschick_stufe_1&gt;0;1+AUFRUNDEN(fk_basis_wurfwaffen/4;0);1))</t>
  </si>
  <si>
    <t>fk_meisterlich_blasrohre</t>
  </si>
  <si>
    <t>Fernkampf-Meisterliche-Wert Blasrohre</t>
  </si>
  <si>
    <t>WENN(talente_fernkampfgeschick_stufe_3&gt;0;21+AUFRUNDEN(fk_basis_blasrohre/20;0);21)</t>
  </si>
  <si>
    <t>Nur mit Talent 'Fernkampfgeschick Stufe 3' ueber die Basis 21 steigerbar. Quelle: NN NPC-Rechner 0.76 Talente + Nutzerbestaetigung. Kein MIN()-Deckel.</t>
  </si>
  <si>
    <t>fk_meisterlich_boegen</t>
  </si>
  <si>
    <t>Fernkampf-Meisterliche-Wert Bögen</t>
  </si>
  <si>
    <t>WENN(talente_fernkampfgeschick_stufe_3&gt;0;21+AUFRUNDEN(fk_basis_boegen/20;0);21)</t>
  </si>
  <si>
    <t>fk_meisterlich_schusswaffen</t>
  </si>
  <si>
    <t>Fernkampf-Meisterliche-Wert Schusswaffen</t>
  </si>
  <si>
    <t>WENN(talente_fernkampfgeschick_stufe_3&gt;0;21+AUFRUNDEN(fk_basis_schusswaffen/20;0);21)</t>
  </si>
  <si>
    <t>fk_meisterlich_wurfwaffen</t>
  </si>
  <si>
    <t>Fernkampf-Meisterliche-Wert Wurfwaffen</t>
  </si>
  <si>
    <t>WENN(talente_fernkampfgeschick_stufe_3&gt;0;21+AUFRUNDEN(fk_basis_wurfwaffen/20;0);21)</t>
  </si>
  <si>
    <t>gewichtsbelastung</t>
  </si>
  <si>
    <t>GBE</t>
  </si>
  <si>
    <t>MAX(0;RBE)</t>
  </si>
  <si>
    <t>Nutzerangabe 2026-07-16, per Regelkorrektur 2026-07-17 aktualisiert: GBE (Gewichtsbelastung) ist die Summe aus ZWEI Quellen. Ausruestungs-Gewichts-Komponente fehlt komplett. (1) Ruestungs-Komponente: eine Ruestungslage verursacht keine direkte Behinderung, sondern RH (Ruestungshinderlichkeit) - Einzel-Lagen-RH = RH-Basis(Ruestungsteil) + RH-Mod(Verarbeitung) + RH-Mod(Anpassung), je MAX(Lage; ...) - siehe Ruestung-Basis-Formel. RHg = Summe aller RH-Werte ueber alle 4 Koerperzonen. Daraus: RBE = (RHg - ((Kon/5 + Staerke)/2 + sf_ruestungsmanoever)) / 6 = die tatsaechliche Ruestungsbehinderung. (2) Ausruestungs-Komponente: Gewicht der getragenen/mitgefuehrten Gegenstaende (Preisliste-Gewichte), Schwellenwerte siehe gbe_unbelastet...gbe_ausgeruestet. BEIDE Komponenten sowie ihre Summe sind laut Nutzer Kampfmodul-Scope (setzt Laufzeit-Inventar/-Ruestungswahl voraus), nicht Teil der Charaktererstellung.</t>
  </si>
  <si>
    <t>startbudget_ausruestung_gehoben</t>
  </si>
  <si>
    <t>Startbudget Ausruestung (gehobener Start)</t>
  </si>
  <si>
    <t>In Dublonen. Gilt bei 'gehobenem Start' auf Stufe 15 statt des regulaeren Startbudgets. 1 Dublone = 1000 Fuffzisch. Meister kann Kosten mit % anpassen (App-Verhalten, nicht Formel).</t>
  </si>
  <si>
    <t>6000</t>
  </si>
  <si>
    <t>nk_spez_hiebwaffen_beidhand_hiebwaffen</t>
  </si>
  <si>
    <t>-&gt; Beidhand-Hiebwaffen</t>
  </si>
  <si>
    <t>nk_hiebwaffen</t>
  </si>
  <si>
    <t>nk_pool_hiebwaffen_beidhand_hiebwaffen</t>
  </si>
  <si>
    <t>Pool Beidhand-Hiebwaffen</t>
  </si>
  <si>
    <t>nk_spez_hiebwaffen_beidhand_hiebwaffen+MAX(0;(eig_g_mut+eig_k_athletik+nk_hiebwaffen)/3-20)+MAX(0;(eig_k_athletik+eig_k_schnelligkeit+nk_hiebwaffen)/3-20)</t>
  </si>
  <si>
    <t>spruchmagie_erdbeschwoerung_3_steinkugel_salve</t>
  </si>
  <si>
    <t>Steinkugel-Salve</t>
  </si>
  <si>
    <t>Der Magus erschafft Magie/2 Bälle aus Erde. Schaden: 2W4 + Magie, RB 6.</t>
  </si>
  <si>
    <t>spruchmagie_erdbeschwoerung_3_steinkugel_salve_nr</t>
  </si>
  <si>
    <t>Steinkugel-Salve NR</t>
  </si>
  <si>
    <t>Der Magus erschafft Magie:2 Bälle aus einem Element. Bis (M):2 m Glücks-Probe, ab (M):2 m Ausweichen-Probe, um dem Schaden zu entgehen. Treffer auf FK-TZ (W30). Fluggeschwindigkeit ist (M):2 m/s. Schaden: 2W6 + Magie; RB 3 Pro 2 sec zusätzlicher Zauberdauer (max. Magie+1 sec) kann der Magus den Schaden um 1W6 und RB 3 erhöhen.</t>
  </si>
  <si>
    <t>spruchmagie_erdbeschwoerung_4_steinschuss_salve</t>
  </si>
  <si>
    <t>Steinschuss-Salve</t>
  </si>
  <si>
    <t>Der Magus erschafft Magie:2 Bolzen aus Erde. Treffer auf FK-TZ, Schaden: 2W6 + Magie; RB: 6 + Magie*2</t>
  </si>
  <si>
    <t>spruchmagie_erdbeschwoerung_4_steinschuss_salve_nr</t>
  </si>
  <si>
    <t>Steinschuss-Salve NR</t>
  </si>
  <si>
    <t>Der Magus erschafft Magie:2 Bolzen aus einem Element. Bis (M)m Glücks-Probe, bis (M)*2m AW:2, danach AW, um dem Schaden zu entgehen. Fluggeschwindigkeit ist (M)m/s. Treffer auf FK (W30). Schaden: 2W8 + Magie; RB: Magie*2 + 4</t>
  </si>
  <si>
    <t>spruchmagie_erdbeschwoerung_6_grosse_steinkugel_salve</t>
  </si>
  <si>
    <t>Große Steinkugel-Salve</t>
  </si>
  <si>
    <t>Der Magus erschafft Magie:2 Bälle aus Erde. W12 + Magie, RB 5, auf jede Trefferzone.</t>
  </si>
  <si>
    <t>spruchmagie_erdbeschwoerung_6_grosse_steinkugel_salve_nr</t>
  </si>
  <si>
    <t>Große Steinkugel-Salve NR</t>
  </si>
  <si>
    <t>Der Magus erschafft Magie:2 Bälle aus einem Element. Bis (M):2 m Glücks-Probe, ab (M):2 m Ausweichen-Probe, um dem Schaden zu entgehen. Treffer auf FK-TZ (W30). Fluggeschwindigkeit ist (M):2 m/s. Schaden: W15 + Magie*2, RB 21 auf jede Trefferzone.</t>
  </si>
  <si>
    <t>spruchmagie_feuerbeschwoerung_3_feuerball_salve</t>
  </si>
  <si>
    <t>Feuerball-Salve</t>
  </si>
  <si>
    <t>Der Magus erschafft Magie/2 Bälle aus Feuer. Schaden: 2W6 + Magie.</t>
  </si>
  <si>
    <t>spruchmagie_feuerbeschwoerung_3_feuerball_salve_nr</t>
  </si>
  <si>
    <t>Feuerball-Salve NR</t>
  </si>
  <si>
    <t>Der Magus erschafft Magie:2 Bälle aus Feue.  Bis (M):2 m Glücks-Probe, ab (M):2 m Ausweichen-Probe, um dem Schaden zu entgehen. Treffer auf FK-TZ (W30). Fluggeschwindigkeit ist (M):2 m/s.   Schaden: 2W8 + Magie Pro 2 sec zusätzlicher Zauberdauer (max. Magie+1 sec) kann der Magus den Schaden um 1W8 erhöhen.</t>
  </si>
  <si>
    <t>spruchmagie_feuerbeschwoerung_4_feuerpfeil_salve</t>
  </si>
  <si>
    <t>Feuerpfeil-Salve</t>
  </si>
  <si>
    <t>Der Magus erschafft Magie:2 Bolzen aus Feuer. Treffer auf FK-TZ, Schaden: 2W8 + Magie; RB: Magie*2</t>
  </si>
  <si>
    <t>spruchmagie_feuerbeschwoerung_4_feuerpfeil_salve_nr</t>
  </si>
  <si>
    <t>Feuerpfeil-Salve NR</t>
  </si>
  <si>
    <t>Der Magus erschafft Magie:2 Bolzen aus Feuer. Bis (M)m Glücks-Probe, bis (M)*2m AW:2, danach AW, um dem Schaden zu entgehen. Fluggeschwindigkeit ist (M)m/s. Treffer auf FK (W30). Schaden: 2W10 + Magie; RB: Magie*2</t>
  </si>
  <si>
    <t>spruchmagie_feuerbeschwoerung_6_grosse_feuerball_salve</t>
  </si>
  <si>
    <t>Große Feuerball-Salve</t>
  </si>
  <si>
    <t>Der Magus erschafft Magie:2 Bälle aus Feuer. W15 + Magie auf jede Trefferzone.</t>
  </si>
  <si>
    <t>spruchmagie_feuerbeschwoerung_6_grosse_feuerball_salve_nr</t>
  </si>
  <si>
    <t>Große Feuerball-Salve NR</t>
  </si>
  <si>
    <t xml:space="preserve">Der Magus erschafft Magie:2 Bälle aus Feuer.  Bis (M):2 m Glücks-Probe, ab (M):2 m Ausweichen-Probe, um dem Schaden zu entgehen. Treffer auf FK-TZ (W30). Fluggeschwindigkeit ist (M):2 m/s.  Schaden: W20 + Magie*2 auf jede Trefferzone. </t>
  </si>
  <si>
    <t>spruchmagie_luftbeschwoerung_3_sturmball_salve</t>
  </si>
  <si>
    <t>Sturmball-Salve</t>
  </si>
  <si>
    <t>Der Magus erschafft Magie/2 Bälle aus Luft. Das Opfer muss eine KB-Probeablegen, um nicht in der selben KR um so viele Meter zurückgeschleudert zu werden, wie der jeweils höchste Schadenswürfel anzeigt. Schaden: 2W4 + Magie, Erschwerung der KB-Probe: -TP -6.</t>
  </si>
  <si>
    <t>spruchmagie_luftbeschwoerung_3_sturmball_salve_nr</t>
  </si>
  <si>
    <t>Sturmball-Salve NR</t>
  </si>
  <si>
    <t>Der Magus erschafft Magie:2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</si>
  <si>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spruchmagie_luftbeschwoerung_4_sturmpfeil_salve</t>
  </si>
  <si>
    <t>Sturmpfeil-Salve</t>
  </si>
  <si>
    <t>Der Magus erschafft Magie/2 Bolzen aus Luft. Treffer auf FK-TZ. Das Opfer muss eine KB-Probeablegen, um nicht in der selben KR um so viele Meter zurückgeschleudert zu werden, wie der jeweils höchste Schadenswürfel anzeigt. Schaden: 2W6 + Magie; RB Magie*2, Erschwerung der KB-Probe: -TP -6.</t>
  </si>
  <si>
    <t>spruchmagie_luftbeschwoerung_4_sturmpfeil_salve_nr</t>
  </si>
  <si>
    <t>Sturmpfeil-Salve NR</t>
  </si>
  <si>
    <t>Der Magus erschafft Magie:2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</si>
  <si>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spruchmagie_luftbeschwoerung_6_grosse_sturmball_salve</t>
  </si>
  <si>
    <t>Große Sturmball-Salve</t>
  </si>
  <si>
    <t>Der Magus erschafft Magie/2 Bälle aus Luft. Das Opfer muss eine KB-Probeablegen, um nicht in der selben KR um so viele Meter zurückgeschleudert zu werden, wie der jeweilige Schadenswürfel anzeigt. Schaden: W12 + Magie auf jede Trefferzone, Erschwerung der KB-Probe: -TP -35.</t>
  </si>
  <si>
    <t>spruchmagie_luftbeschwoerung_6_grosse_sturmball_salve_nr</t>
  </si>
  <si>
    <t>Große Sturmball-Salve NR</t>
  </si>
  <si>
    <t>Der Magus erschafft Magie:2 Bälle aus Luft.  Bis (M):2 m Glücks-Probe, ab (M):2 m Ausweichen-Probe, um dem Schaden zu entgehen. Treffer auf FK-TZ (W30). Fluggeschwindigkeit ist (M):2 m/s.  Schaden: W12 + Magie*2 auf jede Trefferzone  Ziel wird TP*m weggeschleudert; Ath-Probe erschwert um TP, sonst W8 Sturzschaden auf FK-TZ (W30).</t>
  </si>
  <si>
    <t>spruchmagie_magiebeschwoerung_3_magische_ball_salve</t>
  </si>
  <si>
    <t>Magische Ball-Salve</t>
  </si>
  <si>
    <t>Der Magus erschafft Magie/2 Bälle aus Magie. Schaden: 2W4 + Magie, zusätzliche Erschwerung der SB-Probe -6, wenn min. 1 SP erzielt wird.</t>
  </si>
  <si>
    <t>spruchmagie_magiebeschwoerung_3_magische_ball_salve_nr</t>
  </si>
  <si>
    <t>Magische Ball-Salve NR</t>
  </si>
  <si>
    <t>Der Magus erschafft Magie:2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</si>
  <si>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spruchmagie_magiebeschwoerung_4_magische_geschoss_salve</t>
  </si>
  <si>
    <t>Magische Geschoss-Salve</t>
  </si>
  <si>
    <t>Der Magus erschafft Magie:2 Bolzen aus Magie. Treffer auf FK-TZ, Schaden: 2W6 + Magie; RB Magie*2, zusätzliche Erschwerung der SB-Probe -6, wenn min. 1 SP erzielt wird.</t>
  </si>
  <si>
    <t>spruchmagie_magiebeschwoerung_4_magische_geschoss_salve_nr</t>
  </si>
  <si>
    <t>Magische Geschoss-Salve NR</t>
  </si>
  <si>
    <t>Der Magus erschafft Magie:2 Bolzen aus Magie. Bis (M)m Glücks-Probe, bis (M)*2m AW:2, danach AW, um dem Schaden zu entgehen. Fluggeschwindigkeit ist (M)m/s. Treffer auf FK (W30). Schaden: 2W8 + Magie; RB: Magie*2 SB-Proben um 4 erschwert.</t>
  </si>
  <si>
    <t>spruchmagie_magiebeschwoerung_6_grosse_magische_ball_salve</t>
  </si>
  <si>
    <t>Große Magische Ball-Salve</t>
  </si>
  <si>
    <t>Der Magus erschafft Magie/2 Bälle aus Magie. W12 + Magie auf jede Trefferzone, zusätzliche Erschwerung der SB-Probe -35, wenn min. 1 SP erzielt wird.</t>
  </si>
  <si>
    <t>spruchmagie_magiebeschwoerung_6_grosse_magische_ball_salve_nr</t>
  </si>
  <si>
    <t>Große Magische Ball-Salve NR</t>
  </si>
  <si>
    <t>Der Magus erschafft Magie:2 Bälle aus Magie.  Bis (M):2 m Glücks-Probe, ab (M):2 m Ausweichen-Probe, um dem Schaden zu entgehen. Treffer auf FK-TZ (W30). Fluggeschwindigkeit ist (M):2 m/s.  Schaden: W15 + Magie*2 auf jede Trefferzone,  SB-Proben um 42 erschwert.</t>
  </si>
  <si>
    <t>spruchmagie_verzauberung_2_mana_fernspende</t>
  </si>
  <si>
    <t>Mana-Fernspende</t>
  </si>
  <si>
    <t>Verzauberung</t>
  </si>
  <si>
    <t xml:space="preserve">Der Magus überträgt dem Ziel 10 Mana/sec, max. (M) x 2 Mana. Das übertragene Mana ist astral als Verbindung zwischen den Köpfen von Magus und Ziel sichtbar. Das Mana, das vom Ziel nicht mehr aufgenommen werden kann, verfällt. </t>
  </si>
  <si>
    <t>spruchmagie_verzauberung_3_blitz_klinge_v</t>
  </si>
  <si>
    <t>Blitz-Klinge (V)</t>
  </si>
  <si>
    <t>Eine Waffe erhält zusätzliche Schadenswirkung entsprechend der Magie des Magus:1=W4 SB 3, 2=W6 SB 3, 3=W8 SB 3, 4=W10 SB 3, 5=W12 SB 4, 6=W15 SB 7, 7=W20 SB 13, 8=W30 SB 14; alle +Magie</t>
  </si>
  <si>
    <t>spruchmagie_verzauberung_3_erd_klinge_v</t>
  </si>
  <si>
    <t>Erd-Klinge (V)</t>
  </si>
  <si>
    <t>Eine Waffe erhält zusätzliche Schadenswirkung entsprechend der Magie des Magus:1=W4 RB 2, 2=W6 RB 2, 3=W8 RB 2, 4=W10 RB 2, 5=W12 RB 3, 6=W15 RB 4, 7=W20 RB 8, 8=W30 RB 9; alle +Magie</t>
  </si>
  <si>
    <t>spruchmagie_verzauberung_3_feuer_klinge_v</t>
  </si>
  <si>
    <t>Feuer-Klinge (V)</t>
  </si>
  <si>
    <t>Eine Waffe erhält zusätzliche Schadenswirkung entsprechend der Magie des Magus:1=W6, 2=W8, 3=W10, 4=W12, 5=W15, 6=W20, 7=W30, 8=2W20; alle +Magie</t>
  </si>
  <si>
    <t>spruchmagie_verzauberung_3_flammen_pfeil_v</t>
  </si>
  <si>
    <t>Flammen-Pfeil (V)</t>
  </si>
  <si>
    <t>Ein Pfeil erhält zusätzliche Schadenswirkung entsprechend der Magie des Magus:1=W6, 2=W8, 3=W10, 4=W12, 5=W15, 6=W20, 7=W30, 8=2W20; alle +Magie</t>
  </si>
  <si>
    <t>spruchmagie_verzauberung_3_frost_klinge_v</t>
  </si>
  <si>
    <t>Frost-Klinge (V)</t>
  </si>
  <si>
    <t>Eine Waffe erhält zusätzliche Schadenswirkung entsprechend der Magie des Magus:1=W4, 2=W6, 3=W8, 4=W10, 5=W12, 6=W15, 7=W20, 8=W30; alle +Magie. Pro 5 TP erleidet das Opfer eine BE von 1.</t>
  </si>
  <si>
    <t>spruchmagie_verzauberung_3_frost_pfeil_v</t>
  </si>
  <si>
    <t>Frost-Pfeil (V)</t>
  </si>
  <si>
    <t>Ein Pfeil erhält eine zusätzliche Schadenswirkung entsprechend der Magie des Magus:1=W4, 2=W6, 3=W8, 4=W10, 5=W12, 6=W15, 7=W20, 8=W30; alle +MagiePro 5 TP erleidet das Opfer eine BE von 1.</t>
  </si>
  <si>
    <t>spruchmagie_verzauberung_3_luft_klinge_v</t>
  </si>
  <si>
    <t>Luft-Klinge (V)</t>
  </si>
  <si>
    <t>Eine Waffe erhält zusätzliche Schadenswirkung entsprechend der Magie des Magus: 1=W3, 2=W4, 3=W6, 4=W8, 5=W10, 6=W12, 7=W15, 8=W20; alle +Magie. Ziel wird TP*m weggeschleudert; Ath-Probe erschwert um TP, sonst W8 Sturzschaden auf FK-TZ (W30).</t>
  </si>
  <si>
    <t>spruchmagie_verzauberung_3_schock_pfeil_v</t>
  </si>
  <si>
    <t>Schock-Pfeil (V)</t>
  </si>
  <si>
    <t>Ein Pfeil erhält zusätzliche Schadenswirkung entsprechend der Magie des Magus: 1=W4 SB 3, 2=W6 SB 3, 3=W8 SB 3, 4=W10 SB 3, 5=W12 SB 4, 6=W15 SB 7, 7=W20 SB 13, 8=W30 SB 14; alle +Magie</t>
  </si>
  <si>
    <t>spruchmagie_verzauberung_3_splitter_pfeil_v</t>
  </si>
  <si>
    <t>Splitter-Pfeil (V)</t>
  </si>
  <si>
    <t>Ein Pfeil erhält zusätzliche Schadenswirkung entsprechend der Magie des Magus: 1=W4 RB 2, 2=W6 RB 2, 3=W8 RB 2, 4=W10 RB 2, 5=W12 RB 3, 6=W15 RB 4, 7=W20 RB 8, 8=W30 RB 9; alle +Magie</t>
  </si>
  <si>
    <t>spruchmagie_verzauberung_3_sturm_pfeil_v</t>
  </si>
  <si>
    <t>Sturm-Pfeil (V)</t>
  </si>
  <si>
    <t>Ein Pfeil erhält zusätzliche Schadenswirkung entsprechend der Magie des Magus: 1=W3, 2=W4, 3=W6, 4=W8, 5=W10, 6=W12, 7=W15, 8=W20; alle +Magie. Ziel wird TP*m weggeschleudert; Ath-Probe erschwert um TP, sonst W8 Sturzschaden auf FK-TZ (W30).</t>
  </si>
  <si>
    <t>spruchmagie_wasserbeschwoerung_3_eisball_salve</t>
  </si>
  <si>
    <t>Eisball-Salve</t>
  </si>
  <si>
    <t>Der Magus erschafft Magie/2 Bälle aus Wasser. Schaden: 2W4 + Magie. Pro 5 TP erleidet das Opfer zusätzliche BE 1, nur die höchste so erzielte BE zählt.</t>
  </si>
  <si>
    <t>spruchmagie_wasserbeschwoerung_3_eisball_salve_nr</t>
  </si>
  <si>
    <t>Eisball-Salve NR</t>
  </si>
  <si>
    <t>Der Magus erschafft Magie:2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</si>
  <si>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spruchmagie_wasserbeschwoerung_4_frostbolzen_salve</t>
  </si>
  <si>
    <t>Frostbolzen-Salve</t>
  </si>
  <si>
    <t>Der Magus erschafft Magie:2 Bolzen aus Wasser. Treffer auf FK-TZ, Schaden: 2W6 + Magie; RB: Magie*2. Pro 5 TP erleidet das Opfer zusätzliche BE 1, nur die höchste so erzielte BE zählt.</t>
  </si>
  <si>
    <t>spruchmagie_wasserbeschwoerung_4_frostbolzen_salve_nr</t>
  </si>
  <si>
    <t>Frostbolzen-Salve NR</t>
  </si>
  <si>
    <t>Der Magus erschafft Magie:2 Bolzen aus Eis. Bis (M)m Glücks-Probe, bis (M)*2m AW:2, danach AW, um dem Schaden zu entgehen. Fluggeschwindigkeit ist (M)m/s. Treffer auf FK (W30). Schaden: 2W8 + Magie; RB: Magie*2 Pro 5 TP erleidet das Opfer BE 1 für (M) sec.</t>
  </si>
  <si>
    <t>spruchmagie_wasserbeschwoerung_6_grosse_eisball_salve</t>
  </si>
  <si>
    <t>Große Eisball-Salve</t>
  </si>
  <si>
    <t>Der Magus erschafft Magie/2 Bälle aus Wasser. W12 + Magie auf jede Trefferzone. Pro 5 TP erleidet das Opfer zusätzliche BE 1, nur die höchste so erzielte BE zählt.</t>
  </si>
  <si>
    <t>spruchmagie_wasserbeschwoerung_6_grosse_eisball_salve_nr</t>
  </si>
  <si>
    <t>Große Eisball-Salve NR</t>
  </si>
  <si>
    <t xml:space="preserve">Der Magus erschafft Magie:2 Bälle aus Eis.  Bis (M):2 m Glücks-Probe, ab (M):2 m Ausweichen-Probe, um dem Schaden zu entgehen. Treffer auf FK-TZ (W30). Fluggeschwindigkeit ist (M):2 m/s.  Schaden: W15 + Magie*2 auf jede Trefferzone. Pro 5 TP erleidet das Opfer BE 1 für (M) sec.  </t>
  </si>
  <si>
    <t>spruchmagie_z_beherrschung_entwicklung_3_massen_aufmerksamkeit</t>
  </si>
  <si>
    <t>Massen-Aufmerksamkeit</t>
  </si>
  <si>
    <t>z_beherrschung_entwicklung</t>
  </si>
  <si>
    <t>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</si>
  <si>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spruchmagie_z_beherrschung_entwicklung_3_massen_beruhigung</t>
  </si>
  <si>
    <t>Massen-Beruhigung</t>
  </si>
  <si>
    <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 min eine weitere. </t>
  </si>
  <si>
    <t>spruchmagie_z_beherrschung_entwicklung_3_massen_entscheidungshilfe</t>
  </si>
  <si>
    <t>Massen-Entscheidungshilfe</t>
  </si>
  <si>
    <t xml:space="preserve">Alle Ziele im Wirkungsbereich werden vom Magus bei einer „Ja oder Nein“-Entscheidung beeinflusst, bei der das Opfer sich über die Antwort unsicher ist. Dieser Zauber hat keinen Einfluss auf schon gefasste Entscheidungen.  Widerstandswurf: Willenskraft </t>
  </si>
  <si>
    <t>spruchmagie_z_beherrschung_entwicklung_3_massen_verwirrung</t>
  </si>
  <si>
    <t>Massen-Verwirrung</t>
  </si>
  <si>
    <t>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Magie/2 sec eine weitere.</t>
  </si>
  <si>
    <t>spruchmagie_z_beherrschung_entwicklung_4_massen_angst</t>
  </si>
  <si>
    <t>Massen-Angst</t>
  </si>
  <si>
    <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</si>
  <si>
    <t>spruchmagie_z_beherrschung_entwicklung_4_massen_konfusion</t>
  </si>
  <si>
    <t>Massen-Konfusion</t>
  </si>
  <si>
    <t>Alle Ziele im Wirkungsbereich vergessen vollkommen, wer seine Freunde oder Feinde sind und greifen ein zufälliges Ziel an, wenn sie sich bereits im Kampf befinden. Widerstandswurf: Willenskraft ; alle Magie * sec eine weitere.</t>
  </si>
  <si>
    <t>spruchmagie_z_beherrschung_entwicklung_4_menschen_befehl</t>
  </si>
  <si>
    <t>Menschen-Befehl</t>
  </si>
  <si>
    <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t>
  </si>
  <si>
    <t>spruchmagie_z_beherrschung_entwicklung_5_massen_tierbefehl</t>
  </si>
  <si>
    <t>Massen-Tierbefehl</t>
  </si>
  <si>
    <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t>
  </si>
  <si>
    <t>spruchmagie_z_beherrschung_entwicklung_5_massen_wut</t>
  </si>
  <si>
    <t>Massen-Wut</t>
  </si>
  <si>
    <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</si>
  <si>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spruchmagie_z_beherrschung_entwicklung_5_massen_zwang</t>
  </si>
  <si>
    <t>Massen-Zwang</t>
  </si>
  <si>
    <t xml:space="preserve">Allen Zielen im Wirkungsbereich wird eine Zwangshandlung auferlegt: Dem Opfer juckt der ganze Körper, es muss permanent husten oder lachen oder schreien usw. Das Opfer erleidet hierdurch eine Behinderung von Magie. Widerstandswurf: Willenskraft ; alle Magie * min eine weitere. </t>
  </si>
  <si>
    <t>spruchmagie_z_beherrschung_entwicklung_6_massen_feindschaft</t>
  </si>
  <si>
    <t>Massen-Feindschaft</t>
  </si>
  <si>
    <t>Alle Ziele im Wirkungsbereich werden von brennendem Hass gegenüber einem vom Magier bestimmten Ziel erfüllt. Je nach Veranlagung des Opfers wird es bei Provokationen gewalttätig. Widerstandswurf: Intelligenz ; alle Magie * sec eine weitere.</t>
  </si>
  <si>
    <t>spruchmagie_z_beherrschung_entwicklung_6_massen_gier</t>
  </si>
  <si>
    <t>Massen-Gier</t>
  </si>
  <si>
    <t>Alle Ziele im Wirkungsbereich versuchen mit allen Mitteln, in den Besitz des vom Magier bestimmten Gegenstands zu kommen. Ob das Opfer Leib und Leben dafür aufs Spiel setzt, hängt von seiner Gesinnung ab. Widerstandswurf: Willenskraft ; alle Magie * sec eine weitere.</t>
  </si>
  <si>
    <t>spruchmagie_z_beherrschung_entwicklung_6_massen_zonenzwang</t>
  </si>
  <si>
    <t>Massen-Zonenzwang</t>
  </si>
  <si>
    <t>Alle Ziele im Wirkungsbereich können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t>
  </si>
  <si>
    <t>spruchmagie_z_beherrschung_entwicklung_7_massen_paralyse</t>
  </si>
  <si>
    <t>Massen-Paralyse</t>
  </si>
  <si>
    <t>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t>
  </si>
  <si>
    <t>spruchmagie_z_beherrschung_entwicklung_7_massen_sinneseinschraenkung</t>
  </si>
  <si>
    <t>Massen-Sinneseinschränkung</t>
  </si>
  <si>
    <t>Alle Ziele im Wirkungsbereich sind entweder vollständig Blind oder vollständig Taub, je nach Maßgabe des Magiers. Widerstandswurf: Sinnesschärfe ; alle Magie * sec eine weitere.</t>
  </si>
  <si>
    <t>talente_attributs_maximum_erhoehen__aura</t>
  </si>
  <si>
    <t>Attributs-Maximum erhöhen +1 AURA</t>
  </si>
  <si>
    <t>talente_attributs_maximum_erhoehen__glueck</t>
  </si>
  <si>
    <t>Attributs-Maximum erhöhen +1 GLÜCK</t>
  </si>
  <si>
    <t>talente_attributs_maximum_erhoehen__karma</t>
  </si>
  <si>
    <t>Attributs-Maximum erhöhen +1 KARMA</t>
  </si>
  <si>
    <t>talente_attributs_maximum_erhoehen__magie</t>
  </si>
  <si>
    <t>Attributs-Maximum erhöhen +1 MAGIE</t>
  </si>
  <si>
    <t>talente_attributs_maximum_erhoehen__vitalitaet</t>
  </si>
  <si>
    <t>Attributs-Maximum erhöhen +1 VITALITÄT</t>
  </si>
  <si>
    <t>talente_ki_meister</t>
  </si>
  <si>
    <t>KI-Meister</t>
  </si>
  <si>
    <t>KI-Adept</t>
  </si>
  <si>
    <t>talente_magus_stufe_1_antimagie_magus</t>
  </si>
  <si>
    <t>Magus Stufe 1: Antimagie-Magus</t>
  </si>
  <si>
    <t>Magier</t>
  </si>
  <si>
    <t>talente_magus_stufe_1_beherrschungs_magus</t>
  </si>
  <si>
    <t>Magus Stufe 1: Beherrschungs-Magus</t>
  </si>
  <si>
    <t>talente_magus_stufe_1_erdbeschwoerungs_magus</t>
  </si>
  <si>
    <t>Magus Stufe 1: Erdbeschwörungs-Magus</t>
  </si>
  <si>
    <t>talente_magus_stufe_1_feuerbeschwoerungs_magus</t>
  </si>
  <si>
    <t>Magus Stufe 1: Feuerbeschwörungs-Magus</t>
  </si>
  <si>
    <t>talente_magus_stufe_1_heilungs_magus</t>
  </si>
  <si>
    <t>Magus Stufe 1: Heilungs-Magus</t>
  </si>
  <si>
    <t>talente_magus_stufe_1_hellsicht_magus</t>
  </si>
  <si>
    <t>Magus Stufe 1: Hellsicht-Magus</t>
  </si>
  <si>
    <t>talente_magus_stufe_1_illusions_magus</t>
  </si>
  <si>
    <t>Magus Stufe 1: Illusions-Magus</t>
  </si>
  <si>
    <t>talente_magus_stufe_1_luftbeschwoerungs_magus</t>
  </si>
  <si>
    <t>Magus Stufe 1: Luftbeschwörungs-Magus</t>
  </si>
  <si>
    <t>talente_magus_stufe_1_magiebeschwoerungs_magus</t>
  </si>
  <si>
    <t>Magus Stufe 1: Magiebeschwörungs-Magus</t>
  </si>
  <si>
    <t>talente_magus_stufe_1_veraenderungs_magus</t>
  </si>
  <si>
    <t>Magus Stufe 1: Veränderungs-Magus</t>
  </si>
  <si>
    <t>talente_magus_stufe_1_verzauberungs_magus</t>
  </si>
  <si>
    <t>Magus Stufe 1: Verzauberungs-Magus</t>
  </si>
  <si>
    <t>talente_magus_stufe_1_wasserbeschwoerungs_magus</t>
  </si>
  <si>
    <t>Magus Stufe 1: Wasserbeschwörungs-Magus</t>
  </si>
  <si>
    <t>talente_magus_stufe_2_antimagies_grossmagus</t>
  </si>
  <si>
    <t>Magus Stufe 2: Antimagies-Großmagus</t>
  </si>
  <si>
    <t>talente_magus_stufe_2_beherrschungs_grossmagus</t>
  </si>
  <si>
    <t>Magus Stufe 2: Beherrschungs-Großmagus</t>
  </si>
  <si>
    <t>talente_magus_stufe_2_erdbeschwoerungs_grossmagus</t>
  </si>
  <si>
    <t>Magus Stufe 2: Erdbeschwörungs-Großmagus</t>
  </si>
  <si>
    <t>talente_magus_stufe_2_feuerbeschwoerungs_grossmagus</t>
  </si>
  <si>
    <t>Magus Stufe 2: Feuerbeschwörungs-Großmagus</t>
  </si>
  <si>
    <t>talente_magus_stufe_2_heilungs_grossmagus</t>
  </si>
  <si>
    <t>Magus Stufe 2: Heilungs-Großmagus</t>
  </si>
  <si>
    <t>talente_magus_stufe_2_hellsicht_grossmagus</t>
  </si>
  <si>
    <t>Magus Stufe 2: Hellsicht-Großmagus</t>
  </si>
  <si>
    <t>talente_magus_stufe_2_illusions_grossmagus</t>
  </si>
  <si>
    <t>Magus Stufe 2: Illusions-Großmagus</t>
  </si>
  <si>
    <t>talente_magus_stufe_2_luftbeschwoerungs_grossmagus</t>
  </si>
  <si>
    <t>Magus Stufe 2: Luftbeschwörungs-Großmagus</t>
  </si>
  <si>
    <t>talente_magus_stufe_2_magiebeschwoerungs_grossmagus</t>
  </si>
  <si>
    <t>Magus Stufe 2: Magiebeschwörungs-Großmagus</t>
  </si>
  <si>
    <t>talente_magus_stufe_2_veraenderungs_grossmagus</t>
  </si>
  <si>
    <t>Magus Stufe 2: Veränderungs-Großmagus</t>
  </si>
  <si>
    <t>talente_magus_stufe_2_verzauberungs_grossmagus</t>
  </si>
  <si>
    <t>Magus Stufe 2: Verzauberungs-Großmagus</t>
  </si>
  <si>
    <t>talente_magus_stufe_2_wasserbeschwoerungs_grossmagus</t>
  </si>
  <si>
    <t>Magus Stufe 2: Wasserbeschwörungs-Großmagus</t>
  </si>
  <si>
    <t>talente_magus_stufe_3_antimagies_erzmagus</t>
  </si>
  <si>
    <t>Magus Stufe 3: Antimagies-Erzmagus</t>
  </si>
  <si>
    <t>talente_magus_stufe_3_beherrschungs_erzmagus</t>
  </si>
  <si>
    <t>Magus Stufe 3: Beherrschungs-Erzmagus</t>
  </si>
  <si>
    <t>talente_magus_stufe_3_erdbeschwoerungs_erzmagus</t>
  </si>
  <si>
    <t>Magus Stufe 3: Erdbeschwörungs-Erzmagus</t>
  </si>
  <si>
    <t>talente_magus_stufe_3_feuerbeschwoerungs_erzmagus</t>
  </si>
  <si>
    <t>Magus Stufe 3: Feuerbeschwörungs-Erzmagus</t>
  </si>
  <si>
    <t>talente_magus_stufe_3_heilungs_erzmagus</t>
  </si>
  <si>
    <t>Magus Stufe 3: Heilungs-Erzmagus</t>
  </si>
  <si>
    <t>talente_magus_stufe_3_hellsicht_erzmagus</t>
  </si>
  <si>
    <t>Magus Stufe 3: Hellsicht-Erzmagus</t>
  </si>
  <si>
    <t>talente_magus_stufe_3_illusions_erzmagus</t>
  </si>
  <si>
    <t>Magus Stufe 3: Illusions-Erzmagus</t>
  </si>
  <si>
    <t>talente_magus_stufe_3_luftbeschwoerungs_erzmagus</t>
  </si>
  <si>
    <t>Magus Stufe 3: Luftbeschwörungs-Erzmagus</t>
  </si>
  <si>
    <t>talente_magus_stufe_3_magiebeschwoerungs_erzmagus</t>
  </si>
  <si>
    <t>Magus Stufe 3: Magiebeschwörungs-Erzmagus</t>
  </si>
  <si>
    <t>talente_magus_stufe_3_veraenderungs_erzmagus</t>
  </si>
  <si>
    <t>Magus Stufe 3: Veränderungs-Erzmagus</t>
  </si>
  <si>
    <t>talente_magus_stufe_3_verzauberungs_erzmagus</t>
  </si>
  <si>
    <t>Magus Stufe 3: Verzauberungs-Erzmagus</t>
  </si>
  <si>
    <t>talente_magus_stufe_3_wasserbeschwoerungs_erzmagus</t>
  </si>
  <si>
    <t>Magus Stufe 3: Wasserbeschwörungs-Erzmagus</t>
  </si>
  <si>
    <t>talente_point_blank_shot</t>
  </si>
  <si>
    <t>Point-Blank Shot</t>
  </si>
  <si>
    <t>Schütze</t>
  </si>
  <si>
    <t>whk_abrichten</t>
  </si>
  <si>
    <t>whk_kaufmann</t>
  </si>
  <si>
    <t>whk_magietheorie</t>
  </si>
  <si>
    <t>Magietheorie</t>
  </si>
  <si>
    <t>whk_ruestungsschmied</t>
  </si>
  <si>
    <t>whk_feline_hieroglyphen</t>
  </si>
  <si>
    <t>Feline Hieroglyphen</t>
  </si>
  <si>
    <t>whk_stimmen_imitieren</t>
  </si>
  <si>
    <t>Stimmen imitieren</t>
  </si>
  <si>
    <t>whk_ueberleben</t>
  </si>
  <si>
    <t>Überleben</t>
  </si>
  <si>
    <t>ssk_sprache_drow</t>
  </si>
  <si>
    <t>Drow</t>
  </si>
  <si>
    <t>SVERWEIS(wert;'Sprachstufe-Kosten';2;0)</t>
  </si>
  <si>
    <t>ssk_sprache_elfisch</t>
  </si>
  <si>
    <t>Elfisch</t>
  </si>
  <si>
    <t>ssk_sprache_gnomisch</t>
  </si>
  <si>
    <t>Gnomisch</t>
  </si>
  <si>
    <t>ssk_sprache_goblinisch</t>
  </si>
  <si>
    <t>Goblinisch</t>
  </si>
  <si>
    <t>ssk_sprache_indianisch_10</t>
  </si>
  <si>
    <t>Indianisch 10</t>
  </si>
  <si>
    <t>ssk_sprache_indianisch_11</t>
  </si>
  <si>
    <t>Indianisch 11</t>
  </si>
  <si>
    <t>ssk_sprache_indianisch_12</t>
  </si>
  <si>
    <t>Indianisch 12</t>
  </si>
  <si>
    <t>ssk_sprache_indianisch_5</t>
  </si>
  <si>
    <t>Indianisch 5</t>
  </si>
  <si>
    <t>ssk_sprache_indianisch_6</t>
  </si>
  <si>
    <t>Indianisch 6</t>
  </si>
  <si>
    <t>ssk_sprache_indianisch_7</t>
  </si>
  <si>
    <t>Indianisch 7</t>
  </si>
  <si>
    <t>ssk_sprache_indianisch_8</t>
  </si>
  <si>
    <t>Indianisch 8</t>
  </si>
  <si>
    <t>ssk_sprache_indianisch_9</t>
  </si>
  <si>
    <t>Indianisch 9</t>
  </si>
  <si>
    <t>ssk_sprache_felinisch</t>
  </si>
  <si>
    <t>Felinisch</t>
  </si>
  <si>
    <t>ssk_sprache_orkisch</t>
  </si>
  <si>
    <t>Orkisch</t>
  </si>
  <si>
    <t>ssk_sprache_trollisch</t>
  </si>
  <si>
    <t>Trollisch</t>
  </si>
  <si>
    <t>ssk_sprache_zwergisch</t>
  </si>
  <si>
    <t>Zwergisch</t>
  </si>
  <si>
    <t>ssk_sprache_straitmor_indianisch</t>
  </si>
  <si>
    <t>Straitmor-Indianisch</t>
  </si>
  <si>
    <t>ssk_sprache_doxmox_indianisch</t>
  </si>
  <si>
    <t>Doxmox-Indianisch</t>
  </si>
  <si>
    <t>ssk_sprache_pakagee_indianisch</t>
  </si>
  <si>
    <t>Pakagee-Indianisch</t>
  </si>
  <si>
    <t>ssk_sprache_sindyala_indianisch</t>
  </si>
  <si>
    <t>Sindyala-Indianisch</t>
  </si>
  <si>
    <t>ssk_sprache_insel_dalkin</t>
  </si>
  <si>
    <t>Insel-Dalkin</t>
  </si>
  <si>
    <t>ssk_sprache_insel_dalkinisch</t>
  </si>
  <si>
    <t>Insel-Dalkinisch</t>
  </si>
  <si>
    <t>ssk_sprache_reichs_dalkin</t>
  </si>
  <si>
    <t>Reichs-Dalkin</t>
  </si>
  <si>
    <t>ssk_schrift_dalkini</t>
  </si>
  <si>
    <t>Dalkinische Schrift</t>
  </si>
  <si>
    <t>ssk_schrift_elfen</t>
  </si>
  <si>
    <t>Elfische Schrift</t>
  </si>
  <si>
    <t>ssk_schrift_gnome</t>
  </si>
  <si>
    <t>Gnomische Schrift</t>
  </si>
  <si>
    <t>ssk_schrift_zwerge</t>
  </si>
  <si>
    <t>Zwergische Schrift</t>
  </si>
  <si>
    <t>whk_spez_abrichten_asseln</t>
  </si>
  <si>
    <t>-&gt; Asseln</t>
  </si>
  <si>
    <t>whk_spez_abrichten_elefanten</t>
  </si>
  <si>
    <t>-&gt; Elefanten</t>
  </si>
  <si>
    <t>whk_spez_abrichten_flugechsen</t>
  </si>
  <si>
    <t>-&gt; Flugechsen</t>
  </si>
  <si>
    <t>whk_spez_abrichten_fledertiere</t>
  </si>
  <si>
    <t>-&gt; Fledertiere</t>
  </si>
  <si>
    <t>whk_spez_abrichten_greifen</t>
  </si>
  <si>
    <t>-&gt; Greifen</t>
  </si>
  <si>
    <t>whk_spez_abrichten_horntraeger</t>
  </si>
  <si>
    <t>-&gt; Hornträger (Kühe, Ziegen etc.)</t>
  </si>
  <si>
    <t>whk_spez_abrichten_hundeartige</t>
  </si>
  <si>
    <t>-&gt; Hundeartige</t>
  </si>
  <si>
    <t>whk_spez_abrichten_katzenartige</t>
  </si>
  <si>
    <t>-&gt; Katzenartige</t>
  </si>
  <si>
    <t>whk_spez_abrichten_kamele</t>
  </si>
  <si>
    <t>-&gt; Kamele</t>
  </si>
  <si>
    <t>whk_spez_abrichten_pegasi</t>
  </si>
  <si>
    <t>-&gt; Pegasi</t>
  </si>
  <si>
    <t>whk_spez_abrichten_pferde</t>
  </si>
  <si>
    <t>-&gt; Pferde</t>
  </si>
  <si>
    <t>whk_spez_abrichten_primaten</t>
  </si>
  <si>
    <t>-&gt; Primaten</t>
  </si>
  <si>
    <t>whk_spez_abrichten_raptoren</t>
  </si>
  <si>
    <t>-&gt; Raptoren</t>
  </si>
  <si>
    <t>whk_spez_abrichten_rollocks</t>
  </si>
  <si>
    <t>-&gt; Rollocks</t>
  </si>
  <si>
    <t>whk_spez_abrichten_rattenartige</t>
  </si>
  <si>
    <t>-&gt; Rattenartige</t>
  </si>
  <si>
    <t>whk_spez_abrichten_schleichkatzen</t>
  </si>
  <si>
    <t>-&gt; Schleichkatzen</t>
  </si>
  <si>
    <t>whk_spez_abrichten_spinnen</t>
  </si>
  <si>
    <t>-&gt; Spinnen</t>
  </si>
  <si>
    <t>whk_spez_abrichten_schweine</t>
  </si>
  <si>
    <t>-&gt; Schweine</t>
  </si>
  <si>
    <t>whk_spez_abrichten_voegel</t>
  </si>
  <si>
    <t>whk_spez_kaufmannartefakte</t>
  </si>
  <si>
    <t>-&gt;Artefakte</t>
  </si>
  <si>
    <t>whk_spez_kaufmannboegen</t>
  </si>
  <si>
    <t>-&gt;Bögen</t>
  </si>
  <si>
    <t>whk_spez_kaufmannfeuerwaffen</t>
  </si>
  <si>
    <t>-&gt;Feuerwaffen</t>
  </si>
  <si>
    <t>whk_spez_kaufmannkraemer</t>
  </si>
  <si>
    <t>-&gt;Krämer</t>
  </si>
  <si>
    <t>whk_spez_kaufmannkutschen</t>
  </si>
  <si>
    <t>-&gt;Kutschen</t>
  </si>
  <si>
    <t>whk_spez_kaufmannblankwaffen</t>
  </si>
  <si>
    <t>-&gt;Blankwaffen</t>
  </si>
  <si>
    <t>whk_spez_kaufmannschmuck</t>
  </si>
  <si>
    <t>-&gt;Schmuck</t>
  </si>
  <si>
    <t>whk_spez_magietheorie_antimagie</t>
  </si>
  <si>
    <t>-&gt; Antimagie</t>
  </si>
  <si>
    <t>whk_spez_magietheorie_beherrschung</t>
  </si>
  <si>
    <t>-&gt; Beherrschung</t>
  </si>
  <si>
    <t>whk_spez_magietheorie_erdbeschwoerung</t>
  </si>
  <si>
    <t>-&gt; Erdbeschwörung</t>
  </si>
  <si>
    <t>whk_spez_magietheorie_feuerbeschwoerung</t>
  </si>
  <si>
    <t>-&gt; Feuerbeschwörung</t>
  </si>
  <si>
    <t>whk_spez_magietheorie_heilung</t>
  </si>
  <si>
    <t>-&gt; Heilung</t>
  </si>
  <si>
    <t>whk_spez_magietheorie_hellsicht</t>
  </si>
  <si>
    <t>-&gt; Hellsicht</t>
  </si>
  <si>
    <t>whk_spez_magietheorie_illusion</t>
  </si>
  <si>
    <t>-&gt; Illusion</t>
  </si>
  <si>
    <t>whk_spez_magietheorie_luftbeschwoerung</t>
  </si>
  <si>
    <t>-&gt; Luftbeschwörung</t>
  </si>
  <si>
    <t>whk_spez_magietheorie_magiebeschwoerung</t>
  </si>
  <si>
    <t>-&gt; Magiebeschwörung</t>
  </si>
  <si>
    <t>whk_spez_magietheorie_veraenderung</t>
  </si>
  <si>
    <t>-&gt; Veränderung</t>
  </si>
  <si>
    <t>whk_spez_magietheorie_verzauberung</t>
  </si>
  <si>
    <t>-&gt; Verzauberung</t>
  </si>
  <si>
    <t>whk_spez_magietheorie_wasserbeschwoerung</t>
  </si>
  <si>
    <t>-&gt; Wasserbeschwörung</t>
  </si>
  <si>
    <t>whk_spez_ruestungsschmiedkettenruestungen</t>
  </si>
  <si>
    <t>-&gt;Kettenrüstungen</t>
  </si>
  <si>
    <t>whk_spez_ruestungsschmiedlederruestungen</t>
  </si>
  <si>
    <t>-&gt;Lederrüstungen</t>
  </si>
  <si>
    <t>whk_spez_ruestungsschmiedplattenpanzer</t>
  </si>
  <si>
    <t>-&gt;Plattenpanzer</t>
  </si>
  <si>
    <t>whk_spez_ruestungsschmiedstoffruestungen</t>
  </si>
  <si>
    <t>-&gt;Stoffrüstungen</t>
  </si>
  <si>
    <t>whk_spez_stimmen_imitieren_dalkini</t>
  </si>
  <si>
    <t>-&gt; Dalkini</t>
  </si>
  <si>
    <t>whk_spez_stimmen_imitieren_drow</t>
  </si>
  <si>
    <t>-&gt; Drow</t>
  </si>
  <si>
    <t>whk_spez_stimmen_imitieren_elf</t>
  </si>
  <si>
    <t>-&gt; Elf</t>
  </si>
  <si>
    <t>whk_spez_stimmen_imitieren_goblin</t>
  </si>
  <si>
    <t>-&gt; Goblin</t>
  </si>
  <si>
    <t>whk_spez_stimmen_imitieren_indianer</t>
  </si>
  <si>
    <t>-&gt; Indianer</t>
  </si>
  <si>
    <t>whk_spez_stimmen_imitieren_katzenmenschen</t>
  </si>
  <si>
    <t>-&gt; Katzenmenschen</t>
  </si>
  <si>
    <t>whk_spez_stimmen_imitieren_ork</t>
  </si>
  <si>
    <t>-&gt; Ork</t>
  </si>
  <si>
    <t>whk_spez_stimmen_imitieren_tiere</t>
  </si>
  <si>
    <t>-&gt; Tiere</t>
  </si>
  <si>
    <t>whk_spez_stimmen_imitieren_troll</t>
  </si>
  <si>
    <t>-&gt; Troll</t>
  </si>
  <si>
    <t>whk_spez_stimmen_imitieren_zentauren</t>
  </si>
  <si>
    <t>-&gt; Zentauren</t>
  </si>
  <si>
    <t>whk_spez_stimmen_imitieren_zwerg</t>
  </si>
  <si>
    <t>-&gt; Zwerg</t>
  </si>
  <si>
    <t>whk_spez_ueberlebenberge</t>
  </si>
  <si>
    <t>-&gt;Berge</t>
  </si>
  <si>
    <t>whk_spez_ueberlebendschungel</t>
  </si>
  <si>
    <t>-&gt;Dschungel</t>
  </si>
  <si>
    <t>whk_spez_ueberlebenebene</t>
  </si>
  <si>
    <t>-&gt;Ebene</t>
  </si>
  <si>
    <t>whk_spez_ueberlebeneis</t>
  </si>
  <si>
    <t>-&gt;Eis</t>
  </si>
  <si>
    <t>whk_spez_ueberlebenstadt</t>
  </si>
  <si>
    <t>-&gt;Stadt</t>
  </si>
  <si>
    <t>whk_spez_ueberlebenunterirdisch</t>
  </si>
  <si>
    <t>-&gt;Unterirdisch</t>
  </si>
  <si>
    <t>whk_spez_ueberlebenwald</t>
  </si>
  <si>
    <t>-&gt;Wald</t>
  </si>
  <si>
    <t>whk_spez_ueberlebenwueste</t>
  </si>
  <si>
    <t>-&gt;Wüste</t>
  </si>
  <si>
    <t>vn_krankheit_i</t>
  </si>
  <si>
    <t>Krankheit I</t>
  </si>
  <si>
    <t>Wird vom Meister vergeben, kein EP-Gewinn für den Spieler. Platzhalter - konkrete Krankheit muss noch inhaltlich entwickelt werden.</t>
  </si>
  <si>
    <t>vn_krankheit_ii</t>
  </si>
  <si>
    <t>Krankheit II</t>
  </si>
  <si>
    <t>vn_krankheit_iii</t>
  </si>
  <si>
    <t>Krankheit III</t>
  </si>
  <si>
    <t>vn_krankheit_iv</t>
  </si>
  <si>
    <t>Krankheit IV</t>
  </si>
  <si>
    <t>vn_krankheit_v</t>
  </si>
  <si>
    <t>Krankheit V</t>
  </si>
  <si>
    <t>vn_krankheit_vi</t>
  </si>
  <si>
    <t>Krankheit VI</t>
  </si>
  <si>
    <t>vn_krankheit_vii</t>
  </si>
  <si>
    <t>Krankheit VII</t>
  </si>
  <si>
    <t>vn_krankheit_asthma</t>
  </si>
  <si>
    <t>Krankheit: Asthma</t>
  </si>
  <si>
    <t>bewegung_f_hochsprung</t>
  </si>
  <si>
    <t>Hochsprung</t>
  </si>
  <si>
    <t>(eig_k_staerke+eig_k_schnelligkeit+gr_springen)/40</t>
  </si>
  <si>
    <t>bewegung_f_weitsprung_aus_dem_stand</t>
  </si>
  <si>
    <t>Weitsprung aus dem Stand</t>
  </si>
  <si>
    <t>(eig_k_staerke+eig_k_schnelligkeit+gr_springen)/13+1</t>
  </si>
  <si>
    <t>bewegung_f_weitsprung_kurzer_anlauf</t>
  </si>
  <si>
    <t>Weitsprung kurzer Anlauf</t>
  </si>
  <si>
    <t>(eig_k_staerke+eig_k_schnelligkeit+gr_springen)/8+1</t>
  </si>
  <si>
    <t>bewegung_f_weitsprung_optimaler_anlauf</t>
  </si>
  <si>
    <t>Weitsprung optimaler Anlauf</t>
  </si>
  <si>
    <t>(eig_k_staerke+eig_k_athletik+gr_springen)/6+1</t>
  </si>
  <si>
    <t>bewegung_f_freiklettern</t>
  </si>
  <si>
    <t>Freiklettern</t>
  </si>
  <si>
    <t>(eig_k_staerke+eig_bonus_k_geschicklichkeit+eig_k_schnelligkeit+8*gr_klettern)/300</t>
  </si>
  <si>
    <t>bewegung_f_geschirrklettern</t>
  </si>
  <si>
    <t>Geschirrklettern</t>
  </si>
  <si>
    <t>(eig_k_staerke+eig_bonus_k_geschicklichkeit+eig_g_intelligenz+63*gr_klettern)/9000</t>
  </si>
  <si>
    <t>bewegung_f_dauerlauf</t>
  </si>
  <si>
    <t>(eig_k_konstitution+eig_k_athletik+gr_dauerlauf)/9+1</t>
  </si>
  <si>
    <t>bewegung_fix_langsam_schwimmen</t>
  </si>
  <si>
    <t>Langsam Schwimmen</t>
  </si>
  <si>
    <t>0,3 m/s</t>
  </si>
  <si>
    <t>bewegung_fix_marschieren</t>
  </si>
  <si>
    <t>Marschieren</t>
  </si>
  <si>
    <t>1,5 m/s</t>
  </si>
  <si>
    <t>bewegung_fix_reiten_galopp</t>
  </si>
  <si>
    <t>Reiten Galopp</t>
  </si>
  <si>
    <t>je nach Pferd, ca. 10-15</t>
  </si>
  <si>
    <t>bewegung_fix_reiten_reisetempo</t>
  </si>
  <si>
    <t>Reiten Reisetempo</t>
  </si>
  <si>
    <t>2 m/s</t>
  </si>
  <si>
    <t>bewegung_fix_schnell_gehen</t>
  </si>
  <si>
    <t>Schnell Gehen</t>
  </si>
  <si>
    <t>2,5 m/s</t>
  </si>
  <si>
    <t>bewegung_fix_ueber_wasser_bleiben</t>
  </si>
  <si>
    <t>Über Wasser bleiben</t>
  </si>
  <si>
    <t>0,01 m/s</t>
  </si>
  <si>
    <t>macht</t>
  </si>
  <si>
    <t>Macht</t>
  </si>
  <si>
    <t>(M)</t>
  </si>
  <si>
    <t>att_aura+att_magie+att_weisheit+att_karma+kreis+eig_bonus_g_willenskraft</t>
  </si>
  <si>
    <t>dublonen_bank</t>
  </si>
  <si>
    <t>Dublonen bei der Bank</t>
  </si>
  <si>
    <t>S.1 1 Dublone = 1000 Fuffzisch.</t>
  </si>
  <si>
    <t>dublonen_bar</t>
  </si>
  <si>
    <t>Dublonen in bar</t>
  </si>
  <si>
    <t>ep_steigerungspunkte</t>
  </si>
  <si>
    <t>Steigerungspunkte</t>
  </si>
  <si>
    <t>ep_gesamt-ep_verbraucht</t>
  </si>
  <si>
    <t>ep_meister_erhalten</t>
  </si>
  <si>
    <t>Erhaltene Meister-EP</t>
  </si>
  <si>
    <t>Jeder Spieler kann selbst Meister sein und erhaelt dafuer Meister-EP, die er frei auf seine eigenen Charaktere verteilen darf - getrennt von den regulaeren Abenteuer-EP. Diese Zeile haelt fest, wie viele Meister-EP dieser Charakter insgesamt erhalten hat, damit Abenteuer-EP ('Gesamte Erfahrungspunkte') und Meister-EP nachvollziehbar auseinandergehalten werden koennen. (Nutzerangabe)</t>
  </si>
  <si>
    <t>gesundheit</t>
  </si>
  <si>
    <t>Gesundheit</t>
  </si>
  <si>
    <t>GES</t>
  </si>
  <si>
    <t>(eig_g_willenskraft+eig_k_konstitution+kreis)/3+att_vitalitaet</t>
  </si>
  <si>
    <t>le_arm_l</t>
  </si>
  <si>
    <t>Lebensenergie linker Arm</t>
  </si>
  <si>
    <t>(eig_k_konstitution/2+eig_k_staerke)/2+5</t>
  </si>
  <si>
    <t>le_arm_r</t>
  </si>
  <si>
    <t>Lebensenergie rechter Arm</t>
  </si>
  <si>
    <t>le_bein_l</t>
  </si>
  <si>
    <t>Lebensenergie linkes Bein</t>
  </si>
  <si>
    <t>eig_k_konstitution+8</t>
  </si>
  <si>
    <t>le_bein_r</t>
  </si>
  <si>
    <t>Lebensenergie rechtes Bein</t>
  </si>
  <si>
    <t>le_brust</t>
  </si>
  <si>
    <t>Lebensenergie Brust</t>
  </si>
  <si>
    <t>LE Brust</t>
  </si>
  <si>
    <t>(eig_k_staerke*2/5+eig_k_konstitution+att_vitalitaet)/2+10</t>
  </si>
  <si>
    <t>le_kopf</t>
  </si>
  <si>
    <t>Lebensenergie Kopf</t>
  </si>
  <si>
    <t>eig_k_konstitution/4+att_vitalitaet+4</t>
  </si>
  <si>
    <t>le_unterleib</t>
  </si>
  <si>
    <t>Lebensenergie Unterleib</t>
  </si>
  <si>
    <t>(eig_k_konstitution+att_vitalitaet)/2+8</t>
  </si>
  <si>
    <t>luft_anhalten</t>
  </si>
  <si>
    <t>(eig_g_willenskraft+eig_k_konstitution+gr_luft_anhalten*12)*3</t>
  </si>
  <si>
    <t>werfen_s</t>
  </si>
  <si>
    <t>Werfen: Gegenstand 0,1-0,5kg</t>
  </si>
  <si>
    <t>(eig_k_athletik+eig_k_staerke+gr_werfen)*2</t>
  </si>
  <si>
    <t>werfen_m</t>
  </si>
  <si>
    <t>Werfen: Gegenstand 0,5-1kg</t>
  </si>
  <si>
    <t>(eig_k_athletik+eig_k_staerke+gr_werfen)*1,5</t>
  </si>
  <si>
    <t>werfen_l</t>
  </si>
  <si>
    <t>Werfen: Gegenstand 1-2kg</t>
  </si>
  <si>
    <t>(eig_k_athletik+eig_k_staerke+gr_werfen)</t>
  </si>
  <si>
    <t>werfen_speer</t>
  </si>
  <si>
    <t>Werfen: Wurfspeer</t>
  </si>
  <si>
    <t>(eig_k_athletik+eig_k_schnelligkeit+gr_werfen)*1,5</t>
  </si>
  <si>
    <t>trefferschwelle</t>
  </si>
  <si>
    <t>Trefferschwelle</t>
  </si>
  <si>
    <t>att_vitalitaet+5</t>
  </si>
  <si>
    <t>Eigenschaftsbonus</t>
  </si>
  <si>
    <t>Intelligenz-Bonus</t>
  </si>
  <si>
    <t>Int.Bon</t>
  </si>
  <si>
    <t>eig_g_intelligenz/2-5</t>
  </si>
  <si>
    <t>Mut-Bonus</t>
  </si>
  <si>
    <t>Mut.Bon</t>
  </si>
  <si>
    <t>eig_g_mut/2-5</t>
  </si>
  <si>
    <t>Sinnesschärfe-Bonus</t>
  </si>
  <si>
    <t>Sin.Bon</t>
  </si>
  <si>
    <t>eig_g_sinneschaerfe/2-5</t>
  </si>
  <si>
    <t>Willenskraft-Bonus</t>
  </si>
  <si>
    <t>Wil.Bon</t>
  </si>
  <si>
    <t>eig_g_willenskraft/2-5</t>
  </si>
  <si>
    <t>Athletik-Bonus</t>
  </si>
  <si>
    <t>Ath.Bon</t>
  </si>
  <si>
    <t>eig_k_athletik/2-5</t>
  </si>
  <si>
    <t>Ausstrahlungs-Bonus</t>
  </si>
  <si>
    <t>Aus.Bon</t>
  </si>
  <si>
    <t>eig_k_ausstrahlung/2-5</t>
  </si>
  <si>
    <t>Geschicklichkeits-Bonus</t>
  </si>
  <si>
    <t>Ges.Bon</t>
  </si>
  <si>
    <t>eig_k_geschicklichkeit/2-5</t>
  </si>
  <si>
    <t>Konstitutions-Bonus</t>
  </si>
  <si>
    <t>Kon.Bon</t>
  </si>
  <si>
    <t>eig_k_konstitution/2-5</t>
  </si>
  <si>
    <t>Schnelligkeits-Bonus</t>
  </si>
  <si>
    <t>Sch.Bon</t>
  </si>
  <si>
    <t>eig_k_schnelligkeit/2-5</t>
  </si>
  <si>
    <t>Stärke-Bonus</t>
  </si>
  <si>
    <t>Stä.Bon</t>
  </si>
  <si>
    <t>eig_k_staerke/2-5</t>
  </si>
  <si>
    <t>fk_basis_spez_schusswaffen_armbrust</t>
  </si>
  <si>
    <t>Fernkampf-Spezialisierungs-Wert Armbrust</t>
  </si>
  <si>
    <t>(eig_g_sinneschaerfe+eig_k_geschicklichkeit+fk_schusswaffen+fk_spez_schusswaffen_armbrueste)/4</t>
  </si>
  <si>
    <t>fk_basis_spez_schusswaffen_musketen</t>
  </si>
  <si>
    <t>Fernkampf-Spezialisierungs-Wert Musketen</t>
  </si>
  <si>
    <t>(eig_g_sinneschaerfe+eig_k_geschicklichkeit+fk_schusswaffen+fk_spez_schusswaffen_musketen)/4</t>
  </si>
  <si>
    <t>fk_basis_spez_schusswaffen_pistolen</t>
  </si>
  <si>
    <t>Fernkampf-Spezialisierungs-Wert Pistolen</t>
  </si>
  <si>
    <t>(eig_g_sinneschaerfe+eig_k_geschicklichkeit+fk_schusswaffen+fk_spez_schusswaffen_pistolen)/4</t>
  </si>
  <si>
    <t>fk_basis_spez_boegen_boegen</t>
  </si>
  <si>
    <t>Fernkampf-Spezialisierungs-Wert Bögen</t>
  </si>
  <si>
    <t>(eig_g_sinneschaerfe+eig_k_geschicklichkeit+fk_boegen+fk_spez_boegen_boegen)/4</t>
  </si>
  <si>
    <t>fk_basis_boegen</t>
  </si>
  <si>
    <t>Fernkampf-Basis-Wert Bögen</t>
  </si>
  <si>
    <t>(eig_g_sinneschaerfe+eig_k_geschicklichkeit+fk_boegen)/4</t>
  </si>
  <si>
    <t>fk_basis_schusswaffen</t>
  </si>
  <si>
    <t>Fernkampf-Basis-Wert Schusswaffen</t>
  </si>
  <si>
    <t>(eig_g_sinneschaerfe+eig_k_geschicklichkeit+fk_schusswaffen)/4</t>
  </si>
  <si>
    <t>fk_blasrohre</t>
  </si>
  <si>
    <t>Blasrohre</t>
  </si>
  <si>
    <t>fk_boegen</t>
  </si>
  <si>
    <t>Bögen</t>
  </si>
  <si>
    <t>fk_schusswaffen</t>
  </si>
  <si>
    <t>Schusswaffen</t>
  </si>
  <si>
    <t>fk_spez_blasrohre_blasrohre</t>
  </si>
  <si>
    <t>-&gt; Blasrohre</t>
  </si>
  <si>
    <t>fk_spez_boegen_boegen</t>
  </si>
  <si>
    <t>-&gt; Bögen</t>
  </si>
  <si>
    <t>fk_spez_schusswaffen_armbrueste</t>
  </si>
  <si>
    <t>-&gt; Armbrüste</t>
  </si>
  <si>
    <t>fk_spez_schusswaffen_musketen</t>
  </si>
  <si>
    <t>-&gt; Musketen</t>
  </si>
  <si>
    <t>fk_spez_schusswaffen_pistolen</t>
  </si>
  <si>
    <t>-&gt; Pistole</t>
  </si>
  <si>
    <t>fk_wurfwaffen</t>
  </si>
  <si>
    <t>Wurfwaffen</t>
  </si>
  <si>
    <t>fk_basis_wurfwaffen</t>
  </si>
  <si>
    <t>Fernkampf-Basis-Wert Wurfwaffen</t>
  </si>
  <si>
    <t>(eig_g_sinneschaerfe+eig_k_geschicklichkeit+fk_wurfwaffen)/4</t>
  </si>
  <si>
    <t>ini</t>
  </si>
  <si>
    <t>Initiative</t>
  </si>
  <si>
    <t>Ini</t>
  </si>
  <si>
    <t>(eig_g_mut+eig_k_schnelligkeit)/2+(eig_g_intelligenz+eig_k_geschicklichkeit+eig_k_athletik)/6</t>
  </si>
  <si>
    <t>at_hiebwaffen</t>
  </si>
  <si>
    <t>Attacke-Basis-Wert Hiebwaffen</t>
  </si>
  <si>
    <t>MIN(20;(eig_g_mut+eig_k_athletik+nk_hiebwaffen)/3)</t>
  </si>
  <si>
    <t>at_klingenwaffen</t>
  </si>
  <si>
    <t>Attacke-Basis-Wert Klingenwaffen</t>
  </si>
  <si>
    <t>MIN(20;(eig_g_mut+eig_k_athletik+nk_klingenwaffen)/3)</t>
  </si>
  <si>
    <t>at_stangenwaffen</t>
  </si>
  <si>
    <t>Attacke-Basis-Wert Stangenwaffen</t>
  </si>
  <si>
    <t>MIN(20;(eig_g_mut+eig_k_athletik+nk_stangenwaffen)/3)</t>
  </si>
  <si>
    <t>at_stichwaffen</t>
  </si>
  <si>
    <t>Attacke-Basis-Wert Stichwaffen</t>
  </si>
  <si>
    <t>MIN(20;(eig_g_mut+eig_k_schnelligkeit+nk_stichwaffen)/3)</t>
  </si>
  <si>
    <t>at_unbewaffnet</t>
  </si>
  <si>
    <t>Attacke-Basis-Wert Unbewaffnet</t>
  </si>
  <si>
    <t>MIN(20;(eig_g_mut+eig_k_schnelligkeit+nk_unbewaffnet)/3)</t>
  </si>
  <si>
    <t>Hiebwaffen</t>
  </si>
  <si>
    <t>nk_klingenwaffen</t>
  </si>
  <si>
    <t>Klingenwaffen</t>
  </si>
  <si>
    <t>nk_stangenwaffen</t>
  </si>
  <si>
    <t>Stangenwaffen</t>
  </si>
  <si>
    <t>nk_stichwaffen</t>
  </si>
  <si>
    <t>Stichwaffen</t>
  </si>
  <si>
    <t>nk_unbewaffnet</t>
  </si>
  <si>
    <t>Unbewaffnet</t>
  </si>
  <si>
    <t>nk_spez_hiebwaffen_aexte</t>
  </si>
  <si>
    <t>-&gt; Äxte</t>
  </si>
  <si>
    <t>nk_spez_hiebwaffen_kettenwaffen</t>
  </si>
  <si>
    <t>-&gt; Kettenwaffen</t>
  </si>
  <si>
    <t>nk_spez_hiebwaffen_stumpfe_hiebwaffen</t>
  </si>
  <si>
    <t>-&gt; Stumpfe Hiebwaffen</t>
  </si>
  <si>
    <t>nk_spez_klingenwaffen_kurzschwerter</t>
  </si>
  <si>
    <t>-&gt; Kurzschwerter</t>
  </si>
  <si>
    <t>nk_spez_klingenwaffen_schwerter</t>
  </si>
  <si>
    <t>-&gt; Schwerter</t>
  </si>
  <si>
    <t>nk_spez_klingenwaffen_zweihaender</t>
  </si>
  <si>
    <t>-&gt; Zweihänder</t>
  </si>
  <si>
    <t>nk_spez_stangenwaffen_hellebarden</t>
  </si>
  <si>
    <t>-&gt; Hellebarden</t>
  </si>
  <si>
    <t>nk_spez_stangenwaffen_lanzen</t>
  </si>
  <si>
    <t>-&gt; Lanzen</t>
  </si>
  <si>
    <t>nk_spez_stangenwaffen_speere</t>
  </si>
  <si>
    <t>-&gt; Speere</t>
  </si>
  <si>
    <t>nk_spez_stangenwaffen_staebe</t>
  </si>
  <si>
    <t>-&gt; Stäbe</t>
  </si>
  <si>
    <t>nk_spez_stichwaffen_dolche</t>
  </si>
  <si>
    <t>-&gt; Dolche</t>
  </si>
  <si>
    <t>nk_spez_stichwaffen_fechtwaffen</t>
  </si>
  <si>
    <t>-&gt; Fechtwaffen</t>
  </si>
  <si>
    <t>nk_spez_unbewaffnet_armklingen</t>
  </si>
  <si>
    <t>-&gt; Armklingen</t>
  </si>
  <si>
    <t>nk_spez_unbewaffnet_messer</t>
  </si>
  <si>
    <t>-&gt; Messer</t>
  </si>
  <si>
    <t>nk_spez_unbewaffnet_peitschen</t>
  </si>
  <si>
    <t>-&gt; Peitschen</t>
  </si>
  <si>
    <t>nk_spez_unbewaffnet_ruestung</t>
  </si>
  <si>
    <t>-&gt; Rüstung</t>
  </si>
  <si>
    <t>nk_spez_unbewaffnet_schild</t>
  </si>
  <si>
    <t>-&gt; Schild</t>
  </si>
  <si>
    <t>pa_hiebwaffen</t>
  </si>
  <si>
    <t>Parade-Basis-Wert Hiebwaffen</t>
  </si>
  <si>
    <t>MIN(20;(eig_k_athletik+eig_k_schnelligkeit+nk_hiebwaffen)/3)</t>
  </si>
  <si>
    <t>pa_klingenwaffen</t>
  </si>
  <si>
    <t>Parade-Basis-Wert Klingenwaffen</t>
  </si>
  <si>
    <t>MIN(20;(eig_k_athletik+eig_k_schnelligkeit+nk_klingenwaffen)/3)</t>
  </si>
  <si>
    <t>pa_stangenwaffen</t>
  </si>
  <si>
    <t>Parade-Basis-Wert Stangenwaffen</t>
  </si>
  <si>
    <t>MIN(20;(eig_k_athletik+eig_k_schnelligkeit+nk_stangenwaffen)/3)</t>
  </si>
  <si>
    <t>pa_stichwaffen</t>
  </si>
  <si>
    <t>Parade-Basis-Wert Stichwaffen</t>
  </si>
  <si>
    <t>MIN(20;(eig_k_athletik+eig_k_schnelligkeit+nk_stichwaffen)/3)</t>
  </si>
  <si>
    <t>pa_unbewaffnet</t>
  </si>
  <si>
    <t>Parade-Basis-Wert Unbewaffnet</t>
  </si>
  <si>
    <t>MIN(20;(eig_k_athletik+eig_k_schnelligkeit+nk_unbewaffnet)/3)</t>
  </si>
  <si>
    <t>nk_pool_hiebwaffen</t>
  </si>
  <si>
    <t>Pool Hiebwaffen</t>
  </si>
  <si>
    <t>MAX(0;(eig_g_mut+eig_k_athletik+nk_hiebwaffen)/3-20)+MAX(0;(eig_k_athletik+eig_k_schnelligkeit+nk_hiebwaffen)/3-20)</t>
  </si>
  <si>
    <t>nk_pool_hiebwaffen_aexte</t>
  </si>
  <si>
    <t>Pool Äxte</t>
  </si>
  <si>
    <t>nk_spez_hiebwaffen_aexte+MAX(0;(eig_g_mut+eig_k_athletik+nk_hiebwaffen)/3-20)+MAX(0;(eig_k_athletik+eig_k_schnelligkeit+nk_hiebwaffen)/3-20)</t>
  </si>
  <si>
    <t>nk_pool_hiebwaffen_kettenwaffen</t>
  </si>
  <si>
    <t>Pool Kettenwaffen</t>
  </si>
  <si>
    <t>nk_spez_hiebwaffen_kettenwaffen+MAX(0;(eig_g_mut+eig_k_athletik+nk_hiebwaffen)/3-20)+MAX(0;(eig_k_athletik+eig_k_schnelligkeit+nk_hiebwaffen)/3-20)</t>
  </si>
  <si>
    <t>nk_pool_hiebwaffen_stumpfe_hiebwaffen</t>
  </si>
  <si>
    <t>Pool Stumpfe Hiebwaffen</t>
  </si>
  <si>
    <t>nk_spez_hiebwaffen_stumpfe_hiebwaffen+MAX(0;(eig_g_mut+eig_k_athletik+nk_hiebwaffen)/3-20)+MAX(0;(eig_k_athletik+eig_k_schnelligkeit+nk_hiebwaffen)/3-20)</t>
  </si>
  <si>
    <t>nk_pool_klingenwaffen</t>
  </si>
  <si>
    <t>Pool Klingenwaffen</t>
  </si>
  <si>
    <t>MAX(0;(eig_g_mut+eig_k_athletik+nk_klingenwaffen)/3-20)+MAX(0;(eig_k_athletik+eig_k_schnelligkeit+nk_klingenwaffen)/3-20)</t>
  </si>
  <si>
    <t>nk_pool_klingenwaffen_zweihaender</t>
  </si>
  <si>
    <t>Pool Zweihänder</t>
  </si>
  <si>
    <t>nk_spez_klingenwaffen_zweihaender+MAX(0;(eig_g_mut+eig_k_athletik+nk_klingenwaffen)/3-20)+MAX(0;(eig_k_athletik+eig_k_schnelligkeit+nk_klingenwaffen)/3-20)</t>
  </si>
  <si>
    <t>nk_pool_klingenwaffen_kurzschwerter</t>
  </si>
  <si>
    <t>Pool Kurzschwerter</t>
  </si>
  <si>
    <t>nk_spez_klingenwaffen_kurzschwerter+MAX(0;(eig_g_mut+eig_k_athletik+nk_klingenwaffen)/3-20)+MAX(0;(eig_k_athletik+eig_k_schnelligkeit+nk_klingenwaffen)/3-20)</t>
  </si>
  <si>
    <t>nk_pool_klingenwaffen_schwerter</t>
  </si>
  <si>
    <t>Pool Schwerter</t>
  </si>
  <si>
    <t>nk_spez_klingenwaffen_schwerter+MAX(0;(eig_g_mut+eig_k_athletik+nk_klingenwaffen)/3-20)+MAX(0;(eig_k_athletik+eig_k_schnelligkeit+nk_klingenwaffen)/3-20)</t>
  </si>
  <si>
    <t>nk_pool_stangenwaffen</t>
  </si>
  <si>
    <t>Pool Stangenwaffen</t>
  </si>
  <si>
    <t>MAX(0;(eig_g_mut+eig_k_athletik+nk_stangenwaffen)/3-20)+MAX(0;(eig_k_athletik+eig_k_schnelligkeit+nk_stangenwaffen)/3-20)</t>
  </si>
  <si>
    <t>nk_pool_stangenwaffen_hellebarden</t>
  </si>
  <si>
    <t>Pool Hellebarden</t>
  </si>
  <si>
    <t>nk_spez_stangenwaffen_hellebarden+MAX(0;(eig_g_mut+eig_k_athletik+nk_stangenwaffen)/3-20)+MAX(0;(eig_k_athletik+eig_k_schnelligkeit+nk_stangenwaffen)/3-20)</t>
  </si>
  <si>
    <t>nk_pool_stangenwaffen_lanzen</t>
  </si>
  <si>
    <t>Pool Lanzen</t>
  </si>
  <si>
    <t>nk_spez_stangenwaffen_lanzen+MAX(0;(eig_g_mut+eig_k_athletik+nk_stangenwaffen)/3-20)+MAX(0;(eig_k_athletik+eig_k_schnelligkeit+nk_stangenwaffen)/3-20)</t>
  </si>
  <si>
    <t>nk_pool_stangenwaffen_speere</t>
  </si>
  <si>
    <t>Pool Speere</t>
  </si>
  <si>
    <t>nk_spez_stangenwaffen_speere+MAX(0;(eig_g_mut+eig_k_athletik+nk_stangenwaffen)/3-20)+MAX(0;(eig_k_athletik+eig_k_schnelligkeit+nk_stangenwaffen)/3-20)</t>
  </si>
  <si>
    <t>nk_pool_stangenwaffen_staebe</t>
  </si>
  <si>
    <t>Pool Stäbe</t>
  </si>
  <si>
    <t>nk_spez_stangenwaffen_staebe+MAX(0;(eig_g_mut+eig_k_athletik+nk_stangenwaffen)/3-20)+MAX(0;(eig_k_athletik+eig_k_schnelligkeit+nk_stangenwaffen)/3-20)</t>
  </si>
  <si>
    <t>nk_pool_stichwaffen</t>
  </si>
  <si>
    <t>Pool Stichwaffen</t>
  </si>
  <si>
    <t>MAX(0;(eig_g_mut+eig_k_schnelligkeit+nk_stichwaffen)/3-20)+MAX(0;(eig_k_athletik+eig_k_schnelligkeit+nk_stichwaffen)/3-20)</t>
  </si>
  <si>
    <t>nk_pool_stichwaffen_dolche</t>
  </si>
  <si>
    <t>Pool Dolche</t>
  </si>
  <si>
    <t>nk_spez_stichwaffen_dolche+MAX(0;(eig_g_mut+eig_k_schnelligkeit+nk_stichwaffen)/3-20)+MAX(0;(eig_k_athletik+eig_k_schnelligkeit+nk_stichwaffen)/3-20)</t>
  </si>
  <si>
    <t>nk_pool_stichwaffen_fechtwaffen</t>
  </si>
  <si>
    <t>Pool Fechtwaffen</t>
  </si>
  <si>
    <t>nk_spez_stichwaffen_fechtwaffen+MAX(0;(eig_g_mut+eig_k_schnelligkeit+nk_stichwaffen)/3-20)+MAX(0;(eig_k_athletik+eig_k_schnelligkeit+nk_stichwaffen)/3-20)</t>
  </si>
  <si>
    <t>nk_pool_unbewaffnet_armklingen</t>
  </si>
  <si>
    <t>Pool Armklingen</t>
  </si>
  <si>
    <t>nk_spez_unbewaffnet_armklingen+MAX(0;(eig_g_mut+eig_k_schnelligkeit+nk_unbewaffnet)/3-20)+MAX(0;(eig_k_athletik+eig_k_schnelligkeit+nk_unbewaffnet)/3-20)</t>
  </si>
  <si>
    <t>nk_pool_unbewaffnet_messer</t>
  </si>
  <si>
    <t>Pool Messer</t>
  </si>
  <si>
    <t>nk_spez_unbewaffnet_messer+MAX(0;(eig_g_mut+eig_k_schnelligkeit+nk_unbewaffnet)/3-20)+MAX(0;(eig_k_athletik+eig_k_schnelligkeit+nk_unbewaffnet)/3-20)</t>
  </si>
  <si>
    <t>nk_pool_unbewaffnet_peitschen</t>
  </si>
  <si>
    <t>Pool Peitschen</t>
  </si>
  <si>
    <t>nk_spez_unbewaffnet_peitschen+MAX(0;(eig_g_mut+eig_k_schnelligkeit+nk_unbewaffnet)/3-20)+MAX(0;(eig_k_athletik+eig_k_schnelligkeit+nk_unbewaffnet)/3-20)</t>
  </si>
  <si>
    <t>nk_pool_unbewaffnet_ruestung</t>
  </si>
  <si>
    <t>Pool Rüstung</t>
  </si>
  <si>
    <t>nk_spez_unbewaffnet_ruestung+MAX(0;(eig_g_mut+eig_k_schnelligkeit+nk_unbewaffnet)/3-20)</t>
  </si>
  <si>
    <t>nk_pool_unbewaffnet_schild</t>
  </si>
  <si>
    <t>Pool Schild</t>
  </si>
  <si>
    <t>nk_spez_unbewaffnet_schild+MAX(0;(eig_g_mut+eig_k_schnelligkeit+nk_unbewaffnet)/3-20)+MAX(0;(eig_k_athletik+eig_k_schnelligkeit+nk_unbewaffnet)/3-20)</t>
  </si>
  <si>
    <t>nk_spez_unbewaffnet_boxen</t>
  </si>
  <si>
    <t>-&gt; Boxen</t>
  </si>
  <si>
    <t>Nur Volk: Dalkini, Zwerg, Ork. Details (Schaden, Specials) siehe Sheet 'NK-Waffen-Basis'. Quelle: Nahkampftabelle Unbewaffnet (2004). Voelkerbeschraenkung ungeprueft, siehe Sheet 'Entwickeln'.</t>
  </si>
  <si>
    <t>nk_spez_unbewaffnet_elfische_kunst_der_selbstverteidigung</t>
  </si>
  <si>
    <t>-&gt; Elfische Kunst der Selbstverteidigung</t>
  </si>
  <si>
    <t>Nur Volk: Elf. Details (Schaden, Specials) siehe Sheet 'NK-Waffen-Basis'. Quelle: Nahkampftabelle Unbewaffnet (2004). Voelkerbeschraenkung ungeprueft, siehe Sheet 'Entwickeln'.</t>
  </si>
  <si>
    <t>nk_spez_unbewaffnet_goblinische_kampfkunst</t>
  </si>
  <si>
    <t>-&gt; Goblinische Kampfkunst</t>
  </si>
  <si>
    <t>Nur Volk: Goblin. Details (Schaden, Specials) siehe Sheet 'NK-Waffen-Basis'. Quelle: Nahkampftabelle Unbewaffnet (2004). Voelkerbeschraenkung ungeprueft, siehe Sheet 'Entwickeln'.</t>
  </si>
  <si>
    <t>nk_spez_unbewaffnet_katzenmenschen_kampfkunst</t>
  </si>
  <si>
    <t>-&gt; Katzenmenschen Kampfkunst</t>
  </si>
  <si>
    <t>Nur Volk: Katzenmensch. Details (Schaden, Specials) siehe Sheet 'NK-Waffen-Basis'. Quelle: Nahkampftabelle Unbewaffnet (2004). Voelkerbeschraenkung ungeprueft, siehe Sheet 'Entwickeln'.</t>
  </si>
  <si>
    <t>nk_spez_unbewaffnet_orkisch_raufen</t>
  </si>
  <si>
    <t>-&gt; Orkisch' Raufen</t>
  </si>
  <si>
    <t>Nur Volk: Ork. Details (Schaden, Specials) siehe Sheet 'NK-Waffen-Basis'. Quelle: Nahkampftabelle Unbewaffnet (2004). Voelkerbeschraenkung ungeprueft, siehe Sheet 'Entwickeln'.</t>
  </si>
  <si>
    <t>nk_spez_unbewaffnet_ringen</t>
  </si>
  <si>
    <t>-&gt; Ringen</t>
  </si>
  <si>
    <t>Alle Voelker. Details (Schaden, Specials) siehe Sheet 'NK-Waffen-Basis'. Quelle: Nahkampftabelle Unbewaffnet (2004). Voelkerbeschraenkung ungeprueft, siehe Sheet 'Entwickeln'.</t>
  </si>
  <si>
    <t>nk_spez_unbewaffnet_schattenkampf</t>
  </si>
  <si>
    <t>-&gt; Schattenkampf</t>
  </si>
  <si>
    <t>Nur Volk: Drow. Details (Schaden, Specials) siehe Sheet 'NK-Waffen-Basis'. Quelle: Nahkampftabelle Unbewaffnet (2004). Voelkerbeschraenkung ungeprueft, siehe Sheet 'Entwickeln'.</t>
  </si>
  <si>
    <t>nk_pool_unbewaffnet_boxen</t>
  </si>
  <si>
    <t>Pool Boxen</t>
  </si>
  <si>
    <t>nk_spez_unbewaffnet_boxen+MAX(0;(eig_g_mut+eig_k_schnelligkeit+nk_unbewaffnet)/3-20)+MAX(0;(eig_k_athletik+eig_k_schnelligkeit+nk_unbewaffnet)/3-20)</t>
  </si>
  <si>
    <t>nk_pool_unbewaffnet_elfische_kunst_der_selbstverteidigung</t>
  </si>
  <si>
    <t>Pool Elfische Kunst der Selbstverteidigung</t>
  </si>
  <si>
    <t>nk_spez_unbewaffnet_elfische_kunst_der_selbstverteidigung+MAX(0;(eig_g_mut+eig_k_schnelligkeit+nk_unbewaffnet)/3-20)+MAX(0;(eig_k_athletik+eig_k_schnelligkeit+nk_unbewaffnet)/3-20)</t>
  </si>
  <si>
    <t>nk_pool_unbewaffnet_goblinische_kampfkunst</t>
  </si>
  <si>
    <t>Pool Goblinische Kampfkunst</t>
  </si>
  <si>
    <t>nk_spez_unbewaffnet_goblinische_kampfkunst+MAX(0;(eig_g_mut+eig_k_schnelligkeit+nk_unbewaffnet)/3-20)+MAX(0;(eig_k_athletik+eig_k_schnelligkeit+nk_unbewaffnet)/3-20)</t>
  </si>
  <si>
    <t>nk_pool_unbewaffnet_katzenmenschen_kampfkunst</t>
  </si>
  <si>
    <t>Pool Katzenmenschen Kampfkunst</t>
  </si>
  <si>
    <t>nk_spez_unbewaffnet_katzenmenschen_kampfkunst+MAX(0;(eig_g_mut+eig_k_schnelligkeit+nk_unbewaffnet)/3-20)+MAX(0;(eig_k_athletik+eig_k_schnelligkeit+nk_unbewaffnet)/3-20)</t>
  </si>
  <si>
    <t>nk_pool_unbewaffnet_orkisch_raufen</t>
  </si>
  <si>
    <t>Pool Orkisch' Raufen</t>
  </si>
  <si>
    <t>nk_spez_unbewaffnet_orkisch_raufen+MAX(0;(eig_g_mut+eig_k_schnelligkeit+nk_unbewaffnet)/3-20)+MAX(0;(eig_k_athletik+eig_k_schnelligkeit+nk_unbewaffnet)/3-20)</t>
  </si>
  <si>
    <t>nk_pool_unbewaffnet_ringen</t>
  </si>
  <si>
    <t>Pool Ringen</t>
  </si>
  <si>
    <t>nk_spez_unbewaffnet_ringen+MAX(0;(eig_g_mut+eig_k_schnelligkeit+nk_unbewaffnet)/3-20)+MAX(0;(eig_k_athletik+eig_k_schnelligkeit+nk_unbewaffnet)/3-20)</t>
  </si>
  <si>
    <t>nk_pool_unbewaffnet_schattenkampf</t>
  </si>
  <si>
    <t>Pool Schattenkampf</t>
  </si>
  <si>
    <t>nk_spez_unbewaffnet_schattenkampf+MAX(0;(eig_g_mut+eig_k_schnelligkeit+nk_unbewaffnet)/3-20)+MAX(0;(eig_k_athletik+eig_k_schnelligkeit+nk_unbewaffnet)/3-20)</t>
  </si>
  <si>
    <t>spruchmagie_antimagie_1_artefakt_analysieren</t>
  </si>
  <si>
    <t>Artefakt analysieren</t>
  </si>
  <si>
    <t>Antimagie</t>
  </si>
  <si>
    <t>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t>
  </si>
  <si>
    <t>spruchmagie_antimagie_1_magische_wand</t>
  </si>
  <si>
    <t>Magische Wand</t>
  </si>
  <si>
    <t>Der Magus erschafft eine Wand aus Magie. Diese ist undurchdringlich und verfügt über einen RS und LE von (M)*4. Die Wand gilt als Magiekorpus. Länge max. W6 +Magie+Aura m, Breite max. (M)*2cm</t>
  </si>
  <si>
    <t>spruchmagie_antimagie_2_artefakt_stoeren</t>
  </si>
  <si>
    <t>Artefakt stören</t>
  </si>
  <si>
    <t>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t>
  </si>
  <si>
    <t>spruchmagie_antimagie_2_bipolare_schere</t>
  </si>
  <si>
    <t>Bipolare Schere</t>
  </si>
  <si>
    <t>Ein Bipolarer Zauber bis Grad (Wei+2) wird gebrochen. Wenn der Zauber während der Vorbereitungsdauer gebrochen wird, entstehen dem gegnerischen Magus nur halbe Manakosten.</t>
  </si>
  <si>
    <t>spruchmagie_antimagie_2_magische_kuppel</t>
  </si>
  <si>
    <t>Magische Kuppel</t>
  </si>
  <si>
    <t>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t>
  </si>
  <si>
    <t>spruchmagie_antimagie_2_magische_reinigung</t>
  </si>
  <si>
    <t>Magische Reinigung</t>
  </si>
  <si>
    <t>Ein Anhaltender oder Bipolarer Zauber mit maximalem Zaubergrad von (Wei+3) nach Wahl des Magiers wird beendet.</t>
  </si>
  <si>
    <t>spruchmagie_antimagie_3_magische_barriere</t>
  </si>
  <si>
    <t>Magische Barriere</t>
  </si>
  <si>
    <t>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t>
  </si>
  <si>
    <t>spruchmagie_antimagie_3_magischer_schild</t>
  </si>
  <si>
    <t>Magischer Schild</t>
  </si>
  <si>
    <t>Die Aura des Zieles wird von einem unsichtbaren Schild geschützt. Es kann pro KR maximal (M) SP und insgesamt (M) * 2 SP abhalten.</t>
  </si>
  <si>
    <t>spruchmagie_antimagie_3_schule_erschweren_antimagie</t>
  </si>
  <si>
    <t>Schule erschweren: Antimagie</t>
  </si>
  <si>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</si>
  <si>
    <t>spruchmagie_antimagie_3_schule_erschweren_beherrschung</t>
  </si>
  <si>
    <t>Schule erschweren: Beherrschung</t>
  </si>
  <si>
    <t>spruchmagie_antimagie_3_schule_erschweren_erdbeschwoerung</t>
  </si>
  <si>
    <t>Schule erschweren: Erdbeschwörung</t>
  </si>
  <si>
    <t>spruchmagie_antimagie_3_schule_erschweren_feuerbeschwoerung</t>
  </si>
  <si>
    <t>Schule erschweren: Feuerbeschwörung</t>
  </si>
  <si>
    <t>spruchmagie_antimagie_3_schule_erschweren_heilung</t>
  </si>
  <si>
    <t>Schule erschweren: Heilung</t>
  </si>
  <si>
    <t>spruchmagie_antimagie_3_schule_erschweren_hellsicht</t>
  </si>
  <si>
    <t>Schule erschweren: Hellsicht</t>
  </si>
  <si>
    <t>spruchmagie_antimagie_3_schule_erschweren_illusion</t>
  </si>
  <si>
    <t>Schule erschweren: Illusion</t>
  </si>
  <si>
    <t>spruchmagie_antimagie_3_schule_erschweren_luftbeschwoerung</t>
  </si>
  <si>
    <t>Schule erschweren: Luftbeschwörung</t>
  </si>
  <si>
    <t>spruchmagie_antimagie_3_schule_erschweren_magiebeschwoerung</t>
  </si>
  <si>
    <t>Schule erschweren: Magiebeschwörung</t>
  </si>
  <si>
    <t>spruchmagie_antimagie_3_schule_erschweren_veraenderung</t>
  </si>
  <si>
    <t>Schule erschweren: Veränderung</t>
  </si>
  <si>
    <t>spruchmagie_antimagie_3_schule_erschweren_verzauberung</t>
  </si>
  <si>
    <t>Schule erschweren: Verzauberung</t>
  </si>
  <si>
    <t>spruchmagie_antimagie_3_schule_erschweren_wasserbeschwoerung</t>
  </si>
  <si>
    <t>Schule erschweren: Wasserbeschwörung</t>
  </si>
  <si>
    <t>spruchmagie_antimagie_4_magische_bresche</t>
  </si>
  <si>
    <t>Magische Bresche</t>
  </si>
  <si>
    <t>Alle Anhaltenden und Bipolaren Zauber bis Grad (Wei+1) die auf der Aura liegen, werden gebrochen.</t>
  </si>
  <si>
    <t>spruchmagie_antimagie_4_mobile_barriere</t>
  </si>
  <si>
    <t>Mobile Barriere</t>
  </si>
  <si>
    <t>Der Magier erschafft eine bewegliche Barriere mit LE/RS (M)*4. Diese Barriere entsteht entweder als Kugel um den Magus oder als „Verstärkung“ um ein materiell fest definiertes Objekt (z.B. ein Auto).</t>
  </si>
  <si>
    <t>spruchmagie_antimagie_5_aura_verhuellen</t>
  </si>
  <si>
    <t>Aura verhüllen</t>
  </si>
  <si>
    <t>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t>
  </si>
  <si>
    <t>spruchmagie_antimagie_5_korpi_ignorieren</t>
  </si>
  <si>
    <t>Korpi ignorieren</t>
  </si>
  <si>
    <t xml:space="preserve">Der Magus ermöglicht es einem Gegenstand, magische Korpi zu ignorieren. So ist es dem Gegenstand möglich, durch jede Art von Barriere zu dringen, als wäre sie nicht existent. Diese Gegenstände können von Magiekorpi nicht wahrgenommen werden. </t>
  </si>
  <si>
    <t>spruchmagie_antimagie_5_schule_hemmen_antimagie</t>
  </si>
  <si>
    <t>Schule hemmen: Antimagie</t>
  </si>
  <si>
    <t>Der Magus erschafft eine kreisförmige Zone mit (M) * m Radius, in der alle Wirkungen von [Schule]-Spruchzaubern oder natürlichen Effekten um 25% reduziert werden. Beherrscht der Magier die [Schule] selbst, wird die Wirkung um 50% reduziert.</t>
  </si>
  <si>
    <t>spruchmagie_antimagie_5_schule_hemmen_beherrschung</t>
  </si>
  <si>
    <t>Schule hemmen: Beherrschung</t>
  </si>
  <si>
    <t>spruchmagie_antimagie_5_schule_hemmen_erdbeschwoerung</t>
  </si>
  <si>
    <t>Schule hemmen: Erdbeschwörung</t>
  </si>
  <si>
    <t>spruchmagie_antimagie_5_schule_hemmen_feuerbeschwoerung</t>
  </si>
  <si>
    <t>Schule hemmen: Feuerbeschwörung</t>
  </si>
  <si>
    <t>spruchmagie_antimagie_5_schule_hemmen_heilung</t>
  </si>
  <si>
    <t>Schule hemmen: Heilung</t>
  </si>
  <si>
    <t>spruchmagie_antimagie_5_schule_hemmen_hellsicht</t>
  </si>
  <si>
    <t>Schule hemmen: Hellsicht</t>
  </si>
  <si>
    <t>spruchmagie_antimagie_5_schule_hemmen_illusion</t>
  </si>
  <si>
    <t>Schule hemmen: Illusion</t>
  </si>
  <si>
    <t>spruchmagie_antimagie_5_schule_hemmen_luftbeschwoerung</t>
  </si>
  <si>
    <t>Schule hemmen: Luftbeschwörung</t>
  </si>
  <si>
    <t>spruchmagie_antimagie_5_schule_hemmen_magiebeschwoerung</t>
  </si>
  <si>
    <t>Schule hemmen: Magiebeschwörung</t>
  </si>
  <si>
    <t>spruchmagie_antimagie_5_schule_hemmen_veraenderung</t>
  </si>
  <si>
    <t>Schule hemmen: Veränderung</t>
  </si>
  <si>
    <t>spruchmagie_antimagie_5_schule_hemmen_verzauberung</t>
  </si>
  <si>
    <t>Schule hemmen: Verzauberung</t>
  </si>
  <si>
    <t>spruchmagie_antimagie_5_schule_hemmen_wasserbeschwoerung</t>
  </si>
  <si>
    <t>Schule hemmen: Wasserbeschwörung</t>
  </si>
  <si>
    <t>spruchmagie_antimagie_5_schutz</t>
  </si>
  <si>
    <t>Schutz</t>
  </si>
  <si>
    <t>Der Magus verschafft einem Ziel Schutz vor Schadenswirkungen. Pro KR kann dieser Schutz max. (M)*2 SP verhindern. Der Magus kann das Ziel ein Mal pro KR ändern. Erhält das Opfer noch in dieser Runde Schaden und der Magus hat seine Zieländerung nicht schon in der vorherigen KR angesagt, muss der Magus eine Sinnesschärfe-Probe ablegen, um das Ziel rechtzeitig zu ändern.</t>
  </si>
  <si>
    <t>spruchmagie_antimagie_6_antimagisches_feld</t>
  </si>
  <si>
    <t>Antimagisches Feld</t>
  </si>
  <si>
    <t>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t>
  </si>
  <si>
    <t>spruchmagie_antimagie_6_schutz_vor_schule_antimagie</t>
  </si>
  <si>
    <t>Schutz vor Schule: Antimagie</t>
  </si>
  <si>
    <t>Der Magus schützt sich kraft seines Wissens um die Wirkungsweise der [Schule] vollständig gegen alle Wirkungen der  entsprechenden Magie. Um diesen Zauber steigern zu können, muss der Magus die entsprechende Spruchmagie-Schule beherrschen.</t>
  </si>
  <si>
    <t>spruchmagie_antimagie_6_schutz_vor_schule_beherrschung</t>
  </si>
  <si>
    <t>Schutz vor Schule: Beherrschung</t>
  </si>
  <si>
    <t>spruchmagie_antimagie_6_schutz_vor_schule_erdbeschwoerung</t>
  </si>
  <si>
    <t>Schutz vor Schule: Erdbeschwörung</t>
  </si>
  <si>
    <t>spruchmagie_antimagie_6_schutz_vor_schule_feuerbeschwoerung</t>
  </si>
  <si>
    <t>Schutz vor Schule: Feuerbeschwörung</t>
  </si>
  <si>
    <t>spruchmagie_antimagie_6_schutz_vor_schule_heilung</t>
  </si>
  <si>
    <t>Schutz vor Schule: Heilung</t>
  </si>
  <si>
    <t>spruchmagie_antimagie_6_schutz_vor_schule_hellsicht</t>
  </si>
  <si>
    <t>Schutz vor Schule: Hellsicht</t>
  </si>
  <si>
    <t>spruchmagie_antimagie_6_schutz_vor_schule_illusion</t>
  </si>
  <si>
    <t>Schutz vor Schule: Illusion</t>
  </si>
  <si>
    <t>spruchmagie_antimagie_6_schutz_vor_schule_luftbeschwoerung</t>
  </si>
  <si>
    <t>Schutz vor Schule: Luftbeschwörung</t>
  </si>
  <si>
    <t>spruchmagie_antimagie_6_schutz_vor_schule_magiebeschwoerung</t>
  </si>
  <si>
    <t>Schutz vor Schule: Magiebeschwörung</t>
  </si>
  <si>
    <t>spruchmagie_antimagie_6_schutz_vor_schule_verzauberung</t>
  </si>
  <si>
    <t>Schutz vor Schule: Verzauberung</t>
  </si>
  <si>
    <t>spruchmagie_antimagie_6_schutz_vor_schule_wasserbeschwoerung</t>
  </si>
  <si>
    <t>Schutz vor Schule: Wasserbeschwörung</t>
  </si>
  <si>
    <t>spruchmagie_antimagie_6_subjektives_manaloch</t>
  </si>
  <si>
    <t>Subjektives Manaloch</t>
  </si>
  <si>
    <t>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t>
  </si>
  <si>
    <t>spruchmagie_antimagie_7_aura_entkernen</t>
  </si>
  <si>
    <t>Aura entkernen</t>
  </si>
  <si>
    <t>Die Aura des Opfers wird für den Bruchteil einer Sekunde zerstört. Dadurch fallen alle Zauber vom Ziel, alle aktiven Artefakte verlieren ihre Wirkung und das Ziel büßt all sein Mana ein. Zaubervorbereitungen werden unterbrochen.</t>
  </si>
  <si>
    <t>spruchmagie_antimagie_7_manaloch</t>
  </si>
  <si>
    <t>Manaloch</t>
  </si>
  <si>
    <t>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t>
  </si>
  <si>
    <t>spruchmagie_antimagie_7_spiegeltrick</t>
  </si>
  <si>
    <t>Spiegeltrick</t>
  </si>
  <si>
    <t>Ein beliebiger Zauber, der auf den Magus gezielt wird, wird mit voller Stärke auf den Gegner zurückgeworfen. Der Magus erleidet nur die halbierte Wirkung.</t>
  </si>
  <si>
    <t>spruchmagie_beherrschung_1_ermutigen</t>
  </si>
  <si>
    <t>Ermutigen</t>
  </si>
  <si>
    <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t>
  </si>
  <si>
    <t>spruchmagie_beherrschung_1_freundschaft</t>
  </si>
  <si>
    <t>Freundschaft</t>
  </si>
  <si>
    <t>Das Ansehen des Magus steigt bei dem Opfer um eine Stufe. Bester Freund---Freund---neutral---Böse/Gefahr---Feind Nach (M):2 Stunden erinnert sich das Opfer wieder warum es das Opfer doch nicht so gerne mochte.</t>
  </si>
  <si>
    <t>spruchmagie_beherrschung_1_respekt_einfloessen</t>
  </si>
  <si>
    <t>Respekt einflößen</t>
  </si>
  <si>
    <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 </t>
  </si>
  <si>
    <t>spruchmagie_beherrschung_1_tiere_befehligen</t>
  </si>
  <si>
    <t>Tiere Befehligen</t>
  </si>
  <si>
    <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t>
  </si>
  <si>
    <t>spruchmagie_beherrschung_2_besaenftigen</t>
  </si>
  <si>
    <t>Besänftigen</t>
  </si>
  <si>
    <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t>
  </si>
  <si>
    <t>spruchmagie_beherrschung_2_entmutigen</t>
  </si>
  <si>
    <t>Entmutigen</t>
  </si>
  <si>
    <t>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t>
  </si>
  <si>
    <t>spruchmagie_beherrschung_2_lachanfall</t>
  </si>
  <si>
    <t>Lachanfall</t>
  </si>
  <si>
    <t>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t>
  </si>
  <si>
    <t>spruchmagie_beherrschung_2_stumm</t>
  </si>
  <si>
    <t>Stumm</t>
  </si>
  <si>
    <t>Das Opfer bringt keinen Ton raus. Man hört zwar wie die Luft die Lungen durch den Mund verlässt aber das ist auch schon alles. Das sprechen von Zaubern geht nur noch auf ST2, also ohne Formel.</t>
  </si>
  <si>
    <t>spruchmagie_beherrschung_2_traurigkeit</t>
  </si>
  <si>
    <t>Traurigkeit</t>
  </si>
  <si>
    <t>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t>
  </si>
  <si>
    <t>spruchmagie_beherrschung_3_elementare_befehligen</t>
  </si>
  <si>
    <t>Elementare Befehligen</t>
  </si>
  <si>
    <t>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t>
  </si>
  <si>
    <t>spruchmagie_beherrschung_3_herrschaft_ueber_tiere</t>
  </si>
  <si>
    <t>Herrschaft über Tiere</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</si>
  <si>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t>
  </si>
  <si>
    <t>spruchmagie_beherrschung_3_konfus</t>
  </si>
  <si>
    <t>Konfus</t>
  </si>
  <si>
    <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t>
  </si>
  <si>
    <t>spruchmagie_beherrschung_3_tick_verursachen</t>
  </si>
  <si>
    <t>Tick Verursachen</t>
  </si>
  <si>
    <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t>
  </si>
  <si>
    <t>spruchmagie_beherrschung_3_zorn</t>
  </si>
  <si>
    <t>Zorn</t>
  </si>
  <si>
    <t xml:space="preserve">Das Opfer greift das nächstliegende Ziel , was er/es am wenigsten Mag an. Sollten alle Ziele in Reichweiten für ihn Neutral oder Freundlich sein, so passiert nichts bis ein Ziel in sicht kommt, das er nicht mag oder gar ein Feind ist. </t>
  </si>
  <si>
    <t>spruchmagie_beherrschung_4_aufmerksamkeit</t>
  </si>
  <si>
    <t>Aufmerksamkeit</t>
  </si>
  <si>
    <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t>
  </si>
  <si>
    <t>spruchmagie_beherrschung_4_berserker</t>
  </si>
  <si>
    <t>Berserker</t>
  </si>
  <si>
    <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t>
  </si>
  <si>
    <t>spruchmagie_beherrschung_4_freie_daemonen_befehligen</t>
  </si>
  <si>
    <t>Freie Dämonen Befehligen</t>
  </si>
  <si>
    <t>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t>
  </si>
  <si>
    <t>spruchmagie_beherrschung_4_furcht</t>
  </si>
  <si>
    <t>Furcht</t>
  </si>
  <si>
    <t>Das Opfer gerät in Panik und läuft so schnell es kann vom Magus weg. Dabei rennt es so lange bis Es vor Erschöpfung Bewusstlos wird, dann fällt der Zauber von selbst. Außerdem wirft Es alles von sich was ihm am laufen hindert.</t>
  </si>
  <si>
    <t>spruchmagie_beherrschung_4_verwirrung</t>
  </si>
  <si>
    <t>Verwirrung</t>
  </si>
  <si>
    <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t>
  </si>
  <si>
    <t>spruchmagie_beherrschung_5_herrschaft_ueber_elementare</t>
  </si>
  <si>
    <t>Herrschaft über Elementare</t>
  </si>
  <si>
    <t>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</si>
  <si>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spruchmagie_beherrschung_5_massenfurcht</t>
  </si>
  <si>
    <t>Massenfurcht</t>
  </si>
  <si>
    <t>Die Opfer geraten in Panik und laufen so schnell sie können vom Magus weg. Dabei rennen Sie so lange bis Sie vor Erschöpfung Bewusstlos werden, dann fällt der Zauber von selbst. Außerdem werfen Sie alles von sich was Sie am laufen hindert.</t>
  </si>
  <si>
    <t>spruchmagie_beherrschung_5_paralyse</t>
  </si>
  <si>
    <t>Paralyse</t>
  </si>
  <si>
    <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t>
  </si>
  <si>
    <t>spruchmagie_beherrschung_6_herrschaft_ueber_freie_daemonen</t>
  </si>
  <si>
    <t>Herrschaft über freie Dämonen</t>
  </si>
  <si>
    <t>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t>
  </si>
  <si>
    <t>spruchmagie_beherrschung_6_maechtige_tierherrschaft</t>
  </si>
  <si>
    <t>Mächtige Tierherrschaft</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</si>
  <si>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t>
  </si>
  <si>
    <t>spruchmagie_beherrschung_6_totale_kontrolle</t>
  </si>
  <si>
    <t>Totale Kontrolle</t>
  </si>
  <si>
    <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t>
  </si>
  <si>
    <t>spruchmagie_beherrschung_6_totale_tier_kontrolle</t>
  </si>
  <si>
    <t>Totale Tier Kontrolle</t>
  </si>
  <si>
    <t>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t>
  </si>
  <si>
    <t>spruchmagie_beherrschung_7_maechtige_elementar_herrschaft</t>
  </si>
  <si>
    <t>Mächtige Elementar Herrschaft</t>
  </si>
  <si>
    <t>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</si>
  <si>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spruchmagie_beherrschung_7_massen_raserei</t>
  </si>
  <si>
    <t>Massen Raserei</t>
  </si>
  <si>
    <t>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t>
  </si>
  <si>
    <t>spruchmagie_beherrschung_7_menschen_befehligen</t>
  </si>
  <si>
    <t>Menschen befehligen</t>
  </si>
  <si>
    <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t>
  </si>
  <si>
    <t>spruchmagie_erdbeschwoerung_1_steinfaust</t>
  </si>
  <si>
    <t>Steinfaust</t>
  </si>
  <si>
    <t>Die Fäuste des Magiers verursachen zusätzlichen Elementarschaden. Schaden: W8 + Magie, RB 3.</t>
  </si>
  <si>
    <t>spruchmagie_erdbeschwoerung_1_steinfaust_nr</t>
  </si>
  <si>
    <t>Steinfaust NR</t>
  </si>
  <si>
    <t xml:space="preserve">Die Fäuste des Magiers verursachen zusätzlichen Erde-Elementarschaden. Schaden: W10 + Magie; RB 4 </t>
  </si>
  <si>
    <t>spruchmagie_erdbeschwoerung_1_steinkugel</t>
  </si>
  <si>
    <t>Steinkugel</t>
  </si>
  <si>
    <t>Der Magus erschafft einen Ball aus Erde. Schaden: 2W4 + Magie, RB 6.</t>
  </si>
  <si>
    <t>spruchmagie_erdbeschwoerung_1_steinkugel_nr</t>
  </si>
  <si>
    <t>Steinkugel NR</t>
  </si>
  <si>
    <t>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t>
  </si>
  <si>
    <t>spruchmagie_erdbeschwoerung_2_steinschuss</t>
  </si>
  <si>
    <t>Steinschuss</t>
  </si>
  <si>
    <t>Der Magus erschafft einen Bolzen aus Erde. Treffer auf FK-TZ. Schaden: 2W6 + Magie; RB: 6 + Magie*2</t>
  </si>
  <si>
    <t>spruchmagie_erdbeschwoerung_2_steinschuss_nr</t>
  </si>
  <si>
    <t>Steinschuss NR</t>
  </si>
  <si>
    <t>Der Magus erschafft einen Bolzen aus Stein. Bis (M)m Glücks-Probe, bis (M)*2m AW:2, danach AW, um dem Schaden zu entgehen. Fluggeschwindigkeit ist (M)m/s. Treffer auf FK (W30). Schaden: 2W8 + Magie; RB: Magie*2 + 4</t>
  </si>
  <si>
    <t>spruchmagie_erdbeschwoerung_3_grosse_steinfaust</t>
  </si>
  <si>
    <t>Große Steinfaust</t>
  </si>
  <si>
    <t>Die Fäuste des Magiers verursachen zusätzlichen Elementarschaden von   2W12+Magie, RB 9.</t>
  </si>
  <si>
    <t>spruchmagie_erdbeschwoerung_3_grosse_steinfaust_nr</t>
  </si>
  <si>
    <t>Große Steinfaust NR</t>
  </si>
  <si>
    <t xml:space="preserve">Die Fäuste des Magiers verursachen zusätzlichen Elementarschaden von 2W15+Magie, RB 9 </t>
  </si>
  <si>
    <t>spruchmagie_erdbeschwoerung_4_grosse_steinkugel</t>
  </si>
  <si>
    <t>Große Steinkugel</t>
  </si>
  <si>
    <t>Der Magus erschafft einen Ball aus Erde. Schaden: W12 + Magie, RB 5, auf jede Trefferzone.</t>
  </si>
  <si>
    <t>spruchmagie_erdbeschwoerung_4_grosse_steinkugel_nr</t>
  </si>
  <si>
    <t>Große Steinkugel NR</t>
  </si>
  <si>
    <t xml:space="preserve">Der Magus erschafft einen Ball aus einem Element. Bis (M):2 m Glücks-Probe, ab (M):2 m Ausweichen-Probe, um dem Schaden zu entgehen. Fluggeschwindigkeit ist (M):2 m/s. Schaden: W15 + Magie*2, RB 21 auf jede Trefferzone. </t>
  </si>
  <si>
    <t>spruchmagie_feuerbeschwoerung_1_feuerball</t>
  </si>
  <si>
    <t>Feuerball</t>
  </si>
  <si>
    <t>Der Magus erschafft einen Ball aus Feuer. Schaden: 2W6 + Magie.</t>
  </si>
  <si>
    <t>spruchmagie_feuerbeschwoerung_1_feuerball_nr</t>
  </si>
  <si>
    <t>Feuerball NR</t>
  </si>
  <si>
    <t>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t>
  </si>
  <si>
    <t>spruchmagie_feuerbeschwoerung_1_flammenfaust</t>
  </si>
  <si>
    <t>Flammenfaust</t>
  </si>
  <si>
    <t>Die Fäuste des Magiers verursachen zusätzlichen Elementarschaden.   Schaden:   W10 + Magie</t>
  </si>
  <si>
    <t>spruchmagie_feuerbeschwoerung_1_flammenfaust_nr</t>
  </si>
  <si>
    <t>Flammenfaust NR</t>
  </si>
  <si>
    <t xml:space="preserve">Die Fäuste des Magiers verursachen zusätzlichen Feuer-Elementarschaden.   Schaden:  W15 + Magie   </t>
  </si>
  <si>
    <t>spruchmagie_feuerbeschwoerung_2_feuerpfeil</t>
  </si>
  <si>
    <t>Feuerpfeil</t>
  </si>
  <si>
    <t>Der Magus erschafft einen Bolzen aus Feuer. Treffer auf FK-TZ. Schaden: 2W8 + Magie; RB: Magie*2</t>
  </si>
  <si>
    <t>spruchmagie_feuerbeschwoerung_2_feuerpfeil_nr</t>
  </si>
  <si>
    <t>Feuerpfeil NR</t>
  </si>
  <si>
    <t>Der Magus erschafft einen Bolzen aus Feuer. Bis (M)m Glücks-Probe, bis (M)*2m AW:2, danach AW, um dem Schaden zu entgehen. Fluggeschwindigkeit ist (M)m/s. Treffer auf FK (W30). Schaden: 2W10 + Magie; RB: Magie*2</t>
  </si>
  <si>
    <t>spruchmagie_feuerbeschwoerung_3_grosse_flammenfaust</t>
  </si>
  <si>
    <t>Große Flammenfaust</t>
  </si>
  <si>
    <t>Die Fäuste des Magiers verursachen zusätzlichen Elementarschaden von   2W15+Magie</t>
  </si>
  <si>
    <t>spruchmagie_feuerbeschwoerung_3_grosse_flammenfaust_nr</t>
  </si>
  <si>
    <t>Große Flammenfaust NR</t>
  </si>
  <si>
    <t xml:space="preserve">Die Fäuste des Magiers verursachen zusätzlichen Feuer-Elementarschaden von   2W20+Magie  </t>
  </si>
  <si>
    <t>spruchmagie_feuerbeschwoerung_4_grosser_feuerball</t>
  </si>
  <si>
    <t>Großer Feuerball</t>
  </si>
  <si>
    <t>Der Magus erschafft einen Ball aus Feuer. Schaden: W15 + Magie auf jede Trefferzone.</t>
  </si>
  <si>
    <t>spruchmagie_feuerbeschwoerung_4_grosser_feuerball_nr</t>
  </si>
  <si>
    <t>Großer Feuerball NR</t>
  </si>
  <si>
    <t xml:space="preserve">Der Magus erschafft einen Ball aus Feuer.  Bis (M):2 m Glücks-Probe, ab (M):2 m Ausweichen-Probe, um dem Schaden zu entgehen. Fluggeschwindigkeit ist (M):2 m/s.  Schaden: W20 + Magie*2 auf jede Trefferzone.  </t>
  </si>
  <si>
    <t>spruchmagie_heilung_1_ruhiger_schlaf</t>
  </si>
  <si>
    <t>Ruhiger Schlaf</t>
  </si>
  <si>
    <t>Heilung</t>
  </si>
  <si>
    <t>Der Magus schenkt seinem Ziel einen ruhigen, traumlosen Schlaf. Die Regeneration wird um eine W-Stufe erhöht, wenn das Ziel mindestens 6 Stunden schläft. Der Schlaf ist tiefer als gewöhnlicher Schlaf, weshalb Sinnesschärfen-Proben zum Aufwachen zusätzlich um 6 erschwert sind.</t>
  </si>
  <si>
    <t>spruchmagie_heilung_1_schmerz_unterdruecken</t>
  </si>
  <si>
    <t>Schmerz unterdrücken</t>
  </si>
  <si>
    <t>Der Magus senkt Behinderungen, die durch beliebige Schadenswirkungen entstanden sind, um maximal Magie * 2 Punkte.</t>
  </si>
  <si>
    <t>spruchmagie_heilung_1_wunden_schliessen</t>
  </si>
  <si>
    <t>Wunden schließen</t>
  </si>
  <si>
    <t>Der Magus schließt eine Wunde (1 Blutung stoppen) und heilt auf der selben Trefferzone W6 (maximal Magie) LE.</t>
  </si>
  <si>
    <t>spruchmagie_heilung_1_zwang_unterdruecken</t>
  </si>
  <si>
    <t>Zwang unterdrücken</t>
  </si>
  <si>
    <t>Der Magus hilft dem Opfer, einem psychischen Zwang für die Wirkungsdauer zu entgehen. Dies schließt alle psychischen Drogenabhängigkeiten und Süchte ein, magische Zwänge sind hiervon nicht betroffen.</t>
  </si>
  <si>
    <t>spruchmagie_heilung_2_ausdauer_wiederherstellen</t>
  </si>
  <si>
    <t>Ausdauer wiederherstellen</t>
  </si>
  <si>
    <t>Das Ziel regeneriert auf der Stelle (M) Ausdauer.</t>
  </si>
  <si>
    <t>spruchmagie_heilung_2_entzug_lindern</t>
  </si>
  <si>
    <t>Entzug lindern</t>
  </si>
  <si>
    <t xml:space="preserve">Alle Entzugserscheinungen, die durch physische Abhängigkeiten entstehen, werden hierdurch um die Hälfte reduziert. </t>
  </si>
  <si>
    <t>spruchmagie_heilung_2_kleine_heilung</t>
  </si>
  <si>
    <t>Kleine Heilung</t>
  </si>
  <si>
    <t xml:space="preserve">Der Magus schließt eine Wunde (1 Blutung stoppen) und heilt 2W6 + Magie Lebensenergie auf einer Trefferzone. Überschüssige LE verfallen. </t>
  </si>
  <si>
    <t>spruchmagie_heilung_2_schlaf_der_heilung</t>
  </si>
  <si>
    <t>Schlaf der Heilung</t>
  </si>
  <si>
    <t>Der Magus kann seinem Ziel einen ruhigen, traumlosen Schlaf schenken. Die Regeneration wird um zwei W-Stufen + Magie*2 erhöht, wenn das Ziel mindestens 6 Stunden schläft. Der Schlaf ist tiefer als gewöhnlicher Schlaf, weshalb Sinnesschärfen-Proben zum Aufwachen um 12 erschwert.</t>
  </si>
  <si>
    <t>spruchmagie_heilung_3_gift_lindern</t>
  </si>
  <si>
    <t>Gift lindern</t>
  </si>
  <si>
    <t>Die Wirkung aller Gifte im Organismus des Ziels wird halbiert, während sich die Wirkzeit des Giftes verdoppelt. Nach Ablauf der Wirkungsdauer normalisieen sich Wirkzeit und Wirkung von Giften.</t>
  </si>
  <si>
    <t>spruchmagie_heilung_3_koma_der_heilung</t>
  </si>
  <si>
    <t>Koma der Heilung</t>
  </si>
  <si>
    <t>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t>
  </si>
  <si>
    <t>spruchmagie_heilung_3_krankheit_heilen</t>
  </si>
  <si>
    <t>Krankheit heilen</t>
  </si>
  <si>
    <t>Eine unmagische Krankheit wird geheilt. Dies bedeutet, dass der Auslöser der Krankheit unwirksam geworden ist und Begleiterscheinungen wie z. B. Fieber erst abklingen müssen, damit eine vollständige Heilung aller Symptome eintritt.</t>
  </si>
  <si>
    <t>spruchmagie_heilung_3_mittlere_heilung</t>
  </si>
  <si>
    <t>Mittlere Heilung</t>
  </si>
  <si>
    <t xml:space="preserve">Der Magus schließt eine Wunde (1 Blutung stoppen) und heilt 2W10 + Magie Lebensenergie auf einer Trefferzone. Überschüssige LE verfallen. </t>
  </si>
  <si>
    <t>spruchmagie_heilung_4_defibrillator</t>
  </si>
  <si>
    <t>Defibrillator</t>
  </si>
  <si>
    <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t>
  </si>
  <si>
    <t>spruchmagie_heilung_4_entseuchung</t>
  </si>
  <si>
    <t>Entseuchung</t>
  </si>
  <si>
    <t>Das Ziel wird von den Einflüssen unmagischer Giftstoffe befreit. Gifte beenden ihre Wirkung mit Ablauf der Effektdauer.</t>
  </si>
  <si>
    <t>spruchmagie_heilung_4_gesundheit_wiederherstellen</t>
  </si>
  <si>
    <t>Gesundheit wiederherstellen</t>
  </si>
  <si>
    <t>Das Ziel regeneriert W8 Gesundheit. Überschüssige Punkte verfallen, alle Wunden schließen sich.</t>
  </si>
  <si>
    <t>spruchmagie_heilung_4_grosse_heilung</t>
  </si>
  <si>
    <t>Große Heilung</t>
  </si>
  <si>
    <t xml:space="preserve">Der Magus kann alle Wunden schließen und Blutungen stoppen. Das Ziel regeneriert 2W15 + Magie Lebensenergie auf allen Trefferzonen verteilt. Überschüssige LE verfallen. </t>
  </si>
  <si>
    <t>spruchmagie_heilung_4_kleine_fernheilung</t>
  </si>
  <si>
    <t>Kleine Fernheilung</t>
  </si>
  <si>
    <t xml:space="preserve">Das Ziel regeneriert 2W6 + Magie Lebensenergie auf alle Trefferzonen verteilt. Überschüssige LE verfallen. </t>
  </si>
  <si>
    <t>spruchmagie_heilung_5_gliedmassen_nachwachsen_lassen</t>
  </si>
  <si>
    <t>Gliedmaßen nachwachsen lassen</t>
  </si>
  <si>
    <t>Ein abgetrenntes Gliedmaß des Ziels wächst in seiner natürlichen Form nach. Die Lebensenergie des nachgewachsenen Körperteils beträgt ein Viertel der vollen Lebensenergie. Pro Minute Effektdauer muss das Opfer eine SB-Probe erschwert um die gesamte LE des Körperteils ablegen.</t>
  </si>
  <si>
    <t>spruchmagie_heilung_5_grosser_gesundheit_wiederherstellen</t>
  </si>
  <si>
    <t>Großer Gesundheit wiederherstellen</t>
  </si>
  <si>
    <t>Der Magus kann alle Wunden schließen und Blutungen stoppen. Das Ziel regeneriert W12 Gesundheit. Überschüssige Punkte verfallen.</t>
  </si>
  <si>
    <t>spruchmagie_heilung_5_maechtige_heilung</t>
  </si>
  <si>
    <t>Mächtige Heilung</t>
  </si>
  <si>
    <t xml:space="preserve">Der Magus kann alle Wunden schließen und Blutungen stoppen. Das Ziel regeneriert 2W30 + Magie Lebensenergie auf allen Trefferzonen verteilt. Überschüssige LE verfallen. </t>
  </si>
  <si>
    <t>spruchmagie_heilung_5_mittlere_fernheilung</t>
  </si>
  <si>
    <t>Mittlere Fernheilung</t>
  </si>
  <si>
    <t xml:space="preserve">Das Ziel regeneriert 2W10 + Magie Lebensenergie auf alle Trefferzonen verteilt. Überschüssige LE verfallen. </t>
  </si>
  <si>
    <t>spruchmagie_heilung_5_selbstbeherrschung_erhoehen</t>
  </si>
  <si>
    <t>Selbstbeherrschung erhöhen</t>
  </si>
  <si>
    <t>Die Selbstbeherrschung des Ziels wird um (M) Punkte erhöht.</t>
  </si>
  <si>
    <t>spruchmagie_heilung_6_gesundheit_erhoehen</t>
  </si>
  <si>
    <t>Gesundheit erhöhen</t>
  </si>
  <si>
    <t xml:space="preserve">Die Gesundheit des Ziels wird um Magie * 2 Punkte erhöht. Sollte das Ziel während der Wirkungsdauer Schaden auf die Gesundheit bekommen, wird zuerst die magische Erhöhung abgezogen, die Wirkung des Zaubers endet mit Verlust des letzten Bonuspunkts automatisch.  </t>
  </si>
  <si>
    <t>spruchmagie_heilung_6_grosse_fernheilung</t>
  </si>
  <si>
    <t>Große Fernheilung</t>
  </si>
  <si>
    <t xml:space="preserve">Das Ziel regeneriert 2W15 + Magie Lebensenergie auf alle Trefferzonen verteilt. Überschüssige LE verfallen. </t>
  </si>
  <si>
    <t>spruchmagie_heilung_6_maechtige_entseuchung</t>
  </si>
  <si>
    <t>Mächtige Entseuchung</t>
  </si>
  <si>
    <t>Das Ziel wird von den Einflüssen unmagischer und magischer Giftstoffe befreit. Gifte beenden ihre Wirkung mit Ablauf der Effektdauer.</t>
  </si>
  <si>
    <t>spruchmagie_heilung_6_magische_krankheit_heilen</t>
  </si>
  <si>
    <t>Magische Krankheit heilen</t>
  </si>
  <si>
    <t>Eine magische Krankheit wird geheilt. Dies bedeutet, dass der Auslöser der Krankheit unwirksam geworden ist und Begleiterscheinungen wie z. B. Fieber erst abklingen muss, damit eine vollständige Heilung eintritt.</t>
  </si>
  <si>
    <t>spruchmagie_heilung_6_regeneration_im_kampf</t>
  </si>
  <si>
    <t>Regeneration im Kampf</t>
  </si>
  <si>
    <t>Der Magus regeneriert pro KR Magie LE auf alle Trefferzonen verteilt oder verschließt eine Wunde pro KR.</t>
  </si>
  <si>
    <t>spruchmagie_heilung_6_tod_verzoegern</t>
  </si>
  <si>
    <t>Tod verzögern</t>
  </si>
  <si>
    <t>Der Zeitpunkt, zu dem der Tod eines Ziels Eintreten würde, wird um Magie*3 min herausgezögert. Der Magus darf die Verbindung zum Ziel nicht lösen, sonst fällt der Zauber und die natürliche Todesfrist setzt wieder ein.</t>
  </si>
  <si>
    <t>spruchmagie_heilung_7_maechtige_fernheilung</t>
  </si>
  <si>
    <t>Mächtige Fernheilung</t>
  </si>
  <si>
    <t xml:space="preserve">Das Ziel regeneriert 2W30 + Magie Lebensenergie auf alle Trefferzonen verteilt. Überschüssige LE verfallen. </t>
  </si>
  <si>
    <t>spruchmagie_heilung_7_totale_regeneration</t>
  </si>
  <si>
    <t>Totale Regeneration</t>
  </si>
  <si>
    <t>Das Ziel regeneriert alle verlorenen LE auf allen noch vorhandenen Trefferzonen und die volle Gesundheit, alle Wunden schließen sich.</t>
  </si>
  <si>
    <t>spruchmagie_heilung_7_trefferschwelle_erhoehen</t>
  </si>
  <si>
    <t>Trefferschwelle erhöhen</t>
  </si>
  <si>
    <t>Die Trefferschwelle des Ziels wird um Magie erhöht.</t>
  </si>
  <si>
    <t>spruchmagie_heilung_7_wiederbelebung</t>
  </si>
  <si>
    <t>Wiederbelebung</t>
  </si>
  <si>
    <t>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t>
  </si>
  <si>
    <t>spruchmagie_hellsicht_1_artefakt_erkennen</t>
  </si>
  <si>
    <t>Artefakt erkennen</t>
  </si>
  <si>
    <t>Hellsicht</t>
  </si>
  <si>
    <t>spruchmagie_hellsicht_1_daemmerungssicht</t>
  </si>
  <si>
    <t>Dämmerungssicht</t>
  </si>
  <si>
    <t xml:space="preserve">Der Anwender kann in der Dunkelheit so gut sehen wie am hellichten Tag. Damit dieser Effekt eintreten kann, muss Restlicht vorhanden sein. In vollkommener Dunkelheit ist dieser Zauber keine Hilfe. </t>
  </si>
  <si>
    <t>spruchmagie_hellsicht_2_durchblick</t>
  </si>
  <si>
    <t>Durchblick</t>
  </si>
  <si>
    <t>Der Magus kann durch eine unbewegliche,      (M) * 2 cm durchmessende Röhre durch beliebige Materie schauen. Diese darf eine maximale Dicke von (M) * 6 cm haben. Entdeckte Ziele können normal anvisiert werden.</t>
  </si>
  <si>
    <t>spruchmagie_hellsicht_2_infrarotsicht</t>
  </si>
  <si>
    <t>Infrarotsicht</t>
  </si>
  <si>
    <t>Das Ziel verliert seine derzeitige Wahrnehmung und gewinnt stattdessen Infrarotsicht.</t>
  </si>
  <si>
    <t>spruchmagie_hellsicht_3_astralsicht</t>
  </si>
  <si>
    <t>Astralsicht</t>
  </si>
  <si>
    <t>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t>
  </si>
  <si>
    <t>spruchmagie_hellsicht_3_blick_aufs_wesen</t>
  </si>
  <si>
    <t>Blick aufs Wesen</t>
  </si>
  <si>
    <t>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t>
  </si>
  <si>
    <t>spruchmagie_hellsicht_4_aura_analysieren</t>
  </si>
  <si>
    <t>Aura analysieren</t>
  </si>
  <si>
    <t>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t>
  </si>
  <si>
    <t>spruchmagie_hellsicht_4_blick_durch_fremde_augen</t>
  </si>
  <si>
    <t>Blick durch fremde Augen</t>
  </si>
  <si>
    <t>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t>
  </si>
  <si>
    <t>spruchmagie_hellsicht_5_blick_in_die_gedanken</t>
  </si>
  <si>
    <t>Blick in die Gedanken</t>
  </si>
  <si>
    <t>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t>
  </si>
  <si>
    <t>spruchmagie_hellsicht_6_kampfmaschine</t>
  </si>
  <si>
    <t>Kampfmaschine</t>
  </si>
  <si>
    <t>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t>
  </si>
  <si>
    <t>spruchmagie_hellsicht_7_blick_in_die_zukunft</t>
  </si>
  <si>
    <t>Blick in die Zukunft</t>
  </si>
  <si>
    <t>Der Magus vermag eine KR in die Zukunft zu blicken. Hierdurch ist er automatisch als Erster an der Initiative und hat alle kampfrelevanten Proben um Magie erleichtert. Nach Ende der Wirkungsdauer muss der Magus die Initiative neu bestimmen.</t>
  </si>
  <si>
    <t>spruchmagie_illusion_1_funkentanz</t>
  </si>
  <si>
    <t>Funkentanz</t>
  </si>
  <si>
    <t>Illusion</t>
  </si>
  <si>
    <t xml:space="preserve">Der Magus erzeugt viele kleine Lichtfunken, die rund um seinen Körper fliegen. Hierdurch wird es für jeden Gegner um Magie schwerer, ihn mit einer Nahkampf- oder Fernkampf-Attacke zu treffen. </t>
  </si>
  <si>
    <t>spruchmagie_illusion_1_licht</t>
  </si>
  <si>
    <t>Licht</t>
  </si>
  <si>
    <t>Ein Gegenstand fängt in einer bei der Erlernung des Zaubers fest ausgesuchten Farbe an zu leuchten. Der leuchtende Gegenstand wird dabei maximal so hell wie Macht x 2 Fackeln.Der Gegenstand darf ein maximales Volumen von Magie x 3 Litern haben.Der Magus muss beim Erschaffen Lichtstärke und Strahlungswinkel (Rundumleucht, Kegelform, Strahl) festlegen.</t>
  </si>
  <si>
    <t>spruchmagie_illusion_1_magische_schriftzeichen</t>
  </si>
  <si>
    <t>Magische Schriftzeichen</t>
  </si>
  <si>
    <t xml:space="preserve">An der vom Magus bestimmten Stelle erscheinen stationäre Schriftzeichen, deren Größe, Form und Erscheinungsbild vom Magus frei gewählt werden können. Es können maximal (M)*5 Zeichen abgebildet werden, die maximal Magie * Magie m Fläche einnehmen dürfen. </t>
  </si>
  <si>
    <t>spruchmagie_illusion_1_magische_verkleidung</t>
  </si>
  <si>
    <t>Magische Verkleidung</t>
  </si>
  <si>
    <t xml:space="preserve">Der Magus kann die Illusion erzeugen, dass seine Kleidung, seine Nägel und sein Haar in den gewünschten Zustand versetzt sind. </t>
  </si>
  <si>
    <t>spruchmagie_illusion_2_blitzlicht</t>
  </si>
  <si>
    <t>Blitzlicht</t>
  </si>
  <si>
    <t>Ein Körperteil des Magus  blitzt grell auf. Jedes ungewarnte Opfer hat eine Glücks-Probe, jedes gewarnte Opfer hat eine Schnelligkeits-Probe, ansonsten ist es für W6 sec blind.(AT/PA-Klasse je -1; BE 10, außer Magie mit Ziel selbst)</t>
  </si>
  <si>
    <t>spruchmagie_illusion_2_geraeuschillusion</t>
  </si>
  <si>
    <t>Geräuschillusion</t>
  </si>
  <si>
    <t>Der Magus kann seine Stimme oder einfache Laute an einen anderen Ort projizieren. Hierfür muss er seine Stimmbänder nicht einsetzen.</t>
  </si>
  <si>
    <t>spruchmagie_illusion_2_nebelwand</t>
  </si>
  <si>
    <t>Nebelwand</t>
  </si>
  <si>
    <t>Eine Wand aus Nebel entsteht aus dem Nichts.Länge (M) m, Breite und Höhe Magie * m. Proben sind entsprechend des Meisterscreens erschwert. Wärmesicht und Astralsicht können diese Wand ohne Einbußen durchdringen. Die Wand bleibt Magie sec garantiert bestehen, danach unterliegt sie den Gesetzen der Natur.</t>
  </si>
  <si>
    <t>spruchmagie_illusion_2_stimme_veraendern</t>
  </si>
  <si>
    <t>Stimme verändern</t>
  </si>
  <si>
    <t>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t>
  </si>
  <si>
    <t>spruchmagie_illusion_2_zweites_gesicht</t>
  </si>
  <si>
    <t>Zweites Gesicht</t>
  </si>
  <si>
    <t>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t>
  </si>
  <si>
    <t>spruchmagie_illusion_3_dunkelheit</t>
  </si>
  <si>
    <t>Dunkelheit</t>
  </si>
  <si>
    <t>Alle Oberflächen im Radius von Magie * 2 m reflektieren kein Licht mehr, was vom Auge als komplette Dunkelheit wahrgenommen wird. (AT/PA-Klasse -1, BE=10) Lichtquellen sind als matte Punkte zu erkennen. Wärmesicht und Astralsicht werden von diesem Zauber nicht beeinträchtigt.</t>
  </si>
  <si>
    <t>spruchmagie_illusion_3_durchsichtiger_gegenstand</t>
  </si>
  <si>
    <t>Durchsichtiger Gegenstand</t>
  </si>
  <si>
    <t>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t>
  </si>
  <si>
    <t>spruchmagie_illusion_3_trugbild_der_haesslichkeit</t>
  </si>
  <si>
    <t>Trugbild der Hässlichkeit</t>
  </si>
  <si>
    <t>Die Ausstrahlung des Opfers reduziert sich um Magie * 2 Punkte. Das Opfer wirkt abstoßend und fremd. Anweisungen des Opfers müssen eventuell mit Ausstrahlungs+TaW-Proben belegt werden.Die Ausstrahlung kann nicht unter 1 sinken.</t>
  </si>
  <si>
    <t>spruchmagie_illusion_3_unbewegte_illusion</t>
  </si>
  <si>
    <t>Unbewegte Illusion</t>
  </si>
  <si>
    <t>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t>
  </si>
  <si>
    <t>spruchmagie_illusion_4_grosser_funkentanz</t>
  </si>
  <si>
    <t>Großer Funkentanz</t>
  </si>
  <si>
    <t xml:space="preserve">Der Magus erzeugt viele kleine Lichtfunken, die rund um seinen sowie um maximal Aura befreundete Körper in Reichweite fliegen. Hierdurch wird es für jeden Gegner um Magie schwerer, ihn mit einer Nahkampf- oder Fernkampf-Attacke zu treffen. </t>
  </si>
  <si>
    <t>spruchmagie_illusion_4_nebel</t>
  </si>
  <si>
    <t>Nebel</t>
  </si>
  <si>
    <t>Der Magus erschafft im Radius von (M) *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t>
  </si>
  <si>
    <t>spruchmagie_illusion_4_unsichtbarer_gegenstand</t>
  </si>
  <si>
    <t>Unsichtbarer Gegenstand</t>
  </si>
  <si>
    <t>Ein Gegenstand von maximal (M) l Volumen wird unsichtbar, kann allerdings mit Astralsicht wahrgenommen werden. Wird der Gegenstand bewegt, fällt der Zauber.</t>
  </si>
  <si>
    <t>spruchmagie_illusion_5_bewegte_illusion</t>
  </si>
  <si>
    <t>Bewegte Illusion</t>
  </si>
  <si>
    <t>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t>
  </si>
  <si>
    <t>spruchmagie_illusion_5_chamaeleon</t>
  </si>
  <si>
    <t>Chamäleon</t>
  </si>
  <si>
    <t>Das Ziel und alle Gegenstände, die sich innerhalb seiner Aura befinden, werden durchsichtig.Um das Ziel zu Erkennen, ist eine um Magie * 4 erschwerte Sinnesschärfe-Probe nötig. Schleicht/geht/läuft/sprintet/attackiert das Ziel, sind Sinnesschärfe-Proben um Magie * 4/3/2/1/1 erschwert.</t>
  </si>
  <si>
    <t>spruchmagie_illusion_5_vollsensorische_illusion</t>
  </si>
  <si>
    <t>Vollsensorische Illusion</t>
  </si>
  <si>
    <t>Der Magus erschafft eine mit allen Sinnen wahrnehmbare, unbewegte Illusion von maximal (M) l Volumen. Wird diese beschossen oder sonstwie berührt, verhält sie sich wie zu erwarten wäre. Um die Illusion zu durchschauen, muss eine Sinnesschärfe-Probe erschwert um (M) gelingen.</t>
  </si>
  <si>
    <t>spruchmagie_illusion_6_magischer_nebel</t>
  </si>
  <si>
    <t>Magischer Nebel</t>
  </si>
  <si>
    <t>Der Magus erschafft einen magischen Nebel mit (M) *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t>
  </si>
  <si>
    <t>spruchmagie_illusion_6_unauffindbarkeit</t>
  </si>
  <si>
    <t>Unauffindbarkeit</t>
  </si>
  <si>
    <t>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t>
  </si>
  <si>
    <t>spruchmagie_illusion_6_unsichtbarkeit</t>
  </si>
  <si>
    <t>Unsichtbarkeit</t>
  </si>
  <si>
    <t>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t>
  </si>
  <si>
    <t>spruchmagie_illusion_7_bewegte_vollsensorische_illusion</t>
  </si>
  <si>
    <t>Bewegte vollsensorische Illusion</t>
  </si>
  <si>
    <t>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t>
  </si>
  <si>
    <t>spruchmagie_luftbeschwoerung_1_sturmball</t>
  </si>
  <si>
    <t>Sturmball</t>
  </si>
  <si>
    <t>Der Magus erschafft einen Ball aus Luft. Das Opfer muss eine KB-Probeablegen, um nicht in der selben KR um so viele Meter zurückgeschleudert zu werden, wie der höchste Schadenswürfel anzeigt. Schaden: 2W4 + Magie, Erschwerung der KB-Probe: -TP -6.</t>
  </si>
  <si>
    <t>spruchmagie_luftbeschwoerung_1_sturmball_nr</t>
  </si>
  <si>
    <t>Sturmball NR</t>
  </si>
  <si>
    <t>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</si>
  <si>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spruchmagie_luftbeschwoerung_1_sturmfaust</t>
  </si>
  <si>
    <t>Sturmfaust</t>
  </si>
  <si>
    <t>Die Fäuste des Magiers verursachen zusätzlichen Elementarschaden. Das Opfer muss eine KB-Probeablegen, um nicht in der selben KR um so viele Meter zurückgeschleudert zu werden, wie der Schadenswürfel anzeigt. Schaden: W8 + Magie, Erschwerung der KB-Probe: -TP -3.</t>
  </si>
  <si>
    <t>spruchmagie_luftbeschwoerung_1_sturmfaust_nr</t>
  </si>
  <si>
    <t>Sturmfaust NR</t>
  </si>
  <si>
    <t xml:space="preserve">Die Fäuste des Magiers verursachen zusätzlichen Luft-Elementarschaden.   Schaden:   W8 + Magie  Ziel wird TP*m weggeschleudert; Ath-Probe erschwert um TP, sonst W8 Sturzschaden auf FK-TZ (W30). </t>
  </si>
  <si>
    <t>spruchmagie_luftbeschwoerung_2_sturmpfeil</t>
  </si>
  <si>
    <t>Sturmpfeil</t>
  </si>
  <si>
    <t>Der Magus erschafft einen Bolzen aus Luft. Treffer auf FK-TZ. Das Opfer muss eine KB-Probeablegen, um nicht in der selben KR um so viele Meter zurückgeschleudert zu werden, wie der höchste Schadenswürfel anzeigt. Schaden: 2W6 + Magie, RB Magie*2, Erschwerung der KB-Probe: -TP -6.</t>
  </si>
  <si>
    <t>spruchmagie_luftbeschwoerung_2_sturmpfeil_nr</t>
  </si>
  <si>
    <t>Sturmpfeil NR</t>
  </si>
  <si>
    <t>Der Magus erschafft einen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</si>
  <si>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spruchmagie_luftbeschwoerung_3_grosse_sturmfaust</t>
  </si>
  <si>
    <t>Große Sturmfaust</t>
  </si>
  <si>
    <t>Die Fäuste des Magiers verursachen zusätzlichen Elementarschaden. Das Opfer muss eine KB-Probeablegen, um nicht in der selben KR um so viele Meter zurückgeschleudert zu werden, wie der höchste Schadenswürfel anzeigt. Schaden: 2W12+Magie, Erschwerung der KB-Probe: -TP -9.</t>
  </si>
  <si>
    <t>spruchmagie_luftbeschwoerung_3_grosse_sturmfaust_nr</t>
  </si>
  <si>
    <t>Große Sturmfaust NR</t>
  </si>
  <si>
    <t>Die Fäuste des Magiers verursachen zusätzlichen Luft-Elementarschaden von   2W12+Magie  Ziel wird TP*m weggeschleudert; Ath-Probe erschwert um TP, sonst W8 Sturzschaden auf FK-TZ (W30).</t>
  </si>
  <si>
    <t>spruchmagie_luftbeschwoerung_4_grosser_sturmball</t>
  </si>
  <si>
    <t>Großer Sturmball</t>
  </si>
  <si>
    <t>Der Magus erschafft einen Ball aus Luft. Das Opfer muss eine KB-Probeablegen, um nicht in der selben KR um so viele Meter zurückgeschleudert zu werden, wie der Schadenswürfel anzeigt. Schaden: W12 + Magie auf jede TZ, Erschwerung der KB-Probe: -TP -35.</t>
  </si>
  <si>
    <t>spruchmagie_luftbeschwoerung_4_grosser_sturmball_nr</t>
  </si>
  <si>
    <t>Großer Sturmball NR</t>
  </si>
  <si>
    <t>Der Magus erschafft einen Ball aus Luft.  Bis (M):2 m Glücks-Probe, ab (M):2 m Ausweichen-Probe, um dem Schaden zu entgehen. Fluggeschwindigkeit ist (M):2 m/s.  Schaden: W12 + Magie*2 auf jede Trefferzone Ziel wird TP*m weggeschleudert; Ath-Probe erschwert um TP, sonst W8 Sturzschaden auf FK-TZ (W30).</t>
  </si>
  <si>
    <t>spruchmagie_magiebeschwoerung_1_magische_faust</t>
  </si>
  <si>
    <t>Magische Faust</t>
  </si>
  <si>
    <t>Die Fäuste des Magiers verursachen zusätzlichen Elementarschaden. Schaden: W8 + Magie, zusätzliche Erschwerung der SB-Probe -3, wenn min. 1 SP erzielt wird.</t>
  </si>
  <si>
    <t>spruchmagie_magiebeschwoerung_1_magische_faust_nr</t>
  </si>
  <si>
    <t>Magische Faust NR</t>
  </si>
  <si>
    <t>Die Fäuste des Magiers verursachen zusätzlichen Magie-Elementarschaden.   Schaden:   W10 + Magie,  SB-Proben um 5 erschwert.</t>
  </si>
  <si>
    <t>spruchmagie_magiebeschwoerung_1_magischer_ball</t>
  </si>
  <si>
    <t>Magischer Ball</t>
  </si>
  <si>
    <t>Der Magus erschafft einen Ball aus Magie. Schaden: 2W4 + Magie, zusätzliche Erschwerung der SB-Probe -6, wenn min. 1 SP erzielt wird.</t>
  </si>
  <si>
    <t>spruchmagie_magiebeschwoerung_1_magischer_ball_nr</t>
  </si>
  <si>
    <t>Magischer Ball NR</t>
  </si>
  <si>
    <t>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</si>
  <si>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spruchmagie_magiebeschwoerung_2_magisches_geschoss</t>
  </si>
  <si>
    <t>Magisches Geschoss</t>
  </si>
  <si>
    <t>Der Magus erschafft einen Bolzen aus Magie. Treffer auf FK-TZ. Schaden: 2W6 + Magie, RB Magie*2, zusätzliche Erschwerung der SB-Probe -6, wenn min. 1 SP erzielt wird.</t>
  </si>
  <si>
    <t>spruchmagie_magiebeschwoerung_2_magisches_geschoss_nr</t>
  </si>
  <si>
    <t>Magisches Geschoss NR</t>
  </si>
  <si>
    <t>Der Magus erschafft einen Bolzen aus Magie. Bis (M)m Glücks-Probe, bis (M)*2m AW:2, danach AW, um dem Schaden zu entgehen. Fluggeschwindigkeit ist (M)m/s. Treffer auf FK (W30). Schaden: 2W8 + Magie; RB: Magie*2 SB-Proben um 4 erschwert.</t>
  </si>
  <si>
    <t>spruchmagie_magiebeschwoerung_3_grosse_magische_faust</t>
  </si>
  <si>
    <t>Große Magische Faust</t>
  </si>
  <si>
    <t>Die Fäuste des Magiers verursachen zusätzlichen Elementarschaden von   2W12+Magie, zusätzliche Erschwerung der SB-Probe -9, wenn min. 1 SP erzielt wird.</t>
  </si>
  <si>
    <t>spruchmagie_magiebeschwoerung_3_grosse_magische_faust_nr</t>
  </si>
  <si>
    <t>Große Magische Faust NR</t>
  </si>
  <si>
    <t xml:space="preserve">Die Fäuste des Magiers verursachen zusätzlichen Elementarschaden von   2W15+Magie, SB-Proben um 12 erschwert.  </t>
  </si>
  <si>
    <t>spruchmagie_magiebeschwoerung_4_grosser_magischer_ball</t>
  </si>
  <si>
    <t>Großer Magischer Ball</t>
  </si>
  <si>
    <t>Der Magus erschafft einen Ball aus Magie. Schaden: W12 + Magie auf jede TZ, zusätzliche Erschwerung der SB-Probe -35, wenn min. 1 SP erzielt wird.</t>
  </si>
  <si>
    <t>spruchmagie_magiebeschwoerung_4_grosser_magischer_ball_nr</t>
  </si>
  <si>
    <t>Großer Magischer Ball NR</t>
  </si>
  <si>
    <t xml:space="preserve">Der Magus erschafft einen Ball aus Magie.  Bis (M):2 m Glücks-Probe, ab (M):2 m Ausweichen-Probe, um dem Schaden zu entgehen. Fluggeschwindigkeit ist (M):2 m/s.  Schaden: W15 + Magie*2 auf jede Trefferzone,  SB-Proben um 42 erschwert.  </t>
  </si>
  <si>
    <t>spruchmagie_veraenderung_1_in_nahrung_verwandeln</t>
  </si>
  <si>
    <t>In Nahrung verwandeln</t>
  </si>
  <si>
    <t>Veränderung</t>
  </si>
  <si>
    <t>Der Magier verwandelt max. Magie kg beliebige un´magische Materie in Nahrung. Diese Nahrung ist nahezu geschmacklos, deckt aber alle Bedürfnisse des Organismus ab. Es ist möglich, sich ausschließlich von magischer Nahrung zu ernähren.</t>
  </si>
  <si>
    <t>spruchmagie_veraenderung_1_magisches_makeover</t>
  </si>
  <si>
    <t>Magisches Makeover</t>
  </si>
  <si>
    <t>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t>
  </si>
  <si>
    <t>spruchmagie_veraenderung_1_wasserwandeln</t>
  </si>
  <si>
    <t>Wasserwandeln</t>
  </si>
  <si>
    <t>Der Magus kann sich auf allen Oberflächen, die zu mindestens 50% aus Wasser bestehen, ohne einzusinken fortbewegen, als stünde er auf festem Boden.Wird der Spruch unter Wasser gewirkt, kann sich der Magus mit einer Athletik+Körperbeherrschung-Probe auf die Oberfläche ziehen.</t>
  </si>
  <si>
    <t>spruchmagie_veraenderung_2_blankwaffe_erschaffen</t>
  </si>
  <si>
    <t>Blankwaffe erschaffen</t>
  </si>
  <si>
    <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t>
  </si>
  <si>
    <t>spruchmagie_veraenderung_2_material_erweichen</t>
  </si>
  <si>
    <t>Material erweichen</t>
  </si>
  <si>
    <t>Ein beliebiger Gegenstand von max. (M) l wird formbar wie Wachs. Nach Ablauf der Wirkungsdauer behält der Gegenstand seine Form.</t>
  </si>
  <si>
    <t>spruchmagie_veraenderung_2_material_schwaechen</t>
  </si>
  <si>
    <t>Material schwächen</t>
  </si>
  <si>
    <t>Ein beliebiger Gegenstand (Aurabann) von maximal (M) l wird für (M) sec stark in seiner Struktur geschwächt. Der nötige Kraftaufwand sinkt um (M).Alle mit diesem Zauber behandelten Materialien splittern leicht.Klingenschutz und Klingenbrecher sinken um (M) : 3.</t>
  </si>
  <si>
    <t>spruchmagie_veraenderung_2_mechanik_schmieren</t>
  </si>
  <si>
    <t>Mechanik schmieren</t>
  </si>
  <si>
    <t>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t>
  </si>
  <si>
    <t>spruchmagie_veraenderung_3_gegenstand_fixieren</t>
  </si>
  <si>
    <t>Gegenstand fixieren</t>
  </si>
  <si>
    <t>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t>
  </si>
  <si>
    <t>spruchmagie_veraenderung_3_in_pflanze_verwandeln</t>
  </si>
  <si>
    <t>In Pflanze verwandeln</t>
  </si>
  <si>
    <t>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t>
  </si>
  <si>
    <t>spruchmagie_veraenderung_3_material_verhaerten</t>
  </si>
  <si>
    <t>Material verhärten</t>
  </si>
  <si>
    <t>Eine beliebiges Material von maximal (M) l wird für (M) sec verhärtet. Flüssigkeiten verhalten sich wie Feststoffe. Es ist möglich, einen Würfel Wasser aus dem Meer zu nehmen.</t>
  </si>
  <si>
    <t>spruchmagie_veraenderung_3_material_verstaerken</t>
  </si>
  <si>
    <t>Material verstärken</t>
  </si>
  <si>
    <t>Ein beliebiger Gegenstand von maximal (M) l wird für (M) min stark in seiner Struktur gestärkt. Der nötige Kraftaufwand ssteigt um (M) * 2.Klingenschutz und Klingenbrecher erhöhen sich um (M) : 3.</t>
  </si>
  <si>
    <t>spruchmagie_veraenderung_3_temperatur_veraendern</t>
  </si>
  <si>
    <t>Temperatur verändern</t>
  </si>
  <si>
    <t>Der Magus kann einen Gegenstand (Aurabann) schlagartig erhitzen oder erkalten lassen. Nach Ablauf der Wirkungsdauer unterliegt der Gegenstand den Naturgesetzen.Der Magus kann die Temperatur des Gegenstands um maximal (M) * 10 °C erhöhen und maximal um  (M) * 5 °C senken.</t>
  </si>
  <si>
    <t>spruchmagie_veraenderung_4_gift_neutralisieren</t>
  </si>
  <si>
    <t>Gift neutralisieren</t>
  </si>
  <si>
    <t>Jedwede Form von Verseuchung oder Gift wird aus beliebiger Materie (kein Lebewesen) von maximal Magie m³ entfernt und das Material wandelt sich in einen gänzlich ungiftigen Stoff um, bleibt dabei allerdings in seiner Beschaffenheit gleich.</t>
  </si>
  <si>
    <t>spruchmagie_veraenderung_4_material_stabilisieren_konservieren</t>
  </si>
  <si>
    <t>Material Stabilisieren, Konservieren</t>
  </si>
  <si>
    <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t>
  </si>
  <si>
    <t>spruchmagie_veraenderung_4_mechanik_blockieren</t>
  </si>
  <si>
    <t>Mechanik blockieren</t>
  </si>
  <si>
    <t>Ein beliebiger Mechanismus von maximal m³ Größe wird blockiert. Der Mechanismus wird nicht zerstört. Der Mechanismus kann eine um (M) * 5 erschwerte Stärke-Probe würfeln, um den Zauber zu überwinden.</t>
  </si>
  <si>
    <t>spruchmagie_veraenderung_4_ruestung_verstaerken</t>
  </si>
  <si>
    <t>Rüstung verstärken</t>
  </si>
  <si>
    <t>Der Rüstungsschutz von Rüstungsteilen in der Aura des Ziels wird um den Faktor [Magie + Aura] : 3 verstärkt.Magische Rüstung oder Dermalpanzerung werden hiervon nicht beeinflusst.</t>
  </si>
  <si>
    <t>spruchmagie_veraenderung_4_verwandlung_in_[element]</t>
  </si>
  <si>
    <t>Verwandlung in [Element]</t>
  </si>
  <si>
    <t>Ein Gegenstand (Aurabann) von maximal Magie * dm³ verwandelt sich in [Element], verursacht dabei allerdings keinen festgelegten Schaden.</t>
  </si>
  <si>
    <t>spruchmagie_veraenderung_5_magnetismus</t>
  </si>
  <si>
    <t>Magnetismus</t>
  </si>
  <si>
    <t xml:space="preserve">Ein beliebiger metallischer Gegenstand von maximal (M) * m³ wird zu einem Magneten, der alles Metall im Radius von (M) *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t>
  </si>
  <si>
    <t>spruchmagie_veraenderung_5_ruestung_schwaechen</t>
  </si>
  <si>
    <t>Rüstung schwächen</t>
  </si>
  <si>
    <t>Der Rüstungsschutz aller Rüstungsteile des Ziels wird um Magie * 2 gesenkt.Dies hat keine Auswirkung auf magische Rüstung oder Dermalpanzerung.</t>
  </si>
  <si>
    <t>spruchmagie_veraenderung_5_schwerkraft_erhoehen</t>
  </si>
  <si>
    <t>Schwerkraft erhöhen</t>
  </si>
  <si>
    <t>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t>
  </si>
  <si>
    <t>spruchmagie_veraenderung_6_unbelebte_materie_zerstoeren</t>
  </si>
  <si>
    <t>Unbelebte Materie zerstören</t>
  </si>
  <si>
    <t>Der Magus zerstört alle nichtlebendige unmagische Materie (auch Ausrüstung, kein Aurabann!) permanent, auf die er mit einem (M) : 2 m langen und (M) cm durchmessenden Strahl zielt (W30, 1 TZ-Reroll). Lebende Materie hält den Strahl auf.</t>
  </si>
  <si>
    <t>spruchmagie_veraenderung_6_weg_aus_licht</t>
  </si>
  <si>
    <t>Weg aus Licht</t>
  </si>
  <si>
    <t>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 m und eine maximale Länge von (M) * 10 m.</t>
  </si>
  <si>
    <t>spruchmagie_veraenderung_6_wettermeisterschaft</t>
  </si>
  <si>
    <t>Wettermeisterschaft</t>
  </si>
  <si>
    <t>Der Magus muss unter freiem Himmel stehen. Dann kann er das Wetter in Magie km Radius um jeweils eine Stufe verändern:Windstille/leichte Brise/Brise/steife Brise/Sturm/Orkan/HurricanundFreier Himmel/leichter Regen/ Landregen/ starker Regen/Sturzbach/Hagel/Sintflut</t>
  </si>
  <si>
    <t>spruchmagie_veraenderung_7_fleisch_zu_stein</t>
  </si>
  <si>
    <t>Fleisch zu Stein</t>
  </si>
  <si>
    <t>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t>
  </si>
  <si>
    <t>spruchmagie_veraenderung_7_materie_zerstoeren</t>
  </si>
  <si>
    <t>Materie zerstören</t>
  </si>
  <si>
    <t>Der Magus zerstört alle unmagische Materie (auch Ausrüstung und Implantate) permanent, auf die er mit einem (M) : 2 m langen und (M) cm durchmessenden Strahl zielt (W30, 1 TZ-Reroll). Lebende Materie hält den Strahl auf.</t>
  </si>
  <si>
    <t>spruchmagie_veraenderung_7_stillstand</t>
  </si>
  <si>
    <t>Stillstand</t>
  </si>
  <si>
    <t>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t>
  </si>
  <si>
    <t>spruchmagie_verzauberung_1_ausstrahlung_erhoehen</t>
  </si>
  <si>
    <t>Ausstrahlung erhöhen</t>
  </si>
  <si>
    <t>Die Ausstrahlung des Magus erhöht sich um Magie * 2. Ausstrahlung kann nur einmal magisch erhöht werden.</t>
  </si>
  <si>
    <t>spruchmagie_verzauberung_1_grundfertigkeit_erhoehen</t>
  </si>
  <si>
    <t>Grundfertigkeit erhöhen</t>
  </si>
  <si>
    <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t>
  </si>
  <si>
    <t>spruchmagie_verzauberung_1_kleine_telekinese</t>
  </si>
  <si>
    <t>Kleine Telekinese</t>
  </si>
  <si>
    <t>Ein Gegenstand von maximal (M) * 100g kann vom Magus frei im Raum bewegt werden (kein Aurabann). Die Stärke, die der Magus dabei entfalten kann, um eventuelle Hindernisse zu überwinden, beträgt Willenskraft-Bonus. Der Gegenstand kann auf maximal Magie m/s beschleunigt werden.</t>
  </si>
  <si>
    <t>spruchmagie_verzauberung_1_manaspende</t>
  </si>
  <si>
    <t>Manaspende</t>
  </si>
  <si>
    <t xml:space="preserve">Der Magus überträgt dem Ziel max. (M) x 2 Mana. Damit das Ziel mehr als sein maximales Mana verwenden kann, kann die Verbindung zum Magus max. (M) min aufrechterhalten werden, sonst verfällt das überschüssige Mana. </t>
  </si>
  <si>
    <t>spruchmagie_verzauberung_1_whk_erhoehen</t>
  </si>
  <si>
    <t>WHK erhöhen</t>
  </si>
  <si>
    <t>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t>
  </si>
  <si>
    <t>spruchmagie_verzauberung_2_explosionsfalle</t>
  </si>
  <si>
    <t>Explosionsfalle</t>
  </si>
  <si>
    <t>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t>
  </si>
  <si>
    <t>spruchmagie_verzauberung_2_kiemen</t>
  </si>
  <si>
    <t>Kiemen</t>
  </si>
  <si>
    <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t>
  </si>
  <si>
    <t>spruchmagie_verzauberung_2_koerperliche_eigenschaft_erhoehen</t>
  </si>
  <si>
    <t>Körperliche Eigenschaft erhöhen</t>
  </si>
  <si>
    <t>Das Ziel erhält einen Bonus von Magie * 2 auf eine körperliche Eigenschaft (Athletik, Geschicklichkeit Konstitution, Schnelligkeit, Stärke). Jede Eigenschaft kann nur einmal magisch verstärkt werden.</t>
  </si>
  <si>
    <t>spruchmagie_verzauberung_2_leben_einhauchen</t>
  </si>
  <si>
    <t>Leben Einhauchen</t>
  </si>
  <si>
    <t>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t>
  </si>
  <si>
    <t>spruchmagie_verzauberung_3_beschleuniger</t>
  </si>
  <si>
    <t>Beschleuniger</t>
  </si>
  <si>
    <t>Der Magus bewegt sich unnatürlich schnell. Joggen: + Magie m/s; Sprinten: + Magie*1,5 m/s; Hochsprung: + Magie/2 m; Weitsprung: + Magie * 2 m; Initiative: + Magie. Alle Attacken gegen den Magus sind um Magie erschwert.</t>
  </si>
  <si>
    <t>spruchmagie_verzauberung_3_einmaliges_artefakt_erschaffen</t>
  </si>
  <si>
    <t>Einmaliges Artefakt erschaffen</t>
  </si>
  <si>
    <t>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t>
  </si>
  <si>
    <t>spruchmagie_verzauberung_3_geistesbund</t>
  </si>
  <si>
    <t>Geistesbund</t>
  </si>
  <si>
    <t>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t>
  </si>
  <si>
    <t>spruchmagie_verzauberung_3_geistige_eigenschaft_erhoehen</t>
  </si>
  <si>
    <t>Geistige Eigenschaft erhöhen</t>
  </si>
  <si>
    <t>Das Ziel erhält einen Bonus von Magie * 2 auf eine geistige Eigenschaft (Intelligenz, Mut, Sinnesschärfe, Willenskraft). Jede Eigenschaft kann nur einmal magisch verstärkt werden.</t>
  </si>
  <si>
    <t>spruchmagie_verzauberung_3_haesslichkeit</t>
  </si>
  <si>
    <t>Hässlichkeit</t>
  </si>
  <si>
    <t>spruchmagie_verzauberung_3_koerperliche_eigenschaft_senken</t>
  </si>
  <si>
    <t>Körperliche Eigenschaft senken</t>
  </si>
  <si>
    <t>Das Ziel verliert Magie x 2 Punke einer körperlichen Eigenschaft (Athletik, Geschicklichkeit, Konstitution, Schnelligkeit oder Stärke). Für jede Eigenschaft gilt nur die stärkste Reduktion. Betroffene Eigenschaften fallen nicht unter 1. Das Ziel bemerkt die Verzauberung sofort.</t>
  </si>
  <si>
    <t>spruchmagie_verzauberung_3_sinne_verbessern</t>
  </si>
  <si>
    <t>Sinne verbessern</t>
  </si>
  <si>
    <t xml:space="preserve">Der Magus verbessert entweder seinen Geruchssinn, seinen Geschmackssinn, sein Gehör, sein Sehvermögen oder seinen Tastsinn. Sinnesschärfe-Proben sind um (M) erleichtert. </t>
  </si>
  <si>
    <t>spruchmagie_verzauberung_3_unbelebtes_teleportieren</t>
  </si>
  <si>
    <t>Unbelebtes Teleportieren</t>
  </si>
  <si>
    <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t>
  </si>
  <si>
    <t>spruchmagie_verzauberung_4_eigenschaften_erhoehen</t>
  </si>
  <si>
    <t>Eigenschaften erhöhen</t>
  </si>
  <si>
    <t>Eine beliebige Eigenschaft wird um Magie erhöht. Eigenschaften können nur einmal erhöht werden.</t>
  </si>
  <si>
    <t>spruchmagie_verzauberung_4_geistige_eigenschaft_senken</t>
  </si>
  <si>
    <t>Geistige Eigenschaft senken</t>
  </si>
  <si>
    <t>Das Ziel verliert Magie x 2 Punke einer geistigen Eigenschaft (Intelligenz, Mut, Sinnesschärfe, Willenskraft).. Für jede Eigenschaft gilt nur die stärkste Reduktion. Betroffene Eigenschaften fallen nicht unter 1. Das Ziel bemerkt die Verzauberung sofort.</t>
  </si>
  <si>
    <t>spruchmagie_verzauberung_4_golem_diener</t>
  </si>
  <si>
    <t>Golem Diener</t>
  </si>
  <si>
    <t>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t>
  </si>
  <si>
    <t>spruchmagie_verzauberung_4_grosse_telekinese</t>
  </si>
  <si>
    <t>Große Telekinese</t>
  </si>
  <si>
    <t>Ein Gegenstand von maximal (M) * 2 kg kann vom Magus frei im Raum bewegt werden. Die Stärke, die der Magus dabei entfalten kann, um eventuelle Hindernisse zu überwinden, beträgt Willenskraft-Bonus. Der Gegenstand kann auf maximal Magie * 2 m/s beschleunigt werden.</t>
  </si>
  <si>
    <t>spruchmagie_verzauberung_4_in_[tier]_verwandeln</t>
  </si>
  <si>
    <t>In [Tier] verwandeln</t>
  </si>
  <si>
    <t>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t>
  </si>
  <si>
    <t>spruchmagie_verzauberung_4_verlangsamen</t>
  </si>
  <si>
    <t>Verlangsamen</t>
  </si>
  <si>
    <t xml:space="preserve">Ein Lebewesen wird durch diesen Zauber so weit verlangsamt, dass es keinen Sturzschaden erfahren kann. </t>
  </si>
  <si>
    <t>spruchmagie_verzauberung_4_wachstum_beeinflussen</t>
  </si>
  <si>
    <t>Wachstum beeinflussen</t>
  </si>
  <si>
    <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t>
  </si>
  <si>
    <t>spruchmagie_verzauberung_5_gecko</t>
  </si>
  <si>
    <t>Gecko</t>
  </si>
  <si>
    <t>Das Ziel kann mit Händen und Füßen an jeder beliebigen festen Oberfläche haften und dabei seine Maximallast tragen. Klettern-Proben sind um (M) erleichtert.</t>
  </si>
  <si>
    <t>spruchmagie_verzauberung_5_golem_kaempfer</t>
  </si>
  <si>
    <t>Golem Kämpfer</t>
  </si>
  <si>
    <t>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t>
  </si>
  <si>
    <t>spruchmagie_verzauberung_5_mechanismus_antreiben</t>
  </si>
  <si>
    <t>Mechanismus antreiben</t>
  </si>
  <si>
    <t>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t>
  </si>
  <si>
    <t>spruchmagie_verzauberung_5_nebelleib</t>
  </si>
  <si>
    <t>Nebelleib</t>
  </si>
  <si>
    <t>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t>
  </si>
  <si>
    <t>spruchmagie_verzauberung_5_permanentes_artefakt_erschaffen</t>
  </si>
  <si>
    <t>Permanentes Artefakt erschaffen</t>
  </si>
  <si>
    <t>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t>
  </si>
  <si>
    <t>spruchmagie_verzauberung_5_schwaeche</t>
  </si>
  <si>
    <t>Schwäche</t>
  </si>
  <si>
    <t>Alle körperlichen Eigenschaften (Athletik, Geschicklichkeit Konstitution, Schnelligkeit, Stärke) des Ziels werden um Magie * 2 gesenkt. Eigenschaften können nicht unter 1 fallen.Das Opfer bemerkt die Verzauberung sofort.</t>
  </si>
  <si>
    <t>spruchmagie_verzauberung_5_verwandlung</t>
  </si>
  <si>
    <t>Verwandlung</t>
  </si>
  <si>
    <t>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t>
  </si>
  <si>
    <t>spruchmagie_verzauberung_5_warp</t>
  </si>
  <si>
    <t>Warp</t>
  </si>
  <si>
    <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t>
  </si>
  <si>
    <t>spruchmagie_verzauberung_6_dummheit</t>
  </si>
  <si>
    <t>Dummheit</t>
  </si>
  <si>
    <t>Alle geistigen Eigenschaften (Intelligenz, Mut, Sinnesschärfe, Willenskraft) des Opfers werden um Magie * 2 gesenkt. Eigenschaften können nicht unter 1 fallen.Das Opfer bemerkt die Verzauberung sofort.</t>
  </si>
  <si>
    <t>spruchmagie_verzauberung_6_eisenhaut</t>
  </si>
  <si>
    <t>Eisenhaut</t>
  </si>
  <si>
    <t>Die Haut des Magiers wird widerstandsfähiger.Er erhält zusätzlichen Rüstungsschutz von [Magie + Aura]:2 auf allen TZ.</t>
  </si>
  <si>
    <t>spruchmagie_verzauberung_6_last_des_alters</t>
  </si>
  <si>
    <t>Last des Alters</t>
  </si>
  <si>
    <t>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</si>
  <si>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spruchmagie_verzauberung_7_grosser_golem</t>
  </si>
  <si>
    <t>Großer Golem</t>
  </si>
  <si>
    <t>Der Magus fügt mit diesem Zauber beliebig viele Gegenstände von maximal (M) * 10 kg Gewicht zusammen. Der Golem kann keinerlei komplexe Handlungen ausführen und folgt lediglich den Befehlen „Greife X an“ und „Gehe zu X“.Alle Eigenschaften des Golems haben einen Wert von (Magie + Aura)*2, NK-AT/PA von (M)/1+Magie/21+Aura mit 2W15+Aura Schaden und LE von [3*Magie+15*Aura+(M)]*2. Der Golem gilt als Magiekorpus.</t>
  </si>
  <si>
    <t>spruchmagie_verzauberung_7_krueppel</t>
  </si>
  <si>
    <t>Krüppel</t>
  </si>
  <si>
    <t>Alle Eigenschaften des Opfers werden um Magie * 2 Punkte gesenkt.Eigenschaften können nicht unter 1 fallen.Das Opfer bemerkt die Verzauberung sofort.</t>
  </si>
  <si>
    <t>spruchmagie_verzauberung_7_leib_aus_[element]</t>
  </si>
  <si>
    <t>Leib aus [Element]</t>
  </si>
  <si>
    <t>Der Körper (und nur der Körper!) des Magus verwandelt sich in [Element], mit allen Vor- und Nachteilen, die ein Elementar hat. Während der Wirkungsdauer gilt der Magus als Magiekorpus.Um diesen Zauber zu erlernen, benötigt der Magier den [Element]-Beschwörungs oder Kampfmagie-Startpunkt.</t>
  </si>
  <si>
    <t>spruchmagie_verzauberung_7_tod_nn</t>
  </si>
  <si>
    <t>Tod (NN)</t>
  </si>
  <si>
    <t>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t>
  </si>
  <si>
    <t>spruchmagie_verzauberung_7_tod_nr</t>
  </si>
  <si>
    <t>Tod NR</t>
  </si>
  <si>
    <t>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t>
  </si>
  <si>
    <t>spruchmagie_verzauberung_7_verjuengung</t>
  </si>
  <si>
    <t>Verjüngung</t>
  </si>
  <si>
    <t>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t>
  </si>
  <si>
    <t>spruchmagie_wasserbeschwoerung_1_eisball</t>
  </si>
  <si>
    <t>Eisball</t>
  </si>
  <si>
    <t>Der Magus erschafft einen Ball aus Wasser. Schaden: 2W4 + Magie. Pro 5 TP erleidet das Opfer zusätzliche BE 1, nur die höchste so erzielte BE zählt.</t>
  </si>
  <si>
    <t>spruchmagie_wasserbeschwoerung_1_eisball_nr</t>
  </si>
  <si>
    <t>Eisball NR</t>
  </si>
  <si>
    <t>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</si>
  <si>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spruchmagie_wasserbeschwoerung_1_frostfaust</t>
  </si>
  <si>
    <t>Frostfaust</t>
  </si>
  <si>
    <t>Die Fäuste des Magiers verursachen zusätzlichen Elementarschaden. Schaden: W8 + Magie. Pro 5 TP erleidet das Opfer zusätzliche BE 1, nur die höchste so erzielte BE zählt.</t>
  </si>
  <si>
    <t>spruchmagie_wasserbeschwoerung_1_frostfaust_nr</t>
  </si>
  <si>
    <t>Frostfaust NR</t>
  </si>
  <si>
    <t>Die Fäuste des Magiers verursachen zusätzlichen Elementarschaden.   Schaden:   W10 + Magie  Pro 5 TP erleidet das Opfer BE 1 für (M) sec.</t>
  </si>
  <si>
    <t>spruchmagie_wasserbeschwoerung_2_frostbolzen</t>
  </si>
  <si>
    <t>Frostbolzen</t>
  </si>
  <si>
    <t>Der Magus erschafft einen Bolzen aus Wasser. Treffer auf FK-TZ. Schaden: 2W6 + Magie, RB: Magie*2. Pro 5 TP erleidet das Opfer zusätzliche BE 1, nur die höchste so erzielte BE zählt.</t>
  </si>
  <si>
    <t>spruchmagie_wasserbeschwoerung_2_frostbolzen_nr</t>
  </si>
  <si>
    <t>Frostbolzen NR</t>
  </si>
  <si>
    <t>Der Magus erschafft einen Bolzen aus Eis. Bis (M)m Glücks-Probe, bis (M)*2m AW:2, danach AW, um dem Schaden zu entgehen. Fluggeschwindigkeit ist (M)m/s. Treffer auf FK (W30). Schaden: 2W8 + Magie; RB: Magie*2 Pro 5 TP erleidet das Opfer BE 1 für (M) sec.</t>
  </si>
  <si>
    <t>spruchmagie_wasserbeschwoerung_3_grosse_frostfaust</t>
  </si>
  <si>
    <t>Große Frostfaust</t>
  </si>
  <si>
    <t>Die Fäuste des Magiers verursachen zusätzlichen Elementarschaden von 2W12+Magie. Pro 5 TP erleidet das Opfer zusätzliche BE 1, nur die höchste so erzielte BE zählt.</t>
  </si>
  <si>
    <t>spruchmagie_wasserbeschwoerung_3_grosse_frostfaust_nr</t>
  </si>
  <si>
    <t>Große Frostfaust NR</t>
  </si>
  <si>
    <t>Die Fäuste des Magiers verursachen zusätzlichen Elementarschaden von   2W15+Magie  Pro 5 TP erleidet das Opfer BE 1 für (M) sec.</t>
  </si>
  <si>
    <t>spruchmagie_wasserbeschwoerung_4_grosser_eisball</t>
  </si>
  <si>
    <t>Großer Eisball</t>
  </si>
  <si>
    <t>Der Magus erschafft einen Ball aus Wasser. Schaden: W12 + Magie auf jede Trefferzone. Pro 5 TP erleidet das Opfer zusätzliche BE 1, nur die höchste so erzielte BE zählt.</t>
  </si>
  <si>
    <t>spruchmagie_wasserbeschwoerung_4_grosser_eisball_nr</t>
  </si>
  <si>
    <t>Großer Eisball NR</t>
  </si>
  <si>
    <t>Der Magus erschafft einen Ball aus Eis.  Bis (M):2 m Glücks-Probe, ab (M):2 m Ausweichen-Probe, um dem Schaden zu entgehen. Fluggeschwindigkeit ist (M):2 m/s.  Schaden: W15 + Magie*2 auf jede Trefferzone  Pro 5 TP erleidet das Opfer BE 1 für (M) sec.</t>
  </si>
  <si>
    <t>spruchmagie_z_beherrschung_entwicklung_1_aufmerksamkeit2</t>
  </si>
  <si>
    <t>Aufmerksamkeit2</t>
  </si>
  <si>
    <t>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</si>
  <si>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spruchmagie_z_beherrschung_entwicklung_1_beruhigung</t>
  </si>
  <si>
    <t>Beruhigung</t>
  </si>
  <si>
    <t>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 min eine weitere.</t>
  </si>
  <si>
    <t>spruchmagie_z_beherrschung_entwicklung_1_entscheidungshilfe</t>
  </si>
  <si>
    <t>Entscheidungshilfe</t>
  </si>
  <si>
    <t>Das Opfer wird vom Magus bei einer „Ja oder Nein“-Entscheidung beeinflusst, bei der das Opfer sich über die Antwort unsicher ist. Dieser Zauber hat keinen Einfluss auf schon gefasste Entscheidungen.   Widerstandswurf:  Willenskraft.</t>
  </si>
  <si>
    <t>spruchmagie_z_beherrschung_entwicklung_1_tierkontrolle</t>
  </si>
  <si>
    <t>Tierkontrolle</t>
  </si>
  <si>
    <t>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t>
  </si>
  <si>
    <t>spruchmagie_z_beherrschung_entwicklung_1_verwirrung2</t>
  </si>
  <si>
    <t>Verwirrung2</t>
  </si>
  <si>
    <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t>
  </si>
  <si>
    <t>spruchmagie_z_beherrschung_entwicklung_2_angst</t>
  </si>
  <si>
    <t>Angst</t>
  </si>
  <si>
    <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</si>
  <si>
    <t>spruchmagie_z_beherrschung_entwicklung_2_flucht</t>
  </si>
  <si>
    <t>Flucht</t>
  </si>
  <si>
    <t xml:space="preserve">Das Opfer flieht vor dem Magus. Alle beim Laufen belastenden Gegenstände wirft es weg. Dabei entfernt es sich so weit vom Magus, bis es sich sicher fühlt. Widerstandswurf:  Willenskraft ; alle Magie * sec eine weitere. </t>
  </si>
  <si>
    <t>spruchmagie_z_beherrschung_entwicklung_2_harmlos</t>
  </si>
  <si>
    <t>Harmlos</t>
  </si>
  <si>
    <t xml:space="preserve">Der Magus erscheint dem Opfer als eine vollkommen unbedrohliche, gewöhnliche Person. Es ist sehr unwahrscheinlich, dass er den Magus angreift. Widerstandswurf:  Sinnesschärfe ; alle Magie * sec eine weitere. </t>
  </si>
  <si>
    <t>spruchmagie_z_beherrschung_entwicklung_2_konfus2</t>
  </si>
  <si>
    <t>Konfus2</t>
  </si>
  <si>
    <t>Das Opfer vergisst vollkommen, wer seine Freunde oder Feinde sind und greift ein zufälliges Ziel an, wenn es sich bereits im Kampf befindet. Widerstandswurf:  Willenskraft ; alle Magie * sec eine weitere.</t>
  </si>
  <si>
    <t>spruchmagie_z_beherrschung_entwicklung_2_tierfreundschaft</t>
  </si>
  <si>
    <t>Tierfreundschaft</t>
  </si>
  <si>
    <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 </t>
  </si>
  <si>
    <t>spruchmagie_z_beherrschung_entwicklung_2_wut</t>
  </si>
  <si>
    <t>Wut</t>
  </si>
  <si>
    <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</si>
  <si>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spruchmagie_z_beherrschung_entwicklung_3_feindschaft</t>
  </si>
  <si>
    <t>Feindschaft</t>
  </si>
  <si>
    <t>Das Opfer wird von brennendem Hass gegenüber einem vom Magier bestimmten Ziel erfüllt. Je nach Veranlagung des Opfers wird es bei Provokationen gewalttätig. Widerstandswurf:  Intelligenz ; alle Magie * sec eine weitere.</t>
  </si>
  <si>
    <t>spruchmagie_z_beherrschung_entwicklung_3_fremde_zungen</t>
  </si>
  <si>
    <t>Fremde Zungen</t>
  </si>
  <si>
    <t xml:space="preserve">Das Opfer versteht ihm bekannte Mitteilungsformen nicht mehr. Dies schließt Sprache, Schriften, Zeichen und Zeichensprache ein. Widerstandswurf:  Intelligenz ; alle Magie * sec eine weitere. </t>
  </si>
  <si>
    <t>spruchmagie_z_beherrschung_entwicklung_3_insektenruf</t>
  </si>
  <si>
    <t>Insektenruf</t>
  </si>
  <si>
    <t>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t>
  </si>
  <si>
    <t>spruchmagie_z_beherrschung_entwicklung_3_konzentration_stoeren</t>
  </si>
  <si>
    <t>Konzentration stören</t>
  </si>
  <si>
    <t xml:space="preserve">Das Opfer wird bei allen Zaubervorbereitungen (KI, PSI, Spruchmagie) um (M) / 2 Punkte erschwert. Widerstandswurf:  Willenskraft ; alle Magie * sec eine weitere. </t>
  </si>
  <si>
    <t>spruchmagie_z_beherrschung_entwicklung_3_schmerz</t>
  </si>
  <si>
    <t>Schmerz</t>
  </si>
  <si>
    <t xml:space="preserve">Das Opfer erleidet unbeschreibliche Schmerzen und muss jede Sekunde eine Selbstbeherrschungs-Probe erschwert um die (M) des Magiers ablegen. Widerstandswurf:  Konstitution ; alle Magie * sec eine weitere. </t>
  </si>
  <si>
    <t>spruchmagie_z_beherrschung_entwicklung_3_schmerzfrei</t>
  </si>
  <si>
    <t>Schmerzfrei</t>
  </si>
  <si>
    <t xml:space="preserve">Alle Selbstbeherrschungsproben des Opfers werden um (M) erleichtert und alle durch Schmerz oder Wunden entstandenen Behinderungen um die Hälfte reduziert. Widerstandswurf:  Konstitution ; alle Magie * min eine weitere. </t>
  </si>
  <si>
    <t>spruchmagie_z_beherrschung_entwicklung_3_tierbefehl</t>
  </si>
  <si>
    <t>Tierbefehl</t>
  </si>
  <si>
    <t>Der Magier erteilt dem Tier einen Befehl. Das Tier muss den Befehl sofort ausführen. Ob das Tier den Befehl ausführen kann, bestimmen die Fähigkeiten des Tieres. Gerät das Tier in Panik, fällt der Zauber automatisch. Widerstandswurf:  Willenskraft ; alle Magie * h eine weitere.</t>
  </si>
  <si>
    <t>spruchmagie_z_beherrschung_entwicklung_3_zwang</t>
  </si>
  <si>
    <t>Zwang</t>
  </si>
  <si>
    <t xml:space="preserve">Der Magier kann dem Ziel eine Zwangshandlung auferlegen: Dem Opfer juckt der ganze Körper, es muss permanent husten oder lachen oder schreien usw. Das Opfer erleidet hierdurch eine Behinderung von Magie. Widerstandswurf:  Willenskraft ; alle Magie * min eine weitere. </t>
  </si>
  <si>
    <t>spruchmagie_z_beherrschung_entwicklung_4_freundschaft2</t>
  </si>
  <si>
    <t>Freundschaft2</t>
  </si>
  <si>
    <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</si>
  <si>
    <t>spruchmagie_z_beherrschung_entwicklung_4_gier</t>
  </si>
  <si>
    <t>Gier</t>
  </si>
  <si>
    <t xml:space="preserve">Das Opfer versucht mit allen Mitteln, in den Besitz des vom Magier bestimmten Gegenstands zu kommen. Ob das Opfer Leib und Leben dafür aufs Spiel setzt, hängt von seiner Gesinnung ab. Widerstandswurf:  Willenskraft ; alle Magie * sec eine weitere. </t>
  </si>
  <si>
    <t>spruchmagie_z_beherrschung_entwicklung_4_grosse_harmlosigkeit</t>
  </si>
  <si>
    <t>Große Harmlosigkeit</t>
  </si>
  <si>
    <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t>
  </si>
  <si>
    <t>spruchmagie_z_beherrschung_entwicklung_4_grosse_tierfreundschaft</t>
  </si>
  <si>
    <t>Große Tierfreundschaft</t>
  </si>
  <si>
    <t>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t>
  </si>
  <si>
    <t>spruchmagie_z_beherrschung_entwicklung_4_massenflucht</t>
  </si>
  <si>
    <t>Massenflucht</t>
  </si>
  <si>
    <t>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Magie*min). In einer ausweglosen Situation greifen sie nach einer bestandenen Mut-Bonus-Probe an, ansonsten erstarren sie vor Angst. Widerstandswurf: Intelligenz ; alle Magie * sec eine weitere.</t>
  </si>
  <si>
    <t>spruchmagie_z_beherrschung_entwicklung_4_mimose</t>
  </si>
  <si>
    <t>Mimose</t>
  </si>
  <si>
    <t xml:space="preserve">Das Opfer muss bei erlittenem Schaden immer eine Selbstbeherrschungsprobe werfen, die um Magie*2 erschwert ist. Alle effektiven Behinderungen wirken doppelt. Widerstandswurf:  Konstitution ; alle Magie * min eine weitere. </t>
  </si>
  <si>
    <t>spruchmagie_z_beherrschung_entwicklung_4_stumm2</t>
  </si>
  <si>
    <t>Stumm2</t>
  </si>
  <si>
    <t>Das Opfer ist zu keiner gewollten Lautäußerung imstande. Widerstandswurf:  Willenskraft ; alle Magie * sec eine weitere.</t>
  </si>
  <si>
    <t>spruchmagie_z_beherrschung_entwicklung_4_tiere_rufen</t>
  </si>
  <si>
    <t>Tiere rufen</t>
  </si>
  <si>
    <t>Alle Lebewesen mit Intelligenz &lt;6 im im Wirkungsbereich versuchen so schnell wie möglich, zu dem vom Magier bestimmten Ziel zu gelangen. Dort angekommen, verhalten sie sich unnatürlich still, nach Ende der Wirkungsdauer fallen sie in ihr natürliches Verhalten zurück.</t>
  </si>
  <si>
    <t>spruchmagie_z_beherrschung_entwicklung_4_zonenzwang</t>
  </si>
  <si>
    <t>Zonenzwang</t>
  </si>
  <si>
    <t xml:space="preserve">Das Opfer kann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 </t>
  </si>
  <si>
    <t>spruchmagie_z_beherrschung_entwicklung_5_babel</t>
  </si>
  <si>
    <t>Babel</t>
  </si>
  <si>
    <t xml:space="preserve">Alle Ziele im Wirkungsbereich verstehen ihnen bekannte Mitteilungsformen nicht mehr. Dies schließt Sprache, Schriften, Zeichen und Zeichensprache ein. Widerstandswurf: Intelligenz ; alle Magie * sec eine weitere. </t>
  </si>
  <si>
    <t>spruchmagie_z_beherrschung_entwicklung_5_freien_elementar_beherrschen</t>
  </si>
  <si>
    <t>Freien Elementar beherrschen</t>
  </si>
  <si>
    <t>Das Opfer muss eine Beherrschungsprobe auf [XXX] ablegen und alle [Magie] sec eine weitere. Gelingt die Probe, fällt der Zauber. Misslingt die Probe,</t>
  </si>
  <si>
    <t>spruchmagie_z_beherrschung_entwicklung_5_menschen_rufen</t>
  </si>
  <si>
    <t>Menschen rufen</t>
  </si>
  <si>
    <t xml:space="preserve">Alle Ziele im Wirkungsbereich versuchen so schnell wie möglich, zu dem vom Magus bestimmten Ort zu gelangen. Dort angekommen, betrachten sie das Ziel mit großem Interesse. Widerstandsprobe: Willenskraft ; alle Magie * min eine weitere. </t>
  </si>
  <si>
    <t>spruchmagie_z_beherrschung_entwicklung_5_schwere_glieder</t>
  </si>
  <si>
    <t>Schwere Glieder</t>
  </si>
  <si>
    <t xml:space="preserve">Das Opfer wird von unnatürlicher Gliederschwere befallen und erleidet eine Behinderung von Magie. Zusätzlich wird ein Drittel der Rüstungsbehinderung zusätzlich verursacht. Widerstandswurf:  Athletik ; alle Magie * sec eine weitere. </t>
  </si>
  <si>
    <t>spruchmagie_z_beherrschung_entwicklung_5_sinneseinschraenkung</t>
  </si>
  <si>
    <t>Sinneseinschränkung</t>
  </si>
  <si>
    <t>Das ist Opfer entweder vollständig Blind oder vollständig Taub, je nach Maßgabe des Magiers. Widerstandswurf:  Sinesschärfe ; alle Magie * sec eine weitere.</t>
  </si>
  <si>
    <t>spruchmagie_z_beherrschung_entwicklung_5_tierherrschaft</t>
  </si>
  <si>
    <t>Tierherrschaft</t>
  </si>
  <si>
    <t xml:space="preserve">Der Magus kann dem Tier einen sofort ausführbaren Befehl erteilen. Ob das Tier den Befehl tatsächlich ausführen kann, hängt von seinen natürlichen Fähigkeiten ab. Widerstandswurf: Willenskraft ; alle Magie * min eine weitere. </t>
  </si>
  <si>
    <t>spruchmagie_z_beherrschung_entwicklung_6_atemnot</t>
  </si>
  <si>
    <t>Atemnot</t>
  </si>
  <si>
    <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t>
  </si>
  <si>
    <t>spruchmagie_z_beherrschung_entwicklung_6_herrschaft_ueber_menschen</t>
  </si>
  <si>
    <t>Herrschaft über Menschen</t>
  </si>
  <si>
    <t>Der Magus kann dem Opfer einen sofort ausführbaren Befehl erteilen. Widerstandswurf:  Willenskraft ; alle Magie * sec eine weitere.</t>
  </si>
  <si>
    <t>spruchmagie_z_beherrschung_entwicklung_6_massen_befehligen</t>
  </si>
  <si>
    <t>Massen befehligen</t>
  </si>
  <si>
    <t>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t>
  </si>
  <si>
    <t>spruchmagie_z_beherrschung_entwicklung_6_paralyse2</t>
  </si>
  <si>
    <t>Paralyse2</t>
  </si>
  <si>
    <t>Das Opfer ist vollständig paralysiert. Lebensnotwendige Organe arbeiten weiterhin. Das Opfer nimmt weiterhin alles wahr, was um es passiert. Befindet es sich in Bewegung, erleidet es Fallschaden nach Maßgabe des Meisters. Widerstandswurf:  Stärke ; alle Magie * sec eine weitere.</t>
  </si>
  <si>
    <t>spruchmagie_z_beherrschung_entwicklung_6_schlaf</t>
  </si>
  <si>
    <t>Schlaf</t>
  </si>
  <si>
    <t xml:space="preserve">Das Opfer fällt auf der Stelle in einen unnatürlich tiefen Schlaf. Es ist nicht möglich, das Opfer zu wecken. Das Opfer empfindet während der Wirkungsdauer keinen Schmerz und hat keine Wahrnehmung. Widerstandswurf:  Willenskraft ; alle Magie * h eine weitere. </t>
  </si>
  <si>
    <t>spruchmagie_z_beherrschung_entwicklung_6_stille_masse</t>
  </si>
  <si>
    <t>Stille Masse</t>
  </si>
  <si>
    <t>spruchmagie_z_beherrschung_entwicklung_7_backstreet_boy</t>
  </si>
  <si>
    <t>Backstreet Boy</t>
  </si>
  <si>
    <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</si>
  <si>
    <t>spruchmagie_z_beherrschung_entwicklung_7_neues_leben</t>
  </si>
  <si>
    <t>Neues Leben</t>
  </si>
  <si>
    <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t>
  </si>
  <si>
    <t>spruchmagie_z_beherrschung_entwicklung_7_totale_kontrolle2</t>
  </si>
  <si>
    <t>Totale Kontrolle2</t>
  </si>
  <si>
    <t>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t>
  </si>
  <si>
    <t>talente_alchemieresistenz_stufe_1</t>
  </si>
  <si>
    <t>Alchemieresistenz Stufe 1</t>
  </si>
  <si>
    <t>talente_zaeher_bursche_stufe_1</t>
  </si>
  <si>
    <t>Zäher Bursche Stufe 1</t>
  </si>
  <si>
    <t>Krieger</t>
  </si>
  <si>
    <t>talente_zaeher_bursche_stufe_2</t>
  </si>
  <si>
    <t>Zäher Bursche Stufe 2</t>
  </si>
  <si>
    <t>talente_zaeher_bursche_stufe_3</t>
  </si>
  <si>
    <t>Zäher Bursche Stufe 3</t>
  </si>
  <si>
    <t>talente_alchemieresistenz_stufe_2</t>
  </si>
  <si>
    <t>Alchemieresistenz Stufe 2</t>
  </si>
  <si>
    <t>talente_ausdauer_stufe_1</t>
  </si>
  <si>
    <t>Ausdauer Stufe 1</t>
  </si>
  <si>
    <t>talente_ausdauer_stufe_2</t>
  </si>
  <si>
    <t>Ausdauer Stufe 2</t>
  </si>
  <si>
    <t>talente_ausdauer_stufe_3</t>
  </si>
  <si>
    <t>Ausdauer Stufe 3</t>
  </si>
  <si>
    <t>talente_ausweichen_stufe_1</t>
  </si>
  <si>
    <t>Ausweichen Stufe 1</t>
  </si>
  <si>
    <t>talente_ausweichen_stufe_2</t>
  </si>
  <si>
    <t>Ausweichen Stufe 2</t>
  </si>
  <si>
    <t>talente_berittenes_armbrustschiessen_stufe_1</t>
  </si>
  <si>
    <t>Berittenes Armbrustschießen Stufe 1</t>
  </si>
  <si>
    <t>talente_berittenes_armbrustschiessen_stufe_2</t>
  </si>
  <si>
    <t>Berittenes Armbrustschießen Stufe 2</t>
  </si>
  <si>
    <t>talente_berittenes_bogenschiessen_stufe_1</t>
  </si>
  <si>
    <t>Berittenes Bogenschießen Stufe 1</t>
  </si>
  <si>
    <t>talente_berittenes_bogenschiessen_stufe_2</t>
  </si>
  <si>
    <t>Berittenes Bogenschießen Stufe 2</t>
  </si>
  <si>
    <t>talente_berittenes_musketenschiessen_stufe_1</t>
  </si>
  <si>
    <t>Berittenes Musketenschießen Stufe 1</t>
  </si>
  <si>
    <t>talente_berittenes_musketenschiessen_stufe_2</t>
  </si>
  <si>
    <t>Berittenes Musketenschießen Stufe 2</t>
  </si>
  <si>
    <t>talente_berittenes_pistolenschiessen_stufe_1</t>
  </si>
  <si>
    <t>Berittenes Pistolenschießen Stufe 1</t>
  </si>
  <si>
    <t>talente_berittenes_pistolenschiessen_stufe_2</t>
  </si>
  <si>
    <t>Berittenes Pistolenschießen Stufe 2</t>
  </si>
  <si>
    <t>talente_berittenes_werfen_stufe_1</t>
  </si>
  <si>
    <t>Berittenes Werfen Stufe 1</t>
  </si>
  <si>
    <t>talente_berittenes_werfen_stufe_2</t>
  </si>
  <si>
    <t>Berittenes Werfen Stufe 2</t>
  </si>
  <si>
    <t>talente_blutmagie_stufe_1</t>
  </si>
  <si>
    <t>Blutmagie Stufe 1</t>
  </si>
  <si>
    <t>talente_blutmagie_stufe_2</t>
  </si>
  <si>
    <t>Blutmagie Stufe 2</t>
  </si>
  <si>
    <t>talente_blutmagie_stufe_3</t>
  </si>
  <si>
    <t>Blutmagie Stufe 3</t>
  </si>
  <si>
    <t>talente_charismatischer_fuehrer</t>
  </si>
  <si>
    <t>Charismatischer Führer</t>
  </si>
  <si>
    <t>talente_eigenschaften_erhoehen_athletik</t>
  </si>
  <si>
    <t>Eigenschaften erhöhen: Athletik</t>
  </si>
  <si>
    <t>talente_eigenschaften_erhoehen_ausstrahlung</t>
  </si>
  <si>
    <t>Eigenschaften erhöhen: Ausstrahlung</t>
  </si>
  <si>
    <t>talente_eigenschaften_erhoehen_geschicklichkeit</t>
  </si>
  <si>
    <t>Eigenschaften erhöhen: Geschicklichkeit</t>
  </si>
  <si>
    <t>talente_eigenschaften_erhoehen_intelligenz</t>
  </si>
  <si>
    <t>Eigenschaften erhöhen: Intelligenz</t>
  </si>
  <si>
    <t>talente_eigenschaften_erhoehen_konstitution</t>
  </si>
  <si>
    <t>Eigenschaften erhöhen: Konstitution</t>
  </si>
  <si>
    <t>talente_eigenschaften_erhoehen_mut</t>
  </si>
  <si>
    <t>Eigenschaften erhöhen: Mut</t>
  </si>
  <si>
    <t>talente_eigenschaften_erhoehen_schnelligkeit</t>
  </si>
  <si>
    <t>Eigenschaften erhöhen: Schnelligkeit</t>
  </si>
  <si>
    <t>talente_eigenschaften_erhoehen_sinnesschaerfe</t>
  </si>
  <si>
    <t>Eigenschaften erhöhen: Sinnesschärfe</t>
  </si>
  <si>
    <t>talente_eigenschaften_erhoehen_staerke</t>
  </si>
  <si>
    <t>Eigenschaften erhöhen: Stärke</t>
  </si>
  <si>
    <t>talente_eigenschaften_erhoehen_willenskraft</t>
  </si>
  <si>
    <t>Eigenschaften erhöhen: Willenskraft</t>
  </si>
  <si>
    <t>talente_entwaffnen</t>
  </si>
  <si>
    <t>Entwaffnen</t>
  </si>
  <si>
    <t>talente_fernkampfgeschick_stufe_1</t>
  </si>
  <si>
    <t>Fernkampfgeschick Stufe 1</t>
  </si>
  <si>
    <t>talente_fernkampfgeschick_stufe_2</t>
  </si>
  <si>
    <t>Fernkampfgeschick Stufe 2</t>
  </si>
  <si>
    <t>talente_fernkampfgeschick_stufe_3</t>
  </si>
  <si>
    <t>Fernkampfgeschick Stufe 3</t>
  </si>
  <si>
    <t>talente_finte</t>
  </si>
  <si>
    <t>Finte</t>
  </si>
  <si>
    <t>talente_fliegend_schiessen</t>
  </si>
  <si>
    <t>Fliegend Schießen</t>
  </si>
  <si>
    <t>talente_fliehen_stufe_1</t>
  </si>
  <si>
    <t>Fliehen Stufe 1</t>
  </si>
  <si>
    <t>talente_fliehen_stufe_2</t>
  </si>
  <si>
    <t>Fliehen Stufe 2</t>
  </si>
  <si>
    <t>talente_fliehen_stufe_3</t>
  </si>
  <si>
    <t>Fliehen Stufe 3</t>
  </si>
  <si>
    <t>talente_gezielter_schuss</t>
  </si>
  <si>
    <t>Gezielter Schuss</t>
  </si>
  <si>
    <t>talente_grundfertigkeiten_stufe_1</t>
  </si>
  <si>
    <t>Grundfertigkeiten Stufe 1</t>
  </si>
  <si>
    <t>talente_grundfertigkeiten_stufe_2</t>
  </si>
  <si>
    <t>Grundfertigkeiten Stufe 2</t>
  </si>
  <si>
    <t>talente_grundfertigkeiten_stufe_3</t>
  </si>
  <si>
    <t>Grundfertigkeiten Stufe 3</t>
  </si>
  <si>
    <t>talente_grundfertigkeiten_stufe_4</t>
  </si>
  <si>
    <t>Grundfertigkeiten Stufe 4</t>
  </si>
  <si>
    <t>talente_kampf_mit_zwei_waffen_stufe_1</t>
  </si>
  <si>
    <t>Kampf mit zwei Waffen Stufe 1</t>
  </si>
  <si>
    <t>talente_kampf_mit_zwei_waffen_stufe_2</t>
  </si>
  <si>
    <t>Kampf mit zwei Waffen Stufe 2</t>
  </si>
  <si>
    <t>talente_kampf_mit_zwei_waffen_stufe_3</t>
  </si>
  <si>
    <t>Kampf mit zwei Waffen Stufe 3</t>
  </si>
  <si>
    <t>talente_kampf_mit_zwei_waffen_stufe_4</t>
  </si>
  <si>
    <t>Kampf mit zwei Waffen Stufe 4</t>
  </si>
  <si>
    <t>talente_kampffertigkeit_erhoehen_boegen</t>
  </si>
  <si>
    <t>Kampffertigkeit erhöhen: Bögen</t>
  </si>
  <si>
    <t>talente_kampffertigkeit_erhoehen_hiebwaffen</t>
  </si>
  <si>
    <t>Kampffertigkeit erhöhen: Hiebwaffen</t>
  </si>
  <si>
    <t>talente_kampffertigkeit_erhoehen_klingenwaffen</t>
  </si>
  <si>
    <t>Kampffertigkeit erhöhen: Klingenwaffen</t>
  </si>
  <si>
    <t>talente_kampffertigkeit_erhoehen_schusswaffen</t>
  </si>
  <si>
    <t>Kampffertigkeit erhöhen: Schusswaffen</t>
  </si>
  <si>
    <t>talente_kampffertigkeit_erhoehen_stangenwaffen</t>
  </si>
  <si>
    <t>Kampffertigkeit erhöhen: Stangenwaffen</t>
  </si>
  <si>
    <t>talente_kampffertigkeit_erhoehen_stichwaffen</t>
  </si>
  <si>
    <t>Kampffertigkeit erhöhen: Stichwaffen</t>
  </si>
  <si>
    <t>talente_kampffertigkeit_erhoehen_unbewaffnet</t>
  </si>
  <si>
    <t>Kampffertigkeit erhöhen: Unbewaffnet</t>
  </si>
  <si>
    <t>talente_ki_gute_stufe_1</t>
  </si>
  <si>
    <t>KI gute Stufe 1</t>
  </si>
  <si>
    <t>talente_ki_gute_stufe_2</t>
  </si>
  <si>
    <t>KI gute Stufe 2</t>
  </si>
  <si>
    <t>talente_ki_mentale_kapazitaet_stufe_1</t>
  </si>
  <si>
    <t>KI Mentale Kapazität Stufe 1</t>
  </si>
  <si>
    <t>talente_ki_mentale_kapazitaet_stufe_2</t>
  </si>
  <si>
    <t>KI Mentale Kapazität Stufe 2</t>
  </si>
  <si>
    <t>talente_ki_mentale_kapazitaet_stufe_3</t>
  </si>
  <si>
    <t>KI Mentale Kapazität Stufe 3</t>
  </si>
  <si>
    <t>talente_konter</t>
  </si>
  <si>
    <t>Konter</t>
  </si>
  <si>
    <t>talente_konzentration_stufe_1</t>
  </si>
  <si>
    <t>Konzentration Stufe 1</t>
  </si>
  <si>
    <t>talente_konzentration_stufe_2</t>
  </si>
  <si>
    <t>Konzentration Stufe 2</t>
  </si>
  <si>
    <t>talente_konzentration_stufe_3</t>
  </si>
  <si>
    <t>Konzentration Stufe 3</t>
  </si>
  <si>
    <t>talente_ladeschuetze_armbrust</t>
  </si>
  <si>
    <t>talente_ladeschuetze_blasrohr</t>
  </si>
  <si>
    <t>talente_ladeschuetze_bogen</t>
  </si>
  <si>
    <t>talente_ladeschuetze_kanone</t>
  </si>
  <si>
    <t>talente_ladeschuetze_patrone</t>
  </si>
  <si>
    <t>talente_ladeschuetze_rune</t>
  </si>
  <si>
    <t>#talente_ladeschuetze_schleuder</t>
  </si>
  <si>
    <t>talente_ladeschuetze_wurfmesser</t>
  </si>
  <si>
    <t>talente_linkshaendig_pistolenschiessen</t>
  </si>
  <si>
    <t>Linkshändig Pistolenschießen</t>
  </si>
  <si>
    <t>talente_mana_meditation_stufe_1</t>
  </si>
  <si>
    <t>Mana Meditation Stufe 1</t>
  </si>
  <si>
    <t>talente_mana_meditation_stufe_2</t>
  </si>
  <si>
    <t>Mana Meditation Stufe 2</t>
  </si>
  <si>
    <t>talente_mana_meditation_stufe_3</t>
  </si>
  <si>
    <t>Mana Meditation Stufe 3</t>
  </si>
  <si>
    <t>talente_mana_regeneration_stufe_1</t>
  </si>
  <si>
    <t>Mana Regeneration Stufe 1</t>
  </si>
  <si>
    <t>talente_mana_regeneration_stufe_2</t>
  </si>
  <si>
    <t>Mana Regeneration Stufe 2</t>
  </si>
  <si>
    <t>talente_mana_talent_stufe_1</t>
  </si>
  <si>
    <t>Mana Talent Stufe 1</t>
  </si>
  <si>
    <t>talente_mana_talent_stufe_2</t>
  </si>
  <si>
    <t>Mana Talent Stufe 2</t>
  </si>
  <si>
    <t>talente_mana_talent_stufe_3</t>
  </si>
  <si>
    <t>Mana Talent Stufe 3</t>
  </si>
  <si>
    <t>talente_mana_talent_stufe_4</t>
  </si>
  <si>
    <t>Mana Talent Stufe 4</t>
  </si>
  <si>
    <t>talente_me_sparen</t>
  </si>
  <si>
    <t>ME sparen</t>
  </si>
  <si>
    <t>talente_mehrfachschuss_stufe_1_doppelschuss</t>
  </si>
  <si>
    <t>Mehrfachschuss Stufe 1 "Doppelschuss"</t>
  </si>
  <si>
    <t>talente_mehrfachschuss_stufe_2_tripelschuss</t>
  </si>
  <si>
    <t>Mehrfachschuss Stufe 2 "Tripelschuss"</t>
  </si>
  <si>
    <t>talente_meuchler</t>
  </si>
  <si>
    <t>Meuchler</t>
  </si>
  <si>
    <t>talente_mit_schild_umwerfen</t>
  </si>
  <si>
    <t>Mit Schild umwerfen</t>
  </si>
  <si>
    <t>talente_mit_zwei_pistolen_schiessen</t>
  </si>
  <si>
    <t>Mit Zwei Pistolen schießen</t>
  </si>
  <si>
    <t>talente_offensiver_kampfstil_stufe_1</t>
  </si>
  <si>
    <t>Offensiver Kampfstil Stufe 1</t>
  </si>
  <si>
    <t>talente_offensiver_kampfstil_stufe_2</t>
  </si>
  <si>
    <t>Offensiver Kampfstil Stufe 2</t>
  </si>
  <si>
    <t>talente_offensiver_kampfstil_stufe_3</t>
  </si>
  <si>
    <t>Offensiver Kampfstil Stufe 3</t>
  </si>
  <si>
    <t>talente_psi_gute_stufe_1</t>
  </si>
  <si>
    <t>PSI gute Stufe 1</t>
  </si>
  <si>
    <t>PSI-Magier</t>
  </si>
  <si>
    <t>talente_psi_gute_stufe_2</t>
  </si>
  <si>
    <t>PSI gute Stufe 2</t>
  </si>
  <si>
    <t>talente_psi_psinetik_stufe_1</t>
  </si>
  <si>
    <t>PSI Psinetik Stufe 1</t>
  </si>
  <si>
    <t>talente_psi_psinetik_stufe_2</t>
  </si>
  <si>
    <t>PSI Psinetik Stufe 2</t>
  </si>
  <si>
    <t>talente_psi_psinetik_stufe_3</t>
  </si>
  <si>
    <t>PSI Psinetik Stufe 3</t>
  </si>
  <si>
    <t>talente_ruestungsmanoever_stufe_1</t>
  </si>
  <si>
    <t>Rüstungsmanöver Stufe 1</t>
  </si>
  <si>
    <t>talente_ruestungsmanoever_stufe_2</t>
  </si>
  <si>
    <t>Rüstungsmanöver Stufe 2</t>
  </si>
  <si>
    <t>talente_ruestungsmanoever_stufe_3</t>
  </si>
  <si>
    <t>Rüstungsmanöver Stufe 3</t>
  </si>
  <si>
    <t>talente_schnell_schiessen</t>
  </si>
  <si>
    <t>Schnell Schießen</t>
  </si>
  <si>
    <t>talente_schnell_zaubern_stufe_1</t>
  </si>
  <si>
    <t>Schnell Zaubern Stufe 1</t>
  </si>
  <si>
    <t>talente_schnell_zaubern_stufe_2</t>
  </si>
  <si>
    <t>Schnell Zaubern Stufe 2</t>
  </si>
  <si>
    <t>talente_schnell_zaubern_stufe_3</t>
  </si>
  <si>
    <t>Schnell Zaubern Stufe 3</t>
  </si>
  <si>
    <t>talente_schnell_ziehen_armbrust</t>
  </si>
  <si>
    <t>Schnell Ziehen Armbrust</t>
  </si>
  <si>
    <t>talente_schnell_ziehen_bogen</t>
  </si>
  <si>
    <t>Schnell Ziehen Bogen</t>
  </si>
  <si>
    <t>talente_schnell_ziehen_muskete</t>
  </si>
  <si>
    <t>Schnell Ziehen Muskete</t>
  </si>
  <si>
    <t>talente_schnell_ziehen_pistole</t>
  </si>
  <si>
    <t>Schnell Ziehen Pistole</t>
  </si>
  <si>
    <t>talente_schnell_ziehen_wurfwaffe</t>
  </si>
  <si>
    <t>Schnell Ziehen Wurfwaffe</t>
  </si>
  <si>
    <t>talente_schnellziehen_hiebwaffen</t>
  </si>
  <si>
    <t>Schnellziehen Hiebwaffen</t>
  </si>
  <si>
    <t>talente_schnellziehen_klingenwaffen</t>
  </si>
  <si>
    <t>Schnellziehen Klingenwaffen</t>
  </si>
  <si>
    <t>talente_schnellziehen_stangenwaffen</t>
  </si>
  <si>
    <t>Schnellziehen Stangenwaffen</t>
  </si>
  <si>
    <t>talente_schnellziehen_stichwaffen</t>
  </si>
  <si>
    <t>Schnellziehen Stichwaffen</t>
  </si>
  <si>
    <t>talente_selbstbeherrschung_stufe_1</t>
  </si>
  <si>
    <t>Selbstbeherrschung Stufe 1</t>
  </si>
  <si>
    <t>talente_selbstbeherrschung_stufe_2</t>
  </si>
  <si>
    <t>Selbstbeherrschung Stufe 2</t>
  </si>
  <si>
    <t>talente_selbstbeherrschung_stufe_3</t>
  </si>
  <si>
    <t>Selbstbeherrschung Stufe 3</t>
  </si>
  <si>
    <t>talente_sorgfaeltiges_zielen_stufe_1</t>
  </si>
  <si>
    <t>Sorgfältiges Zielen Stufe 1</t>
  </si>
  <si>
    <t>talente_sorgfaeltiges_zielen_stufe_2</t>
  </si>
  <si>
    <t>Sorgfältiges Zielen Stufe 2</t>
  </si>
  <si>
    <t>talente_spruchgute_stufe_1</t>
  </si>
  <si>
    <t>Spruchgute Stufe 1</t>
  </si>
  <si>
    <t>talente_spruchgute_stufe_2</t>
  </si>
  <si>
    <t>Spruchgute Stufe 2</t>
  </si>
  <si>
    <t>talente_spruchmagie_stufe_2_zaubern</t>
  </si>
  <si>
    <t>Spruchmagie Stufe 2 zaubern</t>
  </si>
  <si>
    <t>talente_spruchmagie_stufe_3_zaubern</t>
  </si>
  <si>
    <t>Spruchmagie Stufe 3 zaubern</t>
  </si>
  <si>
    <t>talente_verteidiger_stufe_1</t>
  </si>
  <si>
    <t>Verteidiger Stufe 1</t>
  </si>
  <si>
    <t>talente_verteidiger_stufe_2</t>
  </si>
  <si>
    <t>Verteidiger Stufe 2</t>
  </si>
  <si>
    <t>talente_verteidiger_stufe_3</t>
  </si>
  <si>
    <t>Verteidiger Stufe 3</t>
  </si>
  <si>
    <t>talente_vorderlader_ladeschuetze_stufe1</t>
  </si>
  <si>
    <t>Vorderlader Ladeschütze Stufe 1</t>
  </si>
  <si>
    <t>talente_vorderlader_ladeschuetze_stufe2</t>
  </si>
  <si>
    <t>Vorderlader Ladeschütze Stufe 2</t>
  </si>
  <si>
    <t>talente_whk_stufe_1</t>
  </si>
  <si>
    <t>Wissens,- Handwerks,- Kulturfähigkeiten Stufe 1</t>
  </si>
  <si>
    <t>talente_whk_stufe_2</t>
  </si>
  <si>
    <t>Wissens,- Handwerks,- Kulturfähigkeiten Stufe 2</t>
  </si>
  <si>
    <t>talente_wuchtschlag</t>
  </si>
  <si>
    <t>vn_leicht_anfaelligkeit_gegen_alchemie</t>
  </si>
  <si>
    <t>Leichte Anfälligkeit gegen Alchemie</t>
  </si>
  <si>
    <t>vn_mittel_anfaelligkeit_gegen_alchemie</t>
  </si>
  <si>
    <t>Mittlere Anfälligkeit gegen Alchemie</t>
  </si>
  <si>
    <t>vn_schwer_anfaelligkeit_gegen_alchemie</t>
  </si>
  <si>
    <t>Schwere Anfälligkeit gegen Alchemie</t>
  </si>
  <si>
    <t>vn_sehr_schwer_anfaelligkeit_gegen_alchemie</t>
  </si>
  <si>
    <t>Sehr schwere Anfälligkeit gegen Alchemie</t>
  </si>
  <si>
    <t>vn_extrem_anfaelligkeit_gegen_alchemie</t>
  </si>
  <si>
    <t>Extreme Anfälligkeit gegen Alchemie</t>
  </si>
  <si>
    <t>vn_anfaelligkeit_gegen_beherrschung_1</t>
  </si>
  <si>
    <t>Anfälligkeit gegen Beherrschung 1</t>
  </si>
  <si>
    <t>Auswahlgruppe: Anfälligkeit Stufe 1; maximal 1</t>
  </si>
  <si>
    <t>Der Charakter erleidet durch Beherrschung SP × 1,5. Aus der Gruppe „Anfälligkeit Stufe 1“ kann nur ein Eintrag gewählt werden.</t>
  </si>
  <si>
    <t>vn_anfaelligkeit_gegen_beherrschung_2</t>
  </si>
  <si>
    <t>Anfälligkeit gegen Beherrschung 2</t>
  </si>
  <si>
    <t>Auswahlgruppe: Anfälligkeit Stufe 2; maximal 1</t>
  </si>
  <si>
    <t>Der Charakter erleidet durch Beherrschung SP × 2. Aus der Gruppe „Anfälligkeit Stufe 2“ kann nur ein Eintrag gewählt werden.</t>
  </si>
  <si>
    <t>vn_anfaelligkeit_gegen_erdbeschwoerung_1</t>
  </si>
  <si>
    <t>Anfälligkeit gegen Erdbeschwörung 1</t>
  </si>
  <si>
    <t>Der Charakter erleidet durch Erdbeschwörung SP × 1,5. Aus der Gruppe „Anfälligkeit Stufe 1“ kann nur ein Eintrag gewählt werden.</t>
  </si>
  <si>
    <t>vn_anfaelligkeit_gegen_erdbeschwoerung_2</t>
  </si>
  <si>
    <t>Anfälligkeit gegen Erdbeschwörung 2</t>
  </si>
  <si>
    <t>Der Charakter erleidet durch Erdbeschwörung SP × 2. Aus der Gruppe „Anfälligkeit Stufe 2“ kann nur ein Eintrag gewählt werden.</t>
  </si>
  <si>
    <t>vn_anfaelligkeit_gegen_feuerbeschwoerung_1</t>
  </si>
  <si>
    <t>Anfälligkeit gegen Feuerbeschwörung 1</t>
  </si>
  <si>
    <t>Der Charakter erleidet durch Feuerbeschwörung SP × 1,5. Aus der Gruppe „Anfälligkeit Stufe 1“ kann nur ein Eintrag gewählt werden.</t>
  </si>
  <si>
    <t>vn_anfaelligkeit_gegen_feuerbeschwoerung_2</t>
  </si>
  <si>
    <t>Anfälligkeit gegen Feuerbeschwörung 2</t>
  </si>
  <si>
    <t>Der Charakter erleidet durch Feuerbeschwörung SP × 2. Aus der Gruppe „Anfälligkeit Stufe 2“ kann nur ein Eintrag gewählt werden.</t>
  </si>
  <si>
    <t>vn_anfaelligkeit_gegen_luftbeschwoerung_1</t>
  </si>
  <si>
    <t>Anfälligkeit gegen Luftbeschwörung 1</t>
  </si>
  <si>
    <t>Der Charakter erleidet durch Luftbeschwörung SP × 1,5. Aus der Gruppe „Anfälligkeit Stufe 1“ kann nur ein Eintrag gewählt werden.</t>
  </si>
  <si>
    <t>vn_anfaelligkeit_gegen_luftbeschwoerung_2</t>
  </si>
  <si>
    <t>Anfälligkeit gegen Luftbeschwörung 2</t>
  </si>
  <si>
    <t>Der Charakter erleidet durch Luftbeschwörung SP × 2. Aus der Gruppe „Anfälligkeit Stufe 2“ kann nur ein Eintrag gewählt werden.</t>
  </si>
  <si>
    <t>vn_anfaelligkeit_gegen_magiebeschwoerung_1</t>
  </si>
  <si>
    <t>Anfälligkeit gegen Magiebeschwörung 1</t>
  </si>
  <si>
    <t>Der Charakter erleidet durch Magiebeschwörung SP × 1,5. Aus der Gruppe „Anfälligkeit Stufe 1“ kann nur ein Eintrag gewählt werden.</t>
  </si>
  <si>
    <t>vn_anfaelligkeit_gegen_magiebeschwoerung_2</t>
  </si>
  <si>
    <t>Anfälligkeit gegen Magiebeschwörung 2</t>
  </si>
  <si>
    <t>Der Charakter erleidet durch Magiebeschwörung SP × 2. Aus der Gruppe „Anfälligkeit Stufe 2“ kann nur ein Eintrag gewählt werden.</t>
  </si>
  <si>
    <t>vn_anfaelligkeit_gegen_profane_waffen</t>
  </si>
  <si>
    <t>Anfälligkeit gegen profane Waffen</t>
  </si>
  <si>
    <t>Auswahlgruppe: Anfälligkeit gegen profane Waffen; maximal 1</t>
  </si>
  <si>
    <t>Der Charakter erleidet durch profane Waffen SP × 2. Aus der Gruppe „Anfälligkeit gegen profane Waffen“ kann nur ein Eintrag gewählt werden.</t>
  </si>
  <si>
    <t>vn_anfaelligkeit_gegen_verzauberung_1</t>
  </si>
  <si>
    <t>Anfälligkeit gegen Verzauberung 1</t>
  </si>
  <si>
    <t>vn_anfaelligkeit_gegen_verzauberung_2</t>
  </si>
  <si>
    <t>Anfälligkeit gegen Verzauberung 2</t>
  </si>
  <si>
    <t>vn_anfaelligkeit_gegen_wasserbeschwoerung_1</t>
  </si>
  <si>
    <t>Anfälligkeit gegen Wasserbeschwörung 1</t>
  </si>
  <si>
    <t>Der Charakter erleidet durch Wasserbeschwörung SP × 1,5. Aus der Gruppe „Anfälligkeit Stufe 1“ kann nur ein Eintrag gewählt werden.</t>
  </si>
  <si>
    <t>vn_anfaelligkeit_gegen_wasserbeschwoerung_2</t>
  </si>
  <si>
    <t>Anfälligkeit gegen Wasserbeschwörung 2</t>
  </si>
  <si>
    <t>Der Charakter erleidet durch Wasserbeschwörung SP × 2. Aus der Gruppe „Anfälligkeit Stufe 2“ kann nur ein Eintrag gewählt werden.</t>
  </si>
  <si>
    <t>vn_angst_verlusten_humanoide_5</t>
  </si>
  <si>
    <t>Unbehagen: Verlusten (Humanoide)</t>
  </si>
  <si>
    <t>Auswahlgruppe angst_verlusten_humanoide; maximal 1 Stufe; Angstwert 5; direkte Konfrontation: einmal pro Situation; bloße Gegenwart: BE 0.</t>
  </si>
  <si>
    <t>Angst: Verlusten (Humanoide)</t>
  </si>
  <si>
    <t>EXKLUSIV_ANGST=angst_verlusten_humanoide | ANGST_INTERVALL=SITUATION | ANGST_DIREKTE_KONFRONTATION=1 | ANGST_BE=0</t>
  </si>
  <si>
    <t>Der Charakter reagiert auf Verlusten (Humanoide) mit Unbehagen. Bei direkter Konfrontation mit Verlusten (Humanoide) muss er einmal pro Situation eine um 5 erschwerte Mut-Probe bestehen, um handlungsfähig zu bleiben. Um sich Verlusten (Humanoide) freiwillig zu nähern, die Angstquelle zu berühren oder bewusst mit ihr zu interagieren, muss er einmalig eine um 5 erschwerte Willenskraft-Probe bestehen.</t>
  </si>
  <si>
    <t>vn_angst_verlusten_humanoide_10</t>
  </si>
  <si>
    <t>Nervosität: Verlusten (Humanoide)</t>
  </si>
  <si>
    <t>Auswahlgruppe angst_verlusten_humanoide; maximal 1 Stufe; Angstwert 10; direkte Konfrontation: bei jeder erneuten direkten Konfrontation; bloße Gegenwart: BE -1.</t>
  </si>
  <si>
    <t>EXKLUSIV_ANGST=angst_verlusten_humanoide | ANGST_INTERVALL=NEUE_KONFRONTATION | ANGST_DIREKTE_KONFRONTATION=1 | ANGST_BE=-1</t>
  </si>
  <si>
    <t>Der Charakter reagiert auf Verlusten (Humanoide) mit Nervosität. Bei direkter Konfrontation mit Verlusten (Humanoide) muss er bei jeder erneuten direkten Konfrontation eine um 10 erschwerte Mut-Probe bestehen, um handlungsfähig zu bleiben. Um sich Verlusten (Humanoide) freiwillig zu nähern, die Angstquelle zu berühren oder bewusst mit ihr zu interagieren, muss er einmalig eine um 10 erschwerte Willenskraft-Probe bestehen. Ist Verlusten (Humanoide) zwar gegenwärtig, aber weder direkter Gegner noch Gegenstand, Wesen oder sonstiges Ziel, mit dem sich der Charakter aktuell befasst, sind keine Angst-Proben erforderlich; der Charakter erhält BE -1.</t>
  </si>
  <si>
    <t>vn_angst_verlusten_humanoide_15</t>
  </si>
  <si>
    <t>Furcht: Verlusten (Humanoide)</t>
  </si>
  <si>
    <t>Auswahlgruppe angst_verlusten_humanoide; maximal 1 Stufe; Angstwert 15; direkte Konfrontation: sofort, danach alle 10 KR; bloße Gegenwart: BE -2.</t>
  </si>
  <si>
    <t>EXKLUSIV_ANGST=angst_verlusten_humanoide | ANGST_INTERVALL=10_KR | ANGST_DIREKTE_KONFRONTATION=1 | ANGST_BE=-2</t>
  </si>
  <si>
    <t>Der Charakter reagiert auf Verlusten (Humanoide) mit Furcht. Bei direkter Konfrontation mit Verlusten (Humanoide) muss er sofort, danach alle 10 KR eine um 15 erschwerte Mut-Probe bestehen, um handlungsfähig zu bleiben. Um sich Verlusten (Humanoide) freiwillig zu nähern, die Angstquelle zu berühren oder bewusst mit ihr zu interagieren, muss er einmalig eine um 15 erschwerte Willenskraft-Probe bestehen. Ist Verlusten (Humanoide) zwar gegenwärtig, aber weder direkter Gegner noch Gegenstand, Wesen oder sonstiges Ziel, mit dem sich der Charakter aktuell befasst, sind keine Angst-Proben erforderlich; der Charakter erhält BE -2.</t>
  </si>
  <si>
    <t>vn_angst_verlusten_humanoide_20</t>
  </si>
  <si>
    <t>Auswahlgruppe angst_verlusten_humanoide; maximal 1 Stufe; Angstwert 20; direkte Konfrontation: sofort, danach alle 5 KR; bloße Gegenwart: BE -3.</t>
  </si>
  <si>
    <t>EXKLUSIV_ANGST=angst_verlusten_humanoide | ANGST_INTERVALL=5_KR | ANGST_DIREKTE_KONFRONTATION=1 | ANGST_BE=-3</t>
  </si>
  <si>
    <t>Der Charakter reagiert auf Verlusten (Humanoide) mit Angst. Bei direkter Konfrontation mit Verlusten (Humanoide) muss er sofort, danach alle 5 KR eine um 20 erschwerte Mut-Probe bestehen, um handlungsfähig zu bleiben. Um sich Verlusten (Humanoide) freiwillig zu nähern, die Angstquelle zu berühren oder bewusst mit ihr zu interagieren, muss er einmalig eine um 20 erschwerte Willenskraft-Probe bestehen. Ist Verlusten (Humanoide) zwar gegenwärtig, aber weder direkter Gegner noch Gegenstand, Wesen oder sonstiges Ziel, mit dem sich der Charakter aktuell befasst, sind keine Angst-Proben erforderlich; der Charakter erhält BE -3.</t>
  </si>
  <si>
    <t>vn_angst_verlusten_humanoide_30</t>
  </si>
  <si>
    <t>Phobie: Verlusten (Humanoide)</t>
  </si>
  <si>
    <t>Auswahlgruppe angst_verlusten_humanoide; maximal 1 Stufe; Angstwert 30; direkte Konfrontation: sofort, danach jede KR; bloße Gegenwart: BE -5.</t>
  </si>
  <si>
    <t>EXKLUSIV_ANGST=angst_verlusten_humanoide | ANGST_INTERVALL=1_KR | ANGST_DIREKTE_KONFRONTATION=1 | ANGST_BE=-5</t>
  </si>
  <si>
    <t>Der Charakter leidet unter einer Phobie gegenüber Verlusten (Humanoide). Bei direkter Konfrontation mit Verlusten (Humanoide) muss er sofort, danach jede KR eine um 30 erschwerte Mut-Probe bestehen, um handlungsfähig zu bleiben. Um sich Verlusten (Humanoide) freiwillig zu nähern, die Angstquelle zu berühren oder bewusst mit ihr zu interagieren, muss er einmalig eine um 30 erschwerte Willenskraft-Probe bestehen. Ist Verlusten (Humanoide) zwar gegenwärtig, aber weder direkter Gegner noch Gegenstand, Wesen oder sonstiges Ziel, mit dem sich der Charakter aktuell befasst, sind keine Angst-Proben erforderlich; der Charakter erhält BE -5.</t>
  </si>
  <si>
    <t>vn_angst_arachnophobie_5</t>
  </si>
  <si>
    <t>Unbehagen: Arachnophobie</t>
  </si>
  <si>
    <t>Auswahlgruppe angst_arachnophobie; maximal 1 Stufe; Angstwert 5; direkte Konfrontation: einmal pro Situation; bloße Gegenwart: BE 0.</t>
  </si>
  <si>
    <t>Angst: Arachnophobie</t>
  </si>
  <si>
    <t>EXKLUSIV_ANGST=angst_arachnophobie | ANGST_INTERVALL=SITUATION | ANGST_DIREKTE_KONFRONTATION=1 | ANGST_BE=0</t>
  </si>
  <si>
    <t>Der Charakter reagiert auf Arachnophobie mit Unbehagen. Bei direkter Konfrontation mit Arachnophobie muss er einmal pro Situation eine um 5 erschwerte Mut-Probe bestehen, um handlungsfähig zu bleiben. Um sich Arachnophobie freiwillig zu nähern, die Angstquelle zu berühren oder bewusst mit ihr zu interagieren, muss er einmalig eine um 5 erschwerte Willenskraft-Probe bestehen.</t>
  </si>
  <si>
    <t>vn_angst_arachnophobie_10</t>
  </si>
  <si>
    <t>Nervosität: Arachnophobie</t>
  </si>
  <si>
    <t>Auswahlgruppe angst_arachnophobie; maximal 1 Stufe; Angstwert 10; direkte Konfrontation: bei jeder erneuten direkten Konfrontation; bloße Gegenwart: BE -1.</t>
  </si>
  <si>
    <t>EXKLUSIV_ANGST=angst_arachnophobie | ANGST_INTERVALL=NEUE_KONFRONTATION | ANGST_DIREKTE_KONFRONTATION=1 | ANGST_BE=-1</t>
  </si>
  <si>
    <t>Der Charakter reagiert auf Arachnophobie mit Nervosität. Bei direkter Konfrontation mit Arachnophobie muss er bei jeder erneuten direkten Konfrontation eine um 10 erschwerte Mut-Probe bestehen, um handlungsfähig zu bleiben. Um sich Arachnophobie freiwillig zu nähern, die Angstquelle zu berühren oder bewusst mit ihr zu interagieren, muss er einmalig eine um 10 erschwerte Willenskraft-Probe bestehen. Ist Arachnophobie zwar gegenwärtig, aber weder direkter Gegner noch Gegenstand, Wesen oder sonstiges Ziel, mit dem sich der Charakter aktuell befasst, sind keine Angst-Proben erforderlich; der Charakter erhält BE -1.</t>
  </si>
  <si>
    <t>vn_angst_arachnophobie_15</t>
  </si>
  <si>
    <t>Furcht: Arachnophobie</t>
  </si>
  <si>
    <t>Auswahlgruppe angst_arachnophobie; maximal 1 Stufe; Angstwert 15; direkte Konfrontation: sofort, danach alle 10 KR; bloße Gegenwart: BE -2.</t>
  </si>
  <si>
    <t>EXKLUSIV_ANGST=angst_arachnophobie | ANGST_INTERVALL=10_KR | ANGST_DIREKTE_KONFRONTATION=1 | ANGST_BE=-2</t>
  </si>
  <si>
    <t>Der Charakter reagiert auf Arachnophobie mit Furcht. Bei direkter Konfrontation mit Arachnophobie muss er sofort, danach alle 10 KR eine um 15 erschwerte Mut-Probe bestehen, um handlungsfähig zu bleiben. Um sich Arachnophobie freiwillig zu nähern, die Angstquelle zu berühren oder bewusst mit ihr zu interagieren, muss er einmalig eine um 15 erschwerte Willenskraft-Probe bestehen. Ist Arachnophobie zwar gegenwärtig, aber weder direkter Gegner noch Gegenstand, Wesen oder sonstiges Ziel, mit dem sich der Charakter aktuell befasst, sind keine Angst-Proben erforderlich; der Charakter erhält BE -2.</t>
  </si>
  <si>
    <t>vn_angst_arachnophobie_20</t>
  </si>
  <si>
    <t>Auswahlgruppe angst_arachnophobie; maximal 1 Stufe; Angstwert 20; direkte Konfrontation: sofort, danach alle 5 KR; bloße Gegenwart: BE -3.</t>
  </si>
  <si>
    <t>EXKLUSIV_ANGST=angst_arachnophobie | ANGST_INTERVALL=5_KR | ANGST_DIREKTE_KONFRONTATION=1 | ANGST_BE=-3</t>
  </si>
  <si>
    <t>Der Charakter reagiert auf Arachnophobie mit Angst. Bei direkter Konfrontation mit Arachnophobie muss er sofort, danach alle 5 KR eine um 20 erschwerte Mut-Probe bestehen, um handlungsfähig zu bleiben. Um sich Arachnophobie freiwillig zu nähern, die Angstquelle zu berühren oder bewusst mit ihr zu interagieren, muss er einmalig eine um 20 erschwerte Willenskraft-Probe bestehen. Ist Arachnophobie zwar gegenwärtig, aber weder direkter Gegner noch Gegenstand, Wesen oder sonstiges Ziel, mit dem sich der Charakter aktuell befasst, sind keine Angst-Proben erforderlich; der Charakter erhält BE -3.</t>
  </si>
  <si>
    <t>vn_angst_arachnophobie_30</t>
  </si>
  <si>
    <t>Phobie: Arachnophobie</t>
  </si>
  <si>
    <t>Auswahlgruppe angst_arachnophobie; maximal 1 Stufe; Angstwert 30; direkte Konfrontation: sofort, danach jede KR; bloße Gegenwart: BE -5.</t>
  </si>
  <si>
    <t>EXKLUSIV_ANGST=angst_arachnophobie | ANGST_INTERVALL=1_KR | ANGST_DIREKTE_KONFRONTATION=1 | ANGST_BE=-5</t>
  </si>
  <si>
    <t>Der Charakter leidet unter einer Phobie gegenüber Arachnophobie. Bei direkter Konfrontation mit Arachnophobie muss er sofort, danach jede KR eine um 30 erschwerte Mut-Probe bestehen, um handlungsfähig zu bleiben. Um sich Arachnophobie freiwillig zu nähern, die Angstquelle zu berühren oder bewusst mit ihr zu interagieren, muss er einmalig eine um 30 erschwerte Willenskraft-Probe bestehen. Ist Arachnophobie zwar gegenwärtig, aber weder direkter Gegner noch Gegenstand, Wesen oder sonstiges Ziel, mit dem sich der Charakter aktuell befasst, sind keine Angst-Proben erforderlich; der Charakter erhält BE -5.</t>
  </si>
  <si>
    <t>vn_angst_bestimmtes_domestiziertes_tier_5</t>
  </si>
  <si>
    <t>Unbehagen: Bestimmtes domestiziertes Tier</t>
  </si>
  <si>
    <t>Auswahlgruppe angst_bestimmtes_domestiziertes_tier; maximal 1 Stufe; Angstwert 5; direkte Konfrontation: einmal pro Situation; bloße Gegenwart: BE 0.</t>
  </si>
  <si>
    <t>Angst: Bestimmtes domestiziertes Tier</t>
  </si>
  <si>
    <t>EXKLUSIV_ANGST=angst_bestimmtes_domestiziertes_tier | ANGST_INTERVALL=SITUATION | ANGST_DIREKTE_KONFRONTATION=1 | ANGST_BE=0</t>
  </si>
  <si>
    <t>Der Charakter reagiert auf Bestimmtes domestiziertes Tier mit Unbehagen. Bei direkter Konfrontation mit Bestimmtes domestiziertes Tier muss er einmal pro Situation eine um 5 erschwerte Mut-Probe bestehen, um handlungsfähig zu bleiben. Um sich Bestimmtes domestiziertes Tier freiwillig zu nähern, die Angstquelle zu berühren oder bewusst mit ihr zu interagieren, muss er einmalig eine um 5 erschwerte Willenskraft-Probe bestehen.</t>
  </si>
  <si>
    <t>vn_angst_bestimmtes_domestiziertes_tier_10</t>
  </si>
  <si>
    <t>Nervosität: Bestimmtes domestiziertes Tier</t>
  </si>
  <si>
    <t>Auswahlgruppe angst_bestimmtes_domestiziertes_tier; maximal 1 Stufe; Angstwert 10; direkte Konfrontation: bei jeder erneuten direkten Konfrontation; bloße Gegenwart: BE -1.</t>
  </si>
  <si>
    <t>EXKLUSIV_ANGST=angst_bestimmtes_domestiziertes_tier | ANGST_INTERVALL=NEUE_KONFRONTATION | ANGST_DIREKTE_KONFRONTATION=1 | ANGST_BE=-1</t>
  </si>
  <si>
    <t>Der Charakter reagiert auf Bestimmtes domestiziertes Tier mit Nervosität. Bei direkter Konfrontation mit Bestimmtes domestiziertes Tier muss er bei jeder erneuten direkten Konfrontation eine um 10 erschwerte Mut-Probe bestehen, um handlungsfähig zu bleiben. Um sich Bestimmtes domestiziertes Tier freiwillig zu nähern, die Angstquelle zu berühren oder bewusst mit ihr zu interagieren, muss er einmalig eine um 10 erschwerte Willenskraft-Probe bestehen. Ist Bestimmtes domestiziertes Tier zwar gegenwärtig, aber weder direkter Gegner noch Gegenstand, Wesen oder sonstiges Ziel, mit dem sich der Charakter aktuell befasst, sind keine Angst-Proben erforderlich; der Charakter erhält BE -1.</t>
  </si>
  <si>
    <t>vn_angst_bestimmtes_domestiziertes_tier_15</t>
  </si>
  <si>
    <t>Furcht: Bestimmtes domestiziertes Tier</t>
  </si>
  <si>
    <t>Auswahlgruppe angst_bestimmtes_domestiziertes_tier; maximal 1 Stufe; Angstwert 15; direkte Konfrontation: sofort, danach alle 10 KR; bloße Gegenwart: BE -2.</t>
  </si>
  <si>
    <t>EXKLUSIV_ANGST=angst_bestimmtes_domestiziertes_tier | ANGST_INTERVALL=10_KR | ANGST_DIREKTE_KONFRONTATION=1 | ANGST_BE=-2</t>
  </si>
  <si>
    <t>Der Charakter reagiert auf Bestimmtes domestiziertes Tier mit Furcht. Bei direkter Konfrontation mit Bestimmtes domestiziertes Tier muss er sofort, danach alle 10 KR eine um 15 erschwerte Mut-Probe bestehen, um handlungsfähig zu bleiben. Um sich Bestimmtes domestiziertes Tier freiwillig zu nähern, die Angstquelle zu berühren oder bewusst mit ihr zu interagieren, muss er einmalig eine um 15 erschwerte Willenskraft-Probe bestehen. Ist Bestimmtes domestiziertes Tier zwar gegenwärtig, aber weder direkter Gegner noch Gegenstand, Wesen oder sonstiges Ziel, mit dem sich der Charakter aktuell befasst, sind keine Angst-Proben erforderlich; der Charakter erhält BE -2.</t>
  </si>
  <si>
    <t>vn_angst_bestimmtes_domestiziertes_tier_20</t>
  </si>
  <si>
    <t>Auswahlgruppe angst_bestimmtes_domestiziertes_tier; maximal 1 Stufe; Angstwert 20; direkte Konfrontation: sofort, danach alle 5 KR; bloße Gegenwart: BE -3.</t>
  </si>
  <si>
    <t>EXKLUSIV_ANGST=angst_bestimmtes_domestiziertes_tier | ANGST_INTERVALL=5_KR | ANGST_DIREKTE_KONFRONTATION=1 | ANGST_BE=-3</t>
  </si>
  <si>
    <t>Der Charakter reagiert auf Bestimmtes domestiziertes Tier mit Angst. Bei direkter Konfrontation mit Bestimmtes domestiziertes Tier muss er sofort, danach alle 5 KR eine um 20 erschwerte Mut-Probe bestehen, um handlungsfähig zu bleiben. Um sich Bestimmtes domestiziertes Tier freiwillig zu nähern, die Angstquelle zu berühren oder bewusst mit ihr zu interagieren, muss er einmalig eine um 20 erschwerte Willenskraft-Probe bestehen. Ist Bestimmtes domestiziertes Tier zwar gegenwärtig, aber weder direkter Gegner noch Gegenstand, Wesen oder sonstiges Ziel, mit dem sich der Charakter aktuell befasst, sind keine Angst-Proben erforderlich; der Charakter erhält BE -3.</t>
  </si>
  <si>
    <t>vn_angst_bestimmtes_domestiziertes_tier_30</t>
  </si>
  <si>
    <t>Phobie: Bestimmtes domestiziertes Tier</t>
  </si>
  <si>
    <t>Auswahlgruppe angst_bestimmtes_domestiziertes_tier; maximal 1 Stufe; Angstwert 30; direkte Konfrontation: sofort, danach jede KR; bloße Gegenwart: BE -5.</t>
  </si>
  <si>
    <t>EXKLUSIV_ANGST=angst_bestimmtes_domestiziertes_tier | ANGST_INTERVALL=1_KR | ANGST_DIREKTE_KONFRONTATION=1 | ANGST_BE=-5</t>
  </si>
  <si>
    <t>Der Charakter leidet unter einer Phobie gegenüber Bestimmtes domestiziertes Tier. Bei direkter Konfrontation mit Bestimmtes domestiziertes Tier muss er sofort, danach jede KR eine um 30 erschwerte Mut-Probe bestehen, um handlungsfähig zu bleiben. Um sich Bestimmtes domestiziertes Tier freiwillig zu nähern, die Angstquelle zu berühren oder bewusst mit ihr zu interagieren, muss er einmalig eine um 30 erschwerte Willenskraft-Probe bestehen. Ist Bestimmtes domestiziertes Tier zwar gegenwärtig, aber weder direkter Gegner noch Gegenstand, Wesen oder sonstiges Ziel, mit dem sich der Charakter aktuell befasst, sind keine Angst-Proben erforderlich; der Charakter erhält BE -5.</t>
  </si>
  <si>
    <t>vn_angst_hundeartige_5</t>
  </si>
  <si>
    <t>Unbehagen: Hundeartige</t>
  </si>
  <si>
    <t>Auswahlgruppe angst_hundeartige; maximal 1 Stufe; Angstwert 5; direkte Konfrontation: einmal pro Situation; bloße Gegenwart: BE 0.</t>
  </si>
  <si>
    <t>Angst: Hundeartige</t>
  </si>
  <si>
    <t>EXKLUSIV_ANGST=angst_hundeartige | ANGST_INTERVALL=SITUATION | ANGST_DIREKTE_KONFRONTATION=1 | ANGST_BE=0</t>
  </si>
  <si>
    <t>Der Charakter reagiert auf Hundeartige mit Unbehagen. Bei direkter Konfrontation mit Hundeartige muss er einmal pro Situation eine um 5 erschwerte Mut-Probe bestehen, um handlungsfähig zu bleiben. Um sich Hundeartige freiwillig zu nähern, die Angstquelle zu berühren oder bewusst mit ihr zu interagieren, muss er einmalig eine um 5 erschwerte Willenskraft-Probe bestehen.</t>
  </si>
  <si>
    <t>vn_angst_hundeartige_10</t>
  </si>
  <si>
    <t>Nervosität: Hundeartige</t>
  </si>
  <si>
    <t>Auswahlgruppe angst_hundeartige; maximal 1 Stufe; Angstwert 10; direkte Konfrontation: bei jeder erneuten direkten Konfrontation; bloße Gegenwart: BE -1.</t>
  </si>
  <si>
    <t>EXKLUSIV_ANGST=angst_hundeartige | ANGST_INTERVALL=NEUE_KONFRONTATION | ANGST_DIREKTE_KONFRONTATION=1 | ANGST_BE=-1</t>
  </si>
  <si>
    <t>Der Charakter reagiert auf Hundeartige mit Nervosität. Bei direkter Konfrontation mit Hundeartige muss er bei jeder erneuten direkten Konfrontation eine um 10 erschwerte Mut-Probe bestehen, um handlungsfähig zu bleiben. Um sich Hundeartige freiwillig zu nähern, die Angstquelle zu berühren oder bewusst mit ihr zu interagieren, muss er einmalig eine um 10 erschwerte Willenskraft-Probe bestehen. Ist Hundeartige zwar gegenwärtig, aber weder direkter Gegner noch Gegenstand, Wesen oder sonstiges Ziel, mit dem sich der Charakter aktuell befasst, sind keine Angst-Proben erforderlich; der Charakter erhält BE -1.</t>
  </si>
  <si>
    <t>vn_angst_hundeartige_15</t>
  </si>
  <si>
    <t>Furcht: Hundeartige</t>
  </si>
  <si>
    <t>Auswahlgruppe angst_hundeartige; maximal 1 Stufe; Angstwert 15; direkte Konfrontation: sofort, danach alle 10 KR; bloße Gegenwart: BE -2.</t>
  </si>
  <si>
    <t>EXKLUSIV_ANGST=angst_hundeartige | ANGST_INTERVALL=10_KR | ANGST_DIREKTE_KONFRONTATION=1 | ANGST_BE=-2</t>
  </si>
  <si>
    <t>Der Charakter reagiert auf Hundeartige mit Furcht. Bei direkter Konfrontation mit Hundeartige muss er sofort, danach alle 10 KR eine um 15 erschwerte Mut-Probe bestehen, um handlungsfähig zu bleiben. Um sich Hundeartige freiwillig zu nähern, die Angstquelle zu berühren oder bewusst mit ihr zu interagieren, muss er einmalig eine um 15 erschwerte Willenskraft-Probe bestehen. Ist Hundeartige zwar gegenwärtig, aber weder direkter Gegner noch Gegenstand, Wesen oder sonstiges Ziel, mit dem sich der Charakter aktuell befasst, sind keine Angst-Proben erforderlich; der Charakter erhält BE -2.</t>
  </si>
  <si>
    <t>vn_angst_hundeartige_20</t>
  </si>
  <si>
    <t>Auswahlgruppe angst_hundeartige; maximal 1 Stufe; Angstwert 20; direkte Konfrontation: sofort, danach alle 5 KR; bloße Gegenwart: BE -3.</t>
  </si>
  <si>
    <t>EXKLUSIV_ANGST=angst_hundeartige | ANGST_INTERVALL=5_KR | ANGST_DIREKTE_KONFRONTATION=1 | ANGST_BE=-3</t>
  </si>
  <si>
    <t>Der Charakter reagiert auf Hundeartige mit Angst. Bei direkter Konfrontation mit Hundeartige muss er sofort, danach alle 5 KR eine um 20 erschwerte Mut-Probe bestehen, um handlungsfähig zu bleiben. Um sich Hundeartige freiwillig zu nähern, die Angstquelle zu berühren oder bewusst mit ihr zu interagieren, muss er einmalig eine um 20 erschwerte Willenskraft-Probe bestehen. Ist Hundeartige zwar gegenwärtig, aber weder direkter Gegner noch Gegenstand, Wesen oder sonstiges Ziel, mit dem sich der Charakter aktuell befasst, sind keine Angst-Proben erforderlich; der Charakter erhält BE -3.</t>
  </si>
  <si>
    <t>vn_angst_hundeartige_30</t>
  </si>
  <si>
    <t>Phobie: Hundeartige</t>
  </si>
  <si>
    <t>Auswahlgruppe angst_hundeartige; maximal 1 Stufe; Angstwert 30; direkte Konfrontation: sofort, danach jede KR; bloße Gegenwart: BE -5.</t>
  </si>
  <si>
    <t>EXKLUSIV_ANGST=angst_hundeartige | ANGST_INTERVALL=1_KR | ANGST_DIREKTE_KONFRONTATION=1 | ANGST_BE=-5</t>
  </si>
  <si>
    <t>Der Charakter leidet unter einer Phobie gegenüber Hundeartige. Bei direkter Konfrontation mit Hundeartige muss er sofort, danach jede KR eine um 30 erschwerte Mut-Probe bestehen, um handlungsfähig zu bleiben. Um sich Hundeartige freiwillig zu nähern, die Angstquelle zu berühren oder bewusst mit ihr zu interagieren, muss er einmalig eine um 30 erschwerte Willenskraft-Probe bestehen. Ist Hundeartige zwar gegenwärtig, aber weder direkter Gegner noch Gegenstand, Wesen oder sonstiges Ziel, mit dem sich der Charakter aktuell befasst, sind keine Angst-Proben erforderlich; der Charakter erhält BE -5.</t>
  </si>
  <si>
    <t>vn_angst_hunger_5</t>
  </si>
  <si>
    <t>Unbehagen: Hunger</t>
  </si>
  <si>
    <t>Auswahlgruppe angst_hunger; maximal 1 Stufe; Angstwert 5; direkte Konfrontation: einmal pro Situation; bloße Gegenwart: BE 0.</t>
  </si>
  <si>
    <t>Angst: Hunger</t>
  </si>
  <si>
    <t>EXKLUSIV_ANGST=angst_hunger | ANGST_INTERVALL=SITUATION | ANGST_DIREKTE_KONFRONTATION=1 | ANGST_BE=0</t>
  </si>
  <si>
    <t>Der Charakter reagiert auf Hunger mit Unbehagen. Bei direkter Konfrontation mit Hunger muss er einmal pro Situation eine um 5 erschwerte Mut-Probe bestehen, um handlungsfähig zu bleiben. Um sich Hunger freiwillig zu nähern, die Angstquelle zu berühren oder bewusst mit ihr zu interagieren, muss er einmalig eine um 5 erschwerte Willenskraft-Probe bestehen.</t>
  </si>
  <si>
    <t>vn_angst_hunger_10</t>
  </si>
  <si>
    <t>Nervosität: Hunger</t>
  </si>
  <si>
    <t>Auswahlgruppe angst_hunger; maximal 1 Stufe; Angstwert 10; direkte Konfrontation: bei jeder erneuten direkten Konfrontation; bloße Gegenwart: BE -1.</t>
  </si>
  <si>
    <t>EXKLUSIV_ANGST=angst_hunger | ANGST_INTERVALL=NEUE_KONFRONTATION | ANGST_DIREKTE_KONFRONTATION=1 | ANGST_BE=-1</t>
  </si>
  <si>
    <t>Der Charakter reagiert auf Hunger mit Nervosität. Bei direkter Konfrontation mit Hunger muss er bei jeder erneuten direkten Konfrontation eine um 10 erschwerte Mut-Probe bestehen, um handlungsfähig zu bleiben. Um sich Hunger freiwillig zu nähern, die Angstquelle zu berühren oder bewusst mit ihr zu interagieren, muss er einmalig eine um 10 erschwerte Willenskraft-Probe bestehen. Ist Hunger zwar gegenwärtig, aber weder direkter Gegner noch Gegenstand, Wesen oder sonstiges Ziel, mit dem sich der Charakter aktuell befasst, sind keine Angst-Proben erforderlich; der Charakter erhält BE -1.</t>
  </si>
  <si>
    <t>vn_angst_hunger_15</t>
  </si>
  <si>
    <t>Furcht: Hunger</t>
  </si>
  <si>
    <t>Auswahlgruppe angst_hunger; maximal 1 Stufe; Angstwert 15; direkte Konfrontation: sofort, danach alle 10 KR; bloße Gegenwart: BE -2.</t>
  </si>
  <si>
    <t>EXKLUSIV_ANGST=angst_hunger | ANGST_INTERVALL=10_KR | ANGST_DIREKTE_KONFRONTATION=1 | ANGST_BE=-2</t>
  </si>
  <si>
    <t>Der Charakter reagiert auf Hunger mit Furcht. Bei direkter Konfrontation mit Hunger muss er sofort, danach alle 10 KR eine um 15 erschwerte Mut-Probe bestehen, um handlungsfähig zu bleiben. Um sich Hunger freiwillig zu nähern, die Angstquelle zu berühren oder bewusst mit ihr zu interagieren, muss er einmalig eine um 15 erschwerte Willenskraft-Probe bestehen. Ist Hunger zwar gegenwärtig, aber weder direkter Gegner noch Gegenstand, Wesen oder sonstiges Ziel, mit dem sich der Charakter aktuell befasst, sind keine Angst-Proben erforderlich; der Charakter erhält BE -2.</t>
  </si>
  <si>
    <t>vn_angst_hunger_20</t>
  </si>
  <si>
    <t>Auswahlgruppe angst_hunger; maximal 1 Stufe; Angstwert 20; direkte Konfrontation: sofort, danach alle 5 KR; bloße Gegenwart: BE -3.</t>
  </si>
  <si>
    <t>EXKLUSIV_ANGST=angst_hunger | ANGST_INTERVALL=5_KR | ANGST_DIREKTE_KONFRONTATION=1 | ANGST_BE=-3</t>
  </si>
  <si>
    <t>Der Charakter reagiert auf Hunger mit Angst. Bei direkter Konfrontation mit Hunger muss er sofort, danach alle 5 KR eine um 20 erschwerte Mut-Probe bestehen, um handlungsfähig zu bleiben. Um sich Hunger freiwillig zu nähern, die Angstquelle zu berühren oder bewusst mit ihr zu interagieren, muss er einmalig eine um 20 erschwerte Willenskraft-Probe bestehen. Ist Hunger zwar gegenwärtig, aber weder direkter Gegner noch Gegenstand, Wesen oder sonstiges Ziel, mit dem sich der Charakter aktuell befasst, sind keine Angst-Proben erforderlich; der Charakter erhält BE -3.</t>
  </si>
  <si>
    <t>vn_angst_hunger_30</t>
  </si>
  <si>
    <t>Phobie: Hunger</t>
  </si>
  <si>
    <t>Auswahlgruppe angst_hunger; maximal 1 Stufe; Angstwert 30; direkte Konfrontation: sofort, danach jede KR; bloße Gegenwart: BE -5.</t>
  </si>
  <si>
    <t>EXKLUSIV_ANGST=angst_hunger | ANGST_INTERVALL=1_KR | ANGST_DIREKTE_KONFRONTATION=1 | ANGST_BE=-5</t>
  </si>
  <si>
    <t>Der Charakter leidet unter einer Phobie gegenüber Hunger. Bei direkter Konfrontation mit Hunger muss er sofort, danach jede KR eine um 30 erschwerte Mut-Probe bestehen, um handlungsfähig zu bleiben. Um sich Hunger freiwillig zu nähern, die Angstquelle zu berühren oder bewusst mit ihr zu interagieren, muss er einmalig eine um 30 erschwerte Willenskraft-Probe bestehen. Ist Hunger zwar gegenwärtig, aber weder direkter Gegner noch Gegenstand, Wesen oder sonstiges Ziel, mit dem sich der Charakter aktuell befasst, sind keine Angst-Proben erforderlich; der Charakter erhält BE -5.</t>
  </si>
  <si>
    <t>vn_angst_laecherlichkeit_5</t>
  </si>
  <si>
    <t>Unbehagen: Lächerlichkeit</t>
  </si>
  <si>
    <t>Auswahlgruppe angst_laecherlichkeit; maximal 1 Stufe; Angstwert 5; direkte Konfrontation: einmal pro Situation; bloße Gegenwart: BE 0.</t>
  </si>
  <si>
    <t>Angst: Lächerlichkeit</t>
  </si>
  <si>
    <t>EXKLUSIV_ANGST=angst_laecherlichkeit | ANGST_INTERVALL=SITUATION | ANGST_DIREKTE_KONFRONTATION=1 | ANGST_BE=0</t>
  </si>
  <si>
    <t>Der Charakter reagiert auf Lächerlichkeit mit Unbehagen. Bei direkter Konfrontation mit Lächerlichkeit muss er einmal pro Situation eine um 5 erschwerte Mut-Probe bestehen, um handlungsfähig zu bleiben. Um sich Lächerlichkeit freiwillig zu nähern, die Angstquelle zu berühren oder bewusst mit ihr zu interagieren, muss er einmalig eine um 5 erschwerte Willenskraft-Probe bestehen.</t>
  </si>
  <si>
    <t>vn_angst_laecherlichkeit_10</t>
  </si>
  <si>
    <t>Nervosität: Lächerlichkeit</t>
  </si>
  <si>
    <t>Auswahlgruppe angst_laecherlichkeit; maximal 1 Stufe; Angstwert 10; direkte Konfrontation: bei jeder erneuten direkten Konfrontation; bloße Gegenwart: BE -1.</t>
  </si>
  <si>
    <t>EXKLUSIV_ANGST=angst_laecherlichkeit | ANGST_INTERVALL=NEUE_KONFRONTATION | ANGST_DIREKTE_KONFRONTATION=1 | ANGST_BE=-1</t>
  </si>
  <si>
    <t>Der Charakter reagiert auf Lächerlichkeit mit Nervosität. Bei direkter Konfrontation mit Lächerlichkeit muss er bei jeder erneuten direkten Konfrontation eine um 10 erschwerte Mut-Probe bestehen, um handlungsfähig zu bleiben. Um sich Lächerlichkeit freiwillig zu nähern, die Angstquelle zu berühren oder bewusst mit ihr zu interagieren, muss er einmalig eine um 10 erschwerte Willenskraft-Probe bestehen. Ist Lächerlichkeit zwar gegenwärtig, aber weder direkter Gegner noch Gegenstand, Wesen oder sonstiges Ziel, mit dem sich der Charakter aktuell befasst, sind keine Angst-Proben erforderlich; der Charakter erhält BE -1.</t>
  </si>
  <si>
    <t>vn_angst_laecherlichkeit_15</t>
  </si>
  <si>
    <t>Furcht: Lächerlichkeit</t>
  </si>
  <si>
    <t>Auswahlgruppe angst_laecherlichkeit; maximal 1 Stufe; Angstwert 15; direkte Konfrontation: sofort, danach alle 10 KR; bloße Gegenwart: BE -2.</t>
  </si>
  <si>
    <t>EXKLUSIV_ANGST=angst_laecherlichkeit | ANGST_INTERVALL=10_KR | ANGST_DIREKTE_KONFRONTATION=1 | ANGST_BE=-2</t>
  </si>
  <si>
    <t>Der Charakter reagiert auf Lächerlichkeit mit Furcht. Bei direkter Konfrontation mit Lächerlichkeit muss er sofort, danach alle 10 KR eine um 15 erschwerte Mut-Probe bestehen, um handlungsfähig zu bleiben. Um sich Lächerlichkeit freiwillig zu nähern, die Angstquelle zu berühren oder bewusst mit ihr zu interagieren, muss er einmalig eine um 15 erschwerte Willenskraft-Probe bestehen. Ist Lächerlichkeit zwar gegenwärtig, aber weder direkter Gegner noch Gegenstand, Wesen oder sonstiges Ziel, mit dem sich der Charakter aktuell befasst, sind keine Angst-Proben erforderlich; der Charakter erhält BE -2.</t>
  </si>
  <si>
    <t>vn_angst_laecherlichkeit_20</t>
  </si>
  <si>
    <t>Auswahlgruppe angst_laecherlichkeit; maximal 1 Stufe; Angstwert 20; direkte Konfrontation: sofort, danach alle 5 KR; bloße Gegenwart: BE -3.</t>
  </si>
  <si>
    <t>EXKLUSIV_ANGST=angst_laecherlichkeit | ANGST_INTERVALL=5_KR | ANGST_DIREKTE_KONFRONTATION=1 | ANGST_BE=-3</t>
  </si>
  <si>
    <t>Der Charakter reagiert auf Lächerlichkeit mit Angst. Bei direkter Konfrontation mit Lächerlichkeit muss er sofort, danach alle 5 KR eine um 20 erschwerte Mut-Probe bestehen, um handlungsfähig zu bleiben. Um sich Lächerlichkeit freiwillig zu nähern, die Angstquelle zu berühren oder bewusst mit ihr zu interagieren, muss er einmalig eine um 20 erschwerte Willenskraft-Probe bestehen. Ist Lächerlichkeit zwar gegenwärtig, aber weder direkter Gegner noch Gegenstand, Wesen oder sonstiges Ziel, mit dem sich der Charakter aktuell befasst, sind keine Angst-Proben erforderlich; der Charakter erhält BE -3.</t>
  </si>
  <si>
    <t>vn_angst_laecherlichkeit_30</t>
  </si>
  <si>
    <t>Phobie: Lächerlichkeit</t>
  </si>
  <si>
    <t>Auswahlgruppe angst_laecherlichkeit; maximal 1 Stufe; Angstwert 30; direkte Konfrontation: sofort, danach jede KR; bloße Gegenwart: BE -5.</t>
  </si>
  <si>
    <t>EXKLUSIV_ANGST=angst_laecherlichkeit | ANGST_INTERVALL=1_KR | ANGST_DIREKTE_KONFRONTATION=1 | ANGST_BE=-5</t>
  </si>
  <si>
    <t>Der Charakter leidet unter einer Phobie gegenüber Lächerlichkeit. Bei direkter Konfrontation mit Lächerlichkeit muss er sofort, danach jede KR eine um 30 erschwerte Mut-Probe bestehen, um handlungsfähig zu bleiben. Um sich Lächerlichkeit freiwillig zu nähern, die Angstquelle zu berühren oder bewusst mit ihr zu interagieren, muss er einmalig eine um 30 erschwerte Willenskraft-Probe bestehen. Ist Lächerlichkeit zwar gegenwärtig, aber weder direkter Gegner noch Gegenstand, Wesen oder sonstiges Ziel, mit dem sich der Charakter aktuell befasst, sind keine Angst-Proben erforderlich; der Charakter erhält BE -5.</t>
  </si>
  <si>
    <t>vn_angst_magische_gegenstaende_5</t>
  </si>
  <si>
    <t>Unbehagen: Magische Gegenstände</t>
  </si>
  <si>
    <t>Auswahlgruppe angst_magische_gegenstaende; maximal 1 Stufe; Angstwert 5; direkte Konfrontation: einmal pro Situation; bloße Gegenwart: BE 0.</t>
  </si>
  <si>
    <t>Angst: Magische Gegenstände</t>
  </si>
  <si>
    <t>EXKLUSIV_ANGST=angst_magische_gegenstaende | ANGST_INTERVALL=SITUATION | ANGST_DIREKTE_KONFRONTATION=1 | ANGST_BE=0</t>
  </si>
  <si>
    <t>Der Charakter reagiert auf Magische Gegenstände mit Unbehagen. Bei direkter Konfrontation mit Magische Gegenstände muss er einmal pro Situation eine um 5 erschwerte Mut-Probe bestehen, um handlungsfähig zu bleiben. Um sich Magische Gegenstände freiwillig zu nähern, die Angstquelle zu berühren oder bewusst mit ihr zu interagieren, muss er einmalig eine um 5 erschwerte Willenskraft-Probe bestehen.</t>
  </si>
  <si>
    <t>vn_angst_magische_gegenstaende_10</t>
  </si>
  <si>
    <t>Nervosität: Magische Gegenstände</t>
  </si>
  <si>
    <t>Auswahlgruppe angst_magische_gegenstaende; maximal 1 Stufe; Angstwert 10; direkte Konfrontation: bei jeder erneuten direkten Konfrontation; bloße Gegenwart: BE -1.</t>
  </si>
  <si>
    <t>EXKLUSIV_ANGST=angst_magische_gegenstaende | ANGST_INTERVALL=NEUE_KONFRONTATION | ANGST_DIREKTE_KONFRONTATION=1 | ANGST_BE=-1</t>
  </si>
  <si>
    <t>Der Charakter reagiert auf Magische Gegenstände mit Nervosität. Bei direkter Konfrontation mit Magische Gegenstände muss er bei jeder erneuten direkten Konfrontation eine um 10 erschwerte Mut-Probe bestehen, um handlungsfähig zu bleiben. Um sich Magische Gegenstände freiwillig zu nähern, die Angstquelle zu berühren oder bewusst mit ihr zu interagieren, muss er einmalig eine um 10 erschwerte Willenskraft-Probe bestehen. Ist Magische Gegenstände zwar gegenwärtig, aber weder direkter Gegner noch Gegenstand, Wesen oder sonstiges Ziel, mit dem sich der Charakter aktuell befasst, sind keine Angst-Proben erforderlich; der Charakter erhält BE -1.</t>
  </si>
  <si>
    <t>vn_angst_magische_gegenstaende_15</t>
  </si>
  <si>
    <t>Furcht: Magische Gegenstände</t>
  </si>
  <si>
    <t>Auswahlgruppe angst_magische_gegenstaende; maximal 1 Stufe; Angstwert 15; direkte Konfrontation: sofort, danach alle 10 KR; bloße Gegenwart: BE -2.</t>
  </si>
  <si>
    <t>EXKLUSIV_ANGST=angst_magische_gegenstaende | ANGST_INTERVALL=10_KR | ANGST_DIREKTE_KONFRONTATION=1 | ANGST_BE=-2</t>
  </si>
  <si>
    <t>Der Charakter reagiert auf Magische Gegenstände mit Furcht. Bei direkter Konfrontation mit Magische Gegenstände muss er sofort, danach alle 10 KR eine um 15 erschwerte Mut-Probe bestehen, um handlungsfähig zu bleiben. Um sich Magische Gegenstände freiwillig zu nähern, die Angstquelle zu berühren oder bewusst mit ihr zu interagieren, muss er einmalig eine um 15 erschwerte Willenskraft-Probe bestehen. Ist Magische Gegenstände zwar gegenwärtig, aber weder direkter Gegner noch Gegenstand, Wesen oder sonstiges Ziel, mit dem sich der Charakter aktuell befasst, sind keine Angst-Proben erforderlich; der Charakter erhält BE -2.</t>
  </si>
  <si>
    <t>vn_angst_magische_gegenstaende_20</t>
  </si>
  <si>
    <t>Auswahlgruppe angst_magische_gegenstaende; maximal 1 Stufe; Angstwert 20; direkte Konfrontation: sofort, danach alle 5 KR; bloße Gegenwart: BE -3.</t>
  </si>
  <si>
    <t>EXKLUSIV_ANGST=angst_magische_gegenstaende | ANGST_INTERVALL=5_KR | ANGST_DIREKTE_KONFRONTATION=1 | ANGST_BE=-3</t>
  </si>
  <si>
    <t>Der Charakter reagiert auf Magische Gegenstände mit Angst. Bei direkter Konfrontation mit Magische Gegenstände muss er sofort, danach alle 5 KR eine um 20 erschwerte Mut-Probe bestehen, um handlungsfähig zu bleiben. Um sich Magische Gegenstände freiwillig zu nähern, die Angstquelle zu berühren oder bewusst mit ihr zu interagieren, muss er einmalig eine um 20 erschwerte Willenskraft-Probe bestehen. Ist Magische Gegenstände zwar gegenwärtig, aber weder direkter Gegner noch Gegenstand, Wesen oder sonstiges Ziel, mit dem sich der Charakter aktuell befasst, sind keine Angst-Proben erforderlich; der Charakter erhält BE -3.</t>
  </si>
  <si>
    <t>vn_angst_magische_gegenstaende_30</t>
  </si>
  <si>
    <t>Phobie: Magische Gegenstände</t>
  </si>
  <si>
    <t>Auswahlgruppe angst_magische_gegenstaende; maximal 1 Stufe; Angstwert 30; direkte Konfrontation: sofort, danach jede KR; bloße Gegenwart: BE -5.</t>
  </si>
  <si>
    <t>EXKLUSIV_ANGST=angst_magische_gegenstaende | ANGST_INTERVALL=1_KR | ANGST_DIREKTE_KONFRONTATION=1 | ANGST_BE=-5</t>
  </si>
  <si>
    <t>Der Charakter leidet unter einer Phobie gegenüber Magische Gegenstände. Bei direkter Konfrontation mit Magische Gegenstände muss er sofort, danach jede KR eine um 30 erschwerte Mut-Probe bestehen, um handlungsfähig zu bleiben. Um sich Magische Gegenstände freiwillig zu nähern, die Angstquelle zu berühren oder bewusst mit ihr zu interagieren, muss er einmalig eine um 30 erschwerte Willenskraft-Probe bestehen. Ist Magische Gegenstände zwar gegenwärtig, aber weder direkter Gegner noch Gegenstand, Wesen oder sonstiges Ziel, mit dem sich der Charakter aktuell befasst, sind keine Angst-Proben erforderlich; der Charakter erhält BE -5.</t>
  </si>
  <si>
    <t>vn_angst_magische_wesen_5</t>
  </si>
  <si>
    <t>Unbehagen: Magische Wesen</t>
  </si>
  <si>
    <t>Auswahlgruppe angst_magische_wesen; maximal 1 Stufe; Angstwert 5; direkte Konfrontation: einmal pro Situation; bloße Gegenwart: BE 0.</t>
  </si>
  <si>
    <t>Angst: Magische Wesen</t>
  </si>
  <si>
    <t>EXKLUSIV_ANGST=angst_magische_wesen | ANGST_INTERVALL=SITUATION | ANGST_DIREKTE_KONFRONTATION=1 | ANGST_BE=0</t>
  </si>
  <si>
    <t>Der Charakter reagiert auf Magische Wesen mit Unbehagen. Bei direkter Konfrontation mit Magische Wesen muss er einmal pro Situation eine um 5 erschwerte Mut-Probe bestehen, um handlungsfähig zu bleiben. Um sich Magische Wesen freiwillig zu nähern, die Angstquelle zu berühren oder bewusst mit ihr zu interagieren, muss er einmalig eine um 5 erschwerte Willenskraft-Probe bestehen.</t>
  </si>
  <si>
    <t>vn_angst_magische_wesen_10</t>
  </si>
  <si>
    <t>Nervosität: Magische Wesen</t>
  </si>
  <si>
    <t>Auswahlgruppe angst_magische_wesen; maximal 1 Stufe; Angstwert 10; direkte Konfrontation: bei jeder erneuten direkten Konfrontation; bloße Gegenwart: BE -1.</t>
  </si>
  <si>
    <t>EXKLUSIV_ANGST=angst_magische_wesen | ANGST_INTERVALL=NEUE_KONFRONTATION | ANGST_DIREKTE_KONFRONTATION=1 | ANGST_BE=-1</t>
  </si>
  <si>
    <t>Der Charakter reagiert auf Magische Wesen mit Nervosität. Bei direkter Konfrontation mit Magische Wesen muss er bei jeder erneuten direkten Konfrontation eine um 10 erschwerte Mut-Probe bestehen, um handlungsfähig zu bleiben. Um sich Magische Wesen freiwillig zu nähern, die Angstquelle zu berühren oder bewusst mit ihr zu interagieren, muss er einmalig eine um 10 erschwerte Willenskraft-Probe bestehen. Ist Magische Wesen zwar gegenwärtig, aber weder direkter Gegner noch Gegenstand, Wesen oder sonstiges Ziel, mit dem sich der Charakter aktuell befasst, sind keine Angst-Proben erforderlich; der Charakter erhält BE -1.</t>
  </si>
  <si>
    <t>vn_angst_magische_wesen_15</t>
  </si>
  <si>
    <t>Furcht: Magische Wesen</t>
  </si>
  <si>
    <t>Auswahlgruppe angst_magische_wesen; maximal 1 Stufe; Angstwert 15; direkte Konfrontation: sofort, danach alle 10 KR; bloße Gegenwart: BE -2.</t>
  </si>
  <si>
    <t>EXKLUSIV_ANGST=angst_magische_wesen | ANGST_INTERVALL=10_KR | ANGST_DIREKTE_KONFRONTATION=1 | ANGST_BE=-2</t>
  </si>
  <si>
    <t>Der Charakter reagiert auf Magische Wesen mit Furcht. Bei direkter Konfrontation mit Magische Wesen muss er sofort, danach alle 10 KR eine um 15 erschwerte Mut-Probe bestehen, um handlungsfähig zu bleiben. Um sich Magische Wesen freiwillig zu nähern, die Angstquelle zu berühren oder bewusst mit ihr zu interagieren, muss er einmalig eine um 15 erschwerte Willenskraft-Probe bestehen. Ist Magische Wesen zwar gegenwärtig, aber weder direkter Gegner noch Gegenstand, Wesen oder sonstiges Ziel, mit dem sich der Charakter aktuell befasst, sind keine Angst-Proben erforderlich; der Charakter erhält BE -2.</t>
  </si>
  <si>
    <t>vn_angst_magische_wesen_20</t>
  </si>
  <si>
    <t>Auswahlgruppe angst_magische_wesen; maximal 1 Stufe; Angstwert 20; direkte Konfrontation: sofort, danach alle 5 KR; bloße Gegenwart: BE -3.</t>
  </si>
  <si>
    <t>EXKLUSIV_ANGST=angst_magische_wesen | ANGST_INTERVALL=5_KR | ANGST_DIREKTE_KONFRONTATION=1 | ANGST_BE=-3</t>
  </si>
  <si>
    <t>Der Charakter reagiert auf Magische Wesen mit Angst. Bei direkter Konfrontation mit Magische Wesen muss er sofort, danach alle 5 KR eine um 20 erschwerte Mut-Probe bestehen, um handlungsfähig zu bleiben. Um sich Magische Wesen freiwillig zu nähern, die Angstquelle zu berühren oder bewusst mit ihr zu interagieren, muss er einmalig eine um 20 erschwerte Willenskraft-Probe bestehen. Ist Magische Wesen zwar gegenwärtig, aber weder direkter Gegner noch Gegenstand, Wesen oder sonstiges Ziel, mit dem sich der Charakter aktuell befasst, sind keine Angst-Proben erforderlich; der Charakter erhält BE -3.</t>
  </si>
  <si>
    <t>vn_angst_magische_wesen_30</t>
  </si>
  <si>
    <t>Phobie: Magische Wesen</t>
  </si>
  <si>
    <t>Auswahlgruppe angst_magische_wesen; maximal 1 Stufe; Angstwert 30; direkte Konfrontation: sofort, danach jede KR; bloße Gegenwart: BE -5.</t>
  </si>
  <si>
    <t>EXKLUSIV_ANGST=angst_magische_wesen | ANGST_INTERVALL=1_KR | ANGST_DIREKTE_KONFRONTATION=1 | ANGST_BE=-5</t>
  </si>
  <si>
    <t>Der Charakter leidet unter einer Phobie gegenüber Magische Wesen. Bei direkter Konfrontation mit Magische Wesen muss er sofort, danach jede KR eine um 30 erschwerte Mut-Probe bestehen, um handlungsfähig zu bleiben. Um sich Magische Wesen freiwillig zu nähern, die Angstquelle zu berühren oder bewusst mit ihr zu interagieren, muss er einmalig eine um 30 erschwerte Willenskraft-Probe bestehen. Ist Magische Wesen zwar gegenwärtig, aber weder direkter Gegner noch Gegenstand, Wesen oder sonstiges Ziel, mit dem sich der Charakter aktuell befasst, sind keine Angst-Proben erforderlich; der Charakter erhält BE -5.</t>
  </si>
  <si>
    <t>vn_angst_meer_5</t>
  </si>
  <si>
    <t>Unbehagen: Meer</t>
  </si>
  <si>
    <t>Auswahlgruppe angst_meer; maximal 1 Stufe; Angstwert 5; direkte Konfrontation: einmal pro Situation; bloße Gegenwart: BE 0.</t>
  </si>
  <si>
    <t>Angst: Meer</t>
  </si>
  <si>
    <t>EXKLUSIV_ANGST=angst_meer | ANGST_INTERVALL=SITUATION | ANGST_DIREKTE_KONFRONTATION=1 | ANGST_BE=0</t>
  </si>
  <si>
    <t>Der Charakter reagiert auf Meer mit Unbehagen. Bei direkter Konfrontation mit Meer muss er einmal pro Situation eine um 5 erschwerte Mut-Probe bestehen, um handlungsfähig zu bleiben. Um sich Meer freiwillig zu nähern, die Angstquelle zu berühren oder bewusst mit ihr zu interagieren, muss er einmalig eine um 5 erschwerte Willenskraft-Probe bestehen.</t>
  </si>
  <si>
    <t>vn_angst_meer_10</t>
  </si>
  <si>
    <t>Nervosität: Meer</t>
  </si>
  <si>
    <t>Auswahlgruppe angst_meer; maximal 1 Stufe; Angstwert 10; direkte Konfrontation: bei jeder erneuten direkten Konfrontation; bloße Gegenwart: BE -1.</t>
  </si>
  <si>
    <t>EXKLUSIV_ANGST=angst_meer | ANGST_INTERVALL=NEUE_KONFRONTATION | ANGST_DIREKTE_KONFRONTATION=1 | ANGST_BE=-1</t>
  </si>
  <si>
    <t>Der Charakter reagiert auf Meer mit Nervosität. Bei direkter Konfrontation mit Meer muss er bei jeder erneuten direkten Konfrontation eine um 10 erschwerte Mut-Probe bestehen, um handlungsfähig zu bleiben. Um sich Meer freiwillig zu nähern, die Angstquelle zu berühren oder bewusst mit ihr zu interagieren, muss er einmalig eine um 10 erschwerte Willenskraft-Probe bestehen. Ist Meer zwar gegenwärtig, aber weder direkter Gegner noch Gegenstand, Wesen oder sonstiges Ziel, mit dem sich der Charakter aktuell befasst, sind keine Angst-Proben erforderlich; der Charakter erhält BE -1.</t>
  </si>
  <si>
    <t>vn_angst_meer_15</t>
  </si>
  <si>
    <t>Furcht: Meer</t>
  </si>
  <si>
    <t>Auswahlgruppe angst_meer; maximal 1 Stufe; Angstwert 15; direkte Konfrontation: sofort, danach alle 10 KR; bloße Gegenwart: BE -2.</t>
  </si>
  <si>
    <t>EXKLUSIV_ANGST=angst_meer | ANGST_INTERVALL=10_KR | ANGST_DIREKTE_KONFRONTATION=1 | ANGST_BE=-2</t>
  </si>
  <si>
    <t>Der Charakter reagiert auf Meer mit Furcht. Bei direkter Konfrontation mit Meer muss er sofort, danach alle 10 KR eine um 15 erschwerte Mut-Probe bestehen, um handlungsfähig zu bleiben. Um sich Meer freiwillig zu nähern, die Angstquelle zu berühren oder bewusst mit ihr zu interagieren, muss er einmalig eine um 15 erschwerte Willenskraft-Probe bestehen. Ist Meer zwar gegenwärtig, aber weder direkter Gegner noch Gegenstand, Wesen oder sonstiges Ziel, mit dem sich der Charakter aktuell befasst, sind keine Angst-Proben erforderlich; der Charakter erhält BE -2.</t>
  </si>
  <si>
    <t>vn_angst_meer_20</t>
  </si>
  <si>
    <t>Auswahlgruppe angst_meer; maximal 1 Stufe; Angstwert 20; direkte Konfrontation: sofort, danach alle 5 KR; bloße Gegenwart: BE -3.</t>
  </si>
  <si>
    <t>EXKLUSIV_ANGST=angst_meer | ANGST_INTERVALL=5_KR | ANGST_DIREKTE_KONFRONTATION=1 | ANGST_BE=-3</t>
  </si>
  <si>
    <t>Der Charakter reagiert auf Meer mit Angst. Bei direkter Konfrontation mit Meer muss er sofort, danach alle 5 KR eine um 20 erschwerte Mut-Probe bestehen, um handlungsfähig zu bleiben. Um sich Meer freiwillig zu nähern, die Angstquelle zu berühren oder bewusst mit ihr zu interagieren, muss er einmalig eine um 20 erschwerte Willenskraft-Probe bestehen. Ist Meer zwar gegenwärtig, aber weder direkter Gegner noch Gegenstand, Wesen oder sonstiges Ziel, mit dem sich der Charakter aktuell befasst, sind keine Angst-Proben erforderlich; der Charakter erhält BE -3.</t>
  </si>
  <si>
    <t>vn_angst_meer_30</t>
  </si>
  <si>
    <t>Phobie: Meer</t>
  </si>
  <si>
    <t>Auswahlgruppe angst_meer; maximal 1 Stufe; Angstwert 30; direkte Konfrontation: sofort, danach jede KR; bloße Gegenwart: BE -5.</t>
  </si>
  <si>
    <t>EXKLUSIV_ANGST=angst_meer | ANGST_INTERVALL=1_KR | ANGST_DIREKTE_KONFRONTATION=1 | ANGST_BE=-5</t>
  </si>
  <si>
    <t>Der Charakter leidet unter einer Phobie gegenüber Meer. Bei direkter Konfrontation mit Meer muss er sofort, danach jede KR eine um 30 erschwerte Mut-Probe bestehen, um handlungsfähig zu bleiben. Um sich Meer freiwillig zu nähern, die Angstquelle zu berühren oder bewusst mit ihr zu interagieren, muss er einmalig eine um 30 erschwerte Willenskraft-Probe bestehen. Ist Meer zwar gegenwärtig, aber weder direkter Gegner noch Gegenstand, Wesen oder sonstiges Ziel, mit dem sich der Charakter aktuell befasst, sind keine Angst-Proben erforderlich; der Charakter erhält BE -5.</t>
  </si>
  <si>
    <t>vn_angst_raubkatzen_5</t>
  </si>
  <si>
    <t>Unbehagen: Raubkatzen</t>
  </si>
  <si>
    <t>Auswahlgruppe angst_raubkatzen; maximal 1 Stufe; Angstwert 5; direkte Konfrontation: einmal pro Situation; bloße Gegenwart: BE 0.</t>
  </si>
  <si>
    <t>Angst: Raubkatzen</t>
  </si>
  <si>
    <t>EXKLUSIV_ANGST=angst_raubkatzen | ANGST_INTERVALL=SITUATION | ANGST_DIREKTE_KONFRONTATION=1 | ANGST_BE=0</t>
  </si>
  <si>
    <t>Der Charakter reagiert auf Raubkatzen mit Unbehagen. Bei direkter Konfrontation mit Raubkatzen muss er einmal pro Situation eine um 5 erschwerte Mut-Probe bestehen, um handlungsfähig zu bleiben. Um sich Raubkatzen freiwillig zu nähern, die Angstquelle zu berühren oder bewusst mit ihr zu interagieren, muss er einmalig eine um 5 erschwerte Willenskraft-Probe bestehen.</t>
  </si>
  <si>
    <t>vn_angst_raubkatzen_10</t>
  </si>
  <si>
    <t>Nervosität: Raubkatzen</t>
  </si>
  <si>
    <t>Auswahlgruppe angst_raubkatzen; maximal 1 Stufe; Angstwert 10; direkte Konfrontation: bei jeder erneuten direkten Konfrontation; bloße Gegenwart: BE -1.</t>
  </si>
  <si>
    <t>EXKLUSIV_ANGST=angst_raubkatzen | ANGST_INTERVALL=NEUE_KONFRONTATION | ANGST_DIREKTE_KONFRONTATION=1 | ANGST_BE=-1</t>
  </si>
  <si>
    <t>Der Charakter reagiert auf Raubkatzen mit Nervosität. Bei direkter Konfrontation mit Raubkatzen muss er bei jeder erneuten direkten Konfrontation eine um 10 erschwerte Mut-Probe bestehen, um handlungsfähig zu bleiben. Um sich Raubkatzen freiwillig zu nähern, die Angstquelle zu berühren oder bewusst mit ihr zu interagieren, muss er einmalig eine um 10 erschwerte Willenskraft-Probe bestehen. Ist Raubkatzen zwar gegenwärtig, aber weder direkter Gegner noch Gegenstand, Wesen oder sonstiges Ziel, mit dem sich der Charakter aktuell befasst, sind keine Angst-Proben erforderlich; der Charakter erhält BE -1.</t>
  </si>
  <si>
    <t>vn_angst_raubkatzen_15</t>
  </si>
  <si>
    <t>Furcht: Raubkatzen</t>
  </si>
  <si>
    <t>Auswahlgruppe angst_raubkatzen; maximal 1 Stufe; Angstwert 15; direkte Konfrontation: sofort, danach alle 10 KR; bloße Gegenwart: BE -2.</t>
  </si>
  <si>
    <t>EXKLUSIV_ANGST=angst_raubkatzen | ANGST_INTERVALL=10_KR | ANGST_DIREKTE_KONFRONTATION=1 | ANGST_BE=-2</t>
  </si>
  <si>
    <t>Der Charakter reagiert auf Raubkatzen mit Furcht. Bei direkter Konfrontation mit Raubkatzen muss er sofort, danach alle 10 KR eine um 15 erschwerte Mut-Probe bestehen, um handlungsfähig zu bleiben. Um sich Raubkatzen freiwillig zu nähern, die Angstquelle zu berühren oder bewusst mit ihr zu interagieren, muss er einmalig eine um 15 erschwerte Willenskraft-Probe bestehen. Ist Raubkatzen zwar gegenwärtig, aber weder direkter Gegner noch Gegenstand, Wesen oder sonstiges Ziel, mit dem sich der Charakter aktuell befasst, sind keine Angst-Proben erforderlich; der Charakter erhält BE -2.</t>
  </si>
  <si>
    <t>vn_angst_raubkatzen_20</t>
  </si>
  <si>
    <t>Auswahlgruppe angst_raubkatzen; maximal 1 Stufe; Angstwert 20; direkte Konfrontation: sofort, danach alle 5 KR; bloße Gegenwart: BE -3.</t>
  </si>
  <si>
    <t>EXKLUSIV_ANGST=angst_raubkatzen | ANGST_INTERVALL=5_KR | ANGST_DIREKTE_KONFRONTATION=1 | ANGST_BE=-3</t>
  </si>
  <si>
    <t>Der Charakter reagiert auf Raubkatzen mit Angst. Bei direkter Konfrontation mit Raubkatzen muss er sofort, danach alle 5 KR eine um 20 erschwerte Mut-Probe bestehen, um handlungsfähig zu bleiben. Um sich Raubkatzen freiwillig zu nähern, die Angstquelle zu berühren oder bewusst mit ihr zu interagieren, muss er einmalig eine um 20 erschwerte Willenskraft-Probe bestehen. Ist Raubkatzen zwar gegenwärtig, aber weder direkter Gegner noch Gegenstand, Wesen oder sonstiges Ziel, mit dem sich der Charakter aktuell befasst, sind keine Angst-Proben erforderlich; der Charakter erhält BE -3.</t>
  </si>
  <si>
    <t>vn_angst_raubkatzen_30</t>
  </si>
  <si>
    <t>Phobie: Raubkatzen</t>
  </si>
  <si>
    <t>Auswahlgruppe angst_raubkatzen; maximal 1 Stufe; Angstwert 30; direkte Konfrontation: sofort, danach jede KR; bloße Gegenwart: BE -5.</t>
  </si>
  <si>
    <t>EXKLUSIV_ANGST=angst_raubkatzen | ANGST_INTERVALL=1_KR | ANGST_DIREKTE_KONFRONTATION=1 | ANGST_BE=-5</t>
  </si>
  <si>
    <t>Der Charakter leidet unter einer Phobie gegenüber Raubkatzen. Bei direkter Konfrontation mit Raubkatzen muss er sofort, danach jede KR eine um 30 erschwerte Mut-Probe bestehen, um handlungsfähig zu bleiben. Um sich Raubkatzen freiwillig zu nähern, die Angstquelle zu berühren oder bewusst mit ihr zu interagieren, muss er einmalig eine um 30 erschwerte Willenskraft-Probe bestehen. Ist Raubkatzen zwar gegenwärtig, aber weder direkter Gegner noch Gegenstand, Wesen oder sonstiges Ziel, mit dem sich der Charakter aktuell befasst, sind keine Angst-Proben erforderlich; der Charakter erhält BE -5.</t>
  </si>
  <si>
    <t>vn_angst_schmutz_5</t>
  </si>
  <si>
    <t>Unbehagen: Schmutz</t>
  </si>
  <si>
    <t>Auswahlgruppe angst_schmutz; maximal 1 Stufe; Angstwert 5; direkte Konfrontation: einmal pro Situation; bloße Gegenwart: BE 0.</t>
  </si>
  <si>
    <t>Angst: Schmutz</t>
  </si>
  <si>
    <t>EXKLUSIV_ANGST=angst_schmutz | ANGST_INTERVALL=SITUATION | ANGST_DIREKTE_KONFRONTATION=1 | ANGST_BE=0</t>
  </si>
  <si>
    <t>Der Charakter reagiert auf Schmutz mit Unbehagen. Bei direkter Konfrontation mit Schmutz muss er einmal pro Situation eine um 5 erschwerte Mut-Probe bestehen, um handlungsfähig zu bleiben. Um sich Schmutz freiwillig zu nähern, die Angstquelle zu berühren oder bewusst mit ihr zu interagieren, muss er einmalig eine um 5 erschwerte Willenskraft-Probe bestehen.</t>
  </si>
  <si>
    <t>vn_angst_schmutz_10</t>
  </si>
  <si>
    <t>Nervosität: Schmutz</t>
  </si>
  <si>
    <t>Auswahlgruppe angst_schmutz; maximal 1 Stufe; Angstwert 10; direkte Konfrontation: bei jeder erneuten direkten Konfrontation; bloße Gegenwart: BE -1.</t>
  </si>
  <si>
    <t>EXKLUSIV_ANGST=angst_schmutz | ANGST_INTERVALL=NEUE_KONFRONTATION | ANGST_DIREKTE_KONFRONTATION=1 | ANGST_BE=-1</t>
  </si>
  <si>
    <t>Der Charakter reagiert auf Schmutz mit Nervosität. Bei direkter Konfrontation mit Schmutz muss er bei jeder erneuten direkten Konfrontation eine um 10 erschwerte Mut-Probe bestehen, um handlungsfähig zu bleiben. Um sich Schmutz freiwillig zu nähern, die Angstquelle zu berühren oder bewusst mit ihr zu interagieren, muss er einmalig eine um 10 erschwerte Willenskraft-Probe bestehen. Ist Schmutz zwar gegenwärtig, aber weder direkter Gegner noch Gegenstand, Wesen oder sonstiges Ziel, mit dem sich der Charakter aktuell befasst, sind keine Angst-Proben erforderlich; der Charakter erhält BE -1.</t>
  </si>
  <si>
    <t>vn_angst_schmutz_15</t>
  </si>
  <si>
    <t>Furcht: Schmutz</t>
  </si>
  <si>
    <t>Auswahlgruppe angst_schmutz; maximal 1 Stufe; Angstwert 15; direkte Konfrontation: sofort, danach alle 10 KR; bloße Gegenwart: BE -2.</t>
  </si>
  <si>
    <t>EXKLUSIV_ANGST=angst_schmutz | ANGST_INTERVALL=10_KR | ANGST_DIREKTE_KONFRONTATION=1 | ANGST_BE=-2</t>
  </si>
  <si>
    <t>Der Charakter reagiert auf Schmutz mit Furcht. Bei direkter Konfrontation mit Schmutz muss er sofort, danach alle 10 KR eine um 15 erschwerte Mut-Probe bestehen, um handlungsfähig zu bleiben. Um sich Schmutz freiwillig zu nähern, die Angstquelle zu berühren oder bewusst mit ihr zu interagieren, muss er einmalig eine um 15 erschwerte Willenskraft-Probe bestehen. Ist Schmutz zwar gegenwärtig, aber weder direkter Gegner noch Gegenstand, Wesen oder sonstiges Ziel, mit dem sich der Charakter aktuell befasst, sind keine Angst-Proben erforderlich; der Charakter erhält BE -2.</t>
  </si>
  <si>
    <t>vn_angst_schmutz_20</t>
  </si>
  <si>
    <t>Auswahlgruppe angst_schmutz; maximal 1 Stufe; Angstwert 20; direkte Konfrontation: sofort, danach alle 5 KR; bloße Gegenwart: BE -3.</t>
  </si>
  <si>
    <t>EXKLUSIV_ANGST=angst_schmutz | ANGST_INTERVALL=5_KR | ANGST_DIREKTE_KONFRONTATION=1 | ANGST_BE=-3</t>
  </si>
  <si>
    <t>Der Charakter reagiert auf Schmutz mit Angst. Bei direkter Konfrontation mit Schmutz muss er sofort, danach alle 5 KR eine um 20 erschwerte Mut-Probe bestehen, um handlungsfähig zu bleiben. Um sich Schmutz freiwillig zu nähern, die Angstquelle zu berühren oder bewusst mit ihr zu interagieren, muss er einmalig eine um 20 erschwerte Willenskraft-Probe bestehen. Ist Schmutz zwar gegenwärtig, aber weder direkter Gegner noch Gegenstand, Wesen oder sonstiges Ziel, mit dem sich der Charakter aktuell befasst, sind keine Angst-Proben erforderlich; der Charakter erhält BE -3.</t>
  </si>
  <si>
    <t>vn_angst_schmutz_30</t>
  </si>
  <si>
    <t>Phobie: Schmutz</t>
  </si>
  <si>
    <t>Auswahlgruppe angst_schmutz; maximal 1 Stufe; Angstwert 30; direkte Konfrontation: sofort, danach jede KR; bloße Gegenwart: BE -5.</t>
  </si>
  <si>
    <t>EXKLUSIV_ANGST=angst_schmutz | ANGST_INTERVALL=1_KR | ANGST_DIREKTE_KONFRONTATION=1 | ANGST_BE=-5</t>
  </si>
  <si>
    <t>Der Charakter leidet unter einer Phobie gegenüber Schmutz. Bei direkter Konfrontation mit Schmutz muss er sofort, danach jede KR eine um 30 erschwerte Mut-Probe bestehen, um handlungsfähig zu bleiben. Um sich Schmutz freiwillig zu nähern, die Angstquelle zu berühren oder bewusst mit ihr zu interagieren, muss er einmalig eine um 30 erschwerte Willenskraft-Probe bestehen. Ist Schmutz zwar gegenwärtig, aber weder direkter Gegner noch Gegenstand, Wesen oder sonstiges Ziel, mit dem sich der Charakter aktuell befasst, sind keine Angst-Proben erforderlich; der Charakter erhält BE -5.</t>
  </si>
  <si>
    <t>vn_angst_tiere_5</t>
  </si>
  <si>
    <t>Unbehagen: Tiere</t>
  </si>
  <si>
    <t>Auswahlgruppe angst_tiere; maximal 1 Stufe; Angstwert 5; direkte Konfrontation: einmal pro Situation; bloße Gegenwart: BE 0.</t>
  </si>
  <si>
    <t>Angst: Tiere</t>
  </si>
  <si>
    <t>EXKLUSIV_ANGST=angst_tiere | ANGST_INTERVALL=SITUATION | ANGST_DIREKTE_KONFRONTATION=1 | ANGST_BE=0</t>
  </si>
  <si>
    <t>Der Charakter reagiert auf Tiere mit Unbehagen. Bei direkter Konfrontation mit Tiere muss er einmal pro Situation eine um 5 erschwerte Mut-Probe bestehen, um handlungsfähig zu bleiben. Um sich Tiere freiwillig zu nähern, die Angstquelle zu berühren oder bewusst mit ihr zu interagieren, muss er einmalig eine um 5 erschwerte Willenskraft-Probe bestehen.</t>
  </si>
  <si>
    <t>vn_angst_tiere_10</t>
  </si>
  <si>
    <t>Nervosität: Tiere</t>
  </si>
  <si>
    <t>Auswahlgruppe angst_tiere; maximal 1 Stufe; Angstwert 10; direkte Konfrontation: bei jeder erneuten direkten Konfrontation; bloße Gegenwart: BE -1.</t>
  </si>
  <si>
    <t>EXKLUSIV_ANGST=angst_tiere | ANGST_INTERVALL=NEUE_KONFRONTATION | ANGST_DIREKTE_KONFRONTATION=1 | ANGST_BE=-1</t>
  </si>
  <si>
    <t>Der Charakter reagiert auf Tiere mit Nervosität. Bei direkter Konfrontation mit Tiere muss er bei jeder erneuten direkten Konfrontation eine um 10 erschwerte Mut-Probe bestehen, um handlungsfähig zu bleiben. Um sich Tiere freiwillig zu nähern, die Angstquelle zu berühren oder bewusst mit ihr zu interagieren, muss er einmalig eine um 10 erschwerte Willenskraft-Probe bestehen. Ist Tiere zwar gegenwärtig, aber weder direkter Gegner noch Gegenstand, Wesen oder sonstiges Ziel, mit dem sich der Charakter aktuell befasst, sind keine Angst-Proben erforderlich; der Charakter erhält BE -1.</t>
  </si>
  <si>
    <t>vn_angst_tiere_15</t>
  </si>
  <si>
    <t>Furcht: Tiere</t>
  </si>
  <si>
    <t>Auswahlgruppe angst_tiere; maximal 1 Stufe; Angstwert 15; direkte Konfrontation: sofort, danach alle 10 KR; bloße Gegenwart: BE -2.</t>
  </si>
  <si>
    <t>EXKLUSIV_ANGST=angst_tiere | ANGST_INTERVALL=10_KR | ANGST_DIREKTE_KONFRONTATION=1 | ANGST_BE=-2</t>
  </si>
  <si>
    <t>Der Charakter reagiert auf Tiere mit Furcht. Bei direkter Konfrontation mit Tiere muss er sofort, danach alle 10 KR eine um 15 erschwerte Mut-Probe bestehen, um handlungsfähig zu bleiben. Um sich Tiere freiwillig zu nähern, die Angstquelle zu berühren oder bewusst mit ihr zu interagieren, muss er einmalig eine um 15 erschwerte Willenskraft-Probe bestehen. Ist Tiere zwar gegenwärtig, aber weder direkter Gegner noch Gegenstand, Wesen oder sonstiges Ziel, mit dem sich der Charakter aktuell befasst, sind keine Angst-Proben erforderlich; der Charakter erhält BE -2.</t>
  </si>
  <si>
    <t>vn_angst_tiere_20</t>
  </si>
  <si>
    <t>Auswahlgruppe angst_tiere; maximal 1 Stufe; Angstwert 20; direkte Konfrontation: sofort, danach alle 5 KR; bloße Gegenwart: BE -3.</t>
  </si>
  <si>
    <t>EXKLUSIV_ANGST=angst_tiere | ANGST_INTERVALL=5_KR | ANGST_DIREKTE_KONFRONTATION=1 | ANGST_BE=-3</t>
  </si>
  <si>
    <t>Der Charakter reagiert auf Tiere mit Angst. Bei direkter Konfrontation mit Tiere muss er sofort, danach alle 5 KR eine um 20 erschwerte Mut-Probe bestehen, um handlungsfähig zu bleiben. Um sich Tiere freiwillig zu nähern, die Angstquelle zu berühren oder bewusst mit ihr zu interagieren, muss er einmalig eine um 20 erschwerte Willenskraft-Probe bestehen. Ist Tiere zwar gegenwärtig, aber weder direkter Gegner noch Gegenstand, Wesen oder sonstiges Ziel, mit dem sich der Charakter aktuell befasst, sind keine Angst-Proben erforderlich; der Charakter erhält BE -3.</t>
  </si>
  <si>
    <t>vn_angst_tiere_30</t>
  </si>
  <si>
    <t>Phobie: Tiere</t>
  </si>
  <si>
    <t>Auswahlgruppe angst_tiere; maximal 1 Stufe; Angstwert 30; direkte Konfrontation: sofort, danach jede KR; bloße Gegenwart: BE -5.</t>
  </si>
  <si>
    <t>EXKLUSIV_ANGST=angst_tiere | ANGST_INTERVALL=1_KR | ANGST_DIREKTE_KONFRONTATION=1 | ANGST_BE=-5</t>
  </si>
  <si>
    <t>Der Charakter leidet unter einer Phobie gegenüber Tiere. Bei direkter Konfrontation mit Tiere muss er sofort, danach jede KR eine um 30 erschwerte Mut-Probe bestehen, um handlungsfähig zu bleiben. Um sich Tiere freiwillig zu nähern, die Angstquelle zu berühren oder bewusst mit ihr zu interagieren, muss er einmalig eine um 30 erschwerte Willenskraft-Probe bestehen. Ist Tiere zwar gegenwärtig, aber weder direkter Gegner noch Gegenstand, Wesen oder sonstiges Ziel, mit dem sich der Charakter aktuell befasst, sind keine Angst-Proben erforderlich; der Charakter erhält BE -5.</t>
  </si>
  <si>
    <t>vn_angst_untote_5</t>
  </si>
  <si>
    <t>Unbehagen: Untote</t>
  </si>
  <si>
    <t>Auswahlgruppe angst_untote; maximal 1 Stufe; Angstwert 5; direkte Konfrontation: einmal pro Situation; bloße Gegenwart: BE 0.</t>
  </si>
  <si>
    <t>Angst: Untote</t>
  </si>
  <si>
    <t>EXKLUSIV_ANGST=angst_untote | ANGST_INTERVALL=SITUATION | ANGST_DIREKTE_KONFRONTATION=1 | ANGST_BE=0</t>
  </si>
  <si>
    <t>Der Charakter reagiert auf Untote mit Unbehagen. Bei direkter Konfrontation mit Untote muss er einmal pro Situation eine um 5 erschwerte Mut-Probe bestehen, um handlungsfähig zu bleiben. Um sich Untote freiwillig zu nähern, die Angstquelle zu berühren oder bewusst mit ihr zu interagieren, muss er einmalig eine um 5 erschwerte Willenskraft-Probe bestehen.</t>
  </si>
  <si>
    <t>vn_angst_untote_10</t>
  </si>
  <si>
    <t>Nervosität: Untote</t>
  </si>
  <si>
    <t>Auswahlgruppe angst_untote; maximal 1 Stufe; Angstwert 10; direkte Konfrontation: bei jeder erneuten direkten Konfrontation; bloße Gegenwart: BE -1.</t>
  </si>
  <si>
    <t>EXKLUSIV_ANGST=angst_untote | ANGST_INTERVALL=NEUE_KONFRONTATION | ANGST_DIREKTE_KONFRONTATION=1 | ANGST_BE=-1</t>
  </si>
  <si>
    <t>Der Charakter reagiert auf Untote mit Nervosität. Bei direkter Konfrontation mit Untote muss er bei jeder erneuten direkten Konfrontation eine um 10 erschwerte Mut-Probe bestehen, um handlungsfähig zu bleiben. Um sich Untote freiwillig zu nähern, die Angstquelle zu berühren oder bewusst mit ihr zu interagieren, muss er einmalig eine um 10 erschwerte Willenskraft-Probe bestehen. Ist Untote zwar gegenwärtig, aber weder direkter Gegner noch Gegenstand, Wesen oder sonstiges Ziel, mit dem sich der Charakter aktuell befasst, sind keine Angst-Proben erforderlich; der Charakter erhält BE -1.</t>
  </si>
  <si>
    <t>vn_angst_untote_15</t>
  </si>
  <si>
    <t>Furcht: Untote</t>
  </si>
  <si>
    <t>Auswahlgruppe angst_untote; maximal 1 Stufe; Angstwert 15; direkte Konfrontation: sofort, danach alle 10 KR; bloße Gegenwart: BE -2.</t>
  </si>
  <si>
    <t>EXKLUSIV_ANGST=angst_untote | ANGST_INTERVALL=10_KR | ANGST_DIREKTE_KONFRONTATION=1 | ANGST_BE=-2</t>
  </si>
  <si>
    <t>Der Charakter reagiert auf Untote mit Furcht. Bei direkter Konfrontation mit Untote muss er sofort, danach alle 10 KR eine um 15 erschwerte Mut-Probe bestehen, um handlungsfähig zu bleiben. Um sich Untote freiwillig zu nähern, die Angstquelle zu berühren oder bewusst mit ihr zu interagieren, muss er einmalig eine um 15 erschwerte Willenskraft-Probe bestehen. Ist Untote zwar gegenwärtig, aber weder direkter Gegner noch Gegenstand, Wesen oder sonstiges Ziel, mit dem sich der Charakter aktuell befasst, sind keine Angst-Proben erforderlich; der Charakter erhält BE -2.</t>
  </si>
  <si>
    <t>vn_angst_untote_20</t>
  </si>
  <si>
    <t>Auswahlgruppe angst_untote; maximal 1 Stufe; Angstwert 20; direkte Konfrontation: sofort, danach alle 5 KR; bloße Gegenwart: BE -3.</t>
  </si>
  <si>
    <t>EXKLUSIV_ANGST=angst_untote | ANGST_INTERVALL=5_KR | ANGST_DIREKTE_KONFRONTATION=1 | ANGST_BE=-3</t>
  </si>
  <si>
    <t>Der Charakter reagiert auf Untote mit Angst. Bei direkter Konfrontation mit Untote muss er sofort, danach alle 5 KR eine um 20 erschwerte Mut-Probe bestehen, um handlungsfähig zu bleiben. Um sich Untote freiwillig zu nähern, die Angstquelle zu berühren oder bewusst mit ihr zu interagieren, muss er einmalig eine um 20 erschwerte Willenskraft-Probe bestehen. Ist Untote zwar gegenwärtig, aber weder direkter Gegner noch Gegenstand, Wesen oder sonstiges Ziel, mit dem sich der Charakter aktuell befasst, sind keine Angst-Proben erforderlich; der Charakter erhält BE -3.</t>
  </si>
  <si>
    <t>vn_angst_untote_30</t>
  </si>
  <si>
    <t>Phobie: Untote</t>
  </si>
  <si>
    <t>Auswahlgruppe angst_untote; maximal 1 Stufe; Angstwert 30; direkte Konfrontation: sofort, danach jede KR; bloße Gegenwart: BE -5.</t>
  </si>
  <si>
    <t>EXKLUSIV_ANGST=angst_untote | ANGST_INTERVALL=1_KR | ANGST_DIREKTE_KONFRONTATION=1 | ANGST_BE=-5</t>
  </si>
  <si>
    <t>Der Charakter leidet unter einer Phobie gegenüber Untote. Bei direkter Konfrontation mit Untote muss er sofort, danach jede KR eine um 30 erschwerte Mut-Probe bestehen, um handlungsfähig zu bleiben. Um sich Untote freiwillig zu nähern, die Angstquelle zu berühren oder bewusst mit ihr zu interagieren, muss er einmalig eine um 30 erschwerte Willenskraft-Probe bestehen. Ist Untote zwar gegenwärtig, aber weder direkter Gegner noch Gegenstand, Wesen oder sonstiges Ziel, mit dem sich der Charakter aktuell befasst, sind keine Angst-Proben erforderlich; der Charakter erhält BE -5.</t>
  </si>
  <si>
    <t>vn_angst_voegel_5</t>
  </si>
  <si>
    <t>Unbehagen: Vögel</t>
  </si>
  <si>
    <t>Auswahlgruppe angst_voegel; maximal 1 Stufe; Angstwert 5; direkte Konfrontation: einmal pro Situation; bloße Gegenwart: BE 0.</t>
  </si>
  <si>
    <t>Angst: Vögel</t>
  </si>
  <si>
    <t>EXKLUSIV_ANGST=angst_voegel | ANGST_INTERVALL=SITUATION | ANGST_DIREKTE_KONFRONTATION=1 | ANGST_BE=0</t>
  </si>
  <si>
    <t>Der Charakter reagiert auf Vögel mit Unbehagen. Bei direkter Konfrontation mit Vögel muss er einmal pro Situation eine um 5 erschwerte Mut-Probe bestehen, um handlungsfähig zu bleiben. Um sich Vögel freiwillig zu nähern, die Angstquelle zu berühren oder bewusst mit ihr zu interagieren, muss er einmalig eine um 5 erschwerte Willenskraft-Probe bestehen.</t>
  </si>
  <si>
    <t>vn_angst_voegel_10</t>
  </si>
  <si>
    <t>Nervosität: Vögel</t>
  </si>
  <si>
    <t>Auswahlgruppe angst_voegel; maximal 1 Stufe; Angstwert 10; direkte Konfrontation: bei jeder erneuten direkten Konfrontation; bloße Gegenwart: BE -1.</t>
  </si>
  <si>
    <t>EXKLUSIV_ANGST=angst_voegel | ANGST_INTERVALL=NEUE_KONFRONTATION | ANGST_DIREKTE_KONFRONTATION=1 | ANGST_BE=-1</t>
  </si>
  <si>
    <t>Der Charakter reagiert auf Vögel mit Nervosität. Bei direkter Konfrontation mit Vögel muss er bei jeder erneuten direkten Konfrontation eine um 10 erschwerte Mut-Probe bestehen, um handlungsfähig zu bleiben. Um sich Vögel freiwillig zu nähern, die Angstquelle zu berühren oder bewusst mit ihr zu interagieren, muss er einmalig eine um 10 erschwerte Willenskraft-Probe bestehen. Ist Vögel zwar gegenwärtig, aber weder direkter Gegner noch Gegenstand, Wesen oder sonstiges Ziel, mit dem sich der Charakter aktuell befasst, sind keine Angst-Proben erforderlich; der Charakter erhält BE -1.</t>
  </si>
  <si>
    <t>vn_angst_voegel_15</t>
  </si>
  <si>
    <t>Furcht: Vögel</t>
  </si>
  <si>
    <t>Auswahlgruppe angst_voegel; maximal 1 Stufe; Angstwert 15; direkte Konfrontation: sofort, danach alle 10 KR; bloße Gegenwart: BE -2.</t>
  </si>
  <si>
    <t>EXKLUSIV_ANGST=angst_voegel | ANGST_INTERVALL=10_KR | ANGST_DIREKTE_KONFRONTATION=1 | ANGST_BE=-2</t>
  </si>
  <si>
    <t>Der Charakter reagiert auf Vögel mit Furcht. Bei direkter Konfrontation mit Vögel muss er sofort, danach alle 10 KR eine um 15 erschwerte Mut-Probe bestehen, um handlungsfähig zu bleiben. Um sich Vögel freiwillig zu nähern, die Angstquelle zu berühren oder bewusst mit ihr zu interagieren, muss er einmalig eine um 15 erschwerte Willenskraft-Probe bestehen. Ist Vögel zwar gegenwärtig, aber weder direkter Gegner noch Gegenstand, Wesen oder sonstiges Ziel, mit dem sich der Charakter aktuell befasst, sind keine Angst-Proben erforderlich; der Charakter erhält BE -2.</t>
  </si>
  <si>
    <t>vn_angst_voegel_20</t>
  </si>
  <si>
    <t>Auswahlgruppe angst_voegel; maximal 1 Stufe; Angstwert 20; direkte Konfrontation: sofort, danach alle 5 KR; bloße Gegenwart: BE -3.</t>
  </si>
  <si>
    <t>EXKLUSIV_ANGST=angst_voegel | ANGST_INTERVALL=5_KR | ANGST_DIREKTE_KONFRONTATION=1 | ANGST_BE=-3</t>
  </si>
  <si>
    <t>Der Charakter reagiert auf Vögel mit Angst. Bei direkter Konfrontation mit Vögel muss er sofort, danach alle 5 KR eine um 20 erschwerte Mut-Probe bestehen, um handlungsfähig zu bleiben. Um sich Vögel freiwillig zu nähern, die Angstquelle zu berühren oder bewusst mit ihr zu interagieren, muss er einmalig eine um 20 erschwerte Willenskraft-Probe bestehen. Ist Vögel zwar gegenwärtig, aber weder direkter Gegner noch Gegenstand, Wesen oder sonstiges Ziel, mit dem sich der Charakter aktuell befasst, sind keine Angst-Proben erforderlich; der Charakter erhält BE -3.</t>
  </si>
  <si>
    <t>vn_angst_voegel_30</t>
  </si>
  <si>
    <t>Phobie: Vögel</t>
  </si>
  <si>
    <t>Auswahlgruppe angst_voegel; maximal 1 Stufe; Angstwert 30; direkte Konfrontation: sofort, danach jede KR; bloße Gegenwart: BE -5.</t>
  </si>
  <si>
    <t>EXKLUSIV_ANGST=angst_voegel | ANGST_INTERVALL=1_KR | ANGST_DIREKTE_KONFRONTATION=1 | ANGST_BE=-5</t>
  </si>
  <si>
    <t>Der Charakter leidet unter einer Phobie gegenüber Vögel. Bei direkter Konfrontation mit Vögel muss er sofort, danach jede KR eine um 30 erschwerte Mut-Probe bestehen, um handlungsfähig zu bleiben. Um sich Vögel freiwillig zu nähern, die Angstquelle zu berühren oder bewusst mit ihr zu interagieren, muss er einmalig eine um 30 erschwerte Willenskraft-Probe bestehen. Ist Vögel zwar gegenwärtig, aber weder direkter Gegner noch Gegenstand, Wesen oder sonstiges Ziel, mit dem sich der Charakter aktuell befasst, sind keine Angst-Proben erforderlich; der Charakter erhält BE -5.</t>
  </si>
  <si>
    <t>vn_angst_wasser_5</t>
  </si>
  <si>
    <t>Unbehagen: Wasser</t>
  </si>
  <si>
    <t>Auswahlgruppe angst_wasser; maximal 1 Stufe; Angstwert 5; direkte Konfrontation: einmal pro Situation; bloße Gegenwart: BE 0.</t>
  </si>
  <si>
    <t>Angst: Wasser</t>
  </si>
  <si>
    <t>EXKLUSIV_ANGST=angst_wasser | ANGST_INTERVALL=SITUATION | ANGST_DIREKTE_KONFRONTATION=1 | ANGST_BE=0</t>
  </si>
  <si>
    <t>Der Charakter reagiert auf Wasser mit Unbehagen. Bei direkter Konfrontation mit Wasser muss er einmal pro Situation eine um 5 erschwerte Mut-Probe bestehen, um handlungsfähig zu bleiben. Um sich Wasser freiwillig zu nähern, die Angstquelle zu berühren oder bewusst mit ihr zu interagieren, muss er einmalig eine um 5 erschwerte Willenskraft-Probe bestehen.</t>
  </si>
  <si>
    <t>vn_angst_wasser_10</t>
  </si>
  <si>
    <t>Nervosität: Wasser</t>
  </si>
  <si>
    <t>Auswahlgruppe angst_wasser; maximal 1 Stufe; Angstwert 10; direkte Konfrontation: bei jeder erneuten direkten Konfrontation; bloße Gegenwart: BE -1.</t>
  </si>
  <si>
    <t>EXKLUSIV_ANGST=angst_wasser | ANGST_INTERVALL=NEUE_KONFRONTATION | ANGST_DIREKTE_KONFRONTATION=1 | ANGST_BE=-1</t>
  </si>
  <si>
    <t>Der Charakter reagiert auf Wasser mit Nervosität. Bei direkter Konfrontation mit Wasser muss er bei jeder erneuten direkten Konfrontation eine um 10 erschwerte Mut-Probe bestehen, um handlungsfähig zu bleiben. Um sich Wasser freiwillig zu nähern, die Angstquelle zu berühren oder bewusst mit ihr zu interagieren, muss er einmalig eine um 10 erschwerte Willenskraft-Probe bestehen. Ist Wasser zwar gegenwärtig, aber weder direkter Gegner noch Gegenstand, Wesen oder sonstiges Ziel, mit dem sich der Charakter aktuell befasst, sind keine Angst-Proben erforderlich; der Charakter erhält BE -1.</t>
  </si>
  <si>
    <t>vn_angst_wasser_15</t>
  </si>
  <si>
    <t>Furcht: Wasser</t>
  </si>
  <si>
    <t>Auswahlgruppe angst_wasser; maximal 1 Stufe; Angstwert 15; direkte Konfrontation: sofort, danach alle 10 KR; bloße Gegenwart: BE -2.</t>
  </si>
  <si>
    <t>EXKLUSIV_ANGST=angst_wasser | ANGST_INTERVALL=10_KR | ANGST_DIREKTE_KONFRONTATION=1 | ANGST_BE=-2</t>
  </si>
  <si>
    <t>Der Charakter reagiert auf Wasser mit Furcht. Bei direkter Konfrontation mit Wasser muss er sofort, danach alle 10 KR eine um 15 erschwerte Mut-Probe bestehen, um handlungsfähig zu bleiben. Um sich Wasser freiwillig zu nähern, die Angstquelle zu berühren oder bewusst mit ihr zu interagieren, muss er einmalig eine um 15 erschwerte Willenskraft-Probe bestehen. Ist Wasser zwar gegenwärtig, aber weder direkter Gegner noch Gegenstand, Wesen oder sonstiges Ziel, mit dem sich der Charakter aktuell befasst, sind keine Angst-Proben erforderlich; der Charakter erhält BE -2.</t>
  </si>
  <si>
    <t>vn_angst_wasser_20</t>
  </si>
  <si>
    <t>Auswahlgruppe angst_wasser; maximal 1 Stufe; Angstwert 20; direkte Konfrontation: sofort, danach alle 5 KR; bloße Gegenwart: BE -3.</t>
  </si>
  <si>
    <t>EXKLUSIV_ANGST=angst_wasser | ANGST_INTERVALL=5_KR | ANGST_DIREKTE_KONFRONTATION=1 | ANGST_BE=-3</t>
  </si>
  <si>
    <t>Der Charakter reagiert auf Wasser mit Angst. Bei direkter Konfrontation mit Wasser muss er sofort, danach alle 5 KR eine um 20 erschwerte Mut-Probe bestehen, um handlungsfähig zu bleiben. Um sich Wasser freiwillig zu nähern, die Angstquelle zu berühren oder bewusst mit ihr zu interagieren, muss er einmalig eine um 20 erschwerte Willenskraft-Probe bestehen. Ist Wasser zwar gegenwärtig, aber weder direkter Gegner noch Gegenstand, Wesen oder sonstiges Ziel, mit dem sich der Charakter aktuell befasst, sind keine Angst-Proben erforderlich; der Charakter erhält BE -3.</t>
  </si>
  <si>
    <t>vn_angst_wasser_30</t>
  </si>
  <si>
    <t>Phobie: Wasser</t>
  </si>
  <si>
    <t>Auswahlgruppe angst_wasser; maximal 1 Stufe; Angstwert 30; direkte Konfrontation: sofort, danach jede KR; bloße Gegenwart: BE -5.</t>
  </si>
  <si>
    <t>EXKLUSIV_ANGST=angst_wasser | ANGST_INTERVALL=1_KR | ANGST_DIREKTE_KONFRONTATION=1 | ANGST_BE=-5</t>
  </si>
  <si>
    <t>Der Charakter leidet unter einer Phobie gegenüber Wasser. Bei direkter Konfrontation mit Wasser muss er sofort, danach jede KR eine um 30 erschwerte Mut-Probe bestehen, um handlungsfähig zu bleiben. Um sich Wasser freiwillig zu nähern, die Angstquelle zu berühren oder bewusst mit ihr zu interagieren, muss er einmalig eine um 30 erschwerte Willenskraft-Probe bestehen. Ist Wasser zwar gegenwärtig, aber weder direkter Gegner noch Gegenstand, Wesen oder sonstiges Ziel, mit dem sich der Charakter aktuell befasst, sind keine Angst-Proben erforderlich; der Charakter erhält BE -5.</t>
  </si>
  <si>
    <t>vn_angst_wilde_tiere_5</t>
  </si>
  <si>
    <t>Unbehagen: Wilde Tiere</t>
  </si>
  <si>
    <t>Auswahlgruppe angst_wilde_tiere; maximal 1 Stufe; Angstwert 5; direkte Konfrontation: einmal pro Situation; bloße Gegenwart: BE 0.</t>
  </si>
  <si>
    <t>Angst: Wilde Tiere</t>
  </si>
  <si>
    <t>EXKLUSIV_ANGST=angst_wilde_tiere | ANGST_INTERVALL=SITUATION | ANGST_DIREKTE_KONFRONTATION=1 | ANGST_BE=0</t>
  </si>
  <si>
    <t>Der Charakter reagiert auf Wilde Tiere mit Unbehagen. Bei direkter Konfrontation mit Wilde Tiere muss er einmal pro Situation eine um 5 erschwerte Mut-Probe bestehen, um handlungsfähig zu bleiben. Um sich Wilde Tiere freiwillig zu nähern, die Angstquelle zu berühren oder bewusst mit ihr zu interagieren, muss er einmalig eine um 5 erschwerte Willenskraft-Probe bestehen.</t>
  </si>
  <si>
    <t>vn_angst_wilde_tiere_10</t>
  </si>
  <si>
    <t>Nervosität: Wilde Tiere</t>
  </si>
  <si>
    <t>Auswahlgruppe angst_wilde_tiere; maximal 1 Stufe; Angstwert 10; direkte Konfrontation: bei jeder erneuten direkten Konfrontation; bloße Gegenwart: BE -1.</t>
  </si>
  <si>
    <t>EXKLUSIV_ANGST=angst_wilde_tiere | ANGST_INTERVALL=NEUE_KONFRONTATION | ANGST_DIREKTE_KONFRONTATION=1 | ANGST_BE=-1</t>
  </si>
  <si>
    <t>Der Charakter reagiert auf Wilde Tiere mit Nervosität. Bei direkter Konfrontation mit Wilde Tiere muss er bei jeder erneuten direkten Konfrontation eine um 10 erschwerte Mut-Probe bestehen, um handlungsfähig zu bleiben. Um sich Wilde Tiere freiwillig zu nähern, die Angstquelle zu berühren oder bewusst mit ihr zu interagieren, muss er einmalig eine um 10 erschwerte Willenskraft-Probe bestehen. Ist Wilde Tiere zwar gegenwärtig, aber weder direkter Gegner noch Gegenstand, Wesen oder sonstiges Ziel, mit dem sich der Charakter aktuell befasst, sind keine Angst-Proben erforderlich; der Charakter erhält BE -1.</t>
  </si>
  <si>
    <t>vn_angst_wilde_tiere_15</t>
  </si>
  <si>
    <t>Furcht: Wilde Tiere</t>
  </si>
  <si>
    <t>Auswahlgruppe angst_wilde_tiere; maximal 1 Stufe; Angstwert 15; direkte Konfrontation: sofort, danach alle 10 KR; bloße Gegenwart: BE -2.</t>
  </si>
  <si>
    <t>EXKLUSIV_ANGST=angst_wilde_tiere | ANGST_INTERVALL=10_KR | ANGST_DIREKTE_KONFRONTATION=1 | ANGST_BE=-2</t>
  </si>
  <si>
    <t>Der Charakter reagiert auf Wilde Tiere mit Furcht. Bei direkter Konfrontation mit Wilde Tiere muss er sofort, danach alle 10 KR eine um 15 erschwerte Mut-Probe bestehen, um handlungsfähig zu bleiben. Um sich Wilde Tiere freiwillig zu nähern, die Angstquelle zu berühren oder bewusst mit ihr zu interagieren, muss er einmalig eine um 15 erschwerte Willenskraft-Probe bestehen. Ist Wilde Tiere zwar gegenwärtig, aber weder direkter Gegner noch Gegenstand, Wesen oder sonstiges Ziel, mit dem sich der Charakter aktuell befasst, sind keine Angst-Proben erforderlich; der Charakter erhält BE -2.</t>
  </si>
  <si>
    <t>vn_angst_wilde_tiere_20</t>
  </si>
  <si>
    <t>Auswahlgruppe angst_wilde_tiere; maximal 1 Stufe; Angstwert 20; direkte Konfrontation: sofort, danach alle 5 KR; bloße Gegenwart: BE -3.</t>
  </si>
  <si>
    <t>EXKLUSIV_ANGST=angst_wilde_tiere | ANGST_INTERVALL=5_KR | ANGST_DIREKTE_KONFRONTATION=1 | ANGST_BE=-3</t>
  </si>
  <si>
    <t>Der Charakter reagiert auf Wilde Tiere mit Angst. Bei direkter Konfrontation mit Wilde Tiere muss er sofort, danach alle 5 KR eine um 20 erschwerte Mut-Probe bestehen, um handlungsfähig zu bleiben. Um sich Wilde Tiere freiwillig zu nähern, die Angstquelle zu berühren oder bewusst mit ihr zu interagieren, muss er einmalig eine um 20 erschwerte Willenskraft-Probe bestehen. Ist Wilde Tiere zwar gegenwärtig, aber weder direkter Gegner noch Gegenstand, Wesen oder sonstiges Ziel, mit dem sich der Charakter aktuell befasst, sind keine Angst-Proben erforderlich; der Charakter erhält BE -3.</t>
  </si>
  <si>
    <t>vn_angst_wilde_tiere_30</t>
  </si>
  <si>
    <t>Phobie: Wilde Tiere</t>
  </si>
  <si>
    <t>Auswahlgruppe angst_wilde_tiere; maximal 1 Stufe; Angstwert 30; direkte Konfrontation: sofort, danach jede KR; bloße Gegenwart: BE -5.</t>
  </si>
  <si>
    <t>EXKLUSIV_ANGST=angst_wilde_tiere | ANGST_INTERVALL=1_KR | ANGST_DIREKTE_KONFRONTATION=1 | ANGST_BE=-5</t>
  </si>
  <si>
    <t>Der Charakter leidet unter einer Phobie gegenüber Wilde Tiere. Bei direkter Konfrontation mit Wilde Tiere muss er sofort, danach jede KR eine um 30 erschwerte Mut-Probe bestehen, um handlungsfähig zu bleiben. Um sich Wilde Tiere freiwillig zu nähern, die Angstquelle zu berühren oder bewusst mit ihr zu interagieren, muss er einmalig eine um 30 erschwerte Willenskraft-Probe bestehen. Ist Wilde Tiere zwar gegenwärtig, aber weder direkter Gegner noch Gegenstand, Wesen oder sonstiges Ziel, mit dem sich der Charakter aktuell befasst, sind keine Angst-Proben erforderlich; der Charakter erhält BE -5.</t>
  </si>
  <si>
    <t>vn_angst_xenophobie_5</t>
  </si>
  <si>
    <t>Unbehagen: Xenophobie</t>
  </si>
  <si>
    <t>Auswahlgruppe angst_xenophobie; maximal 1 Stufe; Angstwert 5; direkte Konfrontation: einmal pro Situation; bloße Gegenwart: BE 0.</t>
  </si>
  <si>
    <t>Angst: Xenophobie</t>
  </si>
  <si>
    <t>EXKLUSIV_ANGST=angst_xenophobie | ANGST_INTERVALL=SITUATION | ANGST_DIREKTE_KONFRONTATION=1 | ANGST_BE=0</t>
  </si>
  <si>
    <t>Der Charakter reagiert auf Xenophobie mit Unbehagen. Bei direkter Konfrontation mit Xenophobie muss er einmal pro Situation eine um 5 erschwerte Mut-Probe bestehen, um handlungsfähig zu bleiben. Um sich Xenophobie freiwillig zu nähern, die Angstquelle zu berühren oder bewusst mit ihr zu interagieren, muss er einmalig eine um 5 erschwerte Willenskraft-Probe bestehen.</t>
  </si>
  <si>
    <t>vn_angst_xenophobie_10</t>
  </si>
  <si>
    <t>Nervosität: Xenophobie</t>
  </si>
  <si>
    <t>Auswahlgruppe angst_xenophobie; maximal 1 Stufe; Angstwert 10; direkte Konfrontation: bei jeder erneuten direkten Konfrontation; bloße Gegenwart: BE -1.</t>
  </si>
  <si>
    <t>EXKLUSIV_ANGST=angst_xenophobie | ANGST_INTERVALL=NEUE_KONFRONTATION | ANGST_DIREKTE_KONFRONTATION=1 | ANGST_BE=-1</t>
  </si>
  <si>
    <t>Der Charakter reagiert auf Xenophobie mit Nervosität. Bei direkter Konfrontation mit Xenophobie muss er bei jeder erneuten direkten Konfrontation eine um 10 erschwerte Mut-Probe bestehen, um handlungsfähig zu bleiben. Um sich Xenophobie freiwillig zu nähern, die Angstquelle zu berühren oder bewusst mit ihr zu interagieren, muss er einmalig eine um 10 erschwerte Willenskraft-Probe bestehen. Ist Xenophobie zwar gegenwärtig, aber weder direkter Gegner noch Gegenstand, Wesen oder sonstiges Ziel, mit dem sich der Charakter aktuell befasst, sind keine Angst-Proben erforderlich; der Charakter erhält BE -1.</t>
  </si>
  <si>
    <t>vn_angst_xenophobie_15</t>
  </si>
  <si>
    <t>Furcht: Xenophobie</t>
  </si>
  <si>
    <t>Auswahlgruppe angst_xenophobie; maximal 1 Stufe; Angstwert 15; direkte Konfrontation: sofort, danach alle 10 KR; bloße Gegenwart: BE -2.</t>
  </si>
  <si>
    <t>EXKLUSIV_ANGST=angst_xenophobie | ANGST_INTERVALL=10_KR | ANGST_DIREKTE_KONFRONTATION=1 | ANGST_BE=-2</t>
  </si>
  <si>
    <t>Der Charakter reagiert auf Xenophobie mit Furcht. Bei direkter Konfrontation mit Xenophobie muss er sofort, danach alle 10 KR eine um 15 erschwerte Mut-Probe bestehen, um handlungsfähig zu bleiben. Um sich Xenophobie freiwillig zu nähern, die Angstquelle zu berühren oder bewusst mit ihr zu interagieren, muss er einmalig eine um 15 erschwerte Willenskraft-Probe bestehen. Ist Xenophobie zwar gegenwärtig, aber weder direkter Gegner noch Gegenstand, Wesen oder sonstiges Ziel, mit dem sich der Charakter aktuell befasst, sind keine Angst-Proben erforderlich; der Charakter erhält BE -2.</t>
  </si>
  <si>
    <t>vn_angst_xenophobie_20</t>
  </si>
  <si>
    <t>Auswahlgruppe angst_xenophobie; maximal 1 Stufe; Angstwert 20; direkte Konfrontation: sofort, danach alle 5 KR; bloße Gegenwart: BE -3.</t>
  </si>
  <si>
    <t>EXKLUSIV_ANGST=angst_xenophobie | ANGST_INTERVALL=5_KR | ANGST_DIREKTE_KONFRONTATION=1 | ANGST_BE=-3</t>
  </si>
  <si>
    <t>Der Charakter reagiert auf Xenophobie mit Angst. Bei direkter Konfrontation mit Xenophobie muss er sofort, danach alle 5 KR eine um 20 erschwerte Mut-Probe bestehen, um handlungsfähig zu bleiben. Um sich Xenophobie freiwillig zu nähern, die Angstquelle zu berühren oder bewusst mit ihr zu interagieren, muss er einmalig eine um 20 erschwerte Willenskraft-Probe bestehen. Ist Xenophobie zwar gegenwärtig, aber weder direkter Gegner noch Gegenstand, Wesen oder sonstiges Ziel, mit dem sich der Charakter aktuell befasst, sind keine Angst-Proben erforderlich; der Charakter erhält BE -3.</t>
  </si>
  <si>
    <t>vn_angst_xenophobie_30</t>
  </si>
  <si>
    <t>Phobie: Xenophobie</t>
  </si>
  <si>
    <t>Auswahlgruppe angst_xenophobie; maximal 1 Stufe; Angstwert 30; direkte Konfrontation: sofort, danach jede KR; bloße Gegenwart: BE -5.</t>
  </si>
  <si>
    <t>EXKLUSIV_ANGST=angst_xenophobie | ANGST_INTERVALL=1_KR | ANGST_DIREKTE_KONFRONTATION=1 | ANGST_BE=-5</t>
  </si>
  <si>
    <t>Der Charakter leidet unter einer Phobie gegenüber Xenophobie. Bei direkter Konfrontation mit Xenophobie muss er sofort, danach jede KR eine um 30 erschwerte Mut-Probe bestehen, um handlungsfähig zu bleiben. Um sich Xenophobie freiwillig zu nähern, die Angstquelle zu berühren oder bewusst mit ihr zu interagieren, muss er einmalig eine um 30 erschwerte Willenskraft-Probe bestehen. Ist Xenophobie zwar gegenwärtig, aber weder direkter Gegner noch Gegenstand, Wesen oder sonstiges Ziel, mit dem sich der Charakter aktuell befasst, sind keine Angst-Proben erforderlich; der Charakter erhält BE -5.</t>
  </si>
  <si>
    <t>vn_astrale_abschottung</t>
  </si>
  <si>
    <t>Astrale Abschottung</t>
  </si>
  <si>
    <t>vn_aura_verhuellen_i</t>
  </si>
  <si>
    <t>Aura verhüllen I</t>
  </si>
  <si>
    <t>vn_aura_verhuellen_ii</t>
  </si>
  <si>
    <t>Aura verhüllen II</t>
  </si>
  <si>
    <t>vn_aussehen_allerweltsgesicht</t>
  </si>
  <si>
    <t>Aussehen: Allerweltsgesicht</t>
  </si>
  <si>
    <t>vn_aussehen_gutes_aussehen</t>
  </si>
  <si>
    <t>Aussehen: Gutes Aussehen</t>
  </si>
  <si>
    <t>vn_aussehen_haesslichkeit</t>
  </si>
  <si>
    <t>Aussehen: Hässlichkeit</t>
  </si>
  <si>
    <t>vn_aussehen_herausragendes_aussehen</t>
  </si>
  <si>
    <t>Aussehen: Herausragendes Aussehen</t>
  </si>
  <si>
    <t>vn_aussehen_widerwaertiges_aussehen</t>
  </si>
  <si>
    <t>Aussehen: Widerwärtiges Aussehen</t>
  </si>
  <si>
    <t>vn_faehigkeit_fliegen</t>
  </si>
  <si>
    <t>Fähigkeit: Fliegen</t>
  </si>
  <si>
    <t>vn_faehigkeit_meisterliche_WHK</t>
  </si>
  <si>
    <t>Fähigkeit: Meisterliche WHK</t>
  </si>
  <si>
    <t>Offene WHK-Liste: In der App ist ein dynamisches Dropdown über alle vorhandenen WHK erforderlich. Jede gewählte WHK ist eine eigene, separat kaufbare Instanz; dieselbe WHK darf nicht doppelt gewählt werden. Umsetzung durch Claude.</t>
  </si>
  <si>
    <t>Meisterliche WHK</t>
  </si>
  <si>
    <t>APP_DROPDOWN_WHK_OFFENE_LISTE</t>
  </si>
  <si>
    <t>E&amp;3</t>
  </si>
  <si>
    <t>Nicht Magier: Der Charakter kann max. (M) Mana für (M) h in 1 Talentpunkt pro 2 Mana einer ausgewählten spezialisierbaren WHK umwandeln. Dieser Vorteil muss für jede WHK einzeln gekauft werden.</t>
  </si>
  <si>
    <t>vn_faehigkeit_natuerliche_regeneration_i</t>
  </si>
  <si>
    <t>Fähigkeit: Natürliche Regeneration I</t>
  </si>
  <si>
    <t>vn_faehigkeit_natuerliche_regeneration_ii</t>
  </si>
  <si>
    <t>Fähigkeit: Natürliche Regeneration II</t>
  </si>
  <si>
    <t>vn_faehigkeit_natuerliche_regeneration_iii</t>
  </si>
  <si>
    <t>Fähigkeit: Natürliche Regeneration III</t>
  </si>
  <si>
    <t>vn_faehigkeit_schweben</t>
  </si>
  <si>
    <t>Fähigkeit: Schweben</t>
  </si>
  <si>
    <t>vn_faehigkeit_teleportation</t>
  </si>
  <si>
    <t>Fähigkeit: Teleportation</t>
  </si>
  <si>
    <t>vn_faehigkeit_wasserwandeln</t>
  </si>
  <si>
    <t>Fähigkeit: Wasserwandeln</t>
  </si>
  <si>
    <t>E&amp;1</t>
  </si>
  <si>
    <t>vn_fettleibig</t>
  </si>
  <si>
    <t>Fettleibig</t>
  </si>
  <si>
    <t>vn_krankheit_leicht_migraene</t>
  </si>
  <si>
    <t>Krankheit: Leichte Migräne</t>
  </si>
  <si>
    <t>vn_krankheit_mittel_migraene</t>
  </si>
  <si>
    <t>Krankheit: Mittlere Migräne</t>
  </si>
  <si>
    <t>vn_krankheit_schwer_migraene</t>
  </si>
  <si>
    <t>Krankheit: Schwere Migräne</t>
  </si>
  <si>
    <t>vn_krankheit_sehr_schwer_migraene</t>
  </si>
  <si>
    <t>Krankheit: Sehr schwere Migräne</t>
  </si>
  <si>
    <t>vn_krankheit_extrem_migraene</t>
  </si>
  <si>
    <t>Krankheit: Extreme Migräne</t>
  </si>
  <si>
    <t>vn_resistenz_gegen_beherrschung</t>
  </si>
  <si>
    <t>Resistenz gegen Beherrschung</t>
  </si>
  <si>
    <t>vn_resistenz_gegen_erde</t>
  </si>
  <si>
    <t>Resistenz gegen Erde</t>
  </si>
  <si>
    <t>vn_resistenz_gegen_feuer</t>
  </si>
  <si>
    <t>Resistenz gegen Feuer</t>
  </si>
  <si>
    <t>vn_resistenz_gegen_luft</t>
  </si>
  <si>
    <t>Resistenz gegen Luft</t>
  </si>
  <si>
    <t>vn_resistenz_gegen_magie</t>
  </si>
  <si>
    <t>Resistenz gegen Magie</t>
  </si>
  <si>
    <t>vn_resistenz_gegen_magische_heilung</t>
  </si>
  <si>
    <t>Resistenz gegen magische Heilung</t>
  </si>
  <si>
    <t>vn_resistenz_gegen_verzauberung</t>
  </si>
  <si>
    <t>Resistenz gegen Verzauberung</t>
  </si>
  <si>
    <t>vn_resistenz_gegen_wasser</t>
  </si>
  <si>
    <t>Resistenz gegen Wasser</t>
  </si>
  <si>
    <t>vn_schlaf_insomnia</t>
  </si>
  <si>
    <t>Schlaf: Insomnia</t>
  </si>
  <si>
    <t>vn_schlaf_leichter_schlaf</t>
  </si>
  <si>
    <t>Schlaf: Leichter Schlaf</t>
  </si>
  <si>
    <t>vn_schlaf_normal</t>
  </si>
  <si>
    <t>Schlaf: Normal</t>
  </si>
  <si>
    <t>vn_schlaf_tiefer_schlaf</t>
  </si>
  <si>
    <t>Schlaf: Tiefer Schlaf</t>
  </si>
  <si>
    <t>vn_sf_krankheitsresistenz</t>
  </si>
  <si>
    <t>SF: Krankheitsresistenz</t>
  </si>
  <si>
    <t>vn_sicht_astrales_auge</t>
  </si>
  <si>
    <t>Sicht: Astrales Auge</t>
  </si>
  <si>
    <t>vn_sicht_astrales_auge_ii</t>
  </si>
  <si>
    <t>Sicht: Astrales Auge II</t>
  </si>
  <si>
    <t>vn_sicht_blinder_kampf</t>
  </si>
  <si>
    <t>Sicht: Blinder Kampf</t>
  </si>
  <si>
    <t>vn_sicht_blindheit</t>
  </si>
  <si>
    <t>Sicht: Blindheit</t>
  </si>
  <si>
    <t>vn_sicht_daemmerungssicht</t>
  </si>
  <si>
    <t>Sicht: Dämmerungssicht</t>
  </si>
  <si>
    <t>vn_sicht_einaeugig</t>
  </si>
  <si>
    <t>Sicht: Einäugig</t>
  </si>
  <si>
    <t>vn_sicht_infrarotsicht</t>
  </si>
  <si>
    <t>Sicht: Infrarotsicht</t>
  </si>
  <si>
    <t>vn_sicht_leicht_kurzsichtigkeit</t>
  </si>
  <si>
    <t>Sicht: Leichte Kurzsichtigkeit</t>
  </si>
  <si>
    <t>vn_sicht_mittel_kurzsichtigkeit</t>
  </si>
  <si>
    <t>Sicht: Mittlere Kurzsichtigkeit</t>
  </si>
  <si>
    <t>vn_sicht_schwer_kurzsichtigkeit</t>
  </si>
  <si>
    <t>Sicht: Schwere Kurzsichtigkeit</t>
  </si>
  <si>
    <t>vn_sicht_sehr_schwer_kurzsichtigkeit</t>
  </si>
  <si>
    <t>Sicht: Sehr schwere Kurzsichtigkeit</t>
  </si>
  <si>
    <t>vn_sicht_extrem_kurzsichtigkeit</t>
  </si>
  <si>
    <t>Sicht: Extreme Kurzsichtigkeit</t>
  </si>
  <si>
    <t>vn_sicht_nachtsicht</t>
  </si>
  <si>
    <t>Sicht: Nachtsicht</t>
  </si>
  <si>
    <t>vn_sicht_leicht_weitsichtigkeit</t>
  </si>
  <si>
    <t>Sicht: Leichte Weitsichtigkeit</t>
  </si>
  <si>
    <t>vn_sicht_mittel_weitsichtigkeit</t>
  </si>
  <si>
    <t>Sicht: Mittlere Weitsichtigkeit</t>
  </si>
  <si>
    <t>vn_sicht_schwer_weitsichtigkeit</t>
  </si>
  <si>
    <t>Sicht: Schwere Weitsichtigkeit</t>
  </si>
  <si>
    <t>vn_sicht_sehr_schwer_weitsichtigkeit</t>
  </si>
  <si>
    <t>Sicht: Sehr schwere Weitsichtigkeit</t>
  </si>
  <si>
    <t>vn_sicht_extrem_weitsichtigkeit</t>
  </si>
  <si>
    <t>Sicht: Extreme Weitsichtigkeit</t>
  </si>
  <si>
    <t>vn_sprachtalent</t>
  </si>
  <si>
    <t>Sprachtalent</t>
  </si>
  <si>
    <t>vn_traege_reflexe</t>
  </si>
  <si>
    <t>Träge Reflexe</t>
  </si>
  <si>
    <t>#vn_unempfindlichkeit_gegen_alchemie</t>
  </si>
  <si>
    <t>Unempfindlichkeit gegen Alchemie</t>
  </si>
  <si>
    <t>Historische Bezeichnung 'Giftresistenz' ist veraltet; gültig ist Alchemieresistenz. AUSKOMMENTIERT 2026-07-18 (Nutzer: 'check gegen talente. wenn talent vorhanden, die vn zeile auskommentieren'): identischer Effekt bereits durch Talent 'Alchemieresistenz Stufe 2' abgedeckt (+12 auf sf_alchemieresistenz, siehe talenteMaximum.ts).</t>
  </si>
  <si>
    <t>Das Maximum der Sonderfertigkeit Alchemieresistenz erhöht sich um 12.</t>
  </si>
  <si>
    <t>vn_unempfindlichkeit_gegen_profane_waffen</t>
  </si>
  <si>
    <t>Unempfindlichkeit gegen profane Waffen</t>
  </si>
  <si>
    <t>vn_weltgewandt</t>
  </si>
  <si>
    <t>Weltgewandt</t>
  </si>
  <si>
    <t>mana_regeneration_pro_stunde</t>
  </si>
  <si>
    <t>Mana-Regeneration pro Stunde</t>
  </si>
  <si>
    <t>Regel (Nutzer 2026-07-18): Aura*2 Mana-Regeneration pro Stunde natuerliche Ruhe. Zusaetzlich in einer Schlafphase &gt;=6h ein situativer Bonus (W4 bis W30, abhaengig von Schlaflaenge/-gelegenheit/Ruhe/Temperatur, Spielleiter-Ermessen) - NICHT Teil dieser Formel, reine Kampfmodul-/Session-Wuerfelei ohne Chargen-Bezug.</t>
  </si>
  <si>
    <t>att_aura*2</t>
  </si>
  <si>
    <t>vn_abneigung_gegen_erdbeschwoerung</t>
  </si>
  <si>
    <t>Abneigung gegen Erdbeschwörung</t>
  </si>
  <si>
    <t>Alle Zauber mit Schadenswirkung dieses Elements (auch Verzauberungs-, Antimagie- und Beschwörungs-Zauber) kosten 9 EP und haben die 1,5-fache Erschwerung. Kontakt mit dem Element oder einem Wirker erfordert jede KR eine Mut-Probe. PSI-Zauber, die diesem Element zugeordnet werden können, kosten 18 EP pro Punkt. Magier, die diesen Nachteil und die [Schule] bei Erschaffung wählen, erhalten 650 EP zusätzlich, wovon mindestens 180 EP auf die [Schule] verteilt werden müssen.</t>
  </si>
  <si>
    <t>vn_abneigung_gegen_feuerbeschwoerung</t>
  </si>
  <si>
    <t>Abneigung gegen Feuerbeschwörung</t>
  </si>
  <si>
    <t>vn_abneigung_gegen_luftbeschwoerung</t>
  </si>
  <si>
    <t>Abneigung gegen Luftbeschwörung</t>
  </si>
  <si>
    <t>vn_abneigung_gegen_magiebeschwoerung</t>
  </si>
  <si>
    <t>Abneigung gegen Magiebeschwörung</t>
  </si>
  <si>
    <t>vn_abneigung_gegen_wasserbeschwoerung</t>
  </si>
  <si>
    <t>Abneigung gegen Wasserbeschwörung</t>
  </si>
  <si>
    <t>vn_abneigung_gegen_heilung</t>
  </si>
  <si>
    <t>Abneigung gegen Heilung</t>
  </si>
  <si>
    <t>Alle Zauber dieser Schule (sowie Antimagie-Zauber, die diese Schule betreffen) kosten 9 EP und haben die 1,5-fache Erschwerung. Kontakt einem Wirker erfordert jede KR eine Mut-Probe. PSI-Zauber, die dieser Schule zugeordnet werden können, kosten 18 EP pro Punkt. Magier, die diesen Nachteil und die [Schule] bei Erschaffung wählen, erhalten 650 EP zusätzlich, wovon mindestens 180 EP auf die [Schule] verteilt werden müssen.</t>
  </si>
  <si>
    <t>vn_abneigung_gegen_verzauberung</t>
  </si>
  <si>
    <t>Abneigung gegen Verzauberung</t>
  </si>
  <si>
    <t>vn_abneigung_gegen_beherrschung</t>
  </si>
  <si>
    <t>Abneigung gegen Beherrschung</t>
  </si>
  <si>
    <t>vn_immunitaet_gegen_erde</t>
  </si>
  <si>
    <t>Immunität gegen Erde</t>
  </si>
  <si>
    <t>Nur Meistercharaktere; im Spielermodus nie wählbar; bei der Charaktererschaffung im Meistermodus für Elementare passend zum eigenen Element verpflichtend.</t>
  </si>
  <si>
    <t>Elementar</t>
  </si>
  <si>
    <t>MEISTER_MODUS_PFLICHT</t>
  </si>
  <si>
    <t>M</t>
  </si>
  <si>
    <t>Nur Elementare: Der Charakter erleidet keinen Schaden durch das eigene Element Erde. Dieser Wert ist im Spielermodus nie wählbar. Bei der Charaktererschaffung im Meistermodus ist für Elementare die zum eigenen Element passende Immunität verpflichtend.</t>
  </si>
  <si>
    <t>vn_immunitaet_gegen_feuer</t>
  </si>
  <si>
    <t>Immunität gegen Feuer</t>
  </si>
  <si>
    <t>Nur Elementare: Der Charakter erleidet keinen Schaden durch das eigene Element Feuer. Dieser Wert ist im Spielermodus nie wählbar. Bei der Charaktererschaffung im Meistermodus ist für Elementare die zum eigenen Element passende Immunität verpflichtend.</t>
  </si>
  <si>
    <t>vn_immunitaet_gegen_luft</t>
  </si>
  <si>
    <t>Immunität gegen Luft</t>
  </si>
  <si>
    <t>Nur Elementare: Der Charakter erleidet keinen Schaden durch das eigene Element Luft. Dieser Wert ist im Spielermodus nie wählbar. Bei der Charaktererschaffung im Meistermodus ist für Elementare die zum eigenen Element passende Immunität verpflichtend.</t>
  </si>
  <si>
    <t>vn_immunitaet_gegen_magie</t>
  </si>
  <si>
    <t>Immunität gegen Magie</t>
  </si>
  <si>
    <t>Nur Elementare: Der Charakter erleidet keinen Schaden durch das eigene Element Magie. Dieser Wert ist im Spielermodus nie wählbar. Bei der Charaktererschaffung im Meistermodus ist für Elementare die zum eigenen Element passende Immunität verpflichtend.</t>
  </si>
  <si>
    <t>vn_immunitaet_gegen_wasser</t>
  </si>
  <si>
    <t>Immunität gegen Wasser</t>
  </si>
  <si>
    <t>Nur Elementare: Der Charakter erleidet keinen Schaden durch das eigene Element Wasser. Dieser Wert ist im Spielermodus nie wählbar. Bei der Charaktererschaffung im Meistermodus ist für Elementare die zum eigenen Element passende Immunität verpflichtend.</t>
  </si>
  <si>
    <t>vn_kind_der_froehlichkeit</t>
  </si>
  <si>
    <t>Kind der Fröhlichkeit</t>
  </si>
  <si>
    <t>Jeder Spielercharakter besitzt diesen Vorteil automatisch; nicht manuell wählbar; bei der Spielercharakter-Erstellung verpflichtend zu vergeben.</t>
  </si>
  <si>
    <t>Spielercharakter</t>
  </si>
  <si>
    <t>Automatisch</t>
  </si>
  <si>
    <t>SPIELERCHARAKTER_PFLICHT</t>
  </si>
  <si>
    <t>SC</t>
  </si>
  <si>
    <t>Wirft der Charakter eine fröhliche Probe, hat er den Anspruch auf eine weitere Probe auf das selbe Talent. Bei normalem/gutem/meisterlichem/fröhlichem Erfolg in dieser Probe erhöht sich das Maximum bei Eigenschaften um 0/1/2/3, bei Attributen um 0/0/0/1, bei Grundfertigkeiten um 1/2/3/4, bei Kampftalenten um 0/1/2/3, bei Optios und Sprachen um 2/4/6/8, bei PSI- und Spruchzaubern (jeweils für den einzelnen Zauber) um 1/2/3/4; bei KI-Fähigkeiten wird das Talent selbst um 1/2/3/4 erhöht (die Erhöhung wird beim Steigern nicht einbezogen, sondern immer nach dem Steigern addiert). Jeder Spielercharakter besitzt diesen Vorteil automatisch.</t>
  </si>
  <si>
    <t>vn_meisterlicher_antimagie_magier_1</t>
  </si>
  <si>
    <t>Meisterlicher Antimagie-Magier I</t>
  </si>
  <si>
    <t>Gilt ausschließlich für die Schule Antimagie. Nicht kumulativ; eine höhere Stufe ersetzt die vorherige.</t>
  </si>
  <si>
    <t>NICHT_KUMULATIV_MEISTERLICHER_SCHULE</t>
  </si>
  <si>
    <t>Nur Nasus Nasus, nur Magier: Die Wirkung von Zaubern der Schule Antimagie erhöht sich um 50 % (Faktor 1,5). Nicht kumulativ mit den anderen Stufen dieses Vorteils. Eine höhere Stufe ersetzt die vorherige Stufe.</t>
  </si>
  <si>
    <t>vn_meisterlicher_beherrschung_magier_1</t>
  </si>
  <si>
    <t>Meisterlicher Beherrschung-Magier I</t>
  </si>
  <si>
    <t>Gilt ausschließlich für die Schule Beherrschung. Nicht kumulativ; eine höhere Stufe ersetzt die vorherige.</t>
  </si>
  <si>
    <t>Nur Nasus Nasus, nur Magier: Die Wirkung von Zaubern der Schule Beherrschung erhöht sich um 50 % (Faktor 1,5). Nicht kumulativ mit den anderen Stufen dieses Vorteils. Eine höhere Stufe ersetzt die vorherige Stufe.</t>
  </si>
  <si>
    <t>vn_meisterlicher_erdbeschwoerung_magier_1</t>
  </si>
  <si>
    <t>Meisterlicher Erdbeschwörung-Magier I</t>
  </si>
  <si>
    <t>Gilt ausschließlich für die Schule Erdbeschwörung. Nicht kumulativ; eine höhere Stufe ersetzt die vorherige.</t>
  </si>
  <si>
    <t>Nur Nasus Nasus, nur Magier: Die Wirkung von Zaubern der Schule Erdbeschwörung erhöht sich um 50 % (Faktor 1,5). Nicht kumulativ mit den anderen Stufen dieses Vorteils. Eine höhere Stufe ersetzt die vorherige Stufe.</t>
  </si>
  <si>
    <t>vn_meisterlicher_feuerbeschwoerung_magier_1</t>
  </si>
  <si>
    <t>Meisterlicher Feuerbeschwörung-Magier I</t>
  </si>
  <si>
    <t>Gilt ausschließlich für die Schule Feuerbeschwörung. Nicht kumulativ; eine höhere Stufe ersetzt die vorherige.</t>
  </si>
  <si>
    <t>Nur Nasus Nasus, nur Magier: Die Wirkung von Zaubern der Schule Feuerbeschwörung erhöht sich um 50 % (Faktor 1,5). Nicht kumulativ mit den anderen Stufen dieses Vorteils. Eine höhere Stufe ersetzt die vorherige Stufe.</t>
  </si>
  <si>
    <t>vn_meisterlicher_heilung_magier_1</t>
  </si>
  <si>
    <t>Meisterlicher Heilung-Magier I</t>
  </si>
  <si>
    <t>Gilt ausschließlich für die Schule Heilung. Nicht kumulativ; eine höhere Stufe ersetzt die vorherige.</t>
  </si>
  <si>
    <t>Nur Nasus Nasus, nur Magier: Die Wirkung von Zaubern der Schule Heilung erhöht sich um 50 % (Faktor 1,5). Nicht kumulativ mit den anderen Stufen dieses Vorteils. Eine höhere Stufe ersetzt die vorherige Stufe.</t>
  </si>
  <si>
    <t>vn_meisterlicher_hellsicht_magier_1</t>
  </si>
  <si>
    <t>Meisterlicher Hellsicht-Magier I</t>
  </si>
  <si>
    <t>Gilt ausschließlich für die Schule Hellsicht. Nicht kumulativ; eine höhere Stufe ersetzt die vorherige.</t>
  </si>
  <si>
    <t>Nur Nasus Nasus, nur Magier: Die Wirkung von Zaubern der Schule Hellsicht erhöht sich um 50 % (Faktor 1,5). Nicht kumulativ mit den anderen Stufen dieses Vorteils. Eine höhere Stufe ersetzt die vorherige Stufe.</t>
  </si>
  <si>
    <t>vn_meisterlicher_illusion_magier_1</t>
  </si>
  <si>
    <t>Meisterlicher Illusion-Magier I</t>
  </si>
  <si>
    <t>Gilt ausschließlich für die Schule Illusion. Nicht kumulativ; eine höhere Stufe ersetzt die vorherige.</t>
  </si>
  <si>
    <t>Nur Nasus Nasus, nur Magier: Die Wirkung von Zaubern der Schule Illusion erhöht sich um 50 % (Faktor 1,5). Nicht kumulativ mit den anderen Stufen dieses Vorteils. Eine höhere Stufe ersetzt die vorherige Stufe.</t>
  </si>
  <si>
    <t>vn_meisterlicher_luftbeschwoerung_magier_1</t>
  </si>
  <si>
    <t>Meisterlicher Luftbeschwörung-Magier I</t>
  </si>
  <si>
    <t>Gilt ausschließlich für die Schule Luftbeschwörung. Nicht kumulativ; eine höhere Stufe ersetzt die vorherige.</t>
  </si>
  <si>
    <t>Nur Nasus Nasus, nur Magier: Die Wirkung von Zaubern der Schule Luftbeschwörung erhöht sich um 50 % (Faktor 1,5). Nicht kumulativ mit den anderen Stufen dieses Vorteils. Eine höhere Stufe ersetzt die vorherige Stufe.</t>
  </si>
  <si>
    <t>vn_meisterlicher_magiebeschwoerung_magier_1</t>
  </si>
  <si>
    <t>Meisterlicher Magiebeschwörung-Magier I</t>
  </si>
  <si>
    <t>Gilt ausschließlich für die Schule Magiebeschwörung. Nicht kumulativ; eine höhere Stufe ersetzt die vorherige.</t>
  </si>
  <si>
    <t>Nur Nasus Nasus, nur Magier: Die Wirkung von Zaubern der Schule Magiebeschwörung erhöht sich um 50 % (Faktor 1,5). Nicht kumulativ mit den anderen Stufen dieses Vorteils. Eine höhere Stufe ersetzt die vorherige Stufe.</t>
  </si>
  <si>
    <t>vn_meisterlicher_veraenderung_magier_1</t>
  </si>
  <si>
    <t>Meisterlicher Veränderung-Magier I</t>
  </si>
  <si>
    <t>Gilt ausschließlich für die Schule Veränderung. Nicht kumulativ; eine höhere Stufe ersetzt die vorherige.</t>
  </si>
  <si>
    <t>Nur Nasus Nasus, nur Magier: Die Wirkung von Zaubern der Schule Veränderung erhöht sich um 50 % (Faktor 1,5). Nicht kumulativ mit den anderen Stufen dieses Vorteils. Eine höhere Stufe ersetzt die vorherige Stufe.</t>
  </si>
  <si>
    <t>vn_meisterlicher_verzauberung_magier_1</t>
  </si>
  <si>
    <t>Meisterlicher Verzauberung-Magier I</t>
  </si>
  <si>
    <t>Gilt ausschließlich für die Schule Verzauberung. Nicht kumulativ; eine höhere Stufe ersetzt die vorherige.</t>
  </si>
  <si>
    <t>Nur Nasus Nasus, nur Magier: Die Wirkung von Zaubern der Schule Verzauberung erhöht sich um 50 % (Faktor 1,5). Nicht kumulativ mit den anderen Stufen dieses Vorteils. Eine höhere Stufe ersetzt die vorherige Stufe.</t>
  </si>
  <si>
    <t>vn_meisterlicher_wasserbeschwoerung_magier_1</t>
  </si>
  <si>
    <t>Meisterlicher Wasserbeschwörung-Magier I</t>
  </si>
  <si>
    <t>Gilt ausschließlich für die Schule Wasserbeschwörung. Nicht kumulativ; eine höhere Stufe ersetzt die vorherige.</t>
  </si>
  <si>
    <t>Nur Nasus Nasus, nur Magier: Die Wirkung von Zaubern der Schule Wasserbeschwörung erhöht sich um 50 % (Faktor 1,5). Nicht kumulativ mit den anderen Stufen dieses Vorteils. Eine höhere Stufe ersetzt die vorherige Stufe.</t>
  </si>
  <si>
    <t>vn_meisterlicher_antimagie_magier_2</t>
  </si>
  <si>
    <t>Meisterlicher Antimagie-Magier II</t>
  </si>
  <si>
    <t>Gilt ausschließlich für die Schule Antimagie. Nicht kumulativ; eine höhere Stufe ersetzt die vorherige. Voraussetzung: vn_meisterlicher_antimagie_magier_1.</t>
  </si>
  <si>
    <t>NICHT_KUMULATIV_MEISTERLICHER_SCHULE;VORAUSSETZUNG=vn_meisterlicher_antimagie_magier_1</t>
  </si>
  <si>
    <t>Voraussetzung: Meisterlicher Antimagie-Magier I. Die Wirkung von Zaubern der Schule Antimagie erhöht sich um 100 % (Faktor 2). Nicht kumulativ mit den anderen Stufen dieses Vorteils. Eine höhere Stufe ersetzt die vorherige Stufe.</t>
  </si>
  <si>
    <t>vn_meisterlicher_beherrschung_magier_2</t>
  </si>
  <si>
    <t>Meisterlicher Beherrschung-Magier II</t>
  </si>
  <si>
    <t>Gilt ausschließlich für die Schule Beherrschung. Nicht kumulativ; eine höhere Stufe ersetzt die vorherige. Voraussetzung: vn_meisterlicher_beherrschung_magier_1.</t>
  </si>
  <si>
    <t>NICHT_KUMULATIV_MEISTERLICHER_SCHULE;VORAUSSETZUNG=vn_meisterlicher_beherrschung_magier_1</t>
  </si>
  <si>
    <t>Voraussetzung: Meisterlicher Beherrschung-Magier I. Die Wirkung von Zaubern der Schule Beherrschung erhöht sich um 100 % (Faktor 2). Nicht kumulativ mit den anderen Stufen dieses Vorteils. Eine höhere Stufe ersetzt die vorherige Stufe.</t>
  </si>
  <si>
    <t>vn_meisterlicher_erdbeschwoerung_magier_2</t>
  </si>
  <si>
    <t>Meisterlicher Erdbeschwörung-Magier II</t>
  </si>
  <si>
    <t>Gilt ausschließlich für die Schule Erdbeschwörung. Nicht kumulativ; eine höhere Stufe ersetzt die vorherige. Voraussetzung: vn_meisterlicher_erdbeschwoerung_magier_1.</t>
  </si>
  <si>
    <t>NICHT_KUMULATIV_MEISTERLICHER_SCHULE;VORAUSSETZUNG=vn_meisterlicher_erdbeschwoerung_magier_1</t>
  </si>
  <si>
    <t>Voraussetzung: Meisterlicher Erdbeschwörung-Magier I. Die Wirkung von Zaubern der Schule Erdbeschwörung erhöht sich um 100 % (Faktor 2). Nicht kumulativ mit den anderen Stufen dieses Vorteils. Eine höhere Stufe ersetzt die vorherige Stufe.</t>
  </si>
  <si>
    <t>vn_meisterlicher_feuerbeschwoerung_magier_2</t>
  </si>
  <si>
    <t>Meisterlicher Feuerbeschwörung-Magier II</t>
  </si>
  <si>
    <t>Gilt ausschließlich für die Schule Feuerbeschwörung. Nicht kumulativ; eine höhere Stufe ersetzt die vorherige. Voraussetzung: vn_meisterlicher_feuerbeschwoerung_magier_1.</t>
  </si>
  <si>
    <t>NICHT_KUMULATIV_MEISTERLICHER_SCHULE;VORAUSSETZUNG=vn_meisterlicher_feuerbeschwoerung_magier_1</t>
  </si>
  <si>
    <t>Voraussetzung: Meisterlicher Feuerbeschwörung-Magier I. Die Wirkung von Zaubern der Schule Feuerbeschwörung erhöht sich um 100 % (Faktor 2). Nicht kumulativ mit den anderen Stufen dieses Vorteils. Eine höhere Stufe ersetzt die vorherige Stufe.</t>
  </si>
  <si>
    <t>vn_meisterlicher_heilung_magier_2</t>
  </si>
  <si>
    <t>Meisterlicher Heilung-Magier II</t>
  </si>
  <si>
    <t>Gilt ausschließlich für die Schule Heilung. Nicht kumulativ; eine höhere Stufe ersetzt die vorherige. Voraussetzung: vn_meisterlicher_heilung_magier_1.</t>
  </si>
  <si>
    <t>NICHT_KUMULATIV_MEISTERLICHER_SCHULE;VORAUSSETZUNG=vn_meisterlicher_heilung_magier_1</t>
  </si>
  <si>
    <t>Voraussetzung: Meisterlicher Heilung-Magier I. Die Wirkung von Zaubern der Schule Heilung erhöht sich um 100 % (Faktor 2). Nicht kumulativ mit den anderen Stufen dieses Vorteils. Eine höhere Stufe ersetzt die vorherige Stufe.</t>
  </si>
  <si>
    <t>vn_meisterlicher_hellsicht_magier_2</t>
  </si>
  <si>
    <t>Meisterlicher Hellsicht-Magier II</t>
  </si>
  <si>
    <t>Gilt ausschließlich für die Schule Hellsicht. Nicht kumulativ; eine höhere Stufe ersetzt die vorherige. Voraussetzung: vn_meisterlicher_hellsicht_magier_1.</t>
  </si>
  <si>
    <t>NICHT_KUMULATIV_MEISTERLICHER_SCHULE;VORAUSSETZUNG=vn_meisterlicher_hellsicht_magier_1</t>
  </si>
  <si>
    <t>Voraussetzung: Meisterlicher Hellsicht-Magier I. Die Wirkung von Zaubern der Schule Hellsicht erhöht sich um 100 % (Faktor 2). Nicht kumulativ mit den anderen Stufen dieses Vorteils. Eine höhere Stufe ersetzt die vorherige Stufe.</t>
  </si>
  <si>
    <t>vn_meisterlicher_illusion_magier_2</t>
  </si>
  <si>
    <t>Meisterlicher Illusion-Magier II</t>
  </si>
  <si>
    <t>Gilt ausschließlich für die Schule Illusion. Nicht kumulativ; eine höhere Stufe ersetzt die vorherige. Voraussetzung: vn_meisterlicher_illusion_magier_1.</t>
  </si>
  <si>
    <t>NICHT_KUMULATIV_MEISTERLICHER_SCHULE;VORAUSSETZUNG=vn_meisterlicher_illusion_magier_1</t>
  </si>
  <si>
    <t>Voraussetzung: Meisterlicher Illusion-Magier I. Die Wirkung von Zaubern der Schule Illusion erhöht sich um 100 % (Faktor 2). Nicht kumulativ mit den anderen Stufen dieses Vorteils. Eine höhere Stufe ersetzt die vorherige Stufe.</t>
  </si>
  <si>
    <t>vn_meisterlicher_luftbeschwoerung_magier_2</t>
  </si>
  <si>
    <t>Meisterlicher Luftbeschwörung-Magier II</t>
  </si>
  <si>
    <t>Gilt ausschließlich für die Schule Luftbeschwörung. Nicht kumulativ; eine höhere Stufe ersetzt die vorherige. Voraussetzung: vn_meisterlicher_luftbeschwoerung_magier_1.</t>
  </si>
  <si>
    <t>NICHT_KUMULATIV_MEISTERLICHER_SCHULE;VORAUSSETZUNG=vn_meisterlicher_luftbeschwoerung_magier_1</t>
  </si>
  <si>
    <t>Voraussetzung: Meisterlicher Luftbeschwörung-Magier I. Die Wirkung von Zaubern der Schule Luftbeschwörung erhöht sich um 100 % (Faktor 2). Nicht kumulativ mit den anderen Stufen dieses Vorteils. Eine höhere Stufe ersetzt die vorherige Stufe.</t>
  </si>
  <si>
    <t>vn_meisterlicher_magiebeschwoerung_magier_2</t>
  </si>
  <si>
    <t>Meisterlicher Magiebeschwörung-Magier II</t>
  </si>
  <si>
    <t>Gilt ausschließlich für die Schule Magiebeschwörung. Nicht kumulativ; eine höhere Stufe ersetzt die vorherige. Voraussetzung: vn_meisterlicher_magiebeschwoerung_magier_1.</t>
  </si>
  <si>
    <t>NICHT_KUMULATIV_MEISTERLICHER_SCHULE;VORAUSSETZUNG=vn_meisterlicher_magiebeschwoerung_magier_1</t>
  </si>
  <si>
    <t>Voraussetzung: Meisterlicher Magiebeschwörung-Magier I. Die Wirkung von Zaubern der Schule Magiebeschwörung erhöht sich um 100 % (Faktor 2). Nicht kumulativ mit den anderen Stufen dieses Vorteils. Eine höhere Stufe ersetzt die vorherige Stufe.</t>
  </si>
  <si>
    <t>vn_meisterlicher_veraenderung_magier_2</t>
  </si>
  <si>
    <t>Meisterlicher Veränderung-Magier II</t>
  </si>
  <si>
    <t>Gilt ausschließlich für die Schule Veränderung. Nicht kumulativ; eine höhere Stufe ersetzt die vorherige. Voraussetzung: vn_meisterlicher_veraenderung_magier_1.</t>
  </si>
  <si>
    <t>NICHT_KUMULATIV_MEISTERLICHER_SCHULE;VORAUSSETZUNG=vn_meisterlicher_veraenderung_magier_1</t>
  </si>
  <si>
    <t>Voraussetzung: Meisterlicher Veränderung-Magier I. Die Wirkung von Zaubern der Schule Veränderung erhöht sich um 100 % (Faktor 2). Nicht kumulativ mit den anderen Stufen dieses Vorteils. Eine höhere Stufe ersetzt die vorherige Stufe.</t>
  </si>
  <si>
    <t>vn_meisterlicher_verzauberung_magier_2</t>
  </si>
  <si>
    <t>Meisterlicher Verzauberung-Magier II</t>
  </si>
  <si>
    <t>Gilt ausschließlich für die Schule Verzauberung. Nicht kumulativ; eine höhere Stufe ersetzt die vorherige. Voraussetzung: vn_meisterlicher_verzauberung_magier_1.</t>
  </si>
  <si>
    <t>NICHT_KUMULATIV_MEISTERLICHER_SCHULE;VORAUSSETZUNG=vn_meisterlicher_verzauberung_magier_1</t>
  </si>
  <si>
    <t>Voraussetzung: Meisterlicher Verzauberung-Magier I. Die Wirkung von Zaubern der Schule Verzauberung erhöht sich um 100 % (Faktor 2). Nicht kumulativ mit den anderen Stufen dieses Vorteils. Eine höhere Stufe ersetzt die vorherige Stufe.</t>
  </si>
  <si>
    <t>vn_meisterlicher_wasserbeschwoerung_magier_2</t>
  </si>
  <si>
    <t>Meisterlicher Wasserbeschwörung-Magier II</t>
  </si>
  <si>
    <t>Gilt ausschließlich für die Schule Wasserbeschwörung. Nicht kumulativ; eine höhere Stufe ersetzt die vorherige. Voraussetzung: vn_meisterlicher_wasserbeschwoerung_magier_1.</t>
  </si>
  <si>
    <t>NICHT_KUMULATIV_MEISTERLICHER_SCHULE;VORAUSSETZUNG=vn_meisterlicher_wasserbeschwoerung_magier_1</t>
  </si>
  <si>
    <t>Voraussetzung: Meisterlicher Wasserbeschwörung-Magier I. Die Wirkung von Zaubern der Schule Wasserbeschwörung erhöht sich um 100 % (Faktor 2). Nicht kumulativ mit den anderen Stufen dieses Vorteils. Eine höhere Stufe ersetzt die vorherige Stufe.</t>
  </si>
  <si>
    <t>vn_meisterlicher_antimagie_magier_3</t>
  </si>
  <si>
    <t>Meisterlicher Antimagie-Magier III</t>
  </si>
  <si>
    <t>Gilt ausschließlich für die Schule Antimagie. Nicht kumulativ; eine höhere Stufe ersetzt die vorherige. Voraussetzung: vn_meisterlicher_antimagie_magier_2.</t>
  </si>
  <si>
    <t>NICHT_KUMULATIV_MEISTERLICHER_SCHULE;VORAUSSETZUNG=vn_meisterlicher_antimagie_magier_2</t>
  </si>
  <si>
    <t>Voraussetzung: Meisterlicher Antimagie-Magier II. Die Wirkung von Zaubern der Schule Antimagie erhöht sich um 150 % (Faktor 2,5). Nicht kumulativ mit den anderen Stufen dieses Vorteils. Eine höhere Stufe ersetzt die vorherige Stufe.</t>
  </si>
  <si>
    <t>vn_meisterlicher_beherrschung_magier_3</t>
  </si>
  <si>
    <t>Meisterlicher Beherrschung-Magier III</t>
  </si>
  <si>
    <t>Gilt ausschließlich für die Schule Beherrschung. Nicht kumulativ; eine höhere Stufe ersetzt die vorherige. Voraussetzung: vn_meisterlicher_beherrschung_magier_2.</t>
  </si>
  <si>
    <t>NICHT_KUMULATIV_MEISTERLICHER_SCHULE;VORAUSSETZUNG=vn_meisterlicher_beherrschung_magier_2</t>
  </si>
  <si>
    <t>Voraussetzung: Meisterlicher Beherrschung-Magier II. Die Wirkung von Zaubern der Schule Beherrschung erhöht sich um 150 % (Faktor 2,5). Nicht kumulativ mit den anderen Stufen dieses Vorteils. Eine höhere Stufe ersetzt die vorherige Stufe.</t>
  </si>
  <si>
    <t>vn_meisterlicher_erdbeschwoerung_magier_3</t>
  </si>
  <si>
    <t>Meisterlicher Erdbeschwörung-Magier III</t>
  </si>
  <si>
    <t>Gilt ausschließlich für die Schule Erdbeschwörung. Nicht kumulativ; eine höhere Stufe ersetzt die vorherige. Voraussetzung: vn_meisterlicher_erdbeschwoerung_magier_2.</t>
  </si>
  <si>
    <t>NICHT_KUMULATIV_MEISTERLICHER_SCHULE;VORAUSSETZUNG=vn_meisterlicher_erdbeschwoerung_magier_2</t>
  </si>
  <si>
    <t>Voraussetzung: Meisterlicher Erdbeschwörung-Magier II. Die Wirkung von Zaubern der Schule Erdbeschwörung erhöht sich um 150 % (Faktor 2,5). Nicht kumulativ mit den anderen Stufen dieses Vorteils. Eine höhere Stufe ersetzt die vorherige Stufe.</t>
  </si>
  <si>
    <t>vn_meisterlicher_feuerbeschwoerung_magier_3</t>
  </si>
  <si>
    <t>Meisterlicher Feuerbeschwörung-Magier III</t>
  </si>
  <si>
    <t>Gilt ausschließlich für die Schule Feuerbeschwörung. Nicht kumulativ; eine höhere Stufe ersetzt die vorherige. Voraussetzung: vn_meisterlicher_feuerbeschwoerung_magier_2.</t>
  </si>
  <si>
    <t>NICHT_KUMULATIV_MEISTERLICHER_SCHULE;VORAUSSETZUNG=vn_meisterlicher_feuerbeschwoerung_magier_2</t>
  </si>
  <si>
    <t>Voraussetzung: Meisterlicher Feuerbeschwörung-Magier II. Die Wirkung von Zaubern der Schule Feuerbeschwörung erhöht sich um 150 % (Faktor 2,5). Nicht kumulativ mit den anderen Stufen dieses Vorteils. Eine höhere Stufe ersetzt die vorherige Stufe.</t>
  </si>
  <si>
    <t>vn_meisterlicher_heilung_magier_3</t>
  </si>
  <si>
    <t>Meisterlicher Heilung-Magier III</t>
  </si>
  <si>
    <t>Gilt ausschließlich für die Schule Heilung. Nicht kumulativ; eine höhere Stufe ersetzt die vorherige. Voraussetzung: vn_meisterlicher_heilung_magier_2.</t>
  </si>
  <si>
    <t>NICHT_KUMULATIV_MEISTERLICHER_SCHULE;VORAUSSETZUNG=vn_meisterlicher_heilung_magier_2</t>
  </si>
  <si>
    <t>Voraussetzung: Meisterlicher Heilung-Magier II. Die Wirkung von Zaubern der Schule Heilung erhöht sich um 150 % (Faktor 2,5). Nicht kumulativ mit den anderen Stufen dieses Vorteils. Eine höhere Stufe ersetzt die vorherige Stufe.</t>
  </si>
  <si>
    <t>vn_meisterlicher_hellsicht_magier_3</t>
  </si>
  <si>
    <t>Meisterlicher Hellsicht-Magier III</t>
  </si>
  <si>
    <t>Gilt ausschließlich für die Schule Hellsicht. Nicht kumulativ; eine höhere Stufe ersetzt die vorherige. Voraussetzung: vn_meisterlicher_hellsicht_magier_2.</t>
  </si>
  <si>
    <t>NICHT_KUMULATIV_MEISTERLICHER_SCHULE;VORAUSSETZUNG=vn_meisterlicher_hellsicht_magier_2</t>
  </si>
  <si>
    <t>Voraussetzung: Meisterlicher Hellsicht-Magier II. Die Wirkung von Zaubern der Schule Hellsicht erhöht sich um 150 % (Faktor 2,5). Nicht kumulativ mit den anderen Stufen dieses Vorteils. Eine höhere Stufe ersetzt die vorherige Stufe.</t>
  </si>
  <si>
    <t>vn_meisterlicher_illusion_magier_3</t>
  </si>
  <si>
    <t>Meisterlicher Illusion-Magier III</t>
  </si>
  <si>
    <t>Gilt ausschließlich für die Schule Illusion. Nicht kumulativ; eine höhere Stufe ersetzt die vorherige. Voraussetzung: vn_meisterlicher_illusion_magier_2.</t>
  </si>
  <si>
    <t>NICHT_KUMULATIV_MEISTERLICHER_SCHULE;VORAUSSETZUNG=vn_meisterlicher_illusion_magier_2</t>
  </si>
  <si>
    <t>Voraussetzung: Meisterlicher Illusion-Magier II. Die Wirkung von Zaubern der Schule Illusion erhöht sich um 150 % (Faktor 2,5). Nicht kumulativ mit den anderen Stufen dieses Vorteils. Eine höhere Stufe ersetzt die vorherige Stufe.</t>
  </si>
  <si>
    <t>vn_meisterlicher_luftbeschwoerung_magier_3</t>
  </si>
  <si>
    <t>Meisterlicher Luftbeschwörung-Magier III</t>
  </si>
  <si>
    <t>Gilt ausschließlich für die Schule Luftbeschwörung. Nicht kumulativ; eine höhere Stufe ersetzt die vorherige. Voraussetzung: vn_meisterlicher_luftbeschwoerung_magier_2.</t>
  </si>
  <si>
    <t>NICHT_KUMULATIV_MEISTERLICHER_SCHULE;VORAUSSETZUNG=vn_meisterlicher_luftbeschwoerung_magier_2</t>
  </si>
  <si>
    <t>Voraussetzung: Meisterlicher Luftbeschwörung-Magier II. Die Wirkung von Zaubern der Schule Luftbeschwörung erhöht sich um 150 % (Faktor 2,5). Nicht kumulativ mit den anderen Stufen dieses Vorteils. Eine höhere Stufe ersetzt die vorherige Stufe.</t>
  </si>
  <si>
    <t>vn_meisterlicher_magiebeschwoerung_magier_3</t>
  </si>
  <si>
    <t>Meisterlicher Magiebeschwörung-Magier III</t>
  </si>
  <si>
    <t>Gilt ausschließlich für die Schule Magiebeschwörung. Nicht kumulativ; eine höhere Stufe ersetzt die vorherige. Voraussetzung: vn_meisterlicher_magiebeschwoerung_magier_2.</t>
  </si>
  <si>
    <t>NICHT_KUMULATIV_MEISTERLICHER_SCHULE;VORAUSSETZUNG=vn_meisterlicher_magiebeschwoerung_magier_2</t>
  </si>
  <si>
    <t>Voraussetzung: Meisterlicher Magiebeschwörung-Magier II. Die Wirkung von Zaubern der Schule Magiebeschwörung erhöht sich um 150 % (Faktor 2,5). Nicht kumulativ mit den anderen Stufen dieses Vorteils. Eine höhere Stufe ersetzt die vorherige Stufe.</t>
  </si>
  <si>
    <t>vn_meisterlicher_veraenderung_magier_3</t>
  </si>
  <si>
    <t>Meisterlicher Veränderung-Magier III</t>
  </si>
  <si>
    <t>Gilt ausschließlich für die Schule Veränderung. Nicht kumulativ; eine höhere Stufe ersetzt die vorherige. Voraussetzung: vn_meisterlicher_veraenderung_magier_2.</t>
  </si>
  <si>
    <t>NICHT_KUMULATIV_MEISTERLICHER_SCHULE;VORAUSSETZUNG=vn_meisterlicher_veraenderung_magier_2</t>
  </si>
  <si>
    <t>Voraussetzung: Meisterlicher Veränderung-Magier II. Die Wirkung von Zaubern der Schule Veränderung erhöht sich um 150 % (Faktor 2,5). Nicht kumulativ mit den anderen Stufen dieses Vorteils. Eine höhere Stufe ersetzt die vorherige Stufe.</t>
  </si>
  <si>
    <t>vn_meisterlicher_verzauberung_magier_3</t>
  </si>
  <si>
    <t>Meisterlicher Verzauberung-Magier III</t>
  </si>
  <si>
    <t>Gilt ausschließlich für die Schule Verzauberung. Nicht kumulativ; eine höhere Stufe ersetzt die vorherige. Voraussetzung: vn_meisterlicher_verzauberung_magier_2.</t>
  </si>
  <si>
    <t>NICHT_KUMULATIV_MEISTERLICHER_SCHULE;VORAUSSETZUNG=vn_meisterlicher_verzauberung_magier_2</t>
  </si>
  <si>
    <t>Voraussetzung: Meisterlicher Verzauberung-Magier II. Die Wirkung von Zaubern der Schule Verzauberung erhöht sich um 150 % (Faktor 2,5). Nicht kumulativ mit den anderen Stufen dieses Vorteils. Eine höhere Stufe ersetzt die vorherige Stufe.</t>
  </si>
  <si>
    <t>vn_meisterlicher_wasserbeschwoerung_magier_3</t>
  </si>
  <si>
    <t>Meisterlicher Wasserbeschwörung-Magier III</t>
  </si>
  <si>
    <t>Gilt ausschließlich für die Schule Wasserbeschwörung. Nicht kumulativ; eine höhere Stufe ersetzt die vorherige. Voraussetzung: vn_meisterlicher_wasserbeschwoerung_magier_2.</t>
  </si>
  <si>
    <t>NICHT_KUMULATIV_MEISTERLICHER_SCHULE;VORAUSSETZUNG=vn_meisterlicher_wasserbeschwoerung_magier_2</t>
  </si>
  <si>
    <t>Voraussetzung: Meisterlicher Wasserbeschwörung-Magier II. Die Wirkung von Zaubern der Schule Wasserbeschwörung erhöht sich um 150 % (Faktor 2,5). Nicht kumulativ mit den anderen Stufen dieses Vorteils. Eine höhere Stufe ersetzt die vorherige Stufe.</t>
  </si>
  <si>
    <t>vn_telepathie_sender</t>
  </si>
  <si>
    <t>Telepathie: Sender</t>
  </si>
  <si>
    <t>Ausschließlich für die Spezies Elementare wählbar.</t>
  </si>
  <si>
    <t>SPEZIES_ELEMENTARE</t>
  </si>
  <si>
    <t>Nur für Charaktere der Spezies Elementare.</t>
  </si>
  <si>
    <t>vn_telepathie_empfaenger</t>
  </si>
  <si>
    <t>Telepathie: Empfänger</t>
  </si>
  <si>
    <t>vn_aussehen_normal</t>
  </si>
  <si>
    <t>Aussehen: Normal</t>
  </si>
  <si>
    <t>Neutrale Aussehensstufe.</t>
  </si>
  <si>
    <t>Aussehen</t>
  </si>
  <si>
    <t>vn_faehigkeit_meisterliche_grundfertigkeit_betoeren</t>
  </si>
  <si>
    <t>Fähigkeit: Meisterliche Grundfertigkeit: Betören</t>
  </si>
  <si>
    <t>Festes Ziel: Betören (gr_betoeren).</t>
  </si>
  <si>
    <t>Meisterliche Grundfertigkeit</t>
  </si>
  <si>
    <t>ZIEL_GRUNDFERTIGKEIT=gr_betoeren</t>
  </si>
  <si>
    <t>Nicht Magier: Der Charakter kann max. (M) Mana für (M)×2 min in 1 Talentpunkt pro 4 Mana der Grundfertigkeit Betören umwandeln. Dieser Vorteil gilt ausschließlich für Betören und muss für jede Grundfertigkeit einzeln gekauft werden.</t>
  </si>
  <si>
    <t>vn_faehigkeit_meisterliche_grundfertigkeit_dauerlauf</t>
  </si>
  <si>
    <t>Fähigkeit: Meisterliche Grundfertigkeit: Dauerlauf</t>
  </si>
  <si>
    <t>Festes Ziel: Dauerlauf (gr_dauerlauf).</t>
  </si>
  <si>
    <t>ZIEL_GRUNDFERTIGKEIT=gr_dauerlauf</t>
  </si>
  <si>
    <t>Nicht Magier: Der Charakter kann max. (M) Mana für (M)×2 min in 1 Talentpunkt pro 4 Mana der Grundfertigkeit Dauerlauf umwandeln. Dieser Vorteil gilt ausschließlich für Dauerlauf und muss für jede Grundfertigkeit einzeln gekauft werden.</t>
  </si>
  <si>
    <t>vn_faehigkeit_meisterliche_grundfertigkeit_einschuechtern</t>
  </si>
  <si>
    <t>Fähigkeit: Meisterliche Grundfertigkeit: Einschüchtern</t>
  </si>
  <si>
    <t>Festes Ziel: Einschüchtern (gr_einschuechtern).</t>
  </si>
  <si>
    <t>ZIEL_GRUNDFERTIGKEIT=gr_einschuechtern</t>
  </si>
  <si>
    <t>Nicht Magier: Der Charakter kann max. (M) Mana für (M)×2 min in 1 Talentpunkt pro 4 Mana der Grundfertigkeit Einschüchtern umwandeln. Dieser Vorteil gilt ausschließlich für Einschüchtern und muss für jede Grundfertigkeit einzeln gekauft werden.</t>
  </si>
  <si>
    <t>vn_faehigkeit_meisterliche_grundfertigkeit_faehrtensuche</t>
  </si>
  <si>
    <t>Fähigkeit: Meisterliche Grundfertigkeit: Fährtensuche</t>
  </si>
  <si>
    <t>Festes Ziel: Fährtensuche (gr_faehrtensuche).</t>
  </si>
  <si>
    <t>ZIEL_GRUNDFERTIGKEIT=gr_faehrtensuche</t>
  </si>
  <si>
    <t>Nicht Magier: Der Charakter kann max. (M) Mana für (M)×2 min in 1 Talentpunkt pro 4 Mana der Grundfertigkeit Fährtensuche umwandeln. Dieser Vorteil gilt ausschließlich für Fährtensuche und muss für jede Grundfertigkeit einzeln gekauft werden.</t>
  </si>
  <si>
    <t>vn_faehigkeit_meisterliche_grundfertigkeit_fliegen</t>
  </si>
  <si>
    <t>Fähigkeit: Meisterliche Grundfertigkeit: Fliegen</t>
  </si>
  <si>
    <t>Festes Ziel: Fliegen (gr_fliegen).</t>
  </si>
  <si>
    <t>ZIEL_GRUNDFERTIGKEIT=gr_fliegen</t>
  </si>
  <si>
    <t>Nicht Magier: Der Charakter kann max. (M) Mana für (M)×2 min in 1 Talentpunkt pro 4 Mana der Grundfertigkeit Fliegen umwandeln. Dieser Vorteil gilt ausschließlich für Fliegen und muss für jede Grundfertigkeit einzeln gekauft werden.</t>
  </si>
  <si>
    <t>vn_faehigkeit_meisterliche_grundfertigkeit_klettern</t>
  </si>
  <si>
    <t>Fähigkeit: Meisterliche Grundfertigkeit: Klettern</t>
  </si>
  <si>
    <t>Festes Ziel: Klettern (gr_klettern).</t>
  </si>
  <si>
    <t>ZIEL_GRUNDFERTIGKEIT=gr_klettern</t>
  </si>
  <si>
    <t>Nicht Magier: Der Charakter kann max. (M) Mana für (M)×2 min in 1 Talentpunkt pro 4 Mana der Grundfertigkeit Klettern umwandeln. Dieser Vorteil gilt ausschließlich für Klettern und muss für jede Grundfertigkeit einzeln gekauft werden.</t>
  </si>
  <si>
    <t>vn_faehigkeit_meisterliche_grundfertigkeit_koerperbeherrschung</t>
  </si>
  <si>
    <t>Fähigkeit: Meisterliche Grundfertigkeit: Körperbeherrschung</t>
  </si>
  <si>
    <t>Festes Ziel: Körperbeherrschung (gr_koerperbeherrschung).</t>
  </si>
  <si>
    <t>ZIEL_GRUNDFERTIGKEIT=gr_koerperbeherrschung</t>
  </si>
  <si>
    <t>Nicht Magier: Der Charakter kann max. (M) Mana für (M)×2 min in 1 Talentpunkt pro 4 Mana der Grundfertigkeit Körperbeherrschung umwandeln. Dieser Vorteil gilt ausschließlich für Körperbeherrschung und muss für jede Grundfertigkeit einzeln gekauft werden.</t>
  </si>
  <si>
    <t>vn_faehigkeit_meisterliche_grundfertigkeit_laufen</t>
  </si>
  <si>
    <t>Fähigkeit: Meisterliche Grundfertigkeit: Laufen</t>
  </si>
  <si>
    <t>Festes Ziel: Laufen (gr_laufen).</t>
  </si>
  <si>
    <t>ZIEL_GRUNDFERTIGKEIT=gr_laufen</t>
  </si>
  <si>
    <t>Nicht Magier: Der Charakter kann max. (M) Mana für (M)×2 min in 1 Talentpunkt pro 4 Mana der Grundfertigkeit Laufen umwandeln. Dieser Vorteil gilt ausschließlich für Laufen und muss für jede Grundfertigkeit einzeln gekauft werden.</t>
  </si>
  <si>
    <t>vn_faehigkeit_meisterliche_grundfertigkeit_luft_anhalten</t>
  </si>
  <si>
    <t>Fähigkeit: Meisterliche Grundfertigkeit: Luft anhalten</t>
  </si>
  <si>
    <t>Festes Ziel: Luft anhalten (gr_luft_anhalten).</t>
  </si>
  <si>
    <t>ZIEL_GRUNDFERTIGKEIT=gr_luft_anhalten</t>
  </si>
  <si>
    <t>Nicht Magier: Der Charakter kann max. (M) Mana für (M)×2 min in 1 Talentpunkt pro 4 Mana der Grundfertigkeit Luft anhalten umwandeln. Dieser Vorteil gilt ausschließlich für Luft anhalten und muss für jede Grundfertigkeit einzeln gekauft werden.</t>
  </si>
  <si>
    <t>vn_faehigkeit_meisterliche_grundfertigkeit_luegen</t>
  </si>
  <si>
    <t>Fähigkeit: Meisterliche Grundfertigkeit: Lügen</t>
  </si>
  <si>
    <t>Festes Ziel: Lügen (gr_luegen).</t>
  </si>
  <si>
    <t>ZIEL_GRUNDFERTIGKEIT=gr_luegen</t>
  </si>
  <si>
    <t>Nicht Magier: Der Charakter kann max. (M) Mana für (M)×2 min in 1 Talentpunkt pro 4 Mana der Grundfertigkeit Lügen umwandeln. Dieser Vorteil gilt ausschließlich für Lügen und muss für jede Grundfertigkeit einzeln gekauft werden.</t>
  </si>
  <si>
    <t>vn_faehigkeit_meisterliche_grundfertigkeit_menschenkenntnis</t>
  </si>
  <si>
    <t>Fähigkeit: Meisterliche Grundfertigkeit: Menschenkenntnis</t>
  </si>
  <si>
    <t>Festes Ziel: Menschenkenntnis (gr_menschenkenntnis).</t>
  </si>
  <si>
    <t>ZIEL_GRUNDFERTIGKEIT=gr_menschenkenntnis</t>
  </si>
  <si>
    <t>Nicht Magier: Der Charakter kann max. (M) Mana für (M)×2 min in 1 Talentpunkt pro 4 Mana der Grundfertigkeit Menschenkenntnis umwandeln. Dieser Vorteil gilt ausschließlich für Menschenkenntnis und muss für jede Grundfertigkeit einzeln gekauft werden.</t>
  </si>
  <si>
    <t>vn_faehigkeit_meisterliche_grundfertigkeit_orientierung</t>
  </si>
  <si>
    <t>Fähigkeit: Meisterliche Grundfertigkeit: Orientierung</t>
  </si>
  <si>
    <t>Festes Ziel: Orientierung (gr_orientierung).</t>
  </si>
  <si>
    <t>ZIEL_GRUNDFERTIGKEIT=gr_orientierung</t>
  </si>
  <si>
    <t>Nicht Magier: Der Charakter kann max. (M) Mana für (M)×2 min in 1 Talentpunkt pro 4 Mana der Grundfertigkeit Orientierung umwandeln. Dieser Vorteil gilt ausschließlich für Orientierung und muss für jede Grundfertigkeit einzeln gekauft werden.</t>
  </si>
  <si>
    <t>vn_faehigkeit_meisterliche_grundfertigkeit_reiten</t>
  </si>
  <si>
    <t>Fähigkeit: Meisterliche Grundfertigkeit: Reiten</t>
  </si>
  <si>
    <t>Festes Ziel: Reiten (gr_reiten).</t>
  </si>
  <si>
    <t>ZIEL_GRUNDFERTIGKEIT=gr_reiten</t>
  </si>
  <si>
    <t>Nicht Magier: Der Charakter kann max. (M) Mana für (M)×2 min in 1 Talentpunkt pro 4 Mana der Grundfertigkeit Reiten umwandeln. Dieser Vorteil gilt ausschließlich für Reiten und muss für jede Grundfertigkeit einzeln gekauft werden.</t>
  </si>
  <si>
    <t>vn_faehigkeit_meisterliche_grundfertigkeit_rudern</t>
  </si>
  <si>
    <t>Fähigkeit: Meisterliche Grundfertigkeit: Rudern</t>
  </si>
  <si>
    <t>Festes Ziel: Rudern (gr_rudern).</t>
  </si>
  <si>
    <t>ZIEL_GRUNDFERTIGKEIT=gr_rudern</t>
  </si>
  <si>
    <t>Nicht Magier: Der Charakter kann max. (M) Mana für (M)×2 min in 1 Talentpunkt pro 4 Mana der Grundfertigkeit Rudern umwandeln. Dieser Vorteil gilt ausschließlich für Rudern und muss für jede Grundfertigkeit einzeln gekauft werden.</t>
  </si>
  <si>
    <t>vn_faehigkeit_meisterliche_grundfertigkeit_schaetzen</t>
  </si>
  <si>
    <t>Fähigkeit: Meisterliche Grundfertigkeit: Schätzen</t>
  </si>
  <si>
    <t>Festes Ziel: Schätzen (gr_schaetzen).</t>
  </si>
  <si>
    <t>ZIEL_GRUNDFERTIGKEIT=gr_schaetzen</t>
  </si>
  <si>
    <t>Nicht Magier: Der Charakter kann max. (M) Mana für (M)×2 min in 1 Talentpunkt pro 4 Mana der Grundfertigkeit Schätzen umwandeln. Dieser Vorteil gilt ausschließlich für Schätzen und muss für jede Grundfertigkeit einzeln gekauft werden.</t>
  </si>
  <si>
    <t>vn_faehigkeit_meisterliche_grundfertigkeit_schleichen</t>
  </si>
  <si>
    <t>Fähigkeit: Meisterliche Grundfertigkeit: Schleichen</t>
  </si>
  <si>
    <t>Festes Ziel: Schleichen (gr_schleichen).</t>
  </si>
  <si>
    <t>ZIEL_GRUNDFERTIGKEIT=gr_schleichen</t>
  </si>
  <si>
    <t>Nicht Magier: Der Charakter kann max. (M) Mana für (M)×2 min in 1 Talentpunkt pro 4 Mana der Grundfertigkeit Schleichen umwandeln. Dieser Vorteil gilt ausschließlich für Schleichen und muss für jede Grundfertigkeit einzeln gekauft werden.</t>
  </si>
  <si>
    <t>vn_faehigkeit_meisterliche_grundfertigkeit_schwimmen</t>
  </si>
  <si>
    <t>Fähigkeit: Meisterliche Grundfertigkeit: Schwimmen</t>
  </si>
  <si>
    <t>Festes Ziel: Schwimmen (gr_schwimmen).</t>
  </si>
  <si>
    <t>ZIEL_GRUNDFERTIGKEIT=gr_schwimmen</t>
  </si>
  <si>
    <t>Nicht Magier: Der Charakter kann max. (M) Mana für (M)×2 min in 1 Talentpunkt pro 4 Mana der Grundfertigkeit Schwimmen umwandeln. Dieser Vorteil gilt ausschließlich für Schwimmen und muss für jede Grundfertigkeit einzeln gekauft werden.</t>
  </si>
  <si>
    <t>vn_faehigkeit_meisterliche_grundfertigkeit_sprinten</t>
  </si>
  <si>
    <t>Fähigkeit: Meisterliche Grundfertigkeit: Sprinten</t>
  </si>
  <si>
    <t>Festes Ziel: Sprinten (gr_sprinten).</t>
  </si>
  <si>
    <t>ZIEL_GRUNDFERTIGKEIT=gr_sprinten</t>
  </si>
  <si>
    <t>Nicht Magier: Der Charakter kann max. (M) Mana für (M)×2 min in 1 Talentpunkt pro 4 Mana der Grundfertigkeit Sprinten umwandeln. Dieser Vorteil gilt ausschließlich für Sprinten und muss für jede Grundfertigkeit einzeln gekauft werden.</t>
  </si>
  <si>
    <t>vn_faehigkeit_meisterliche_grundfertigkeit_springen</t>
  </si>
  <si>
    <t>Fähigkeit: Meisterliche Grundfertigkeit: Springen</t>
  </si>
  <si>
    <t>Festes Ziel: Springen (gr_springen).</t>
  </si>
  <si>
    <t>ZIEL_GRUNDFERTIGKEIT=gr_springen</t>
  </si>
  <si>
    <t>Nicht Magier: Der Charakter kann max. (M) Mana für (M)×2 min in 1 Talentpunkt pro 4 Mana der Grundfertigkeit Springen umwandeln. Dieser Vorteil gilt ausschließlich für Springen und muss für jede Grundfertigkeit einzeln gekauft werden.</t>
  </si>
  <si>
    <t>vn_faehigkeit_meisterliche_grundfertigkeit_ueberzeugen</t>
  </si>
  <si>
    <t>Fähigkeit: Meisterliche Grundfertigkeit: Überzeugen</t>
  </si>
  <si>
    <t>Festes Ziel: Überzeugen (gr_ueberzeugen).</t>
  </si>
  <si>
    <t>ZIEL_GRUNDFERTIGKEIT=gr_ueberzeugen</t>
  </si>
  <si>
    <t>Nicht Magier: Der Charakter kann max. (M) Mana für (M)×2 min in 1 Talentpunkt pro 4 Mana der Grundfertigkeit Überzeugen umwandeln. Dieser Vorteil gilt ausschließlich für Überzeugen und muss für jede Grundfertigkeit einzeln gekauft werden.</t>
  </si>
  <si>
    <t>vn_faehigkeit_meisterliche_grundfertigkeit_verstecken</t>
  </si>
  <si>
    <t>Fähigkeit: Meisterliche Grundfertigkeit: Verstecken</t>
  </si>
  <si>
    <t>Festes Ziel: Verstecken (gr_verstecken).</t>
  </si>
  <si>
    <t>ZIEL_GRUNDFERTIGKEIT=gr_verstecken</t>
  </si>
  <si>
    <t>Nicht Magier: Der Charakter kann max. (M) Mana für (M)×2 min in 1 Talentpunkt pro 4 Mana der Grundfertigkeit Verstecken umwandeln. Dieser Vorteil gilt ausschließlich für Verstecken und muss für jede Grundfertigkeit einzeln gekauft werden.</t>
  </si>
  <si>
    <t>vn_faehigkeit_meisterliche_grundfertigkeit_werfen</t>
  </si>
  <si>
    <t>Fähigkeit: Meisterliche Grundfertigkeit: Werfen</t>
  </si>
  <si>
    <t>Festes Ziel: Werfen (gr_werfen).</t>
  </si>
  <si>
    <t>ZIEL_GRUNDFERTIGKEIT=gr_werfen</t>
  </si>
  <si>
    <t>Nicht Magier: Der Charakter kann max. (M) Mana für (M)×2 min in 1 Talentpunkt pro 4 Mana der Grundfertigkeit Werfen umwandeln. Dieser Vorteil gilt ausschließlich für Werfen und muss für jede Grundfertigkeit einzeln gekauft werden.</t>
  </si>
  <si>
    <t>vn_angst_magie_25</t>
  </si>
  <si>
    <t>Panik: Magie</t>
  </si>
  <si>
    <t>Auswahlgruppe angst_magie; maximal 1 Stufe; Angstwert 25; direkte Konfrontation: sofort, danach alle 2 KR; bloße Gegenwart: BE -4.</t>
  </si>
  <si>
    <t>EXKLUSIV_ANGST=angst_magie | ANGST_INTERVALL=2_KR | ANGST_DIREKTE_KONFRONTATION=1 | ANGST_BE=-4</t>
  </si>
  <si>
    <t>Der Charakter reagiert auf alle Magie mit Panik und ist nicht in der Lage, irgendeine Form von Magie außer KI zu wirken. Bei direkter Konfrontation mit Magie, insbesondere wenn er gegen einen Magiewirker vorgeht, muss er sofort, danach alle 2 KR eine um 25 erschwerte Mut-Probe bestehen, um handlungsfähig zu bleiben. Um Verzauberungen oder magische Heilung zuzulassen, ein Artefakt zu benutzen oder bewusst mit Magie zu interagieren, muss er einmalig eine um 25 erschwerte Willenskraft-Probe bestehen. Ist Magie zwar gegenwärtig, aber weder direkter Gegner noch Gegenstand, Wesen oder sonstiges Ziel, mit dem sich der Charakter aktuell befasst, sind keine Angst-Proben erforderlich; der Charakter erhält BE -4.</t>
  </si>
  <si>
    <t>vn_angst_verlusten_humanoide_25</t>
  </si>
  <si>
    <t>Panik: Verlusten (Humanoide)</t>
  </si>
  <si>
    <t>Auswahlgruppe angst_verlusten_humanoide; maximal 1 Stufe; Angstwert 25; direkte Konfrontation: sofort, danach alle 2 KR; bloße Gegenwart: BE -4.</t>
  </si>
  <si>
    <t>EXKLUSIV_ANGST=angst_verlusten_humanoide | ANGST_INTERVALL=2_KR | ANGST_DIREKTE_KONFRONTATION=1 | ANGST_BE=-4</t>
  </si>
  <si>
    <t>Der Charakter reagiert auf Verlusten (Humanoide) mit Panik. Bei direkter Konfrontation mit Verlusten (Humanoide) muss er sofort, danach alle 2 KR eine um 25 erschwerte Mut-Probe bestehen, um handlungsfähig zu bleiben. Um sich Verlusten (Humanoide) freiwillig zu nähern, die Angstquelle zu berühren oder bewusst mit ihr zu interagieren, muss er einmalig eine um 25 erschwerte Willenskraft-Probe bestehen. Ist Verlusten (Humanoide) zwar gegenwärtig, aber weder direkter Gegner noch Gegenstand, Wesen oder sonstiges Ziel, mit dem sich der Charakter aktuell befasst, sind keine Angst-Proben erforderlich; der Charakter erhält BE -4.</t>
  </si>
  <si>
    <t>vn_angst_arachnophobie_25</t>
  </si>
  <si>
    <t>Panik: Arachnophobie</t>
  </si>
  <si>
    <t>Auswahlgruppe angst_arachnophobie; maximal 1 Stufe; Angstwert 25; direkte Konfrontation: sofort, danach alle 2 KR; bloße Gegenwart: BE -4.</t>
  </si>
  <si>
    <t>EXKLUSIV_ANGST=angst_arachnophobie | ANGST_INTERVALL=2_KR | ANGST_DIREKTE_KONFRONTATION=1 | ANGST_BE=-4</t>
  </si>
  <si>
    <t>Der Charakter reagiert auf Arachnophobie mit Panik. Bei direkter Konfrontation mit Arachnophobie muss er sofort, danach alle 2 KR eine um 25 erschwerte Mut-Probe bestehen, um handlungsfähig zu bleiben. Um sich Arachnophobie freiwillig zu nähern, die Angstquelle zu berühren oder bewusst mit ihr zu interagieren, muss er einmalig eine um 25 erschwerte Willenskraft-Probe bestehen. Ist Arachnophobie zwar gegenwärtig, aber weder direkter Gegner noch Gegenstand, Wesen oder sonstiges Ziel, mit dem sich der Charakter aktuell befasst, sind keine Angst-Proben erforderlich; der Charakter erhält BE -4.</t>
  </si>
  <si>
    <t>vn_angst_bestimmtes_domestiziertes_tier_25</t>
  </si>
  <si>
    <t>Panik: Bestimmtes domestiziertes Tier</t>
  </si>
  <si>
    <t>Auswahlgruppe angst_bestimmtes_domestiziertes_tier; maximal 1 Stufe; Angstwert 25; direkte Konfrontation: sofort, danach alle 2 KR; bloße Gegenwart: BE -4.</t>
  </si>
  <si>
    <t>EXKLUSIV_ANGST=angst_bestimmtes_domestiziertes_tier | ANGST_INTERVALL=2_KR | ANGST_DIREKTE_KONFRONTATION=1 | ANGST_BE=-4</t>
  </si>
  <si>
    <t>Der Charakter reagiert auf Bestimmtes domestiziertes Tier mit Panik. Bei direkter Konfrontation mit Bestimmtes domestiziertes Tier muss er sofort, danach alle 2 KR eine um 25 erschwerte Mut-Probe bestehen, um handlungsfähig zu bleiben. Um sich Bestimmtes domestiziertes Tier freiwillig zu nähern, die Angstquelle zu berühren oder bewusst mit ihr zu interagieren, muss er einmalig eine um 25 erschwerte Willenskraft-Probe bestehen. Ist Bestimmtes domestiziertes Tier zwar gegenwärtig, aber weder direkter Gegner noch Gegenstand, Wesen oder sonstiges Ziel, mit dem sich der Charakter aktuell befasst, sind keine Angst-Proben erforderlich; der Charakter erhält BE -4.</t>
  </si>
  <si>
    <t>vn_angst_hundeartige_25</t>
  </si>
  <si>
    <t>Panik: Hundeartige</t>
  </si>
  <si>
    <t>Auswahlgruppe angst_hundeartige; maximal 1 Stufe; Angstwert 25; direkte Konfrontation: sofort, danach alle 2 KR; bloße Gegenwart: BE -4.</t>
  </si>
  <si>
    <t>EXKLUSIV_ANGST=angst_hundeartige | ANGST_INTERVALL=2_KR | ANGST_DIREKTE_KONFRONTATION=1 | ANGST_BE=-4</t>
  </si>
  <si>
    <t>Der Charakter reagiert auf Hundeartige mit Panik. Bei direkter Konfrontation mit Hundeartige muss er sofort, danach alle 2 KR eine um 25 erschwerte Mut-Probe bestehen, um handlungsfähig zu bleiben. Um sich Hundeartige freiwillig zu nähern, die Angstquelle zu berühren oder bewusst mit ihr zu interagieren, muss er einmalig eine um 25 erschwerte Willenskraft-Probe bestehen. Ist Hundeartige zwar gegenwärtig, aber weder direkter Gegner noch Gegenstand, Wesen oder sonstiges Ziel, mit dem sich der Charakter aktuell befasst, sind keine Angst-Proben erforderlich; der Charakter erhält BE -4.</t>
  </si>
  <si>
    <t>vn_angst_hunger_25</t>
  </si>
  <si>
    <t>Panik: Hunger</t>
  </si>
  <si>
    <t>Auswahlgruppe angst_hunger; maximal 1 Stufe; Angstwert 25; direkte Konfrontation: sofort, danach alle 2 KR; bloße Gegenwart: BE -4.</t>
  </si>
  <si>
    <t>EXKLUSIV_ANGST=angst_hunger | ANGST_INTERVALL=2_KR | ANGST_DIREKTE_KONFRONTATION=1 | ANGST_BE=-4</t>
  </si>
  <si>
    <t>Der Charakter reagiert auf Hunger mit Panik. Bei direkter Konfrontation mit Hunger muss er sofort, danach alle 2 KR eine um 25 erschwerte Mut-Probe bestehen, um handlungsfähig zu bleiben. Um sich Hunger freiwillig zu nähern, die Angstquelle zu berühren oder bewusst mit ihr zu interagieren, muss er einmalig eine um 25 erschwerte Willenskraft-Probe bestehen. Ist Hunger zwar gegenwärtig, aber weder direkter Gegner noch Gegenstand, Wesen oder sonstiges Ziel, mit dem sich der Charakter aktuell befasst, sind keine Angst-Proben erforderlich; der Charakter erhält BE -4.</t>
  </si>
  <si>
    <t>vn_angst_laecherlichkeit_25</t>
  </si>
  <si>
    <t>Panik: Lächerlichkeit</t>
  </si>
  <si>
    <t>Auswahlgruppe angst_laecherlichkeit; maximal 1 Stufe; Angstwert 25; direkte Konfrontation: sofort, danach alle 2 KR; bloße Gegenwart: BE -4.</t>
  </si>
  <si>
    <t>EXKLUSIV_ANGST=angst_laecherlichkeit | ANGST_INTERVALL=2_KR | ANGST_DIREKTE_KONFRONTATION=1 | ANGST_BE=-4</t>
  </si>
  <si>
    <t>Der Charakter reagiert auf Lächerlichkeit mit Panik. Bei direkter Konfrontation mit Lächerlichkeit muss er sofort, danach alle 2 KR eine um 25 erschwerte Mut-Probe bestehen, um handlungsfähig zu bleiben. Um sich Lächerlichkeit freiwillig zu nähern, die Angstquelle zu berühren oder bewusst mit ihr zu interagieren, muss er einmalig eine um 25 erschwerte Willenskraft-Probe bestehen. Ist Lächerlichkeit zwar gegenwärtig, aber weder direkter Gegner noch Gegenstand, Wesen oder sonstiges Ziel, mit dem sich der Charakter aktuell befasst, sind keine Angst-Proben erforderlich; der Charakter erhält BE -4.</t>
  </si>
  <si>
    <t>vn_angst_magische_gegenstaende_25</t>
  </si>
  <si>
    <t>Panik: Magische Gegenstände</t>
  </si>
  <si>
    <t>Auswahlgruppe angst_magische_gegenstaende; maximal 1 Stufe; Angstwert 25; direkte Konfrontation: sofort, danach alle 2 KR; bloße Gegenwart: BE -4.</t>
  </si>
  <si>
    <t>EXKLUSIV_ANGST=angst_magische_gegenstaende | ANGST_INTERVALL=2_KR | ANGST_DIREKTE_KONFRONTATION=1 | ANGST_BE=-4</t>
  </si>
  <si>
    <t>Der Charakter reagiert auf Magische Gegenstände mit Panik. Bei direkter Konfrontation mit Magische Gegenstände muss er sofort, danach alle 2 KR eine um 25 erschwerte Mut-Probe bestehen, um handlungsfähig zu bleiben. Um sich Magische Gegenstände freiwillig zu nähern, die Angstquelle zu berühren oder bewusst mit ihr zu interagieren, muss er einmalig eine um 25 erschwerte Willenskraft-Probe bestehen. Ist Magische Gegenstände zwar gegenwärtig, aber weder direkter Gegner noch Gegenstand, Wesen oder sonstiges Ziel, mit dem sich der Charakter aktuell befasst, sind keine Angst-Proben erforderlich; der Charakter erhält BE -4.</t>
  </si>
  <si>
    <t>vn_angst_magische_wesen_25</t>
  </si>
  <si>
    <t>Panik: Magische Wesen</t>
  </si>
  <si>
    <t>Auswahlgruppe angst_magische_wesen; maximal 1 Stufe; Angstwert 25; direkte Konfrontation: sofort, danach alle 2 KR; bloße Gegenwart: BE -4.</t>
  </si>
  <si>
    <t>EXKLUSIV_ANGST=angst_magische_wesen | ANGST_INTERVALL=2_KR | ANGST_DIREKTE_KONFRONTATION=1 | ANGST_BE=-4</t>
  </si>
  <si>
    <t>Der Charakter reagiert auf Magische Wesen mit Panik. Bei direkter Konfrontation mit Magische Wesen muss er sofort, danach alle 2 KR eine um 25 erschwerte Mut-Probe bestehen, um handlungsfähig zu bleiben. Um sich Magische Wesen freiwillig zu nähern, die Angstquelle zu berühren oder bewusst mit ihr zu interagieren, muss er einmalig eine um 25 erschwerte Willenskraft-Probe bestehen. Ist Magische Wesen zwar gegenwärtig, aber weder direkter Gegner noch Gegenstand, Wesen oder sonstiges Ziel, mit dem sich der Charakter aktuell befasst, sind keine Angst-Proben erforderlich; der Charakter erhält BE -4.</t>
  </si>
  <si>
    <t>vn_angst_meer_25</t>
  </si>
  <si>
    <t>Panik: Meer</t>
  </si>
  <si>
    <t>Auswahlgruppe angst_meer; maximal 1 Stufe; Angstwert 25; direkte Konfrontation: sofort, danach alle 2 KR; bloße Gegenwart: BE -4.</t>
  </si>
  <si>
    <t>EXKLUSIV_ANGST=angst_meer | ANGST_INTERVALL=2_KR | ANGST_DIREKTE_KONFRONTATION=1 | ANGST_BE=-4</t>
  </si>
  <si>
    <t>Der Charakter reagiert auf Meer mit Panik. Bei direkter Konfrontation mit Meer muss er sofort, danach alle 2 KR eine um 25 erschwerte Mut-Probe bestehen, um handlungsfähig zu bleiben. Um sich Meer freiwillig zu nähern, die Angstquelle zu berühren oder bewusst mit ihr zu interagieren, muss er einmalig eine um 25 erschwerte Willenskraft-Probe bestehen. Ist Meer zwar gegenwärtig, aber weder direkter Gegner noch Gegenstand, Wesen oder sonstiges Ziel, mit dem sich der Charakter aktuell befasst, sind keine Angst-Proben erforderlich; der Charakter erhält BE -4.</t>
  </si>
  <si>
    <t>vn_angst_raubkatzen_25</t>
  </si>
  <si>
    <t>Panik: Raubkatzen</t>
  </si>
  <si>
    <t>Auswahlgruppe angst_raubkatzen; maximal 1 Stufe; Angstwert 25; direkte Konfrontation: sofort, danach alle 2 KR; bloße Gegenwart: BE -4.</t>
  </si>
  <si>
    <t>EXKLUSIV_ANGST=angst_raubkatzen | ANGST_INTERVALL=2_KR | ANGST_DIREKTE_KONFRONTATION=1 | ANGST_BE=-4</t>
  </si>
  <si>
    <t>Der Charakter reagiert auf Raubkatzen mit Panik. Bei direkter Konfrontation mit Raubkatzen muss er sofort, danach alle 2 KR eine um 25 erschwerte Mut-Probe bestehen, um handlungsfähig zu bleiben. Um sich Raubkatzen freiwillig zu nähern, die Angstquelle zu berühren oder bewusst mit ihr zu interagieren, muss er einmalig eine um 25 erschwerte Willenskraft-Probe bestehen. Ist Raubkatzen zwar gegenwärtig, aber weder direkter Gegner noch Gegenstand, Wesen oder sonstiges Ziel, mit dem sich der Charakter aktuell befasst, sind keine Angst-Proben erforderlich; der Charakter erhält BE -4.</t>
  </si>
  <si>
    <t>vn_angst_schmutz_25</t>
  </si>
  <si>
    <t>Panik: Schmutz</t>
  </si>
  <si>
    <t>Auswahlgruppe angst_schmutz; maximal 1 Stufe; Angstwert 25; direkte Konfrontation: sofort, danach alle 2 KR; bloße Gegenwart: BE -4.</t>
  </si>
  <si>
    <t>EXKLUSIV_ANGST=angst_schmutz | ANGST_INTERVALL=2_KR | ANGST_DIREKTE_KONFRONTATION=1 | ANGST_BE=-4</t>
  </si>
  <si>
    <t>Der Charakter reagiert auf Schmutz mit Panik. Bei direkter Konfrontation mit Schmutz muss er sofort, danach alle 2 KR eine um 25 erschwerte Mut-Probe bestehen, um handlungsfähig zu bleiben. Um sich Schmutz freiwillig zu nähern, die Angstquelle zu berühren oder bewusst mit ihr zu interagieren, muss er einmalig eine um 25 erschwerte Willenskraft-Probe bestehen. Ist Schmutz zwar gegenwärtig, aber weder direkter Gegner noch Gegenstand, Wesen oder sonstiges Ziel, mit dem sich der Charakter aktuell befasst, sind keine Angst-Proben erforderlich; der Charakter erhält BE -4.</t>
  </si>
  <si>
    <t>vn_angst_tiere_25</t>
  </si>
  <si>
    <t>Panik: Tiere</t>
  </si>
  <si>
    <t>Auswahlgruppe angst_tiere; maximal 1 Stufe; Angstwert 25; direkte Konfrontation: sofort, danach alle 2 KR; bloße Gegenwart: BE -4.</t>
  </si>
  <si>
    <t>EXKLUSIV_ANGST=angst_tiere | ANGST_INTERVALL=2_KR | ANGST_DIREKTE_KONFRONTATION=1 | ANGST_BE=-4</t>
  </si>
  <si>
    <t>Der Charakter reagiert auf Tiere mit Panik. Bei direkter Konfrontation mit Tiere muss er sofort, danach alle 2 KR eine um 25 erschwerte Mut-Probe bestehen, um handlungsfähig zu bleiben. Um sich Tiere freiwillig zu nähern, die Angstquelle zu berühren oder bewusst mit ihr zu interagieren, muss er einmalig eine um 25 erschwerte Willenskraft-Probe bestehen. Ist Tiere zwar gegenwärtig, aber weder direkter Gegner noch Gegenstand, Wesen oder sonstiges Ziel, mit dem sich der Charakter aktuell befasst, sind keine Angst-Proben erforderlich; der Charakter erhält BE -4.</t>
  </si>
  <si>
    <t>vn_angst_untote_25</t>
  </si>
  <si>
    <t>Panik: Untote</t>
  </si>
  <si>
    <t>Auswahlgruppe angst_untote; maximal 1 Stufe; Angstwert 25; direkte Konfrontation: sofort, danach alle 2 KR; bloße Gegenwart: BE -4.</t>
  </si>
  <si>
    <t>EXKLUSIV_ANGST=angst_untote | ANGST_INTERVALL=2_KR | ANGST_DIREKTE_KONFRONTATION=1 | ANGST_BE=-4</t>
  </si>
  <si>
    <t>Der Charakter reagiert auf Untote mit Panik. Bei direkter Konfrontation mit Untote muss er sofort, danach alle 2 KR eine um 25 erschwerte Mut-Probe bestehen, um handlungsfähig zu bleiben. Um sich Untote freiwillig zu nähern, die Angstquelle zu berühren oder bewusst mit ihr zu interagieren, muss er einmalig eine um 25 erschwerte Willenskraft-Probe bestehen. Ist Untote zwar gegenwärtig, aber weder direkter Gegner noch Gegenstand, Wesen oder sonstiges Ziel, mit dem sich der Charakter aktuell befasst, sind keine Angst-Proben erforderlich; der Charakter erhält BE -4.</t>
  </si>
  <si>
    <t>vn_angst_voegel_25</t>
  </si>
  <si>
    <t>Panik: Vögel</t>
  </si>
  <si>
    <t>Auswahlgruppe angst_voegel; maximal 1 Stufe; Angstwert 25; direkte Konfrontation: sofort, danach alle 2 KR; bloße Gegenwart: BE -4.</t>
  </si>
  <si>
    <t>EXKLUSIV_ANGST=angst_voegel | ANGST_INTERVALL=2_KR | ANGST_DIREKTE_KONFRONTATION=1 | ANGST_BE=-4</t>
  </si>
  <si>
    <t>Der Charakter reagiert auf Vögel mit Panik. Bei direkter Konfrontation mit Vögel muss er sofort, danach alle 2 KR eine um 25 erschwerte Mut-Probe bestehen, um handlungsfähig zu bleiben. Um sich Vögel freiwillig zu nähern, die Angstquelle zu berühren oder bewusst mit ihr zu interagieren, muss er einmalig eine um 25 erschwerte Willenskraft-Probe bestehen. Ist Vögel zwar gegenwärtig, aber weder direkter Gegner noch Gegenstand, Wesen oder sonstiges Ziel, mit dem sich der Charakter aktuell befasst, sind keine Angst-Proben erforderlich; der Charakter erhält BE -4.</t>
  </si>
  <si>
    <t>vn_angst_wasser_25</t>
  </si>
  <si>
    <t>Panik: Wasser</t>
  </si>
  <si>
    <t>Auswahlgruppe angst_wasser; maximal 1 Stufe; Angstwert 25; direkte Konfrontation: sofort, danach alle 2 KR; bloße Gegenwart: BE -4.</t>
  </si>
  <si>
    <t>EXKLUSIV_ANGST=angst_wasser | ANGST_INTERVALL=2_KR | ANGST_DIREKTE_KONFRONTATION=1 | ANGST_BE=-4</t>
  </si>
  <si>
    <t>Der Charakter reagiert auf Wasser mit Panik. Bei direkter Konfrontation mit Wasser muss er sofort, danach alle 2 KR eine um 25 erschwerte Mut-Probe bestehen, um handlungsfähig zu bleiben. Um sich Wasser freiwillig zu nähern, die Angstquelle zu berühren oder bewusst mit ihr zu interagieren, muss er einmalig eine um 25 erschwerte Willenskraft-Probe bestehen. Ist Wasser zwar gegenwärtig, aber weder direkter Gegner noch Gegenstand, Wesen oder sonstiges Ziel, mit dem sich der Charakter aktuell befasst, sind keine Angst-Proben erforderlich; der Charakter erhält BE -4.</t>
  </si>
  <si>
    <t>vn_angst_wilde_tiere_25</t>
  </si>
  <si>
    <t>Panik: Wilde Tiere</t>
  </si>
  <si>
    <t>Auswahlgruppe angst_wilde_tiere; maximal 1 Stufe; Angstwert 25; direkte Konfrontation: sofort, danach alle 2 KR; bloße Gegenwart: BE -4.</t>
  </si>
  <si>
    <t>EXKLUSIV_ANGST=angst_wilde_tiere | ANGST_INTERVALL=2_KR | ANGST_DIREKTE_KONFRONTATION=1 | ANGST_BE=-4</t>
  </si>
  <si>
    <t>Der Charakter reagiert auf Wilde Tiere mit Panik. Bei direkter Konfrontation mit Wilde Tiere muss er sofort, danach alle 2 KR eine um 25 erschwerte Mut-Probe bestehen, um handlungsfähig zu bleiben. Um sich Wilde Tiere freiwillig zu nähern, die Angstquelle zu berühren oder bewusst mit ihr zu interagieren, muss er einmalig eine um 25 erschwerte Willenskraft-Probe bestehen. Ist Wilde Tiere zwar gegenwärtig, aber weder direkter Gegner noch Gegenstand, Wesen oder sonstiges Ziel, mit dem sich der Charakter aktuell befasst, sind keine Angst-Proben erforderlich; der Charakter erhält BE -4.</t>
  </si>
  <si>
    <t>vn_angst_xenophobie_25</t>
  </si>
  <si>
    <t>Panik: Xenophobie</t>
  </si>
  <si>
    <t>Auswahlgruppe angst_xenophobie; maximal 1 Stufe; Angstwert 25; direkte Konfrontation: sofort, danach alle 2 KR; bloße Gegenwart: BE -4.</t>
  </si>
  <si>
    <t>EXKLUSIV_ANGST=angst_xenophobie | ANGST_INTERVALL=2_KR | ANGST_DIREKTE_KONFRONTATION=1 | ANGST_BE=-4</t>
  </si>
  <si>
    <t>Der Charakter reagiert auf Xenophobie mit Panik. Bei direkter Konfrontation mit Xenophobie muss er sofort, danach alle 2 KR eine um 25 erschwerte Mut-Probe bestehen, um handlungsfähig zu bleiben. Um sich Xenophobie freiwillig zu nähern, die Angstquelle zu berühren oder bewusst mit ihr zu interagieren, muss er einmalig eine um 25 erschwerte Willenskraft-Probe bestehen. Ist Xenophobie zwar gegenwärtig, aber weder direkter Gegner noch Gegenstand, Wesen oder sonstiges Ziel, mit dem sich der Charakter aktuell befasst, sind keine Angst-Proben erforderlich; der Charakter erhält BE -4.</t>
  </si>
  <si>
    <t>EP ab</t>
  </si>
  <si>
    <t>EP-Kosten (Schritt)</t>
  </si>
  <si>
    <t>Gesamt-EP</t>
  </si>
  <si>
    <t>Volk</t>
  </si>
  <si>
    <t>Erstellungs-Min</t>
  </si>
  <si>
    <t>Erstellungs-Max</t>
  </si>
  <si>
    <t>Max (ab Kreis 3)</t>
  </si>
  <si>
    <t>Sinnesschaerfe</t>
  </si>
  <si>
    <t>Staerke</t>
  </si>
  <si>
    <t>Erschwerung</t>
  </si>
  <si>
    <t>ASP-Kosten</t>
  </si>
  <si>
    <t>Faehigkeit</t>
  </si>
  <si>
    <t>Vorbedingung</t>
  </si>
  <si>
    <t>ki_ki-schutz</t>
  </si>
  <si>
    <t>Name</t>
  </si>
  <si>
    <t>Anzahl</t>
  </si>
  <si>
    <t>Einheit</t>
  </si>
  <si>
    <t>Gewicht in kg</t>
  </si>
  <si>
    <t>Dublonen</t>
  </si>
  <si>
    <t>Spezialisierung</t>
  </si>
  <si>
    <t>Reittiere</t>
  </si>
  <si>
    <t>Drache, Flug</t>
  </si>
  <si>
    <t>Stück</t>
  </si>
  <si>
    <t>XXX</t>
  </si>
  <si>
    <t>------</t>
  </si>
  <si>
    <t>Selten</t>
  </si>
  <si>
    <t>Drache</t>
  </si>
  <si>
    <t>Greif, Flug</t>
  </si>
  <si>
    <t>Greife</t>
  </si>
  <si>
    <t>Chocobo, Abgeh,</t>
  </si>
  <si>
    <t>Elf</t>
  </si>
  <si>
    <t>Laufvogel</t>
  </si>
  <si>
    <t xml:space="preserve">Chocobo, Alt </t>
  </si>
  <si>
    <t>Chocobo, Reit</t>
  </si>
  <si>
    <t>Chocobo, Schlacht</t>
  </si>
  <si>
    <t>Chocobo, Vollblut</t>
  </si>
  <si>
    <t>Pegasus, Flug</t>
  </si>
  <si>
    <t>Pegasus</t>
  </si>
  <si>
    <t>Pferd, Abgehalftert</t>
  </si>
  <si>
    <t>Indianer, Dalkini</t>
  </si>
  <si>
    <t>Pferd</t>
  </si>
  <si>
    <t>Pferd, Alter Gaul</t>
  </si>
  <si>
    <t>Pferd, Reit</t>
  </si>
  <si>
    <t xml:space="preserve">Pferd, Schlachtross </t>
  </si>
  <si>
    <t>Pferd, Vollblut</t>
  </si>
  <si>
    <t>Ratte, Abgehalftert</t>
  </si>
  <si>
    <t>Goblin</t>
  </si>
  <si>
    <t>Ratte</t>
  </si>
  <si>
    <t>Ratte, Alt</t>
  </si>
  <si>
    <t>Ratte, Gefährlich</t>
  </si>
  <si>
    <t>Ratte, Reit</t>
  </si>
  <si>
    <t>Ratte, Schlacht</t>
  </si>
  <si>
    <t>Assel, Abgehalftert</t>
  </si>
  <si>
    <t>Zwerg</t>
  </si>
  <si>
    <t>Reitkrebse</t>
  </si>
  <si>
    <t>Assel, Alt</t>
  </si>
  <si>
    <t>Assel, Elite</t>
  </si>
  <si>
    <t>Assel, Reit</t>
  </si>
  <si>
    <t>Assel, Schlacht</t>
  </si>
  <si>
    <t>Raptor, abgehalftert</t>
  </si>
  <si>
    <t>Epsquax-Indianer</t>
  </si>
  <si>
    <t>Reitreptilien</t>
  </si>
  <si>
    <t>Raptor, alt</t>
  </si>
  <si>
    <t>Raptor, Reit</t>
  </si>
  <si>
    <t>Raptor, Schlacht</t>
  </si>
  <si>
    <t>Raptor, Veloci</t>
  </si>
  <si>
    <t>Salamander, abgeh,</t>
  </si>
  <si>
    <t>Salamander, alt</t>
  </si>
  <si>
    <t>Salamander, Elite</t>
  </si>
  <si>
    <t>Salamander, Reit</t>
  </si>
  <si>
    <t>Salamander, Schlacht</t>
  </si>
  <si>
    <t>Schildkröte, Reit</t>
  </si>
  <si>
    <t>Gnom</t>
  </si>
  <si>
    <t>Schildkröte, Schlacht</t>
  </si>
  <si>
    <t>Schildkröte, Schnell</t>
  </si>
  <si>
    <t>Roc, Flug</t>
  </si>
  <si>
    <t>Rok</t>
  </si>
  <si>
    <t>Rollok, abgehalftert</t>
  </si>
  <si>
    <t>Troll</t>
  </si>
  <si>
    <t>Rollok</t>
  </si>
  <si>
    <t>Rollok, alt</t>
  </si>
  <si>
    <t>Rollok, Reit</t>
  </si>
  <si>
    <t>Rollok, Schlacht</t>
  </si>
  <si>
    <t>Rollok, übellaunig</t>
  </si>
  <si>
    <t>Warg, Abgehalftert</t>
  </si>
  <si>
    <t>Ork</t>
  </si>
  <si>
    <t>Warg</t>
  </si>
  <si>
    <t>Warg, Alt</t>
  </si>
  <si>
    <t>Warg, Elite</t>
  </si>
  <si>
    <t>Warg, Reit</t>
  </si>
  <si>
    <t>Warg, Schlacht</t>
  </si>
  <si>
    <t>Alchemistische Stoffe</t>
  </si>
  <si>
    <t>Öl, Brand-</t>
  </si>
  <si>
    <t>Fass</t>
  </si>
  <si>
    <t>Brandbeschleuniger</t>
  </si>
  <si>
    <t xml:space="preserve">Schwarzpulver </t>
  </si>
  <si>
    <t>Sack</t>
  </si>
  <si>
    <t>Zwergisches Feuer</t>
  </si>
  <si>
    <t>Flasche</t>
  </si>
  <si>
    <t>Beleuchtung</t>
  </si>
  <si>
    <t>Streichhölzer 25St,</t>
  </si>
  <si>
    <t>Schachtel</t>
  </si>
  <si>
    <t>Orazal (Lösung)</t>
  </si>
  <si>
    <t>Bund</t>
  </si>
  <si>
    <t>DSA-Material</t>
  </si>
  <si>
    <t>Schreibwaren</t>
  </si>
  <si>
    <t>Tinte</t>
  </si>
  <si>
    <t>Phiole</t>
  </si>
  <si>
    <t>Farbstoffe</t>
  </si>
  <si>
    <t>Tusche</t>
  </si>
  <si>
    <t>Tusche, farbig</t>
  </si>
  <si>
    <t>Fett, Salben-, pflanzlich</t>
  </si>
  <si>
    <t>Tiegel</t>
  </si>
  <si>
    <t>Fettprodukte</t>
  </si>
  <si>
    <t>Fett, Salben-, tierisch</t>
  </si>
  <si>
    <t>Körperpflege</t>
  </si>
  <si>
    <t>Lippenrot</t>
  </si>
  <si>
    <t>Seife</t>
  </si>
  <si>
    <t>Reittierzubehör</t>
  </si>
  <si>
    <t>Seife, Sattel-</t>
  </si>
  <si>
    <t>Zeitmessung &amp; Navigation</t>
  </si>
  <si>
    <t>Stundenkerze</t>
  </si>
  <si>
    <t>Zwergen-Kleber</t>
  </si>
  <si>
    <t>Klebstoff</t>
  </si>
  <si>
    <t>Werkzeug</t>
  </si>
  <si>
    <t>Leim</t>
  </si>
  <si>
    <t>Klebstoffe</t>
  </si>
  <si>
    <t>Öl, Duft-</t>
  </si>
  <si>
    <t>Parfumeur</t>
  </si>
  <si>
    <t>Öl, Bade-</t>
  </si>
  <si>
    <t>Öl, Massage-</t>
  </si>
  <si>
    <t>Parfum</t>
  </si>
  <si>
    <t>Elixiere</t>
  </si>
  <si>
    <t>Platzhalter</t>
  </si>
  <si>
    <t>Augenschminke</t>
  </si>
  <si>
    <t>Pulver</t>
  </si>
  <si>
    <t>Puder</t>
  </si>
  <si>
    <t xml:space="preserve">Salzlake </t>
  </si>
  <si>
    <t>Salze</t>
  </si>
  <si>
    <t>Vitriol, Isch</t>
  </si>
  <si>
    <t>Tierbedarf</t>
  </si>
  <si>
    <t>Salzlecke</t>
  </si>
  <si>
    <t>Nahrungsmittel</t>
  </si>
  <si>
    <t>Backwerk, Hefe-</t>
  </si>
  <si>
    <t>Laib</t>
  </si>
  <si>
    <t>Backwaren</t>
  </si>
  <si>
    <t>Brot</t>
  </si>
  <si>
    <t>Brot, Fladen-</t>
  </si>
  <si>
    <t>Brot, Sauerteig</t>
  </si>
  <si>
    <t>Brot, Schwarz-</t>
  </si>
  <si>
    <t>Brot, Weiß-</t>
  </si>
  <si>
    <t>Zwieback</t>
  </si>
  <si>
    <t>Getreidebällchen</t>
  </si>
  <si>
    <t>Früchte, kandiert</t>
  </si>
  <si>
    <t>Konditor</t>
  </si>
  <si>
    <t>Kandis</t>
  </si>
  <si>
    <t>Karamel</t>
  </si>
  <si>
    <t>Kuchen</t>
  </si>
  <si>
    <t>Kuchen, Honig</t>
  </si>
  <si>
    <t>Kuchen, Napf-</t>
  </si>
  <si>
    <t>Lakritz</t>
  </si>
  <si>
    <t>Naschwerk</t>
  </si>
  <si>
    <t>Torte, Marzipan</t>
  </si>
  <si>
    <t>Zuckerstange</t>
  </si>
  <si>
    <t>Portion</t>
  </si>
  <si>
    <t>Entlausen</t>
  </si>
  <si>
    <t>Besuch</t>
  </si>
  <si>
    <t>Bader</t>
  </si>
  <si>
    <t>Maniküre</t>
  </si>
  <si>
    <t>Rasur</t>
  </si>
  <si>
    <t>Vollbad im Badehaus</t>
  </si>
  <si>
    <t>Frisur</t>
  </si>
  <si>
    <t>Frisör</t>
  </si>
  <si>
    <t>Frisur, Ball-</t>
  </si>
  <si>
    <t>Schnitt, Bart-</t>
  </si>
  <si>
    <t>Hund färben</t>
  </si>
  <si>
    <t>Edelsteine</t>
  </si>
  <si>
    <t>10 Aquamarin</t>
  </si>
  <si>
    <t>Karat</t>
  </si>
  <si>
    <t xml:space="preserve">gebraucht erworben werden können oder die in Einheitsgrößen hergestellt werden, </t>
  </si>
  <si>
    <t>11 Granat</t>
  </si>
  <si>
    <t>Der zweitgenannte Preis gilt für Maßanfertigungen bei einem Schneider oder Schuster,</t>
  </si>
  <si>
    <t>12 Onyx</t>
  </si>
  <si>
    <t xml:space="preserve">Der als erstes angegebene Preis bezieht sich bei Kleidungsstücken auf solche, die bei einem Trödler oder Krämer </t>
  </si>
  <si>
    <t>13 Perle</t>
  </si>
  <si>
    <t>14 Turmalin</t>
  </si>
  <si>
    <t>15 Bernstein</t>
  </si>
  <si>
    <t>16 Zirkon</t>
  </si>
  <si>
    <t>17 Smaragd</t>
  </si>
  <si>
    <t>18 Rubin</t>
  </si>
  <si>
    <t>3 Diamant</t>
  </si>
  <si>
    <t>Die hier angegebenen Preise beziehen sich auf geschliffene Stücke, Ungeschliffene Steine erbringen höchstens die Hälfte des Preises,</t>
  </si>
  <si>
    <t>4 Saphir</t>
  </si>
  <si>
    <t xml:space="preserve"> Edelsteine von mehr als 50 Karat jedoch auch leicht das Doppelte des hier angegeben Wertes, Mit 3W6 können Sie festlegen, welche Edelsteine sich </t>
  </si>
  <si>
    <t>5 Opal</t>
  </si>
  <si>
    <t>z,B, in einem Schatz befinden,</t>
  </si>
  <si>
    <t>6 Rohdiamant</t>
  </si>
  <si>
    <t>auf 3W6 Edelstein Preis pro Karat (0,2g)</t>
  </si>
  <si>
    <t>7 Topas</t>
  </si>
  <si>
    <t>8 Lapislazuli</t>
  </si>
  <si>
    <t xml:space="preserve">Einige weitere Mineralien werden als 'Halbedelsteine' angesehen, Sie kosten ungefähr 9 Dublonen  pro 25g, </t>
  </si>
  <si>
    <t>9 Jade</t>
  </si>
  <si>
    <t xml:space="preserve">Zu ihnen gehören: Amethyst, Rosenquarz, Mondstein, Türkis, Malachit, Korallen, Meerschaum und Achat, </t>
  </si>
  <si>
    <t>Metall</t>
  </si>
  <si>
    <t>Diamantspat, ungeprägt</t>
  </si>
  <si>
    <t>Barren</t>
  </si>
  <si>
    <t>Diamantspat-Metallplatten/drähte</t>
  </si>
  <si>
    <t>Kreide, Schreib-</t>
  </si>
  <si>
    <t>Gesteine</t>
  </si>
  <si>
    <t>Tafel, Schiefer-</t>
  </si>
  <si>
    <t>Kohle, Zwergen-</t>
  </si>
  <si>
    <t>Kohle</t>
  </si>
  <si>
    <t>Stifte, Kohle-, 5 St,</t>
  </si>
  <si>
    <t>Satz</t>
  </si>
  <si>
    <t>Öl, Braun-, rauchend</t>
  </si>
  <si>
    <t>Ölprodukte</t>
  </si>
  <si>
    <t>Pech, Destillations-</t>
  </si>
  <si>
    <t>Salpeter, Salz</t>
  </si>
  <si>
    <t>Schwefel</t>
  </si>
  <si>
    <t>Salz</t>
  </si>
  <si>
    <t>Segelschiff</t>
  </si>
  <si>
    <t>Schiff, Dreimaster</t>
  </si>
  <si>
    <t>Dickschiffe</t>
  </si>
  <si>
    <t>Schiff, Fünfmaster</t>
  </si>
  <si>
    <t>Schiff, Viermaster</t>
  </si>
  <si>
    <t>Schiff, Zweimaster</t>
  </si>
  <si>
    <t>Boot, Ruder- klein</t>
  </si>
  <si>
    <t>Kleine Schiffe</t>
  </si>
  <si>
    <t>Boot, Segel- 6m lang</t>
  </si>
  <si>
    <t>Kanu</t>
  </si>
  <si>
    <t>Schiff, Einmaster</t>
  </si>
  <si>
    <t>Alkohol, rein</t>
  </si>
  <si>
    <t>Alchemistische Zutaten</t>
  </si>
  <si>
    <t>Zwiedestillat</t>
  </si>
  <si>
    <t>Schwefelquell Gratenfelser</t>
  </si>
  <si>
    <t>Likör</t>
  </si>
  <si>
    <t>Geist</t>
  </si>
  <si>
    <t>Schnaps, einfach</t>
  </si>
  <si>
    <t>Wein, Brannt-</t>
  </si>
  <si>
    <t>Wein, Brannt-, gut</t>
  </si>
  <si>
    <t>Wein, Franzbrannt-</t>
  </si>
  <si>
    <t>Kräutergeist</t>
  </si>
  <si>
    <t>Wein, Kräuterbrannt-</t>
  </si>
  <si>
    <t>Buch, Tage-, Papier</t>
  </si>
  <si>
    <t>Buchbinder</t>
  </si>
  <si>
    <t>Papier, 10 Bögen</t>
  </si>
  <si>
    <t>Papierherstellung</t>
  </si>
  <si>
    <t>Pergament 10 Blatt</t>
  </si>
  <si>
    <t>Rolle, Schrift-, 2 Schritt</t>
  </si>
  <si>
    <t>Reisekosten</t>
  </si>
  <si>
    <t>Dampfzug (20km/h)</t>
  </si>
  <si>
    <t>km</t>
  </si>
  <si>
    <t>Lokführer</t>
  </si>
  <si>
    <t>Waffenzubehör</t>
  </si>
  <si>
    <t>Ladestock, Gewehr-</t>
  </si>
  <si>
    <t>Vorlagen</t>
  </si>
  <si>
    <t>Ladestock, Pistolen-</t>
  </si>
  <si>
    <t>Bachforelle</t>
  </si>
  <si>
    <t>Angeln</t>
  </si>
  <si>
    <t>Karpfenlaich</t>
  </si>
  <si>
    <t>Fahrzeugzubehör</t>
  </si>
  <si>
    <t>Öl, Leder-, Fischtran</t>
  </si>
  <si>
    <t>PREIS</t>
  </si>
  <si>
    <t>Fischöle</t>
  </si>
  <si>
    <t>Fisch</t>
  </si>
  <si>
    <t>Netzfischen</t>
  </si>
  <si>
    <t>Fisch, Tinten-</t>
  </si>
  <si>
    <t>Früchte, Meeres-</t>
  </si>
  <si>
    <t>Hering</t>
  </si>
  <si>
    <t>Prembutt</t>
  </si>
  <si>
    <t>Rochen</t>
  </si>
  <si>
    <t>Stachelfisch</t>
  </si>
  <si>
    <t>Schwamm</t>
  </si>
  <si>
    <t>Schwammtaucher</t>
  </si>
  <si>
    <t>Ambra</t>
  </si>
  <si>
    <t>Walfang</t>
  </si>
  <si>
    <t>Fuhrwerk(35km/T)</t>
  </si>
  <si>
    <t>Lastwagen</t>
  </si>
  <si>
    <t>Post</t>
  </si>
  <si>
    <t>Brief, Postversand mit Reisekutsche</t>
  </si>
  <si>
    <t>Paketversand mit Reisekutsche</t>
  </si>
  <si>
    <t>Zustellung mit Expressreiter</t>
  </si>
  <si>
    <t>Kutsche, Reise (50km/T)</t>
  </si>
  <si>
    <t>Reisewagen</t>
  </si>
  <si>
    <t>Dampf Kahn, Fluß-, Kabine</t>
  </si>
  <si>
    <t>Dampferkapitän</t>
  </si>
  <si>
    <t>Dampf Kahn, Fluß-, stromab (13km/h)</t>
  </si>
  <si>
    <t>Dampf Kahn, Fluß-, stromauf (5hm/h)</t>
  </si>
  <si>
    <t>Karawane (40km/T)</t>
  </si>
  <si>
    <t>Handelszüge</t>
  </si>
  <si>
    <t>Luftschiff (30-40km/h)</t>
  </si>
  <si>
    <t>Luftschiffkapitän</t>
  </si>
  <si>
    <t>Fähre</t>
  </si>
  <si>
    <t>Fahrt</t>
  </si>
  <si>
    <t>Schiffskapitän</t>
  </si>
  <si>
    <t xml:space="preserve">Segelschiff (11-25km/h) </t>
  </si>
  <si>
    <t>Zoll</t>
  </si>
  <si>
    <t>Brückenzoll pro Fuhrwerk</t>
  </si>
  <si>
    <t>Zöllner</t>
  </si>
  <si>
    <t>Brückenzoll pro Person</t>
  </si>
  <si>
    <t>Brückenzoll pro Reittier</t>
  </si>
  <si>
    <t>Grenzzölle auf Warenwert (Mindestzollsatz)</t>
  </si>
  <si>
    <t>Prozent</t>
  </si>
  <si>
    <t>Stundenglas</t>
  </si>
  <si>
    <t>Alchemistische Apparaturen</t>
  </si>
  <si>
    <t>Koch- und Eßgeschirr</t>
  </si>
  <si>
    <t>Flasche, Glas-, 0,1L</t>
  </si>
  <si>
    <t>Alltagsgegenstände</t>
  </si>
  <si>
    <t>Flasche, Glas-, 0,2L</t>
  </si>
  <si>
    <t>Glas, Trink-</t>
  </si>
  <si>
    <t>Karaffe, Glas-</t>
  </si>
  <si>
    <t>Raucherzubehör</t>
  </si>
  <si>
    <t>Pfeife, Wasser-</t>
  </si>
  <si>
    <t>Pokal, Kristall</t>
  </si>
  <si>
    <t>Kristall</t>
  </si>
  <si>
    <t>Brennglas</t>
  </si>
  <si>
    <t>Optiker</t>
  </si>
  <si>
    <t>Optik</t>
  </si>
  <si>
    <t>Brille</t>
  </si>
  <si>
    <t>Brille, Bernstein</t>
  </si>
  <si>
    <t>Brille, Kristall, dunkel</t>
  </si>
  <si>
    <t>Fernrohr</t>
  </si>
  <si>
    <t>Fernrohr, Himmels-</t>
  </si>
  <si>
    <t>Kaleidoskop</t>
  </si>
  <si>
    <t>Lupe</t>
  </si>
  <si>
    <t>Prisma</t>
  </si>
  <si>
    <t>Quadrant</t>
  </si>
  <si>
    <t>Möbel</t>
  </si>
  <si>
    <t>Spiegel, Wand- 1x1 m</t>
  </si>
  <si>
    <t>Scheiben</t>
  </si>
  <si>
    <t>Kompaß, Schiffs-</t>
  </si>
  <si>
    <t>Spiegel, Hand- Glas</t>
  </si>
  <si>
    <t>Kompass, Hand-</t>
  </si>
  <si>
    <t>Uhr, Sonnen-, mit Kompaß</t>
  </si>
  <si>
    <t>Schmuck</t>
  </si>
  <si>
    <t>Amulett, Bronze</t>
  </si>
  <si>
    <t>Alle Preisangaben sind deutliche Untergrenze!</t>
  </si>
  <si>
    <t>Bronzeschmied</t>
  </si>
  <si>
    <t>Armreif, Messing</t>
  </si>
  <si>
    <t>Besteck, Eß-, Gold</t>
  </si>
  <si>
    <t>Pokal, Gold</t>
  </si>
  <si>
    <t>Kandelaber, Gold</t>
  </si>
  <si>
    <t>Ständer, Kerzen-, Gold</t>
  </si>
  <si>
    <t>Amulett, Gold</t>
  </si>
  <si>
    <t>Armreif, Gold</t>
  </si>
  <si>
    <t>Halskette, Gold</t>
  </si>
  <si>
    <t>Ohrring, Gold</t>
  </si>
  <si>
    <t>Ring, Gold</t>
  </si>
  <si>
    <t>Spange, Gold</t>
  </si>
  <si>
    <t>Stirnreif, Gold</t>
  </si>
  <si>
    <t>Samowar (edler Wasserkocher)</t>
  </si>
  <si>
    <t>Kupferschmied</t>
  </si>
  <si>
    <t>Spiegel, Hand- Messing</t>
  </si>
  <si>
    <t>Besteck, Eß-, Silber</t>
  </si>
  <si>
    <t>Silberschmied</t>
  </si>
  <si>
    <t>Pokal, Silber</t>
  </si>
  <si>
    <t>Teller, Silber</t>
  </si>
  <si>
    <t>Dose, Tabaks-, Silber</t>
  </si>
  <si>
    <t>Sporen, Silber</t>
  </si>
  <si>
    <t>Paar</t>
  </si>
  <si>
    <t>Amulett, Silber</t>
  </si>
  <si>
    <t>Armreif, Silber</t>
  </si>
  <si>
    <t>Halskette, Silber</t>
  </si>
  <si>
    <t>Ohrring, Silber</t>
  </si>
  <si>
    <t>Ring, Silber</t>
  </si>
  <si>
    <t>Spange, Silber</t>
  </si>
  <si>
    <t>Stirnreif, Silber</t>
  </si>
  <si>
    <t>Becher, Trink- Zinn</t>
  </si>
  <si>
    <t>Zinngerät</t>
  </si>
  <si>
    <t>Besteck, Eß-, Zinn</t>
  </si>
  <si>
    <t>Kelle, Schöpf-, Zinn</t>
  </si>
  <si>
    <t>Teller, Zinn</t>
  </si>
  <si>
    <t>Ständer, Kerzen-, Zinn</t>
  </si>
  <si>
    <t>Spielzeug</t>
  </si>
  <si>
    <t>Zinnsoldat</t>
  </si>
  <si>
    <t>Behälter</t>
  </si>
  <si>
    <t>Eimer, Holz</t>
  </si>
  <si>
    <t>Becher, Trink- Holz</t>
  </si>
  <si>
    <t>Kiepe, 20Kg</t>
  </si>
  <si>
    <t>Löffel, Holz-</t>
  </si>
  <si>
    <t>Teller, Holz</t>
  </si>
  <si>
    <t>Kamm, Holz</t>
  </si>
  <si>
    <t>Pfeife, Holz</t>
  </si>
  <si>
    <t>Reisezubehör</t>
  </si>
  <si>
    <t>Stab, Wander-</t>
  </si>
  <si>
    <t>Abakus</t>
  </si>
  <si>
    <t>Lineal, Holz</t>
  </si>
  <si>
    <t>Figürchen, Holz</t>
  </si>
  <si>
    <t>Jonglierbälle 3</t>
  </si>
  <si>
    <t>Jonglierkeulen 3</t>
  </si>
  <si>
    <t>Schwert, Holz</t>
  </si>
  <si>
    <t>Steckenpferd</t>
  </si>
  <si>
    <t>Würfel, Bein, 3 Stück</t>
  </si>
  <si>
    <t>Einstreu</t>
  </si>
  <si>
    <t>Ballen</t>
  </si>
  <si>
    <t>Napf, Holz</t>
  </si>
  <si>
    <t>Bürste</t>
  </si>
  <si>
    <t>Bürstenbinder</t>
  </si>
  <si>
    <t>Zeug, Striegel-</t>
  </si>
  <si>
    <t>Pinsel, 3 sort,</t>
  </si>
  <si>
    <t>Besen</t>
  </si>
  <si>
    <t>Besen, Reisig-</t>
  </si>
  <si>
    <t>Faß, Wasser-, 20L</t>
  </si>
  <si>
    <t>Fassbinder</t>
  </si>
  <si>
    <t>Badezuber</t>
  </si>
  <si>
    <t>Köcher, 10 Bolzen, Holz</t>
  </si>
  <si>
    <t>Köcher, 20 Pfeile, Holz</t>
  </si>
  <si>
    <t xml:space="preserve">Kohle, Holz </t>
  </si>
  <si>
    <t>Köhler</t>
  </si>
  <si>
    <t>Pech, Siede-</t>
  </si>
  <si>
    <t>Fackel, Pech-</t>
  </si>
  <si>
    <t>Korb, 20Kg</t>
  </si>
  <si>
    <t>Korbflechter</t>
  </si>
  <si>
    <t>Kleidung &amp; Schuhwerk</t>
  </si>
  <si>
    <t>Schuhe, Schnee-</t>
  </si>
  <si>
    <t>Schuhe, Stroh-, gewöhnlich</t>
  </si>
  <si>
    <t>Körbchen,  Bast</t>
  </si>
  <si>
    <t>Körbchen, Hunde-, tragbar</t>
  </si>
  <si>
    <t>Larve, gewöhnlich</t>
  </si>
  <si>
    <t>Schnitzen</t>
  </si>
  <si>
    <t>Larve, Maßanfertigung</t>
  </si>
  <si>
    <t>Schuhe, Holz, gewöhnlich</t>
  </si>
  <si>
    <t>Schuhe, Holz, Maßanfertigung</t>
  </si>
  <si>
    <t>Kiste, Transport-</t>
  </si>
  <si>
    <t>Tischler</t>
  </si>
  <si>
    <t>Truhe für Packpferd</t>
  </si>
  <si>
    <t>Ski</t>
  </si>
  <si>
    <t>Bank, Holz</t>
  </si>
  <si>
    <t>Bett</t>
  </si>
  <si>
    <t>Bett, Himmel-</t>
  </si>
  <si>
    <t>Hocker</t>
  </si>
  <si>
    <t>Kommode</t>
  </si>
  <si>
    <t>Regal</t>
  </si>
  <si>
    <t>Schrank</t>
  </si>
  <si>
    <t>Sekretär</t>
  </si>
  <si>
    <t>Sessel</t>
  </si>
  <si>
    <t>Sessel, Polster-</t>
  </si>
  <si>
    <t>Stuhl</t>
  </si>
  <si>
    <t>Tisch</t>
  </si>
  <si>
    <t>Tisch, Schreib-</t>
  </si>
  <si>
    <t>Truhe, groß</t>
  </si>
  <si>
    <t>Truhe, klein</t>
  </si>
  <si>
    <t>Deichsel</t>
  </si>
  <si>
    <t>Wagner</t>
  </si>
  <si>
    <t>Rad, Ersatz-</t>
  </si>
  <si>
    <t>Kutschen und Wagen</t>
  </si>
  <si>
    <t>6er Ferrara</t>
  </si>
  <si>
    <t>Einspänner, einfach</t>
  </si>
  <si>
    <t>Kaleschka</t>
  </si>
  <si>
    <t>Kaleschka, 3spännig</t>
  </si>
  <si>
    <t>Kutsche</t>
  </si>
  <si>
    <t>Karren, 2rädrig</t>
  </si>
  <si>
    <t>Karren, Hunde- oder Ziegen-</t>
  </si>
  <si>
    <t>Karren, Hunde-, große</t>
  </si>
  <si>
    <t>Karren, Ochsen-</t>
  </si>
  <si>
    <t>Kutsche, 2spännig</t>
  </si>
  <si>
    <t>Kutsche, Reise-, 4spännig</t>
  </si>
  <si>
    <t>Kutsche, Renn-, 6spännig</t>
  </si>
  <si>
    <t>Sänfte 2</t>
  </si>
  <si>
    <t>Schlitten, Hunde</t>
  </si>
  <si>
    <t xml:space="preserve">auch für Schneedachse, mindestens 4 Hunde oder Dachse; </t>
  </si>
  <si>
    <t>Schlitten, Reise-,  2- oder  4spännig</t>
  </si>
  <si>
    <t>Steppenschivone, 6spännig</t>
  </si>
  <si>
    <t>Stoerrebrandter, 4spännig</t>
  </si>
  <si>
    <t>Vierspänner</t>
  </si>
  <si>
    <t>Wagen, Kasten-, 1- oder 2spännig</t>
  </si>
  <si>
    <t>Wagen, Leiter-, 1spännig</t>
  </si>
  <si>
    <t>Wagen, Plan-, 2spännig</t>
  </si>
  <si>
    <t>Wagen, Streit-, 4spännig</t>
  </si>
  <si>
    <t>Musikinstrumente</t>
  </si>
  <si>
    <t>Fanfare</t>
  </si>
  <si>
    <t>Blasinstrumente</t>
  </si>
  <si>
    <t>Flöte, Bein</t>
  </si>
  <si>
    <t>Flöte, Holz</t>
  </si>
  <si>
    <t>Flöte, Silber</t>
  </si>
  <si>
    <t>Horn, Jagd-</t>
  </si>
  <si>
    <t>Pfeifenbalg</t>
  </si>
  <si>
    <t>Posaune, Zwergen-</t>
  </si>
  <si>
    <t>Trompete, Reiter-</t>
  </si>
  <si>
    <t>Harfe, Stand-</t>
  </si>
  <si>
    <t>Saiteninstrumente</t>
  </si>
  <si>
    <t>Laute, Bandurria</t>
  </si>
  <si>
    <t>Leier, Dreh-</t>
  </si>
  <si>
    <t>Spinett</t>
  </si>
  <si>
    <t>Glockenspiel</t>
  </si>
  <si>
    <t>Schlaginstrumente</t>
  </si>
  <si>
    <t>Harfe, Hand- Leier</t>
  </si>
  <si>
    <t>Pauke</t>
  </si>
  <si>
    <t>Trommel, Dabla</t>
  </si>
  <si>
    <t>Trommel, Söldner-</t>
  </si>
  <si>
    <t>Tuche</t>
  </si>
  <si>
    <t>Haut, Drachen</t>
  </si>
  <si>
    <t>m²</t>
  </si>
  <si>
    <t>Kürschner</t>
  </si>
  <si>
    <t>Haut, Schlangen-</t>
  </si>
  <si>
    <t>Leder, Wild</t>
  </si>
  <si>
    <t>Pelze</t>
  </si>
  <si>
    <t>Purpurmeise</t>
  </si>
  <si>
    <t>Vögel</t>
  </si>
  <si>
    <t>Wachtel</t>
  </si>
  <si>
    <t>Miete</t>
  </si>
  <si>
    <t>Haus für 6 Personen</t>
  </si>
  <si>
    <t>Tag</t>
  </si>
  <si>
    <t>Gastwirt</t>
  </si>
  <si>
    <t xml:space="preserve">Hunde’pension’ </t>
  </si>
  <si>
    <t xml:space="preserve">mit Futter und Pflege; vor allem im Goblinreich und in Doxmox </t>
  </si>
  <si>
    <t>Scheune</t>
  </si>
  <si>
    <t>Schlafsaal, Strohsack</t>
  </si>
  <si>
    <t>Stall, Miet</t>
  </si>
  <si>
    <t xml:space="preserve">mit Futter und Pflege; </t>
  </si>
  <si>
    <t>Stall, Miet-, für Pferd</t>
  </si>
  <si>
    <t>Suite</t>
  </si>
  <si>
    <t>Weide</t>
  </si>
  <si>
    <t xml:space="preserve">reine Wiese mit Tränke; </t>
  </si>
  <si>
    <t>Wohnung für 2 Personen</t>
  </si>
  <si>
    <t>Wohnung für 6 Personen</t>
  </si>
  <si>
    <t>Zimmer in Absteige</t>
  </si>
  <si>
    <t>Zimmer in besserer Lage</t>
  </si>
  <si>
    <t>Zimmer in Pension</t>
  </si>
  <si>
    <t>Zimmer, Doppel-</t>
  </si>
  <si>
    <t>Zimmer, Einzel-</t>
  </si>
  <si>
    <t>Zimmer, Einzel- Mietskaserne</t>
  </si>
  <si>
    <t>Zimmer, Gemeinschafts-</t>
  </si>
  <si>
    <t>Zwinger, Hunde</t>
  </si>
  <si>
    <t xml:space="preserve">mit Futter; </t>
  </si>
  <si>
    <t>Tavernen-Preise</t>
  </si>
  <si>
    <t>Bankett für 5 Personen</t>
  </si>
  <si>
    <t>Bier Krug</t>
  </si>
  <si>
    <t>Becher</t>
  </si>
  <si>
    <t>Brot und Käse</t>
  </si>
  <si>
    <t>Brot und Wurst</t>
  </si>
  <si>
    <t>Eintopf</t>
  </si>
  <si>
    <t>Gericht, Fisch</t>
  </si>
  <si>
    <t>Gericht, Fleisch</t>
  </si>
  <si>
    <t>Grütze (Gerste, Hirse, Hafer)</t>
  </si>
  <si>
    <t>Hühnchen</t>
  </si>
  <si>
    <t>Kuchen, Pfann-</t>
  </si>
  <si>
    <t>Likör, Glas</t>
  </si>
  <si>
    <t>Milch, Becher</t>
  </si>
  <si>
    <t>Rinderkeule</t>
  </si>
  <si>
    <t>Rosenwasser (0,2L)</t>
  </si>
  <si>
    <t>Saft, Becher (0,3L)</t>
  </si>
  <si>
    <t>Schnaps, Glas lmport- (0,1L)</t>
  </si>
  <si>
    <t>Schnaps, Krüglein(0,2L)</t>
  </si>
  <si>
    <t>Straitmorer Krug</t>
  </si>
  <si>
    <t>Tee, Becher (0,3L)</t>
  </si>
  <si>
    <t>Wasser, Becher(0,5L)</t>
  </si>
  <si>
    <t>Wein, Becher edel (0,,3L)</t>
  </si>
  <si>
    <t>Wein, Becher(0,3L)</t>
  </si>
  <si>
    <t>Wein, Glas Brannt- (0,1L)</t>
  </si>
  <si>
    <t>Proviant, 1 Person/ Tag</t>
  </si>
  <si>
    <t>Krämer</t>
  </si>
  <si>
    <t>Pfeife, Meerschaum</t>
  </si>
  <si>
    <t>Puppe, Wachs-</t>
  </si>
  <si>
    <t>Putzzeug</t>
  </si>
  <si>
    <t>Pflegeutensilien, Waffen-</t>
  </si>
  <si>
    <t>Nadel und Faden, sort,</t>
  </si>
  <si>
    <t>Staubwedel</t>
  </si>
  <si>
    <t>Sklaven</t>
  </si>
  <si>
    <t xml:space="preserve">Andere </t>
  </si>
  <si>
    <t>Sklavenhändler</t>
  </si>
  <si>
    <t>Elf/Drow, alt</t>
  </si>
  <si>
    <t>Elf/Drow, erwachsen</t>
  </si>
  <si>
    <t>Elf/Drow, jung</t>
  </si>
  <si>
    <t>Gnom, generell</t>
  </si>
  <si>
    <t>Goblin, alt</t>
  </si>
  <si>
    <t>Goblin, erwachsen</t>
  </si>
  <si>
    <t>Goblin, jung</t>
  </si>
  <si>
    <t>Ind,/Dalk,, alt</t>
  </si>
  <si>
    <t>Ind,/Dalk,, erwachsen</t>
  </si>
  <si>
    <t>Ind,/Dalk,, jung</t>
  </si>
  <si>
    <t>Ork, alt</t>
  </si>
  <si>
    <t>Ork, erwachsen</t>
  </si>
  <si>
    <t>Ork, jung</t>
  </si>
  <si>
    <t>Troll, alt</t>
  </si>
  <si>
    <t>Troll, erwachsen</t>
  </si>
  <si>
    <t>Troll, jung</t>
  </si>
  <si>
    <t>Zwerg, alt</t>
  </si>
  <si>
    <t>Zwerg, erwachsen</t>
  </si>
  <si>
    <t>Zwerg, jung</t>
  </si>
  <si>
    <t>Pastetchen</t>
  </si>
  <si>
    <t xml:space="preserve">für Hunde oder Katzen; </t>
  </si>
  <si>
    <t>Backen</t>
  </si>
  <si>
    <t>Braten, Rind</t>
  </si>
  <si>
    <t>Braten</t>
  </si>
  <si>
    <t>Braten, Schwein</t>
  </si>
  <si>
    <t>Dörrfleisch</t>
  </si>
  <si>
    <t>Räuchern</t>
  </si>
  <si>
    <t>Hering, geräuchert</t>
  </si>
  <si>
    <t>Prembutt, geräuchert</t>
  </si>
  <si>
    <t>Rochen, geräuchert</t>
  </si>
  <si>
    <t>Schinken</t>
  </si>
  <si>
    <t>Kastanien, geröstet</t>
  </si>
  <si>
    <t>Rösten</t>
  </si>
  <si>
    <t>Dekoration</t>
  </si>
  <si>
    <t>Statuette, Gold</t>
  </si>
  <si>
    <t>Bildhauer</t>
  </si>
  <si>
    <t>Statuette, Jade</t>
  </si>
  <si>
    <t>Statuette, Obsidian</t>
  </si>
  <si>
    <t>Statuette, Silber</t>
  </si>
  <si>
    <t>Statuette, Zinn</t>
  </si>
  <si>
    <t>Gemälde, Öl auf Holz</t>
  </si>
  <si>
    <t>Maler</t>
  </si>
  <si>
    <t>Portrait, Öl auf Leinwand</t>
  </si>
  <si>
    <t>Tätowierung</t>
  </si>
  <si>
    <t>Tätowierer</t>
  </si>
  <si>
    <t>Bohnen</t>
  </si>
  <si>
    <t>Gemüsebauer</t>
  </si>
  <si>
    <t>Bohnen, getrocknet</t>
  </si>
  <si>
    <t>Erbsen</t>
  </si>
  <si>
    <t>Erbsen, getrocknet</t>
  </si>
  <si>
    <t>Früchte, Hülsen-</t>
  </si>
  <si>
    <t>Gemüse</t>
  </si>
  <si>
    <t>Kartoffeln</t>
  </si>
  <si>
    <t>Kohl</t>
  </si>
  <si>
    <t>Kürbis, Gurke</t>
  </si>
  <si>
    <t>Linsen</t>
  </si>
  <si>
    <t>Melonen</t>
  </si>
  <si>
    <t>Paprika</t>
  </si>
  <si>
    <t>Porree</t>
  </si>
  <si>
    <t>Rüben, Mohr-</t>
  </si>
  <si>
    <t>Süßholz</t>
  </si>
  <si>
    <t>Zwiebeln</t>
  </si>
  <si>
    <t>Bier</t>
  </si>
  <si>
    <t>Getreide</t>
  </si>
  <si>
    <t>Hafer</t>
  </si>
  <si>
    <t>Hafer, gequetscht</t>
  </si>
  <si>
    <t>Korn</t>
  </si>
  <si>
    <t>Mehl</t>
  </si>
  <si>
    <t>Futter Tier-, sonstiges</t>
  </si>
  <si>
    <t>Futter, Pferde-</t>
  </si>
  <si>
    <t>Heu</t>
  </si>
  <si>
    <t>Äpfel</t>
  </si>
  <si>
    <t>Obstbauer</t>
  </si>
  <si>
    <t>Beeren, Erd-</t>
  </si>
  <si>
    <t>Birnen</t>
  </si>
  <si>
    <t>Brombeeren</t>
  </si>
  <si>
    <t>Kakao</t>
  </si>
  <si>
    <t>Kirschen</t>
  </si>
  <si>
    <t>Obst</t>
  </si>
  <si>
    <t>Rosinen</t>
  </si>
  <si>
    <t>Sirup, Frucht-</t>
  </si>
  <si>
    <t>Tomaten</t>
  </si>
  <si>
    <t>Trauben</t>
  </si>
  <si>
    <t>Datteln</t>
  </si>
  <si>
    <t>Palmengewächse</t>
  </si>
  <si>
    <t>Feigen</t>
  </si>
  <si>
    <t>Öl, Lein</t>
  </si>
  <si>
    <t>Pflanzliche Fette</t>
  </si>
  <si>
    <t>Öl</t>
  </si>
  <si>
    <t>Öl, Raps</t>
  </si>
  <si>
    <t>Öl, Sonnenblumen</t>
  </si>
  <si>
    <t>Futterrüben</t>
  </si>
  <si>
    <t>Rüben</t>
  </si>
  <si>
    <t>Zucker</t>
  </si>
  <si>
    <t>Zigarren, 10 Stück</t>
  </si>
  <si>
    <t>Tabak</t>
  </si>
  <si>
    <t>Wein</t>
  </si>
  <si>
    <t>Winzer</t>
  </si>
  <si>
    <t>Wein, Land- einfach</t>
  </si>
  <si>
    <t>Wein, rot, gut</t>
  </si>
  <si>
    <t>Falknerhandschuh</t>
  </si>
  <si>
    <t>Handschuhe</t>
  </si>
  <si>
    <t>Handschuh, Beiß-, Leder wattiert</t>
  </si>
  <si>
    <t>Beinkleider, Leder, gewöhnlich</t>
  </si>
  <si>
    <t>Oberbekleidung</t>
  </si>
  <si>
    <t>Beinkleider, Leder, Maßanfertigung</t>
  </si>
  <si>
    <t>Gamaschen, Leder, gewöhnlich</t>
  </si>
  <si>
    <t>Gamaschen, Leder, Maßanfertigung</t>
  </si>
  <si>
    <t>Handschuhe, Leder, gewöhnlich</t>
  </si>
  <si>
    <t>Handschuhe, Leder, Maßanfertigung</t>
  </si>
  <si>
    <t>Handschuhe, Stulpen-, gewöhnlich</t>
  </si>
  <si>
    <t>Handschuhe, Stulpen-, Maßanfertigung</t>
  </si>
  <si>
    <t>Kleid, Leder, gewöhnlich</t>
  </si>
  <si>
    <t>Kleid, Leder, Maßanfertigung</t>
  </si>
  <si>
    <t>Geschirr, Blatt-, je Tier</t>
  </si>
  <si>
    <t xml:space="preserve">nur aus Lederriemen, brei­ten Lederstreifen (Blättern) und der Zugkette bestehend, ein Rückwärtsfahren ist nicht möglich, geringere Belastbarkeit, meist Stadtkutschen; </t>
  </si>
  <si>
    <t>Riemer</t>
  </si>
  <si>
    <t>Geschirr, Hunde-, je Hund</t>
  </si>
  <si>
    <t>Geschirr, Kummet- je Tier</t>
  </si>
  <si>
    <t xml:space="preserve">Lederriemen, Ketten und ein Kummet, das um den Halsansatz des Tieres liegt, Rückwärtsfahren ist möglich, Arbeitsgeschirr; </t>
  </si>
  <si>
    <t>Geschirr, Ochsen-</t>
  </si>
  <si>
    <t>Geschirr, Sänften</t>
  </si>
  <si>
    <t>spezielles Tragegeschirr, es ist auch möglich, einen großen Packsattel entsprechend zu modifizieren</t>
  </si>
  <si>
    <t>Kummet</t>
  </si>
  <si>
    <t>Peitsche, Kutscher-</t>
  </si>
  <si>
    <t>Zaum und Leinen je Tier</t>
  </si>
  <si>
    <t>Gerte, Kunstreit-</t>
  </si>
  <si>
    <t>Gerte, Reit-</t>
  </si>
  <si>
    <t>Gerte, Streitroß-</t>
  </si>
  <si>
    <t>Zaum, einfach</t>
  </si>
  <si>
    <t>Zaum, gebißlos</t>
  </si>
  <si>
    <t>Zaum, Kandare</t>
  </si>
  <si>
    <t>Zeug, Zaum-</t>
  </si>
  <si>
    <t>Zügel, einfach</t>
  </si>
  <si>
    <t>Zügel, verziert</t>
  </si>
  <si>
    <t>Seile, Netze, Ketten</t>
  </si>
  <si>
    <t>Lasso, Leder</t>
  </si>
  <si>
    <t>Band, Hals-, gewirkt</t>
  </si>
  <si>
    <t>Band, Hals-, Leder einfach</t>
  </si>
  <si>
    <t>Band, Hals-, und Leine</t>
  </si>
  <si>
    <t>Band, Knecht-, Würger</t>
  </si>
  <si>
    <t>Falkenmaske</t>
  </si>
  <si>
    <t>Führhalfter mit Strick</t>
  </si>
  <si>
    <t>Geschirr, Halte</t>
  </si>
  <si>
    <t>Orkische Kampfhunde (dringend empfohlen)</t>
  </si>
  <si>
    <t>Geschirr, Trage-, für Hunde</t>
  </si>
  <si>
    <t>Halfter, Stall-</t>
  </si>
  <si>
    <t>Körbchen, Einlage dazu</t>
  </si>
  <si>
    <t>Leine, Leder einfach</t>
  </si>
  <si>
    <t>Leine, Leder verziert</t>
  </si>
  <si>
    <t>Maulkorb</t>
  </si>
  <si>
    <t>Maulkorb, Doppel</t>
  </si>
  <si>
    <t xml:space="preserve">Orbusgurt </t>
  </si>
  <si>
    <t xml:space="preserve"> zur Reit- und Zugtierausbildung;</t>
  </si>
  <si>
    <t xml:space="preserve">Orbusleine </t>
  </si>
  <si>
    <t xml:space="preserve">Orbuspeitsche </t>
  </si>
  <si>
    <t xml:space="preserve">Orbuszaum </t>
  </si>
  <si>
    <t>Schoner, Pfoten-, gewirkt</t>
  </si>
  <si>
    <t xml:space="preserve">Schulungsausbinder </t>
  </si>
  <si>
    <t>Treiberstock</t>
  </si>
  <si>
    <t>Eimer, Leder</t>
  </si>
  <si>
    <t>Sattler</t>
  </si>
  <si>
    <t>Flasche, Feld-, 1L</t>
  </si>
  <si>
    <t>Hülle, Pergament-</t>
  </si>
  <si>
    <t>Ranzen, Leder-, 8Kg</t>
  </si>
  <si>
    <t>Rucksack, Leder-, 15Kg</t>
  </si>
  <si>
    <t>Sattel, Pack-</t>
  </si>
  <si>
    <t>Schlauch, Wasser-, 1L</t>
  </si>
  <si>
    <t>Taschen, Gürtel-</t>
  </si>
  <si>
    <t>Taschen, Gürtel-, verstärkt</t>
  </si>
  <si>
    <t>Gurt, Schulter Bandelier, gewöhnlich</t>
  </si>
  <si>
    <t>Gurt, Schulter Bandelier, Maßanfertigung</t>
  </si>
  <si>
    <t>Gürtel, Leder, gewöhnlich</t>
  </si>
  <si>
    <t>Gürtel, Leder, Maßanfertigung</t>
  </si>
  <si>
    <t>Sattel</t>
  </si>
  <si>
    <t>Sattel, Boten-</t>
  </si>
  <si>
    <t>Sattel, Gestech-</t>
  </si>
  <si>
    <t>Sattel, Kamel</t>
  </si>
  <si>
    <t>Sattel, Kunstreit-</t>
  </si>
  <si>
    <t>Sattel, Prunk-</t>
  </si>
  <si>
    <t>Sattel, Renn-</t>
  </si>
  <si>
    <t>Taschen, Sattel-</t>
  </si>
  <si>
    <t>Packsattel, Elefant</t>
  </si>
  <si>
    <t>Packsattel, groß</t>
  </si>
  <si>
    <t>Packsattel, Kamel</t>
  </si>
  <si>
    <t>Packsattel, klein</t>
  </si>
  <si>
    <t>Packsatteltaschen, Leder</t>
  </si>
  <si>
    <t>Fassungsvermögen etwa zweimal 2 Faß;</t>
  </si>
  <si>
    <t>Packsatteltruhen</t>
  </si>
  <si>
    <t>Fassungsvermögen etwa zweimal 3 Faß</t>
  </si>
  <si>
    <t>Packtaschen</t>
  </si>
  <si>
    <t>Sandalen, gewöhnlich</t>
  </si>
  <si>
    <t>Schuster</t>
  </si>
  <si>
    <t>Sandalen, Maßanfertigung</t>
  </si>
  <si>
    <t>Schuhe, Leder, gewöhnlich</t>
  </si>
  <si>
    <t>Schuhe, Leder, Maßanfertigung</t>
  </si>
  <si>
    <t>Schuhe, Spangen-, gewöhnlich</t>
  </si>
  <si>
    <t>Schuhe, Spangen-, Maßanfertigung</t>
  </si>
  <si>
    <t>Stiefel, leicht, gewöhnlich</t>
  </si>
  <si>
    <t>Stiefel, leicht, Maßanfertigung</t>
  </si>
  <si>
    <t>Stiefel, Reiter- schwer, gewöhnlich</t>
  </si>
  <si>
    <t>Stiefel, Reiter- schwer, Maßanfertigung</t>
  </si>
  <si>
    <t>Stiefel, Stulpen-, gewöhnlich</t>
  </si>
  <si>
    <t>Stiefel, Stulpen-, Maßanfertigung</t>
  </si>
  <si>
    <t>Axtgehänge</t>
  </si>
  <si>
    <t>Bandolier (Ohne Aposteln)</t>
  </si>
  <si>
    <t>Gurt, Bein-</t>
  </si>
  <si>
    <t>Gurt, Schulter-</t>
  </si>
  <si>
    <t>Gürtel, Patronen-</t>
  </si>
  <si>
    <t>Gürtel, Schwert-</t>
  </si>
  <si>
    <t>Gürtel, Schwert-, verstärkt</t>
  </si>
  <si>
    <t>Horn, Pulver-</t>
  </si>
  <si>
    <t>Köcher,  20 Pfeile, Leder</t>
  </si>
  <si>
    <t>Köcher, 20 Pfeile, Leder</t>
  </si>
  <si>
    <t>Kugelbeutel, 50 Bleikugeln</t>
  </si>
  <si>
    <t>Patronenbeutel, 30 Patronen</t>
  </si>
  <si>
    <t>Pulverfläschen (Apostel)</t>
  </si>
  <si>
    <t>Scheide, Dolch-</t>
  </si>
  <si>
    <t>Scheide, Schwert-</t>
  </si>
  <si>
    <t>Luftschiffe</t>
  </si>
  <si>
    <t>Luftschiff, Jacht</t>
  </si>
  <si>
    <t>Sonderschiffe</t>
  </si>
  <si>
    <t>Luftschiff, Kriegs</t>
  </si>
  <si>
    <t>Luftschiff, Transport groß</t>
  </si>
  <si>
    <t>Transportschiffe</t>
  </si>
  <si>
    <t>Luftschiff, Transport klein</t>
  </si>
  <si>
    <t>Luftschiff, Transport mittel</t>
  </si>
  <si>
    <t>Flaschenzug, 1t</t>
  </si>
  <si>
    <t>Einfache Mechanismen</t>
  </si>
  <si>
    <t>Spinnrad</t>
  </si>
  <si>
    <t>Webrahmen klein</t>
  </si>
  <si>
    <t>Addiermaschine</t>
  </si>
  <si>
    <t>Rechenmaschinen</t>
  </si>
  <si>
    <t>Zinsspindel</t>
  </si>
  <si>
    <t>Spieluhr, zwergisch</t>
  </si>
  <si>
    <t>Uhrmacher</t>
  </si>
  <si>
    <t>Taschenuhr, zw,</t>
  </si>
  <si>
    <t>“Tierarzt”</t>
  </si>
  <si>
    <t>Veterinär</t>
  </si>
  <si>
    <t>Gold, ungeprägt</t>
  </si>
  <si>
    <t>Edelmetalle</t>
  </si>
  <si>
    <t>Kupfer, ungeprägt</t>
  </si>
  <si>
    <t>Kupfer-Metallplatten/drähte</t>
  </si>
  <si>
    <t>Mithril, ungeprägt</t>
  </si>
  <si>
    <t>Mithril-Metallplatten/drähte</t>
  </si>
  <si>
    <t>Nasium, ungeprägt</t>
  </si>
  <si>
    <t>Nasium-Metallplatten/drähte</t>
  </si>
  <si>
    <t>Platin, ungeprägt</t>
  </si>
  <si>
    <t>Quecksilber, ungeprägt</t>
  </si>
  <si>
    <t>Silber, ungeprägt</t>
  </si>
  <si>
    <t>Silber-Metallplatten/drähte</t>
  </si>
  <si>
    <t>Bronze, ungeprägt</t>
  </si>
  <si>
    <t>Legierungen</t>
  </si>
  <si>
    <t>Bronze-Metallplatten/drähte</t>
  </si>
  <si>
    <t>Faltstahl, ungeprägt</t>
  </si>
  <si>
    <t>Faltstahl-Metallplatten/drähte</t>
  </si>
  <si>
    <t>Messing, ungeprägt</t>
  </si>
  <si>
    <t>Messing-Metallplatten/drähte</t>
  </si>
  <si>
    <t>Qualitätsstahl, ungeprägt</t>
  </si>
  <si>
    <t>Qualitätsstahl-Metallplatten/drähte</t>
  </si>
  <si>
    <t>Stahl, ungeprägt</t>
  </si>
  <si>
    <t>Stahl-Metallplatten/drähte</t>
  </si>
  <si>
    <t>Adamantit, ungeprägt</t>
  </si>
  <si>
    <t>Schwermetalle</t>
  </si>
  <si>
    <t>Adamantit-Metallplatten/drähte</t>
  </si>
  <si>
    <t>Blei, ungeprägt</t>
  </si>
  <si>
    <t>Eisen, ungeprägt</t>
  </si>
  <si>
    <t>Eisen-Metallplatten/drähte</t>
  </si>
  <si>
    <t>Zinn, ungeprägt</t>
  </si>
  <si>
    <t>Mandeln</t>
  </si>
  <si>
    <t>Bäume</t>
  </si>
  <si>
    <t>Kräuter</t>
  </si>
  <si>
    <t>Alraune</t>
  </si>
  <si>
    <t>DSA-Pflanzen</t>
  </si>
  <si>
    <t>Arganwurzel</t>
  </si>
  <si>
    <t>Atanax</t>
  </si>
  <si>
    <t>Atmon</t>
  </si>
  <si>
    <t>Carlog</t>
  </si>
  <si>
    <t>Chonchinis</t>
  </si>
  <si>
    <t>Donf</t>
  </si>
  <si>
    <t>Egelschreck</t>
  </si>
  <si>
    <t>Finage</t>
  </si>
  <si>
    <t>Gulmond</t>
  </si>
  <si>
    <t>Hiradwurz</t>
  </si>
  <si>
    <t>Horusche</t>
  </si>
  <si>
    <t>Ilmenblatt</t>
  </si>
  <si>
    <t>Joruga</t>
  </si>
  <si>
    <t>Kairan</t>
  </si>
  <si>
    <t>Kajubo</t>
  </si>
  <si>
    <t>Lulanie</t>
  </si>
  <si>
    <t>Menchal</t>
  </si>
  <si>
    <t>Mibelrohr</t>
  </si>
  <si>
    <t>Mirbelstein</t>
  </si>
  <si>
    <t>Nothilf</t>
  </si>
  <si>
    <t>Olginwurz</t>
  </si>
  <si>
    <t>Pestsporenpilz</t>
  </si>
  <si>
    <t>Quinja</t>
  </si>
  <si>
    <t>Rauschgurke</t>
  </si>
  <si>
    <t>Rote Pfeilblüte</t>
  </si>
  <si>
    <t>Sansaro</t>
  </si>
  <si>
    <t>Selmart</t>
  </si>
  <si>
    <t>Talaschin</t>
  </si>
  <si>
    <t>Tarnele</t>
  </si>
  <si>
    <t>Thonnys</t>
  </si>
  <si>
    <t>Traschbart</t>
  </si>
  <si>
    <t>Ulmenwürger</t>
  </si>
  <si>
    <t>Vierblättrige Einbeere</t>
  </si>
  <si>
    <t>Wirselkraut</t>
  </si>
  <si>
    <t>Xordai</t>
  </si>
  <si>
    <t>Yagannuß</t>
  </si>
  <si>
    <t>Zwölfblatt</t>
  </si>
  <si>
    <t>Henna</t>
  </si>
  <si>
    <t>Kräuter, Küchen-</t>
  </si>
  <si>
    <t>Tee, Kräuter</t>
  </si>
  <si>
    <t>Band, Hals-, Kräuter-, geflochten</t>
  </si>
  <si>
    <t>gegen Parasitenbefall</t>
  </si>
  <si>
    <t>Süßmoos</t>
  </si>
  <si>
    <t>Moose</t>
  </si>
  <si>
    <t>Phosphorpilz</t>
  </si>
  <si>
    <t>Pilze</t>
  </si>
  <si>
    <t>Zunderschwamm</t>
  </si>
  <si>
    <t>Gewürze</t>
  </si>
  <si>
    <t>PLATZHALTER</t>
  </si>
  <si>
    <t>Haselnüsse</t>
  </si>
  <si>
    <t>Sträucher</t>
  </si>
  <si>
    <t>Kraut, Pfeifen-</t>
  </si>
  <si>
    <t>Tee</t>
  </si>
  <si>
    <t>Stoffarten</t>
  </si>
  <si>
    <t>Platzhalter!</t>
  </si>
  <si>
    <t>Schoner, Unterarm-, Leder wattiert</t>
  </si>
  <si>
    <t>Lederrüstungen</t>
  </si>
  <si>
    <t>Rüstung, Streitroß-</t>
  </si>
  <si>
    <t>Tierrüstungen</t>
  </si>
  <si>
    <t>Lampe, Öl-</t>
  </si>
  <si>
    <t>Feinschmied</t>
  </si>
  <si>
    <t>Laterne, Kerzen-</t>
  </si>
  <si>
    <t>Laterne, Sturm-, Öl</t>
  </si>
  <si>
    <t>Zunderdose, wasserdicht</t>
  </si>
  <si>
    <t>Sieb</t>
  </si>
  <si>
    <t>Gravurwerkzeug</t>
  </si>
  <si>
    <t>Lineal, Messing</t>
  </si>
  <si>
    <t>Zirkel</t>
  </si>
  <si>
    <t>Zirkel, Faden</t>
  </si>
  <si>
    <t>Käfig, Vogel-, groß</t>
  </si>
  <si>
    <t>Käfig, Vogel-, klein</t>
  </si>
  <si>
    <t>Dietriche, sort,</t>
  </si>
  <si>
    <t>Uhr, Sonnen-</t>
  </si>
  <si>
    <t>Feuerstein und Stahl</t>
  </si>
  <si>
    <t>Grobschmied</t>
  </si>
  <si>
    <t>Flasche, Bronze-, 0,2L</t>
  </si>
  <si>
    <t>Kessel, kupfer 25L</t>
  </si>
  <si>
    <t>Pfanne, Eisen-, 60cm</t>
  </si>
  <si>
    <t>Pfanne, Eisen-, 90cm</t>
  </si>
  <si>
    <t>Spieß, Brat-</t>
  </si>
  <si>
    <t>Topf, Eisen-, 12L</t>
  </si>
  <si>
    <t>Topf, Stiel-, 6L</t>
  </si>
  <si>
    <t>Nagelfeile</t>
  </si>
  <si>
    <t>Becken, Kohlen-</t>
  </si>
  <si>
    <t>Halter, Fackel-</t>
  </si>
  <si>
    <t>Herd</t>
  </si>
  <si>
    <t>Ofen</t>
  </si>
  <si>
    <t>Schrank, Panzer-</t>
  </si>
  <si>
    <t>Zeltstangen, 2 Stück</t>
  </si>
  <si>
    <t>Sporen, einfach</t>
  </si>
  <si>
    <t>Sporen, Eisen</t>
  </si>
  <si>
    <t>Kette, dünn, 5m</t>
  </si>
  <si>
    <t>Länge</t>
  </si>
  <si>
    <t>Kette, schwer 5m</t>
  </si>
  <si>
    <t>Beschlagswerkzeug</t>
  </si>
  <si>
    <t>Kette mit Pflock, 5m</t>
  </si>
  <si>
    <t>Napf, Blech</t>
  </si>
  <si>
    <t>50 Nägel, sort,</t>
  </si>
  <si>
    <t>Ahle</t>
  </si>
  <si>
    <t>Angelhaken und Schnur</t>
  </si>
  <si>
    <t>Axt, Holzfäller-</t>
  </si>
  <si>
    <t>Axt, Holzfäller-, schwer</t>
  </si>
  <si>
    <t>Beil</t>
  </si>
  <si>
    <t>Beil, Fleischer-</t>
  </si>
  <si>
    <t xml:space="preserve">Bleischmelzlöffel </t>
  </si>
  <si>
    <t>Brecheisen</t>
  </si>
  <si>
    <t>Dreschflegel</t>
  </si>
  <si>
    <t>Eispickel</t>
  </si>
  <si>
    <t>Feile für Holz</t>
  </si>
  <si>
    <t>Feile für Metall</t>
  </si>
  <si>
    <t>Fuchsschwanz</t>
  </si>
  <si>
    <t>Gabel, Mist-</t>
  </si>
  <si>
    <t>Hacke, Spitz-</t>
  </si>
  <si>
    <t>Haken, Kletter- 10 St,</t>
  </si>
  <si>
    <t>Haken, Wurf- 10m Seil</t>
  </si>
  <si>
    <t>Hammer</t>
  </si>
  <si>
    <t>Hammer, Vorschlag-</t>
  </si>
  <si>
    <t>Hobel</t>
  </si>
  <si>
    <t>Keile</t>
  </si>
  <si>
    <t>Meißel, 5 sort,</t>
  </si>
  <si>
    <t>Messer</t>
  </si>
  <si>
    <t>Säge, Bügel-</t>
  </si>
  <si>
    <t>Schaufel</t>
  </si>
  <si>
    <t>Schere</t>
  </si>
  <si>
    <t>Schüreisen</t>
  </si>
  <si>
    <t>Senkblei</t>
  </si>
  <si>
    <t>Sense</t>
  </si>
  <si>
    <t>Sichel</t>
  </si>
  <si>
    <t>Spaten</t>
  </si>
  <si>
    <t>Zange</t>
  </si>
  <si>
    <t>Zange, Kugel-</t>
  </si>
  <si>
    <t>Zange, Schmiede-</t>
  </si>
  <si>
    <t>Ausschneiden</t>
  </si>
  <si>
    <t>Huf</t>
  </si>
  <si>
    <t>Hufschmied</t>
  </si>
  <si>
    <t>Beschlagen</t>
  </si>
  <si>
    <t>Führkette</t>
  </si>
  <si>
    <t>Hufeisen, Ersatz-</t>
  </si>
  <si>
    <t>Schnupftuch</t>
  </si>
  <si>
    <t>Decken</t>
  </si>
  <si>
    <t>Decke, wolle</t>
  </si>
  <si>
    <t>Hängematte</t>
  </si>
  <si>
    <t>Schlafsack</t>
  </si>
  <si>
    <t>Zelt, 2 Personen</t>
  </si>
  <si>
    <t>Zelt, 4 Personen</t>
  </si>
  <si>
    <t>Zeltboden</t>
  </si>
  <si>
    <t>Decke, Pferde-</t>
  </si>
  <si>
    <t>Decke, Sattel-</t>
  </si>
  <si>
    <t>Decke, Streitroß-</t>
  </si>
  <si>
    <t>Decke, Stall-</t>
  </si>
  <si>
    <t>Banner</t>
  </si>
  <si>
    <t>Flaggen</t>
  </si>
  <si>
    <t>Wimpel</t>
  </si>
  <si>
    <t>Fäustlinge, Pelz, gewöhnlich</t>
  </si>
  <si>
    <t>Fäustlinge, Pelz, Maßanfertigung</t>
  </si>
  <si>
    <t>Fäustlinge, Wolle, gewöhnlich</t>
  </si>
  <si>
    <t>Haube, Leinen, gewöhnlich</t>
  </si>
  <si>
    <t>Hutmacher</t>
  </si>
  <si>
    <t>Haube, Leinen, Maßanfertigung</t>
  </si>
  <si>
    <t>Hut, Filz mit Federn, gewöhnlich</t>
  </si>
  <si>
    <t>Hut, Filz mit Federn, Maßanfertigung</t>
  </si>
  <si>
    <t>Hut, Filz, gewöhnlich</t>
  </si>
  <si>
    <t>Hut, Filz, Maßanfertigung</t>
  </si>
  <si>
    <t>Maske, Leder, gewöhnlich</t>
  </si>
  <si>
    <t>Maske, Leder, Maßanfertigung</t>
  </si>
  <si>
    <t>Maske, Tuch, gewöhnlich</t>
  </si>
  <si>
    <t>Maske, Tuch, Maßanfertigung</t>
  </si>
  <si>
    <t>Mütze, Fell, gewöhnlich</t>
  </si>
  <si>
    <t>Mütze, Fell, Maßanfertigung</t>
  </si>
  <si>
    <t>Mütze, Wolle, gewöhnlich</t>
  </si>
  <si>
    <t>Schleier, Wolltuch, gewöhnlich</t>
  </si>
  <si>
    <t>Schleier, Wolltuch, Maßanfertigung</t>
  </si>
  <si>
    <t>Stirnband, gewöhnlich</t>
  </si>
  <si>
    <t>Stirnband, Maßanfertigung</t>
  </si>
  <si>
    <t>Anorak, Fell, gewöhnlich</t>
  </si>
  <si>
    <t>Anorak, Fell, Maßanfertigung</t>
  </si>
  <si>
    <t>Beinkleider, Bausch, gewöhnlich</t>
  </si>
  <si>
    <t>Beinkleider, Bausch, Maßanfertigung</t>
  </si>
  <si>
    <t>Beinkleider, Leinen, gewöhnlich</t>
  </si>
  <si>
    <t>Beinkleider, Leinen, Maßanfertigung</t>
  </si>
  <si>
    <t>Beinkleider, Wolle, gewöhnlich</t>
  </si>
  <si>
    <t>Beinkleider, Wolle, Maßanfertigung</t>
  </si>
  <si>
    <t>Burnus, gewöhnlich</t>
  </si>
  <si>
    <t>Burnus, Maßanfertigung</t>
  </si>
  <si>
    <t>Cape, gewöhnlich</t>
  </si>
  <si>
    <t>Cape, Maßanfertigung</t>
  </si>
  <si>
    <t>Hemd, Bluse Bausch, gewöhnlich</t>
  </si>
  <si>
    <t>Hemd, Bluse Bausch, Maßanfertigung</t>
  </si>
  <si>
    <t>Hemd, Bluse Wolle, gewöhnlich</t>
  </si>
  <si>
    <t>Hemd, Bluse Wolle, Maßanfertigung</t>
  </si>
  <si>
    <t>Hemd, Bluse, Leinen, gewöhnlich</t>
  </si>
  <si>
    <t>Hemd, Bluse, Leinen, Maßanfertigung</t>
  </si>
  <si>
    <t>Hose, Pluder- Leinen, gewöhnlich</t>
  </si>
  <si>
    <t>Hose, Pluder- Leinen, Maßanfertigung</t>
  </si>
  <si>
    <t>Jacke, Leder, gewöhnlich</t>
  </si>
  <si>
    <t>Jacke, Leder, Maßanfertigung</t>
  </si>
  <si>
    <t>Jacke, Leinen, gewöhnlich</t>
  </si>
  <si>
    <t>Jacke, Leinen, Maßanfertigung</t>
  </si>
  <si>
    <t>Jacke, Teer, gewöhnlich</t>
  </si>
  <si>
    <t>Jacke, Wolle, gewöhnlich</t>
  </si>
  <si>
    <t>Jacke, Wolle, Maßanfertigung</t>
  </si>
  <si>
    <t>Kleid, Bausch, gewöhnlich</t>
  </si>
  <si>
    <t>Kleid, Bausch, Maßanfertigung</t>
  </si>
  <si>
    <t>Kleid, Leinen, gewöhnlich</t>
  </si>
  <si>
    <t>Kleid, Leinen, Maßanfertigung</t>
  </si>
  <si>
    <t>Kleid, Wolle, gewöhnlich</t>
  </si>
  <si>
    <t>Kleid, Wolle, Maßanfertigung</t>
  </si>
  <si>
    <t>Kutte, grobe Wolle, gewöhnlich</t>
  </si>
  <si>
    <t>Kutte, grobe Wolle, Maßanfertigung</t>
  </si>
  <si>
    <t>Mantel, Haus-, gewöhnlich</t>
  </si>
  <si>
    <t>Mantel, Haus-, Maßanfertigung</t>
  </si>
  <si>
    <t>Mantel, Pelz, gewöhnlich</t>
  </si>
  <si>
    <t>Mantel, Pelz, Maßanfertigung</t>
  </si>
  <si>
    <t>Mantel, Reit- Leder, gewöhnlich</t>
  </si>
  <si>
    <t>Mantel, Reit- Leder, Maßanfertigung</t>
  </si>
  <si>
    <t>Mantel, Wolle, gewöhnlich</t>
  </si>
  <si>
    <t>Mantel, Wolle, Maßanfertigung</t>
  </si>
  <si>
    <t>Muff, gewöhnlich</t>
  </si>
  <si>
    <t>Muff, Maßanfertigung</t>
  </si>
  <si>
    <t>Rock, Bausch, gewöhnlich</t>
  </si>
  <si>
    <t>Rock, Bausch, Maßanfertigung</t>
  </si>
  <si>
    <t>Rock, Leder, gewöhnlich</t>
  </si>
  <si>
    <t>Rock, Leder, Maßanfertigung</t>
  </si>
  <si>
    <t>Rock, Leinen, gewöhnlich</t>
  </si>
  <si>
    <t>Rock, Leinen, Maßanfertigung</t>
  </si>
  <si>
    <t>Rock, Wolle, gewöhnlich</t>
  </si>
  <si>
    <t>Rock, Wolle, Maßanfertigung</t>
  </si>
  <si>
    <t>Tuch, Hals- Seide, gewöhnlich</t>
  </si>
  <si>
    <t>Tuch, Hals- Seide, Maßanfertigung</t>
  </si>
  <si>
    <t>Tunika, Bausch, gewöhnlich</t>
  </si>
  <si>
    <t>Tunika, Bausch, Maßanfertigung</t>
  </si>
  <si>
    <t>Umhang, Kapuzen-, gewöhnlich</t>
  </si>
  <si>
    <t>Umhang, Kapuzen-, Maßanfertigung</t>
  </si>
  <si>
    <t>Wams, Leinen, gewöhnlich</t>
  </si>
  <si>
    <t>Wams, Leinen, Maßanfertigung</t>
  </si>
  <si>
    <t>Weste, Leder ·,, gewöhnlich</t>
  </si>
  <si>
    <t>Weste, Leder ·,, Maßanfertigung</t>
  </si>
  <si>
    <t>Weste, Pelz, gewöhnlich</t>
  </si>
  <si>
    <t>Weste, Pelz, Maßanfertigung</t>
  </si>
  <si>
    <t>Weste, Wolle, gewöhnlich</t>
  </si>
  <si>
    <t>Weste, Wolle, Maßanfertigung</t>
  </si>
  <si>
    <t>Beinkleider, Seide, gewöhnlich</t>
  </si>
  <si>
    <t>Seidenstoffe</t>
  </si>
  <si>
    <t>Beinkleider, Seide, Maßanfertigung</t>
  </si>
  <si>
    <t>Hemd, Bluse Seide, gewöhnlich</t>
  </si>
  <si>
    <t>Hemd, Bluse Seide, Maßanfertigung</t>
  </si>
  <si>
    <t>Hemd, Nacht- Seide, gewöhnlich</t>
  </si>
  <si>
    <t>Hemd, Nacht- Seide, Maßanfertigung</t>
  </si>
  <si>
    <t>Hose, Pluder- Seide, gewöhnlich</t>
  </si>
  <si>
    <t>Hose, Pluder- Seide, Maßanfertigung</t>
  </si>
  <si>
    <t>Kleid, Seide, gewöhnlich</t>
  </si>
  <si>
    <t>Kleid, Seide, Maßanfertigung</t>
  </si>
  <si>
    <t>Robe, Brokat, gewöhnlich</t>
  </si>
  <si>
    <t>Robe, Brokat, Maßanfertigung</t>
  </si>
  <si>
    <t>Rock, Seide, gewöhnlich</t>
  </si>
  <si>
    <t>Rock, Seide, Maßanfertigung</t>
  </si>
  <si>
    <t>Schärpe, Seide, gewöhnlich</t>
  </si>
  <si>
    <t>Schärpe, Seide, Maßanfertigung</t>
  </si>
  <si>
    <t>Schleier, Seide, gewöhnlich</t>
  </si>
  <si>
    <t>Schleier, Seide, Maßanfertigung</t>
  </si>
  <si>
    <t>Strümpfe, Seide, gewöhnlich</t>
  </si>
  <si>
    <t>Strümpfe, Seide, Maßanfertigung</t>
  </si>
  <si>
    <t>Weste, Brokat, gewöhnlich</t>
  </si>
  <si>
    <t>Weste, Brokat, Maßanfertigung</t>
  </si>
  <si>
    <t>Weste, Seide, gewöhnlich</t>
  </si>
  <si>
    <t>Weste, Seide, Maßanfertigung</t>
  </si>
  <si>
    <t>Jäckchen, Wams</t>
  </si>
  <si>
    <t xml:space="preserve">für Kleinhunde; </t>
  </si>
  <si>
    <t>Schleife, Haar-, Seide</t>
  </si>
  <si>
    <t>Ballkleid, gewöhnlich</t>
  </si>
  <si>
    <t>Spezialitäten</t>
  </si>
  <si>
    <t>Ballkleid, Maßanfertigung</t>
  </si>
  <si>
    <t>Geweihtenkleidung, Maßanfertigung</t>
  </si>
  <si>
    <t>Beutel, Tuch-, 5 Kg</t>
  </si>
  <si>
    <t>Taschen</t>
  </si>
  <si>
    <t>Beutelchen, Geld-</t>
  </si>
  <si>
    <t>Sack, 10Kg</t>
  </si>
  <si>
    <t>Sack, 50Kg</t>
  </si>
  <si>
    <t>Beutel, Brot-</t>
  </si>
  <si>
    <t>Futterbeutel</t>
  </si>
  <si>
    <t>Tasche, 10 Bolzen, Stoff</t>
  </si>
  <si>
    <t>Teppich, einfach, m2</t>
  </si>
  <si>
    <t>Teppichknüpfer</t>
  </si>
  <si>
    <t>Teppich, einfach, m2, Elfenarbeit</t>
  </si>
  <si>
    <t>Hemd, Nacht- Leinen, gewöhnlich</t>
  </si>
  <si>
    <t>Unterbekledung</t>
  </si>
  <si>
    <t>Hemd, Nacht- Leinen, Maßanfertigung</t>
  </si>
  <si>
    <t>Mieder, gewöhnlich</t>
  </si>
  <si>
    <t>Mieder, Maßanfertigung</t>
  </si>
  <si>
    <t>Mütze, Nacht,, gewöhnlich</t>
  </si>
  <si>
    <t>Mütze, Nacht,, Maßanfertigung</t>
  </si>
  <si>
    <t>Strümpfe, Wolle, gewöhnlich</t>
  </si>
  <si>
    <t>Strümpfe, Wolle, Maßanfertigung</t>
  </si>
  <si>
    <t>Tuch, Lenden-, gewöhnlich</t>
  </si>
  <si>
    <t>Unterrock, gewöhnlich</t>
  </si>
  <si>
    <t>Unterrock, Maßanfertigung</t>
  </si>
  <si>
    <t>Unterwäsche, gewöhnlich</t>
  </si>
  <si>
    <t>Unterwäsche, Maßanfertigung</t>
  </si>
  <si>
    <t>Matratze</t>
  </si>
  <si>
    <t>Wattierung</t>
  </si>
  <si>
    <t>Kissen, Reit-</t>
  </si>
  <si>
    <t>Puppe, Stoff-</t>
  </si>
  <si>
    <t>Netz, Trag-</t>
  </si>
  <si>
    <t>Netze</t>
  </si>
  <si>
    <t>Netz, Fischer- groß</t>
  </si>
  <si>
    <t>Netz, Fischer- klein</t>
  </si>
  <si>
    <t>Netz, Wurf-</t>
  </si>
  <si>
    <t>Leiter, Strick- 5m</t>
  </si>
  <si>
    <t>Stricke</t>
  </si>
  <si>
    <t>Schnur, 20m</t>
  </si>
  <si>
    <t>Seil, Fessel- 1m</t>
  </si>
  <si>
    <t>Seil, Hanf, 10 m, verstärkt</t>
  </si>
  <si>
    <t>Seil, Hanf, 10m</t>
  </si>
  <si>
    <t>Seil, Kletter- 10m</t>
  </si>
  <si>
    <t>Seil, Leder- 1m</t>
  </si>
  <si>
    <t>Seil, Seide10m</t>
  </si>
  <si>
    <t>Tau, 20m</t>
  </si>
  <si>
    <t>Führstrick</t>
  </si>
  <si>
    <t>Geschirr, Koch, sort,, Email</t>
  </si>
  <si>
    <t>Emaillierung</t>
  </si>
  <si>
    <t>Kessel, Email, 6L</t>
  </si>
  <si>
    <t>Teller, Porzellan</t>
  </si>
  <si>
    <t>Topf, Blech-, Email, 6L</t>
  </si>
  <si>
    <t>Becher, Trink- Ton</t>
  </si>
  <si>
    <t>Geschirr</t>
  </si>
  <si>
    <t>Flasche, Ton 0,2L</t>
  </si>
  <si>
    <t>Krug, Ton-</t>
  </si>
  <si>
    <t>Teller, Ton</t>
  </si>
  <si>
    <t>Pfeife, Ton</t>
  </si>
  <si>
    <t>Eier, 6 Stück</t>
  </si>
  <si>
    <t>Geflügelwirtschaft</t>
  </si>
  <si>
    <t>Gans</t>
  </si>
  <si>
    <t>Huhn</t>
  </si>
  <si>
    <t>Gänsekiele, Griffel 10 St,</t>
  </si>
  <si>
    <t>Kerze, Bienenwachs-, 30cm</t>
  </si>
  <si>
    <t>Imker</t>
  </si>
  <si>
    <t>Honig</t>
  </si>
  <si>
    <t>Horn, Trink-</t>
  </si>
  <si>
    <t>Metzger</t>
  </si>
  <si>
    <t>"Saure Wurst"</t>
  </si>
  <si>
    <t>Fleisch</t>
  </si>
  <si>
    <t>Fleisch, Dörr-</t>
  </si>
  <si>
    <t>Fleisch, Esels-/Pferde-</t>
  </si>
  <si>
    <t>Fleisch, Hammel</t>
  </si>
  <si>
    <t>Speckseite</t>
  </si>
  <si>
    <t>Wurst</t>
  </si>
  <si>
    <t>Wurst, Hart</t>
  </si>
  <si>
    <t>Knochen, Beiß</t>
  </si>
  <si>
    <t>Butter</t>
  </si>
  <si>
    <t>Milchwirtschaft</t>
  </si>
  <si>
    <t>Käse</t>
  </si>
  <si>
    <t>Käse, edel</t>
  </si>
  <si>
    <t>Käse, Hart</t>
  </si>
  <si>
    <t>Käse, Schafs-</t>
  </si>
  <si>
    <t>Milch, Kuh-</t>
  </si>
  <si>
    <t>Kerze, 30cm</t>
  </si>
  <si>
    <t>Tierische Fette</t>
  </si>
  <si>
    <t>Kerze, 60cm</t>
  </si>
  <si>
    <t>Öl, Lampen-</t>
  </si>
  <si>
    <t>Deichselfett</t>
  </si>
  <si>
    <t>Leder, Rind</t>
  </si>
  <si>
    <t>Weidevieh</t>
  </si>
  <si>
    <t>Leder, Schwein</t>
  </si>
  <si>
    <t>Leder, schwer</t>
  </si>
  <si>
    <t>Leder, Ziege</t>
  </si>
  <si>
    <t>Rasiermesser</t>
  </si>
  <si>
    <t>Atlas</t>
  </si>
  <si>
    <t>Brokat</t>
  </si>
  <si>
    <t>Samt</t>
  </si>
  <si>
    <t>Seide</t>
  </si>
  <si>
    <t>Seide, gewöhnlich</t>
  </si>
  <si>
    <t>Seide, Maßanfertigung</t>
  </si>
  <si>
    <t>Spitzen (pro 50cm)</t>
  </si>
  <si>
    <t>Taft</t>
  </si>
  <si>
    <t>Leinen</t>
  </si>
  <si>
    <t>Stoffe</t>
  </si>
  <si>
    <t>Tuch, Segel-</t>
  </si>
  <si>
    <t>Bausch</t>
  </si>
  <si>
    <t>Wolle</t>
  </si>
  <si>
    <t>Filz</t>
  </si>
  <si>
    <t>Wolle, Karen-</t>
  </si>
  <si>
    <t>Wolle, Phraischaf</t>
  </si>
  <si>
    <t>Wollstoff, einfach</t>
  </si>
  <si>
    <t>Wollstoff, schwer</t>
  </si>
  <si>
    <t>Pferd (60km/T)</t>
  </si>
  <si>
    <t>Zu Fuß (30km/T)</t>
  </si>
  <si>
    <t>magisch_y_n</t>
  </si>
  <si>
    <t>Potenz</t>
  </si>
  <si>
    <t>Dosierbar</t>
  </si>
  <si>
    <t>Zufuhr</t>
  </si>
  <si>
    <t>ZbS (Zeit bis Symptom)</t>
  </si>
  <si>
    <t>ZbW (Zeit bis Wirkung)</t>
  </si>
  <si>
    <t>Wirkungsdauer</t>
  </si>
  <si>
    <t>Legalität</t>
  </si>
  <si>
    <t>Char_Unterwelt_Mod</t>
  </si>
  <si>
    <t>Verfügb</t>
  </si>
  <si>
    <t>Zutaten_Preis_in_D</t>
  </si>
  <si>
    <t>Kaufpreis_in_D</t>
  </si>
  <si>
    <t>Rezept-Erschwerung</t>
  </si>
  <si>
    <t>Gifte</t>
  </si>
  <si>
    <t>profan</t>
  </si>
  <si>
    <t>Leichtes Regigift</t>
  </si>
  <si>
    <t>J</t>
  </si>
  <si>
    <t>Körper</t>
  </si>
  <si>
    <t>Sofort</t>
  </si>
  <si>
    <t>12h</t>
  </si>
  <si>
    <t>Regenerationsklasse -2, leichter Schlaf</t>
  </si>
  <si>
    <t>Regigift</t>
  </si>
  <si>
    <t>Regenerationsklasse -4, leichter Schlaf</t>
  </si>
  <si>
    <t>Starkes Regigift</t>
  </si>
  <si>
    <t>Regenerationsklasse -7, leichter Schlaf</t>
  </si>
  <si>
    <t>Hässlichkeitsgift</t>
  </si>
  <si>
    <t>1d</t>
  </si>
  <si>
    <t>Alle Grundfertigkeits-, Sprach-, Kulur- und WHK-Proben auf Ausstrahlung um 10 erschwert</t>
  </si>
  <si>
    <t>Starkes Hässlichkeitsgift</t>
  </si>
  <si>
    <t>Alle Grundfertigkeits-, Sprach-, Kulur- und WHK-Proben auf Ausstrahlung um 15 erschwert</t>
  </si>
  <si>
    <t>Leichtes Hässlichkeitsgift</t>
  </si>
  <si>
    <t>Alle Grundfertigkeits-, Sprach-, Kulur- und WHK-Proben auf Ausstrahlung um 5 erschwert</t>
  </si>
  <si>
    <t>Leichtes Zungengift</t>
  </si>
  <si>
    <t>1  KR</t>
  </si>
  <si>
    <t>3  KR</t>
  </si>
  <si>
    <t>1h</t>
  </si>
  <si>
    <t>Artikuliertes Sprechen unmöglich</t>
  </si>
  <si>
    <t>Zungengift</t>
  </si>
  <si>
    <t>Starkes Zungengift</t>
  </si>
  <si>
    <t>Leichtes Taubheitsgift</t>
  </si>
  <si>
    <t>BE 2, Gefahrensinn -12</t>
  </si>
  <si>
    <t>Taubheitsgift</t>
  </si>
  <si>
    <t>Starkes Taubheitsgift</t>
  </si>
  <si>
    <t>Leichtes Lähmungsgift</t>
  </si>
  <si>
    <t>Blut</t>
  </si>
  <si>
    <t>2  KR</t>
  </si>
  <si>
    <t>Die betroffene TZ gilt als mit einem Treffer auf 0</t>
  </si>
  <si>
    <t>Lähmungsgift</t>
  </si>
  <si>
    <t>Starkes Lähmungsgift</t>
  </si>
  <si>
    <t>Leichtes Verwirrungsgift</t>
  </si>
  <si>
    <t>Alle Proben, die Intelligenz enthalten, sowie KI-, PSI-, und Spruchmagie werden um W10 erschwert.</t>
  </si>
  <si>
    <t>Verwirrungsgift</t>
  </si>
  <si>
    <t>Alle Grundfertigkeits-, Sprach-, Kulur- und WHK-Proben auf intelligenz, sowie alle KI-, PSI- und Spruchmagie werden um W15 erschwert.</t>
  </si>
  <si>
    <t>Starkes Verwirrungsgift</t>
  </si>
  <si>
    <t>Alle Grundfertigkeits-, Sprach-, Kulur- und WHK-Proben auf intelligenz, sowie alle KI-, PSI- und Spruchmagie werden um W20 erschwert.</t>
  </si>
  <si>
    <t>Leichtes Blendgift</t>
  </si>
  <si>
    <t>Der Charakter erblindet. Jede Sicht außer magischer Sicht erlischt. BE 18</t>
  </si>
  <si>
    <t>Blendgift</t>
  </si>
  <si>
    <t>Starke Blendgift</t>
  </si>
  <si>
    <t>Leichtes Schwächegift</t>
  </si>
  <si>
    <t>TS -1</t>
  </si>
  <si>
    <t>Schwächegift</t>
  </si>
  <si>
    <t>TS -2</t>
  </si>
  <si>
    <t>Starkes Schwächegift</t>
  </si>
  <si>
    <t>TS -3</t>
  </si>
  <si>
    <t>Leichtes Behinderungsgift</t>
  </si>
  <si>
    <t>Verursacht BE von W4</t>
  </si>
  <si>
    <t>Behinderungsgift</t>
  </si>
  <si>
    <t>Verursacht BE von W6</t>
  </si>
  <si>
    <t>Starkes Behinderungsgift</t>
  </si>
  <si>
    <t>Verursacht BE von W8</t>
  </si>
  <si>
    <t>Leichtes Nahrungsgift</t>
  </si>
  <si>
    <t>N</t>
  </si>
  <si>
    <t>Nahrung</t>
  </si>
  <si>
    <t>10 min</t>
  </si>
  <si>
    <t>15 min</t>
  </si>
  <si>
    <t>3min</t>
  </si>
  <si>
    <t>Auf GES W6 pro min, BE +1 pro min</t>
  </si>
  <si>
    <t>Nahrungsgift</t>
  </si>
  <si>
    <t>Auf GES W8 pro min, BE +2 pro min</t>
  </si>
  <si>
    <t>Starkes Nahrungsgift</t>
  </si>
  <si>
    <t>Auf GES W8 pro min, BE +3 pro min</t>
  </si>
  <si>
    <t>Leichtes Schlafgift</t>
  </si>
  <si>
    <t>60  KR</t>
  </si>
  <si>
    <t>8h</t>
  </si>
  <si>
    <t>Opfer fällt in leichten Schlaf, Sin -5</t>
  </si>
  <si>
    <t>Schlafgift</t>
  </si>
  <si>
    <t>45  KR</t>
  </si>
  <si>
    <t>Opfer fällt in natürlichen Schlaf, Sin -10</t>
  </si>
  <si>
    <t>Starkes Schlafgift</t>
  </si>
  <si>
    <t>30  KR</t>
  </si>
  <si>
    <t>Opfer fällt in tiefen Schlaf, Sin -15, Regi+1</t>
  </si>
  <si>
    <t>magisch</t>
  </si>
  <si>
    <t>Leichtes Managift</t>
  </si>
  <si>
    <t>permanent</t>
  </si>
  <si>
    <t>Mana -4W6</t>
  </si>
  <si>
    <t>Managift</t>
  </si>
  <si>
    <t>Mana -5W10</t>
  </si>
  <si>
    <t>Starkes Managift</t>
  </si>
  <si>
    <t>Mana -6W15</t>
  </si>
  <si>
    <t>Waffengift</t>
  </si>
  <si>
    <t>Kontakt</t>
  </si>
  <si>
    <t>Auf eine TZ –W10 LE</t>
  </si>
  <si>
    <t>Starkes Jagdgift</t>
  </si>
  <si>
    <t>Starkes Waffengift</t>
  </si>
  <si>
    <t>Auf eine TZ –W15 LE</t>
  </si>
  <si>
    <t>Mächtiges Jagdgift</t>
  </si>
  <si>
    <t>Mächtiges Waffengift</t>
  </si>
  <si>
    <t>Auf eine TZ –W20 LE</t>
  </si>
  <si>
    <t>Leichtes Jagdgift</t>
  </si>
  <si>
    <t>Auf eine TZ –W6 LE</t>
  </si>
  <si>
    <t>Leichtes Waffengift</t>
  </si>
  <si>
    <t>Auf eine TZ –W8 LE</t>
  </si>
  <si>
    <t>Jagdgift</t>
  </si>
  <si>
    <t>Schmerzgift</t>
  </si>
  <si>
    <t>Einmalige SB-Probe erschwert um 14</t>
  </si>
  <si>
    <t>Starkes Schmerzgift</t>
  </si>
  <si>
    <t>Einmalige SB-Probe erschwert um 21</t>
  </si>
  <si>
    <t>Leichtes Schmerzgift</t>
  </si>
  <si>
    <t>Einmalige SB-Probe erschwert um 7</t>
  </si>
  <si>
    <t>Heiltränke</t>
  </si>
  <si>
    <t>Leichter Erfrischungstrank</t>
  </si>
  <si>
    <t>3 KR</t>
  </si>
  <si>
    <t>10 KR</t>
  </si>
  <si>
    <t>Ausdauer + 2W20</t>
  </si>
  <si>
    <t>Erfrischungstrank</t>
  </si>
  <si>
    <t>Ausdauer + 3W30</t>
  </si>
  <si>
    <t>Starker Erfrischungstrank</t>
  </si>
  <si>
    <t>Ausdauer + 4W50</t>
  </si>
  <si>
    <t>Leichter Regitrank</t>
  </si>
  <si>
    <t>30 KR</t>
  </si>
  <si>
    <t>10min</t>
  </si>
  <si>
    <t>9h</t>
  </si>
  <si>
    <t>Bei der nächsten natürlichen Regie +3W6 zusätzlich</t>
  </si>
  <si>
    <t>Regitrank</t>
  </si>
  <si>
    <t>Bei der nächsten natürlichen Regie +4W8 zusätzlich</t>
  </si>
  <si>
    <t>Starker Regitrank</t>
  </si>
  <si>
    <t>Bei der nächsten natürlichen Regie +5W12 zusätzlich</t>
  </si>
  <si>
    <t>Leichte Heilsalbe</t>
  </si>
  <si>
    <t>1 KR</t>
  </si>
  <si>
    <t>Der Charakter wird auf einer TZ um LE+2W6 geheilt.</t>
  </si>
  <si>
    <t>Heilsalbe</t>
  </si>
  <si>
    <t>Der Charakter wird auf einer TZ um LE+3W8 geheilt.</t>
  </si>
  <si>
    <t>Starke Heilsalbe</t>
  </si>
  <si>
    <t>Der Charakter wird auf einer TZ um LE+4W12 geheilt.</t>
  </si>
  <si>
    <t>Leichter Allheilmittel</t>
  </si>
  <si>
    <t>30min</t>
  </si>
  <si>
    <t>Kuriert jede unmagische Krankheit.</t>
  </si>
  <si>
    <t>Starke Allheilmittel</t>
  </si>
  <si>
    <t>Kuriert jede unmagische und magische Krankheit.</t>
  </si>
  <si>
    <t>Starke Ambrosia</t>
  </si>
  <si>
    <t>7 KR</t>
  </si>
  <si>
    <t>7min</t>
  </si>
  <si>
    <t>Man wird binnen 24h, 1W12+3 Jahre Jünger</t>
  </si>
  <si>
    <t>Mächtiges Ambrosia</t>
  </si>
  <si>
    <t>Man wird binnen 24h, 1W20+4 Jahre Jünger</t>
  </si>
  <si>
    <t>Leichtes Ambrosia</t>
  </si>
  <si>
    <t>Man wird binnen 24h, 1W4+1 Jahre Jünger</t>
  </si>
  <si>
    <t>Ambrosia</t>
  </si>
  <si>
    <t>Man wird binnen 24h, 1W8+2 Jahre Jünger</t>
  </si>
  <si>
    <t xml:space="preserve">Leichtes Antidot </t>
  </si>
  <si>
    <t>3h</t>
  </si>
  <si>
    <t>Nach Eintritt der Wirkung, 3KR nach der Einnahme, wird eine neue Alchemieresistenz-Probe mit Alchemieresistenz +25 abgelegt.</t>
  </si>
  <si>
    <t>Antidot</t>
  </si>
  <si>
    <t>Nach Eintritt der Wirkung, 3KR nach der Einnahme, wird eine neue Alchemieresistenz-Probe mit Alchemieresistenz +35 abgelegt.</t>
  </si>
  <si>
    <t>Starke Antidot</t>
  </si>
  <si>
    <t>Nach Eintritt der Wirkung, 3KR nach der Einnahme, wird eine neue Alchemieresistenz-Probe mit Alchemieresistenz +45 abgelegt.</t>
  </si>
  <si>
    <t>Leichter  Nahrungstrank</t>
  </si>
  <si>
    <t>Satt und Genährt für 1 Tag</t>
  </si>
  <si>
    <t>Nahrungst.</t>
  </si>
  <si>
    <t>3d</t>
  </si>
  <si>
    <t>Satt und Genährt für 3 Tage</t>
  </si>
  <si>
    <t>Starker Nahrungstrank</t>
  </si>
  <si>
    <t>7d</t>
  </si>
  <si>
    <t>Satt und Genährt für 7 Tage</t>
  </si>
  <si>
    <t>Leichter Gesundheitstrank</t>
  </si>
  <si>
    <t>Sofort Gesundheit +1W6, auch aus dem minus</t>
  </si>
  <si>
    <t>Gesundheitstrank</t>
  </si>
  <si>
    <t>Sofort Gesundheit +2W6, auch aus dem minus</t>
  </si>
  <si>
    <t>Starker Gesundheitstrank</t>
  </si>
  <si>
    <t>Sofort Gesundheit +3W6, auch aus dem minus</t>
  </si>
  <si>
    <t>Leichter Heiltrank</t>
  </si>
  <si>
    <t>Sofort LE +2W6, außer Gesundheit</t>
  </si>
  <si>
    <t>Heiltrank</t>
  </si>
  <si>
    <t>Sofort LE +3W8, außer Gesundheit</t>
  </si>
  <si>
    <t>Starker Heiltrank</t>
  </si>
  <si>
    <t>Sofort LE +4W12, außer Gesundheit</t>
  </si>
  <si>
    <t>Leichter Manatrank</t>
  </si>
  <si>
    <t>Sofort Mana  +4W6</t>
  </si>
  <si>
    <t>Manatrank</t>
  </si>
  <si>
    <t>Sofort Mana  +5W12</t>
  </si>
  <si>
    <t>Starker Manatrank</t>
  </si>
  <si>
    <t>Sofort Mana  +6W20</t>
  </si>
  <si>
    <t>Kampftränke</t>
  </si>
  <si>
    <t>Leichter Göttertrank</t>
  </si>
  <si>
    <t xml:space="preserve"> ALLES +1, auch über Maximal werte</t>
  </si>
  <si>
    <t>Göttertrank</t>
  </si>
  <si>
    <t xml:space="preserve"> ALLES +3, auch über Maximal werte</t>
  </si>
  <si>
    <t>Starker Göttertrank</t>
  </si>
  <si>
    <t xml:space="preserve"> ALLES +6, auch über Maximal werte</t>
  </si>
  <si>
    <t>Leichter Reflextrank</t>
  </si>
  <si>
    <t>+1W4 auf nAW, Initiative, nPa</t>
  </si>
  <si>
    <t>Reflextrank</t>
  </si>
  <si>
    <t>+1W6 auf nAW, Initiative, nPa</t>
  </si>
  <si>
    <t>Starker Reflextrank</t>
  </si>
  <si>
    <t>+1W8 auf nAW, Initiative, nPa</t>
  </si>
  <si>
    <t>Adamanthaut</t>
  </si>
  <si>
    <t>2 KR</t>
  </si>
  <si>
    <t>Alle TZ erhalten RS +1W12+4; RHg +16</t>
  </si>
  <si>
    <t>Eisenhauttrank</t>
  </si>
  <si>
    <t>Alle TZ erhalten RS +1W5+2; RHg +8</t>
  </si>
  <si>
    <t>Stahlhauttrank</t>
  </si>
  <si>
    <t>Alle TZ erhalten RS +1W8+3; RHg +12</t>
  </si>
  <si>
    <t>Leichter Geniustrank</t>
  </si>
  <si>
    <t>Die arkanen Mächte des Charakters werden verstärkt. (M)+1, Mana+9, Max.Mana+9, SB+1, Ini+1, KI-, PSI- und Spruchzauberproben +1</t>
  </si>
  <si>
    <t>Geniustrank</t>
  </si>
  <si>
    <t>Die arkanen Mächte des Charakters werden verstärkt. (M)+2, Mana+18, Max.Mana+18, SB+3, Ini+2, KI-, PSI- und Spruchzauberproben +2</t>
  </si>
  <si>
    <t>Starker Geniustrank</t>
  </si>
  <si>
    <t>Macht+3, Mana+27, Max Mana+27, SB+5, Ini+3, Z.proben+3</t>
  </si>
  <si>
    <t>Leichter Katzentrank</t>
  </si>
  <si>
    <t>nAW+1, Ini+2, nPA+1, FK Basis+1, Ladezeiten-1sec</t>
  </si>
  <si>
    <t>Katzentrank</t>
  </si>
  <si>
    <t>nAW+2, Ini+3, nPA+2, FK Basis+2, Ladezeiten-2sec</t>
  </si>
  <si>
    <t>Starker Katzentrank</t>
  </si>
  <si>
    <t>nAW+3, Ini+4, nPA+3, FK Basis+3, Ladezeiten-3sec</t>
  </si>
  <si>
    <t>Starker Heldentrank</t>
  </si>
  <si>
    <t>SB+15, Ausd+10, Ini+5, nAT+3, Gesundheit+3, NK TP+3</t>
  </si>
  <si>
    <t>Leichter Heldentrank</t>
  </si>
  <si>
    <t>SB+3, Ausd+2, Ini+1, nAT+1, Gesundheit+1, NK TP+1</t>
  </si>
  <si>
    <t>Heldentrank</t>
  </si>
  <si>
    <t>SB+9, Ausd+6, Ini+2, nAT+2, Gesundheit+2, NK TP+2</t>
  </si>
  <si>
    <t>Leichter Bersekertrank</t>
  </si>
  <si>
    <t>1min</t>
  </si>
  <si>
    <t>Trefferschwelle +1W6 (nur Schmerzen)</t>
  </si>
  <si>
    <t>Berserkertrank</t>
  </si>
  <si>
    <t>Trefferschwelle +2W6 (nur Schmerzen)</t>
  </si>
  <si>
    <t>Starker Berserkertrank</t>
  </si>
  <si>
    <t>Trefferschwelle +3W6 (nur Schmerzen)</t>
  </si>
  <si>
    <t>Steinhauttrank</t>
  </si>
  <si>
    <t>Überall RS + 1W4+1 und KampfBehinderung +1</t>
  </si>
  <si>
    <t>Magisches Parfüm</t>
  </si>
  <si>
    <t>Gas</t>
  </si>
  <si>
    <t>7h</t>
  </si>
  <si>
    <t>Erhöht Ausstrahlung um 10 Punkte (nur Gesellschaftlich)</t>
  </si>
  <si>
    <t xml:space="preserve">Billiges Parfüm </t>
  </si>
  <si>
    <t>20 KR</t>
  </si>
  <si>
    <t>6h</t>
  </si>
  <si>
    <t>Erhöht die Ausstrahlung um 1</t>
  </si>
  <si>
    <t>Gutes Parfüm</t>
  </si>
  <si>
    <t>Erhöht die Ausstrahlung um 2Punkt (nur Gesellschaftlich)</t>
  </si>
  <si>
    <t xml:space="preserve">Edles Parfüm </t>
  </si>
  <si>
    <t>10h</t>
  </si>
  <si>
    <t>Erhöht die Ausstrahlung um 4Punkt (nur Gesellschaftlich)</t>
  </si>
  <si>
    <t>Überwältigendes Parfüm</t>
  </si>
  <si>
    <t>Erhöht die Ausstrahlung um 8Punkt (nur Gesellschaftlich)</t>
  </si>
  <si>
    <t>Zustandstränke</t>
  </si>
  <si>
    <t>Chamäleontrank</t>
  </si>
  <si>
    <t>2W6+2min</t>
  </si>
  <si>
    <t xml:space="preserve">Der Charakter wird mitsamt aller Ausrüstung in seiner Aura durchsichtig. Um ihn wahrzunehmen, ist eine Sinnesschärfe-Probe erschwert um 12 nötig. </t>
  </si>
  <si>
    <t>Starker Chamäleontrank</t>
  </si>
  <si>
    <t>1W6+1min</t>
  </si>
  <si>
    <t xml:space="preserve">Der Charakter wird mitsamt aller Ausrüstung in seiner Aura durchsichtig. Um ihn wahrzunehmen, ist eine Sinnesschärfe-Probe erschwert um 18 nötig. </t>
  </si>
  <si>
    <t>Leichter Chamäleontrank</t>
  </si>
  <si>
    <t>W6+1min</t>
  </si>
  <si>
    <t xml:space="preserve">Der Charakter wird mitsamt aller Ausrüstung in seiner Aura durchsichtig. Um ihn wahrzunehmen, ist eine Sinnesschärfe-Probe erschwert um 6 nötig. </t>
  </si>
  <si>
    <t>Nachtsichttrank</t>
  </si>
  <si>
    <t>Der sieht selbst in absoluter Dunkelheit wie am Tag. Hebt alle lichtabhängigen Erschwerungen auf.</t>
  </si>
  <si>
    <t>2h</t>
  </si>
  <si>
    <t>Die Wirkung von Alchemika ist 50% geringer</t>
  </si>
  <si>
    <t>Kälte Resistenz</t>
  </si>
  <si>
    <t>Eis macht 50% Schaden weniger</t>
  </si>
  <si>
    <t>Feuer-Resistenz-Trank</t>
  </si>
  <si>
    <t>Feuer macht 50% Schaden weniger</t>
  </si>
  <si>
    <t>Starker Lufttrank</t>
  </si>
  <si>
    <t>2W20+10min</t>
  </si>
  <si>
    <t>Keinerlei Luftzufuhr notwenig</t>
  </si>
  <si>
    <t xml:space="preserve">Leichter Lufttrank </t>
  </si>
  <si>
    <t>1W10+5min</t>
  </si>
  <si>
    <t>Man braucht für  1W10+5min nicht atmen.</t>
  </si>
  <si>
    <t xml:space="preserve">Lufttrank </t>
  </si>
  <si>
    <t>1W20+5min</t>
  </si>
  <si>
    <t>Man braucht für  1W20+5min nicht atmen.</t>
  </si>
  <si>
    <t>Flugtrank</t>
  </si>
  <si>
    <t>Man kann mit 10m/s Fliegen</t>
  </si>
  <si>
    <t>Starker Flugtrank</t>
  </si>
  <si>
    <t>Man kann mit 15m/s Fliegen</t>
  </si>
  <si>
    <t>Leichter Flugtrank</t>
  </si>
  <si>
    <t>Man kann mit 5m/s Fliegen</t>
  </si>
  <si>
    <t>Geruchslossalbe</t>
  </si>
  <si>
    <t>5 KR</t>
  </si>
  <si>
    <t>Man verliert seinen Geruch komplett</t>
  </si>
  <si>
    <t>Kopf</t>
  </si>
  <si>
    <t>Verarbeitung</t>
  </si>
  <si>
    <t>Anpassung</t>
  </si>
  <si>
    <t>RS</t>
  </si>
  <si>
    <t>BE</t>
  </si>
  <si>
    <t>Preis</t>
  </si>
  <si>
    <t>NW</t>
  </si>
  <si>
    <t>Lage 1</t>
  </si>
  <si>
    <t>Stoffrüstung</t>
  </si>
  <si>
    <t>Meisterarbeit</t>
  </si>
  <si>
    <t>angepasst</t>
  </si>
  <si>
    <t>Lage 2</t>
  </si>
  <si>
    <t>Leichte Lederrüstung</t>
  </si>
  <si>
    <t>Lage 3</t>
  </si>
  <si>
    <t>Stahl-Kettenpanzer</t>
  </si>
  <si>
    <t>Lage 4</t>
  </si>
  <si>
    <t>Schwerer Lederpanzer</t>
  </si>
  <si>
    <t>Lage 5</t>
  </si>
  <si>
    <t>Keine Rüstung</t>
  </si>
  <si>
    <t>Gesamt:</t>
  </si>
  <si>
    <t>Torso</t>
  </si>
  <si>
    <t>Großmeisterarbeit</t>
  </si>
  <si>
    <t>perfekt angepasst</t>
  </si>
  <si>
    <t>Gesellenarbeit</t>
  </si>
  <si>
    <t>Eisen-Kettenpanzer</t>
  </si>
  <si>
    <t>Schwerer Faltstahlpanzer</t>
  </si>
  <si>
    <t>Einzelstück</t>
  </si>
  <si>
    <t>Arme</t>
  </si>
  <si>
    <t>Beine</t>
  </si>
  <si>
    <t>Rüstung</t>
  </si>
  <si>
    <t>Legende:</t>
  </si>
  <si>
    <t xml:space="preserve">Hals, Schultergelenk, Ellenbogen, Hände, Knie und Füße werden nur mit halbem RS geschützt. Augen werden nicht geschützt.Für alle nicht genannten kritischen Trefferzonen gilt der volle Rüstungswert. </t>
  </si>
  <si>
    <t xml:space="preserve">Jedes Rüstungsteil kann durch Verarbeitung und Anpassung einmalig modifiziert werden. </t>
  </si>
  <si>
    <t xml:space="preserve">Jedes Rüstungsteil hat seine Lage als Mindest-RBE. Lage 5 (Umhänge, Aufpanzerungen) sind hiervon ausgenommen. </t>
  </si>
  <si>
    <t>Drachenschuppen und andere Aufpanzerungen verfügen über bestimmte Boni, die derzeit noch in der alten Waffentabelle aufgeführt sind...</t>
  </si>
  <si>
    <t>Lage</t>
  </si>
  <si>
    <t>Verfügbarkeit NW</t>
  </si>
  <si>
    <t>Verfügbarkeit AW</t>
  </si>
  <si>
    <t>Materialkosten</t>
  </si>
  <si>
    <t>Arbeitszeit/d</t>
  </si>
  <si>
    <t>Leichte Stoffrüstung</t>
  </si>
  <si>
    <t>Schwere Stoffrüstung</t>
  </si>
  <si>
    <t>Lederrüstung</t>
  </si>
  <si>
    <t>Schwere Lederrüstung</t>
  </si>
  <si>
    <t>Schwerer Eisen-Kettenpanzer</t>
  </si>
  <si>
    <t>Faltstahl-Kettenpanzer</t>
  </si>
  <si>
    <t>Schwerer Stahl-Kettenpanzer</t>
  </si>
  <si>
    <t>Schwerer Faltstahl-Kettenpanzer</t>
  </si>
  <si>
    <t>Lederpanzer</t>
  </si>
  <si>
    <t>Eisenpanzer</t>
  </si>
  <si>
    <t>Stahlpanzer</t>
  </si>
  <si>
    <t>Schwerer Eisenpanzer</t>
  </si>
  <si>
    <t>Schwerer Stahlpanzer</t>
  </si>
  <si>
    <t>Faltstahlpanzer</t>
  </si>
  <si>
    <t>Waffe</t>
  </si>
  <si>
    <t>Stä-Malus</t>
  </si>
  <si>
    <t>AT-</t>
  </si>
  <si>
    <t>PA-</t>
  </si>
  <si>
    <t xml:space="preserve">WK </t>
  </si>
  <si>
    <t>1H min.Stä</t>
  </si>
  <si>
    <t>2H min.Stä</t>
  </si>
  <si>
    <t>Klingen-Brecher</t>
  </si>
  <si>
    <t>Klingen-Schutz</t>
  </si>
  <si>
    <t>Art/Specials</t>
  </si>
  <si>
    <t>Rezept-Mod</t>
  </si>
  <si>
    <t>Eisen</t>
  </si>
  <si>
    <t>Standard</t>
  </si>
  <si>
    <t>Stahl</t>
  </si>
  <si>
    <t>ALLE</t>
  </si>
  <si>
    <t>Qualitätsstahl</t>
  </si>
  <si>
    <t>Faltstahl</t>
  </si>
  <si>
    <t>Mithril</t>
  </si>
  <si>
    <t>Kolhartz</t>
  </si>
  <si>
    <t>Alchemistensilb.</t>
  </si>
  <si>
    <t>Nasium</t>
  </si>
  <si>
    <t>Diamantspat</t>
  </si>
  <si>
    <t>Zerfällt bei kontakt mit Sonnenlicht zu Staub</t>
  </si>
  <si>
    <t>Adamandit</t>
  </si>
  <si>
    <t>Holz</t>
  </si>
  <si>
    <t>Knochen</t>
  </si>
  <si>
    <t>Stein</t>
  </si>
  <si>
    <t xml:space="preserve">Schwarzfells </t>
  </si>
  <si>
    <t>Leder</t>
  </si>
  <si>
    <t xml:space="preserve">Hartholz </t>
  </si>
  <si>
    <t>Der Schaden wird zur hälfte auf Ausdauer verteielt</t>
  </si>
  <si>
    <t>Vulkanglas</t>
  </si>
  <si>
    <t>Chitin</t>
  </si>
  <si>
    <t>Bronze</t>
  </si>
  <si>
    <t>Min.Stä. 1H</t>
  </si>
  <si>
    <t>Min.Stä. 2H</t>
  </si>
  <si>
    <t>Klingen Brecher</t>
  </si>
  <si>
    <t>Klingen Schutz</t>
  </si>
  <si>
    <t>Von der Stange</t>
  </si>
  <si>
    <t xml:space="preserve">Perfekt angepasst </t>
  </si>
  <si>
    <t>Verstärkung des Schafts</t>
  </si>
  <si>
    <t>Preis/m</t>
  </si>
  <si>
    <t>Eisen Verstärkt</t>
  </si>
  <si>
    <t>Eisen Voll</t>
  </si>
  <si>
    <t>Stahl Verstärkt</t>
  </si>
  <si>
    <t>Stahl Voll</t>
  </si>
  <si>
    <t>Qualitätsstahl Voll</t>
  </si>
  <si>
    <t>Faltstahl Verstärkt</t>
  </si>
  <si>
    <t>Faltstahl Voll</t>
  </si>
  <si>
    <t>Mithril Verstärkt</t>
  </si>
  <si>
    <t>Mithril Voll</t>
  </si>
  <si>
    <t>Adamandit Verst.</t>
  </si>
  <si>
    <t>Adamantit Voll</t>
  </si>
  <si>
    <t>Bronze Verstärkt</t>
  </si>
  <si>
    <t>Bronze Voll</t>
  </si>
  <si>
    <t>Fertigung</t>
  </si>
  <si>
    <t xml:space="preserve">Ausschuss  </t>
  </si>
  <si>
    <t>Goblin Massenfab.</t>
  </si>
  <si>
    <t>Massenfabrikation</t>
  </si>
  <si>
    <t xml:space="preserve">Meisterarbeit  </t>
  </si>
  <si>
    <t xml:space="preserve">Einzelstück </t>
  </si>
  <si>
    <t>Hauptfertigkeit</t>
  </si>
  <si>
    <t>WK-Basis</t>
  </si>
  <si>
    <t>Schadenswuerfel-1</t>
  </si>
  <si>
    <t>Schadenswuerfel-2</t>
  </si>
  <si>
    <t>Staerke-Teiler</t>
  </si>
  <si>
    <t>Staerke-Malus-Basis</t>
  </si>
  <si>
    <t>RB</t>
  </si>
  <si>
    <t>AT-Basis</t>
  </si>
  <si>
    <t>PA-Basis</t>
  </si>
  <si>
    <t>Min-Staerke-1H-Basis</t>
  </si>
  <si>
    <t>Min-Staerke-2H-Basis</t>
  </si>
  <si>
    <t>Laenge-m</t>
  </si>
  <si>
    <t>Tarnung</t>
  </si>
  <si>
    <t>Art-Specials</t>
  </si>
  <si>
    <t>Klingenbrecher-Basis</t>
  </si>
  <si>
    <t>Klingenschutz-Basis</t>
  </si>
  <si>
    <t>Rezept-Mod-Basis</t>
  </si>
  <si>
    <t>Materialpreis-Faktor</t>
  </si>
  <si>
    <t>Arbeitszeit-Tag-Basis</t>
  </si>
  <si>
    <t>Fert-Spez-Maximum</t>
  </si>
  <si>
    <t>RS-Basis</t>
  </si>
  <si>
    <t>Preis-Basis</t>
  </si>
  <si>
    <t>Armklingen</t>
  </si>
  <si>
    <t>W10</t>
  </si>
  <si>
    <t>W6</t>
  </si>
  <si>
    <t>Schnell</t>
  </si>
  <si>
    <t>Fechtwaffen</t>
  </si>
  <si>
    <t>Armklingen elfisch</t>
  </si>
  <si>
    <t>W12</t>
  </si>
  <si>
    <t>W4</t>
  </si>
  <si>
    <t>Äxte</t>
  </si>
  <si>
    <t>Axt</t>
  </si>
  <si>
    <t>W20</t>
  </si>
  <si>
    <t>Holzschaft</t>
  </si>
  <si>
    <t>Bajonett abgepflanzt</t>
  </si>
  <si>
    <t>Speere</t>
  </si>
  <si>
    <t>Bajonett aufgepflanzt</t>
  </si>
  <si>
    <t>wie Feuerwaffe*2</t>
  </si>
  <si>
    <t>wie Feuerwaffe</t>
  </si>
  <si>
    <t>Beidhand-Hiebwaffen</t>
  </si>
  <si>
    <t>Barbarendoppelaxt</t>
  </si>
  <si>
    <t>[2W12]</t>
  </si>
  <si>
    <t>--</t>
  </si>
  <si>
    <t>Schwerter</t>
  </si>
  <si>
    <t>Barbarenschwert</t>
  </si>
  <si>
    <t>W8</t>
  </si>
  <si>
    <t>Zweihänder</t>
  </si>
  <si>
    <t>Bastardschwert</t>
  </si>
  <si>
    <t>W15</t>
  </si>
  <si>
    <t xml:space="preserve">W10 </t>
  </si>
  <si>
    <t>Bat'leth  orkisch</t>
  </si>
  <si>
    <t>Stäbe</t>
  </si>
  <si>
    <t>Bat'leth kurz</t>
  </si>
  <si>
    <t>Berdysch</t>
  </si>
  <si>
    <t>Hellebarden</t>
  </si>
  <si>
    <t>Breitschwert</t>
  </si>
  <si>
    <t>Claymore</t>
  </si>
  <si>
    <t>Dai Katana</t>
  </si>
  <si>
    <t>2W12</t>
  </si>
  <si>
    <t>Degen</t>
  </si>
  <si>
    <t>Dolche</t>
  </si>
  <si>
    <t>Dolch</t>
  </si>
  <si>
    <t>Dolch ork, Blutrinne</t>
  </si>
  <si>
    <t>Starke Blutung (x2)</t>
  </si>
  <si>
    <t>Dolch orkisch, breit</t>
  </si>
  <si>
    <t>Dolch orkisch, mit 3 eingedrehten Klingen</t>
  </si>
  <si>
    <t>Doppelaxt leicht</t>
  </si>
  <si>
    <t>Doppelaxt zwergisch</t>
  </si>
  <si>
    <t xml:space="preserve">Doppelbeil Zw. kurz </t>
  </si>
  <si>
    <t>[2W10]</t>
  </si>
  <si>
    <t>Doppelblatthellebarde</t>
  </si>
  <si>
    <t>Doppelhellebarde (Kampfstab 2 Hellebarden)</t>
  </si>
  <si>
    <t>Doppelsense</t>
  </si>
  <si>
    <t>Holzschaft, Schnell</t>
  </si>
  <si>
    <t>Dornenkeule  troll,</t>
  </si>
  <si>
    <t>Peitschen</t>
  </si>
  <si>
    <t>Dornenpeitsche</t>
  </si>
  <si>
    <t>Schild</t>
  </si>
  <si>
    <t>Drachenschild</t>
  </si>
  <si>
    <t>2W8</t>
  </si>
  <si>
    <t>Drei Langklauen</t>
  </si>
  <si>
    <t>Dreiecksschild</t>
  </si>
  <si>
    <t>Dreiecksschild klein</t>
  </si>
  <si>
    <t>Dreizack</t>
  </si>
  <si>
    <t>Stumpfe Hiebwaffen</t>
  </si>
  <si>
    <t>Dreschflegel eisenbeschlagen</t>
  </si>
  <si>
    <t>Eineinhalbhänder</t>
  </si>
  <si>
    <t>Rüstungsmodifikator</t>
  </si>
  <si>
    <t>Eisenkappenstiefel</t>
  </si>
  <si>
    <t>X</t>
  </si>
  <si>
    <t>x</t>
  </si>
  <si>
    <t>Eisenkeule  schwer</t>
  </si>
  <si>
    <t>Eisenkugelstab</t>
  </si>
  <si>
    <t>Eisenschlegel</t>
  </si>
  <si>
    <t>Eisenstange</t>
  </si>
  <si>
    <t>Enterbeil</t>
  </si>
  <si>
    <t>Kettenwaffen</t>
  </si>
  <si>
    <t>Enterhaken am Seil</t>
  </si>
  <si>
    <t>Enterhaken ohne Seil</t>
  </si>
  <si>
    <t>Kurzschwerter</t>
  </si>
  <si>
    <t>Entermesser</t>
  </si>
  <si>
    <t>Faustschild/Buckler</t>
  </si>
  <si>
    <t>Keine FK-Parade</t>
  </si>
  <si>
    <t>Flamberge</t>
  </si>
  <si>
    <t>2W15</t>
  </si>
  <si>
    <t>Fleischerbeil</t>
  </si>
  <si>
    <t>Florett</t>
  </si>
  <si>
    <t xml:space="preserve">Gladius  </t>
  </si>
  <si>
    <t>Gladius  mit Griffkorb</t>
  </si>
  <si>
    <t>Gladius kurz</t>
  </si>
  <si>
    <t>Glefe</t>
  </si>
  <si>
    <t>Hacke</t>
  </si>
  <si>
    <t xml:space="preserve">W15 </t>
  </si>
  <si>
    <t>Hakendolch</t>
  </si>
  <si>
    <t>Hammer groß</t>
  </si>
  <si>
    <t>Hammer klein</t>
  </si>
  <si>
    <t>Handhellebarde</t>
  </si>
  <si>
    <t>Haumesser</t>
  </si>
  <si>
    <t>Hellebarde  lang, 3m</t>
  </si>
  <si>
    <t>Hellebarde  leicht, 2m</t>
  </si>
  <si>
    <t>Hiebdolch  schwer</t>
  </si>
  <si>
    <t>Hiebdolch kurz</t>
  </si>
  <si>
    <t>Hirschfänger (rapierartig)</t>
  </si>
  <si>
    <t>Holzfälleraxt</t>
  </si>
  <si>
    <t>Jagdmesser</t>
  </si>
  <si>
    <t>junge Birke aus Eisen (KEINE Listenwaffe)</t>
  </si>
  <si>
    <t>W30</t>
  </si>
  <si>
    <t>Kampfmesser</t>
  </si>
  <si>
    <t>Kampfstab  eisenbeschlagen</t>
  </si>
  <si>
    <t>Kampfstab  Eisenkolben</t>
  </si>
  <si>
    <t>Kampfstab  Eisenspitzen</t>
  </si>
  <si>
    <t>Kampfstab kurz eisenb.</t>
  </si>
  <si>
    <t>Katana  1½-händig</t>
  </si>
  <si>
    <t>Kavalleriesäbel</t>
  </si>
  <si>
    <t>Kette</t>
  </si>
  <si>
    <t>Kettenpeitsche</t>
  </si>
  <si>
    <t>Keule  eisenbeschlagen</t>
  </si>
  <si>
    <t>Keule  troll,, eisenbeschlagen</t>
  </si>
  <si>
    <t>Klaue</t>
  </si>
  <si>
    <t>Kriegsbeil</t>
  </si>
  <si>
    <t xml:space="preserve">Kriegsbeil orkisch </t>
  </si>
  <si>
    <t>[2W15]</t>
  </si>
  <si>
    <t>Kriegshammer (Hammer)</t>
  </si>
  <si>
    <t>Kriegshammer (Schnabel)</t>
  </si>
  <si>
    <t>Kriegssense</t>
  </si>
  <si>
    <t>Kriegssense  kurz</t>
  </si>
  <si>
    <t>Kriegszepter  6-eckig</t>
  </si>
  <si>
    <t>Krummdolch schwer</t>
  </si>
  <si>
    <t>Krummsäbel  kurz</t>
  </si>
  <si>
    <t>Krummsäbel  schwer</t>
  </si>
  <si>
    <t>Krummsäbel schlank</t>
  </si>
  <si>
    <t>Kugelpeitsche</t>
  </si>
  <si>
    <t>Kurzsäbel</t>
  </si>
  <si>
    <t>Kurzschwert</t>
  </si>
  <si>
    <t>Kurzspeer  einhändig</t>
  </si>
  <si>
    <t>Langaxt</t>
  </si>
  <si>
    <t>Langberdysch</t>
  </si>
  <si>
    <t>Langdolch</t>
  </si>
  <si>
    <t>Langschwert</t>
  </si>
  <si>
    <t>Lanzen</t>
  </si>
  <si>
    <t>Langspieß  2,50m</t>
  </si>
  <si>
    <t>Lanze  3m</t>
  </si>
  <si>
    <t>Leichter Rabenschnabel (Hammer)</t>
  </si>
  <si>
    <t>Leichter Rabenschnabel (Schnabel)</t>
  </si>
  <si>
    <t>Linkhand</t>
  </si>
  <si>
    <t>Machete</t>
  </si>
  <si>
    <t>Magierdegen  kurz</t>
  </si>
  <si>
    <t>Messer groß</t>
  </si>
  <si>
    <t>Messer klein</t>
  </si>
  <si>
    <t>Mistgabel einfach</t>
  </si>
  <si>
    <t>Morgenstern  fest</t>
  </si>
  <si>
    <t>Morgenstern  Kette</t>
  </si>
  <si>
    <t>Morgenstern  schwer</t>
  </si>
  <si>
    <t>Musketenladestock</t>
  </si>
  <si>
    <t>Naginata</t>
  </si>
  <si>
    <t>Neunschwänzige</t>
  </si>
  <si>
    <t>Neunschwänzige Dornenpeitsche</t>
  </si>
  <si>
    <t>Ninjatō  einhändig</t>
  </si>
  <si>
    <t>Nunchako eisenbeschlagen</t>
  </si>
  <si>
    <t>Ochsenherde leicht 3 Ketten</t>
  </si>
  <si>
    <t>Ochsenherde schwer 3 Ketten</t>
  </si>
  <si>
    <t>Ogerschellen  2 Ketten</t>
  </si>
  <si>
    <t>Orchidee 5 Klingen</t>
  </si>
  <si>
    <t>Ork`sche</t>
  </si>
  <si>
    <t>Ork-Flegel</t>
  </si>
  <si>
    <t>Orkischer Kampfhandschuh</t>
  </si>
  <si>
    <t xml:space="preserve"> RS:3, BE:1 (BE je Handschuh)</t>
  </si>
  <si>
    <t>Panzerarm mit Klinge</t>
  </si>
  <si>
    <t>Panzerarm mit Sichel</t>
  </si>
  <si>
    <t>Panzerarm mit Sporn</t>
  </si>
  <si>
    <t xml:space="preserve">Panzerhandschuhe </t>
  </si>
  <si>
    <t>Panzerschienen</t>
  </si>
  <si>
    <t>Mit Handschuh nPA+1</t>
  </si>
  <si>
    <t>Parierdolch</t>
  </si>
  <si>
    <t>Pavese</t>
  </si>
  <si>
    <t>Nur aufstellbar</t>
  </si>
  <si>
    <t>Pavese Hand</t>
  </si>
  <si>
    <t>Peitsche</t>
  </si>
  <si>
    <t>Pike  4-5m, allein</t>
  </si>
  <si>
    <t>Pistolenladestock</t>
  </si>
  <si>
    <t>Pranke</t>
  </si>
  <si>
    <t>Rabenschnabel (Hammer)</t>
  </si>
  <si>
    <t>Rabenschnabel (Schnabel)</t>
  </si>
  <si>
    <t>Rapier</t>
  </si>
  <si>
    <t>Ritterlanze</t>
  </si>
  <si>
    <t>Rundschild</t>
  </si>
  <si>
    <t>Rundschild groß</t>
  </si>
  <si>
    <t>Rundschild klein</t>
  </si>
  <si>
    <t>Runenschwert  geflam,</t>
  </si>
  <si>
    <t>Säbel  schwer</t>
  </si>
  <si>
    <t>Saufänger</t>
  </si>
  <si>
    <t>Schlagring</t>
  </si>
  <si>
    <t>Schmiedehammer, schwer</t>
  </si>
  <si>
    <t>Schnitter</t>
  </si>
  <si>
    <t xml:space="preserve">Schnitter  schwer </t>
  </si>
  <si>
    <t>Schwerer Dolch</t>
  </si>
  <si>
    <t xml:space="preserve"> </t>
  </si>
  <si>
    <t>Speer  Eisenblatt</t>
  </si>
  <si>
    <t>[2W6]</t>
  </si>
  <si>
    <t>Speer  Eisenspitze</t>
  </si>
  <si>
    <t>[2W4]</t>
  </si>
  <si>
    <t>Spitzhacke</t>
  </si>
  <si>
    <t>Sporn</t>
  </si>
  <si>
    <t>Stab (60cm) eisenbeschlagen</t>
  </si>
  <si>
    <t>Stabdolch</t>
  </si>
  <si>
    <t>Stichmesser</t>
  </si>
  <si>
    <t>Stoßspeer</t>
  </si>
  <si>
    <t>Straitmorbengel</t>
  </si>
  <si>
    <t>Streitaxt elfisch</t>
  </si>
  <si>
    <t>Streitaxt goblinisch</t>
  </si>
  <si>
    <t>Streitaxt orkisch</t>
  </si>
  <si>
    <t>[2W20]</t>
  </si>
  <si>
    <t>Streitkolben  4-eckig</t>
  </si>
  <si>
    <t>Streitkolben  leicht,4-eck</t>
  </si>
  <si>
    <t xml:space="preserve">W8 </t>
  </si>
  <si>
    <t>Streitkolben beidhändig</t>
  </si>
  <si>
    <t>Streitkolben Eisenkugel</t>
  </si>
  <si>
    <t>Tartsche Rechteck</t>
  </si>
  <si>
    <t>Tomahawk</t>
  </si>
  <si>
    <t>Tonfa</t>
  </si>
  <si>
    <t>Totschläger</t>
  </si>
  <si>
    <t>Trollaxt</t>
  </si>
  <si>
    <t>Trollschlegel</t>
  </si>
  <si>
    <t>Trolltöter Widerhaken</t>
  </si>
  <si>
    <t>ab 10SP: W12SP beim Herausziehen</t>
  </si>
  <si>
    <t>Turmschild</t>
  </si>
  <si>
    <t>Turnierlanze</t>
  </si>
  <si>
    <t>Turnierschild</t>
  </si>
  <si>
    <t>Lanzenhalterung (n-Mod +2/+0)</t>
  </si>
  <si>
    <t>Unbewaffnet (andere Voelker)</t>
  </si>
  <si>
    <t>andere Voelker</t>
  </si>
  <si>
    <t>Veteranenhand</t>
  </si>
  <si>
    <t>Vorschlaghammer</t>
  </si>
  <si>
    <t>Wakizashi</t>
  </si>
  <si>
    <t>Wolfsmesser  einschneid,</t>
  </si>
  <si>
    <t>Wurfspeer</t>
  </si>
  <si>
    <t>Zierdolch</t>
  </si>
  <si>
    <t>Zwei Klauen</t>
  </si>
  <si>
    <t>Zweihandkrummsäbel</t>
  </si>
  <si>
    <t>Zweihandsäbel</t>
  </si>
  <si>
    <t>Zweihandschwert</t>
  </si>
  <si>
    <t>Zweililien</t>
  </si>
  <si>
    <t>Unbewaffnet (Gnom)</t>
  </si>
  <si>
    <t>Unbewaffnet (Ork)</t>
  </si>
  <si>
    <t>Unbewaffnet (Troll)</t>
  </si>
  <si>
    <t>Unbewaffnet (Zentaur)</t>
  </si>
  <si>
    <t>Zentaur</t>
  </si>
  <si>
    <t>Unbewaffnet (Katzenmensch)</t>
  </si>
  <si>
    <t>Katzenmensch</t>
  </si>
  <si>
    <t>Biss/Huftritt</t>
  </si>
  <si>
    <t>Biss (Ork)</t>
  </si>
  <si>
    <t>2W4</t>
  </si>
  <si>
    <t>Zusatzangriff Biss: Schaden = 2W4+[Staerkebonus] (statt normalem Unbewaffnet-Schaden). 'Staerkebonus' ungeklaert, siehe Entwickeln.</t>
  </si>
  <si>
    <t>Biss (Troll)</t>
  </si>
  <si>
    <t>2W6</t>
  </si>
  <si>
    <t>Zusatzangriff Biss: Schaden = 2W6+[(Staerke:3)-7] (statt normalem Unbewaffnet-Schaden).</t>
  </si>
  <si>
    <t>Huftritt (Zentaur)</t>
  </si>
  <si>
    <t>Zusatzangriff Huftritt: Schaden = W15+[(Staerke:3)-5] (statt normalem Unbewaffnet-Schaden).</t>
  </si>
  <si>
    <t>Biss (Katzenmensch)</t>
  </si>
  <si>
    <t>Zusatzangriff Biss: Schaden = 2W6+[Staerkebonus] (statt normalem Unbewaffnet-Schaden). 'Staerkebonus' ungeklaert, siehe Entwickeln.</t>
  </si>
  <si>
    <t>Boxen</t>
  </si>
  <si>
    <t>wie unbewaffnet</t>
  </si>
  <si>
    <t>Immer 2 TZ-Rerolls auf Kopf (nicht zusaetzlich auf Kopf/Torso wuerfeln).</t>
  </si>
  <si>
    <t>Dalkini, Zwerg, Ork</t>
  </si>
  <si>
    <t>20/20</t>
  </si>
  <si>
    <t>Elfische Kunst der Selbstverteidigung</t>
  </si>
  <si>
    <t>gegnerischer</t>
  </si>
  <si>
    <t>WK=-1; es existiert keine g/m Attacke; Elf attackiert nicht selbst. Pariert der Elf mit gleicher oder besserer PA-Klasse, darf er eine AT wuerfeln - gelingt sie, erleidet der Gegner seinen eigenen Schaden an sich selbst, sonst normal weiter.</t>
  </si>
  <si>
    <t>Goblinische Kampfkunst</t>
  </si>
  <si>
    <t>Pariert der Goblin mit gleicher oder besserer PA-Klasse, wird die Initiative gewechselt.</t>
  </si>
  <si>
    <t>25/30</t>
  </si>
  <si>
    <t>Katzenmenschen Kampfkunst</t>
  </si>
  <si>
    <t>Pro Kampfrunde entweder 2 AT oder 1 PA + 1 defensive Ausweichhandlung (mit PA). Voraussetzung: nur Katzenmenschen mit intaktem Schwanz.</t>
  </si>
  <si>
    <t>25/25</t>
  </si>
  <si>
    <t>Orkisch' Raufen</t>
  </si>
  <si>
    <t>Bei nAT mit gewuerfelter '10': unparierte unbewaffnete Bissattacke. Bei mAT/nPA: linker/rechter Arm gebrochen, Ruestung wird ignoriert.</t>
  </si>
  <si>
    <t>30/20</t>
  </si>
  <si>
    <t>Ringen</t>
  </si>
  <si>
    <t>alle Voelker</t>
  </si>
  <si>
    <t>Schattenkampf</t>
  </si>
  <si>
    <t>W20-10</t>
  </si>
  <si>
    <t>Ist der Gegner ueberrascht: immer Kopftreffer. Hoechster verwendeter Wuerfel: W20.</t>
  </si>
  <si>
    <t>20/30</t>
  </si>
  <si>
    <t>Bereich</t>
  </si>
  <si>
    <t>Thema</t>
  </si>
  <si>
    <t>Status</t>
  </si>
  <si>
    <t>Hinzugefuegt</t>
  </si>
  <si>
    <t>Ausruestung/Schilde</t>
  </si>
  <si>
    <t>Schild-Preise/Rezept/Materialpreis</t>
  </si>
  <si>
    <t>14 Schildzeilen mit #WERT!-Fehlern in NK-Waffen-Basis: Preis/Rezeptschwierigkeit/Materialpreis nicht uebernommen. Die Schilde-Quelltabelle (NN Schilde v0.1.xlsx) hat Materialpreis/Arbeitszeit/Rezept-Mod-Basis komplett unausgefuellt ('x'/'X'), und ihre Basiswerte gelten teils mit Holz statt Eisen als Grundmaterial, nicht kompatibel mit dem NK-Waffen-Materialsystem. Zeilen sind uebernommen, aber als 'aktuell nicht ausruestbar' markiert. Muss von Grund auf neu entwickelt werden (eigenes Material-/Preissystem fuer Schilde, ggf. eigene Normalisierung auf ein einheitliches Basismaterial). -- GELOEST 2026-07-16: 'Schilde v1.4.docx' vom Nutzer bereitgestellt, enthaelt saubere Preis-Basis (100D-1200D) je Schild sowie eigene Material-/Fertigungs-/Bespannungs-Tabellen (multiplikatives Preissystem, siehe Sheets Schild-Material/Schild-Fertigung/Schild-Bespannung). Ausserdem dabei einen Vorzeichenfehler gefunden und korrigiert: 11 der 12 Schilde hatten Staerke-Malus-Basis=+5 statt korrekt -5 in NK-Waffen-Basis.</t>
  </si>
  <si>
    <t>Geloest</t>
  </si>
  <si>
    <t>2026-07-16</t>
  </si>
  <si>
    <t>Ausruestung/Ruestung</t>
  </si>
  <si>
    <t>Panzerhandschuhe, Panzerschienen, Eisenkappenstiefel, Orkischer Kampfhandschuh</t>
  </si>
  <si>
    <t>Ruestungswerte fehlen fuer diese vier Gegenstaende in der Ruestungstabelle (es existiert kein Haende-/Fuesse-Slot, nur Kopf/Torso/Arme/Beine). Rezept-Mod-Basis/Materialpreis-Faktor/Arbeitszeit-Tag-Basis in NK-Waffen-Basis daher = X/x/x. Braucht: (a) Ruestungswerte-System fuer Haende/Fuesse allgemein, (b) konkrete Werte fuer diese 4 Items.</t>
  </si>
  <si>
    <t>Offen</t>
  </si>
  <si>
    <t>Ruestungsmodifikatoren/Ruestungsteile-System</t>
  </si>
  <si>
    <t>Es existiert kein Pendant zu NK-Material/NK-Fertigung/NK-Anpassung/NK-Schaftmaterial fuer Ruestung. Muss komplett neu entwickelt werden, analog zur NK-Waffen-Modifikatorkette. -- GELOEST 2026-07-16: System steckte bereits vollstaendig in NN NPC-Rechner 0.76.xlsx, Sheet 'RS-Sheet' (Nutzerhinweis). Als Sheets Ruestung-Basis (20 Ruestungsteile), Ruestung-Addons (4 Aufpanzerungen, Lage 5), Ruestung-Verarbeitung (4 Stufen), Ruestung-Anpassung (4 Stufen) umgesetzt. Formel (RS = Basis + Verarbeitung; BE = MAX(Lage; Basis+Verarbeitung+Anpassung); Preis = Materialkosten + Lohn*(Arbeitszeit+Zusatztage); Verfuegbarkeit = MAX ueber alle 3 Komponenten) gegen das bestehende Beispiel-Set in Sheet Ruestungstabelle verifiziert (Stoffruestung+Meisterarbeit+angepasst -&gt; RS=3/BE=1/Preis=227/NW=3/AW=2, alle 5 Werte exakt reproduziert).</t>
  </si>
  <si>
    <t>Ausruestung/Waffen</t>
  </si>
  <si>
    <t>Ork'sche (FK/NK-Hybrid)</t>
  </si>
  <si>
    <t>Pistole/Muskete, die gleichzeitig als Nahkampfwaffe zaehlt. Nur ueber Fertigung/Anpassung modifizierbar, Preis stammt aus der FK-Tabelle; die NK-Version wird beim Kauf der FK-Waffe automatisch mitgeliefert. Grenzfall zwischen FK- und NK-System, noch nicht in NK-Waffen-Basis integriert.</t>
  </si>
  <si>
    <t>Ausruestung/NK-Waffen</t>
  </si>
  <si>
    <t>Rezeptschwierigkeit generell</t>
  </si>
  <si>
    <t>14 Zeilen mit Rezept-Mod-Basis=X: Wert in der Originalquelle (NN NK-Waffentabelle v1.12) nie ausgefuellt. Korrelation Rezeptschwierigkeit vs. Preis rechnerisch getestet (r=0.007) - kein statistischer Zusammenhang, kann nicht aus dem Preis rekonstruiert werden. Bleibt offen, bis eine inhaltliche Einschaetzung (Spielleitung) vorliegt.</t>
  </si>
  <si>
    <t>Nahkampf/Unbewaffnet</t>
  </si>
  <si>
    <t>Voelkerbeschraenkungen bei Unbewaffnet-Kampfstilen</t>
  </si>
  <si>
    <t>Boxen (Dalkini/Zwerg/Ork), Elfische Kunst der Selbstverteidigung (Elf), Goblinische Kampfkunst (Goblin), Katzenmenschen Kampfkunst (Katzenmensch), Orkisch' Raufen (Ork), Schattenkampf (Drow) sind laut Quelle (Nahkampftabelle Unbewaffnet.doc, 2004) an bestimmte Voelker gebunden. Diese Beschraenkung ist inhaltlich nicht geprueft/nachvollzogen (Nutzer: 'sehe ich persoenlich nicht ein') und sollte ueberarbeitet werden - ebenso die Kampfstile/Faehigkeiten selbst generell (Balance, Aktualitaet, Formulierung der Specials).</t>
  </si>
  <si>
    <t>Dynamische Schadenswerte (Boxen, Ringen, Elfische Kunst)</t>
  </si>
  <si>
    <t>Boxen und Ringen haben Schaden/Staerke-Mod = 'wie unbewaffnet' (haengt von der Rasse des Charakters ab, siehe rassenabhaengige Unbewaffnet-Basiswerte in NK-Waffen-Basis). Elfische Kunst der Selbstverteidigung hat Schaden = 'gegnerischer' (spiegelt den Schaden des Gegners). Beides ist aktuell nur als Text in NK-Waffen-Basis hinterlegt, keine Formel - fehlt eine mechanische Aufloesung im Formel-System (Werte-Sheet).</t>
  </si>
  <si>
    <t>Fert/Spez-Maximum Mechanik unklar</t>
  </si>
  <si>
    <t>Die Quelle gibt pro Kampfstil ein 'Fert/Spez-Maximum' an (z.B. 20/20, 25/30, 30/20). Rohwerte wurden 1:1 in NK-Waffen-Basis Spalte 'Fert-Spez-Maximum' uebernommen, aber die Bedeutung/Wirkung ist ungeklaert (Deckelt es nk_unbewaffnet? Die Spezialisierung? Beides getrennt?).</t>
  </si>
  <si>
    <t>'Staerkebonus' vs. 'Staerke-Mod' bei Biss-Angriffen</t>
  </si>
  <si>
    <t>Bei Ork- und Katzenmensch-Biss wird der Schaden mit '+[Staerkebonus]' angegeben - eine andere Notation als das sonst genutzte Staerke-Teiler/Staerke-Malus-System (z.B. '(Staerke:3)-7' bei Troll-Biss/Zentaur-Huftritt). Unklar, ob 'Staerkebonus' ein bereits vorhandener Wert im System ist oder neu definiert werden muss.</t>
  </si>
  <si>
    <t>Vitalitaet als Ruestungsschutz gegen Unbewaffnet-/Fallschaden</t>
  </si>
  <si>
    <t>Laut Quelle gibt Vitalitaet einen zusaetzlichen Ruestungsschutz (RS) gegen Schaden durch Unbewaffnet-Angriffe oder Sturz/Fall. Noch nicht ins Ruestungs-/Schadenssystem integriert.</t>
  </si>
  <si>
    <t>Chitin/Kolhartz Preis-Faktor als Spanne</t>
  </si>
  <si>
    <t>Schild-Material: Chitin ('*2,5 - *4') und Kolhartz ('*0,1 - *1000') geben in Schilde v1.4.docx eine Preis-Spanne statt eines Einzelwerts an (vermutlich abhaengig von Qualitaet/Seltenheit des Rohmaterials, analog zur Waffen-Materialtabelle, wo Chitin ebenfalls '*2,5 - *4' hat). Braucht eine Entscheidung, wie die Spanne genutzt wird (fester Wert? Wuerfelspanne? Spielleiter-Ermessen?).</t>
  </si>
  <si>
    <t>Adamandit Klingenschutz-Mod im falschen Format</t>
  </si>
  <si>
    <t>In der Material-Tabelle von Schilde v1.4.docx steht bei Adamandit unter Klingenschutz-Mod '+50%' statt eines Flachwerts wie bei allen anderen Zeilen dieser Spalte - vermutlich Tippfehler in der Quelle (Verwechslung mit einer Prozent-Spalte). Wortgetreu in Schild-Material uebernommen, muss aber geklaert/korrigiert werden.</t>
  </si>
  <si>
    <t>Kohlharz-Bespannung Preis als Spanne</t>
  </si>
  <si>
    <t>Schild-Bespannung: Kohlharz hat in der Quelle eine Preisspanne '10-10000D' statt eines Einzelwerts. Braucht eine Entscheidung (z.B. abhaengig von Groesse/Qualitaet).</t>
  </si>
  <si>
    <t>Verplatung (nur Holzschilder) ohne Werte</t>
  </si>
  <si>
    <t>Schilde v1.4.docx listet 13 Materialien fuer 'Verplatung (nur Holzschilder)' (Schwarzfells, Diamantspart, Bronze, Eisen, Feineisen, Stahl, Qualitaetsstahl, Faltstahl, Mithril, Adamandit, Alchemistensilb., Vulkanglas, Nasium), aber alle Wertespalten sind in der Quelle leer. Als Stub-Sheet 'Schild-Verplatung' angelegt, aktuell ohne nutzbare Daten. Muss noch entwickelt werden (Werte fuer KB/KS/RS/Min-Staerke/Preis pro Material).</t>
  </si>
  <si>
    <t>Nahkampf/Schilde</t>
  </si>
  <si>
    <t>Schild-Kampfregeln gehoeren ins Kampfmodul</t>
  </si>
  <si>
    <t>Schilde v1.4.docx enthaelt eine ausfuehrliche 'Legende' mit kampfzeitlichen Regeln (Bruchtest bei jeder Parade, RS-Anrechnung auf linken Arm auch bei misslungener Parade, Schildparade=Waffenparade, FK-Parade mit Schild, Kampf-mit-zwei-Waffen-Modi 'Angriff oder Parade'/'Angriff und Parade'/'Zwei Paraden' inkl. N-Mod-Abzug von der Hauptwaffe, Ruestungsbehinderung=WK, Schildhand kann keine Waffe fuehren, erschwerte Parade gegen Kettenwaffen, Kampfzauber-Parade mit Bruchtest, Zaubergrad*7=Klingen-brecher des Zaubers). Das sind laufzeitrelevante Kampfregeln, keine Charaktererstellungs-Werte - gehoeren in das geplante 'Kampfmodul', nicht in dieses Sheet. Volltext als Zellkommentar auf Schild-Material!A1 hinterlegt fuer spaetere Verwendung.</t>
  </si>
  <si>
    <t>Ausruestung/Artefakte</t>
  </si>
  <si>
    <t>Eigenschafts-Artefakt: Umfang unklar</t>
  </si>
  <si>
    <t>Der Artefakttyp 'Eigenschafts-Artefakt' (eigener Typ neben 'Athletik/.../Willenskraft erhoehen', Grad 4, Wirkungsdauer 'fuer einen magischen Tag') wurde bewusst NICHT auf einzelne Eigenschaften aufgesplittet, da unklar ist, ob er alle 10 Eigenschaften abdeckt oder ein eigenstaendiges/aelteres Duplikat der bereits aufgesplitteten Artefakte ist. Als einzelne Zeile in Artefakt-Basis uebernommen. Braucht Klaerung, dann ggf. ebenfalls aufsplitten. -- GELOEST 2026-07-16: Nutzer bestaetigt 'Attributs-Artefakte' decken alle 10 Eigenschaften ab, nur permanent, Grade 1-7, Verfuegbarkeit ausschliesslich ueber den Spielleiter. Als 10 Zeilen in Artefakt-Basis/Artefakt-Kosten umgesetzt.</t>
  </si>
  <si>
    <t>Seelenstein-/SZ-Mod-System fuer freie Zauberbindung</t>
  </si>
  <si>
    <t>NN Artefakte 0.52.xlsx enthaelt zusaetzlich zu den 51 vordefinierten Artefakten ein separates System, um BELIEBIGE Zauber in individuelle Artefakte zu bannen (Ressourcen-Sheet: Regeln 'nur Antimagie/Verzauberung-Schulen', 'nur Beruehrungs-Reichweite auf Aura/Gegenstand', 'nur einmalige/anhaltende Zauber'; SZ-Mod-Sheet: Modifikator-Tabelle fuer Probe erleichtern/ED veraendern/WD x2-5/Wirkung x2-5/Wirkung :2-5/bipolar-anhaltend-einmalig-Konvertierung). Auf Nutzerentscheidung fuer jetzt zurueckgestellt (wie das Kampfmodul) - eigenstaendiges Freiform-Crafting-System, nicht Teil der festen Artefaktliste.</t>
  </si>
  <si>
    <t>Wirkung/Wirkungsdauer-Grad-Skalierung ist Kampfmodul-Scope</t>
  </si>
  <si>
    <t>Wirkung (Effektstaerke) und teils auch Wirkungsdauer einzelner Artefakte skalieren im Original ueber Formeln mit dem Artefakt-Grad (via die 'Angenommene-M'-Spalte der Magus-Faehigkeiten-Tabelle). In Artefakt-Basis sind nur die Referenzwerte bei Grad 7 hinterlegt (nicht grad-parametrisch). Die exakte In-Game-Wirkungsberechnung je gewaehltem Grad gehoert wie andere Kampfeffekte ins geplante Kampfmodul, nicht in die Charaktererstellung.</t>
  </si>
  <si>
    <t>Ausruestung/Verfuegbarkeit</t>
  </si>
  <si>
    <t>Alter additiver Verfuegbarkeits-Entwurf (v0.3) - zur Referenz</t>
  </si>
  <si>
    <t>'Nasus Nasus Verfuegbarkeiten Entwurf v0.3.docx' (2010, vom Nutzer als 'die alte Liste' bezeichnet) enthaelt ein aelteres, ADDITIVES 5-Schritte-Modifikatorsystem (Alte Welt/Neue Welt, Siedlungsgroesse, Volk-Herkunft, Bekanntheit des Gegenstands, Passung Ruestung-zu-Volk - pro Schritt genau 1 Wahl, Schritt 5 nur bei Ruestung/Waffen), das die Grund-Verfuegbarkeit 1-7 durch Addieren von Modifikatoren verschiebt. Wird NICHT verwendet - ersetzt durch das neuere multiplikative System aus 'NN_Verfuegbarkeiten_1.0.docx' (2014, bereits als Sheet 'Verfuegbarkeit-Modifikatoren' umgesetzt). Nur als historische Referenz vermerkt, falls einzelne Aspekte (z.B. voelker-abhaengige Verfuegbarkeit) spaeter doch gewuenscht werden - aktuell keine Handlungsnotwendigkeit.</t>
  </si>
  <si>
    <t>Addon-Preise (Drachenschuppen etc.) fehlen</t>
  </si>
  <si>
    <t>Ruestung-Addons (Lage 5: Leichte/Normale/Schwere Drachenschuppen, Spinnweben) hat in der Quelle (RS-Sheet) keine eigene Preis-Spalte - die Quelle selbst merkt an, die Boni seien 'noch in der alten Waffentabelle aufgefuehrt'. NK-Material und Schild-Material haben zwar bereits 'Drachensch.' als Material-Multiplikator, aber das ist nicht 1:1 auf diese RS/BE-Werte gemappt. Preisermittlung fuer Addons noch offen.</t>
  </si>
  <si>
    <t>Addon-Verfuegbarkeit NW/AW evtl. Kopierfehler</t>
  </si>
  <si>
    <t>Bei den Ruestung-Addons (Lage 5) griffen in der Quellformel sowohl die NW- als auch die AW-Verfuegbarkeits-Berechnung auf dieselbe Spalte zu (beide VLOOKUP(...,6,FALSE) statt 6 bzw. 7) - anders als bei allen anderen Ruestungsteilen, wo NW/AW konsequent getrennte Spalten nutzen. Koennte ein Kopierfehler in der Quelle sein oder beabsichtigt (Addons unterscheiden nicht zwischen Neuer/Alter Welt). Aktuell wortgetreu mit identischen NW/AW-Werten uebernommen, nicht korrigiert (im Gegensatz zum Schild-Staerke-Malus-Vorzeichenfehler gibt es hier keine externe Bestaetigung, welcher Wert richtig waere).</t>
  </si>
  <si>
    <t>Ausruestung/Boegen-Armbrust</t>
  </si>
  <si>
    <t>Bedeutung der 'Modifikatoren'-Spalte unklar</t>
  </si>
  <si>
    <t>Boegen-Basis und Armbrust-Basis haben je eine Spalte 'Modifikatoren-roh' mit 5-6 Slash-getrennten Werten (z.B. '+8/+2/-13/-25/x/x'). Vermutlich Reichweiten-Erschwernisse analog zum 10/30/60/120/210m-Bandsystem der Feuerwaffen-Legende - aber weder 'Bögen Tabelle v0.5.docx' noch 'Ambrust Tabelle v0.3.docx' definieren, was die einzelnen Werte bedeuten oder welchen Entfernungen sie entsprechen. Auch die Anzahl der Werte ist nicht einheitlich (5 oder 6 je Waffe). Rohwerte uebernommen, aber nicht nutzbar bis geklaert.</t>
  </si>
  <si>
    <t>Doppelte 'RW'-Spalte bei Pfeilen/Bolzen unklar</t>
  </si>
  <si>
    <t>Sheets Pfeile und Bolzen haben je zwei mit 'RW' beschriftete Spalten ohne Unterscheidung in der Quelle. Bei Munition 'mit normaler Spitze' sind beide identisch (vermutlich Merge-Zellen-Artefakt), bei 'mit spezial Spitze' unterscheiden sie sich, wobei die erste RW-Spalte oft mit der RB-Spalte uebereinstimmt (weiterer moeglicher Merge-Artefakt). Beide Spalten wortgetreu uebernommen, Bedeutung ungeklaert.</t>
  </si>
  <si>
    <t>FZ-Waehrungseinheit nicht definiert</t>
  </si>
  <si>
    <t>Guenstige Pfeile/Bolzen (Holz-, Knochen-, Steinspitzen etc.) sind in 'FZ' statt 'D' (Dublonen) bepreist (z.B. '50 FZ', '200 FZ'). Der Umrechnungskurs FZ&lt;-&gt;Dublonen ist nirgends in diesem Sheet oder den bisher importierten Quellen dokumentiert. -- GELOEST 2026-07-16: Nutzer bestaetigt 1000 FZ ('Fuffzisch') = 1 Dublone.</t>
  </si>
  <si>
    <t>Armbrust: 4 Voelker komplett ohne eigene Modelle</t>
  </si>
  <si>
    <t>'Ambrust Tabelle v0.3.docx' hat fuer Indianer, Katzenmenschen, Trolle und Zentauren nur die Abschnitts-Ueberschrift, aber keine einzige Armbrust-Zeile - im Gegensatz zu Boegen, wo alle 4 Voelker eigene Bogenmodelle haben. Echte Luecke in der Quelle, nicht nachtraeglich aufgefuellt.</t>
  </si>
  <si>
    <t>Armbrust-Spanntechnik nicht in Formel umgesetzt</t>
  </si>
  <si>
    <t>Die Spanntechnik-Angaben (Hand/Geissfuss/Winde mit je eigener Mindeststaerke/Ladezeit/Nachlade-Teiler, bei Repetier-Armbruesten abweichendes Format) wurden aus Formatgruenden nur als Rohtext uebernommen (Sheet Armbrust-Basis, Spalte Spanntechnik-roh), nicht in einzelne Spalten aufgesplittet. Fuer eine echte Nachladezeit-Formel muesste das noch strukturiert werden.</t>
  </si>
  <si>
    <t>Ausruestung/Runengewehr</t>
  </si>
  <si>
    <t>Zwei verschiedene 'St.'-Boni nicht abgeglichen</t>
  </si>
  <si>
    <t>Die Munitionsrunen-Schadensformeln (Sheet Runengewehr-Munition) enthalten bereits einen 'St.'-Bonus (vermutlich Staerke), zusaetzlich addiert die Regel auf Sheet Runengewehr-Basis die 'Stufe der Gewehrrune' zum Schaden. Beide Boni sind wortgetreu aus 'Das Runengewehr.docx' uebernommen, aber die Quelle stellt nirgends klar, ob es sich um zwei unabhaengige additive Boni handelt oder ob 'St.' evtl. tatsaechlich 'Stufe' statt 'Staerke' meint (Abkuerzungskollision).</t>
  </si>
  <si>
    <t>Zusatzslot-Runen (Unterwasserschuss, Segnen) nicht detailliert</t>
  </si>
  <si>
    <t>Das Runengewehr kann fuer 32D+ einen Zusatzslot bekommen, in den z.B. eine Unterwasserschussrune (65D+) oder eine Segnen-Rune (110D+) gesteckt werden kann. Die Quelle nennt nur diese zwei Beispiele mit Preis, aber keine Mechanik/Wirkung. Nicht als eigene Zeilen uebernommen, da keine Werte vorhanden sind.</t>
  </si>
  <si>
    <t>Ausruestung/Lichtschwert</t>
  </si>
  <si>
    <t>Lichtschwert der Anwar - Quelle ist nur ein Stub</t>
  </si>
  <si>
    <t>Nutzer hat 'Lichtschwert.docx' konvertiert und bereitgestellt (Waffen/NK-Ordner). Titel in der Quelle: 'Das Lichtschwert der Anwar' (Anwar = vermutlich Volk/Fraktion, nicht naeher bekannt). Enthaelt eine einzelne Waffenzeile mit echten Teildaten (Schadenswuerfel 'W12+Wxy' - ungewoehnliche Variable-Wuerfel-Notation, Stae-Mod ':5-4', n-Mod '+3/+2', WK(Stab.)=3,5, Klingenbrecher=17, Klingenschutz=8, Min-Staerke '6/--', RW-Mods-Zeile mit Werten +6/-1/-1/-8, Wurfregel: geworfen macht das Schwert W12 Schaden, mit Hoher Telekinese lenkbar bis der W12 hoeher als [4+Stufe des PSI-Zaubers] wuerfelt), aber die 'Specials'-Spalte ist abgeschnitten ('Sch...') und Gewicht/Laenge sind leer - eindeutig ein unvollstaendiger Stub, kein vollstaendiges Waffenblatt. Nutzer vermutet, dass an anderer Stelle noch eine vollstaendigere Quelle mit Hinweis auf 'Anwar' existieren koennte. Import bewusst zurueckgestellt (Nutzeranweisung: 'das machen wir spaeter').</t>
  </si>
  <si>
    <t>Charakterwerte/Bewegung</t>
  </si>
  <si>
    <t>3 Bewegungsformeln fehlen (Meisterscreen S.3)</t>
  </si>
  <si>
    <t>bewegung_f_leiter_steigen_schnell, bewegung_f_lesegeschwindigkeit und bewegung_f_seil_hochklettern haben keinen Formeltext. Quelle waere laut Info-Spalte 'Meisterscreen S.3' - dieses Dokument liegt nicht vor. Auf Nutzerwunsch zurueckgestellt ('ignore, zu entwickeln').</t>
  </si>
  <si>
    <t>Kampf/Ruestung</t>
  </si>
  <si>
    <t>GBE/BE/RBE-Namensgebung ueberarbeiten</t>
  </si>
  <si>
    <t>Die Begriffe rund um Ruestungsbehinderung sind aktuell verwirrend (Nutzerzitat: 'Namensgebung hier ist missverstaendlich, das muessen wir ueberarbeiten'): 'BE' wird sowohl fuer den Rohwert je Ruestungsteil (Ruestung-Basis-Formel) als auch fuer den finalen Wert nach Reduktion verwendet; 'RBE' wird sowohl als 'Lage = Mindest-RBE'-Regel (Ruestung-Basis) als auch als Zwischenschritt in der GBE-Formel (Gesamt-BE minus Kon/5+Staerke/2+sf_ruestungsmanoever) benutzt. Braucht klar getrennte Bezeichnungen, bevor das Kampfmodul gebaut wird.</t>
  </si>
  <si>
    <t>Charakterwerte/Ausruestung</t>
  </si>
  <si>
    <t>Architektur fuer Ruestungs-/Ausruestungs-Auswahl fehlt</t>
  </si>
  <si>
    <t>Weder rs_kopf/-torso/-arme/-beine (Summe der RS ueber 5 Ruestungslagen je Zone) noch die Ausruestungs-Gewichts-Komponente von 'gewichtsbelastung' koennen als einfache Token-Formel aufgeloest werden, weil es im Werte-Sheet noch keine Auswahl-Mechanik gibt, die festhaelt, welches Ruestungsteil/Item der Charakter pro Slot gewaehlt hat. Aktuell als SUMME(...)-Platzhalter dokumentiert (wie 'Verbrauchte EP'), Aufloesung obliegt der spaeteren App-/Charakterbogen-Logik bzw. dem Kampfmodul.</t>
  </si>
  <si>
    <t>Schild-Herstellungskosten mit NK-Waffen normalisieren</t>
  </si>
  <si>
    <t>Schilde (composeShield) und NK-Waffen (composeWeapon, 2026-07-18 neu gebaut) haben strukturell unterschiedliche Herstellungskosten-Formeln, obwohl beide dieselben Fertigungsstufen-Namen nutzen (Ausschuss/Massenfabrikation/Gesellenarbeit/Meisterarbeit/Großmeisterarbeit/Einzelstück, je einmal in Schild-Fertigung UND NK-Fertigung vorhanden): Schild-Preis = Preis-Basis * Material-Preis-Faktor * Fertigung-Preis-Faktor + Bespannung-Preis (multiplikativ, Schild-Material/-Fertigung-Spalten heißen "Preis-Faktor"). NK-Waffen-Preis = Materialpreis-Faktor(Basis) * Material-Preis + Fertigung-Preis + Anpassung-Preis + Schaftmaterial-Preis/m * Laenge-m (rein additiv je Modifikator-Ebene, NK-Material/-Fertigung/-Anpassung/-Schaftmaterial-Spalten heißen schlicht "Preis", nicht "-Faktor"). Bisher nicht geprüft, ob dieser Unterschied beabsichtigt ist (Schilde und Waffen sind unterschiedliche Objekte mit eigener Quelle - Schilde v1.4.docx vs. NN NK-Waffentabelle v1.12) oder ob eines der beiden Systeme einen Übertragungsfehler enthält bzw. beide auf ein einheitliches Modell normalisiert werden sollten. Schild-Material/-Fertigung/-Bespannung nochmal gegen die Schilde-Quelle prüfen und mit dem NK-Waffen-System abgleichen.</t>
  </si>
  <si>
    <t>2026-07-18</t>
  </si>
  <si>
    <t>Ausruestung/Feuerwaffen-Munition</t>
  </si>
  <si>
    <t>Fehlende Munitionspreise (Harpune, Messingpatrone Kal. 5-6)</t>
  </si>
  <si>
    <t>Beim Aufbau des neuen Sheets 'Feuerwaffen-Munition' (Zuordnung Waffe-&gt;Munition-Art/Preis via Lademechanik+Munition+Kaliber) blieben 4 der 86 Waffen ohne Preis: Scopgarr (Kal. 16) und Skorpion (Kal. 17), beide Vorderlader mit Munition='Harpune' - dieser Munitionstyp hat ueberhaupt keinen Art-Eintrag in NN_Feuerwaffen_1.1.xlsx!Munition, also existiert nirgends ein Preis dafuer. Fips (Kal. 5) und Duetarskueek (Kal. 6), beide Klapplauf/Messingpatrone - die Munition-Tabelle deckt Messingpatrone nur fuer Kaliber 7-12 ab, Kal. 5-6 fehlen komplett. Betroffene Zeilen sind in Feuerwaffen-Munition mit leerem Preis + Notiz markiert, nicht erfunden. Braucht entweder eine Ergaenzung der Quelltabelle (NN_Feuerwaffen_1.1.xlsx!Munition) um diese 2 Munitionsarten bzw. Kaliber, oder eine inhaltliche Entscheidung der Spielleitung.</t>
  </si>
  <si>
    <t>2026-07-19</t>
  </si>
  <si>
    <t>Verfuegbarkeit ohne NW/AW-Split (Kaufsperre nur pauschal moeglich)</t>
  </si>
  <si>
    <t>Anders als Ruestung (eigene NW/AW-Spalten je Teil) haben Boegen/Armbrust/Pfeile/Bolzen nur eine einzige "Direkt beim Volk"-Verfuegbarkeit-Spalte. Die neue Fernkampfwaffen/-Munition-Kaufsperre in characterMutations.ts (VERFUEGBARKEIT_SPERRE_AB=5) wendet die Sperre daher pauschal an, unabhaengig von der Region (Neue/Alte Welt) des Charakters - keine Region-spezifische Freischaltung wie bei Ruestung moeglich, bis die Verfuegbarkeiten hier um einen echten NW/AW-Split ergaenzt werden (vermutlich Teil der vom Nutzer angekuendigten grossen Verfuegbarkeiten-Ueberarbeitung).</t>
  </si>
  <si>
    <t>Fernkampf/Sonderfertigkeit</t>
  </si>
  <si>
    <t>Ladeschuetze Schleuder</t>
  </si>
  <si>
    <t>Ladeschuetze Schleuder existiert als Sonderfertigkeit (sf_ladeschuetze_schleuder) und Talent (talente_ladeschuetze_schleuder), aber die Waffe 'Schleuder' existiert nicht als Fernkampf-Kategorie (nur Boegen/Blasrohre/Schusswaffen/Wurfwaffen existieren dort). Da die Sichtbarkeit der Ladeschuetze-SF im Sonderfertigkeit-Tab jetzt an die zugehoerige fk_*-Fertigkeit&gt;0 gekoppelt ist, waere Ladeschuetze Schleuder nie freischaltbar gewesen. Auf Nutzerentscheidung 2026-07-19 deaktiviert (# vor Referenz in Werte-Sheet Zeile 192/1152 - Konvention siehe generate_data_ts.py read_rules()).</t>
  </si>
  <si>
    <t>Deaktiviert</t>
  </si>
  <si>
    <t>Material</t>
  </si>
  <si>
    <t>Staerke-Malus-Mod</t>
  </si>
  <si>
    <t>AT-Mod</t>
  </si>
  <si>
    <t>PA-Mod</t>
  </si>
  <si>
    <t>WK-Mod</t>
  </si>
  <si>
    <t>Klingenbrecher-Mod</t>
  </si>
  <si>
    <t>Klingenschutz-Mod</t>
  </si>
  <si>
    <t>RS-Mod</t>
  </si>
  <si>
    <t>Min-Staerke-Faktor</t>
  </si>
  <si>
    <t>Preis-Faktor</t>
  </si>
  <si>
    <t>Hart Holz</t>
  </si>
  <si>
    <t>Spinnenwebe</t>
  </si>
  <si>
    <t>Nur Fernkampf-RS</t>
  </si>
  <si>
    <t>Drachensch.</t>
  </si>
  <si>
    <t>Meister (individuell durch Spielleitung)</t>
  </si>
  <si>
    <t>Schwarzfells</t>
  </si>
  <si>
    <t>Diamantspart</t>
  </si>
  <si>
    <t>2 Wuerfe beim Bruchtest</t>
  </si>
  <si>
    <t>Feineisen</t>
  </si>
  <si>
    <t>Standard (Referenzmaterial)</t>
  </si>
  <si>
    <t>Qualitaetsstahl</t>
  </si>
  <si>
    <t>+50% (so in Quelle - Bruch mit Format der Spalte, vermutlich Tippfehler statt Flachwert, siehe Entwickeln)</t>
  </si>
  <si>
    <t>3 Wuerfe beim Bruchtest</t>
  </si>
  <si>
    <t>nur auf dem Trollkontinent von Zentauern erhältlich</t>
  </si>
  <si>
    <t>Ausschuss</t>
  </si>
  <si>
    <t>Bespannung</t>
  </si>
  <si>
    <t>Stoff</t>
  </si>
  <si>
    <t>Nur FK</t>
  </si>
  <si>
    <t>Drachenschuppe</t>
  </si>
  <si>
    <t>-50% Einzelelement-Schaden</t>
  </si>
  <si>
    <t>Kohlharz</t>
  </si>
  <si>
    <t xml:space="preserve">nur bei Zentauren auf dem Trollkontinent erhältlich. </t>
  </si>
  <si>
    <t>Keine Werte in Quelle vorhanden - nur Materialliste, siehe Entwickeln</t>
  </si>
  <si>
    <t>Rang</t>
  </si>
  <si>
    <t>Max-Zaubergrad-Wirkungsstufe</t>
  </si>
  <si>
    <t>Gehalt</t>
  </si>
  <si>
    <t>Dublonen-pro-Mana</t>
  </si>
  <si>
    <t>Angenommene-M</t>
  </si>
  <si>
    <t>-</t>
  </si>
  <si>
    <t>Magus</t>
  </si>
  <si>
    <t>Magus Magister</t>
  </si>
  <si>
    <t>Magus Major</t>
  </si>
  <si>
    <t>Magus Superior</t>
  </si>
  <si>
    <t>Magus Archus</t>
  </si>
  <si>
    <t>Magus Legendarius</t>
  </si>
  <si>
    <t>Magus Semi-Deus</t>
  </si>
  <si>
    <t>Avatar</t>
  </si>
  <si>
    <t>Gott</t>
  </si>
  <si>
    <t>Zauberstufe</t>
  </si>
  <si>
    <t>Karat-pro-Mana</t>
  </si>
  <si>
    <t>Differenz</t>
  </si>
  <si>
    <t>Manamultiplikator</t>
  </si>
  <si>
    <t>Zaubergrad</t>
  </si>
  <si>
    <t>Mana-Basis</t>
  </si>
  <si>
    <t>Vorbereitungszeit-sec</t>
  </si>
  <si>
    <t>Effektdauer-sec</t>
  </si>
  <si>
    <t>Wirkungsdauer-Basis</t>
  </si>
  <si>
    <t>Wirkungsdauer-Einheit</t>
  </si>
  <si>
    <t>Wirkung-Basis</t>
  </si>
  <si>
    <t>Wirkung-Einheit</t>
  </si>
  <si>
    <t>artefakt_licht</t>
  </si>
  <si>
    <t>Das Artefakt beginnt zu leuchten. Bei Erschaffung muss die Strahlart festgelegt werden: Rundumlicht, Strahl oder Kegel. Das Artefakt leuchtet so hell wie:</t>
  </si>
  <si>
    <t>sofort</t>
  </si>
  <si>
    <t>min</t>
  </si>
  <si>
    <t>Fackeln</t>
  </si>
  <si>
    <t>artefakt_magisches_makeover</t>
  </si>
  <si>
    <t xml:space="preserve">Der Magus kann seine Kleidung, seine Nägel und sein Haar in den gewünschten Zustand versetzen. Sämtliche Verunreinigungen oder unangenehmen Gerüche werden entfernt. Verwundungen und Vergiftungen werden hiervon nicht beeinflusst. </t>
  </si>
  <si>
    <t>%</t>
  </si>
  <si>
    <t>artefakt_in_nahrung_verwandeln</t>
  </si>
  <si>
    <t>Der Träger kann unbelebte Materie, die er mit dem Artefakt berührt, in Nahrung verwandeln. Diese Nahrung ist nahezu geschmacklos, deckt aber alle Bedürfnisse des Organismus ab. Es ist möglich, sich ausschließlich von magischer Nahrung zu ernähren.</t>
  </si>
  <si>
    <t>Gramm</t>
  </si>
  <si>
    <t>artefakt_whk_talentwert_erhoehen</t>
  </si>
  <si>
    <t>WHK-Talentwert erhöhen</t>
  </si>
  <si>
    <t>Der Wert einer festgelegten Handwerks-, Wissens- oder Kultur- Talentes erhöht sich auf magische Weise. Der Wert muss vorher mindestens 4 betragen haben.</t>
  </si>
  <si>
    <t>h</t>
  </si>
  <si>
    <t>TaP</t>
  </si>
  <si>
    <t>artefakt_wasserwandeln</t>
  </si>
  <si>
    <t>Träger kann auf allen Oberflächen, die zu min. 50% aus Wasser bestehen, wie auf festem Boden gehen.</t>
  </si>
  <si>
    <t>artefakt_grundfertigkeit_erhoehen</t>
  </si>
  <si>
    <t>Eine bei Erschaffung fest gewählte spezialisierbare Grundfertigkeit wird erhöht. Der Wert muss vorher mindestens 4 betragen haben.</t>
  </si>
  <si>
    <t>artefakt_ausstrahlung_erhoehen</t>
  </si>
  <si>
    <t xml:space="preserve">Die Ausstrahlung des Trägers wird auf magische Weise erhöht. </t>
  </si>
  <si>
    <t xml:space="preserve">Aus + </t>
  </si>
  <si>
    <t>artefakt_waffe_erschaffen</t>
  </si>
  <si>
    <t>Waffe erschaffen</t>
  </si>
  <si>
    <t xml:space="preserve">In den Händen des Magus erscheint eine bei Erschaffung fest definierte beliebige normale Listen-Nahkampfwaffe oder ein beliebiger Listen-Schild, der vollständig aus Eisen besteht. Am Ende der Wirkungsdauer zerfällt die Waffe zu Staub, das ursprüngliche Artefakt bleibt erhalten. Während der Effektdauer hat die Waffe normale Werte, aber AT/PA-Klasse -1. Der Seelenstein ist integrativer Bestandteil des Gegenstands.
</t>
  </si>
  <si>
    <t>artefakt_athletik_erhoehen</t>
  </si>
  <si>
    <t>Athletik erhöhen</t>
  </si>
  <si>
    <t>Athletik des Trägers wird auf magische Weise erhöht. (Aufgeteilt aus 'Körperliche Eigenschaft erhöhen': Eine bei Erschaffung fest gewählte körperliche Eigenschaft (Ath, Ges, Kon, Sch, Stä) wird auf magische Weise erhöht.)</t>
  </si>
  <si>
    <t>Eig +</t>
  </si>
  <si>
    <t>artefakt_geschicklichkeit_erhoehen</t>
  </si>
  <si>
    <t>Geschicklichkeit erhöhen</t>
  </si>
  <si>
    <t>Geschicklichkeit des Trägers wird auf magische Weise erhöht. (Aufgeteilt aus 'Körperliche Eigenschaft erhöhen': Eine bei Erschaffung fest gewählte körperliche Eigenschaft (Ath, Ges, Kon, Sch, Stä) wird auf magische Weise erhöht.)</t>
  </si>
  <si>
    <t>artefakt_konstitution_erhoehen</t>
  </si>
  <si>
    <t>Konstitution erhöhen</t>
  </si>
  <si>
    <t>Konstitution des Trägers wird auf magische Weise erhöht. (Aufgeteilt aus 'Körperliche Eigenschaft erhöhen': Eine bei Erschaffung fest gewählte körperliche Eigenschaft (Ath, Ges, Kon, Sch, Stä) wird auf magische Weise erhöht.)</t>
  </si>
  <si>
    <t>artefakt_schnelligkeit_erhoehen</t>
  </si>
  <si>
    <t>Schnelligkeit erhöhen</t>
  </si>
  <si>
    <t>Schnelligkeit des Trägers wird auf magische Weise erhöht. (Aufgeteilt aus 'Körperliche Eigenschaft erhöhen': Eine bei Erschaffung fest gewählte körperliche Eigenschaft (Ath, Ges, Kon, Sch, Stä) wird auf magische Weise erhöht.)</t>
  </si>
  <si>
    <t>artefakt_staerke_erhoehen</t>
  </si>
  <si>
    <t>Staerke erhöhen</t>
  </si>
  <si>
    <t>Staerke des Trägers wird auf magische Weise erhöht. (Aufgeteilt aus 'Körperliche Eigenschaft erhöhen': Eine bei Erschaffung fest gewählte körperliche Eigenschaft (Ath, Ges, Kon, Sch, Stä) wird auf magische Weise erhöht.)</t>
  </si>
  <si>
    <t>artefakt_kiemen</t>
  </si>
  <si>
    <t>Auf den Halsschlagadern bilden sich Kiemen. Dies ist ein schmerzhafter Prozess, bei dem eine um 5 erscwerte Selbstbeherrschungsprobe abgelegt werden muss. Nach dem Ende der Effektdauer kann unter Wasser durch die Kiemen geatmet werden. Atmet er in die Lunge, ertrinkt er. Giftstoffe im Wasser dringen über die Kiemen in den Blutkreislauf ein</t>
  </si>
  <si>
    <t>artefakt_stimme_veraendern</t>
  </si>
  <si>
    <t>Stimme  verändern</t>
  </si>
  <si>
    <t>Die Stimme des Magiers verändert sich auf eine festgelgte Art und Weise. Es ist nicht möglich, die Stimme eines anderen exakt zu reproduzieren. Akzente und Mundarten werden hierdurch nicht simuliert, dafür benötigt der Magier die entsprechenden Sprachfertigkeiten. Während der Effektdauer ist der Magier im Stimmbruch. Wahl: Andere Stimme (Stufe 2, hier angegeben), Laute Stimme (*2: Stufe 3, *3: Stufe vier...); min. Seelenstein- &amp; Wirkungs- Stufe 2</t>
  </si>
  <si>
    <t>artefakt_flammen_pfeil</t>
  </si>
  <si>
    <t>Flammen - Pfeil</t>
  </si>
  <si>
    <t>Der Pfeil verursacht zusätzlichen elementaren Schaden. Die Wirkung endet in der Kampfrunde nach dem Aufprall.</t>
  </si>
  <si>
    <t>sec</t>
  </si>
  <si>
    <t>artefakt_frost_pfeil</t>
  </si>
  <si>
    <t>Frost - Pfeil</t>
  </si>
  <si>
    <t>Der Pfeil verursacht zusätzlichen elementaren Schaden. Die Wirkung endet in der Kampfrunde nach dem Aufprall. Pro volle 5 TP erleidet das Opfer eine zusätzliche BE von 1.</t>
  </si>
  <si>
    <t>artefakt_sturm_pfeil</t>
  </si>
  <si>
    <t>Sturm - Pfeil</t>
  </si>
  <si>
    <t>Der Pfeil verursacht zusätzlichen elementaren Schaden. Die Wirkung endet in der Kampfrunde nach dem Aufprall. Das Ziel wird TP*m weggeschleudert; Ath-Probe erschwert um TP, sonst zusätzlich W8 Sturzschaden auf FK-TZ (W30).</t>
  </si>
  <si>
    <t>artefakt_splitter_pfeil</t>
  </si>
  <si>
    <t>Splitter - Pfeil</t>
  </si>
  <si>
    <t>Der Pfeil verursacht zusätzlichen elementaren Schaden. Die Wirkung endet in der Kampfrunde nach dem Aufprall. Der Splitter - Pfeil kann Rüstungen leichter durchdringen.</t>
  </si>
  <si>
    <t>RB 8</t>
  </si>
  <si>
    <t>artefakt_schock_pfeil</t>
  </si>
  <si>
    <t>Schock - Pfeil</t>
  </si>
  <si>
    <t>Der Pfeil verursacht zusätzlichen elementaren Schaden. Die Wirkung endet in der Kampfrunde nach dem Aufprall. Sobald das Ziel 1 SP erleidet, muss es eine SB-Probe ablegen, die immer zusätzlich um den angegeben Wert erschwert ist.</t>
  </si>
  <si>
    <t>SB 13</t>
  </si>
  <si>
    <t>artefakt_flammen_klinge</t>
  </si>
  <si>
    <t>Flammen - Klinge</t>
  </si>
  <si>
    <t xml:space="preserve">Die Klinge verursacht zusätzlichen elementaren Schaden. </t>
  </si>
  <si>
    <t>artefakt_frost_klinge</t>
  </si>
  <si>
    <t>Frost - Klinge</t>
  </si>
  <si>
    <t>Die Klinge verursacht zusätzlichen elementaren Schaden. Pro volle 5 TP erleidet das Opfer eine zusätzliche BE von 1.</t>
  </si>
  <si>
    <t>artefakt_sturm_klinge</t>
  </si>
  <si>
    <t>Sturm - Klinge</t>
  </si>
  <si>
    <t>Die Klinge verursacht zusätzlichen elementaren Schaden. Das Ziel wird TP*m weggeschleudert; Ath-Probe erschwert um TP, sonst zusätzlich W8 Sturzschaden auf FK-TZ (W30).</t>
  </si>
  <si>
    <t>artefakt_splitter_klinge</t>
  </si>
  <si>
    <t>Splitter - Klinge</t>
  </si>
  <si>
    <t>Die Klinge verursacht zusätzlichen elementaren Schaden. Die Splitter - Klinge kann Rüstungen leichter durchdringen.</t>
  </si>
  <si>
    <t>artefakt_schock_klinge</t>
  </si>
  <si>
    <t>Schock - Klinge</t>
  </si>
  <si>
    <t>Die Klinge verursacht zusätzlichen elementaren Schaden. Sobald das Ziel 1 SP erleidet, muss es eine SB-Probe ablegen, die immer zusätzlich um den angegeben Wert erschwert ist.</t>
  </si>
  <si>
    <t>artefakt_material_verstaerken</t>
  </si>
  <si>
    <t>Klingenschutz und Klingenbrecher des verzauberten Gegenstandes erhöhen sich.</t>
  </si>
  <si>
    <t>KS/KB</t>
  </si>
  <si>
    <t>artefakt_intelligenz_erhoehen</t>
  </si>
  <si>
    <t>Intelligenz erhöhen</t>
  </si>
  <si>
    <t>Intelligenz des Trägers wird auf magische Weise erhöht. (Aufgeteilt aus 'Geistige Eigenschaft erhöhen': Eine geistige Eigenschaft (Int, Mut, Sin, Wil) wird magisch erhöht.)</t>
  </si>
  <si>
    <t xml:space="preserve">Eig + </t>
  </si>
  <si>
    <t>artefakt_mut_erhoehen</t>
  </si>
  <si>
    <t>Mut erhöhen</t>
  </si>
  <si>
    <t>Mut des Trägers wird auf magische Weise erhöht. (Aufgeteilt aus 'Geistige Eigenschaft erhöhen': Eine geistige Eigenschaft (Int, Mut, Sin, Wil) wird magisch erhöht.)</t>
  </si>
  <si>
    <t>artefakt_sinnesschaerfe_erhoehen</t>
  </si>
  <si>
    <t>Sinnesschaerfe erhöhen</t>
  </si>
  <si>
    <t>Sinnesschaerfe des Trägers wird auf magische Weise erhöht. (Aufgeteilt aus 'Geistige Eigenschaft erhöhen': Eine geistige Eigenschaft (Int, Mut, Sin, Wil) wird magisch erhöht.)</t>
  </si>
  <si>
    <t>artefakt_willenskraft_erhoehen</t>
  </si>
  <si>
    <t>Willenskraft erhöhen</t>
  </si>
  <si>
    <t>Willenskraft des Trägers wird auf magische Weise erhöht. (Aufgeteilt aus 'Geistige Eigenschaft erhöhen': Eine geistige Eigenschaft (Int, Mut, Sin, Wil) wird magisch erhöht.)</t>
  </si>
  <si>
    <t>artefakt_sinne_verbessern</t>
  </si>
  <si>
    <t xml:space="preserve">Entweder der Geruchssinn, der Geschmackssinn, das Gehör, das Sehvermögen oder der Tastsinn werden verbessert. Sinnesschärfen-Proben, die der Meister verlangen könnte, sind um (M):2 erleichtert (entspricht der Wirkungsdauer). Der verbesserte Sinn muss bei Erschaffung des Artefaktes festgelegt werden.
</t>
  </si>
  <si>
    <t xml:space="preserve">Sin + </t>
  </si>
  <si>
    <t>artefakt_in_pflanze_verwandeln</t>
  </si>
  <si>
    <t xml:space="preserve">Der Träger sowie alle Ausrüstung in seiner Aura verwandeln sich in eine festgelegte Pflanze und erleidet während der Effektdauer starke Schmerzen, kann aber nicht bewusstlos werden. Während der Wirkungsdauer hat das Ziel die Wahrnehmung der Pflanze, kann also nicht sprechen oder zaubern. Die Wirkung kann nur durch Antimagie vorzeitig beendet werden. Nach Ende der Wirkungsdauer findet eine Rückverwandlung statt, die genauso lange dauert wie die Effektdauer. Die Masse der zu verwandelnden Person bleibt gleich! Während der Wirkungsdauer verfügt der Träger über die folgenden LE/RS - Werte:
</t>
  </si>
  <si>
    <t>artefakt_langsamer_fall</t>
  </si>
  <si>
    <t>Langsamer Fall</t>
  </si>
  <si>
    <t>artefakt_in_tier_verwandeln</t>
  </si>
  <si>
    <t>Der Träger wird in ein fest ausgewähltes Tier verwandelt. Dieses Tier verfügt über die selben Werte wie der Träger. In Tierform können keinerlei Zauber gewirkt werden, Sprachfertigkeiten entsprechen den Fähigkeiten des Tieres. Die Umwandlung ist äußerst schmerzhaft und kann nicht vor Ablauf der Wirkungsdauer beendet werden (außer durch Antimagie). Die Masse des Ziels bleibt gleich!</t>
  </si>
  <si>
    <t>artefakt_gecko</t>
  </si>
  <si>
    <t>Der Träger kann mit Händen und Füßen an jeder beliebigen festen Oberfläche haften und dabei seine Maximallast tragen. Klettern-Proben sind erleichtert.</t>
  </si>
  <si>
    <t>artefakt_chamaeleon</t>
  </si>
  <si>
    <t>Der Träger und alle Gegenstände, die sich innerhalb seiner Aura befinden, werden durchsichtig.Um das Ziel zu Erkennen, ist eine um Wirkungsstufe * 3 erschwerte Sinnesschärfe-Probe nötig. Schleicht/geht/läuft/sprintet/attackiert das Ziel, sind Sinnesschärfe-Proben um Wirkungsstufe*3/2/1/0,5/0,25 erschwert.</t>
  </si>
  <si>
    <t>artefakt_warp</t>
  </si>
  <si>
    <t xml:space="preserve">Der Träger teleportiert zu einem Punkt, den er sieht. Er löst sich von Fuß zum Kopf hin in Dampf auf, genauso materialisiert er wieder. Er materialisiert immer stehend, Arme angelegt. Abweichung vom Zielpunkt: (Distanz in m/10) = Wx; Wx –Wirkungsstufe =Abweichung in m; Abw. immer horizontal, nicht in Gegenstände hinein, sondern auf/neben ihnen. Patzer: Pech-Probe erschw. um Distanz/10. -&gt;pro 1 Punkt Pech: 1W20 auf alle TZ verteilt, alles ignorierend.
Der Magus befindet sich während der Reise 1 sec in der Astralsphäre und benötigt 1 sec um wieder zu materialisieren.
</t>
  </si>
  <si>
    <t>m RW</t>
  </si>
  <si>
    <t>artefakt_verwandlung</t>
  </si>
  <si>
    <t xml:space="preserve">Der Träger verändert sein Aussehen, je nachdem wie der Artefaktmagier es in das Artefakt gebannt hat.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 </t>
  </si>
  <si>
    <t>artefakt_last_des_alters</t>
  </si>
  <si>
    <t>Der Träger altert um maximal Wirkungsstufe*5 Jahre (entspricht der Wirkungsdauer)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</si>
  <si>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artefakt_unauffindbarkeit</t>
  </si>
  <si>
    <t xml:space="preserve">Der Träger und Ausrüstung in seiner Aura verursachen keinerlei Geräusche, hinterlassen keine Spuren und erzeugen keinerlei Gerüche. Optisch, astral und mit Wärmesicht ist das Ziel unmodifiziert zu entdecken. Erleichterung Schleichen&amp;Tarnung/Erschwerung Sinnesschärfe zur Wahrehmung
</t>
  </si>
  <si>
    <t>artefakt_unsichtbarkeit</t>
  </si>
  <si>
    <t xml:space="preserve">Der Träger und alle Ausrüstung in seiner Aura sind vollkommen unsichtbar und weder astral, optisch oder mit Wärmesicht zu entdecken. 
Bewegt sich das Ziel schneller als gehend oder beginnt es, an einem Kampf teilzunehmen oder zu zaubern, fällt der Zauber.
</t>
  </si>
  <si>
    <t>artefakt_verjuengung</t>
  </si>
  <si>
    <t>Der Träger verjüngt sich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 Die Masse bleibt gleich!</t>
  </si>
  <si>
    <t>Jahre</t>
  </si>
  <si>
    <t>artefakt_artefakt_analysieren</t>
  </si>
  <si>
    <t>Magische Gegenstände analysieren bis Grad/erforderliche Magietheorie</t>
  </si>
  <si>
    <t>artefakt_dammerungssicht</t>
  </si>
  <si>
    <t>Dammerungssicht</t>
  </si>
  <si>
    <t>Restlichtverstärker</t>
  </si>
  <si>
    <t>artefakt_waermesicht</t>
  </si>
  <si>
    <t>Wärmesicht</t>
  </si>
  <si>
    <t>artefakt_magische_reinigung</t>
  </si>
  <si>
    <t>Alle anhaltenden und bipolaren Zauber, die auf die Aure des Trägers wirken, werden beendet.</t>
  </si>
  <si>
    <t>artefakt_magische_sicht</t>
  </si>
  <si>
    <t>Magische Sicht</t>
  </si>
  <si>
    <t>artefakt_magischer_schild</t>
  </si>
  <si>
    <t xml:space="preserve">Die Aura des Zieles wird von einem unsichtbaren Schild geschützt. Es kann pro KR maximal (M):2 SP und insgesamt (M) SP abhalten. RS/LE
</t>
  </si>
  <si>
    <t>artefakt_korpi_ignorieren</t>
  </si>
  <si>
    <t>Der Magus ermöglicht es einem Gegenstand, magische Korpi zu ignorieren. So ist es dem Gegenstand möglich, durch jede Art von Barriere zu dringen, als wäre sie nicht existent. Diese Gegenstände können von Magiekorpi nicht wahrgenommen werden. Grad 1 „Manaschild“ wird nicht ignoriert (gilt nicht als Magiekorpus), Angriffe auf beseelte Magie-Korpi wie z.B. (Elementar-)Geister und Artefakte unmöglich.</t>
  </si>
  <si>
    <t>artefakt_kampfmaschine</t>
  </si>
  <si>
    <t xml:space="preserve">Der Träger verschmilzt mit der Artefakt-Waffe. Dies führt zu einer Erleichterung auf alle kampfrelevanten Proben, bei denen die Waffe zum Einsatz kommt.
</t>
  </si>
  <si>
    <t>Bonus</t>
  </si>
  <si>
    <t>artefakt_attributs_artefakt_aura</t>
  </si>
  <si>
    <t>Attributs-Artefakt (Aura)</t>
  </si>
  <si>
    <t>Aura wird fuer einen magischen Tag magisch erhoeht. Nur permanent (kein Einmal-Artefakt), Verfuegbarkeit nur ueber den Spielleiter, nicht regulaer erwerbbar. Bezieht sich auf das Attribut 'att_aura' im Werte-Sheet (Kategorie 'Attribute': Aura/Essenz/Glueck/Karma/Magie/Vitalitaet/Weisheit - NICHT die 10 Eigenschaften Athletik...Willenskraft).</t>
  </si>
  <si>
    <t xml:space="preserve">Att + </t>
  </si>
  <si>
    <t>artefakt_attributs_artefakt_essenz</t>
  </si>
  <si>
    <t>Attributs-Artefakt (Essenz)</t>
  </si>
  <si>
    <t>Essenz wird fuer einen magischen Tag magisch erhoeht. Nur permanent (kein Einmal-Artefakt), Verfuegbarkeit nur ueber den Spielleiter, nicht regulaer erwerbbar. Bezieht sich auf das Attribut 'att_essenz' im Werte-Sheet (Kategorie 'Attribute': Aura/Essenz/Glueck/Karma/Magie/Vitalitaet/Weisheit - NICHT die 10 Eigenschaften Athletik...Willenskraft).</t>
  </si>
  <si>
    <t>artefakt_attributs_artefakt_glueck</t>
  </si>
  <si>
    <t>Attributs-Artefakt (Glück)</t>
  </si>
  <si>
    <t>Glück wird fuer einen magischen Tag magisch erhoeht. Nur permanent (kein Einmal-Artefakt), Verfuegbarkeit nur ueber den Spielleiter, nicht regulaer erwerbbar. Bezieht sich auf das Attribut 'att_glueck' im Werte-Sheet (Kategorie 'Attribute': Aura/Essenz/Glueck/Karma/Magie/Vitalitaet/Weisheit - NICHT die 10 Eigenschaften Athletik...Willenskraft).</t>
  </si>
  <si>
    <t>artefakt_attributs_artefakt_karma</t>
  </si>
  <si>
    <t>Attributs-Artefakt (Karma)</t>
  </si>
  <si>
    <t>Karma wird fuer einen magischen Tag magisch erhoeht. Nur permanent (kein Einmal-Artefakt), Verfuegbarkeit nur ueber den Spielleiter, nicht regulaer erwerbbar. Bezieht sich auf das Attribut 'att_karma' im Werte-Sheet (Kategorie 'Attribute': Aura/Essenz/Glueck/Karma/Magie/Vitalitaet/Weisheit - NICHT die 10 Eigenschaften Athletik...Willenskraft).</t>
  </si>
  <si>
    <t>artefakt_attributs_artefakt_magie</t>
  </si>
  <si>
    <t>Attributs-Artefakt (Magie)</t>
  </si>
  <si>
    <t>Magie wird fuer einen magischen Tag magisch erhoeht. Nur permanent (kein Einmal-Artefakt), Verfuegbarkeit nur ueber den Spielleiter, nicht regulaer erwerbbar. Bezieht sich auf das Attribut 'att_magie' im Werte-Sheet (Kategorie 'Attribute': Aura/Essenz/Glueck/Karma/Magie/Vitalitaet/Weisheit - NICHT die 10 Eigenschaften Athletik...Willenskraft).</t>
  </si>
  <si>
    <t>artefakt_attributs_artefakt_vitalitaet</t>
  </si>
  <si>
    <t>Attributs-Artefakt (Vitalität)</t>
  </si>
  <si>
    <t>Vitalität wird fuer einen magischen Tag magisch erhoeht. Nur permanent (kein Einmal-Artefakt), Verfuegbarkeit nur ueber den Spielleiter, nicht regulaer erwerbbar. Bezieht sich auf das Attribut 'att_vitalitaet' im Werte-Sheet (Kategorie 'Attribute': Aura/Essenz/Glueck/Karma/Magie/Vitalitaet/Weisheit - NICHT die 10 Eigenschaften Athletik...Willenskraft).</t>
  </si>
  <si>
    <t>artefakt_attributs_artefakt_weisheit</t>
  </si>
  <si>
    <t>Attributs-Artefakt (Weisheit)</t>
  </si>
  <si>
    <t>Weisheit wird fuer einen magischen Tag magisch erhoeht. Nur permanent (kein Einmal-Artefakt), Verfuegbarkeit nur ueber den Spielleiter, nicht regulaer erwerbbar. Bezieht sich auf das Attribut 'att_weisheit' im Werte-Sheet (Kategorie 'Attribute': Aura/Essenz/Glueck/Karma/Magie/Vitalitaet/Weisheit - NICHT die 10 Eigenschaften Athletik...Willenskraft).</t>
  </si>
  <si>
    <t>artefakt_eigenschafts_artefakt_athletik</t>
  </si>
  <si>
    <t>Eigenschafts-Artefakt (Athletik)</t>
  </si>
  <si>
    <t>Athletik wird fuer einen magischen Tag magisch erhoeht. Nur permanent (kein Einmal-Artefakt). Bezieht sich auf die Eigenschaft 'Athletik' im Werte-Sheet (Kategorie 'Eigenschaften': Athletik/Ausstrahlung/Geschicklichkeit/Intelligenz/Konstitution/Mut/Schnelligkeit/Sinnesschaerfe/Staerke/Willenskraft).</t>
  </si>
  <si>
    <t>artefakt_eigenschafts_artefakt_ausstrahlung</t>
  </si>
  <si>
    <t>Eigenschafts-Artefakt (Ausstrahlung)</t>
  </si>
  <si>
    <t>Ausstrahlung wird fuer einen magischen Tag magisch erhoeht. Nur permanent (kein Einmal-Artefakt). Bezieht sich auf die Eigenschaft 'Ausstrahlung' im Werte-Sheet (Kategorie 'Eigenschaften': Athletik/Ausstrahlung/Geschicklichkeit/Intelligenz/Konstitution/Mut/Schnelligkeit/Sinnesschaerfe/Staerke/Willenskraft).</t>
  </si>
  <si>
    <t>artefakt_eigenschafts_artefakt_geschicklichkeit</t>
  </si>
  <si>
    <t>Eigenschafts-Artefakt (Geschicklichkeit)</t>
  </si>
  <si>
    <t>Geschicklichkeit wird fuer einen magischen Tag magisch erhoeht. Nur permanent (kein Einmal-Artefakt). Bezieht sich auf die Eigenschaft 'Geschicklichkeit' im Werte-Sheet (Kategorie 'Eigenschaften': Athletik/Ausstrahlung/Geschicklichkeit/Intelligenz/Konstitution/Mut/Schnelligkeit/Sinnesschaerfe/Staerke/Willenskraft).</t>
  </si>
  <si>
    <t>artefakt_eigenschafts_artefakt_intelligenz</t>
  </si>
  <si>
    <t>Eigenschafts-Artefakt (Intelligenz)</t>
  </si>
  <si>
    <t>Intelligenz wird fuer einen magischen Tag magisch erhoeht. Nur permanent (kein Einmal-Artefakt). Bezieht sich auf die Eigenschaft 'Intelligenz' im Werte-Sheet (Kategorie 'Eigenschaften': Athletik/Ausstrahlung/Geschicklichkeit/Intelligenz/Konstitution/Mut/Schnelligkeit/Sinnesschaerfe/Staerke/Willenskraft).</t>
  </si>
  <si>
    <t>artefakt_eigenschafts_artefakt_konstitution</t>
  </si>
  <si>
    <t>Eigenschafts-Artefakt (Konstitution)</t>
  </si>
  <si>
    <t>Konstitution wird fuer einen magischen Tag magisch erhoeht. Nur permanent (kein Einmal-Artefakt). Bezieht sich auf die Eigenschaft 'Konstitution' im Werte-Sheet (Kategorie 'Eigenschaften': Athletik/Ausstrahlung/Geschicklichkeit/Intelligenz/Konstitution/Mut/Schnelligkeit/Sinnesschaerfe/Staerke/Willenskraft).</t>
  </si>
  <si>
    <t>artefakt_eigenschafts_artefakt_mut</t>
  </si>
  <si>
    <t>Eigenschafts-Artefakt (Mut)</t>
  </si>
  <si>
    <t>Mut wird fuer einen magischen Tag magisch erhoeht. Nur permanent (kein Einmal-Artefakt). Bezieht sich auf die Eigenschaft 'Mut' im Werte-Sheet (Kategorie 'Eigenschaften': Athletik/Ausstrahlung/Geschicklichkeit/Intelligenz/Konstitution/Mut/Schnelligkeit/Sinnesschaerfe/Staerke/Willenskraft).</t>
  </si>
  <si>
    <t>artefakt_eigenschafts_artefakt_schnelligkeit</t>
  </si>
  <si>
    <t>Eigenschafts-Artefakt (Schnelligkeit)</t>
  </si>
  <si>
    <t>Schnelligkeit wird fuer einen magischen Tag magisch erhoeht. Nur permanent (kein Einmal-Artefakt). Bezieht sich auf die Eigenschaft 'Schnelligkeit' im Werte-Sheet (Kategorie 'Eigenschaften': Athletik/Ausstrahlung/Geschicklichkeit/Intelligenz/Konstitution/Mut/Schnelligkeit/Sinnesschaerfe/Staerke/Willenskraft).</t>
  </si>
  <si>
    <t>artefakt_eigenschafts_artefakt_sinnesschaerfe</t>
  </si>
  <si>
    <t>Eigenschafts-Artefakt (Sinnesschaerfe)</t>
  </si>
  <si>
    <t>Sinnesschaerfe wird fuer einen magischen Tag magisch erhoeht. Nur permanent (kein Einmal-Artefakt). Bezieht sich auf die Eigenschaft 'Sinnesschaerfe' im Werte-Sheet (Kategorie 'Eigenschaften': Athletik/Ausstrahlung/Geschicklichkeit/Intelligenz/Konstitution/Mut/Schnelligkeit/Sinnesschaerfe/Staerke/Willenskraft).</t>
  </si>
  <si>
    <t>artefakt_eigenschafts_artefakt_staerke</t>
  </si>
  <si>
    <t>Eigenschafts-Artefakt (Staerke)</t>
  </si>
  <si>
    <t>Staerke wird fuer einen magischen Tag magisch erhoeht. Nur permanent (kein Einmal-Artefakt). Bezieht sich auf die Eigenschaft 'Staerke' im Werte-Sheet (Kategorie 'Eigenschaften': Athletik/Ausstrahlung/Geschicklichkeit/Intelligenz/Konstitution/Mut/Schnelligkeit/Sinnesschaerfe/Staerke/Willenskraft).</t>
  </si>
  <si>
    <t>artefakt_eigenschafts_artefakt_willenskraft</t>
  </si>
  <si>
    <t>Eigenschafts-Artefakt (Willenskraft)</t>
  </si>
  <si>
    <t>Willenskraft wird fuer einen magischen Tag magisch erhoeht. Nur permanent (kein Einmal-Artefakt). Bezieht sich auf die Eigenschaft 'Willenskraft' im Werte-Sheet (Kategorie 'Eigenschaften': Athletik/Ausstrahlung/Geschicklichkeit/Intelligenz/Konstitution/Mut/Schnelligkeit/Sinnesschaerfe/Staerke/Willenskraft).</t>
  </si>
  <si>
    <t>Artefakt-Grad</t>
  </si>
  <si>
    <t>Kosten-einmalig</t>
  </si>
  <si>
    <t>Verfuegbarkeit-einmalig</t>
  </si>
  <si>
    <t>Kosten-permanent</t>
  </si>
  <si>
    <t>Verfuegbarkeit-permanent</t>
  </si>
  <si>
    <t>Meister</t>
  </si>
  <si>
    <t>Auspraegung</t>
  </si>
  <si>
    <t>Faktor</t>
  </si>
  <si>
    <t>Herstellungsort</t>
  </si>
  <si>
    <t>Import, wird nicht hergestellt</t>
  </si>
  <si>
    <t>Teilweiser Import, Herstellung im Reich</t>
  </si>
  <si>
    <t>Herstellung im Reich</t>
  </si>
  <si>
    <t>Herstellung in der Region</t>
  </si>
  <si>
    <t>Herstellung direkt vor Ort</t>
  </si>
  <si>
    <t>Siedlungsgroesse</t>
  </si>
  <si>
    <t>Wildnis</t>
  </si>
  <si>
    <t>Siedlung</t>
  </si>
  <si>
    <t>Dorf</t>
  </si>
  <si>
    <t>Kleinstadt</t>
  </si>
  <si>
    <t>Stadt</t>
  </si>
  <si>
    <t>Grossstadt</t>
  </si>
  <si>
    <t>Metropole</t>
  </si>
  <si>
    <t>Handelsstufe</t>
  </si>
  <si>
    <t>Voellig abgelegen von jeglichem Handel</t>
  </si>
  <si>
    <t>Abgelegen von jeglichem Handel</t>
  </si>
  <si>
    <t>An einer Handelsroute / Kleiner Handels-Hafen</t>
  </si>
  <si>
    <t>Handelsstadt / Grosser Handels-Hafen</t>
  </si>
  <si>
    <t>Handelszentrum</t>
  </si>
  <si>
    <t>Haendler</t>
  </si>
  <si>
    <t>Kein Laden / kein Haendler</t>
  </si>
  <si>
    <t>Fahrender Troedelhaendler</t>
  </si>
  <si>
    <t>Fahrender spezialisierter Haendler</t>
  </si>
  <si>
    <t>Kleiner 'General Store'</t>
  </si>
  <si>
    <t>Grosser 'General Store'</t>
  </si>
  <si>
    <t>Kleiner spezialisierter Haendler</t>
  </si>
  <si>
    <t>Spezialisierter Haendler</t>
  </si>
  <si>
    <t>Grosser spezialisierter Haendler</t>
  </si>
  <si>
    <t>Grund-Verfuegbarkeit (Legende)</t>
  </si>
  <si>
    <t>Bedeutung</t>
  </si>
  <si>
    <t>Optionaler Wuerfelwurf (falls Meister unschluessig)</t>
  </si>
  <si>
    <t>Immer</t>
  </si>
  <si>
    <t>1-29</t>
  </si>
  <si>
    <t>Fast immer</t>
  </si>
  <si>
    <t>1-20</t>
  </si>
  <si>
    <t>Haeufig</t>
  </si>
  <si>
    <t>1-14</t>
  </si>
  <si>
    <t>1-7</t>
  </si>
  <si>
    <t>Fast nie</t>
  </si>
  <si>
    <t>1-3</t>
  </si>
  <si>
    <t>Nie</t>
  </si>
  <si>
    <t>21 (exakt)</t>
  </si>
  <si>
    <t>Einzigartig</t>
  </si>
  <si>
    <t>29 zwei mal hintereinander</t>
  </si>
  <si>
    <t>Ruestungsteil</t>
  </si>
  <si>
    <t>BE-Basis</t>
  </si>
  <si>
    <t>Verfuegbarkeit-NW</t>
  </si>
  <si>
    <t>Verfuegbarkeit-AW</t>
  </si>
  <si>
    <t>Addon</t>
  </si>
  <si>
    <t>Leichte Drachenschuppen</t>
  </si>
  <si>
    <t>Drachenschuppen</t>
  </si>
  <si>
    <t>Schwere Drachenschuppen</t>
  </si>
  <si>
    <t>Spinnweben</t>
  </si>
  <si>
    <t>BE-Mod</t>
  </si>
  <si>
    <t>Lohn-pro-Tag</t>
  </si>
  <si>
    <t>Zusaetzliche-Tage</t>
  </si>
  <si>
    <t>völlig unpassend</t>
  </si>
  <si>
    <t>von der Stange</t>
  </si>
  <si>
    <t>Geeignet für</t>
  </si>
  <si>
    <t>Kaliber</t>
  </si>
  <si>
    <t>Preis (1Schuss)</t>
  </si>
  <si>
    <t>Preis-10-Schuss</t>
  </si>
  <si>
    <t>Preis-50-Schuss</t>
  </si>
  <si>
    <t>Preis-100-Schuss</t>
  </si>
  <si>
    <t>Preis-500-Schuss</t>
  </si>
  <si>
    <t>Preis-1000-Schuss</t>
  </si>
  <si>
    <t>Besonderheiten</t>
  </si>
  <si>
    <t>Vorderlader</t>
  </si>
  <si>
    <t>S.P.&amp;Blei</t>
  </si>
  <si>
    <t>VL. Papierpatrone</t>
  </si>
  <si>
    <t>Reduziert die Nachladezeit um 5 Sekunden</t>
  </si>
  <si>
    <t>Hinterlader</t>
  </si>
  <si>
    <t>Papierpatrone</t>
  </si>
  <si>
    <t>Patronenwaffen</t>
  </si>
  <si>
    <t>Messingpatrone</t>
  </si>
  <si>
    <t>Harpunengewehr</t>
  </si>
  <si>
    <t>Harpune</t>
  </si>
  <si>
    <t>Dublonen-pro-KG</t>
  </si>
  <si>
    <t>Massenfabrikation-Dublonen-pro-KG</t>
  </si>
  <si>
    <t>Messing</t>
  </si>
  <si>
    <t>Blei</t>
  </si>
  <si>
    <t>Schwarzpulver</t>
  </si>
  <si>
    <t>Papier</t>
  </si>
  <si>
    <t>Handwerker/Anlage</t>
  </si>
  <si>
    <t>Dublonen-pro-Tag</t>
  </si>
  <si>
    <t>Hinweis</t>
  </si>
  <si>
    <t>Kugelgießer</t>
  </si>
  <si>
    <t>(Schwarz-)Pulvermischer</t>
  </si>
  <si>
    <t>Munitionsmanufaktur (Pauschale/Tag)</t>
  </si>
  <si>
    <t>Beinhaltet Manufakturkosten und 3 Vorarbeiter</t>
  </si>
  <si>
    <t>Komplette Manufaktur</t>
  </si>
  <si>
    <t>Beinhaltet Manufakturkosten, 3 Vorarbeiter, 6 (Schwarz-)Pulvermischer, 9 Kugelgiesser</t>
  </si>
  <si>
    <t>Patronentyp</t>
  </si>
  <si>
    <t>Schwarzpulver-kg</t>
  </si>
  <si>
    <t>Blei-kg</t>
  </si>
  <si>
    <t>Papier-kg</t>
  </si>
  <si>
    <t>Messing-kg</t>
  </si>
  <si>
    <t>Gesamtgewicht-kg</t>
  </si>
  <si>
    <t>Manufaktur-Ausstoss-pro-Tag</t>
  </si>
  <si>
    <t>Herstellungskosten-pro-Schuss</t>
  </si>
  <si>
    <t>Materialkosten-pro-Schuss</t>
  </si>
  <si>
    <t>Gesamtkosten-pro-Schuss</t>
  </si>
  <si>
    <t>Blei (+Schwarzpulver)</t>
  </si>
  <si>
    <t>Min-Staerke</t>
  </si>
  <si>
    <t>Schaden</t>
  </si>
  <si>
    <t>Modifikatoren-roh</t>
  </si>
  <si>
    <t>RW-m</t>
  </si>
  <si>
    <t>Ladezeit-sec</t>
  </si>
  <si>
    <t>Nachlade-Teiler</t>
  </si>
  <si>
    <t>Verfuegbarkeit-Volk</t>
  </si>
  <si>
    <t>Improvisierter Bogen</t>
  </si>
  <si>
    <t>Alle</t>
  </si>
  <si>
    <t>1W4</t>
  </si>
  <si>
    <t>+4/0/-15/x/x</t>
  </si>
  <si>
    <t>15m</t>
  </si>
  <si>
    <t>Kurzbogen</t>
  </si>
  <si>
    <t>1W4+1</t>
  </si>
  <si>
    <t>+8/+2/-13/-25/x/x</t>
  </si>
  <si>
    <t>Jagdbogen</t>
  </si>
  <si>
    <t>1W6+1</t>
  </si>
  <si>
    <t>+6/+2/-8/-22/x/x</t>
  </si>
  <si>
    <t>20m</t>
  </si>
  <si>
    <t>Langbogen</t>
  </si>
  <si>
    <t>+5/+2/-8/-20/-30</t>
  </si>
  <si>
    <t>60m</t>
  </si>
  <si>
    <t>Froggler-Bogen</t>
  </si>
  <si>
    <t>1W6</t>
  </si>
  <si>
    <t>25m</t>
  </si>
  <si>
    <t>Bogen</t>
  </si>
  <si>
    <t>+7/+2/-8/-23/x</t>
  </si>
  <si>
    <t>+6/+2/-8/-21/x</t>
  </si>
  <si>
    <t>75m</t>
  </si>
  <si>
    <t>Schwarzfels-Bogen</t>
  </si>
  <si>
    <t>Holz, Schwarzfels, Seil, Leim</t>
  </si>
  <si>
    <t>1W8+1</t>
  </si>
  <si>
    <t>+6/+2/-7/-22/x</t>
  </si>
  <si>
    <t>40m</t>
  </si>
  <si>
    <t>Daikini</t>
  </si>
  <si>
    <t>+7/+2/-11/-25/x</t>
  </si>
  <si>
    <t>+6/+2/-8/-22/x</t>
  </si>
  <si>
    <t>27m</t>
  </si>
  <si>
    <t>50m</t>
  </si>
  <si>
    <t>Asymmetrischer Bogen</t>
  </si>
  <si>
    <t>+7/+2/-8/-20/-30</t>
  </si>
  <si>
    <t>+8/+3/-9/-22/x</t>
  </si>
  <si>
    <t>+7/+3/-8/-20/x</t>
  </si>
  <si>
    <t>33m</t>
  </si>
  <si>
    <t>+5/+2/-6/-17/x</t>
  </si>
  <si>
    <t>110m</t>
  </si>
  <si>
    <t>Kompositbogen kurz</t>
  </si>
  <si>
    <t>Holz, Horn, Leim</t>
  </si>
  <si>
    <t>+9/+3/-9/-22/x</t>
  </si>
  <si>
    <t>22m</t>
  </si>
  <si>
    <t>Kompositbogen lang</t>
  </si>
  <si>
    <t>+6/+2/-6/-17/x</t>
  </si>
  <si>
    <t>23m</t>
  </si>
  <si>
    <t>Uriebenwurzel-Bogen</t>
  </si>
  <si>
    <t>Uriebenwurzelholz</t>
  </si>
  <si>
    <t>+6/+3/-6/-17/-29</t>
  </si>
  <si>
    <t>+6/+1/-12/-26/x</t>
  </si>
  <si>
    <t>1W6+2</t>
  </si>
  <si>
    <t>+5/+1/-9/-23/x</t>
  </si>
  <si>
    <t>+4/+1/-9/-21/-31</t>
  </si>
  <si>
    <t>Kriegsbogen</t>
  </si>
  <si>
    <t>Holz, Horn, Stahl, Leim</t>
  </si>
  <si>
    <t>1W10+1</t>
  </si>
  <si>
    <t>+6/0/-14/-30/x/x</t>
  </si>
  <si>
    <t>Umspannbogen</t>
  </si>
  <si>
    <t>Holz, ZW Federstahl, ZW Stahl</t>
  </si>
  <si>
    <t>+6/+2/-6/-17/-25</t>
  </si>
  <si>
    <t>32m</t>
  </si>
  <si>
    <t>90m</t>
  </si>
  <si>
    <t>1W4+2</t>
  </si>
  <si>
    <t>+7/+1/-15/-29/x</t>
  </si>
  <si>
    <t>Improvisierter Trollbogen</t>
  </si>
  <si>
    <t>1 Junger Baum</t>
  </si>
  <si>
    <t>1W20+1</t>
  </si>
  <si>
    <t>0/-5/-25/x/x</t>
  </si>
  <si>
    <t>10m</t>
  </si>
  <si>
    <t>Trollbogen</t>
  </si>
  <si>
    <t>1W30+1</t>
  </si>
  <si>
    <t>Noristawurz</t>
  </si>
  <si>
    <t>+8/+3/-11/-25/x</t>
  </si>
  <si>
    <t>+7/+3/-8/-22/x</t>
  </si>
  <si>
    <t>Elbenbeinbogen</t>
  </si>
  <si>
    <t>Noristawurz, Elbenbein, Leim</t>
  </si>
  <si>
    <t>1W2+1</t>
  </si>
  <si>
    <t>14m</t>
  </si>
  <si>
    <t>30m</t>
  </si>
  <si>
    <t>Holz, G Federstahl, G Stahl</t>
  </si>
  <si>
    <t>Drachenbogen</t>
  </si>
  <si>
    <t>Spezial/Legendaer</t>
  </si>
  <si>
    <t>Holz, Kaiserdrachen-Bein, Leim</t>
  </si>
  <si>
    <t>1W12+1</t>
  </si>
  <si>
    <t>+6/+1/-13/-29/x/x</t>
  </si>
  <si>
    <t>Schaden-Mod</t>
  </si>
  <si>
    <t>RB-Mod</t>
  </si>
  <si>
    <t>RW-Mod-Spalte1</t>
  </si>
  <si>
    <t>RW-Mod-Spalte2</t>
  </si>
  <si>
    <t>Spezialitaeten</t>
  </si>
  <si>
    <t>Improvisierter-Pfeil</t>
  </si>
  <si>
    <t>+1W4</t>
  </si>
  <si>
    <t>0</t>
  </si>
  <si>
    <t>-15m</t>
  </si>
  <si>
    <t>nichts</t>
  </si>
  <si>
    <t>1</t>
  </si>
  <si>
    <t>Holzspitzen-Pfeil</t>
  </si>
  <si>
    <t>+1W6</t>
  </si>
  <si>
    <t>-7m</t>
  </si>
  <si>
    <t>50 FZ</t>
  </si>
  <si>
    <t>Knochenspitzen-Pfeil</t>
  </si>
  <si>
    <t>100FZ</t>
  </si>
  <si>
    <t>Steinspitzen-Pfeil</t>
  </si>
  <si>
    <t>+1W8</t>
  </si>
  <si>
    <t>200 FZ</t>
  </si>
  <si>
    <t>Diamantspatspitzen-Pfeil</t>
  </si>
  <si>
    <t>+6</t>
  </si>
  <si>
    <t>1,5D</t>
  </si>
  <si>
    <t>Wird durch UV-Strahlung zersetzt</t>
  </si>
  <si>
    <t>Bronzespitzen-Pfeil</t>
  </si>
  <si>
    <t>+1</t>
  </si>
  <si>
    <t>300 FZ</t>
  </si>
  <si>
    <t>Eisenspitzen-Pfeil</t>
  </si>
  <si>
    <t>+2</t>
  </si>
  <si>
    <t>500 FZ</t>
  </si>
  <si>
    <t>Stahlspitzen-Pfeil</t>
  </si>
  <si>
    <t>+3</t>
  </si>
  <si>
    <t>1D</t>
  </si>
  <si>
    <t>Edelstahlspitzen-Pfeil</t>
  </si>
  <si>
    <t>+4</t>
  </si>
  <si>
    <t>2,5D</t>
  </si>
  <si>
    <t>Faltstahlspitzen-Pfeil</t>
  </si>
  <si>
    <t>+5</t>
  </si>
  <si>
    <t>5D</t>
  </si>
  <si>
    <t>Nasiumspitzen-Pfeil</t>
  </si>
  <si>
    <t>100D</t>
  </si>
  <si>
    <t>Verzauberungskosten werden stark verringert</t>
  </si>
  <si>
    <t>Adamantitspitzen-Pfeil</t>
  </si>
  <si>
    <t>+7</t>
  </si>
  <si>
    <t>1000D</t>
  </si>
  <si>
    <t>Diamantspitzen-Pfeil</t>
  </si>
  <si>
    <t>Silberspitzen-Pfeil</t>
  </si>
  <si>
    <t>-2</t>
  </si>
  <si>
    <t>Man sagt es gaebe Wesen die nur mit Silber verletzt oder getoetet werden koennen</t>
  </si>
  <si>
    <t>Glasspitzen-Pfeil</t>
  </si>
  <si>
    <t>10D</t>
  </si>
  <si>
    <t>2</t>
  </si>
  <si>
    <t>Die Spitze zersplittert beim Aufprall, die Splitter bohren sich bei jeder Bewegung ins Fleisch</t>
  </si>
  <si>
    <t>Breitkopfspitzen-Pfeil</t>
  </si>
  <si>
    <t>-1</t>
  </si>
  <si>
    <t>+10m</t>
  </si>
  <si>
    <t>+2D</t>
  </si>
  <si>
    <t>Hohlspitzen-Pfeil</t>
  </si>
  <si>
    <t>+5m</t>
  </si>
  <si>
    <t>+10D</t>
  </si>
  <si>
    <t>Moderner Arme-Pfeil: wird nur an staatlich Befugte weitergegeben</t>
  </si>
  <si>
    <t>Widerhaken-Pfeil</t>
  </si>
  <si>
    <t>-5m</t>
  </si>
  <si>
    <t>Ges+Medizin erschwert um 15 beim Rausziehen, sonst 1W8+2 TP direkt auf die TZ</t>
  </si>
  <si>
    <t>Kanuelen-Pfeil</t>
  </si>
  <si>
    <t>+3D</t>
  </si>
  <si>
    <t>Kann eine groessere Menge Gift transportieren (2 statt 1 Anwendung)</t>
  </si>
  <si>
    <t>Halbmond-Pfeil</t>
  </si>
  <si>
    <t>-3</t>
  </si>
  <si>
    <t>Man kann damit Seile durchschiessen</t>
  </si>
  <si>
    <t>Dornspitzen-Pfeil</t>
  </si>
  <si>
    <t>+1D</t>
  </si>
  <si>
    <t>Hohlkoerper-Pfeil</t>
  </si>
  <si>
    <t>-10m</t>
  </si>
  <si>
    <t>+5D</t>
  </si>
  <si>
    <t>In einer Tonkugel an der Spitze kann z.B. Zwergisches Feuer untergebracht werden</t>
  </si>
  <si>
    <t>(Trolle) Trollbogen-Pfeil</t>
  </si>
  <si>
    <t>+1W15</t>
  </si>
  <si>
    <t>10</t>
  </si>
  <si>
    <t>Kann nur mit dem Trollbogen abgeschossen werden</t>
  </si>
  <si>
    <t>(Drow) Elbenbein-Pfeil</t>
  </si>
  <si>
    <t>+1W8+1</t>
  </si>
  <si>
    <t>4D</t>
  </si>
  <si>
    <t>Traditioneller Drow-Pfeil</t>
  </si>
  <si>
    <t>(Indianer) Schwarzfels-Pfeil</t>
  </si>
  <si>
    <t>nicht V.</t>
  </si>
  <si>
    <t>Traditioneller Pfeil einiger Indianerstaemme am Rande der Schwarzen Zone</t>
  </si>
  <si>
    <t>(Gnome) Kurz-Pfeil</t>
  </si>
  <si>
    <t>+1W6+1</t>
  </si>
  <si>
    <t>Kann nur mit den Gnomischen Boegen verschossen werden</t>
  </si>
  <si>
    <t>Spanntechnik-roh</t>
  </si>
  <si>
    <t>Notiz</t>
  </si>
  <si>
    <t>Improvisierte Armbrust</t>
  </si>
  <si>
    <t>Hand: 9,13sec:4 / Geissfuss: xx,xxsec:x / Winde: xx,xxsec:x</t>
  </si>
  <si>
    <t>+8/-4/-25/-39/x</t>
  </si>
  <si>
    <t>5m</t>
  </si>
  <si>
    <t>Hand Armbrust</t>
  </si>
  <si>
    <t>Hand: 9,14sec:4 / Geissfuss: 5,30sec:2 / Winde: 3,60sec:1</t>
  </si>
  <si>
    <t>+11/-3/-24/-38/x</t>
  </si>
  <si>
    <t>Leichte Armbrust</t>
  </si>
  <si>
    <t>Hand: 12,14sec:4 / Geissfuss: 7,30sec:2 / Winde: 4,60sec:1</t>
  </si>
  <si>
    <t>1W8</t>
  </si>
  <si>
    <t>+10/+2/-14/-31/x</t>
  </si>
  <si>
    <t>Mittelschwere Armbrust</t>
  </si>
  <si>
    <t>Hand: 25,14sec:4 / Geissfuss: 12,30sec:2 / Winde: 7,60sec:1</t>
  </si>
  <si>
    <t>1W10</t>
  </si>
  <si>
    <t>+9/+6/-9/-25/x</t>
  </si>
  <si>
    <t>Schwere Armbrust</t>
  </si>
  <si>
    <t>Hand: 37,14sec:4 / Geissfuss: 20,30sec:2 / Winde: 14,60sec:1</t>
  </si>
  <si>
    <t>1W12</t>
  </si>
  <si>
    <t>+8/+5/-5/-21/x</t>
  </si>
  <si>
    <t>Repetier Armbrust</t>
  </si>
  <si>
    <t>Repetiern:11,6sec:10 / 5xBolzen nachladen: 1,16sec:6(Erg:5 fuer 1)</t>
  </si>
  <si>
    <t>+7/0/-17/-34/x</t>
  </si>
  <si>
    <t>Nur normale Bolzen mit normaler Spitze im 5-Schuss-Magazin</t>
  </si>
  <si>
    <t>Hand: 7,14sec:4 / Geissfuss: 3,30sec:2 / Winde: 1,60sec:1</t>
  </si>
  <si>
    <t>+10/-4/-25/-39/x</t>
  </si>
  <si>
    <t>Hand: 10,14sec:4 / Geissfuss: 5,30sec:2 / Winde: 2,60sec:1</t>
  </si>
  <si>
    <t>+9/+3/-15/-32/x</t>
  </si>
  <si>
    <t>Hand: 23,14sec:4 / Geissfuss: 10,30sec:2 / Winde: 5,60sec:1</t>
  </si>
  <si>
    <t>+8/+5/-10/-26/x</t>
  </si>
  <si>
    <t>Hand: 35,14sec:4 / Geissfuss: 18,30sec:2 / Winde: 12,60sec:1</t>
  </si>
  <si>
    <t>+7/+4/-6/-22/x</t>
  </si>
  <si>
    <t>Repetiern:9,6sec:10 / 5xBolzen nachladen: 1,16sec:6(Erg:5 fuer 1)</t>
  </si>
  <si>
    <t>+6/-1/-18/-35/x</t>
  </si>
  <si>
    <t>Hand: 13,14sec:4 / Geissfuss: 9,30sec:2 / Winde: 7,60sec:1</t>
  </si>
  <si>
    <t>Hand: 16,14sec:4 / Geissfuss: 11,30sec:2 / Winde: 8,60sec:1</t>
  </si>
  <si>
    <t>Hand: 29,14sec:4 / Geissfuss: 16,30sec:2 / Winde: 11,60sec:1</t>
  </si>
  <si>
    <t>Hand: 41,14sec:4 / Geissfuss: 24,30sec:2 / Winde: 18,60sec:1</t>
  </si>
  <si>
    <t>Schwerer Kriegsweiler</t>
  </si>
  <si>
    <t>Hand: 46,15sec:4 / Geissfuss: 29,31sec:2 / Winde: 23,61sec:1</t>
  </si>
  <si>
    <t>1W15</t>
  </si>
  <si>
    <t>Repetiern:15,6sec:10 / 5xBolzen nachladen: 1,16sec:6(Erg:5 fuer 1)</t>
  </si>
  <si>
    <t>+13/-1/-22/-36/x</t>
  </si>
  <si>
    <t>+12/+4/-12/-29/x</t>
  </si>
  <si>
    <t>+11/+7/-7/-23/x</t>
  </si>
  <si>
    <t>+10/+6/-3/-19/x</t>
  </si>
  <si>
    <t>+9/+2/-15/-32/x</t>
  </si>
  <si>
    <t>+9/+1/-15/-32/x</t>
  </si>
  <si>
    <t>Hand: 5,14sec:4 / Geissfuss: 1,30sec:2 / Winde: 1,60sec:1</t>
  </si>
  <si>
    <t>1W2</t>
  </si>
  <si>
    <t>Hand: 8,14sec:4 / Geissfuss: 3,30sec:2 / Winde: 1,60sec:1</t>
  </si>
  <si>
    <t>Hand: 21,14sec:4 / Geissfuss: 8,30sec:2 / Winde: 3,60sec:1</t>
  </si>
  <si>
    <t>Hand: 33,14sec:4 / Geissfuss: 16,30sec:2 / Winde: 10,60sec:1</t>
  </si>
  <si>
    <t>Repetiern:8,6sec:10 / 5xBolzen nachladen: 1,16sec:6(Erg:5 fuer 1)</t>
  </si>
  <si>
    <t>Hand: 10,14sec:4 / Geissfuss: 6,30sec:2 / Winde: 4,60sec:1</t>
  </si>
  <si>
    <t>+12/-2/-23/-37/x</t>
  </si>
  <si>
    <t>Hand: 13,14sec:4 / Geissfuss: 8,30sec:2 / Winde: 5,60sec:1</t>
  </si>
  <si>
    <t>+11/+3/-13/-30/x</t>
  </si>
  <si>
    <t>Hand: 26,14sec:4 / Geissfuss: 13,30sec:2 / Winde: 8,60sec:1</t>
  </si>
  <si>
    <t>+10/+7/-8/-24/x</t>
  </si>
  <si>
    <t>Hand: 38,14sec:4 / Geissfuss: 21,30sec:2 / Winde: 15,60sec:1</t>
  </si>
  <si>
    <t>+9/+6/-4/-20/x</t>
  </si>
  <si>
    <t>Repetiern:12,6sec:10 / 5xBolzen nachladen: 1,16sec:6(Erg:5 fuer 1)</t>
  </si>
  <si>
    <t>+8/+1/-16/-33/x</t>
  </si>
  <si>
    <t>Balläster</t>
  </si>
  <si>
    <t>Hand: 13,14sec:4 / Geissfuss: x,xxsec:x / Winde: x,xxsec:x</t>
  </si>
  <si>
    <t>Zur Steinschleuder umgebaute Armbrust fuer die Vogeljagd; Munition kullert leicht aus der Abschusshalterung</t>
  </si>
  <si>
    <t>Improvisierter-Bolzen</t>
  </si>
  <si>
    <t>-15</t>
  </si>
  <si>
    <t>nicht V</t>
  </si>
  <si>
    <t>Holzspitzen-Bolzen</t>
  </si>
  <si>
    <t>-7</t>
  </si>
  <si>
    <t>Knochenspitzen-Bolzen</t>
  </si>
  <si>
    <t>400FZ</t>
  </si>
  <si>
    <t>Steinspitzen-Bolzen</t>
  </si>
  <si>
    <t>800 FZ</t>
  </si>
  <si>
    <t>Diamantspatspitzen-Bolzen</t>
  </si>
  <si>
    <t>+1W10</t>
  </si>
  <si>
    <t>3,5D</t>
  </si>
  <si>
    <t>Bronzespitzen-Bolzen</t>
  </si>
  <si>
    <t>1,2D</t>
  </si>
  <si>
    <t>Eisenspitzen-Bolzen</t>
  </si>
  <si>
    <t>2D</t>
  </si>
  <si>
    <t>Stahlspitzen-Bolzen</t>
  </si>
  <si>
    <t>Edelstahlspitzen-Bolzen</t>
  </si>
  <si>
    <t>Faltstahlspitzen-Bolzen</t>
  </si>
  <si>
    <t>20D</t>
  </si>
  <si>
    <t>Nasiumspitzen-Bolzen</t>
  </si>
  <si>
    <t>400D</t>
  </si>
  <si>
    <t>Adamantidspitzen-Bolzen</t>
  </si>
  <si>
    <t>10000D</t>
  </si>
  <si>
    <t>Diamantspitzen-Bolzen</t>
  </si>
  <si>
    <t>Silberspitzen-Bolzen</t>
  </si>
  <si>
    <t>Glasspitzen-Bolzen</t>
  </si>
  <si>
    <t>40D</t>
  </si>
  <si>
    <t>Breitkopfspitzen-Bolzen</t>
  </si>
  <si>
    <t>-4</t>
  </si>
  <si>
    <t>+8D</t>
  </si>
  <si>
    <t>3</t>
  </si>
  <si>
    <t>Hohlspitzen-Bolzen</t>
  </si>
  <si>
    <t>+40D</t>
  </si>
  <si>
    <t>Moderner Arme-Bolzen: wird nur an staatlich Befugte weitergegeben</t>
  </si>
  <si>
    <t>Widerhaken-Bolzen</t>
  </si>
  <si>
    <t>Ges+Medizin erschwert um 15 beim Rausziehen, sonst 1W8+4 TP direkt auf die TZ</t>
  </si>
  <si>
    <t>Kanuelen-Bolzen</t>
  </si>
  <si>
    <t>+12D</t>
  </si>
  <si>
    <t>Halbmond-Bolzen</t>
  </si>
  <si>
    <t>Dornspitzen-Bolzen</t>
  </si>
  <si>
    <t>+10</t>
  </si>
  <si>
    <t>+4D</t>
  </si>
  <si>
    <t>Hohlkoerper-Bolzen</t>
  </si>
  <si>
    <t>+20D</t>
  </si>
  <si>
    <t>Improvisierte Balläster-Munition</t>
  </si>
  <si>
    <t>Meistens ein Stein</t>
  </si>
  <si>
    <t>Balläster-Munition</t>
  </si>
  <si>
    <t>600 FZ</t>
  </si>
  <si>
    <t>Meistens eine murmelgrosse Stahlkugel</t>
  </si>
  <si>
    <t>Munitionsrune-Slots</t>
  </si>
  <si>
    <t>RW-max-m</t>
  </si>
  <si>
    <t>Mod-10m</t>
  </si>
  <si>
    <t>Mod-30m</t>
  </si>
  <si>
    <t>Mod-60m</t>
  </si>
  <si>
    <t>Mod-100m</t>
  </si>
  <si>
    <t>Mod-150m</t>
  </si>
  <si>
    <t>Mod-210m</t>
  </si>
  <si>
    <t>Zwergisch Standard</t>
  </si>
  <si>
    <t>100m</t>
  </si>
  <si>
    <t>85D</t>
  </si>
  <si>
    <t>Zwergisch Militaer Neu</t>
  </si>
  <si>
    <t>115m</t>
  </si>
  <si>
    <t>190D+</t>
  </si>
  <si>
    <t>Goblinisch kurz</t>
  </si>
  <si>
    <t>80m</t>
  </si>
  <si>
    <t>65D</t>
  </si>
  <si>
    <t>Drow modifiziert Zwergisch</t>
  </si>
  <si>
    <t>105m</t>
  </si>
  <si>
    <t>130D+</t>
  </si>
  <si>
    <t>Munitionsrune</t>
  </si>
  <si>
    <t>Schaden-Formel</t>
  </si>
  <si>
    <t>Zusatzeffekt</t>
  </si>
  <si>
    <t>Saeure</t>
  </si>
  <si>
    <t>W8+St.</t>
  </si>
  <si>
    <t>RSx2</t>
  </si>
  <si>
    <t>Wenn SP&gt;0: nach 2 und 5 sec je (W6+St.) SP (gleiche TZ)</t>
  </si>
  <si>
    <t>Feuer</t>
  </si>
  <si>
    <t>2W8+(2xSt.)</t>
  </si>
  <si>
    <t>Luft</t>
  </si>
  <si>
    <t>W6+St.</t>
  </si>
  <si>
    <t>Immer Selbstbeherrschungs-Probe zusaetzlich erschwert um (3xSt.) gegen Kampfunfaehigkeit fuer Differenz in Sekunden</t>
  </si>
  <si>
    <t>Erde</t>
  </si>
  <si>
    <t>2W10+St.</t>
  </si>
  <si>
    <t>St.</t>
  </si>
  <si>
    <t>3D</t>
  </si>
  <si>
    <t>Eis</t>
  </si>
  <si>
    <t>W12+(2xSt.)</t>
  </si>
  <si>
    <t>St.+2</t>
  </si>
  <si>
    <t>Blitz</t>
  </si>
  <si>
    <t>W10+St.</t>
  </si>
  <si>
    <t>4</t>
  </si>
  <si>
    <t>Immer Selbstbeherrschungs-Probe zusaetzlich erschwert um (3xSt.) gegen Bewusstlosigkeit fuer Differenz in Sekunden</t>
  </si>
  <si>
    <t>8D</t>
  </si>
  <si>
    <t>W15+(2xSt.)</t>
  </si>
  <si>
    <t>2xSt.</t>
  </si>
  <si>
    <t>Opfer haben keine Gluecks-Probe. FK-Patzer-Maximum=5</t>
  </si>
  <si>
    <t>35D</t>
  </si>
  <si>
    <t>70D</t>
  </si>
  <si>
    <t>200D</t>
  </si>
  <si>
    <t>450D</t>
  </si>
  <si>
    <t>1000D+</t>
  </si>
  <si>
    <t>2000D+</t>
  </si>
  <si>
    <t>5000D+</t>
  </si>
  <si>
    <t>Typ</t>
  </si>
  <si>
    <t>Gewicht</t>
  </si>
  <si>
    <t>Min. Stä</t>
  </si>
  <si>
    <t>1.W</t>
  </si>
  <si>
    <t>2.W</t>
  </si>
  <si>
    <t>Fixschaden</t>
  </si>
  <si>
    <t>150m</t>
  </si>
  <si>
    <t>210m</t>
  </si>
  <si>
    <t>RW</t>
  </si>
  <si>
    <t>Nachladezeit</t>
  </si>
  <si>
    <t>Nachladen TaW-Teiler</t>
  </si>
  <si>
    <t>Patzermodifikator</t>
  </si>
  <si>
    <t>Verfügbarkeit</t>
  </si>
  <si>
    <t>Herstellungszeit</t>
  </si>
  <si>
    <t>Materialpreis</t>
  </si>
  <si>
    <t>Goblin Kurzbogen</t>
  </si>
  <si>
    <t>+8</t>
  </si>
  <si>
    <t>-13</t>
  </si>
  <si>
    <t>-25</t>
  </si>
  <si>
    <t>50D</t>
  </si>
  <si>
    <t>Goblin Jagdbogen</t>
  </si>
  <si>
    <t>-8</t>
  </si>
  <si>
    <t>-22</t>
  </si>
  <si>
    <t>60D</t>
  </si>
  <si>
    <t>Goblin Langbogen</t>
  </si>
  <si>
    <t>-20</t>
  </si>
  <si>
    <t>-30</t>
  </si>
  <si>
    <t>Bogen von der Firma Froggler</t>
  </si>
  <si>
    <t>55D</t>
  </si>
  <si>
    <t>Indianer Bogen</t>
  </si>
  <si>
    <t>-23</t>
  </si>
  <si>
    <t>Indianer Langbogen</t>
  </si>
  <si>
    <t>-21</t>
  </si>
  <si>
    <t>Schwarzfels Bogen</t>
  </si>
  <si>
    <t>Daikini Kurzbogen</t>
  </si>
  <si>
    <t>-11</t>
  </si>
  <si>
    <t>Daikini Jagdbogen</t>
  </si>
  <si>
    <t>80D</t>
  </si>
  <si>
    <t>Daikini Langbogen</t>
  </si>
  <si>
    <t>125D</t>
  </si>
  <si>
    <t>Elfen Kurzbogen</t>
  </si>
  <si>
    <t>-9</t>
  </si>
  <si>
    <t>Elfen Jagdbogen</t>
  </si>
  <si>
    <t>130D</t>
  </si>
  <si>
    <t>Elfen Langbogen</t>
  </si>
  <si>
    <t>-6</t>
  </si>
  <si>
    <t>-17</t>
  </si>
  <si>
    <t>180D</t>
  </si>
  <si>
    <t>Kompositbogen kurz (Elf)</t>
  </si>
  <si>
    <t>+9</t>
  </si>
  <si>
    <t>Kompositbogen lang (Elf)</t>
  </si>
  <si>
    <t>250D</t>
  </si>
  <si>
    <t>-29</t>
  </si>
  <si>
    <t>1500D</t>
  </si>
  <si>
    <t>Ork Kurzbogen</t>
  </si>
  <si>
    <t>-12</t>
  </si>
  <si>
    <t>-26</t>
  </si>
  <si>
    <t>Ork Jagdbogen</t>
  </si>
  <si>
    <t>Ork Langbogen</t>
  </si>
  <si>
    <t>-31</t>
  </si>
  <si>
    <t>-14</t>
  </si>
  <si>
    <t>250D+</t>
  </si>
  <si>
    <t>Kompositbogen kurz (Zwerg)</t>
  </si>
  <si>
    <t>Kompositbogen lang (Zwerg)</t>
  </si>
  <si>
    <t>Umspannbogen (Zwerg)</t>
  </si>
  <si>
    <t>10000D+</t>
  </si>
  <si>
    <t>Katzen Kurzbogen</t>
  </si>
  <si>
    <t>Katzen Jagdbogen</t>
  </si>
  <si>
    <t>90D</t>
  </si>
  <si>
    <t>Katzen Langbogen</t>
  </si>
  <si>
    <t>135D</t>
  </si>
  <si>
    <t>Zentauren Kurzbogen</t>
  </si>
  <si>
    <t>60D+</t>
  </si>
  <si>
    <t>Kompositbogen kurz (Zentaur)</t>
  </si>
  <si>
    <t>200D+</t>
  </si>
  <si>
    <t>1W20</t>
  </si>
  <si>
    <t>-5</t>
  </si>
  <si>
    <t>1W30</t>
  </si>
  <si>
    <t>100D+</t>
  </si>
  <si>
    <t>Drow Kurzbogen</t>
  </si>
  <si>
    <t>Drow Jagdbogen</t>
  </si>
  <si>
    <t>Drow Langbogen</t>
  </si>
  <si>
    <t>Gnom Kurzbogen</t>
  </si>
  <si>
    <t>Gnom Jagdbogen</t>
  </si>
  <si>
    <t>80D+</t>
  </si>
  <si>
    <t>Gnom Langbogen</t>
  </si>
  <si>
    <t>125D+</t>
  </si>
  <si>
    <t>Umspannbogen (Gnom)</t>
  </si>
  <si>
    <t>1 Mio. D</t>
  </si>
  <si>
    <t>Armrüste: Ladetechnik Hand</t>
  </si>
  <si>
    <t>Armrüste: Ladetechnik Geißfuß</t>
  </si>
  <si>
    <t>Armrüste: Ladetechnik Winde</t>
  </si>
  <si>
    <t>9,13sec:4</t>
  </si>
  <si>
    <t>-39</t>
  </si>
  <si>
    <t>13sec</t>
  </si>
  <si>
    <t>Hand Armbrust (Daikini)</t>
  </si>
  <si>
    <t>9,14sec:4</t>
  </si>
  <si>
    <t>5,30sec:2</t>
  </si>
  <si>
    <t>3,60sec:1</t>
  </si>
  <si>
    <t>+11</t>
  </si>
  <si>
    <t>-24</t>
  </si>
  <si>
    <t>-38</t>
  </si>
  <si>
    <t>14sec</t>
  </si>
  <si>
    <t>Leichte Armbrust (Daikini)</t>
  </si>
  <si>
    <t>12,14sec:4</t>
  </si>
  <si>
    <t>7,30sec:2</t>
  </si>
  <si>
    <t>4,60sec:1</t>
  </si>
  <si>
    <t>120D</t>
  </si>
  <si>
    <t>Mittelschwere Armbrust (Daikini)</t>
  </si>
  <si>
    <t>25,14sec:4</t>
  </si>
  <si>
    <t>12,30sec:2</t>
  </si>
  <si>
    <t>7,60sec:1</t>
  </si>
  <si>
    <t>Schwere Armbrust (Daikini)</t>
  </si>
  <si>
    <t>37,14sec:4</t>
  </si>
  <si>
    <t>20,30sec:2</t>
  </si>
  <si>
    <t>14,60sec:1</t>
  </si>
  <si>
    <t>800D</t>
  </si>
  <si>
    <t>Repetier Armbrust (Daikini)*</t>
  </si>
  <si>
    <t>-34</t>
  </si>
  <si>
    <t>900D</t>
  </si>
  <si>
    <t>Hand Armbrust (Goblin)</t>
  </si>
  <si>
    <t>7,14sec:4</t>
  </si>
  <si>
    <t>3,30sec:2</t>
  </si>
  <si>
    <t>1,60sec:1</t>
  </si>
  <si>
    <t>75D</t>
  </si>
  <si>
    <t>Leichte Armbrust (Goblin)</t>
  </si>
  <si>
    <t>10,14sec:4</t>
  </si>
  <si>
    <t>2,60sec:1</t>
  </si>
  <si>
    <t>-32</t>
  </si>
  <si>
    <t>Mittelschwere Armbrust (Goblin)</t>
  </si>
  <si>
    <t>23,14sec:4</t>
  </si>
  <si>
    <t>10,30sec:2</t>
  </si>
  <si>
    <t>5,60sec:1</t>
  </si>
  <si>
    <t>-10</t>
  </si>
  <si>
    <t>150D</t>
  </si>
  <si>
    <t>Schwere Armbrust (Goblin)</t>
  </si>
  <si>
    <t>35,14sec:4</t>
  </si>
  <si>
    <t>18,30sec:2</t>
  </si>
  <si>
    <t>12,60sec:1</t>
  </si>
  <si>
    <t>600D</t>
  </si>
  <si>
    <t>Repetier Armbrust (Goblin)*</t>
  </si>
  <si>
    <t>-18</t>
  </si>
  <si>
    <t>-35</t>
  </si>
  <si>
    <t>675D</t>
  </si>
  <si>
    <t>Hand Armbrust (Ork)</t>
  </si>
  <si>
    <t>13,14sec:4</t>
  </si>
  <si>
    <t>9,30sec:2</t>
  </si>
  <si>
    <t>Leichte Armbrust (Ork)</t>
  </si>
  <si>
    <t>16,14sec:4</t>
  </si>
  <si>
    <t>11,30sec:2</t>
  </si>
  <si>
    <t>8,60sec:1</t>
  </si>
  <si>
    <t>Mittelschwere Armbrust (Ork)</t>
  </si>
  <si>
    <t>29,14sec:4</t>
  </si>
  <si>
    <t>16,30sec:2</t>
  </si>
  <si>
    <t>11,60sec:1</t>
  </si>
  <si>
    <t>Schwere Armbrust (Ork)</t>
  </si>
  <si>
    <t>41,14sec:4</t>
  </si>
  <si>
    <t>24,30sec:2</t>
  </si>
  <si>
    <t>18,60sec:1</t>
  </si>
  <si>
    <t>46,15sec:4</t>
  </si>
  <si>
    <t>29,31sec:2</t>
  </si>
  <si>
    <t>23,61sec:1</t>
  </si>
  <si>
    <t>15sec</t>
  </si>
  <si>
    <t>Repetier Armbrust (Ork)*</t>
  </si>
  <si>
    <t>Hand Armbrust (Elf)</t>
  </si>
  <si>
    <t>+13</t>
  </si>
  <si>
    <t>-36</t>
  </si>
  <si>
    <t>Leichte Armbrust (Elf)</t>
  </si>
  <si>
    <t>+12</t>
  </si>
  <si>
    <t>Mittelschwere Armbrust (Elf)</t>
  </si>
  <si>
    <t>Schwere Armbrust (Elf)</t>
  </si>
  <si>
    <t>-19</t>
  </si>
  <si>
    <t>Repetier Armbrust (Elf)*</t>
  </si>
  <si>
    <t>1125D</t>
  </si>
  <si>
    <t>Hand Armbrust (Drow)</t>
  </si>
  <si>
    <t>Leichte Armbrust (Drow)</t>
  </si>
  <si>
    <t>145D</t>
  </si>
  <si>
    <t>Mittelschwere Armbrust (Drow)</t>
  </si>
  <si>
    <t>245D</t>
  </si>
  <si>
    <t>Schwere Armbrust (Drow)</t>
  </si>
  <si>
    <t>995D</t>
  </si>
  <si>
    <t>Repetier Armbrust (Drow)*</t>
  </si>
  <si>
    <t>1120D</t>
  </si>
  <si>
    <t>Hand Armbrust (Gnom)</t>
  </si>
  <si>
    <t>5,14sec:4</t>
  </si>
  <si>
    <t>1,30sec:2</t>
  </si>
  <si>
    <t>Leichte Armbrust (Gnom)</t>
  </si>
  <si>
    <t>8,14sec:4</t>
  </si>
  <si>
    <t>Mittelschwere Armbrust (Gnom)</t>
  </si>
  <si>
    <t>21,14sec:4</t>
  </si>
  <si>
    <t>8,30sec:2</t>
  </si>
  <si>
    <t>Schwere Armbrust (Gnom)</t>
  </si>
  <si>
    <t>33,14sec:4</t>
  </si>
  <si>
    <t>10,60sec:1</t>
  </si>
  <si>
    <t>Repetier Armbrust (Gnom)*</t>
  </si>
  <si>
    <t>Hand Armbrust (Zwerg)</t>
  </si>
  <si>
    <t>6,30sec:2</t>
  </si>
  <si>
    <t>-37</t>
  </si>
  <si>
    <t>160D</t>
  </si>
  <si>
    <t>Leichte Armbrust (Zwerg)</t>
  </si>
  <si>
    <t>Mittelschwere Armbrust (Zwerg)</t>
  </si>
  <si>
    <t>26,14sec:4</t>
  </si>
  <si>
    <t>13,30sec:2</t>
  </si>
  <si>
    <t>300D</t>
  </si>
  <si>
    <t>Schwere Armbrust (Zwerg)</t>
  </si>
  <si>
    <t>38,14sec:4</t>
  </si>
  <si>
    <t>21,30sec:2</t>
  </si>
  <si>
    <t>15,60sec:1</t>
  </si>
  <si>
    <t>1200D</t>
  </si>
  <si>
    <t>Repetier Armbrust (Zwerg)*</t>
  </si>
  <si>
    <t>-16</t>
  </si>
  <si>
    <t>-33</t>
  </si>
  <si>
    <t>1350D</t>
  </si>
  <si>
    <t>Balläster*</t>
  </si>
  <si>
    <t>300D+</t>
  </si>
  <si>
    <t>Lademechanik</t>
  </si>
  <si>
    <t>Munition (Waffen-Bezeichnung)</t>
  </si>
  <si>
    <t>Munition-Art (primaer)</t>
  </si>
  <si>
    <t>Preis-1-Schuss (primaer)</t>
  </si>
  <si>
    <t>Munition-Art (alternativ)</t>
  </si>
  <si>
    <t>Preis-1-Schuss (alternativ)</t>
  </si>
  <si>
    <t>Alternativ-Effekt</t>
  </si>
  <si>
    <t>Hakenbüchse</t>
  </si>
  <si>
    <t>Dalkinisch</t>
  </si>
  <si>
    <t>Muskete</t>
  </si>
  <si>
    <t>Schweres Gewehr</t>
  </si>
  <si>
    <t>Langpistole</t>
  </si>
  <si>
    <t>Pistole</t>
  </si>
  <si>
    <t>verb. Langpistole</t>
  </si>
  <si>
    <t>Schalarr</t>
  </si>
  <si>
    <t>Papier Patrone</t>
  </si>
  <si>
    <t>Schapschu</t>
  </si>
  <si>
    <t>Klapplauf</t>
  </si>
  <si>
    <t>Messing Patrone</t>
  </si>
  <si>
    <t>Ssussun</t>
  </si>
  <si>
    <t>Wissperr</t>
  </si>
  <si>
    <t>Dunar</t>
  </si>
  <si>
    <t>Schatten</t>
  </si>
  <si>
    <t>Suliss</t>
  </si>
  <si>
    <t>Taschenalb</t>
  </si>
  <si>
    <t>Adler</t>
  </si>
  <si>
    <t>Bussard</t>
  </si>
  <si>
    <t>Kondor</t>
  </si>
  <si>
    <t>Marodeur</t>
  </si>
  <si>
    <t>Minas</t>
  </si>
  <si>
    <t>Seriemas</t>
  </si>
  <si>
    <t>Falke</t>
  </si>
  <si>
    <t>Schantie</t>
  </si>
  <si>
    <t>Schwalbe</t>
  </si>
  <si>
    <t>Bestgarr</t>
  </si>
  <si>
    <t>Block- oder Scharnierverschluss</t>
  </si>
  <si>
    <t>Boogarr</t>
  </si>
  <si>
    <t>Deegarr</t>
  </si>
  <si>
    <t>Duegarr</t>
  </si>
  <si>
    <t>Felpgarr</t>
  </si>
  <si>
    <t>Felpteske</t>
  </si>
  <si>
    <t>Froggler</t>
  </si>
  <si>
    <t>Garr</t>
  </si>
  <si>
    <t>Gliksik</t>
  </si>
  <si>
    <t>Gnarrgarr</t>
  </si>
  <si>
    <t>Goldbeißer</t>
  </si>
  <si>
    <t>Kickgarr</t>
  </si>
  <si>
    <t>Metgarr</t>
  </si>
  <si>
    <t>Modsgarr</t>
  </si>
  <si>
    <t>Nargarr</t>
  </si>
  <si>
    <t>Scopgarr</t>
  </si>
  <si>
    <t>Munition-Typ 'Harpune' nicht in Munition-Feuerwaffen-Tabelle vorhanden (kein Preis in Quelle)</t>
  </si>
  <si>
    <t>Silberbeißer</t>
  </si>
  <si>
    <t>Slipgarr</t>
  </si>
  <si>
    <t>Tikgarr</t>
  </si>
  <si>
    <t>Bestskueek</t>
  </si>
  <si>
    <t>Blizskueek</t>
  </si>
  <si>
    <t>Booskueek</t>
  </si>
  <si>
    <t>Dueskueek</t>
  </si>
  <si>
    <t>Duetarskueek</t>
  </si>
  <si>
    <t>Kaliber 6 fuer 'Messingpatrone' nicht in Munition-Feuerwaffen-Tabelle vorhanden (kein Preis in Quelle)</t>
  </si>
  <si>
    <t>Fips</t>
  </si>
  <si>
    <t>Kaliber 5 fuer 'Messingpatrone' nicht in Munition-Feuerwaffen-Tabelle vorhanden (kein Preis in Quelle)</t>
  </si>
  <si>
    <t>Hydra</t>
  </si>
  <si>
    <t>Nackskueek</t>
  </si>
  <si>
    <t>Skueek</t>
  </si>
  <si>
    <t>Slipskueek</t>
  </si>
  <si>
    <t>Tarskueek</t>
  </si>
  <si>
    <t>Durass</t>
  </si>
  <si>
    <t>Exekutierer</t>
  </si>
  <si>
    <t>Irat</t>
  </si>
  <si>
    <t>Kaboom</t>
  </si>
  <si>
    <t>Kakrotz</t>
  </si>
  <si>
    <t>Metnar</t>
  </si>
  <si>
    <t>Scharwar</t>
  </si>
  <si>
    <t>Schopkrotz</t>
  </si>
  <si>
    <t>Blobschlopsch</t>
  </si>
  <si>
    <t>Boom</t>
  </si>
  <si>
    <t>Kenp</t>
  </si>
  <si>
    <t>Kok'sche</t>
  </si>
  <si>
    <t>Ork’sche</t>
  </si>
  <si>
    <t>Balrog</t>
  </si>
  <si>
    <t>Borstbüchse</t>
  </si>
  <si>
    <t>Eisenbeißer</t>
  </si>
  <si>
    <t>Fafnir</t>
  </si>
  <si>
    <t>Grimmbar</t>
  </si>
  <si>
    <t>Levitas</t>
  </si>
  <si>
    <t>Lindwurm</t>
  </si>
  <si>
    <t>Lohdrim</t>
  </si>
  <si>
    <t>Magmass</t>
  </si>
  <si>
    <t>Mjölnir</t>
  </si>
  <si>
    <t>Skorpion</t>
  </si>
  <si>
    <t>Smaug</t>
  </si>
  <si>
    <t>Stahlbeisser</t>
  </si>
  <si>
    <t>Wyvern</t>
  </si>
  <si>
    <t>Bifrost</t>
  </si>
  <si>
    <t>Drako</t>
  </si>
  <si>
    <t>Feuerspucker</t>
  </si>
  <si>
    <t>Wyrm</t>
  </si>
  <si>
    <t>RW-Mod</t>
  </si>
  <si>
    <t>Normal</t>
  </si>
  <si>
    <t>Spitzen-Modifikator</t>
  </si>
  <si>
    <t>Rassen-Spezial</t>
  </si>
  <si>
    <t>Spezial-Munition</t>
  </si>
  <si>
    <t>Bauart</t>
  </si>
  <si>
    <t>Schloss</t>
  </si>
  <si>
    <t>Lauf</t>
  </si>
  <si>
    <t>Munition</t>
  </si>
  <si>
    <t>Verfuegbarkeit (1-7)</t>
  </si>
  <si>
    <t>Gewehr</t>
  </si>
  <si>
    <t>Luntenschloss</t>
  </si>
  <si>
    <t>Glattlauf</t>
  </si>
  <si>
    <t>Schwer</t>
  </si>
  <si>
    <t>Langlauf</t>
  </si>
  <si>
    <t>Normal P</t>
  </si>
  <si>
    <t>Steinschloss</t>
  </si>
  <si>
    <t>Karabiner</t>
  </si>
  <si>
    <t>Nadelzündung</t>
  </si>
  <si>
    <t>Schlagbolzen</t>
  </si>
  <si>
    <t>Gezogen</t>
  </si>
  <si>
    <t>Schwer P</t>
  </si>
  <si>
    <t>Pocket Pistol</t>
  </si>
  <si>
    <t>Jagd</t>
  </si>
  <si>
    <t>Perkussionsschloss</t>
  </si>
  <si>
    <t>Präzisionsgewehr</t>
  </si>
  <si>
    <t>Karabiner VL</t>
  </si>
  <si>
    <t>Radschloss</t>
  </si>
  <si>
    <t>Donnerbüchse</t>
  </si>
  <si>
    <t>Doppelläufig</t>
  </si>
  <si>
    <t>Billig</t>
  </si>
  <si>
    <t>Schwere Hakenbüchse (Trolltöter)</t>
  </si>
  <si>
    <t>Böller</t>
  </si>
  <si>
    <t>Doppelläufig P</t>
  </si>
  <si>
    <t>Vierläufig P</t>
  </si>
  <si>
    <t>Mindeststärke</t>
  </si>
  <si>
    <t>1.Würfel</t>
  </si>
  <si>
    <t>2.Würfel</t>
  </si>
  <si>
    <t>Lohn/d</t>
  </si>
  <si>
    <t>Stahl/kg in D</t>
  </si>
  <si>
    <t>Holz/kg in D</t>
  </si>
  <si>
    <t>Gewicht Stahl in kg</t>
  </si>
  <si>
    <t>Gewicht Holz in kg</t>
  </si>
  <si>
    <t>Würfeltabelle</t>
  </si>
  <si>
    <t>Alle anderen</t>
  </si>
  <si>
    <t>Verftabelle</t>
  </si>
  <si>
    <t>W2</t>
  </si>
  <si>
    <t>W3</t>
  </si>
  <si>
    <t>Gob. Massenfabrikation</t>
  </si>
  <si>
    <t>Billig P</t>
  </si>
  <si>
    <t>Lademechanismus</t>
  </si>
  <si>
    <t>TYP</t>
  </si>
  <si>
    <t>Vierläufig</t>
  </si>
  <si>
    <t>Angepasst</t>
  </si>
  <si>
    <t>Perfekt Angepasst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</si>
</sst>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quot; kg&quot;"/>
    <numFmt numFmtId="165" formatCode="0&quot; mm&quot;"/>
    <numFmt numFmtId="166" formatCode="0.00&quot; D&quot;"/>
    <numFmt numFmtId="167" formatCode="0.0&quot; Tage&quot;"/>
  </numFmts>
  <fonts count="13">
    <font>
      <sz val="11"/>
      <color theme="1"/>
      <name val="Calibri"/>
    </font>
    <font>
      <b/>
      <sz val="11"/>
      <color theme="1"/>
      <name val="Calibri"/>
    </font>
    <font>
      <sz val="10"/>
      <color theme="1"/>
      <name val="Bookman Old Style"/>
    </font>
    <font>
      <sz val="10"/>
      <color rgb="FF000000"/>
      <name val="Bookman Old Style"/>
    </font>
    <font>
      <sz val="10"/>
      <name val="Bookman Old Style"/>
    </font>
    <font>
      <sz val="10"/>
      <color theme="3"/>
      <name val="Bookman Old Style"/>
    </font>
    <font>
      <b/>
      <sz val="10"/>
      <color theme="1"/>
      <name val="Bookman Old Style"/>
    </font>
    <font>
      <b/>
      <sz val="10"/>
      <color rgb="FFFFFFFF"/>
      <name val="Bookman Old Style"/>
    </font>
    <font>
      <sz val="10"/>
      <color theme="1"/>
      <name val="Arial Unicode MS"/>
    </font>
    <font>
      <sz val="11"/>
      <color theme="1"/>
      <name val="Calibri"/>
    </font>
    <font>
      <sz val="10"/>
      <color theme="1"/>
      <name val="Calibri"/>
    </font>
    <font>
      <sz val="9"/>
      <color theme="1"/>
      <name val="Calibri"/>
    </font>
    <font>
      <b/>
      <sz val="11"/>
      <color rgb="FFFFFFFF"/>
      <name val="Calibri"/>
    </font>
  </fonts>
  <fills count="3">
    <fill>
      <patternFill patternType="none"/>
    </fill>
    <fill>
      <patternFill patternType="gray125"/>
    </fill>
    <fill>
      <patternFill patternType="solid">
        <fgColor rgb="FF1F4E78"/>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163A5B"/>
      </left>
      <right/>
      <top style="thin">
        <color rgb="FF163A5B"/>
      </top>
      <bottom style="thin">
        <color rgb="FF163A5B"/>
      </bottom>
      <diagonal/>
    </border>
    <border>
      <left/>
      <right/>
      <top style="thin">
        <color rgb="FF163A5B"/>
      </top>
      <bottom style="thin">
        <color rgb="FF163A5B"/>
      </bottom>
      <diagonal/>
    </border>
    <border>
      <left/>
      <right style="thin">
        <color rgb="FF163A5B"/>
      </right>
      <top style="thin">
        <color rgb="FF163A5B"/>
      </top>
      <bottom style="thin">
        <color rgb="FF163A5B"/>
      </bottom>
      <diagonal/>
    </border>
  </borders>
  <cellStyleXfs count="1">
    <xf numFmtId="0" fontId="0" fillId="0" borderId="0"/>
  </cellStyleXfs>
  <cellXfs count="66">
    <xf numFmtId="0" fontId="0" fillId="0" borderId="0" xfId="0"/>
    <xf numFmtId="0" fontId="3" fillId="0" borderId="0" xfId="0" applyFont="1" applyAlignment="1">
      <alignment vertical="top"/>
    </xf>
    <xf numFmtId="0" fontId="2" fillId="0" borderId="0" xfId="0" applyFont="1" applyAlignment="1">
      <alignment vertical="top"/>
    </xf>
    <xf numFmtId="0" fontId="3" fillId="0" borderId="0" xfId="0" applyFont="1" applyAlignment="1">
      <alignment horizontal="left" vertical="top"/>
    </xf>
    <xf numFmtId="0" fontId="6" fillId="0" borderId="0" xfId="0" applyFont="1"/>
    <xf numFmtId="0" fontId="7"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horizontal="left" vertical="center"/>
    </xf>
    <xf numFmtId="0" fontId="2" fillId="0" borderId="0" xfId="0" applyFont="1"/>
    <xf numFmtId="0" fontId="0" fillId="0" borderId="0" xfId="0"/>
    <xf numFmtId="49" fontId="2" fillId="0" borderId="0" xfId="0" applyNumberFormat="1" applyFont="1"/>
    <xf numFmtId="49" fontId="2" fillId="0" borderId="0" xfId="0" applyNumberFormat="1" applyFont="1" applyAlignment="1">
      <alignment horizontal="left" vertical="center"/>
    </xf>
    <xf numFmtId="0" fontId="2" fillId="0" borderId="0" xfId="0" applyFont="1" applyAlignment="1">
      <alignment vertical="center"/>
    </xf>
    <xf numFmtId="49" fontId="2" fillId="0" borderId="0" xfId="0" applyNumberFormat="1" applyFont="1" applyAlignment="1">
      <alignment vertical="top"/>
    </xf>
    <xf numFmtId="49" fontId="3" fillId="0" borderId="0" xfId="0" applyNumberFormat="1" applyFont="1"/>
    <xf numFmtId="0" fontId="2" fillId="0" borderId="0" xfId="0" applyFont="1" applyAlignment="1">
      <alignment horizontal="left"/>
    </xf>
    <xf numFmtId="0" fontId="2" fillId="0" borderId="0" xfId="0" applyFont="1" applyAlignment="1">
      <alignment vertical="center"/>
    </xf>
    <xf numFmtId="0" fontId="2" fillId="0" borderId="0" xfId="0" applyFont="1"/>
    <xf numFmtId="49" fontId="2" fillId="0" borderId="0" xfId="0" applyNumberFormat="1" applyFont="1"/>
    <xf numFmtId="49" fontId="2" fillId="0" borderId="0" xfId="0" applyNumberFormat="1" applyFont="1" applyAlignment="1">
      <alignment vertical="center"/>
    </xf>
    <xf numFmtId="49" fontId="3" fillId="0" borderId="0" xfId="0" applyNumberFormat="1" applyFont="1" applyAlignment="1">
      <alignment vertical="center"/>
    </xf>
    <xf numFmtId="49" fontId="2" fillId="0" borderId="0" xfId="0" applyNumberFormat="1"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49" fontId="4" fillId="0" borderId="0" xfId="0" applyNumberFormat="1" applyFont="1" applyAlignment="1">
      <alignment horizontal="left" vertical="center"/>
    </xf>
    <xf numFmtId="0" fontId="8" fillId="0" borderId="0" xfId="0" applyFont="1" applyAlignment="1">
      <alignment vertical="center"/>
    </xf>
    <xf numFmtId="0" fontId="2" fillId="0" borderId="0" xfId="0" applyFont="1" applyAlignment="1">
      <alignment vertical="center" wrapText="1"/>
    </xf>
    <xf numFmtId="49" fontId="4" fillId="0" borderId="0" xfId="0" applyNumberFormat="1" applyFont="1" applyAlignment="1">
      <alignment vertical="center"/>
    </xf>
    <xf numFmtId="49" fontId="4" fillId="0" borderId="0" xfId="0" applyNumberFormat="1" applyFont="1" applyAlignment="1">
      <alignment vertical="center"/>
    </xf>
    <xf numFmtId="49" fontId="4" fillId="0" borderId="0" xfId="0" applyNumberFormat="1" applyFont="1" applyAlignment="1">
      <alignment horizontal="left"/>
    </xf>
    <xf numFmtId="49" fontId="2" fillId="0" borderId="0" xfId="0" applyNumberFormat="1" applyFont="1" applyAlignment="1">
      <alignment horizontal="left"/>
    </xf>
    <xf numFmtId="49" fontId="3" fillId="0" borderId="0" xfId="0" applyNumberFormat="1" applyFont="1" applyAlignment="1">
      <alignment vertical="top"/>
    </xf>
    <xf numFmtId="49" fontId="2" fillId="0" borderId="0" xfId="0" applyNumberFormat="1" applyFont="1" applyAlignment="1">
      <alignment horizontal="left" vertical="top"/>
    </xf>
    <xf numFmtId="49" fontId="4" fillId="0" borderId="0" xfId="0" applyNumberFormat="1" applyFont="1" applyAlignment="1">
      <alignment vertical="top"/>
    </xf>
    <xf numFmtId="49" fontId="4" fillId="0" borderId="0" xfId="0" applyNumberFormat="1" applyFont="1" applyAlignment="1">
      <alignment horizontal="left" vertical="center"/>
    </xf>
    <xf numFmtId="49" fontId="3" fillId="0" borderId="0" xfId="0" applyNumberFormat="1" applyFont="1" applyAlignment="1">
      <alignment vertical="center"/>
    </xf>
    <xf numFmtId="49" fontId="5" fillId="0" borderId="0" xfId="0" applyNumberFormat="1" applyFont="1" applyAlignment="1">
      <alignment vertical="top"/>
    </xf>
    <xf numFmtId="0" fontId="0" fillId="0" borderId="0" xfId="0" applyAlignment="1">
      <alignment vertical="top" wrapText="1"/>
    </xf>
    <xf numFmtId="0" fontId="0" fillId="0" borderId="0" xfId="0" applyAlignment="1">
      <alignment horizontal="left" vertical="center"/>
    </xf>
    <xf numFmtId="0" fontId="2" fillId="0" borderId="0" xfId="0" applyFont="1" applyAlignment="1">
      <alignment horizontal="left" vertical="center"/>
    </xf>
    <xf numFmtId="0" fontId="0" fillId="0" borderId="1" xfId="0" applyBorder="1"/>
    <xf numFmtId="0" fontId="1" fillId="0" borderId="1" xfId="0" applyFont="1" applyBorder="1" applyAlignment="1">
      <alignment vertical="top"/>
    </xf>
    <xf numFmtId="0" fontId="1" fillId="0" borderId="1" xfId="0" applyFont="1" applyBorder="1" applyAlignment="1">
      <alignment horizontal="center" vertical="top"/>
    </xf>
    <xf numFmtId="0" fontId="1" fillId="0" borderId="1" xfId="0" applyFont="1" applyBorder="1" applyAlignment="1">
      <alignment horizontal="right"/>
    </xf>
    <xf numFmtId="0" fontId="9" fillId="0" borderId="1" xfId="0" applyFont="1" applyBorder="1" applyAlignment="1">
      <alignment vertical="top"/>
    </xf>
    <xf numFmtId="0" fontId="10" fillId="0" borderId="1" xfId="0" applyFont="1" applyBorder="1"/>
    <xf numFmtId="0" fontId="9" fillId="0" borderId="1" xfId="0" applyFont="1" applyBorder="1" applyAlignment="1">
      <alignment horizontal="center" vertical="top"/>
    </xf>
    <xf numFmtId="3" fontId="9" fillId="0" borderId="1" xfId="0" applyNumberFormat="1" applyFont="1" applyBorder="1" applyAlignment="1">
      <alignment horizontal="right"/>
    </xf>
    <xf numFmtId="0" fontId="9" fillId="0" borderId="1" xfId="0" applyFont="1" applyBorder="1" applyAlignment="1">
      <alignment horizontal="right"/>
    </xf>
    <xf numFmtId="0" fontId="0" fillId="0" borderId="1" xfId="0" applyBorder="1" applyAlignment="1">
      <alignment horizontal="right" vertical="top"/>
    </xf>
    <xf numFmtId="0" fontId="11" fillId="0" borderId="1" xfId="0" applyFont="1" applyBorder="1"/>
    <xf numFmtId="0" fontId="0" fillId="0" borderId="1" xfId="0" applyBorder="1" applyAlignment="1">
      <alignment vertical="top"/>
    </xf>
    <xf numFmtId="0" fontId="0" fillId="0" borderId="1" xfId="0" applyBorder="1" applyAlignment="1">
      <alignment horizontal="right"/>
    </xf>
    <xf numFmtId="0" fontId="10" fillId="0" borderId="1" xfId="0" applyFont="1" applyBorder="1" applyAlignment="1">
      <alignment vertical="top"/>
    </xf>
    <xf numFmtId="0" fontId="9" fillId="0" borderId="0" xfId="0" applyFont="1" applyAlignment="1">
      <alignment horizontal="center" vertical="top"/>
    </xf>
    <xf numFmtId="0" fontId="12" fillId="2" borderId="2" xfId="0" applyNumberFormat="1" applyFont="1" applyFill="1" applyBorder="1" applyAlignment="1">
      <alignment horizontal="center" vertical="center" wrapText="1"/>
    </xf>
    <xf numFmtId="0" fontId="12" fillId="2" borderId="3" xfId="0" applyNumberFormat="1" applyFont="1" applyFill="1" applyBorder="1" applyAlignment="1">
      <alignment horizontal="center" vertical="center" wrapText="1"/>
    </xf>
    <xf numFmtId="0" fontId="12" fillId="2" borderId="4" xfId="0" applyNumberFormat="1" applyFont="1" applyFill="1" applyBorder="1" applyAlignment="1">
      <alignment horizontal="center" vertical="center" wrapText="1"/>
    </xf>
    <xf numFmtId="0" fontId="0" fillId="0" borderId="0" xfId="0" applyNumberFormat="1" applyFont="1" applyFill="1" applyBorder="1"/>
    <xf numFmtId="0" fontId="0" fillId="0" borderId="0" xfId="0" applyNumberFormat="1" applyFont="1" applyFill="1" applyBorder="1" applyAlignment="1">
      <alignment horizontal="left"/>
    </xf>
    <xf numFmtId="0" fontId="0" fillId="0" borderId="0" xfId="0" applyNumberFormat="1" applyFont="1" applyFill="1" applyBorder="1" applyAlignment="1">
      <alignment horizontal="right"/>
    </xf>
    <xf numFmtId="164" fontId="0" fillId="0" borderId="0" xfId="0" applyNumberFormat="1" applyFont="1" applyFill="1" applyBorder="1" applyAlignment="1">
      <alignment horizontal="right"/>
    </xf>
    <xf numFmtId="165" fontId="0" fillId="0" borderId="0" xfId="0" applyNumberFormat="1" applyFont="1" applyFill="1" applyBorder="1" applyAlignment="1">
      <alignment horizontal="right"/>
    </xf>
    <xf numFmtId="166" fontId="0" fillId="0" borderId="0" xfId="0" applyNumberFormat="1" applyFont="1" applyFill="1" applyBorder="1" applyAlignment="1">
      <alignment horizontal="right"/>
    </xf>
    <xf numFmtId="167" fontId="0" fillId="0" borderId="0" xfId="0" applyNumberFormat="1" applyFont="1" applyFill="1" applyBorder="1" applyAlignment="1">
      <alignment horizontal="right"/>
    </xf>
    <xf numFmtId="1" fontId="0" fillId="0" borderId="0" xfId="0" applyNumberFormat="1" applyFont="1" applyFill="1" applyBorder="1" applyAlignment="1">
      <alignment horizontal="right"/>
    </xf>
  </cellXfs>
  <cellStyles count="1">
    <cellStyle name="Standard"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36c9751148434f0d"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390525</xdr:colOff>
      <xdr:row>47</xdr:row>
      <xdr:rowOff>123825</xdr:rowOff>
    </xdr:to>
    <xdr:sp macro="" textlink="">
      <xdr:nvSpPr>
        <xdr:cNvPr id="1027" name="Text Box 3" hidden="1">
          <a:extLst>
            <a:ext uri="{FF2B5EF4-FFF2-40B4-BE49-F238E27FC236}">
              <a16:creationId xmlns:a16="http://schemas.microsoft.com/office/drawing/2014/main" id="{FF283D0A-1A95-37E5-5946-FB4B0DC0C3E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050" name="Text Box 2" hidden="1">
          <a:extLst>
            <a:ext uri="{FF2B5EF4-FFF2-40B4-BE49-F238E27FC236}">
              <a16:creationId xmlns:a16="http://schemas.microsoft.com/office/drawing/2014/main" id="{C4CEECCF-ED39-6D8C-35C9-0812FFEFC4D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3074" name="Text Box 2" hidden="1">
          <a:extLst>
            <a:ext uri="{FF2B5EF4-FFF2-40B4-BE49-F238E27FC236}">
              <a16:creationId xmlns:a16="http://schemas.microsoft.com/office/drawing/2014/main" id="{471B848C-C3CA-16E7-DEA5-781E6EA591F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4098" name="Text Box 2" hidden="1">
          <a:extLst>
            <a:ext uri="{FF2B5EF4-FFF2-40B4-BE49-F238E27FC236}">
              <a16:creationId xmlns:a16="http://schemas.microsoft.com/office/drawing/2014/main" id="{FD50AF26-81A7-E1A2-C7C4-C75237990FA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5122" name="Text Box 2" hidden="1">
          <a:extLst>
            <a:ext uri="{FF2B5EF4-FFF2-40B4-BE49-F238E27FC236}">
              <a16:creationId xmlns:a16="http://schemas.microsoft.com/office/drawing/2014/main" id="{F2B4F6BB-950B-9E79-E80F-B58B6920A4B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6146" name="Text Box 2" hidden="1">
          <a:extLst>
            <a:ext uri="{FF2B5EF4-FFF2-40B4-BE49-F238E27FC236}">
              <a16:creationId xmlns:a16="http://schemas.microsoft.com/office/drawing/2014/main" id="{701ACDF9-55F6-FBFE-E06F-91E1D5AEEC5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7170" name="Text Box 2" hidden="1">
          <a:extLst>
            <a:ext uri="{FF2B5EF4-FFF2-40B4-BE49-F238E27FC236}">
              <a16:creationId xmlns:a16="http://schemas.microsoft.com/office/drawing/2014/main" id="{C5279966-4495-5E89-1C69-CD8EE8904C4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8194" name="Text Box 2" hidden="1">
          <a:extLst>
            <a:ext uri="{FF2B5EF4-FFF2-40B4-BE49-F238E27FC236}">
              <a16:creationId xmlns:a16="http://schemas.microsoft.com/office/drawing/2014/main" id="{B7B2EC6C-DD4D-CEA2-EE7F-8454400800E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9218" name="Text Box 2" hidden="1">
          <a:extLst>
            <a:ext uri="{FF2B5EF4-FFF2-40B4-BE49-F238E27FC236}">
              <a16:creationId xmlns:a16="http://schemas.microsoft.com/office/drawing/2014/main" id="{F5332BB2-AB79-659B-ED8A-DD3D8C5697D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0243" name="Text Box 3" hidden="1">
          <a:extLst>
            <a:ext uri="{FF2B5EF4-FFF2-40B4-BE49-F238E27FC236}">
              <a16:creationId xmlns:a16="http://schemas.microsoft.com/office/drawing/2014/main" id="{22240B13-9EA3-3070-9AEE-08B5400916C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1266" name="Text Box 2" hidden="1">
          <a:extLst>
            <a:ext uri="{FF2B5EF4-FFF2-40B4-BE49-F238E27FC236}">
              <a16:creationId xmlns:a16="http://schemas.microsoft.com/office/drawing/2014/main" id="{2044F49F-2ED4-BBAE-84D7-BBEB0AA6FC7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2291" name="Text Box 3" hidden="1">
          <a:extLst>
            <a:ext uri="{FF2B5EF4-FFF2-40B4-BE49-F238E27FC236}">
              <a16:creationId xmlns:a16="http://schemas.microsoft.com/office/drawing/2014/main" id="{B1A89C46-6689-EB21-617A-8A04D834440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3314" name="Text Box 2" hidden="1">
          <a:extLst>
            <a:ext uri="{FF2B5EF4-FFF2-40B4-BE49-F238E27FC236}">
              <a16:creationId xmlns:a16="http://schemas.microsoft.com/office/drawing/2014/main" id="{C2F8EC1A-5E3B-508A-7B67-FFD1134A1C7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4338" name="Text Box 2" hidden="1">
          <a:extLst>
            <a:ext uri="{FF2B5EF4-FFF2-40B4-BE49-F238E27FC236}">
              <a16:creationId xmlns:a16="http://schemas.microsoft.com/office/drawing/2014/main" id="{1218499C-1FE7-0785-2FE2-64D3CDB3407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5362" name="Text Box 2" hidden="1">
          <a:extLst>
            <a:ext uri="{FF2B5EF4-FFF2-40B4-BE49-F238E27FC236}">
              <a16:creationId xmlns:a16="http://schemas.microsoft.com/office/drawing/2014/main" id="{94DF2EA5-6506-BD20-5978-723C4374BDE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6386" name="Text Box 2" hidden="1">
          <a:extLst>
            <a:ext uri="{FF2B5EF4-FFF2-40B4-BE49-F238E27FC236}">
              <a16:creationId xmlns:a16="http://schemas.microsoft.com/office/drawing/2014/main" id="{A43540EC-F9A5-5059-65CC-C9BA4F1E3E4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7410" name="Text Box 2" hidden="1">
          <a:extLst>
            <a:ext uri="{FF2B5EF4-FFF2-40B4-BE49-F238E27FC236}">
              <a16:creationId xmlns:a16="http://schemas.microsoft.com/office/drawing/2014/main" id="{EE5E178E-39AD-5C62-DF1C-84F34BBCFCA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8434" name="Text Box 2" hidden="1">
          <a:extLst>
            <a:ext uri="{FF2B5EF4-FFF2-40B4-BE49-F238E27FC236}">
              <a16:creationId xmlns:a16="http://schemas.microsoft.com/office/drawing/2014/main" id="{9B393A65-A6E6-D3D7-3242-8FC863ED215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19458" name="Text Box 2" hidden="1">
          <a:extLst>
            <a:ext uri="{FF2B5EF4-FFF2-40B4-BE49-F238E27FC236}">
              <a16:creationId xmlns:a16="http://schemas.microsoft.com/office/drawing/2014/main" id="{D2703432-EAEF-4BFE-99EA-F8CA74BE719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0482" name="Text Box 2" hidden="1">
          <a:extLst>
            <a:ext uri="{FF2B5EF4-FFF2-40B4-BE49-F238E27FC236}">
              <a16:creationId xmlns:a16="http://schemas.microsoft.com/office/drawing/2014/main" id="{7241E1F8-41E2-42A9-3F66-18B879D0A4C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142875</xdr:colOff>
      <xdr:row>50</xdr:row>
      <xdr:rowOff>0</xdr:rowOff>
    </xdr:to>
    <xdr:sp macro="" textlink="">
      <xdr:nvSpPr>
        <xdr:cNvPr id="21506" name="Text Box 2" hidden="1">
          <a:extLst>
            <a:ext uri="{FF2B5EF4-FFF2-40B4-BE49-F238E27FC236}">
              <a16:creationId xmlns:a16="http://schemas.microsoft.com/office/drawing/2014/main" id="{3D2183FD-7592-5F23-9981-B1747419615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2530" name="Text Box 2" hidden="1">
          <a:extLst>
            <a:ext uri="{FF2B5EF4-FFF2-40B4-BE49-F238E27FC236}">
              <a16:creationId xmlns:a16="http://schemas.microsoft.com/office/drawing/2014/main" id="{80799A39-8A08-D01C-9D0C-AA26CFF4C1E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3554" name="Text Box 2" hidden="1">
          <a:extLst>
            <a:ext uri="{FF2B5EF4-FFF2-40B4-BE49-F238E27FC236}">
              <a16:creationId xmlns:a16="http://schemas.microsoft.com/office/drawing/2014/main" id="{AC73C3DA-E6A2-9C77-7CBA-86466C681CE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4578" name="Text Box 2" hidden="1">
          <a:extLst>
            <a:ext uri="{FF2B5EF4-FFF2-40B4-BE49-F238E27FC236}">
              <a16:creationId xmlns:a16="http://schemas.microsoft.com/office/drawing/2014/main" id="{1AC658CC-9213-529D-3E86-25987CCBCDC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50</xdr:row>
      <xdr:rowOff>0</xdr:rowOff>
    </xdr:to>
    <xdr:sp macro="" textlink="">
      <xdr:nvSpPr>
        <xdr:cNvPr id="25602" name="Text Box 2" hidden="1">
          <a:extLst>
            <a:ext uri="{FF2B5EF4-FFF2-40B4-BE49-F238E27FC236}">
              <a16:creationId xmlns:a16="http://schemas.microsoft.com/office/drawing/2014/main" id="{4F250FAD-B94D-6858-019E-CAF63ECE37B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Claude Review" id="{BAEBAE8A-46B6-8192-0CED-924DE68702D9}"/>
  <xltc:person displayName="Claude Review" id="{3FD75ECF-F8E5-06B4-3A82-783CB96B30AB}"/>
  <xltc:person displayName="Claude Review" id="{1E94466C-2870-8301-FFCE-1000A0694702}"/>
  <xltc:person displayName="Claude Review" id="{499DE3DF-5C21-BA20-ED5A-2D2612DBFA73}"/>
  <xltc:person displayName="Claude Review" id="{B0152701-6FA0-29AC-B8F8-980402963BA9}"/>
  <xltc:person displayName="Claude Review" id="{3553B32A-394B-02EE-F4DF-8F0D71872279}"/>
  <xltc:person displayName="Claude Review" id="{DEFC8407-5FF5-59BD-886F-BECC5732C03B}"/>
  <xltc:person displayName="Claude Review" id="{D3DF580F-7D1E-50B5-8119-EC7230EBE79C}"/>
  <xltc:person displayName="Claude Review" id="{EDD615E6-A64F-4364-055B-3705ABE2A931}"/>
  <xltc:person displayName="Claude Review" id="{444CA672-B1F3-B253-DA7D-BB4A2D8BC2D1}"/>
  <xltc:person displayName="Claude Review" id="{ADB53D01-F648-E827-5826-98DC8DF7E356}"/>
  <xltc:person displayName="Claude Review" id="{C1EA82D3-C0DE-8DC3-4FDF-BF6D0E6A4F42}"/>
  <xltc:person displayName="Claude Review" id="{029A5CF1-4F1E-E688-ACA3-3FC9763BD921}"/>
  <xltc:person displayName="Claude Review" id="{DAEE25E6-4FA2-3FB1-4077-DA39261A853D}"/>
  <xltc:person displayName="Claude Review" id="{442630AD-67DD-D453-F1D3-7878BF5D315A}"/>
  <xltc:person displayName="Claude Review" id="{77C6D6A2-E5D6-3A28-5DCA-802E4BE9D26F}"/>
  <xltc:person displayName="Claude Review" id="{09CAE979-4B6D-7928-8485-EF0620518549}"/>
  <xltc:person displayName="Claude Review" id="{F28E988A-3BF8-B9FE-22E8-E74BC1160826}"/>
  <xltc:person displayName="Claude Review" id="{AF69B1E7-4297-5B9B-E665-91923DF2D497}"/>
  <xltc:person displayName="Claude Review" id="{7076E739-F1EF-D5D4-4078-194BBB0D0E63}"/>
  <xltc:person displayName="Claude Review" id="{B664D246-FE4E-CE6A-36ED-B25F84527A52}"/>
  <xltc:person displayName="Claude Review" id="{67EA03FD-F70A-476B-6AC8-4735C163A956}"/>
  <xltc:person displayName="Claude Review" id="{7CFB324C-C486-6484-9417-8506F0C38656}"/>
  <xltc:person displayName="Claude Review" id="{94A2EB2B-E2C5-65A3-F6EA-3884FB7A6986}"/>
  <xltc:person displayName="Claude Review" id="{B372E81D-957E-23F8-0F6F-777E64FC194C}"/>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639"/>
  <sheetViews>
    <sheetView tabSelected="1" workbookViewId="0"/>
  </sheetViews>
  <sheetFormatPr baseColWidth="10" defaultColWidth="9.140625" defaultRowHeight="15"/>
  <cols>
    <col min="1" max="1" width="25.7109375" style="7" customWidth="1"/>
    <col min="2" max="2" width="19" style="8" customWidth="1"/>
    <col min="3" max="3" width="39.7109375" style="10" customWidth="1"/>
    <col min="4" max="4" width="9.140625" style="8" customWidth="1"/>
    <col min="5" max="5" width="30.85546875" style="8" customWidth="1"/>
    <col min="6" max="6" width="12.5703125" style="8" customWidth="1"/>
    <col min="7" max="11" width="9.140625" style="8" customWidth="1"/>
    <col min="12" max="12" width="9.140625" style="7" customWidth="1"/>
    <col min="13" max="22" width="9.140625" style="8" customWidth="1"/>
    <col min="23" max="16384" width="9.140625" style="8"/>
  </cols>
  <sheetData>
    <row r="1" spans="1:17" ht="15.75" customHeight="1">
      <c r="A1" s="7" t="s">
        <v>0</v>
      </c>
      <c r="B1" s="8" t="s">
        <v>1</v>
      </c>
      <c r="C1" s="10" t="s">
        <v>2</v>
      </c>
      <c r="D1" s="8" t="s">
        <v>3</v>
      </c>
      <c r="E1" s="8" t="s">
        <v>4</v>
      </c>
      <c r="F1" s="8" t="s">
        <v>5</v>
      </c>
      <c r="G1" s="8" t="s">
        <v>6</v>
      </c>
      <c r="H1" s="8" t="s">
        <v>7</v>
      </c>
      <c r="I1" s="8" t="s">
        <v>8</v>
      </c>
      <c r="J1" s="8" t="s">
        <v>9</v>
      </c>
      <c r="K1" s="8" t="s">
        <v>10</v>
      </c>
      <c r="L1" s="38" t="s">
        <v>11</v>
      </c>
      <c r="M1" t="s">
        <v>12</v>
      </c>
      <c r="O1" t="s">
        <v>13</v>
      </c>
      <c r="P1" t="s">
        <v>14</v>
      </c>
      <c r="Q1" t="s">
        <v>15</v>
      </c>
    </row>
    <row r="2" spans="1:17" ht="15.75" customHeight="1">
      <c r="A2" s="7" t="s">
        <v>16</v>
      </c>
      <c r="B2" s="8" t="s">
        <v>17</v>
      </c>
      <c r="C2" s="10" t="s">
        <v>18</v>
      </c>
      <c r="F2" t="s">
        <v>19</v>
      </c>
      <c r="G2" s="8" t="s">
        <v>20</v>
      </c>
      <c r="J2" t="s">
        <v>21</v>
      </c>
      <c r="K2">
        <v>1</v>
      </c>
      <c r="L2" s="38" t="s">
        <v>22</v>
      </c>
      <c r="P2" t="s">
        <v>23</v>
      </c>
      <c r="Q2" t="s">
        <v>24</v>
      </c>
    </row>
    <row r="3" spans="1:17" ht="15.75" customHeight="1">
      <c r="A3" s="7" t="s">
        <v>25</v>
      </c>
      <c r="B3" s="8" t="s">
        <v>17</v>
      </c>
      <c r="C3" s="10" t="s">
        <v>26</v>
      </c>
      <c r="F3" t="s">
        <v>19</v>
      </c>
      <c r="G3" s="8" t="s">
        <v>20</v>
      </c>
      <c r="J3" t="s">
        <v>21</v>
      </c>
      <c r="K3">
        <v>2</v>
      </c>
      <c r="L3" s="38" t="s">
        <v>22</v>
      </c>
      <c r="P3" t="s">
        <v>23</v>
      </c>
      <c r="Q3" t="s">
        <v>27</v>
      </c>
    </row>
    <row r="4" spans="1:17" ht="15.75" customHeight="1">
      <c r="A4" s="7" t="s">
        <v>28</v>
      </c>
      <c r="B4" s="8" t="s">
        <v>17</v>
      </c>
      <c r="C4" s="10" t="s">
        <v>29</v>
      </c>
      <c r="F4" t="s">
        <v>19</v>
      </c>
      <c r="G4" s="8" t="s">
        <v>20</v>
      </c>
      <c r="J4" t="s">
        <v>21</v>
      </c>
      <c r="K4">
        <v>3</v>
      </c>
      <c r="L4" s="38" t="s">
        <v>22</v>
      </c>
      <c r="P4" t="s">
        <v>23</v>
      </c>
      <c r="Q4" t="s">
        <v>30</v>
      </c>
    </row>
    <row r="5" spans="1:17" ht="15.75" customHeight="1">
      <c r="A5" s="7" t="s">
        <v>31</v>
      </c>
      <c r="B5" s="8" t="s">
        <v>17</v>
      </c>
      <c r="C5" s="10" t="s">
        <v>32</v>
      </c>
      <c r="F5" t="s">
        <v>19</v>
      </c>
      <c r="G5" s="8" t="s">
        <v>20</v>
      </c>
      <c r="J5" t="s">
        <v>21</v>
      </c>
      <c r="K5">
        <v>4</v>
      </c>
      <c r="L5" s="38" t="s">
        <v>22</v>
      </c>
      <c r="P5" t="s">
        <v>23</v>
      </c>
      <c r="Q5" t="s">
        <v>33</v>
      </c>
    </row>
    <row r="6" spans="1:17" ht="15.75" customHeight="1">
      <c r="A6" s="7" t="s">
        <v>34</v>
      </c>
      <c r="B6" s="8" t="s">
        <v>17</v>
      </c>
      <c r="C6" s="10" t="s">
        <v>35</v>
      </c>
      <c r="F6" t="s">
        <v>19</v>
      </c>
      <c r="G6" s="8" t="s">
        <v>20</v>
      </c>
      <c r="J6" t="s">
        <v>21</v>
      </c>
      <c r="K6">
        <v>5</v>
      </c>
      <c r="L6" s="38" t="s">
        <v>22</v>
      </c>
      <c r="P6" t="s">
        <v>23</v>
      </c>
      <c r="Q6" t="s">
        <v>36</v>
      </c>
    </row>
    <row r="7" spans="1:17" ht="15.75" customHeight="1">
      <c r="A7" s="7" t="s">
        <v>37</v>
      </c>
      <c r="B7" s="8" t="s">
        <v>17</v>
      </c>
      <c r="C7" s="10" t="s">
        <v>38</v>
      </c>
      <c r="F7" t="s">
        <v>19</v>
      </c>
      <c r="G7" s="8" t="s">
        <v>20</v>
      </c>
      <c r="J7" t="s">
        <v>21</v>
      </c>
      <c r="K7">
        <v>5</v>
      </c>
      <c r="L7" s="38" t="s">
        <v>22</v>
      </c>
      <c r="P7" t="s">
        <v>23</v>
      </c>
      <c r="Q7" t="s">
        <v>39</v>
      </c>
    </row>
    <row r="8" spans="1:17" ht="15.75" customHeight="1">
      <c r="A8" s="7" t="s">
        <v>40</v>
      </c>
      <c r="B8" s="8" t="s">
        <v>17</v>
      </c>
      <c r="C8" s="10" t="s">
        <v>41</v>
      </c>
      <c r="F8" t="s">
        <v>19</v>
      </c>
      <c r="G8" s="8" t="s">
        <v>20</v>
      </c>
      <c r="J8" t="s">
        <v>21</v>
      </c>
      <c r="K8">
        <v>5</v>
      </c>
      <c r="L8" s="38" t="s">
        <v>22</v>
      </c>
      <c r="P8" t="s">
        <v>23</v>
      </c>
      <c r="Q8" t="s">
        <v>42</v>
      </c>
    </row>
    <row r="9" spans="1:17" ht="15.75" customHeight="1">
      <c r="A9" s="7" t="s">
        <v>43</v>
      </c>
      <c r="B9" s="8" t="s">
        <v>17</v>
      </c>
      <c r="C9" s="10" t="s">
        <v>44</v>
      </c>
      <c r="F9" t="s">
        <v>19</v>
      </c>
      <c r="G9" s="8" t="s">
        <v>20</v>
      </c>
      <c r="J9" t="s">
        <v>21</v>
      </c>
      <c r="K9">
        <v>6</v>
      </c>
      <c r="L9" s="38" t="s">
        <v>22</v>
      </c>
      <c r="P9" t="s">
        <v>23</v>
      </c>
      <c r="Q9" t="s">
        <v>45</v>
      </c>
    </row>
    <row r="10" spans="1:17" ht="15.75" customHeight="1">
      <c r="A10" s="7" t="s">
        <v>46</v>
      </c>
      <c r="B10" s="8" t="s">
        <v>17</v>
      </c>
      <c r="C10" s="10" t="s">
        <v>47</v>
      </c>
      <c r="F10" t="s">
        <v>19</v>
      </c>
      <c r="G10" s="8" t="s">
        <v>20</v>
      </c>
      <c r="J10" t="s">
        <v>21</v>
      </c>
      <c r="K10">
        <v>6</v>
      </c>
      <c r="L10" s="38" t="s">
        <v>22</v>
      </c>
      <c r="P10" t="s">
        <v>23</v>
      </c>
      <c r="Q10" t="s">
        <v>48</v>
      </c>
    </row>
    <row r="11" spans="1:17" ht="15.75" customHeight="1">
      <c r="A11" s="7" t="s">
        <v>49</v>
      </c>
      <c r="B11" s="8" t="s">
        <v>17</v>
      </c>
      <c r="C11" s="10" t="s">
        <v>50</v>
      </c>
      <c r="F11" t="s">
        <v>19</v>
      </c>
      <c r="G11" s="8" t="s">
        <v>20</v>
      </c>
      <c r="J11" t="s">
        <v>21</v>
      </c>
      <c r="K11">
        <v>7</v>
      </c>
      <c r="L11" s="38" t="s">
        <v>22</v>
      </c>
      <c r="P11" t="s">
        <v>23</v>
      </c>
      <c r="Q11" t="s">
        <v>51</v>
      </c>
    </row>
    <row r="12" spans="1:17" ht="15.75" customHeight="1">
      <c r="A12" s="7" t="s">
        <v>52</v>
      </c>
      <c r="B12" s="8" t="s">
        <v>17</v>
      </c>
      <c r="C12" s="10" t="s">
        <v>53</v>
      </c>
      <c r="F12" t="s">
        <v>54</v>
      </c>
      <c r="G12" s="8" t="s">
        <v>20</v>
      </c>
      <c r="J12" t="s">
        <v>21</v>
      </c>
      <c r="K12">
        <v>1</v>
      </c>
      <c r="L12" s="38" t="s">
        <v>22</v>
      </c>
      <c r="P12" t="s">
        <v>55</v>
      </c>
      <c r="Q12" t="s">
        <v>56</v>
      </c>
    </row>
    <row r="13" spans="1:17" ht="15.75" customHeight="1">
      <c r="A13" s="7" t="s">
        <v>57</v>
      </c>
      <c r="B13" s="8" t="s">
        <v>17</v>
      </c>
      <c r="C13" s="10" t="s">
        <v>58</v>
      </c>
      <c r="F13" t="s">
        <v>54</v>
      </c>
      <c r="G13" s="8" t="s">
        <v>20</v>
      </c>
      <c r="J13" t="s">
        <v>21</v>
      </c>
      <c r="K13">
        <v>2</v>
      </c>
      <c r="L13" s="38" t="s">
        <v>22</v>
      </c>
      <c r="P13" t="s">
        <v>55</v>
      </c>
      <c r="Q13" t="s">
        <v>59</v>
      </c>
    </row>
    <row r="14" spans="1:17" ht="15.75" customHeight="1">
      <c r="A14" s="7" t="s">
        <v>60</v>
      </c>
      <c r="B14" s="8" t="s">
        <v>17</v>
      </c>
      <c r="C14" s="10" t="s">
        <v>61</v>
      </c>
      <c r="F14" t="s">
        <v>54</v>
      </c>
      <c r="G14" s="8" t="s">
        <v>20</v>
      </c>
      <c r="J14" t="s">
        <v>21</v>
      </c>
      <c r="K14">
        <v>2</v>
      </c>
      <c r="L14" s="38" t="s">
        <v>22</v>
      </c>
      <c r="P14" t="s">
        <v>55</v>
      </c>
      <c r="Q14" t="s">
        <v>62</v>
      </c>
    </row>
    <row r="15" spans="1:17" ht="15.75" customHeight="1">
      <c r="A15" s="7" t="s">
        <v>63</v>
      </c>
      <c r="B15" s="8" t="s">
        <v>17</v>
      </c>
      <c r="C15" s="10" t="s">
        <v>64</v>
      </c>
      <c r="F15" t="s">
        <v>54</v>
      </c>
      <c r="G15" s="8" t="s">
        <v>20</v>
      </c>
      <c r="J15" t="s">
        <v>21</v>
      </c>
      <c r="K15">
        <v>3</v>
      </c>
      <c r="L15" s="38" t="s">
        <v>22</v>
      </c>
      <c r="P15" t="s">
        <v>55</v>
      </c>
      <c r="Q15" t="s">
        <v>65</v>
      </c>
    </row>
    <row r="16" spans="1:17" ht="15.75" customHeight="1">
      <c r="A16" s="7" t="s">
        <v>66</v>
      </c>
      <c r="B16" s="8" t="s">
        <v>17</v>
      </c>
      <c r="C16" s="10" t="s">
        <v>67</v>
      </c>
      <c r="F16" t="s">
        <v>54</v>
      </c>
      <c r="G16" s="8" t="s">
        <v>20</v>
      </c>
      <c r="J16" t="s">
        <v>21</v>
      </c>
      <c r="K16">
        <v>4</v>
      </c>
      <c r="L16" s="38" t="s">
        <v>22</v>
      </c>
      <c r="P16" t="s">
        <v>55</v>
      </c>
      <c r="Q16" t="s">
        <v>68</v>
      </c>
    </row>
    <row r="17" spans="1:17" ht="15.75" customHeight="1">
      <c r="A17" s="7" t="s">
        <v>69</v>
      </c>
      <c r="B17" s="8" t="s">
        <v>17</v>
      </c>
      <c r="C17" s="10" t="s">
        <v>70</v>
      </c>
      <c r="F17" t="s">
        <v>54</v>
      </c>
      <c r="G17" s="8" t="s">
        <v>20</v>
      </c>
      <c r="J17" t="s">
        <v>21</v>
      </c>
      <c r="K17">
        <v>5</v>
      </c>
      <c r="L17" s="38" t="s">
        <v>22</v>
      </c>
      <c r="P17" t="s">
        <v>55</v>
      </c>
      <c r="Q17" t="s">
        <v>71</v>
      </c>
    </row>
    <row r="18" spans="1:17" ht="15.75" customHeight="1">
      <c r="A18" s="7" t="s">
        <v>72</v>
      </c>
      <c r="B18" s="8" t="s">
        <v>17</v>
      </c>
      <c r="C18" s="10" t="s">
        <v>73</v>
      </c>
      <c r="F18" t="s">
        <v>54</v>
      </c>
      <c r="G18" s="8" t="s">
        <v>20</v>
      </c>
      <c r="J18" t="s">
        <v>21</v>
      </c>
      <c r="K18">
        <v>5</v>
      </c>
      <c r="L18" s="38" t="s">
        <v>22</v>
      </c>
      <c r="P18" t="s">
        <v>55</v>
      </c>
      <c r="Q18" t="s">
        <v>74</v>
      </c>
    </row>
    <row r="19" spans="1:17" ht="15.75" customHeight="1">
      <c r="A19" s="7" t="s">
        <v>75</v>
      </c>
      <c r="B19" s="8" t="s">
        <v>17</v>
      </c>
      <c r="C19" s="10" t="s">
        <v>76</v>
      </c>
      <c r="F19" t="s">
        <v>54</v>
      </c>
      <c r="G19" s="8" t="s">
        <v>20</v>
      </c>
      <c r="J19" t="s">
        <v>21</v>
      </c>
      <c r="K19">
        <v>5</v>
      </c>
      <c r="L19" s="38" t="s">
        <v>22</v>
      </c>
      <c r="P19" t="s">
        <v>55</v>
      </c>
      <c r="Q19" t="s">
        <v>77</v>
      </c>
    </row>
    <row r="20" spans="1:17" ht="15.75" customHeight="1">
      <c r="A20" s="7" t="s">
        <v>78</v>
      </c>
      <c r="B20" s="8" t="s">
        <v>17</v>
      </c>
      <c r="C20" s="10" t="s">
        <v>79</v>
      </c>
      <c r="F20" t="s">
        <v>54</v>
      </c>
      <c r="G20" s="8" t="s">
        <v>20</v>
      </c>
      <c r="J20" t="s">
        <v>21</v>
      </c>
      <c r="K20">
        <v>6</v>
      </c>
      <c r="L20" s="38" t="s">
        <v>22</v>
      </c>
      <c r="P20" t="s">
        <v>55</v>
      </c>
      <c r="Q20" t="s">
        <v>80</v>
      </c>
    </row>
    <row r="21" spans="1:17" ht="15.75" customHeight="1">
      <c r="A21" s="7" t="s">
        <v>81</v>
      </c>
      <c r="B21" s="8" t="s">
        <v>17</v>
      </c>
      <c r="C21" s="10" t="s">
        <v>82</v>
      </c>
      <c r="F21" t="s">
        <v>54</v>
      </c>
      <c r="G21" s="8" t="s">
        <v>20</v>
      </c>
      <c r="H21" s="7"/>
      <c r="I21" s="7"/>
      <c r="J21" t="s">
        <v>21</v>
      </c>
      <c r="K21">
        <v>6</v>
      </c>
      <c r="L21" s="38" t="s">
        <v>22</v>
      </c>
      <c r="P21" t="s">
        <v>55</v>
      </c>
      <c r="Q21" t="s">
        <v>83</v>
      </c>
    </row>
    <row r="22" spans="1:17" ht="15.75" customHeight="1">
      <c r="A22" s="7" t="s">
        <v>84</v>
      </c>
      <c r="B22" s="8" t="s">
        <v>17</v>
      </c>
      <c r="C22" s="10" t="s">
        <v>85</v>
      </c>
      <c r="F22" t="s">
        <v>54</v>
      </c>
      <c r="G22" s="8" t="s">
        <v>20</v>
      </c>
      <c r="J22" t="s">
        <v>21</v>
      </c>
      <c r="K22">
        <v>7</v>
      </c>
      <c r="L22" s="38" t="s">
        <v>22</v>
      </c>
      <c r="P22" t="s">
        <v>55</v>
      </c>
      <c r="Q22" t="s">
        <v>86</v>
      </c>
    </row>
    <row r="23" spans="1:17" ht="15.75" customHeight="1">
      <c r="A23" s="7" t="s">
        <v>87</v>
      </c>
      <c r="B23" s="8" t="s">
        <v>17</v>
      </c>
      <c r="C23" s="10" t="s">
        <v>88</v>
      </c>
      <c r="F23" t="s">
        <v>89</v>
      </c>
      <c r="G23" s="8" t="s">
        <v>20</v>
      </c>
      <c r="J23" t="s">
        <v>21</v>
      </c>
      <c r="K23">
        <v>1</v>
      </c>
      <c r="L23" s="38" t="s">
        <v>22</v>
      </c>
      <c r="P23" t="s">
        <v>90</v>
      </c>
      <c r="Q23" t="s">
        <v>91</v>
      </c>
    </row>
    <row r="24" spans="1:17" ht="15.75" customHeight="1">
      <c r="A24" s="7" t="s">
        <v>92</v>
      </c>
      <c r="B24" s="8" t="s">
        <v>17</v>
      </c>
      <c r="C24" s="10" t="s">
        <v>93</v>
      </c>
      <c r="F24" t="s">
        <v>89</v>
      </c>
      <c r="G24" s="8" t="s">
        <v>20</v>
      </c>
      <c r="J24" t="s">
        <v>21</v>
      </c>
      <c r="K24">
        <v>2</v>
      </c>
      <c r="L24" s="38" t="s">
        <v>22</v>
      </c>
      <c r="P24" t="s">
        <v>90</v>
      </c>
      <c r="Q24" t="s">
        <v>94</v>
      </c>
    </row>
    <row r="25" spans="1:17" ht="15.75" customHeight="1">
      <c r="A25" s="7" t="s">
        <v>95</v>
      </c>
      <c r="B25" s="8" t="s">
        <v>17</v>
      </c>
      <c r="C25" s="10" t="s">
        <v>96</v>
      </c>
      <c r="F25" t="s">
        <v>89</v>
      </c>
      <c r="G25" s="8" t="s">
        <v>20</v>
      </c>
      <c r="J25" t="s">
        <v>21</v>
      </c>
      <c r="K25">
        <v>2</v>
      </c>
      <c r="L25" s="38" t="s">
        <v>22</v>
      </c>
      <c r="P25" t="s">
        <v>90</v>
      </c>
      <c r="Q25" t="s">
        <v>97</v>
      </c>
    </row>
    <row r="26" spans="1:17" ht="15.75" customHeight="1">
      <c r="A26" s="7" t="s">
        <v>98</v>
      </c>
      <c r="B26" s="8" t="s">
        <v>17</v>
      </c>
      <c r="C26" s="10" t="s">
        <v>99</v>
      </c>
      <c r="F26" t="s">
        <v>89</v>
      </c>
      <c r="G26" s="8" t="s">
        <v>20</v>
      </c>
      <c r="J26" t="s">
        <v>21</v>
      </c>
      <c r="K26">
        <v>3</v>
      </c>
      <c r="L26" s="38" t="s">
        <v>22</v>
      </c>
      <c r="P26" t="s">
        <v>90</v>
      </c>
      <c r="Q26" t="s">
        <v>100</v>
      </c>
    </row>
    <row r="27" spans="1:17" ht="15.75" customHeight="1">
      <c r="A27" s="7" t="s">
        <v>101</v>
      </c>
      <c r="B27" s="8" t="s">
        <v>17</v>
      </c>
      <c r="C27" s="10" t="s">
        <v>102</v>
      </c>
      <c r="F27" t="s">
        <v>89</v>
      </c>
      <c r="G27" s="8" t="s">
        <v>20</v>
      </c>
      <c r="J27" t="s">
        <v>21</v>
      </c>
      <c r="K27">
        <v>4</v>
      </c>
      <c r="L27" s="38" t="s">
        <v>22</v>
      </c>
      <c r="P27" t="s">
        <v>90</v>
      </c>
      <c r="Q27" t="s">
        <v>103</v>
      </c>
    </row>
    <row r="28" spans="1:17" ht="15.75" customHeight="1">
      <c r="A28" s="7" t="s">
        <v>104</v>
      </c>
      <c r="B28" s="8" t="s">
        <v>17</v>
      </c>
      <c r="C28" s="10" t="s">
        <v>105</v>
      </c>
      <c r="F28" t="s">
        <v>89</v>
      </c>
      <c r="G28" s="8" t="s">
        <v>20</v>
      </c>
      <c r="J28" t="s">
        <v>21</v>
      </c>
      <c r="K28">
        <v>5</v>
      </c>
      <c r="L28" s="38" t="s">
        <v>22</v>
      </c>
      <c r="P28" t="s">
        <v>90</v>
      </c>
      <c r="Q28" t="s">
        <v>106</v>
      </c>
    </row>
    <row r="29" spans="1:17" ht="15.75" customHeight="1">
      <c r="A29" s="7" t="s">
        <v>107</v>
      </c>
      <c r="B29" s="8" t="s">
        <v>17</v>
      </c>
      <c r="C29" s="10" t="s">
        <v>108</v>
      </c>
      <c r="F29" t="s">
        <v>89</v>
      </c>
      <c r="G29" s="8" t="s">
        <v>20</v>
      </c>
      <c r="J29" t="s">
        <v>21</v>
      </c>
      <c r="K29">
        <v>5</v>
      </c>
      <c r="L29" s="38" t="s">
        <v>22</v>
      </c>
      <c r="P29" t="s">
        <v>90</v>
      </c>
      <c r="Q29" t="s">
        <v>109</v>
      </c>
    </row>
    <row r="30" spans="1:17" ht="15.75" customHeight="1">
      <c r="A30" s="7" t="s">
        <v>110</v>
      </c>
      <c r="B30" s="8" t="s">
        <v>17</v>
      </c>
      <c r="C30" s="10" t="s">
        <v>111</v>
      </c>
      <c r="F30" t="s">
        <v>89</v>
      </c>
      <c r="G30" s="8" t="s">
        <v>20</v>
      </c>
      <c r="J30" t="s">
        <v>21</v>
      </c>
      <c r="K30">
        <v>5</v>
      </c>
      <c r="L30" s="38" t="s">
        <v>22</v>
      </c>
      <c r="P30" t="s">
        <v>90</v>
      </c>
      <c r="Q30" t="s">
        <v>112</v>
      </c>
    </row>
    <row r="31" spans="1:17" ht="15.75" customHeight="1">
      <c r="A31" s="7" t="s">
        <v>113</v>
      </c>
      <c r="B31" s="8" t="s">
        <v>17</v>
      </c>
      <c r="C31" s="10" t="s">
        <v>114</v>
      </c>
      <c r="F31" t="s">
        <v>89</v>
      </c>
      <c r="G31" s="8" t="s">
        <v>20</v>
      </c>
      <c r="J31" t="s">
        <v>21</v>
      </c>
      <c r="K31">
        <v>6</v>
      </c>
      <c r="L31" s="38" t="s">
        <v>22</v>
      </c>
      <c r="P31" t="s">
        <v>90</v>
      </c>
      <c r="Q31" t="s">
        <v>115</v>
      </c>
    </row>
    <row r="32" spans="1:17" ht="15.75" customHeight="1">
      <c r="A32" s="7" t="s">
        <v>116</v>
      </c>
      <c r="B32" s="8" t="s">
        <v>17</v>
      </c>
      <c r="C32" s="10" t="s">
        <v>117</v>
      </c>
      <c r="F32" t="s">
        <v>89</v>
      </c>
      <c r="G32" s="8" t="s">
        <v>20</v>
      </c>
      <c r="J32" t="s">
        <v>21</v>
      </c>
      <c r="K32">
        <v>6</v>
      </c>
      <c r="L32" s="38" t="s">
        <v>22</v>
      </c>
      <c r="P32" t="s">
        <v>90</v>
      </c>
      <c r="Q32" t="s">
        <v>118</v>
      </c>
    </row>
    <row r="33" spans="1:17" ht="15.75" customHeight="1">
      <c r="A33" s="7" t="s">
        <v>119</v>
      </c>
      <c r="B33" s="8" t="s">
        <v>17</v>
      </c>
      <c r="C33" s="10" t="s">
        <v>120</v>
      </c>
      <c r="F33" t="s">
        <v>89</v>
      </c>
      <c r="G33" s="8" t="s">
        <v>20</v>
      </c>
      <c r="J33" t="s">
        <v>21</v>
      </c>
      <c r="K33">
        <v>7</v>
      </c>
      <c r="L33" s="38" t="s">
        <v>22</v>
      </c>
      <c r="P33" t="s">
        <v>90</v>
      </c>
      <c r="Q33" t="s">
        <v>121</v>
      </c>
    </row>
    <row r="34" spans="1:17" ht="15.75" customHeight="1">
      <c r="A34" s="7" t="s">
        <v>122</v>
      </c>
      <c r="B34" s="8" t="s">
        <v>17</v>
      </c>
      <c r="C34" s="10" t="s">
        <v>123</v>
      </c>
      <c r="F34" t="s">
        <v>124</v>
      </c>
      <c r="G34" s="8" t="s">
        <v>20</v>
      </c>
      <c r="J34" t="s">
        <v>21</v>
      </c>
      <c r="K34">
        <v>1</v>
      </c>
      <c r="L34" s="38" t="s">
        <v>22</v>
      </c>
      <c r="P34" t="s">
        <v>125</v>
      </c>
      <c r="Q34" t="s">
        <v>126</v>
      </c>
    </row>
    <row r="35" spans="1:17" ht="15.75" customHeight="1">
      <c r="A35" s="7" t="s">
        <v>127</v>
      </c>
      <c r="B35" s="8" t="s">
        <v>17</v>
      </c>
      <c r="C35" s="10" t="s">
        <v>128</v>
      </c>
      <c r="F35" t="s">
        <v>124</v>
      </c>
      <c r="G35" s="8" t="s">
        <v>20</v>
      </c>
      <c r="J35" t="s">
        <v>21</v>
      </c>
      <c r="K35">
        <v>2</v>
      </c>
      <c r="L35" s="38" t="s">
        <v>22</v>
      </c>
      <c r="P35" t="s">
        <v>125</v>
      </c>
      <c r="Q35" t="s">
        <v>129</v>
      </c>
    </row>
    <row r="36" spans="1:17" ht="15.75" customHeight="1">
      <c r="A36" s="7" t="s">
        <v>130</v>
      </c>
      <c r="B36" s="8" t="s">
        <v>17</v>
      </c>
      <c r="C36" s="10" t="s">
        <v>131</v>
      </c>
      <c r="F36" t="s">
        <v>124</v>
      </c>
      <c r="G36" s="8" t="s">
        <v>20</v>
      </c>
      <c r="J36" t="s">
        <v>21</v>
      </c>
      <c r="K36">
        <v>2</v>
      </c>
      <c r="L36" s="38" t="s">
        <v>22</v>
      </c>
      <c r="P36" t="s">
        <v>125</v>
      </c>
      <c r="Q36" t="s">
        <v>132</v>
      </c>
    </row>
    <row r="37" spans="1:17" ht="15.75" customHeight="1">
      <c r="A37" s="7" t="s">
        <v>133</v>
      </c>
      <c r="B37" s="8" t="s">
        <v>17</v>
      </c>
      <c r="C37" s="10" t="s">
        <v>134</v>
      </c>
      <c r="F37" t="s">
        <v>124</v>
      </c>
      <c r="G37" s="8" t="s">
        <v>20</v>
      </c>
      <c r="H37" s="7"/>
      <c r="I37" s="7"/>
      <c r="J37" t="s">
        <v>21</v>
      </c>
      <c r="K37">
        <v>3</v>
      </c>
      <c r="L37" s="38" t="s">
        <v>22</v>
      </c>
      <c r="P37" t="s">
        <v>125</v>
      </c>
      <c r="Q37" t="s">
        <v>135</v>
      </c>
    </row>
    <row r="38" spans="1:17" ht="15.75" customHeight="1">
      <c r="A38" s="7" t="s">
        <v>136</v>
      </c>
      <c r="B38" s="8" t="s">
        <v>17</v>
      </c>
      <c r="C38" s="10" t="s">
        <v>137</v>
      </c>
      <c r="F38" t="s">
        <v>124</v>
      </c>
      <c r="G38" s="8" t="s">
        <v>20</v>
      </c>
      <c r="J38" t="s">
        <v>21</v>
      </c>
      <c r="K38">
        <v>4</v>
      </c>
      <c r="L38" s="38" t="s">
        <v>22</v>
      </c>
      <c r="P38" t="s">
        <v>125</v>
      </c>
      <c r="Q38" t="s">
        <v>138</v>
      </c>
    </row>
    <row r="39" spans="1:17" ht="15.75" customHeight="1">
      <c r="A39" s="7" t="s">
        <v>139</v>
      </c>
      <c r="B39" s="8" t="s">
        <v>17</v>
      </c>
      <c r="C39" s="10" t="s">
        <v>140</v>
      </c>
      <c r="F39" t="s">
        <v>124</v>
      </c>
      <c r="G39" s="8" t="s">
        <v>20</v>
      </c>
      <c r="J39" t="s">
        <v>21</v>
      </c>
      <c r="K39">
        <v>5</v>
      </c>
      <c r="L39" s="38" t="s">
        <v>22</v>
      </c>
      <c r="P39" t="s">
        <v>125</v>
      </c>
      <c r="Q39" t="s">
        <v>141</v>
      </c>
    </row>
    <row r="40" spans="1:17" ht="15.75" customHeight="1">
      <c r="A40" s="7" t="s">
        <v>142</v>
      </c>
      <c r="B40" s="8" t="s">
        <v>17</v>
      </c>
      <c r="C40" s="10" t="s">
        <v>143</v>
      </c>
      <c r="F40" t="s">
        <v>124</v>
      </c>
      <c r="G40" s="8" t="s">
        <v>20</v>
      </c>
      <c r="J40" t="s">
        <v>21</v>
      </c>
      <c r="K40">
        <v>5</v>
      </c>
      <c r="L40" s="38" t="s">
        <v>22</v>
      </c>
      <c r="P40" t="s">
        <v>125</v>
      </c>
      <c r="Q40" t="s">
        <v>144</v>
      </c>
    </row>
    <row r="41" spans="1:17" ht="15.75" customHeight="1">
      <c r="A41" s="7" t="s">
        <v>145</v>
      </c>
      <c r="B41" s="8" t="s">
        <v>17</v>
      </c>
      <c r="C41" s="10" t="s">
        <v>146</v>
      </c>
      <c r="F41" t="s">
        <v>124</v>
      </c>
      <c r="G41" s="8" t="s">
        <v>20</v>
      </c>
      <c r="J41" t="s">
        <v>21</v>
      </c>
      <c r="K41">
        <v>5</v>
      </c>
      <c r="L41" s="38" t="s">
        <v>22</v>
      </c>
      <c r="P41" t="s">
        <v>125</v>
      </c>
      <c r="Q41" t="s">
        <v>147</v>
      </c>
    </row>
    <row r="42" spans="1:17" ht="15.75" customHeight="1">
      <c r="A42" s="7" t="s">
        <v>148</v>
      </c>
      <c r="B42" s="8" t="s">
        <v>17</v>
      </c>
      <c r="C42" s="10" t="s">
        <v>149</v>
      </c>
      <c r="F42" t="s">
        <v>124</v>
      </c>
      <c r="G42" s="8" t="s">
        <v>20</v>
      </c>
      <c r="J42" t="s">
        <v>21</v>
      </c>
      <c r="K42">
        <v>6</v>
      </c>
      <c r="L42" s="38" t="s">
        <v>22</v>
      </c>
      <c r="P42" t="s">
        <v>125</v>
      </c>
      <c r="Q42" t="s">
        <v>150</v>
      </c>
    </row>
    <row r="43" spans="1:17" ht="15.75" customHeight="1">
      <c r="A43" s="7" t="s">
        <v>151</v>
      </c>
      <c r="B43" s="8" t="s">
        <v>17</v>
      </c>
      <c r="C43" s="10" t="s">
        <v>152</v>
      </c>
      <c r="F43" t="s">
        <v>124</v>
      </c>
      <c r="G43" s="8" t="s">
        <v>20</v>
      </c>
      <c r="H43" s="7"/>
      <c r="I43" s="7"/>
      <c r="J43" t="s">
        <v>21</v>
      </c>
      <c r="K43">
        <v>6</v>
      </c>
      <c r="L43" s="38" t="s">
        <v>22</v>
      </c>
      <c r="P43" t="s">
        <v>125</v>
      </c>
      <c r="Q43" t="s">
        <v>153</v>
      </c>
    </row>
    <row r="44" spans="1:17" ht="15.75" customHeight="1">
      <c r="A44" s="7" t="s">
        <v>154</v>
      </c>
      <c r="B44" s="8" t="s">
        <v>17</v>
      </c>
      <c r="C44" s="10" t="s">
        <v>155</v>
      </c>
      <c r="F44" t="s">
        <v>124</v>
      </c>
      <c r="G44" s="8" t="s">
        <v>20</v>
      </c>
      <c r="H44" s="7"/>
      <c r="I44" s="7"/>
      <c r="J44" t="s">
        <v>21</v>
      </c>
      <c r="K44">
        <v>7</v>
      </c>
      <c r="L44" s="38" t="s">
        <v>22</v>
      </c>
      <c r="P44" t="s">
        <v>125</v>
      </c>
      <c r="Q44" t="s">
        <v>156</v>
      </c>
    </row>
    <row r="45" spans="1:17" ht="15.75" customHeight="1">
      <c r="A45" s="7" t="s">
        <v>157</v>
      </c>
      <c r="B45" s="8" t="s">
        <v>17</v>
      </c>
      <c r="C45" s="28" t="s">
        <v>158</v>
      </c>
      <c r="E45" s="22"/>
      <c r="F45" s="22" t="s">
        <v>159</v>
      </c>
      <c r="G45" s="8" t="s">
        <v>20</v>
      </c>
      <c r="J45" t="s">
        <v>21</v>
      </c>
      <c r="K45">
        <v>1</v>
      </c>
      <c r="L45" s="38" t="s">
        <v>22</v>
      </c>
      <c r="P45" t="s">
        <v>160</v>
      </c>
      <c r="Q45" t="s">
        <v>161</v>
      </c>
    </row>
    <row r="46" spans="1:17" ht="15.75" customHeight="1">
      <c r="A46" s="7" t="s">
        <v>162</v>
      </c>
      <c r="B46" s="8" t="s">
        <v>17</v>
      </c>
      <c r="C46" s="28" t="s">
        <v>163</v>
      </c>
      <c r="E46" s="22"/>
      <c r="F46" s="22" t="s">
        <v>159</v>
      </c>
      <c r="G46" s="8" t="s">
        <v>20</v>
      </c>
      <c r="J46" t="s">
        <v>21</v>
      </c>
      <c r="K46">
        <v>2</v>
      </c>
      <c r="L46" s="38" t="s">
        <v>22</v>
      </c>
      <c r="P46" t="s">
        <v>160</v>
      </c>
      <c r="Q46" t="s">
        <v>164</v>
      </c>
    </row>
    <row r="47" spans="1:17" ht="15.75" customHeight="1">
      <c r="A47" s="7" t="s">
        <v>165</v>
      </c>
      <c r="B47" s="8" t="s">
        <v>17</v>
      </c>
      <c r="C47" s="28" t="s">
        <v>166</v>
      </c>
      <c r="E47" s="22"/>
      <c r="F47" s="22" t="s">
        <v>159</v>
      </c>
      <c r="G47" s="8" t="s">
        <v>20</v>
      </c>
      <c r="J47" t="s">
        <v>21</v>
      </c>
      <c r="K47">
        <v>3</v>
      </c>
      <c r="L47" s="38" t="s">
        <v>22</v>
      </c>
      <c r="P47" t="s">
        <v>160</v>
      </c>
      <c r="Q47" t="s">
        <v>167</v>
      </c>
    </row>
    <row r="48" spans="1:17" ht="15.75" customHeight="1">
      <c r="A48" s="7" t="s">
        <v>168</v>
      </c>
      <c r="B48" s="8" t="s">
        <v>17</v>
      </c>
      <c r="C48" s="28" t="s">
        <v>169</v>
      </c>
      <c r="E48" s="22"/>
      <c r="F48" s="22" t="s">
        <v>159</v>
      </c>
      <c r="G48" s="8" t="s">
        <v>20</v>
      </c>
      <c r="J48" t="s">
        <v>21</v>
      </c>
      <c r="K48">
        <v>4</v>
      </c>
      <c r="L48" s="38" t="s">
        <v>22</v>
      </c>
      <c r="P48" t="s">
        <v>160</v>
      </c>
      <c r="Q48" t="s">
        <v>170</v>
      </c>
    </row>
    <row r="49" spans="1:17" ht="15.75" customHeight="1">
      <c r="A49" s="7" t="s">
        <v>171</v>
      </c>
      <c r="B49" s="8" t="s">
        <v>17</v>
      </c>
      <c r="C49" s="28" t="s">
        <v>172</v>
      </c>
      <c r="E49" s="22"/>
      <c r="F49" s="22" t="s">
        <v>159</v>
      </c>
      <c r="G49" s="8" t="s">
        <v>20</v>
      </c>
      <c r="J49" t="s">
        <v>21</v>
      </c>
      <c r="K49">
        <v>5</v>
      </c>
      <c r="L49" s="38" t="s">
        <v>22</v>
      </c>
      <c r="P49" t="s">
        <v>160</v>
      </c>
      <c r="Q49" t="s">
        <v>173</v>
      </c>
    </row>
    <row r="50" spans="1:17" ht="15.75" customHeight="1">
      <c r="A50" s="7" t="s">
        <v>174</v>
      </c>
      <c r="B50" s="8" t="s">
        <v>17</v>
      </c>
      <c r="C50" s="28" t="s">
        <v>175</v>
      </c>
      <c r="E50" s="22"/>
      <c r="F50" s="22" t="s">
        <v>159</v>
      </c>
      <c r="G50" s="8" t="s">
        <v>20</v>
      </c>
      <c r="J50" t="s">
        <v>21</v>
      </c>
      <c r="K50">
        <v>5</v>
      </c>
      <c r="L50" s="38" t="s">
        <v>22</v>
      </c>
      <c r="P50" t="s">
        <v>160</v>
      </c>
      <c r="Q50" t="s">
        <v>176</v>
      </c>
    </row>
    <row r="51" spans="1:17" ht="15.75" customHeight="1">
      <c r="A51" s="7" t="s">
        <v>177</v>
      </c>
      <c r="B51" s="8" t="s">
        <v>17</v>
      </c>
      <c r="C51" s="28" t="s">
        <v>178</v>
      </c>
      <c r="E51" s="22"/>
      <c r="F51" s="22" t="s">
        <v>159</v>
      </c>
      <c r="G51" s="8" t="s">
        <v>20</v>
      </c>
      <c r="J51" t="s">
        <v>21</v>
      </c>
      <c r="K51">
        <v>5</v>
      </c>
      <c r="L51" s="38" t="s">
        <v>22</v>
      </c>
      <c r="P51" t="s">
        <v>160</v>
      </c>
      <c r="Q51" t="s">
        <v>179</v>
      </c>
    </row>
    <row r="52" spans="1:17" ht="15.75" customHeight="1">
      <c r="A52" s="7" t="s">
        <v>180</v>
      </c>
      <c r="B52" s="8" t="s">
        <v>17</v>
      </c>
      <c r="C52" s="28" t="s">
        <v>181</v>
      </c>
      <c r="E52" s="22"/>
      <c r="F52" s="22" t="s">
        <v>159</v>
      </c>
      <c r="G52" s="8" t="s">
        <v>20</v>
      </c>
      <c r="J52" t="s">
        <v>21</v>
      </c>
      <c r="K52">
        <v>6</v>
      </c>
      <c r="L52" s="38" t="s">
        <v>22</v>
      </c>
      <c r="P52" t="s">
        <v>160</v>
      </c>
      <c r="Q52" t="s">
        <v>182</v>
      </c>
    </row>
    <row r="53" spans="1:17" ht="15.75" customHeight="1">
      <c r="A53" s="7" t="s">
        <v>183</v>
      </c>
      <c r="B53" s="8" t="s">
        <v>17</v>
      </c>
      <c r="C53" s="28" t="s">
        <v>184</v>
      </c>
      <c r="E53" s="22"/>
      <c r="F53" s="22" t="s">
        <v>159</v>
      </c>
      <c r="G53" s="8" t="s">
        <v>20</v>
      </c>
      <c r="J53" t="s">
        <v>21</v>
      </c>
      <c r="K53">
        <v>6</v>
      </c>
      <c r="L53" s="38" t="s">
        <v>22</v>
      </c>
      <c r="P53" t="s">
        <v>160</v>
      </c>
      <c r="Q53" t="s">
        <v>185</v>
      </c>
    </row>
    <row r="54" spans="1:17" ht="15.75" customHeight="1">
      <c r="A54" s="7" t="s">
        <v>186</v>
      </c>
      <c r="B54" s="8" t="s">
        <v>17</v>
      </c>
      <c r="C54" s="28" t="s">
        <v>187</v>
      </c>
      <c r="E54" s="22"/>
      <c r="F54" s="22" t="s">
        <v>159</v>
      </c>
      <c r="G54" s="8" t="s">
        <v>20</v>
      </c>
      <c r="J54" t="s">
        <v>21</v>
      </c>
      <c r="K54">
        <v>7</v>
      </c>
      <c r="L54" s="38" t="s">
        <v>22</v>
      </c>
      <c r="P54" t="s">
        <v>160</v>
      </c>
      <c r="Q54" t="s">
        <v>188</v>
      </c>
    </row>
    <row r="55" spans="1:17" ht="15.75" customHeight="1">
      <c r="A55" s="7" t="s">
        <v>189</v>
      </c>
      <c r="B55" s="8" t="s">
        <v>17</v>
      </c>
      <c r="C55" s="10" t="s">
        <v>190</v>
      </c>
      <c r="F55" t="s">
        <v>19</v>
      </c>
      <c r="G55" s="8" t="s">
        <v>20</v>
      </c>
      <c r="J55" t="s">
        <v>191</v>
      </c>
      <c r="K55">
        <v>2</v>
      </c>
      <c r="L55" s="38" t="s">
        <v>22</v>
      </c>
      <c r="P55" t="s">
        <v>23</v>
      </c>
      <c r="Q55" t="s">
        <v>192</v>
      </c>
    </row>
    <row r="56" spans="1:17" ht="15.75" customHeight="1">
      <c r="A56" s="7" t="s">
        <v>193</v>
      </c>
      <c r="B56" s="8" t="s">
        <v>17</v>
      </c>
      <c r="C56" s="10" t="s">
        <v>194</v>
      </c>
      <c r="F56" t="s">
        <v>19</v>
      </c>
      <c r="G56" s="8" t="s">
        <v>20</v>
      </c>
      <c r="J56" t="s">
        <v>191</v>
      </c>
      <c r="K56">
        <v>3</v>
      </c>
      <c r="L56" s="38" t="s">
        <v>22</v>
      </c>
      <c r="P56" t="s">
        <v>23</v>
      </c>
      <c r="Q56" t="s">
        <v>195</v>
      </c>
    </row>
    <row r="57" spans="1:17" ht="15.75" customHeight="1">
      <c r="A57" s="7" t="s">
        <v>196</v>
      </c>
      <c r="B57" s="8" t="s">
        <v>17</v>
      </c>
      <c r="C57" s="10" t="s">
        <v>197</v>
      </c>
      <c r="F57" t="s">
        <v>19</v>
      </c>
      <c r="G57" s="8" t="s">
        <v>20</v>
      </c>
      <c r="J57" t="s">
        <v>191</v>
      </c>
      <c r="K57">
        <v>3</v>
      </c>
      <c r="L57" s="38" t="s">
        <v>22</v>
      </c>
      <c r="P57" t="s">
        <v>23</v>
      </c>
      <c r="Q57" t="s">
        <v>198</v>
      </c>
    </row>
    <row r="58" spans="1:17" ht="15.75" customHeight="1">
      <c r="A58" s="7" t="s">
        <v>199</v>
      </c>
      <c r="B58" s="8" t="s">
        <v>17</v>
      </c>
      <c r="C58" s="10" t="s">
        <v>200</v>
      </c>
      <c r="F58" t="s">
        <v>19</v>
      </c>
      <c r="G58" s="8" t="s">
        <v>20</v>
      </c>
      <c r="J58" t="s">
        <v>191</v>
      </c>
      <c r="K58">
        <v>7</v>
      </c>
      <c r="L58" s="38" t="s">
        <v>22</v>
      </c>
      <c r="P58" t="s">
        <v>23</v>
      </c>
      <c r="Q58" t="s">
        <v>201</v>
      </c>
    </row>
    <row r="59" spans="1:17" ht="15.75" customHeight="1">
      <c r="A59" s="7" t="s">
        <v>202</v>
      </c>
      <c r="B59" s="8" t="s">
        <v>17</v>
      </c>
      <c r="C59" s="10" t="s">
        <v>203</v>
      </c>
      <c r="F59" t="s">
        <v>54</v>
      </c>
      <c r="G59" s="8" t="s">
        <v>20</v>
      </c>
      <c r="J59" t="s">
        <v>191</v>
      </c>
      <c r="K59">
        <v>3</v>
      </c>
      <c r="L59" s="38" t="s">
        <v>22</v>
      </c>
      <c r="P59" t="s">
        <v>55</v>
      </c>
      <c r="Q59" t="s">
        <v>204</v>
      </c>
    </row>
    <row r="60" spans="1:17" ht="15.75" customHeight="1">
      <c r="A60" s="7" t="s">
        <v>205</v>
      </c>
      <c r="B60" s="8" t="s">
        <v>17</v>
      </c>
      <c r="C60" s="10" t="s">
        <v>206</v>
      </c>
      <c r="F60" t="s">
        <v>54</v>
      </c>
      <c r="G60" s="8" t="s">
        <v>20</v>
      </c>
      <c r="J60" t="s">
        <v>191</v>
      </c>
      <c r="K60">
        <v>3</v>
      </c>
      <c r="L60" s="38" t="s">
        <v>22</v>
      </c>
      <c r="P60" t="s">
        <v>55</v>
      </c>
      <c r="Q60" t="s">
        <v>207</v>
      </c>
    </row>
    <row r="61" spans="1:17" ht="15.75" customHeight="1">
      <c r="A61" s="7" t="s">
        <v>208</v>
      </c>
      <c r="B61" s="8" t="s">
        <v>17</v>
      </c>
      <c r="C61" s="10" t="s">
        <v>209</v>
      </c>
      <c r="F61" t="s">
        <v>54</v>
      </c>
      <c r="G61" s="8" t="s">
        <v>20</v>
      </c>
      <c r="J61" t="s">
        <v>191</v>
      </c>
      <c r="K61">
        <v>7</v>
      </c>
      <c r="L61" s="38" t="s">
        <v>22</v>
      </c>
      <c r="P61" t="s">
        <v>55</v>
      </c>
      <c r="Q61" t="s">
        <v>210</v>
      </c>
    </row>
    <row r="62" spans="1:17" ht="15.75" customHeight="1">
      <c r="A62" s="7" t="s">
        <v>211</v>
      </c>
      <c r="B62" s="8" t="s">
        <v>17</v>
      </c>
      <c r="C62" s="10" t="s">
        <v>212</v>
      </c>
      <c r="F62" t="s">
        <v>89</v>
      </c>
      <c r="G62" s="8" t="s">
        <v>20</v>
      </c>
      <c r="J62" t="s">
        <v>191</v>
      </c>
      <c r="K62">
        <v>3</v>
      </c>
      <c r="L62" s="38" t="s">
        <v>22</v>
      </c>
      <c r="P62" t="s">
        <v>90</v>
      </c>
      <c r="Q62" t="s">
        <v>213</v>
      </c>
    </row>
    <row r="63" spans="1:17" ht="15.75" customHeight="1">
      <c r="A63" s="7" t="s">
        <v>214</v>
      </c>
      <c r="B63" s="8" t="s">
        <v>17</v>
      </c>
      <c r="C63" s="10" t="s">
        <v>215</v>
      </c>
      <c r="F63" t="s">
        <v>89</v>
      </c>
      <c r="G63" s="8" t="s">
        <v>20</v>
      </c>
      <c r="J63" t="s">
        <v>191</v>
      </c>
      <c r="K63">
        <v>3</v>
      </c>
      <c r="L63" s="38" t="s">
        <v>22</v>
      </c>
      <c r="P63" t="s">
        <v>90</v>
      </c>
      <c r="Q63" t="s">
        <v>216</v>
      </c>
    </row>
    <row r="64" spans="1:17" ht="15.75" customHeight="1">
      <c r="A64" s="7" t="s">
        <v>217</v>
      </c>
      <c r="B64" s="8" t="s">
        <v>17</v>
      </c>
      <c r="C64" s="10" t="s">
        <v>218</v>
      </c>
      <c r="F64" t="s">
        <v>89</v>
      </c>
      <c r="G64" s="8" t="s">
        <v>20</v>
      </c>
      <c r="J64" t="s">
        <v>191</v>
      </c>
      <c r="K64">
        <v>7</v>
      </c>
      <c r="L64" s="38" t="s">
        <v>22</v>
      </c>
      <c r="P64" t="s">
        <v>90</v>
      </c>
      <c r="Q64" t="s">
        <v>219</v>
      </c>
    </row>
    <row r="65" spans="1:17" ht="15.75" customHeight="1">
      <c r="A65" s="7" t="s">
        <v>220</v>
      </c>
      <c r="B65" s="8" t="s">
        <v>17</v>
      </c>
      <c r="C65" s="10" t="s">
        <v>221</v>
      </c>
      <c r="F65" t="s">
        <v>124</v>
      </c>
      <c r="G65" s="8" t="s">
        <v>20</v>
      </c>
      <c r="J65" t="s">
        <v>191</v>
      </c>
      <c r="K65">
        <v>3</v>
      </c>
      <c r="L65" s="38" t="s">
        <v>22</v>
      </c>
      <c r="P65" t="s">
        <v>125</v>
      </c>
      <c r="Q65" t="s">
        <v>222</v>
      </c>
    </row>
    <row r="66" spans="1:17" ht="15.75" customHeight="1">
      <c r="A66" s="7" t="s">
        <v>223</v>
      </c>
      <c r="B66" s="8" t="s">
        <v>17</v>
      </c>
      <c r="C66" s="10" t="s">
        <v>224</v>
      </c>
      <c r="F66" t="s">
        <v>124</v>
      </c>
      <c r="G66" s="8" t="s">
        <v>20</v>
      </c>
      <c r="J66" t="s">
        <v>191</v>
      </c>
      <c r="K66">
        <v>3</v>
      </c>
      <c r="L66" s="38" t="s">
        <v>22</v>
      </c>
      <c r="P66" t="s">
        <v>125</v>
      </c>
      <c r="Q66" t="s">
        <v>225</v>
      </c>
    </row>
    <row r="67" spans="1:17" ht="15.75" customHeight="1">
      <c r="A67" s="7" t="s">
        <v>226</v>
      </c>
      <c r="B67" s="8" t="s">
        <v>17</v>
      </c>
      <c r="C67" s="10" t="s">
        <v>227</v>
      </c>
      <c r="F67" t="s">
        <v>124</v>
      </c>
      <c r="G67" s="8" t="s">
        <v>20</v>
      </c>
      <c r="J67" t="s">
        <v>191</v>
      </c>
      <c r="K67">
        <v>7</v>
      </c>
      <c r="L67" s="38" t="s">
        <v>22</v>
      </c>
      <c r="P67" t="s">
        <v>125</v>
      </c>
      <c r="Q67" t="s">
        <v>228</v>
      </c>
    </row>
    <row r="68" spans="1:17" ht="15.75" customHeight="1">
      <c r="A68" s="7" t="s">
        <v>229</v>
      </c>
      <c r="B68" s="8" t="s">
        <v>17</v>
      </c>
      <c r="C68" s="28" t="s">
        <v>230</v>
      </c>
      <c r="E68" s="22"/>
      <c r="F68" s="22" t="s">
        <v>159</v>
      </c>
      <c r="G68" s="8" t="s">
        <v>20</v>
      </c>
      <c r="J68" t="s">
        <v>191</v>
      </c>
      <c r="K68">
        <v>2</v>
      </c>
      <c r="L68" s="38" t="s">
        <v>22</v>
      </c>
      <c r="P68" t="s">
        <v>160</v>
      </c>
      <c r="Q68" t="s">
        <v>231</v>
      </c>
    </row>
    <row r="69" spans="1:17" ht="15.75" customHeight="1">
      <c r="A69" s="7" t="s">
        <v>232</v>
      </c>
      <c r="B69" s="8" t="s">
        <v>17</v>
      </c>
      <c r="C69" s="28" t="s">
        <v>233</v>
      </c>
      <c r="E69" s="22"/>
      <c r="F69" s="22" t="s">
        <v>159</v>
      </c>
      <c r="G69" s="8" t="s">
        <v>20</v>
      </c>
      <c r="J69" t="s">
        <v>191</v>
      </c>
      <c r="K69">
        <v>3</v>
      </c>
      <c r="L69" s="38" t="s">
        <v>22</v>
      </c>
      <c r="P69" t="s">
        <v>160</v>
      </c>
      <c r="Q69" t="s">
        <v>234</v>
      </c>
    </row>
    <row r="70" spans="1:17" ht="15.75" customHeight="1">
      <c r="A70" s="7" t="s">
        <v>235</v>
      </c>
      <c r="B70" s="8" t="s">
        <v>17</v>
      </c>
      <c r="C70" s="28" t="s">
        <v>236</v>
      </c>
      <c r="E70" s="22"/>
      <c r="F70" s="22" t="s">
        <v>159</v>
      </c>
      <c r="G70" s="8" t="s">
        <v>20</v>
      </c>
      <c r="J70" t="s">
        <v>191</v>
      </c>
      <c r="K70">
        <v>3</v>
      </c>
      <c r="L70" s="38" t="s">
        <v>22</v>
      </c>
      <c r="P70" t="s">
        <v>160</v>
      </c>
      <c r="Q70" t="s">
        <v>237</v>
      </c>
    </row>
    <row r="71" spans="1:17" ht="15.75" customHeight="1">
      <c r="A71" s="7" t="s">
        <v>238</v>
      </c>
      <c r="B71" s="8" t="s">
        <v>17</v>
      </c>
      <c r="C71" s="28" t="s">
        <v>239</v>
      </c>
      <c r="E71" s="22"/>
      <c r="F71" s="22" t="s">
        <v>159</v>
      </c>
      <c r="G71" s="8" t="s">
        <v>20</v>
      </c>
      <c r="J71" t="s">
        <v>191</v>
      </c>
      <c r="K71">
        <v>7</v>
      </c>
      <c r="L71" s="38" t="s">
        <v>22</v>
      </c>
      <c r="P71" t="s">
        <v>160</v>
      </c>
      <c r="Q71" t="s">
        <v>240</v>
      </c>
    </row>
    <row r="72" spans="1:17" ht="15.75" customHeight="1">
      <c r="A72" s="7" t="s">
        <v>241</v>
      </c>
      <c r="B72" s="8" t="s">
        <v>242</v>
      </c>
      <c r="C72" s="13" t="s">
        <v>243</v>
      </c>
      <c r="E72" s="12" t="s">
        <v>244</v>
      </c>
      <c r="F72" s="12"/>
      <c r="G72" s="12" t="s">
        <v>7</v>
      </c>
      <c r="H72" s="8" t="s">
        <v>245</v>
      </c>
    </row>
    <row r="73" spans="1:17" ht="15.75" customHeight="1">
      <c r="A73" s="7" t="s">
        <v>246</v>
      </c>
      <c r="B73" s="8" t="s">
        <v>247</v>
      </c>
      <c r="C73" s="10" t="s">
        <v>248</v>
      </c>
      <c r="E73" s="8" t="s">
        <v>249</v>
      </c>
      <c r="G73" s="8" t="s">
        <v>8</v>
      </c>
    </row>
    <row r="74" spans="1:17" ht="15.75" customHeight="1">
      <c r="A74" s="7" t="s">
        <v>250</v>
      </c>
      <c r="B74" s="8" t="s">
        <v>242</v>
      </c>
      <c r="C74" s="11" t="s">
        <v>251</v>
      </c>
      <c r="E74" s="12" t="s">
        <v>244</v>
      </c>
      <c r="G74" s="8" t="s">
        <v>20</v>
      </c>
    </row>
    <row r="75" spans="1:17" ht="15.75" customHeight="1">
      <c r="A75" s="7" t="s">
        <v>252</v>
      </c>
      <c r="B75" s="8" t="s">
        <v>242</v>
      </c>
      <c r="C75" s="13" t="s">
        <v>253</v>
      </c>
      <c r="E75" s="12" t="s">
        <v>244</v>
      </c>
      <c r="F75" s="12"/>
      <c r="G75" s="12" t="s">
        <v>20</v>
      </c>
      <c r="L75" s="39"/>
    </row>
    <row r="76" spans="1:17" ht="15.75" customHeight="1">
      <c r="A76" t="s">
        <v>254</v>
      </c>
      <c r="B76" t="s">
        <v>255</v>
      </c>
      <c r="C76" t="s">
        <v>256</v>
      </c>
      <c r="F76" t="s">
        <v>257</v>
      </c>
      <c r="G76" t="s">
        <v>20</v>
      </c>
      <c r="L76" s="38" t="s">
        <v>258</v>
      </c>
    </row>
    <row r="77" spans="1:17" ht="15.75" customHeight="1">
      <c r="A77" t="s">
        <v>259</v>
      </c>
      <c r="B77" t="s">
        <v>255</v>
      </c>
      <c r="C77" t="s">
        <v>260</v>
      </c>
      <c r="F77" t="s">
        <v>257</v>
      </c>
      <c r="G77" t="s">
        <v>20</v>
      </c>
      <c r="L77" s="38" t="s">
        <v>258</v>
      </c>
    </row>
    <row r="78" spans="1:17" ht="15.75" customHeight="1">
      <c r="A78" t="s">
        <v>261</v>
      </c>
      <c r="B78" t="s">
        <v>255</v>
      </c>
      <c r="C78" t="s">
        <v>262</v>
      </c>
      <c r="F78" t="s">
        <v>263</v>
      </c>
      <c r="G78" t="s">
        <v>20</v>
      </c>
      <c r="L78" s="38" t="s">
        <v>258</v>
      </c>
    </row>
    <row r="79" spans="1:17" ht="15.75" customHeight="1">
      <c r="A79" t="s">
        <v>264</v>
      </c>
      <c r="B79" t="s">
        <v>255</v>
      </c>
      <c r="C79" t="s">
        <v>265</v>
      </c>
      <c r="F79" t="s">
        <v>263</v>
      </c>
      <c r="G79" t="s">
        <v>20</v>
      </c>
      <c r="L79" s="38" t="s">
        <v>258</v>
      </c>
    </row>
    <row r="80" spans="1:17" ht="15.75" customHeight="1">
      <c r="A80" t="s">
        <v>266</v>
      </c>
      <c r="B80" t="s">
        <v>255</v>
      </c>
      <c r="C80" t="s">
        <v>267</v>
      </c>
      <c r="F80" t="s">
        <v>263</v>
      </c>
      <c r="G80" t="s">
        <v>20</v>
      </c>
      <c r="L80" s="38" t="s">
        <v>258</v>
      </c>
    </row>
    <row r="81" spans="1:17" ht="15.75" customHeight="1">
      <c r="A81" t="s">
        <v>268</v>
      </c>
      <c r="B81" t="s">
        <v>255</v>
      </c>
      <c r="C81" t="s">
        <v>269</v>
      </c>
      <c r="F81" t="s">
        <v>263</v>
      </c>
      <c r="G81" t="s">
        <v>20</v>
      </c>
      <c r="L81" s="38" t="s">
        <v>258</v>
      </c>
    </row>
    <row r="82" spans="1:17" ht="15.75" customHeight="1">
      <c r="A82" t="s">
        <v>270</v>
      </c>
      <c r="B82" t="s">
        <v>255</v>
      </c>
      <c r="C82" t="s">
        <v>271</v>
      </c>
      <c r="F82" t="s">
        <v>263</v>
      </c>
      <c r="G82" t="s">
        <v>20</v>
      </c>
      <c r="L82" s="38" t="s">
        <v>258</v>
      </c>
    </row>
    <row r="83" spans="1:17" ht="15.75" customHeight="1">
      <c r="A83" t="s">
        <v>272</v>
      </c>
      <c r="B83" t="s">
        <v>255</v>
      </c>
      <c r="C83" t="s">
        <v>273</v>
      </c>
      <c r="F83" t="s">
        <v>263</v>
      </c>
      <c r="G83" t="s">
        <v>20</v>
      </c>
      <c r="L83" s="38" t="s">
        <v>258</v>
      </c>
    </row>
    <row r="84" spans="1:17" ht="15.75" customHeight="1">
      <c r="A84" t="s">
        <v>274</v>
      </c>
      <c r="B84" t="s">
        <v>255</v>
      </c>
      <c r="C84" t="s">
        <v>275</v>
      </c>
      <c r="F84" t="s">
        <v>276</v>
      </c>
      <c r="G84" t="s">
        <v>20</v>
      </c>
      <c r="L84" s="38" t="s">
        <v>258</v>
      </c>
    </row>
    <row r="85" spans="1:17" ht="15.75" customHeight="1">
      <c r="A85" s="7" t="s">
        <v>277</v>
      </c>
      <c r="B85" s="8" t="s">
        <v>278</v>
      </c>
      <c r="C85" s="10" t="s">
        <v>279</v>
      </c>
      <c r="E85" s="8" t="s">
        <v>280</v>
      </c>
      <c r="G85" s="8" t="s">
        <v>7</v>
      </c>
      <c r="H85" s="8" t="s">
        <v>281</v>
      </c>
    </row>
    <row r="86" spans="1:17" ht="15.75" customHeight="1">
      <c r="A86" s="7" t="s">
        <v>282</v>
      </c>
      <c r="B86" s="8" t="s">
        <v>278</v>
      </c>
      <c r="C86" s="10" t="s">
        <v>283</v>
      </c>
      <c r="E86" s="8" t="s">
        <v>280</v>
      </c>
      <c r="G86" s="8" t="s">
        <v>7</v>
      </c>
      <c r="H86" s="8" t="s">
        <v>284</v>
      </c>
    </row>
    <row r="87" spans="1:17" ht="15.75" customHeight="1">
      <c r="A87" s="7" t="s">
        <v>285</v>
      </c>
      <c r="B87" s="8" t="s">
        <v>17</v>
      </c>
      <c r="C87" s="10" t="s">
        <v>286</v>
      </c>
      <c r="F87" t="s">
        <v>287</v>
      </c>
      <c r="G87" s="8" t="s">
        <v>20</v>
      </c>
      <c r="K87">
        <v>4</v>
      </c>
      <c r="L87" s="38" t="s">
        <v>22</v>
      </c>
      <c r="P87" t="s">
        <v>125</v>
      </c>
      <c r="Q87" t="s">
        <v>288</v>
      </c>
    </row>
    <row r="88" spans="1:17" ht="15.75" customHeight="1">
      <c r="A88" s="7" t="s">
        <v>289</v>
      </c>
      <c r="B88" s="8" t="s">
        <v>17</v>
      </c>
      <c r="C88" s="10" t="s">
        <v>290</v>
      </c>
      <c r="F88" t="s">
        <v>287</v>
      </c>
      <c r="G88" s="8" t="s">
        <v>20</v>
      </c>
      <c r="K88">
        <v>7</v>
      </c>
      <c r="L88" s="38" t="s">
        <v>22</v>
      </c>
      <c r="P88" t="s">
        <v>125</v>
      </c>
      <c r="Q88" t="s">
        <v>291</v>
      </c>
    </row>
    <row r="89" spans="1:17" ht="15.75" customHeight="1">
      <c r="A89" s="7" t="s">
        <v>292</v>
      </c>
      <c r="B89" s="8" t="s">
        <v>17</v>
      </c>
      <c r="C89" s="10" t="s">
        <v>293</v>
      </c>
      <c r="F89" t="s">
        <v>287</v>
      </c>
      <c r="G89" s="8" t="s">
        <v>20</v>
      </c>
      <c r="K89">
        <v>5</v>
      </c>
      <c r="L89" s="38" t="s">
        <v>22</v>
      </c>
      <c r="P89" t="s">
        <v>125</v>
      </c>
      <c r="Q89" t="s">
        <v>294</v>
      </c>
    </row>
    <row r="90" spans="1:17" ht="15.75" customHeight="1">
      <c r="A90" s="7" t="s">
        <v>295</v>
      </c>
      <c r="B90" s="8" t="s">
        <v>17</v>
      </c>
      <c r="C90" s="10" t="s">
        <v>296</v>
      </c>
      <c r="F90" t="s">
        <v>287</v>
      </c>
      <c r="G90" s="8" t="s">
        <v>20</v>
      </c>
      <c r="K90">
        <v>3</v>
      </c>
      <c r="L90" s="38" t="s">
        <v>22</v>
      </c>
      <c r="P90" t="s">
        <v>297</v>
      </c>
      <c r="Q90" t="s">
        <v>298</v>
      </c>
    </row>
    <row r="91" spans="1:17" ht="15.75" customHeight="1">
      <c r="A91" s="7" t="s">
        <v>299</v>
      </c>
      <c r="B91" s="8" t="s">
        <v>17</v>
      </c>
      <c r="C91" s="10" t="s">
        <v>300</v>
      </c>
      <c r="F91" t="s">
        <v>287</v>
      </c>
      <c r="G91" s="8" t="s">
        <v>20</v>
      </c>
      <c r="K91">
        <v>2</v>
      </c>
      <c r="L91" s="38" t="s">
        <v>22</v>
      </c>
      <c r="P91" t="s">
        <v>301</v>
      </c>
      <c r="Q91" t="s">
        <v>302</v>
      </c>
    </row>
    <row r="92" spans="1:17" ht="15.75" customHeight="1">
      <c r="A92" t="s">
        <v>303</v>
      </c>
      <c r="B92" t="s">
        <v>304</v>
      </c>
      <c r="C92" t="s">
        <v>305</v>
      </c>
      <c r="E92" t="s">
        <v>306</v>
      </c>
      <c r="F92" t="s">
        <v>307</v>
      </c>
      <c r="G92" t="s">
        <v>308</v>
      </c>
      <c r="J92" t="s">
        <v>309</v>
      </c>
      <c r="K92">
        <v>10</v>
      </c>
      <c r="L92" s="38">
        <v>-100</v>
      </c>
      <c r="M92" t="s">
        <v>310</v>
      </c>
      <c r="Q92" t="s">
        <v>311</v>
      </c>
    </row>
    <row r="93" spans="1:17" ht="15.75" customHeight="1">
      <c r="A93" t="s">
        <v>312</v>
      </c>
      <c r="B93" t="s">
        <v>304</v>
      </c>
      <c r="C93" t="s">
        <v>313</v>
      </c>
      <c r="E93" t="s">
        <v>314</v>
      </c>
      <c r="F93" t="s">
        <v>307</v>
      </c>
      <c r="G93" t="s">
        <v>308</v>
      </c>
      <c r="J93" t="s">
        <v>315</v>
      </c>
      <c r="K93">
        <v>15</v>
      </c>
      <c r="L93" s="38">
        <v>-150</v>
      </c>
      <c r="M93" t="s">
        <v>310</v>
      </c>
      <c r="Q93" t="s">
        <v>316</v>
      </c>
    </row>
    <row r="94" spans="1:17" ht="15.75" customHeight="1">
      <c r="A94" t="s">
        <v>317</v>
      </c>
      <c r="B94" t="s">
        <v>304</v>
      </c>
      <c r="C94" t="s">
        <v>307</v>
      </c>
      <c r="E94" t="s">
        <v>318</v>
      </c>
      <c r="F94" t="s">
        <v>307</v>
      </c>
      <c r="G94" t="s">
        <v>308</v>
      </c>
      <c r="J94" t="s">
        <v>319</v>
      </c>
      <c r="K94">
        <v>20</v>
      </c>
      <c r="L94" s="38">
        <v>-200</v>
      </c>
      <c r="M94" t="s">
        <v>310</v>
      </c>
      <c r="Q94" t="s">
        <v>320</v>
      </c>
    </row>
    <row r="95" spans="1:17" ht="15.75" customHeight="1">
      <c r="A95" t="s">
        <v>321</v>
      </c>
      <c r="B95" t="s">
        <v>304</v>
      </c>
      <c r="C95" t="s">
        <v>322</v>
      </c>
      <c r="E95" t="s">
        <v>323</v>
      </c>
      <c r="F95" t="s">
        <v>307</v>
      </c>
      <c r="G95" t="s">
        <v>308</v>
      </c>
      <c r="J95" t="s">
        <v>324</v>
      </c>
      <c r="K95">
        <v>30</v>
      </c>
      <c r="L95" s="38">
        <v>-300</v>
      </c>
      <c r="M95" t="s">
        <v>310</v>
      </c>
      <c r="Q95" t="s">
        <v>325</v>
      </c>
    </row>
    <row r="96" spans="1:17" ht="15.75" customHeight="1">
      <c r="A96" t="s">
        <v>326</v>
      </c>
      <c r="B96" t="s">
        <v>304</v>
      </c>
      <c r="C96" t="s">
        <v>327</v>
      </c>
      <c r="E96" t="s">
        <v>328</v>
      </c>
      <c r="F96" t="s">
        <v>307</v>
      </c>
      <c r="G96" t="s">
        <v>308</v>
      </c>
      <c r="J96" t="s">
        <v>329</v>
      </c>
      <c r="K96">
        <v>5</v>
      </c>
      <c r="L96" s="38">
        <v>-50</v>
      </c>
      <c r="M96" t="s">
        <v>310</v>
      </c>
      <c r="Q96" t="s">
        <v>330</v>
      </c>
    </row>
    <row r="97" spans="1:13" ht="15.75" customHeight="1">
      <c r="A97" t="s">
        <v>331</v>
      </c>
      <c r="B97" t="s">
        <v>304</v>
      </c>
      <c r="C97" t="s">
        <v>332</v>
      </c>
      <c r="E97" t="s">
        <v>333</v>
      </c>
      <c r="G97" t="s">
        <v>308</v>
      </c>
      <c r="J97" t="s">
        <v>334</v>
      </c>
      <c r="L97" s="38">
        <v>-200</v>
      </c>
      <c r="M97" t="s">
        <v>335</v>
      </c>
    </row>
    <row r="98" spans="1:13" ht="15.75" customHeight="1">
      <c r="A98" t="s">
        <v>336</v>
      </c>
      <c r="B98" t="s">
        <v>304</v>
      </c>
      <c r="C98" t="s">
        <v>337</v>
      </c>
      <c r="E98" t="s">
        <v>333</v>
      </c>
      <c r="G98" t="s">
        <v>308</v>
      </c>
      <c r="J98" t="s">
        <v>334</v>
      </c>
      <c r="L98" s="38">
        <v>-200</v>
      </c>
      <c r="M98" t="s">
        <v>335</v>
      </c>
    </row>
    <row r="99" spans="1:13" ht="15.75" customHeight="1">
      <c r="A99" t="s">
        <v>338</v>
      </c>
      <c r="B99" t="s">
        <v>304</v>
      </c>
      <c r="C99" t="s">
        <v>339</v>
      </c>
      <c r="E99" t="s">
        <v>333</v>
      </c>
      <c r="G99" t="s">
        <v>308</v>
      </c>
      <c r="J99" t="s">
        <v>334</v>
      </c>
      <c r="L99" s="38">
        <v>-200</v>
      </c>
      <c r="M99" t="s">
        <v>335</v>
      </c>
    </row>
    <row r="100" spans="1:13" ht="15.75" customHeight="1">
      <c r="A100" t="s">
        <v>340</v>
      </c>
      <c r="B100" t="s">
        <v>304</v>
      </c>
      <c r="C100" t="s">
        <v>341</v>
      </c>
      <c r="E100" t="s">
        <v>333</v>
      </c>
      <c r="G100" t="s">
        <v>308</v>
      </c>
      <c r="J100" t="s">
        <v>334</v>
      </c>
      <c r="L100" s="38">
        <v>-200</v>
      </c>
      <c r="M100" t="s">
        <v>335</v>
      </c>
    </row>
    <row r="101" spans="1:13" ht="15.75" customHeight="1">
      <c r="A101" t="s">
        <v>342</v>
      </c>
      <c r="B101" t="s">
        <v>304</v>
      </c>
      <c r="C101" t="s">
        <v>343</v>
      </c>
      <c r="E101" t="s">
        <v>333</v>
      </c>
      <c r="G101" t="s">
        <v>308</v>
      </c>
      <c r="J101" t="s">
        <v>334</v>
      </c>
      <c r="L101" s="38">
        <v>-200</v>
      </c>
      <c r="M101" t="s">
        <v>335</v>
      </c>
    </row>
    <row r="102" spans="1:13" ht="15.75" customHeight="1">
      <c r="A102" t="s">
        <v>344</v>
      </c>
      <c r="B102" t="s">
        <v>304</v>
      </c>
      <c r="C102" t="s">
        <v>345</v>
      </c>
      <c r="E102" t="s">
        <v>333</v>
      </c>
      <c r="G102" t="s">
        <v>308</v>
      </c>
      <c r="J102" t="s">
        <v>334</v>
      </c>
      <c r="L102" s="38">
        <v>-200</v>
      </c>
      <c r="M102" t="s">
        <v>335</v>
      </c>
    </row>
    <row r="103" spans="1:13" ht="15.75" customHeight="1">
      <c r="A103" t="s">
        <v>346</v>
      </c>
      <c r="B103" t="s">
        <v>304</v>
      </c>
      <c r="C103" t="s">
        <v>347</v>
      </c>
      <c r="E103" t="s">
        <v>333</v>
      </c>
      <c r="G103" t="s">
        <v>308</v>
      </c>
      <c r="J103" t="s">
        <v>334</v>
      </c>
      <c r="L103" s="38">
        <v>-200</v>
      </c>
      <c r="M103" t="s">
        <v>335</v>
      </c>
    </row>
    <row r="104" spans="1:13" ht="15.75" customHeight="1">
      <c r="A104" t="s">
        <v>348</v>
      </c>
      <c r="B104" t="s">
        <v>304</v>
      </c>
      <c r="C104" t="s">
        <v>349</v>
      </c>
      <c r="E104" t="s">
        <v>333</v>
      </c>
      <c r="G104" t="s">
        <v>308</v>
      </c>
      <c r="J104" t="s">
        <v>334</v>
      </c>
      <c r="L104" s="38">
        <v>-200</v>
      </c>
      <c r="M104" t="s">
        <v>335</v>
      </c>
    </row>
    <row r="105" spans="1:13" ht="15.75" customHeight="1">
      <c r="A105" t="s">
        <v>350</v>
      </c>
      <c r="B105" t="s">
        <v>304</v>
      </c>
      <c r="C105" t="s">
        <v>351</v>
      </c>
      <c r="E105" t="s">
        <v>333</v>
      </c>
      <c r="G105" t="s">
        <v>308</v>
      </c>
      <c r="J105" t="s">
        <v>334</v>
      </c>
      <c r="L105" s="38">
        <v>-200</v>
      </c>
      <c r="M105" t="s">
        <v>335</v>
      </c>
    </row>
    <row r="106" spans="1:13" ht="15.75" customHeight="1">
      <c r="A106" t="s">
        <v>352</v>
      </c>
      <c r="B106" t="s">
        <v>304</v>
      </c>
      <c r="C106" t="s">
        <v>353</v>
      </c>
      <c r="E106" t="s">
        <v>333</v>
      </c>
      <c r="G106" t="s">
        <v>308</v>
      </c>
      <c r="J106" t="s">
        <v>334</v>
      </c>
      <c r="L106" s="38">
        <v>-200</v>
      </c>
      <c r="M106" t="s">
        <v>335</v>
      </c>
    </row>
    <row r="107" spans="1:13" ht="15.75" customHeight="1">
      <c r="A107" s="8" t="s">
        <v>354</v>
      </c>
      <c r="B107" s="8" t="s">
        <v>355</v>
      </c>
      <c r="C107" s="10" t="s">
        <v>356</v>
      </c>
      <c r="G107" s="8" t="s">
        <v>8</v>
      </c>
      <c r="H107" s="25"/>
      <c r="I107" s="25" t="s">
        <v>357</v>
      </c>
      <c r="J107" t="s">
        <v>358</v>
      </c>
    </row>
    <row r="108" spans="1:13" ht="15.75" customHeight="1">
      <c r="A108" s="7" t="s">
        <v>359</v>
      </c>
      <c r="B108" s="8" t="s">
        <v>242</v>
      </c>
      <c r="C108" s="13" t="s">
        <v>360</v>
      </c>
      <c r="D108" s="8" t="s">
        <v>361</v>
      </c>
      <c r="E108" s="12" t="s">
        <v>362</v>
      </c>
      <c r="F108" s="12"/>
      <c r="G108" s="12" t="s">
        <v>7</v>
      </c>
      <c r="H108" s="8" t="s">
        <v>363</v>
      </c>
      <c r="J108" t="s">
        <v>364</v>
      </c>
    </row>
    <row r="109" spans="1:13" ht="15.75" customHeight="1">
      <c r="A109" s="7" t="s">
        <v>365</v>
      </c>
      <c r="B109" s="8" t="s">
        <v>242</v>
      </c>
      <c r="C109" s="10" t="s">
        <v>366</v>
      </c>
      <c r="D109" s="8" t="s">
        <v>367</v>
      </c>
      <c r="E109" s="10"/>
      <c r="F109" s="10"/>
      <c r="G109" s="8" t="s">
        <v>7</v>
      </c>
      <c r="H109" s="8" t="s">
        <v>368</v>
      </c>
      <c r="J109" t="s">
        <v>369</v>
      </c>
      <c r="L109" s="39"/>
    </row>
    <row r="110" spans="1:13" ht="15.75" customHeight="1">
      <c r="A110" s="7" t="s">
        <v>370</v>
      </c>
      <c r="B110" s="8" t="s">
        <v>242</v>
      </c>
      <c r="C110" s="13" t="s">
        <v>371</v>
      </c>
      <c r="D110" s="8" t="s">
        <v>372</v>
      </c>
      <c r="E110" s="12" t="s">
        <v>362</v>
      </c>
      <c r="F110" s="12"/>
      <c r="G110" s="12" t="s">
        <v>7</v>
      </c>
      <c r="H110" s="8" t="s">
        <v>373</v>
      </c>
      <c r="J110" t="s">
        <v>374</v>
      </c>
    </row>
    <row r="111" spans="1:13" ht="15.75" customHeight="1">
      <c r="A111" s="8" t="s">
        <v>375</v>
      </c>
      <c r="B111" s="8" t="s">
        <v>376</v>
      </c>
      <c r="C111" s="13" t="s">
        <v>377</v>
      </c>
      <c r="E111" s="12"/>
      <c r="F111" s="12"/>
      <c r="G111" s="12" t="s">
        <v>7</v>
      </c>
      <c r="H111" s="8" t="s">
        <v>378</v>
      </c>
      <c r="J111" t="s">
        <v>379</v>
      </c>
    </row>
    <row r="112" spans="1:13" ht="15.75" customHeight="1">
      <c r="A112" s="8" t="s">
        <v>380</v>
      </c>
      <c r="B112" s="8" t="s">
        <v>376</v>
      </c>
      <c r="C112" s="13" t="s">
        <v>381</v>
      </c>
      <c r="E112" s="12"/>
      <c r="F112" s="12"/>
      <c r="G112" s="12" t="s">
        <v>7</v>
      </c>
      <c r="H112" s="8" t="s">
        <v>382</v>
      </c>
      <c r="J112" t="s">
        <v>383</v>
      </c>
    </row>
    <row r="113" spans="1:10" ht="15.75" customHeight="1">
      <c r="A113" s="7" t="s">
        <v>384</v>
      </c>
      <c r="B113" s="8" t="s">
        <v>247</v>
      </c>
      <c r="C113" s="13" t="s">
        <v>385</v>
      </c>
      <c r="D113" s="8" t="s">
        <v>386</v>
      </c>
      <c r="E113" s="12" t="s">
        <v>362</v>
      </c>
      <c r="F113" s="12"/>
      <c r="G113" s="12" t="s">
        <v>7</v>
      </c>
      <c r="H113" s="8" t="s">
        <v>387</v>
      </c>
      <c r="J113" t="s">
        <v>388</v>
      </c>
    </row>
    <row r="114" spans="1:10" ht="15.75" customHeight="1">
      <c r="A114" s="7" t="s">
        <v>389</v>
      </c>
      <c r="B114" s="8" t="s">
        <v>247</v>
      </c>
      <c r="C114" s="13" t="s">
        <v>390</v>
      </c>
      <c r="D114" s="8" t="s">
        <v>391</v>
      </c>
      <c r="E114" s="12" t="s">
        <v>362</v>
      </c>
      <c r="F114" s="12"/>
      <c r="G114" s="12" t="s">
        <v>7</v>
      </c>
      <c r="H114" s="8" t="s">
        <v>392</v>
      </c>
      <c r="J114" t="s">
        <v>388</v>
      </c>
    </row>
    <row r="115" spans="1:10" ht="15.75" customHeight="1">
      <c r="A115" s="7" t="s">
        <v>393</v>
      </c>
      <c r="B115" s="8" t="s">
        <v>247</v>
      </c>
      <c r="C115" s="13" t="s">
        <v>394</v>
      </c>
      <c r="D115" s="8" t="s">
        <v>395</v>
      </c>
      <c r="E115" s="12" t="s">
        <v>362</v>
      </c>
      <c r="F115" s="12"/>
      <c r="G115" s="12" t="s">
        <v>7</v>
      </c>
      <c r="H115" s="8" t="s">
        <v>396</v>
      </c>
      <c r="J115" t="s">
        <v>397</v>
      </c>
    </row>
    <row r="116" spans="1:10" ht="15.75" customHeight="1">
      <c r="A116" s="7" t="s">
        <v>398</v>
      </c>
      <c r="B116" s="8" t="s">
        <v>242</v>
      </c>
      <c r="C116" s="13" t="s">
        <v>399</v>
      </c>
      <c r="E116" s="12" t="s">
        <v>244</v>
      </c>
      <c r="F116" s="12"/>
      <c r="G116" s="12" t="s">
        <v>7</v>
      </c>
      <c r="H116" s="8" t="s">
        <v>400</v>
      </c>
      <c r="J116" t="s">
        <v>401</v>
      </c>
    </row>
    <row r="117" spans="1:10" ht="15.75" customHeight="1">
      <c r="A117" s="7" t="s">
        <v>402</v>
      </c>
      <c r="B117" s="8" t="s">
        <v>247</v>
      </c>
      <c r="C117" s="13" t="s">
        <v>403</v>
      </c>
      <c r="D117" s="8" t="s">
        <v>404</v>
      </c>
      <c r="E117" s="12" t="s">
        <v>362</v>
      </c>
      <c r="F117" s="12"/>
      <c r="G117" s="12" t="s">
        <v>7</v>
      </c>
      <c r="H117" s="8" t="s">
        <v>405</v>
      </c>
      <c r="J117" t="s">
        <v>406</v>
      </c>
    </row>
    <row r="118" spans="1:10" ht="15.75" customHeight="1">
      <c r="A118" s="7" t="s">
        <v>407</v>
      </c>
      <c r="B118" s="8" t="s">
        <v>408</v>
      </c>
      <c r="C118" s="10" t="s">
        <v>409</v>
      </c>
      <c r="G118" s="8" t="s">
        <v>7</v>
      </c>
      <c r="H118" s="8" t="s">
        <v>410</v>
      </c>
      <c r="J118" t="s">
        <v>411</v>
      </c>
    </row>
    <row r="119" spans="1:10" ht="15.75" customHeight="1">
      <c r="A119" s="7" t="s">
        <v>412</v>
      </c>
      <c r="B119" s="8" t="s">
        <v>408</v>
      </c>
      <c r="C119" s="10" t="s">
        <v>413</v>
      </c>
      <c r="G119" s="8" t="s">
        <v>7</v>
      </c>
      <c r="H119" s="8" t="s">
        <v>414</v>
      </c>
      <c r="J119" t="s">
        <v>411</v>
      </c>
    </row>
    <row r="120" spans="1:10" ht="15.75" customHeight="1">
      <c r="A120" s="7" t="s">
        <v>415</v>
      </c>
      <c r="B120" s="8" t="s">
        <v>408</v>
      </c>
      <c r="C120" s="10" t="s">
        <v>416</v>
      </c>
      <c r="G120" s="8" t="s">
        <v>7</v>
      </c>
      <c r="H120" s="8" t="s">
        <v>417</v>
      </c>
      <c r="J120" t="s">
        <v>411</v>
      </c>
    </row>
    <row r="121" spans="1:10" ht="15.75" customHeight="1">
      <c r="A121" s="7" t="s">
        <v>418</v>
      </c>
      <c r="B121" s="8" t="s">
        <v>408</v>
      </c>
      <c r="C121" s="10" t="s">
        <v>419</v>
      </c>
      <c r="G121" s="8" t="s">
        <v>7</v>
      </c>
      <c r="H121" s="8" t="s">
        <v>420</v>
      </c>
      <c r="J121" t="s">
        <v>411</v>
      </c>
    </row>
    <row r="122" spans="1:10" ht="15.75" customHeight="1">
      <c r="A122" s="7" t="s">
        <v>421</v>
      </c>
      <c r="B122" s="8" t="s">
        <v>408</v>
      </c>
      <c r="C122" s="10" t="s">
        <v>422</v>
      </c>
      <c r="G122" s="8" t="s">
        <v>7</v>
      </c>
      <c r="H122" s="8" t="s">
        <v>423</v>
      </c>
      <c r="J122" t="s">
        <v>411</v>
      </c>
    </row>
    <row r="123" spans="1:10" ht="15.75" customHeight="1">
      <c r="A123" s="7" t="s">
        <v>424</v>
      </c>
      <c r="B123" s="8" t="s">
        <v>408</v>
      </c>
      <c r="C123" s="10" t="s">
        <v>425</v>
      </c>
      <c r="G123" s="8" t="s">
        <v>7</v>
      </c>
      <c r="H123" s="8" t="s">
        <v>426</v>
      </c>
      <c r="J123" t="s">
        <v>411</v>
      </c>
    </row>
    <row r="124" spans="1:10" ht="15.75" customHeight="1">
      <c r="A124" s="7" t="s">
        <v>427</v>
      </c>
      <c r="B124" s="8" t="s">
        <v>408</v>
      </c>
      <c r="C124" s="10" t="s">
        <v>428</v>
      </c>
      <c r="G124" s="8" t="s">
        <v>7</v>
      </c>
      <c r="H124" s="8" t="s">
        <v>429</v>
      </c>
      <c r="J124" t="s">
        <v>411</v>
      </c>
    </row>
    <row r="125" spans="1:10" ht="15.75" customHeight="1">
      <c r="A125" t="s">
        <v>430</v>
      </c>
      <c r="B125" t="s">
        <v>376</v>
      </c>
      <c r="C125" t="s">
        <v>431</v>
      </c>
      <c r="E125" t="s">
        <v>432</v>
      </c>
      <c r="G125" t="s">
        <v>7</v>
      </c>
      <c r="H125" t="s">
        <v>433</v>
      </c>
      <c r="J125" t="s">
        <v>434</v>
      </c>
    </row>
    <row r="126" spans="1:10" ht="15.75" customHeight="1">
      <c r="A126" t="s">
        <v>435</v>
      </c>
      <c r="B126" t="s">
        <v>376</v>
      </c>
      <c r="C126" t="s">
        <v>436</v>
      </c>
      <c r="E126" t="s">
        <v>432</v>
      </c>
      <c r="G126" t="s">
        <v>7</v>
      </c>
      <c r="H126" t="s">
        <v>437</v>
      </c>
      <c r="J126" t="s">
        <v>434</v>
      </c>
    </row>
    <row r="127" spans="1:10" ht="15.75" customHeight="1">
      <c r="A127" t="s">
        <v>438</v>
      </c>
      <c r="B127" t="s">
        <v>376</v>
      </c>
      <c r="C127" t="s">
        <v>439</v>
      </c>
      <c r="E127" t="s">
        <v>432</v>
      </c>
      <c r="G127" t="s">
        <v>7</v>
      </c>
      <c r="H127" t="s">
        <v>440</v>
      </c>
      <c r="J127" t="s">
        <v>434</v>
      </c>
    </row>
    <row r="128" spans="1:10" ht="15.75" customHeight="1">
      <c r="A128" t="s">
        <v>441</v>
      </c>
      <c r="B128" t="s">
        <v>376</v>
      </c>
      <c r="C128" t="s">
        <v>442</v>
      </c>
      <c r="E128" t="s">
        <v>432</v>
      </c>
      <c r="G128" t="s">
        <v>7</v>
      </c>
      <c r="H128" t="s">
        <v>443</v>
      </c>
      <c r="J128" t="s">
        <v>434</v>
      </c>
    </row>
    <row r="129" spans="1:12" ht="15.75" customHeight="1">
      <c r="A129" t="s">
        <v>444</v>
      </c>
      <c r="B129" t="s">
        <v>376</v>
      </c>
      <c r="C129" t="s">
        <v>445</v>
      </c>
      <c r="E129" t="s">
        <v>432</v>
      </c>
      <c r="G129" t="s">
        <v>7</v>
      </c>
      <c r="H129" t="s">
        <v>446</v>
      </c>
      <c r="J129" t="s">
        <v>434</v>
      </c>
    </row>
    <row r="130" spans="1:12" ht="15.75" customHeight="1">
      <c r="A130" t="s">
        <v>447</v>
      </c>
      <c r="B130" t="s">
        <v>376</v>
      </c>
      <c r="C130" t="s">
        <v>448</v>
      </c>
      <c r="E130" t="s">
        <v>432</v>
      </c>
      <c r="G130" t="s">
        <v>7</v>
      </c>
      <c r="H130" t="s">
        <v>449</v>
      </c>
      <c r="J130" t="s">
        <v>450</v>
      </c>
    </row>
    <row r="131" spans="1:12" ht="15.75" customHeight="1">
      <c r="A131" t="s">
        <v>451</v>
      </c>
      <c r="B131" t="s">
        <v>376</v>
      </c>
      <c r="C131" t="s">
        <v>452</v>
      </c>
      <c r="E131" t="s">
        <v>432</v>
      </c>
      <c r="G131" t="s">
        <v>7</v>
      </c>
      <c r="H131" t="s">
        <v>453</v>
      </c>
      <c r="J131" t="s">
        <v>450</v>
      </c>
    </row>
    <row r="132" spans="1:12" ht="15.75" customHeight="1">
      <c r="A132" t="s">
        <v>454</v>
      </c>
      <c r="B132" t="s">
        <v>376</v>
      </c>
      <c r="C132" t="s">
        <v>455</v>
      </c>
      <c r="E132" t="s">
        <v>432</v>
      </c>
      <c r="G132" t="s">
        <v>7</v>
      </c>
      <c r="H132" t="s">
        <v>456</v>
      </c>
      <c r="J132" t="s">
        <v>450</v>
      </c>
    </row>
    <row r="133" spans="1:12" ht="15.75" customHeight="1">
      <c r="A133" t="s">
        <v>457</v>
      </c>
      <c r="B133" t="s">
        <v>376</v>
      </c>
      <c r="C133" t="s">
        <v>458</v>
      </c>
      <c r="E133" t="s">
        <v>432</v>
      </c>
      <c r="G133" t="s">
        <v>7</v>
      </c>
      <c r="H133" t="s">
        <v>459</v>
      </c>
      <c r="J133" t="s">
        <v>450</v>
      </c>
    </row>
    <row r="134" spans="1:12" ht="15.75" customHeight="1">
      <c r="A134" t="s">
        <v>460</v>
      </c>
      <c r="B134" t="s">
        <v>376</v>
      </c>
      <c r="C134" t="s">
        <v>461</v>
      </c>
      <c r="E134" t="s">
        <v>432</v>
      </c>
      <c r="G134" t="s">
        <v>7</v>
      </c>
      <c r="H134" t="s">
        <v>462</v>
      </c>
      <c r="J134" t="s">
        <v>450</v>
      </c>
    </row>
    <row r="135" spans="1:12" ht="15.75" customHeight="1">
      <c r="A135" s="7" t="s">
        <v>463</v>
      </c>
      <c r="B135" s="8" t="s">
        <v>247</v>
      </c>
      <c r="C135" s="13" t="s">
        <v>464</v>
      </c>
      <c r="E135" s="12" t="s">
        <v>362</v>
      </c>
      <c r="F135" s="12"/>
      <c r="G135" s="12" t="s">
        <v>7</v>
      </c>
      <c r="H135" t="s">
        <v>465</v>
      </c>
      <c r="J135" t="s">
        <v>466</v>
      </c>
    </row>
    <row r="136" spans="1:12" ht="15.75" customHeight="1">
      <c r="A136" s="7" t="s">
        <v>467</v>
      </c>
      <c r="B136" s="8" t="s">
        <v>247</v>
      </c>
      <c r="C136" s="13" t="s">
        <v>468</v>
      </c>
      <c r="E136" s="12" t="s">
        <v>362</v>
      </c>
      <c r="F136" s="12"/>
      <c r="G136" s="12" t="s">
        <v>7</v>
      </c>
      <c r="H136" t="s">
        <v>469</v>
      </c>
      <c r="J136" t="s">
        <v>466</v>
      </c>
    </row>
    <row r="137" spans="1:12" ht="15.75" customHeight="1">
      <c r="A137" s="7" t="s">
        <v>470</v>
      </c>
      <c r="B137" s="8" t="s">
        <v>247</v>
      </c>
      <c r="C137" s="13" t="s">
        <v>471</v>
      </c>
      <c r="E137" s="12" t="s">
        <v>362</v>
      </c>
      <c r="F137" s="12"/>
      <c r="G137" s="12" t="s">
        <v>7</v>
      </c>
      <c r="H137" t="s">
        <v>472</v>
      </c>
      <c r="J137" t="s">
        <v>466</v>
      </c>
    </row>
    <row r="138" spans="1:12" ht="15.75" customHeight="1">
      <c r="A138" s="7" t="s">
        <v>473</v>
      </c>
      <c r="B138" s="8" t="s">
        <v>247</v>
      </c>
      <c r="C138" s="13" t="s">
        <v>474</v>
      </c>
      <c r="E138" s="12" t="s">
        <v>362</v>
      </c>
      <c r="F138" s="12"/>
      <c r="G138" s="12" t="s">
        <v>7</v>
      </c>
      <c r="H138" t="s">
        <v>475</v>
      </c>
      <c r="J138" t="s">
        <v>466</v>
      </c>
    </row>
    <row r="139" spans="1:12" ht="15.75" customHeight="1">
      <c r="A139" s="7" t="s">
        <v>476</v>
      </c>
      <c r="B139" s="12" t="s">
        <v>477</v>
      </c>
      <c r="C139" s="10" t="s">
        <v>478</v>
      </c>
      <c r="E139" s="12"/>
      <c r="F139" s="12" t="s">
        <v>479</v>
      </c>
      <c r="G139" s="12" t="s">
        <v>308</v>
      </c>
      <c r="H139" s="12"/>
      <c r="I139" s="12"/>
      <c r="J139" t="s">
        <v>480</v>
      </c>
      <c r="L139" s="38">
        <v>2</v>
      </c>
    </row>
    <row r="140" spans="1:12" ht="15.75" customHeight="1">
      <c r="A140" s="7" t="s">
        <v>481</v>
      </c>
      <c r="B140" s="8" t="s">
        <v>278</v>
      </c>
      <c r="C140" s="10" t="s">
        <v>482</v>
      </c>
      <c r="E140" s="8" t="s">
        <v>280</v>
      </c>
      <c r="G140" s="8" t="s">
        <v>7</v>
      </c>
      <c r="H140" s="8" t="s">
        <v>483</v>
      </c>
      <c r="J140" s="8" t="s">
        <v>484</v>
      </c>
    </row>
    <row r="141" spans="1:12" ht="15.75" customHeight="1">
      <c r="A141" s="7" t="s">
        <v>485</v>
      </c>
      <c r="B141" s="8" t="s">
        <v>278</v>
      </c>
      <c r="C141" s="10" t="s">
        <v>486</v>
      </c>
      <c r="E141" s="8" t="s">
        <v>280</v>
      </c>
      <c r="G141" s="8" t="s">
        <v>7</v>
      </c>
      <c r="H141" s="8" t="s">
        <v>483</v>
      </c>
      <c r="J141" s="8" t="s">
        <v>484</v>
      </c>
    </row>
    <row r="142" spans="1:12" ht="15.75" customHeight="1">
      <c r="A142" s="7" t="s">
        <v>487</v>
      </c>
      <c r="B142" s="8" t="s">
        <v>242</v>
      </c>
      <c r="C142" s="14" t="s">
        <v>488</v>
      </c>
      <c r="D142" s="8" t="s">
        <v>489</v>
      </c>
      <c r="E142" s="8" t="s">
        <v>362</v>
      </c>
      <c r="G142" s="12" t="s">
        <v>7</v>
      </c>
      <c r="H142" s="8" t="s">
        <v>490</v>
      </c>
      <c r="J142" s="8" t="s">
        <v>491</v>
      </c>
    </row>
    <row r="143" spans="1:12" ht="15.75" customHeight="1">
      <c r="A143" s="7" t="s">
        <v>492</v>
      </c>
      <c r="B143" s="8" t="s">
        <v>278</v>
      </c>
      <c r="C143" s="11" t="s">
        <v>493</v>
      </c>
      <c r="E143" s="8" t="s">
        <v>280</v>
      </c>
      <c r="G143" s="8" t="s">
        <v>7</v>
      </c>
      <c r="H143" s="8" t="s">
        <v>483</v>
      </c>
      <c r="J143" s="8" t="s">
        <v>494</v>
      </c>
    </row>
    <row r="144" spans="1:12" ht="15.75" customHeight="1">
      <c r="A144" s="7" t="s">
        <v>495</v>
      </c>
      <c r="B144" s="8" t="s">
        <v>242</v>
      </c>
      <c r="C144" s="13" t="s">
        <v>496</v>
      </c>
      <c r="E144" s="12" t="s">
        <v>244</v>
      </c>
      <c r="F144" s="12"/>
      <c r="G144" s="12" t="s">
        <v>7</v>
      </c>
      <c r="H144" t="s">
        <v>497</v>
      </c>
      <c r="J144" t="s">
        <v>498</v>
      </c>
    </row>
    <row r="145" spans="1:12" ht="15.75" customHeight="1">
      <c r="A145" t="s">
        <v>499</v>
      </c>
      <c r="B145" t="s">
        <v>242</v>
      </c>
      <c r="C145" t="s">
        <v>500</v>
      </c>
      <c r="E145" t="s">
        <v>501</v>
      </c>
      <c r="G145" t="s">
        <v>502</v>
      </c>
      <c r="H145" t="s">
        <v>503</v>
      </c>
      <c r="J145" t="s">
        <v>504</v>
      </c>
    </row>
    <row r="146" spans="1:12" ht="15.75" customHeight="1">
      <c r="A146" s="7" t="s">
        <v>505</v>
      </c>
      <c r="B146" s="8" t="s">
        <v>506</v>
      </c>
      <c r="C146" s="14" t="s">
        <v>507</v>
      </c>
      <c r="G146" s="8" t="s">
        <v>20</v>
      </c>
      <c r="J146" t="s">
        <v>508</v>
      </c>
      <c r="L146" s="38" t="s">
        <v>509</v>
      </c>
    </row>
    <row r="147" spans="1:12" ht="15.75" customHeight="1">
      <c r="A147" s="7" t="s">
        <v>510</v>
      </c>
      <c r="B147" s="8" t="s">
        <v>506</v>
      </c>
      <c r="C147" s="10" t="s">
        <v>511</v>
      </c>
      <c r="G147" s="8" t="s">
        <v>20</v>
      </c>
      <c r="J147" t="s">
        <v>508</v>
      </c>
      <c r="L147" s="38" t="s">
        <v>509</v>
      </c>
    </row>
    <row r="148" spans="1:12" ht="15.75" customHeight="1">
      <c r="A148" s="7" t="s">
        <v>512</v>
      </c>
      <c r="B148" s="8" t="s">
        <v>506</v>
      </c>
      <c r="C148" s="14" t="s">
        <v>513</v>
      </c>
      <c r="G148" s="8" t="s">
        <v>20</v>
      </c>
      <c r="J148" t="s">
        <v>508</v>
      </c>
      <c r="L148" s="38" t="s">
        <v>509</v>
      </c>
    </row>
    <row r="149" spans="1:12" ht="15.75" customHeight="1">
      <c r="A149" s="7" t="s">
        <v>514</v>
      </c>
      <c r="B149" s="8" t="s">
        <v>506</v>
      </c>
      <c r="C149" s="14" t="s">
        <v>515</v>
      </c>
      <c r="G149" s="8" t="s">
        <v>20</v>
      </c>
      <c r="J149" t="s">
        <v>508</v>
      </c>
      <c r="L149" s="38" t="s">
        <v>509</v>
      </c>
    </row>
    <row r="150" spans="1:12" ht="15.75" customHeight="1">
      <c r="A150" s="7" t="s">
        <v>516</v>
      </c>
      <c r="B150" s="8" t="s">
        <v>506</v>
      </c>
      <c r="C150" s="10" t="s">
        <v>517</v>
      </c>
      <c r="G150" s="8" t="s">
        <v>20</v>
      </c>
      <c r="J150" t="s">
        <v>508</v>
      </c>
      <c r="L150" s="38" t="s">
        <v>509</v>
      </c>
    </row>
    <row r="151" spans="1:12" ht="15.75" customHeight="1">
      <c r="A151" s="7" t="s">
        <v>518</v>
      </c>
      <c r="B151" s="8" t="s">
        <v>506</v>
      </c>
      <c r="C151" s="10" t="s">
        <v>519</v>
      </c>
      <c r="G151" s="8" t="s">
        <v>20</v>
      </c>
      <c r="J151" t="s">
        <v>508</v>
      </c>
      <c r="L151" s="38" t="s">
        <v>509</v>
      </c>
    </row>
    <row r="152" spans="1:12" ht="15.75" customHeight="1">
      <c r="A152" s="7" t="s">
        <v>520</v>
      </c>
      <c r="B152" s="8" t="s">
        <v>506</v>
      </c>
      <c r="C152" s="14" t="s">
        <v>521</v>
      </c>
      <c r="D152" s="8" t="s">
        <v>522</v>
      </c>
      <c r="G152" s="8" t="s">
        <v>20</v>
      </c>
      <c r="J152" t="s">
        <v>508</v>
      </c>
      <c r="L152" s="38" t="s">
        <v>509</v>
      </c>
    </row>
    <row r="153" spans="1:12" ht="15.75" customHeight="1">
      <c r="A153" s="7" t="s">
        <v>523</v>
      </c>
      <c r="B153" s="8" t="s">
        <v>506</v>
      </c>
      <c r="C153" s="20" t="s">
        <v>524</v>
      </c>
      <c r="G153" s="8" t="s">
        <v>20</v>
      </c>
      <c r="J153" t="s">
        <v>508</v>
      </c>
      <c r="L153" s="38" t="s">
        <v>509</v>
      </c>
    </row>
    <row r="154" spans="1:12" ht="15.75" customHeight="1">
      <c r="A154" s="8" t="s">
        <v>525</v>
      </c>
      <c r="B154" s="8" t="s">
        <v>506</v>
      </c>
      <c r="C154" s="10" t="s">
        <v>526</v>
      </c>
      <c r="G154" s="8" t="s">
        <v>20</v>
      </c>
      <c r="J154" t="s">
        <v>508</v>
      </c>
      <c r="L154" s="38" t="s">
        <v>509</v>
      </c>
    </row>
    <row r="155" spans="1:12" ht="15.75" customHeight="1">
      <c r="A155" s="8" t="s">
        <v>527</v>
      </c>
      <c r="B155" s="8" t="s">
        <v>506</v>
      </c>
      <c r="C155" s="10" t="s">
        <v>528</v>
      </c>
      <c r="G155" s="8" t="s">
        <v>20</v>
      </c>
      <c r="J155" t="s">
        <v>508</v>
      </c>
      <c r="L155" s="38" t="s">
        <v>509</v>
      </c>
    </row>
    <row r="156" spans="1:12" ht="15.75" customHeight="1">
      <c r="A156" s="8" t="s">
        <v>529</v>
      </c>
      <c r="B156" s="8" t="s">
        <v>506</v>
      </c>
      <c r="C156" s="10" t="s">
        <v>530</v>
      </c>
      <c r="G156" s="8" t="s">
        <v>20</v>
      </c>
      <c r="J156" t="s">
        <v>508</v>
      </c>
      <c r="L156" s="38" t="s">
        <v>509</v>
      </c>
    </row>
    <row r="157" spans="1:12" ht="15.75" customHeight="1">
      <c r="A157" s="8" t="s">
        <v>531</v>
      </c>
      <c r="B157" s="8" t="s">
        <v>506</v>
      </c>
      <c r="C157" s="10" t="s">
        <v>532</v>
      </c>
      <c r="G157" s="8" t="s">
        <v>20</v>
      </c>
      <c r="J157" t="s">
        <v>508</v>
      </c>
      <c r="L157" s="38" t="s">
        <v>509</v>
      </c>
    </row>
    <row r="158" spans="1:12" ht="15.75" customHeight="1">
      <c r="A158" s="8" t="s">
        <v>533</v>
      </c>
      <c r="B158" s="8" t="s">
        <v>506</v>
      </c>
      <c r="C158" s="10" t="s">
        <v>534</v>
      </c>
      <c r="G158" s="8" t="s">
        <v>20</v>
      </c>
      <c r="J158" t="s">
        <v>508</v>
      </c>
      <c r="L158" s="38" t="s">
        <v>509</v>
      </c>
    </row>
    <row r="159" spans="1:12" ht="15.75" customHeight="1">
      <c r="A159" s="8" t="s">
        <v>535</v>
      </c>
      <c r="B159" s="8" t="s">
        <v>506</v>
      </c>
      <c r="C159" s="14" t="s">
        <v>536</v>
      </c>
      <c r="G159" s="8" t="s">
        <v>20</v>
      </c>
      <c r="J159" t="s">
        <v>508</v>
      </c>
      <c r="L159" s="38" t="s">
        <v>509</v>
      </c>
    </row>
    <row r="160" spans="1:12" ht="15.75" customHeight="1">
      <c r="A160" s="8" t="s">
        <v>537</v>
      </c>
      <c r="B160" s="8" t="s">
        <v>506</v>
      </c>
      <c r="C160" s="10" t="s">
        <v>538</v>
      </c>
      <c r="G160" s="8" t="s">
        <v>20</v>
      </c>
      <c r="J160" t="s">
        <v>508</v>
      </c>
      <c r="L160" s="38" t="s">
        <v>509</v>
      </c>
    </row>
    <row r="161" spans="1:16" ht="15.75" customHeight="1">
      <c r="A161" s="8" t="s">
        <v>539</v>
      </c>
      <c r="B161" s="8" t="s">
        <v>506</v>
      </c>
      <c r="C161" s="10" t="s">
        <v>540</v>
      </c>
      <c r="G161" s="8" t="s">
        <v>20</v>
      </c>
      <c r="J161" t="s">
        <v>508</v>
      </c>
      <c r="L161" s="38" t="s">
        <v>509</v>
      </c>
    </row>
    <row r="162" spans="1:16" ht="15.75" customHeight="1">
      <c r="A162" s="8" t="s">
        <v>541</v>
      </c>
      <c r="B162" s="8" t="s">
        <v>506</v>
      </c>
      <c r="C162" s="10" t="s">
        <v>542</v>
      </c>
      <c r="G162" s="8" t="s">
        <v>20</v>
      </c>
      <c r="J162" t="s">
        <v>508</v>
      </c>
      <c r="L162" s="38" t="s">
        <v>509</v>
      </c>
    </row>
    <row r="163" spans="1:16" ht="15.75" customHeight="1">
      <c r="A163" s="8" t="s">
        <v>543</v>
      </c>
      <c r="B163" s="8" t="s">
        <v>506</v>
      </c>
      <c r="C163" s="10" t="s">
        <v>283</v>
      </c>
      <c r="G163" s="8" t="s">
        <v>20</v>
      </c>
      <c r="J163" t="s">
        <v>508</v>
      </c>
      <c r="L163" s="38" t="s">
        <v>509</v>
      </c>
    </row>
    <row r="164" spans="1:16" ht="15.75" customHeight="1">
      <c r="A164" s="8" t="s">
        <v>544</v>
      </c>
      <c r="B164" s="8" t="s">
        <v>506</v>
      </c>
      <c r="C164" s="10" t="s">
        <v>545</v>
      </c>
      <c r="G164" s="8" t="s">
        <v>20</v>
      </c>
      <c r="J164" t="s">
        <v>508</v>
      </c>
      <c r="L164" s="38" t="s">
        <v>509</v>
      </c>
    </row>
    <row r="165" spans="1:16" ht="15.75" customHeight="1">
      <c r="A165" s="8" t="s">
        <v>546</v>
      </c>
      <c r="B165" s="8" t="s">
        <v>506</v>
      </c>
      <c r="C165" s="10" t="s">
        <v>547</v>
      </c>
      <c r="G165" s="8" t="s">
        <v>20</v>
      </c>
      <c r="J165" t="s">
        <v>508</v>
      </c>
      <c r="L165" s="38" t="s">
        <v>509</v>
      </c>
    </row>
    <row r="166" spans="1:16" ht="15.75" customHeight="1">
      <c r="A166" s="8" t="s">
        <v>548</v>
      </c>
      <c r="B166" s="8" t="s">
        <v>506</v>
      </c>
      <c r="C166" s="14" t="s">
        <v>549</v>
      </c>
      <c r="G166" s="8" t="s">
        <v>20</v>
      </c>
      <c r="J166" t="s">
        <v>508</v>
      </c>
      <c r="L166" s="38" t="s">
        <v>509</v>
      </c>
    </row>
    <row r="167" spans="1:16" ht="15.75" customHeight="1">
      <c r="A167" s="7" t="s">
        <v>550</v>
      </c>
      <c r="B167" s="8" t="s">
        <v>506</v>
      </c>
      <c r="C167" s="21" t="s">
        <v>551</v>
      </c>
      <c r="G167" s="8" t="s">
        <v>20</v>
      </c>
      <c r="J167" t="s">
        <v>508</v>
      </c>
      <c r="L167" s="38" t="s">
        <v>509</v>
      </c>
    </row>
    <row r="168" spans="1:16" ht="15.75" customHeight="1">
      <c r="A168" s="7" t="s">
        <v>552</v>
      </c>
      <c r="B168" s="8" t="s">
        <v>553</v>
      </c>
      <c r="C168" s="21" t="s">
        <v>554</v>
      </c>
      <c r="D168" s="26"/>
      <c r="E168" s="12" t="s">
        <v>555</v>
      </c>
      <c r="F168" s="12" t="s">
        <v>556</v>
      </c>
      <c r="G168" s="8" t="s">
        <v>20</v>
      </c>
      <c r="J168" t="s">
        <v>508</v>
      </c>
      <c r="L168" s="38" t="s">
        <v>509</v>
      </c>
      <c r="O168">
        <v>10</v>
      </c>
      <c r="P168" t="s">
        <v>23</v>
      </c>
    </row>
    <row r="169" spans="1:16" ht="15.75" customHeight="1">
      <c r="A169" s="7" t="s">
        <v>557</v>
      </c>
      <c r="B169" s="8" t="s">
        <v>553</v>
      </c>
      <c r="C169" s="21" t="s">
        <v>558</v>
      </c>
      <c r="D169" s="26"/>
      <c r="E169" s="12" t="s">
        <v>555</v>
      </c>
      <c r="F169" s="12" t="s">
        <v>559</v>
      </c>
      <c r="G169" s="8" t="s">
        <v>20</v>
      </c>
      <c r="J169" t="s">
        <v>508</v>
      </c>
      <c r="L169" s="38" t="s">
        <v>509</v>
      </c>
      <c r="O169">
        <v>15</v>
      </c>
      <c r="P169" t="s">
        <v>297</v>
      </c>
    </row>
    <row r="170" spans="1:16" ht="15.75" customHeight="1">
      <c r="A170" s="7" t="s">
        <v>560</v>
      </c>
      <c r="B170" s="8" t="s">
        <v>553</v>
      </c>
      <c r="C170" s="21" t="s">
        <v>561</v>
      </c>
      <c r="D170" s="26"/>
      <c r="E170" s="12" t="s">
        <v>555</v>
      </c>
      <c r="F170" s="12" t="s">
        <v>552</v>
      </c>
      <c r="G170" s="8" t="s">
        <v>20</v>
      </c>
      <c r="J170" t="s">
        <v>508</v>
      </c>
      <c r="L170" s="38" t="s">
        <v>509</v>
      </c>
      <c r="O170">
        <v>10</v>
      </c>
      <c r="P170" t="s">
        <v>90</v>
      </c>
    </row>
    <row r="171" spans="1:16" ht="15.75" customHeight="1">
      <c r="A171" s="7" t="s">
        <v>556</v>
      </c>
      <c r="B171" s="8" t="s">
        <v>553</v>
      </c>
      <c r="C171" s="21" t="s">
        <v>562</v>
      </c>
      <c r="D171" s="26"/>
      <c r="E171" s="12" t="s">
        <v>555</v>
      </c>
      <c r="F171" s="12" t="s">
        <v>563</v>
      </c>
      <c r="G171" s="8" t="s">
        <v>20</v>
      </c>
      <c r="J171" t="s">
        <v>508</v>
      </c>
      <c r="L171" s="38" t="s">
        <v>509</v>
      </c>
      <c r="O171">
        <v>15</v>
      </c>
      <c r="P171" t="s">
        <v>297</v>
      </c>
    </row>
    <row r="172" spans="1:16" ht="15.75" customHeight="1">
      <c r="A172" s="7" t="s">
        <v>564</v>
      </c>
      <c r="B172" s="8" t="s">
        <v>553</v>
      </c>
      <c r="C172" s="21" t="s">
        <v>565</v>
      </c>
      <c r="D172" s="12"/>
      <c r="E172" s="12" t="s">
        <v>555</v>
      </c>
      <c r="F172" s="12" t="s">
        <v>566</v>
      </c>
      <c r="G172" s="8" t="s">
        <v>20</v>
      </c>
      <c r="J172" t="s">
        <v>508</v>
      </c>
      <c r="L172" s="38" t="s">
        <v>509</v>
      </c>
      <c r="O172">
        <v>10</v>
      </c>
      <c r="P172" t="s">
        <v>125</v>
      </c>
    </row>
    <row r="173" spans="1:16" ht="15.75" customHeight="1">
      <c r="A173" s="7" t="s">
        <v>567</v>
      </c>
      <c r="B173" s="8" t="s">
        <v>553</v>
      </c>
      <c r="C173" s="21" t="s">
        <v>568</v>
      </c>
      <c r="D173" s="12"/>
      <c r="E173" s="12" t="s">
        <v>555</v>
      </c>
      <c r="F173" s="12" t="s">
        <v>566</v>
      </c>
      <c r="G173" s="8" t="s">
        <v>20</v>
      </c>
      <c r="J173" t="s">
        <v>508</v>
      </c>
      <c r="L173" s="38" t="s">
        <v>509</v>
      </c>
      <c r="O173">
        <v>10</v>
      </c>
      <c r="P173" t="s">
        <v>125</v>
      </c>
    </row>
    <row r="174" spans="1:16" ht="15.75" customHeight="1">
      <c r="A174" s="7" t="s">
        <v>569</v>
      </c>
      <c r="B174" s="8" t="s">
        <v>553</v>
      </c>
      <c r="C174" s="21" t="s">
        <v>570</v>
      </c>
      <c r="D174" s="12"/>
      <c r="E174" s="12" t="s">
        <v>555</v>
      </c>
      <c r="F174" s="12" t="s">
        <v>566</v>
      </c>
      <c r="G174" s="8" t="s">
        <v>20</v>
      </c>
      <c r="J174" t="s">
        <v>508</v>
      </c>
      <c r="L174" s="38" t="s">
        <v>509</v>
      </c>
      <c r="O174">
        <v>10</v>
      </c>
      <c r="P174" t="s">
        <v>125</v>
      </c>
    </row>
    <row r="175" spans="1:16" ht="15.75" customHeight="1">
      <c r="A175" s="7" t="s">
        <v>571</v>
      </c>
      <c r="B175" s="8" t="s">
        <v>553</v>
      </c>
      <c r="C175" s="21" t="s">
        <v>572</v>
      </c>
      <c r="D175" s="12"/>
      <c r="E175" s="12" t="s">
        <v>555</v>
      </c>
      <c r="F175" s="12" t="s">
        <v>566</v>
      </c>
      <c r="G175" s="8" t="s">
        <v>20</v>
      </c>
      <c r="J175" t="s">
        <v>508</v>
      </c>
      <c r="L175" s="38" t="s">
        <v>509</v>
      </c>
      <c r="O175">
        <v>10</v>
      </c>
      <c r="P175" t="s">
        <v>125</v>
      </c>
    </row>
    <row r="176" spans="1:16" ht="15.75" customHeight="1">
      <c r="A176" s="7" t="s">
        <v>573</v>
      </c>
      <c r="B176" s="8" t="s">
        <v>553</v>
      </c>
      <c r="C176" s="21" t="s">
        <v>574</v>
      </c>
      <c r="D176" s="12"/>
      <c r="E176" s="12" t="s">
        <v>555</v>
      </c>
      <c r="F176" s="12" t="s">
        <v>563</v>
      </c>
      <c r="G176" s="8" t="s">
        <v>20</v>
      </c>
      <c r="J176" t="s">
        <v>508</v>
      </c>
      <c r="L176" s="38" t="s">
        <v>509</v>
      </c>
      <c r="O176">
        <v>10</v>
      </c>
      <c r="P176" t="s">
        <v>301</v>
      </c>
    </row>
    <row r="177" spans="1:16" ht="15.75" customHeight="1">
      <c r="A177" s="7" t="s">
        <v>559</v>
      </c>
      <c r="B177" s="8" t="s">
        <v>553</v>
      </c>
      <c r="C177" s="21" t="s">
        <v>575</v>
      </c>
      <c r="D177" s="12"/>
      <c r="E177" s="12" t="s">
        <v>555</v>
      </c>
      <c r="F177" s="12" t="s">
        <v>573</v>
      </c>
      <c r="G177" s="8" t="s">
        <v>20</v>
      </c>
      <c r="J177" t="s">
        <v>508</v>
      </c>
      <c r="L177" s="38" t="s">
        <v>509</v>
      </c>
      <c r="O177">
        <v>15</v>
      </c>
      <c r="P177" t="s">
        <v>301</v>
      </c>
    </row>
    <row r="178" spans="1:16" ht="15.75" customHeight="1">
      <c r="A178" s="7" t="s">
        <v>576</v>
      </c>
      <c r="B178" s="8" t="s">
        <v>553</v>
      </c>
      <c r="C178" s="21" t="s">
        <v>577</v>
      </c>
      <c r="D178" s="26"/>
      <c r="E178" s="12" t="s">
        <v>555</v>
      </c>
      <c r="F178" s="12" t="s">
        <v>556</v>
      </c>
      <c r="G178" s="8" t="s">
        <v>20</v>
      </c>
      <c r="J178" t="s">
        <v>508</v>
      </c>
      <c r="L178" s="38" t="s">
        <v>509</v>
      </c>
      <c r="O178">
        <v>15</v>
      </c>
      <c r="P178" t="s">
        <v>23</v>
      </c>
    </row>
    <row r="179" spans="1:16" ht="15.75" customHeight="1">
      <c r="A179" s="7" t="s">
        <v>578</v>
      </c>
      <c r="B179" s="8" t="s">
        <v>553</v>
      </c>
      <c r="C179" s="21" t="s">
        <v>579</v>
      </c>
      <c r="D179" s="26"/>
      <c r="E179" s="12" t="s">
        <v>555</v>
      </c>
      <c r="F179" s="12" t="s">
        <v>563</v>
      </c>
      <c r="G179" s="8" t="s">
        <v>20</v>
      </c>
      <c r="J179" t="s">
        <v>508</v>
      </c>
      <c r="L179" s="38" t="s">
        <v>509</v>
      </c>
      <c r="O179">
        <v>12</v>
      </c>
      <c r="P179" t="s">
        <v>297</v>
      </c>
    </row>
    <row r="180" spans="1:16" ht="15.75" customHeight="1">
      <c r="A180" s="7" t="s">
        <v>580</v>
      </c>
      <c r="B180" s="8" t="s">
        <v>581</v>
      </c>
      <c r="C180" s="10" t="s">
        <v>366</v>
      </c>
      <c r="G180" s="8" t="s">
        <v>20</v>
      </c>
      <c r="J180" t="s">
        <v>508</v>
      </c>
      <c r="L180" s="38" t="s">
        <v>509</v>
      </c>
    </row>
    <row r="181" spans="1:16" ht="15.75" customHeight="1">
      <c r="A181" s="7" t="s">
        <v>582</v>
      </c>
      <c r="B181" s="8" t="s">
        <v>581</v>
      </c>
      <c r="C181" s="10" t="s">
        <v>360</v>
      </c>
      <c r="G181" s="8" t="s">
        <v>20</v>
      </c>
      <c r="J181" t="s">
        <v>508</v>
      </c>
      <c r="L181" s="38" t="s">
        <v>509</v>
      </c>
    </row>
    <row r="182" spans="1:16" ht="15.75" customHeight="1">
      <c r="A182" s="7" t="s">
        <v>583</v>
      </c>
      <c r="B182" s="8" t="s">
        <v>581</v>
      </c>
      <c r="C182" s="10" t="s">
        <v>584</v>
      </c>
      <c r="D182" s="8" t="s">
        <v>585</v>
      </c>
      <c r="G182" s="8" t="s">
        <v>20</v>
      </c>
      <c r="J182" t="s">
        <v>508</v>
      </c>
      <c r="L182" s="38" t="s">
        <v>509</v>
      </c>
    </row>
    <row r="183" spans="1:16" ht="15.75" customHeight="1">
      <c r="A183" s="7" t="s">
        <v>586</v>
      </c>
      <c r="B183" s="8" t="s">
        <v>581</v>
      </c>
      <c r="C183" s="10" t="s">
        <v>587</v>
      </c>
      <c r="G183" s="8" t="s">
        <v>20</v>
      </c>
      <c r="J183" t="s">
        <v>508</v>
      </c>
      <c r="L183" s="38" t="s">
        <v>509</v>
      </c>
    </row>
    <row r="184" spans="1:16" ht="15.75" customHeight="1">
      <c r="A184" s="7" t="s">
        <v>588</v>
      </c>
      <c r="B184" s="8" t="s">
        <v>581</v>
      </c>
      <c r="C184" s="14" t="s">
        <v>488</v>
      </c>
      <c r="G184" s="8" t="s">
        <v>20</v>
      </c>
      <c r="J184" t="s">
        <v>508</v>
      </c>
      <c r="L184" s="38" t="s">
        <v>509</v>
      </c>
    </row>
    <row r="185" spans="1:16" ht="15.75" customHeight="1">
      <c r="A185" s="7" t="s">
        <v>589</v>
      </c>
      <c r="B185" s="8" t="s">
        <v>581</v>
      </c>
      <c r="C185" s="10" t="s">
        <v>590</v>
      </c>
      <c r="D185" s="8" t="s">
        <v>395</v>
      </c>
      <c r="G185" s="8" t="s">
        <v>20</v>
      </c>
      <c r="J185" t="s">
        <v>508</v>
      </c>
      <c r="L185" s="38" t="s">
        <v>509</v>
      </c>
    </row>
    <row r="186" spans="1:16" ht="15.75" customHeight="1">
      <c r="A186" s="7" t="s">
        <v>591</v>
      </c>
      <c r="B186" s="8" t="s">
        <v>581</v>
      </c>
      <c r="C186" s="10" t="s">
        <v>592</v>
      </c>
      <c r="G186" s="8" t="s">
        <v>20</v>
      </c>
      <c r="J186" t="s">
        <v>508</v>
      </c>
      <c r="L186" s="38" t="s">
        <v>509</v>
      </c>
    </row>
    <row r="187" spans="1:16" ht="15.75" customHeight="1">
      <c r="A187" s="7" t="s">
        <v>593</v>
      </c>
      <c r="B187" s="8" t="s">
        <v>581</v>
      </c>
      <c r="C187" s="10" t="s">
        <v>594</v>
      </c>
      <c r="G187" s="8" t="s">
        <v>20</v>
      </c>
      <c r="J187" t="s">
        <v>508</v>
      </c>
      <c r="L187" s="38" t="s">
        <v>509</v>
      </c>
    </row>
    <row r="188" spans="1:16" ht="15.75" customHeight="1">
      <c r="A188" s="7" t="s">
        <v>595</v>
      </c>
      <c r="B188" s="8" t="s">
        <v>581</v>
      </c>
      <c r="C188" s="10" t="s">
        <v>596</v>
      </c>
      <c r="G188" s="8" t="s">
        <v>20</v>
      </c>
      <c r="J188" t="s">
        <v>508</v>
      </c>
      <c r="L188" s="38" t="s">
        <v>509</v>
      </c>
    </row>
    <row r="189" spans="1:16" ht="15.75" customHeight="1">
      <c r="A189" s="7" t="s">
        <v>597</v>
      </c>
      <c r="B189" s="8" t="s">
        <v>581</v>
      </c>
      <c r="C189" s="14" t="s">
        <v>598</v>
      </c>
      <c r="G189" s="8" t="s">
        <v>20</v>
      </c>
      <c r="J189" t="s">
        <v>508</v>
      </c>
      <c r="L189" s="38" t="s">
        <v>509</v>
      </c>
    </row>
    <row r="190" spans="1:16" ht="15.75" customHeight="1">
      <c r="A190" s="7" t="s">
        <v>599</v>
      </c>
      <c r="B190" s="8" t="s">
        <v>581</v>
      </c>
      <c r="C190" s="10" t="s">
        <v>600</v>
      </c>
      <c r="G190" s="8" t="s">
        <v>20</v>
      </c>
      <c r="J190" t="s">
        <v>508</v>
      </c>
      <c r="L190" s="38" t="s">
        <v>509</v>
      </c>
    </row>
    <row r="191" spans="1:16" ht="15.75" customHeight="1">
      <c r="A191" s="7" t="s">
        <v>601</v>
      </c>
      <c r="B191" s="8" t="s">
        <v>581</v>
      </c>
      <c r="C191" s="14" t="s">
        <v>602</v>
      </c>
      <c r="G191" s="8" t="s">
        <v>20</v>
      </c>
      <c r="J191" t="s">
        <v>508</v>
      </c>
      <c r="L191" s="38" t="s">
        <v>509</v>
      </c>
    </row>
    <row r="192" spans="1:16" ht="15.75" customHeight="1">
      <c r="A192" s="7" t="s">
        <v>603</v>
      </c>
      <c r="B192" s="8" t="s">
        <v>581</v>
      </c>
      <c r="C192" s="10" t="s">
        <v>604</v>
      </c>
      <c r="G192" s="8" t="s">
        <v>20</v>
      </c>
      <c r="J192" t="s">
        <v>508</v>
      </c>
      <c r="L192" s="38" t="s">
        <v>509</v>
      </c>
    </row>
    <row r="193" spans="1:16" ht="15.75" customHeight="1">
      <c r="A193" s="7" t="s">
        <v>605</v>
      </c>
      <c r="B193" s="8" t="s">
        <v>581</v>
      </c>
      <c r="C193" s="10" t="s">
        <v>606</v>
      </c>
      <c r="G193" s="8" t="s">
        <v>20</v>
      </c>
      <c r="J193" t="s">
        <v>508</v>
      </c>
      <c r="L193" s="38" t="s">
        <v>509</v>
      </c>
    </row>
    <row r="194" spans="1:16" ht="15.75" customHeight="1">
      <c r="A194" s="7" t="s">
        <v>607</v>
      </c>
      <c r="B194" s="8" t="s">
        <v>581</v>
      </c>
      <c r="C194" s="10" t="s">
        <v>608</v>
      </c>
      <c r="G194" s="8" t="s">
        <v>20</v>
      </c>
      <c r="J194" t="s">
        <v>508</v>
      </c>
      <c r="L194" s="38" t="s">
        <v>509</v>
      </c>
    </row>
    <row r="195" spans="1:16" ht="15.75" customHeight="1">
      <c r="A195" s="7" t="s">
        <v>609</v>
      </c>
      <c r="B195" s="8" t="s">
        <v>581</v>
      </c>
      <c r="C195" s="10" t="s">
        <v>610</v>
      </c>
      <c r="G195" s="8" t="s">
        <v>20</v>
      </c>
      <c r="J195" t="s">
        <v>508</v>
      </c>
      <c r="L195" s="38" t="s">
        <v>509</v>
      </c>
    </row>
    <row r="196" spans="1:16" ht="15.75" customHeight="1">
      <c r="A196" s="7" t="s">
        <v>611</v>
      </c>
      <c r="B196" s="8" t="s">
        <v>581</v>
      </c>
      <c r="C196" s="10" t="s">
        <v>612</v>
      </c>
      <c r="G196" s="8" t="s">
        <v>20</v>
      </c>
      <c r="J196" t="s">
        <v>508</v>
      </c>
      <c r="L196" s="38" t="s">
        <v>509</v>
      </c>
    </row>
    <row r="197" spans="1:16" ht="15.75" customHeight="1">
      <c r="A197" s="7" t="s">
        <v>613</v>
      </c>
      <c r="B197" s="8" t="s">
        <v>581</v>
      </c>
      <c r="C197" s="10" t="s">
        <v>403</v>
      </c>
      <c r="D197" s="8" t="s">
        <v>404</v>
      </c>
      <c r="G197" s="8" t="s">
        <v>20</v>
      </c>
      <c r="J197" t="s">
        <v>508</v>
      </c>
      <c r="L197" s="38" t="s">
        <v>509</v>
      </c>
    </row>
    <row r="198" spans="1:16" ht="15.75" customHeight="1">
      <c r="A198" s="7" t="s">
        <v>614</v>
      </c>
      <c r="B198" s="8" t="s">
        <v>581</v>
      </c>
      <c r="C198" s="10" t="s">
        <v>615</v>
      </c>
      <c r="D198" s="8" t="s">
        <v>616</v>
      </c>
      <c r="G198" s="8" t="s">
        <v>20</v>
      </c>
      <c r="J198" t="s">
        <v>508</v>
      </c>
      <c r="L198" s="38" t="s">
        <v>509</v>
      </c>
    </row>
    <row r="199" spans="1:16" ht="15.75" customHeight="1">
      <c r="A199" s="7" t="s">
        <v>617</v>
      </c>
      <c r="B199" s="8" t="s">
        <v>581</v>
      </c>
      <c r="C199" s="10" t="s">
        <v>618</v>
      </c>
      <c r="D199" s="8" t="s">
        <v>619</v>
      </c>
      <c r="G199" s="8" t="s">
        <v>20</v>
      </c>
      <c r="J199" t="s">
        <v>508</v>
      </c>
      <c r="L199" s="38" t="s">
        <v>509</v>
      </c>
    </row>
    <row r="200" spans="1:16" ht="15.75" customHeight="1">
      <c r="A200" s="7" t="s">
        <v>620</v>
      </c>
      <c r="B200" s="8" t="s">
        <v>581</v>
      </c>
      <c r="C200" s="10" t="s">
        <v>621</v>
      </c>
      <c r="D200" s="8" t="s">
        <v>622</v>
      </c>
      <c r="G200" s="8" t="s">
        <v>20</v>
      </c>
      <c r="J200" t="s">
        <v>508</v>
      </c>
      <c r="L200" s="38" t="s">
        <v>509</v>
      </c>
    </row>
    <row r="201" spans="1:16" ht="15.75" customHeight="1">
      <c r="A201" s="7" t="s">
        <v>623</v>
      </c>
      <c r="B201" s="8" t="s">
        <v>581</v>
      </c>
      <c r="C201" s="10" t="s">
        <v>371</v>
      </c>
      <c r="D201" s="8" t="s">
        <v>372</v>
      </c>
      <c r="G201" s="8" t="s">
        <v>20</v>
      </c>
      <c r="J201" t="s">
        <v>508</v>
      </c>
      <c r="L201" s="38" t="s">
        <v>509</v>
      </c>
    </row>
    <row r="202" spans="1:16" ht="15.75" customHeight="1">
      <c r="A202" s="7" t="s">
        <v>624</v>
      </c>
      <c r="B202" s="8" t="s">
        <v>581</v>
      </c>
      <c r="C202" s="10" t="s">
        <v>625</v>
      </c>
      <c r="G202" s="8" t="s">
        <v>20</v>
      </c>
      <c r="J202" t="s">
        <v>508</v>
      </c>
      <c r="L202" s="38" t="s">
        <v>509</v>
      </c>
    </row>
    <row r="203" spans="1:16" ht="15.75" customHeight="1">
      <c r="A203" s="7" t="s">
        <v>566</v>
      </c>
      <c r="B203" s="8" t="s">
        <v>553</v>
      </c>
      <c r="C203" s="21" t="s">
        <v>626</v>
      </c>
      <c r="D203" s="12"/>
      <c r="E203" s="12" t="s">
        <v>555</v>
      </c>
      <c r="F203" s="12" t="s">
        <v>627</v>
      </c>
      <c r="G203" s="8" t="s">
        <v>20</v>
      </c>
      <c r="J203" t="s">
        <v>628</v>
      </c>
      <c r="L203" s="38" t="s">
        <v>509</v>
      </c>
      <c r="O203">
        <v>15</v>
      </c>
      <c r="P203" t="s">
        <v>125</v>
      </c>
    </row>
    <row r="204" spans="1:16" ht="15.75" customHeight="1">
      <c r="A204" s="7" t="s">
        <v>627</v>
      </c>
      <c r="B204" s="8" t="s">
        <v>553</v>
      </c>
      <c r="C204" s="21" t="s">
        <v>629</v>
      </c>
      <c r="D204" s="12"/>
      <c r="E204" s="12" t="s">
        <v>555</v>
      </c>
      <c r="F204" s="12"/>
      <c r="G204" s="8" t="s">
        <v>20</v>
      </c>
      <c r="J204" t="s">
        <v>630</v>
      </c>
      <c r="L204" s="38" t="s">
        <v>509</v>
      </c>
      <c r="P204" t="s">
        <v>297</v>
      </c>
    </row>
    <row r="205" spans="1:16" ht="15.75" customHeight="1">
      <c r="A205" s="7" t="s">
        <v>563</v>
      </c>
      <c r="B205" s="8" t="s">
        <v>553</v>
      </c>
      <c r="C205" s="21" t="s">
        <v>631</v>
      </c>
      <c r="D205" s="26"/>
      <c r="E205" s="12" t="s">
        <v>555</v>
      </c>
      <c r="F205" s="12"/>
      <c r="G205" s="8" t="s">
        <v>20</v>
      </c>
      <c r="J205" t="s">
        <v>630</v>
      </c>
      <c r="L205" s="38" t="s">
        <v>509</v>
      </c>
      <c r="P205" t="s">
        <v>297</v>
      </c>
    </row>
    <row r="206" spans="1:16" ht="15.75" customHeight="1">
      <c r="A206" s="8" t="s">
        <v>632</v>
      </c>
      <c r="B206" s="8" t="s">
        <v>633</v>
      </c>
      <c r="C206" s="10" t="s">
        <v>634</v>
      </c>
      <c r="D206" s="8" t="s">
        <v>635</v>
      </c>
      <c r="G206" s="8" t="s">
        <v>20</v>
      </c>
      <c r="L206" s="38" t="s">
        <v>636</v>
      </c>
    </row>
    <row r="207" spans="1:16" ht="15.75" customHeight="1">
      <c r="A207" s="8" t="s">
        <v>637</v>
      </c>
      <c r="B207" s="8" t="s">
        <v>633</v>
      </c>
      <c r="C207" s="10" t="s">
        <v>638</v>
      </c>
      <c r="D207" s="8" t="s">
        <v>639</v>
      </c>
      <c r="G207" s="8" t="s">
        <v>20</v>
      </c>
      <c r="L207" s="38" t="s">
        <v>636</v>
      </c>
    </row>
    <row r="208" spans="1:16" ht="15.75" customHeight="1">
      <c r="A208" s="8" t="s">
        <v>640</v>
      </c>
      <c r="B208" s="8" t="s">
        <v>633</v>
      </c>
      <c r="C208" s="10" t="s">
        <v>641</v>
      </c>
      <c r="D208" s="8" t="s">
        <v>642</v>
      </c>
      <c r="G208" s="8" t="s">
        <v>20</v>
      </c>
      <c r="L208" s="38" t="s">
        <v>636</v>
      </c>
    </row>
    <row r="209" spans="1:16" ht="15.75" customHeight="1">
      <c r="A209" s="8" t="s">
        <v>643</v>
      </c>
      <c r="B209" s="8" t="s">
        <v>633</v>
      </c>
      <c r="C209" s="10" t="s">
        <v>644</v>
      </c>
      <c r="D209" s="8" t="s">
        <v>645</v>
      </c>
      <c r="G209" s="8" t="s">
        <v>20</v>
      </c>
      <c r="L209" s="38" t="s">
        <v>636</v>
      </c>
    </row>
    <row r="210" spans="1:16" ht="15.75" customHeight="1">
      <c r="A210" s="8" t="s">
        <v>646</v>
      </c>
      <c r="B210" s="8" t="s">
        <v>633</v>
      </c>
      <c r="C210" s="10" t="s">
        <v>647</v>
      </c>
      <c r="D210" s="8" t="s">
        <v>648</v>
      </c>
      <c r="G210" s="8" t="s">
        <v>20</v>
      </c>
      <c r="L210" s="38" t="s">
        <v>636</v>
      </c>
    </row>
    <row r="211" spans="1:16" ht="15.75" customHeight="1">
      <c r="A211" s="8" t="s">
        <v>649</v>
      </c>
      <c r="B211" s="8" t="s">
        <v>633</v>
      </c>
      <c r="C211" s="10" t="s">
        <v>650</v>
      </c>
      <c r="D211" s="8" t="s">
        <v>651</v>
      </c>
      <c r="G211" s="8" t="s">
        <v>20</v>
      </c>
      <c r="L211" s="38" t="s">
        <v>636</v>
      </c>
    </row>
    <row r="212" spans="1:16" ht="15.75" customHeight="1">
      <c r="A212" s="8" t="s">
        <v>652</v>
      </c>
      <c r="B212" s="8" t="s">
        <v>633</v>
      </c>
      <c r="C212" s="10" t="s">
        <v>653</v>
      </c>
      <c r="D212" s="8" t="s">
        <v>654</v>
      </c>
      <c r="G212" s="8" t="s">
        <v>7</v>
      </c>
      <c r="H212" s="8" t="s">
        <v>655</v>
      </c>
      <c r="L212" s="38"/>
    </row>
    <row r="213" spans="1:16" ht="15.75" customHeight="1">
      <c r="A213" s="8" t="s">
        <v>656</v>
      </c>
      <c r="B213" s="8" t="s">
        <v>657</v>
      </c>
      <c r="C213" s="10" t="s">
        <v>658</v>
      </c>
      <c r="D213" s="8" t="s">
        <v>659</v>
      </c>
      <c r="G213" s="8" t="s">
        <v>20</v>
      </c>
      <c r="L213" s="38" t="s">
        <v>660</v>
      </c>
    </row>
    <row r="214" spans="1:16" ht="15.75" customHeight="1">
      <c r="A214" s="8" t="s">
        <v>661</v>
      </c>
      <c r="B214" s="8" t="s">
        <v>657</v>
      </c>
      <c r="C214" s="10" t="s">
        <v>662</v>
      </c>
      <c r="D214" s="8" t="s">
        <v>662</v>
      </c>
      <c r="G214" s="8" t="s">
        <v>20</v>
      </c>
      <c r="L214" s="38" t="s">
        <v>660</v>
      </c>
    </row>
    <row r="215" spans="1:16" ht="15.75" customHeight="1">
      <c r="A215" s="8" t="s">
        <v>663</v>
      </c>
      <c r="B215" s="8" t="s">
        <v>657</v>
      </c>
      <c r="C215" s="10" t="s">
        <v>664</v>
      </c>
      <c r="D215" s="8" t="s">
        <v>665</v>
      </c>
      <c r="G215" s="8" t="s">
        <v>20</v>
      </c>
      <c r="L215" s="38" t="s">
        <v>660</v>
      </c>
    </row>
    <row r="216" spans="1:16" ht="15.75" customHeight="1">
      <c r="A216" s="8" t="s">
        <v>666</v>
      </c>
      <c r="B216" s="8" t="s">
        <v>657</v>
      </c>
      <c r="C216" s="10" t="s">
        <v>667</v>
      </c>
      <c r="D216" s="8" t="s">
        <v>668</v>
      </c>
      <c r="G216" s="8" t="s">
        <v>20</v>
      </c>
      <c r="L216" s="38" t="s">
        <v>660</v>
      </c>
    </row>
    <row r="217" spans="1:16" ht="15.75" customHeight="1">
      <c r="A217" s="8" t="s">
        <v>669</v>
      </c>
      <c r="B217" s="8" t="s">
        <v>657</v>
      </c>
      <c r="C217" s="10" t="s">
        <v>670</v>
      </c>
      <c r="D217" s="8" t="s">
        <v>671</v>
      </c>
      <c r="G217" s="8" t="s">
        <v>20</v>
      </c>
      <c r="L217" s="38" t="s">
        <v>660</v>
      </c>
    </row>
    <row r="218" spans="1:16" ht="15.75" customHeight="1">
      <c r="A218" s="8" t="s">
        <v>672</v>
      </c>
      <c r="B218" s="8" t="s">
        <v>657</v>
      </c>
      <c r="C218" s="10" t="s">
        <v>673</v>
      </c>
      <c r="D218" s="8" t="s">
        <v>674</v>
      </c>
      <c r="G218" s="8" t="s">
        <v>20</v>
      </c>
      <c r="L218" s="38" t="s">
        <v>660</v>
      </c>
    </row>
    <row r="219" spans="1:16" ht="15.75" customHeight="1">
      <c r="A219" s="8" t="s">
        <v>675</v>
      </c>
      <c r="B219" s="8" t="s">
        <v>657</v>
      </c>
      <c r="C219" s="10" t="s">
        <v>676</v>
      </c>
      <c r="D219" s="8" t="s">
        <v>677</v>
      </c>
      <c r="G219" s="8" t="s">
        <v>20</v>
      </c>
      <c r="L219" s="38" t="s">
        <v>660</v>
      </c>
    </row>
    <row r="220" spans="1:16" ht="15.75" customHeight="1">
      <c r="A220" s="8" t="s">
        <v>678</v>
      </c>
      <c r="B220" s="8" t="s">
        <v>657</v>
      </c>
      <c r="C220" s="10" t="s">
        <v>679</v>
      </c>
      <c r="D220" s="8" t="s">
        <v>680</v>
      </c>
      <c r="G220" s="8" t="s">
        <v>20</v>
      </c>
      <c r="L220" s="38" t="s">
        <v>660</v>
      </c>
    </row>
    <row r="221" spans="1:16" ht="15.75" customHeight="1">
      <c r="A221" s="8" t="s">
        <v>681</v>
      </c>
      <c r="B221" s="8" t="s">
        <v>657</v>
      </c>
      <c r="C221" s="10" t="s">
        <v>682</v>
      </c>
      <c r="D221" s="8" t="s">
        <v>683</v>
      </c>
      <c r="G221" s="8" t="s">
        <v>20</v>
      </c>
      <c r="L221" s="38" t="s">
        <v>660</v>
      </c>
    </row>
    <row r="222" spans="1:16" ht="15.75" customHeight="1">
      <c r="A222" s="8" t="s">
        <v>684</v>
      </c>
      <c r="B222" s="8" t="s">
        <v>657</v>
      </c>
      <c r="C222" s="10" t="s">
        <v>685</v>
      </c>
      <c r="D222" s="8" t="s">
        <v>686</v>
      </c>
      <c r="G222" s="8" t="s">
        <v>20</v>
      </c>
      <c r="L222" s="38" t="s">
        <v>660</v>
      </c>
    </row>
    <row r="223" spans="1:16" ht="15.75" customHeight="1">
      <c r="A223" s="7" t="s">
        <v>687</v>
      </c>
      <c r="B223" s="8" t="s">
        <v>688</v>
      </c>
      <c r="C223" s="10" t="s">
        <v>689</v>
      </c>
      <c r="E223" s="22" t="s">
        <v>690</v>
      </c>
      <c r="F223" s="22"/>
      <c r="G223" s="8" t="s">
        <v>20</v>
      </c>
      <c r="L223" s="38" t="s">
        <v>691</v>
      </c>
      <c r="P223" t="s">
        <v>692</v>
      </c>
    </row>
    <row r="224" spans="1:16" ht="15.75" customHeight="1">
      <c r="A224" s="7" t="s">
        <v>693</v>
      </c>
      <c r="B224" s="8" t="s">
        <v>688</v>
      </c>
      <c r="C224" s="10" t="s">
        <v>694</v>
      </c>
      <c r="E224" s="22" t="s">
        <v>690</v>
      </c>
      <c r="F224" s="22"/>
      <c r="G224" s="8" t="s">
        <v>20</v>
      </c>
      <c r="L224" s="38" t="s">
        <v>691</v>
      </c>
      <c r="P224" t="s">
        <v>695</v>
      </c>
    </row>
    <row r="225" spans="1:16" ht="15.75" customHeight="1">
      <c r="A225" s="7" t="s">
        <v>696</v>
      </c>
      <c r="B225" s="8" t="s">
        <v>688</v>
      </c>
      <c r="C225" s="21" t="s">
        <v>697</v>
      </c>
      <c r="D225" s="12"/>
      <c r="E225" s="23" t="s">
        <v>690</v>
      </c>
      <c r="F225" s="23"/>
      <c r="G225" s="8" t="s">
        <v>20</v>
      </c>
      <c r="L225" s="38" t="s">
        <v>691</v>
      </c>
      <c r="P225" t="s">
        <v>125</v>
      </c>
    </row>
    <row r="226" spans="1:16" ht="15.75" customHeight="1">
      <c r="A226" s="7" t="s">
        <v>698</v>
      </c>
      <c r="B226" s="8" t="s">
        <v>688</v>
      </c>
      <c r="C226" s="21" t="s">
        <v>699</v>
      </c>
      <c r="D226" s="12"/>
      <c r="E226" s="23" t="s">
        <v>690</v>
      </c>
      <c r="F226" s="23"/>
      <c r="G226" s="8" t="s">
        <v>20</v>
      </c>
      <c r="L226" s="38" t="s">
        <v>691</v>
      </c>
      <c r="P226" t="s">
        <v>301</v>
      </c>
    </row>
    <row r="227" spans="1:16" ht="15.75" customHeight="1">
      <c r="A227" s="7" t="s">
        <v>700</v>
      </c>
      <c r="B227" s="8" t="s">
        <v>688</v>
      </c>
      <c r="C227" s="21" t="s">
        <v>701</v>
      </c>
      <c r="D227" s="12"/>
      <c r="E227" s="23" t="s">
        <v>690</v>
      </c>
      <c r="F227" s="23"/>
      <c r="G227" s="8" t="s">
        <v>20</v>
      </c>
      <c r="L227" s="38" t="s">
        <v>691</v>
      </c>
      <c r="P227" t="s">
        <v>301</v>
      </c>
    </row>
    <row r="228" spans="1:16" ht="15.75" customHeight="1">
      <c r="A228" s="7" t="s">
        <v>702</v>
      </c>
      <c r="B228" s="8" t="s">
        <v>688</v>
      </c>
      <c r="C228" s="10" t="s">
        <v>703</v>
      </c>
      <c r="E228" s="22" t="s">
        <v>690</v>
      </c>
      <c r="F228" s="22"/>
      <c r="G228" s="8" t="s">
        <v>20</v>
      </c>
      <c r="L228" s="38" t="s">
        <v>691</v>
      </c>
      <c r="P228" t="s">
        <v>695</v>
      </c>
    </row>
    <row r="229" spans="1:16" ht="15.75" customHeight="1">
      <c r="A229" s="7" t="s">
        <v>704</v>
      </c>
      <c r="B229" s="8" t="s">
        <v>688</v>
      </c>
      <c r="C229" s="10" t="s">
        <v>705</v>
      </c>
      <c r="E229" s="22" t="s">
        <v>690</v>
      </c>
      <c r="F229" s="22"/>
      <c r="G229" s="8" t="s">
        <v>20</v>
      </c>
      <c r="L229" s="38" t="s">
        <v>691</v>
      </c>
      <c r="P229" t="s">
        <v>297</v>
      </c>
    </row>
    <row r="230" spans="1:16" ht="15.75" customHeight="1">
      <c r="A230" s="7" t="s">
        <v>706</v>
      </c>
      <c r="B230" s="8" t="s">
        <v>688</v>
      </c>
      <c r="C230" s="10" t="s">
        <v>707</v>
      </c>
      <c r="E230" s="22" t="s">
        <v>690</v>
      </c>
      <c r="F230" s="22"/>
      <c r="G230" s="8" t="s">
        <v>20</v>
      </c>
      <c r="L230" s="38" t="s">
        <v>691</v>
      </c>
      <c r="P230" t="s">
        <v>90</v>
      </c>
    </row>
    <row r="231" spans="1:16" ht="15.75" customHeight="1">
      <c r="A231" s="7" t="s">
        <v>708</v>
      </c>
      <c r="B231" s="8" t="s">
        <v>688</v>
      </c>
      <c r="C231" s="10" t="s">
        <v>709</v>
      </c>
      <c r="E231" s="22" t="s">
        <v>690</v>
      </c>
      <c r="F231" s="22"/>
      <c r="G231" s="8" t="s">
        <v>20</v>
      </c>
      <c r="L231" s="38" t="s">
        <v>691</v>
      </c>
      <c r="P231" t="s">
        <v>710</v>
      </c>
    </row>
    <row r="232" spans="1:16" ht="15.75" customHeight="1">
      <c r="A232" s="7" t="s">
        <v>711</v>
      </c>
      <c r="B232" s="8" t="s">
        <v>688</v>
      </c>
      <c r="C232" s="10" t="s">
        <v>712</v>
      </c>
      <c r="E232" s="22" t="s">
        <v>690</v>
      </c>
      <c r="F232" s="22"/>
      <c r="G232" s="8" t="s">
        <v>20</v>
      </c>
      <c r="L232" s="38" t="s">
        <v>691</v>
      </c>
      <c r="P232" t="s">
        <v>125</v>
      </c>
    </row>
    <row r="233" spans="1:16" ht="15.75" customHeight="1">
      <c r="A233" s="7" t="s">
        <v>713</v>
      </c>
      <c r="B233" s="8" t="s">
        <v>688</v>
      </c>
      <c r="C233" s="10" t="s">
        <v>714</v>
      </c>
      <c r="E233" s="22" t="s">
        <v>690</v>
      </c>
      <c r="F233" s="22"/>
      <c r="G233" s="8" t="s">
        <v>20</v>
      </c>
      <c r="L233" s="38" t="s">
        <v>691</v>
      </c>
      <c r="P233" t="s">
        <v>55</v>
      </c>
    </row>
    <row r="234" spans="1:16" ht="15.75" customHeight="1">
      <c r="A234" s="7" t="s">
        <v>715</v>
      </c>
      <c r="B234" s="8" t="s">
        <v>688</v>
      </c>
      <c r="C234" s="10" t="s">
        <v>716</v>
      </c>
      <c r="E234" s="22" t="s">
        <v>690</v>
      </c>
      <c r="F234" s="22"/>
      <c r="G234" s="8" t="s">
        <v>20</v>
      </c>
      <c r="L234" s="38" t="s">
        <v>691</v>
      </c>
      <c r="P234" t="s">
        <v>695</v>
      </c>
    </row>
    <row r="235" spans="1:16" ht="15.75" customHeight="1">
      <c r="A235" s="7" t="s">
        <v>717</v>
      </c>
      <c r="B235" s="8" t="s">
        <v>688</v>
      </c>
      <c r="C235" s="10" t="s">
        <v>718</v>
      </c>
      <c r="E235" s="22" t="s">
        <v>690</v>
      </c>
      <c r="F235" s="22"/>
      <c r="G235" s="8" t="s">
        <v>20</v>
      </c>
      <c r="L235" s="38" t="s">
        <v>691</v>
      </c>
      <c r="P235" t="s">
        <v>90</v>
      </c>
    </row>
    <row r="236" spans="1:16" ht="15.75" customHeight="1">
      <c r="A236" s="7" t="s">
        <v>719</v>
      </c>
      <c r="B236" s="8" t="s">
        <v>688</v>
      </c>
      <c r="C236" s="10" t="s">
        <v>720</v>
      </c>
      <c r="E236" s="22" t="s">
        <v>690</v>
      </c>
      <c r="F236" s="22"/>
      <c r="G236" s="8" t="s">
        <v>20</v>
      </c>
      <c r="L236" s="38" t="s">
        <v>691</v>
      </c>
      <c r="P236" t="s">
        <v>23</v>
      </c>
    </row>
    <row r="237" spans="1:16" ht="15.75" customHeight="1">
      <c r="A237" s="7" t="s">
        <v>721</v>
      </c>
      <c r="B237" s="8" t="s">
        <v>688</v>
      </c>
      <c r="C237" s="10" t="s">
        <v>722</v>
      </c>
      <c r="E237" s="22" t="s">
        <v>690</v>
      </c>
      <c r="F237" s="22"/>
      <c r="G237" s="8" t="s">
        <v>20</v>
      </c>
      <c r="L237" s="38" t="s">
        <v>691</v>
      </c>
      <c r="P237" t="s">
        <v>695</v>
      </c>
    </row>
    <row r="238" spans="1:16" ht="15.75" customHeight="1">
      <c r="A238" s="7" t="s">
        <v>723</v>
      </c>
      <c r="B238" s="8" t="s">
        <v>688</v>
      </c>
      <c r="C238" s="10" t="s">
        <v>724</v>
      </c>
      <c r="E238" s="22" t="s">
        <v>690</v>
      </c>
      <c r="F238" s="22"/>
      <c r="G238" s="8" t="s">
        <v>20</v>
      </c>
      <c r="L238" s="38" t="s">
        <v>691</v>
      </c>
      <c r="P238" t="s">
        <v>90</v>
      </c>
    </row>
    <row r="239" spans="1:16" ht="15.75" customHeight="1">
      <c r="A239" s="7" t="s">
        <v>725</v>
      </c>
      <c r="B239" s="8" t="s">
        <v>688</v>
      </c>
      <c r="C239" s="10" t="s">
        <v>726</v>
      </c>
      <c r="E239" s="22" t="s">
        <v>690</v>
      </c>
      <c r="F239" s="22"/>
      <c r="G239" s="8" t="s">
        <v>20</v>
      </c>
      <c r="L239" s="38" t="s">
        <v>691</v>
      </c>
      <c r="P239" t="s">
        <v>692</v>
      </c>
    </row>
    <row r="240" spans="1:16" ht="15.75" customHeight="1">
      <c r="A240" s="7" t="s">
        <v>727</v>
      </c>
      <c r="B240" s="8" t="s">
        <v>688</v>
      </c>
      <c r="C240" s="10" t="s">
        <v>728</v>
      </c>
      <c r="E240" s="22" t="s">
        <v>690</v>
      </c>
      <c r="F240" s="22"/>
      <c r="G240" s="8" t="s">
        <v>20</v>
      </c>
      <c r="L240" s="38" t="s">
        <v>691</v>
      </c>
      <c r="P240" t="s">
        <v>125</v>
      </c>
    </row>
    <row r="241" spans="1:16" ht="15.75" customHeight="1">
      <c r="A241" s="7" t="s">
        <v>729</v>
      </c>
      <c r="B241" s="8" t="s">
        <v>688</v>
      </c>
      <c r="C241" s="10" t="s">
        <v>730</v>
      </c>
      <c r="E241" s="22" t="s">
        <v>690</v>
      </c>
      <c r="F241" s="22"/>
      <c r="G241" s="8" t="s">
        <v>20</v>
      </c>
      <c r="L241" s="38" t="s">
        <v>691</v>
      </c>
      <c r="P241" t="s">
        <v>160</v>
      </c>
    </row>
    <row r="242" spans="1:16" ht="15.75" customHeight="1">
      <c r="A242" s="7" t="s">
        <v>731</v>
      </c>
      <c r="B242" s="8" t="s">
        <v>688</v>
      </c>
      <c r="C242" s="10" t="s">
        <v>732</v>
      </c>
      <c r="E242" s="22" t="s">
        <v>690</v>
      </c>
      <c r="F242" s="22"/>
      <c r="G242" s="8" t="s">
        <v>20</v>
      </c>
      <c r="L242" s="38" t="s">
        <v>691</v>
      </c>
      <c r="P242" t="s">
        <v>160</v>
      </c>
    </row>
    <row r="243" spans="1:16" ht="15.75" customHeight="1">
      <c r="A243" s="7" t="s">
        <v>733</v>
      </c>
      <c r="B243" s="8" t="s">
        <v>688</v>
      </c>
      <c r="C243" s="10" t="s">
        <v>734</v>
      </c>
      <c r="E243" s="22" t="s">
        <v>690</v>
      </c>
      <c r="F243" s="22"/>
      <c r="G243" s="8" t="s">
        <v>20</v>
      </c>
      <c r="L243" s="38" t="s">
        <v>691</v>
      </c>
      <c r="P243" t="s">
        <v>692</v>
      </c>
    </row>
    <row r="244" spans="1:16" ht="15.75" customHeight="1">
      <c r="A244" s="7" t="s">
        <v>735</v>
      </c>
      <c r="B244" s="8" t="s">
        <v>688</v>
      </c>
      <c r="C244" s="10" t="s">
        <v>736</v>
      </c>
      <c r="E244" s="22" t="s">
        <v>690</v>
      </c>
      <c r="F244" s="22"/>
      <c r="G244" s="8" t="s">
        <v>20</v>
      </c>
      <c r="L244" s="38" t="s">
        <v>691</v>
      </c>
      <c r="P244" t="s">
        <v>90</v>
      </c>
    </row>
    <row r="245" spans="1:16" ht="15.75" customHeight="1">
      <c r="A245" s="7" t="s">
        <v>737</v>
      </c>
      <c r="B245" s="8" t="s">
        <v>688</v>
      </c>
      <c r="C245" s="10" t="s">
        <v>738</v>
      </c>
      <c r="E245" s="22" t="s">
        <v>690</v>
      </c>
      <c r="F245" s="22"/>
      <c r="G245" s="8" t="s">
        <v>20</v>
      </c>
      <c r="L245" s="38" t="s">
        <v>691</v>
      </c>
      <c r="P245" t="s">
        <v>297</v>
      </c>
    </row>
    <row r="246" spans="1:16" ht="15.75" customHeight="1">
      <c r="A246" s="7" t="s">
        <v>739</v>
      </c>
      <c r="B246" s="8" t="s">
        <v>688</v>
      </c>
      <c r="C246" s="10" t="s">
        <v>740</v>
      </c>
      <c r="E246" s="22" t="s">
        <v>690</v>
      </c>
      <c r="F246" s="22"/>
      <c r="G246" s="8" t="s">
        <v>20</v>
      </c>
      <c r="L246" s="38" t="s">
        <v>691</v>
      </c>
      <c r="P246" t="s">
        <v>23</v>
      </c>
    </row>
    <row r="247" spans="1:16" ht="15.75" customHeight="1">
      <c r="A247" s="7" t="s">
        <v>741</v>
      </c>
      <c r="B247" s="8" t="s">
        <v>688</v>
      </c>
      <c r="C247" s="21" t="s">
        <v>742</v>
      </c>
      <c r="D247" s="12"/>
      <c r="E247" s="23" t="s">
        <v>690</v>
      </c>
      <c r="F247" s="23"/>
      <c r="G247" s="8" t="s">
        <v>20</v>
      </c>
      <c r="H247" t="s">
        <v>743</v>
      </c>
      <c r="L247" s="38" t="s">
        <v>691</v>
      </c>
      <c r="P247" t="s">
        <v>710</v>
      </c>
    </row>
    <row r="248" spans="1:16" ht="15.75" customHeight="1">
      <c r="A248" s="7" t="s">
        <v>744</v>
      </c>
      <c r="B248" s="8" t="s">
        <v>688</v>
      </c>
      <c r="C248" s="13" t="s">
        <v>615</v>
      </c>
      <c r="E248" s="23" t="s">
        <v>688</v>
      </c>
      <c r="F248" s="12"/>
      <c r="G248" s="12" t="s">
        <v>7</v>
      </c>
      <c r="H248" s="8" t="s">
        <v>745</v>
      </c>
      <c r="L248" s="38" t="s">
        <v>691</v>
      </c>
    </row>
    <row r="249" spans="1:16" ht="15.75" customHeight="1">
      <c r="A249" s="7" t="s">
        <v>746</v>
      </c>
      <c r="B249" s="8" t="s">
        <v>688</v>
      </c>
      <c r="C249" s="10" t="s">
        <v>618</v>
      </c>
      <c r="E249" s="23" t="s">
        <v>688</v>
      </c>
      <c r="F249" s="22"/>
      <c r="G249" s="8" t="s">
        <v>7</v>
      </c>
      <c r="H249" s="8" t="s">
        <v>747</v>
      </c>
      <c r="L249" s="38" t="s">
        <v>691</v>
      </c>
    </row>
    <row r="250" spans="1:16" ht="15.75" customHeight="1">
      <c r="A250" s="7" t="s">
        <v>748</v>
      </c>
      <c r="B250" s="8" t="s">
        <v>688</v>
      </c>
      <c r="C250" s="10" t="s">
        <v>511</v>
      </c>
      <c r="E250" s="22" t="s">
        <v>690</v>
      </c>
      <c r="F250" s="22"/>
      <c r="G250" s="8" t="s">
        <v>20</v>
      </c>
      <c r="L250" s="38" t="s">
        <v>691</v>
      </c>
      <c r="P250" t="s">
        <v>692</v>
      </c>
    </row>
    <row r="251" spans="1:16" ht="15.75" customHeight="1">
      <c r="A251" s="7" t="s">
        <v>749</v>
      </c>
      <c r="B251" s="8" t="s">
        <v>688</v>
      </c>
      <c r="C251" s="21" t="s">
        <v>750</v>
      </c>
      <c r="E251" s="22" t="s">
        <v>688</v>
      </c>
      <c r="F251" s="22"/>
      <c r="G251" s="8" t="s">
        <v>20</v>
      </c>
      <c r="L251" s="38" t="s">
        <v>691</v>
      </c>
    </row>
    <row r="252" spans="1:16" ht="15.75" customHeight="1">
      <c r="A252" s="7" t="s">
        <v>751</v>
      </c>
      <c r="B252" s="8" t="s">
        <v>688</v>
      </c>
      <c r="C252" s="10" t="s">
        <v>752</v>
      </c>
      <c r="E252" s="22" t="s">
        <v>690</v>
      </c>
      <c r="F252" s="22"/>
      <c r="G252" s="8" t="s">
        <v>20</v>
      </c>
      <c r="L252" s="38" t="s">
        <v>691</v>
      </c>
      <c r="P252" t="s">
        <v>692</v>
      </c>
    </row>
    <row r="253" spans="1:16" ht="15.75" customHeight="1">
      <c r="A253" s="7" t="s">
        <v>753</v>
      </c>
      <c r="B253" s="8" t="s">
        <v>688</v>
      </c>
      <c r="C253" s="10" t="s">
        <v>754</v>
      </c>
      <c r="E253" s="22" t="s">
        <v>690</v>
      </c>
      <c r="F253" s="22"/>
      <c r="G253" s="8" t="s">
        <v>20</v>
      </c>
      <c r="L253" s="38" t="s">
        <v>691</v>
      </c>
      <c r="P253" t="s">
        <v>297</v>
      </c>
    </row>
    <row r="254" spans="1:16" ht="15.75" customHeight="1">
      <c r="A254" s="7" t="s">
        <v>755</v>
      </c>
      <c r="B254" s="8" t="s">
        <v>242</v>
      </c>
      <c r="C254" s="13" t="s">
        <v>756</v>
      </c>
      <c r="E254" s="12" t="s">
        <v>244</v>
      </c>
      <c r="F254" s="12"/>
      <c r="G254" s="12" t="s">
        <v>757</v>
      </c>
      <c r="H254" t="s">
        <v>758</v>
      </c>
    </row>
    <row r="255" spans="1:16" ht="15.75" customHeight="1">
      <c r="A255" s="7" t="s">
        <v>759</v>
      </c>
      <c r="B255" s="8" t="s">
        <v>242</v>
      </c>
      <c r="C255" s="10" t="s">
        <v>760</v>
      </c>
      <c r="E255" s="12" t="s">
        <v>244</v>
      </c>
      <c r="F255" s="12"/>
      <c r="G255" s="8" t="s">
        <v>757</v>
      </c>
      <c r="H255" t="s">
        <v>761</v>
      </c>
    </row>
    <row r="256" spans="1:16" ht="15.75" customHeight="1">
      <c r="A256" t="s">
        <v>762</v>
      </c>
      <c r="B256" t="s">
        <v>255</v>
      </c>
      <c r="C256" t="s">
        <v>763</v>
      </c>
      <c r="F256" t="s">
        <v>764</v>
      </c>
      <c r="G256" t="s">
        <v>20</v>
      </c>
      <c r="L256" s="38" t="s">
        <v>258</v>
      </c>
    </row>
    <row r="257" spans="1:12" ht="15.75" customHeight="1">
      <c r="A257" t="s">
        <v>765</v>
      </c>
      <c r="B257" t="s">
        <v>255</v>
      </c>
      <c r="C257" t="s">
        <v>766</v>
      </c>
      <c r="F257" t="s">
        <v>764</v>
      </c>
      <c r="G257" t="s">
        <v>20</v>
      </c>
      <c r="L257" s="38" t="s">
        <v>258</v>
      </c>
    </row>
    <row r="258" spans="1:12" ht="15.75" customHeight="1">
      <c r="A258" t="s">
        <v>767</v>
      </c>
      <c r="B258" t="s">
        <v>255</v>
      </c>
      <c r="C258" t="s">
        <v>768</v>
      </c>
      <c r="F258" t="s">
        <v>764</v>
      </c>
      <c r="G258" t="s">
        <v>20</v>
      </c>
      <c r="L258" s="38" t="s">
        <v>258</v>
      </c>
    </row>
    <row r="259" spans="1:12" ht="15.75" customHeight="1">
      <c r="A259" t="s">
        <v>769</v>
      </c>
      <c r="B259" t="s">
        <v>255</v>
      </c>
      <c r="C259" t="s">
        <v>770</v>
      </c>
      <c r="F259" t="s">
        <v>764</v>
      </c>
      <c r="G259" t="s">
        <v>20</v>
      </c>
      <c r="L259" s="38" t="s">
        <v>258</v>
      </c>
    </row>
    <row r="260" spans="1:12" ht="15.75" customHeight="1">
      <c r="A260" t="s">
        <v>771</v>
      </c>
      <c r="B260" t="s">
        <v>255</v>
      </c>
      <c r="C260" t="s">
        <v>772</v>
      </c>
      <c r="F260" t="s">
        <v>764</v>
      </c>
      <c r="G260" t="s">
        <v>20</v>
      </c>
      <c r="L260" s="38" t="s">
        <v>258</v>
      </c>
    </row>
    <row r="261" spans="1:12" ht="15.75" customHeight="1">
      <c r="A261" t="s">
        <v>773</v>
      </c>
      <c r="B261" t="s">
        <v>255</v>
      </c>
      <c r="C261" t="s">
        <v>774</v>
      </c>
      <c r="F261" t="s">
        <v>764</v>
      </c>
      <c r="G261" t="s">
        <v>20</v>
      </c>
      <c r="L261" s="38" t="s">
        <v>258</v>
      </c>
    </row>
    <row r="262" spans="1:12" ht="15.75" customHeight="1">
      <c r="A262" t="s">
        <v>775</v>
      </c>
      <c r="B262" t="s">
        <v>255</v>
      </c>
      <c r="C262" t="s">
        <v>776</v>
      </c>
      <c r="F262" t="s">
        <v>764</v>
      </c>
      <c r="G262" t="s">
        <v>20</v>
      </c>
      <c r="L262" s="38" t="s">
        <v>258</v>
      </c>
    </row>
    <row r="263" spans="1:12" ht="15.75" customHeight="1">
      <c r="A263" t="s">
        <v>777</v>
      </c>
      <c r="B263" t="s">
        <v>255</v>
      </c>
      <c r="C263" t="s">
        <v>778</v>
      </c>
      <c r="F263" t="s">
        <v>764</v>
      </c>
      <c r="G263" t="s">
        <v>20</v>
      </c>
      <c r="L263" s="38" t="s">
        <v>258</v>
      </c>
    </row>
    <row r="264" spans="1:12" ht="15.75" customHeight="1">
      <c r="A264" t="s">
        <v>779</v>
      </c>
      <c r="B264" t="s">
        <v>255</v>
      </c>
      <c r="C264" t="s">
        <v>780</v>
      </c>
      <c r="F264" t="s">
        <v>764</v>
      </c>
      <c r="G264" t="s">
        <v>20</v>
      </c>
      <c r="L264" s="38" t="s">
        <v>258</v>
      </c>
    </row>
    <row r="265" spans="1:12" ht="15.75" customHeight="1">
      <c r="A265" t="s">
        <v>781</v>
      </c>
      <c r="B265" t="s">
        <v>255</v>
      </c>
      <c r="C265" t="s">
        <v>782</v>
      </c>
      <c r="F265" t="s">
        <v>783</v>
      </c>
      <c r="G265" t="s">
        <v>20</v>
      </c>
      <c r="L265" s="38" t="s">
        <v>258</v>
      </c>
    </row>
    <row r="266" spans="1:12" ht="15.75" customHeight="1">
      <c r="A266" t="s">
        <v>784</v>
      </c>
      <c r="B266" t="s">
        <v>255</v>
      </c>
      <c r="C266" t="s">
        <v>785</v>
      </c>
      <c r="F266" t="s">
        <v>783</v>
      </c>
      <c r="G266" t="s">
        <v>20</v>
      </c>
      <c r="L266" s="38" t="s">
        <v>258</v>
      </c>
    </row>
    <row r="267" spans="1:12" ht="15.75" customHeight="1">
      <c r="A267" t="s">
        <v>786</v>
      </c>
      <c r="B267" t="s">
        <v>255</v>
      </c>
      <c r="C267" t="s">
        <v>787</v>
      </c>
      <c r="F267" t="s">
        <v>788</v>
      </c>
      <c r="G267" t="s">
        <v>20</v>
      </c>
      <c r="L267" s="38" t="s">
        <v>258</v>
      </c>
    </row>
    <row r="268" spans="1:12" ht="15.75" customHeight="1">
      <c r="A268" t="s">
        <v>789</v>
      </c>
      <c r="B268" t="s">
        <v>255</v>
      </c>
      <c r="C268" t="s">
        <v>790</v>
      </c>
      <c r="F268" t="s">
        <v>788</v>
      </c>
      <c r="G268" t="s">
        <v>20</v>
      </c>
      <c r="L268" s="38" t="s">
        <v>258</v>
      </c>
    </row>
    <row r="269" spans="1:12" ht="15.75" customHeight="1">
      <c r="A269" t="s">
        <v>791</v>
      </c>
      <c r="B269" t="s">
        <v>255</v>
      </c>
      <c r="C269" t="s">
        <v>792</v>
      </c>
      <c r="F269" t="s">
        <v>793</v>
      </c>
      <c r="G269" t="s">
        <v>20</v>
      </c>
      <c r="L269" s="38" t="s">
        <v>258</v>
      </c>
    </row>
    <row r="270" spans="1:12" ht="15.75" customHeight="1">
      <c r="A270" t="s">
        <v>794</v>
      </c>
      <c r="B270" t="s">
        <v>255</v>
      </c>
      <c r="C270" t="s">
        <v>795</v>
      </c>
      <c r="F270" t="s">
        <v>793</v>
      </c>
      <c r="G270" t="s">
        <v>20</v>
      </c>
      <c r="L270" s="38" t="s">
        <v>258</v>
      </c>
    </row>
    <row r="271" spans="1:12" ht="15.75" customHeight="1">
      <c r="A271" t="s">
        <v>796</v>
      </c>
      <c r="B271" t="s">
        <v>255</v>
      </c>
      <c r="C271" t="s">
        <v>797</v>
      </c>
      <c r="F271" t="s">
        <v>793</v>
      </c>
      <c r="G271" t="s">
        <v>20</v>
      </c>
      <c r="L271" s="38" t="s">
        <v>258</v>
      </c>
    </row>
    <row r="272" spans="1:12" ht="15.75" customHeight="1">
      <c r="A272" t="s">
        <v>798</v>
      </c>
      <c r="B272" t="s">
        <v>255</v>
      </c>
      <c r="C272" t="s">
        <v>780</v>
      </c>
      <c r="F272" t="s">
        <v>793</v>
      </c>
      <c r="G272" t="s">
        <v>20</v>
      </c>
      <c r="L272" s="38" t="s">
        <v>258</v>
      </c>
    </row>
    <row r="273" spans="1:12" ht="15.75" customHeight="1">
      <c r="A273" t="s">
        <v>799</v>
      </c>
      <c r="B273" t="s">
        <v>255</v>
      </c>
      <c r="C273" t="s">
        <v>800</v>
      </c>
      <c r="F273" t="s">
        <v>793</v>
      </c>
      <c r="G273" t="s">
        <v>20</v>
      </c>
      <c r="L273" s="38" t="s">
        <v>258</v>
      </c>
    </row>
    <row r="274" spans="1:12" ht="15.75" customHeight="1">
      <c r="A274" t="s">
        <v>801</v>
      </c>
      <c r="B274" t="s">
        <v>255</v>
      </c>
      <c r="C274" t="s">
        <v>802</v>
      </c>
      <c r="F274" t="s">
        <v>803</v>
      </c>
      <c r="G274" t="s">
        <v>20</v>
      </c>
      <c r="L274" s="38" t="s">
        <v>258</v>
      </c>
    </row>
    <row r="275" spans="1:12" ht="15.75" customHeight="1">
      <c r="A275" t="s">
        <v>804</v>
      </c>
      <c r="B275" t="s">
        <v>255</v>
      </c>
      <c r="C275" t="s">
        <v>805</v>
      </c>
      <c r="F275" t="s">
        <v>803</v>
      </c>
      <c r="G275" t="s">
        <v>20</v>
      </c>
      <c r="L275" s="38" t="s">
        <v>258</v>
      </c>
    </row>
    <row r="276" spans="1:12" ht="15.75" customHeight="1">
      <c r="A276" t="s">
        <v>806</v>
      </c>
      <c r="B276" t="s">
        <v>255</v>
      </c>
      <c r="C276" t="s">
        <v>807</v>
      </c>
      <c r="F276" t="s">
        <v>808</v>
      </c>
      <c r="G276" t="s">
        <v>20</v>
      </c>
      <c r="L276" s="38" t="s">
        <v>258</v>
      </c>
    </row>
    <row r="277" spans="1:12" ht="15.75" customHeight="1">
      <c r="A277" t="s">
        <v>809</v>
      </c>
      <c r="B277" t="s">
        <v>255</v>
      </c>
      <c r="C277" t="s">
        <v>810</v>
      </c>
      <c r="F277" t="s">
        <v>808</v>
      </c>
      <c r="G277" t="s">
        <v>20</v>
      </c>
      <c r="L277" s="38" t="s">
        <v>258</v>
      </c>
    </row>
    <row r="278" spans="1:12" ht="15.75" customHeight="1">
      <c r="A278" t="s">
        <v>811</v>
      </c>
      <c r="B278" t="s">
        <v>255</v>
      </c>
      <c r="C278" t="s">
        <v>812</v>
      </c>
      <c r="F278" t="s">
        <v>808</v>
      </c>
      <c r="G278" t="s">
        <v>20</v>
      </c>
      <c r="L278" s="38" t="s">
        <v>258</v>
      </c>
    </row>
    <row r="279" spans="1:12" ht="15.75" customHeight="1">
      <c r="A279" t="s">
        <v>813</v>
      </c>
      <c r="B279" t="s">
        <v>255</v>
      </c>
      <c r="C279" t="s">
        <v>814</v>
      </c>
      <c r="F279" t="s">
        <v>815</v>
      </c>
      <c r="G279" t="s">
        <v>20</v>
      </c>
      <c r="L279" s="38" t="s">
        <v>258</v>
      </c>
    </row>
    <row r="280" spans="1:12" ht="15.75" customHeight="1">
      <c r="A280" t="s">
        <v>816</v>
      </c>
      <c r="B280" t="s">
        <v>255</v>
      </c>
      <c r="C280" t="s">
        <v>817</v>
      </c>
      <c r="F280" t="s">
        <v>815</v>
      </c>
      <c r="G280" t="s">
        <v>20</v>
      </c>
      <c r="L280" s="38" t="s">
        <v>258</v>
      </c>
    </row>
    <row r="281" spans="1:12" ht="15.75" customHeight="1">
      <c r="A281" t="s">
        <v>818</v>
      </c>
      <c r="B281" t="s">
        <v>255</v>
      </c>
      <c r="C281" t="s">
        <v>819</v>
      </c>
      <c r="F281" t="s">
        <v>820</v>
      </c>
      <c r="G281" t="s">
        <v>20</v>
      </c>
      <c r="L281" s="38" t="s">
        <v>258</v>
      </c>
    </row>
    <row r="282" spans="1:12" ht="15.75" customHeight="1">
      <c r="A282" t="s">
        <v>821</v>
      </c>
      <c r="B282" t="s">
        <v>255</v>
      </c>
      <c r="C282" t="s">
        <v>822</v>
      </c>
      <c r="F282" t="s">
        <v>823</v>
      </c>
      <c r="G282" t="s">
        <v>20</v>
      </c>
      <c r="L282" s="38" t="s">
        <v>258</v>
      </c>
    </row>
    <row r="283" spans="1:12" ht="15.75" customHeight="1">
      <c r="A283" t="s">
        <v>824</v>
      </c>
      <c r="B283" t="s">
        <v>255</v>
      </c>
      <c r="C283" t="s">
        <v>825</v>
      </c>
      <c r="F283" t="s">
        <v>826</v>
      </c>
      <c r="G283" t="s">
        <v>20</v>
      </c>
      <c r="L283" s="38" t="s">
        <v>258</v>
      </c>
    </row>
    <row r="284" spans="1:12" ht="15.75" customHeight="1">
      <c r="A284" t="s">
        <v>827</v>
      </c>
      <c r="B284" t="s">
        <v>255</v>
      </c>
      <c r="C284" t="s">
        <v>828</v>
      </c>
      <c r="F284" t="s">
        <v>826</v>
      </c>
      <c r="G284" t="s">
        <v>20</v>
      </c>
      <c r="L284" s="38" t="s">
        <v>258</v>
      </c>
    </row>
    <row r="285" spans="1:12" ht="15.75" customHeight="1">
      <c r="A285" t="s">
        <v>829</v>
      </c>
      <c r="B285" t="s">
        <v>255</v>
      </c>
      <c r="C285" t="s">
        <v>830</v>
      </c>
      <c r="F285" t="s">
        <v>826</v>
      </c>
      <c r="G285" t="s">
        <v>20</v>
      </c>
      <c r="L285" s="38" t="s">
        <v>258</v>
      </c>
    </row>
    <row r="286" spans="1:12" ht="15.75" customHeight="1">
      <c r="A286" t="s">
        <v>831</v>
      </c>
      <c r="B286" t="s">
        <v>255</v>
      </c>
      <c r="C286" t="s">
        <v>832</v>
      </c>
      <c r="F286" t="s">
        <v>826</v>
      </c>
      <c r="G286" t="s">
        <v>20</v>
      </c>
      <c r="L286" s="38" t="s">
        <v>258</v>
      </c>
    </row>
    <row r="287" spans="1:12" ht="15.75" customHeight="1">
      <c r="A287" t="s">
        <v>833</v>
      </c>
      <c r="B287" t="s">
        <v>255</v>
      </c>
      <c r="C287" t="s">
        <v>834</v>
      </c>
      <c r="F287" t="s">
        <v>826</v>
      </c>
      <c r="G287" t="s">
        <v>20</v>
      </c>
      <c r="L287" s="38" t="s">
        <v>258</v>
      </c>
    </row>
    <row r="288" spans="1:12" ht="15.75" customHeight="1">
      <c r="A288" t="s">
        <v>835</v>
      </c>
      <c r="B288" t="s">
        <v>255</v>
      </c>
      <c r="C288" t="s">
        <v>836</v>
      </c>
      <c r="F288" t="s">
        <v>837</v>
      </c>
      <c r="G288" t="s">
        <v>20</v>
      </c>
      <c r="L288" s="38" t="s">
        <v>258</v>
      </c>
    </row>
    <row r="289" spans="1:12" ht="15.75" customHeight="1">
      <c r="A289" t="s">
        <v>838</v>
      </c>
      <c r="B289" t="s">
        <v>255</v>
      </c>
      <c r="C289" t="s">
        <v>839</v>
      </c>
      <c r="F289" t="s">
        <v>837</v>
      </c>
      <c r="G289" t="s">
        <v>20</v>
      </c>
      <c r="L289" s="38" t="s">
        <v>258</v>
      </c>
    </row>
    <row r="290" spans="1:12" ht="15.75" customHeight="1">
      <c r="A290" t="s">
        <v>840</v>
      </c>
      <c r="B290" t="s">
        <v>255</v>
      </c>
      <c r="C290" t="s">
        <v>841</v>
      </c>
      <c r="F290" t="s">
        <v>837</v>
      </c>
      <c r="G290" t="s">
        <v>20</v>
      </c>
      <c r="L290" s="38" t="s">
        <v>258</v>
      </c>
    </row>
    <row r="291" spans="1:12" ht="15.75" customHeight="1">
      <c r="A291" t="s">
        <v>842</v>
      </c>
      <c r="B291" t="s">
        <v>255</v>
      </c>
      <c r="C291" t="s">
        <v>843</v>
      </c>
      <c r="F291" t="s">
        <v>844</v>
      </c>
      <c r="G291" t="s">
        <v>20</v>
      </c>
      <c r="L291" s="38" t="s">
        <v>258</v>
      </c>
    </row>
    <row r="292" spans="1:12" ht="15.75" customHeight="1">
      <c r="A292" t="s">
        <v>845</v>
      </c>
      <c r="B292" t="s">
        <v>255</v>
      </c>
      <c r="C292" t="s">
        <v>846</v>
      </c>
      <c r="F292" t="s">
        <v>844</v>
      </c>
      <c r="G292" t="s">
        <v>20</v>
      </c>
      <c r="L292" s="38" t="s">
        <v>258</v>
      </c>
    </row>
    <row r="293" spans="1:12" ht="15.75" customHeight="1">
      <c r="A293" t="s">
        <v>847</v>
      </c>
      <c r="B293" t="s">
        <v>255</v>
      </c>
      <c r="C293" t="s">
        <v>848</v>
      </c>
      <c r="F293" t="s">
        <v>844</v>
      </c>
      <c r="G293" t="s">
        <v>20</v>
      </c>
      <c r="L293" s="38" t="s">
        <v>258</v>
      </c>
    </row>
    <row r="294" spans="1:12" ht="15.75" customHeight="1">
      <c r="A294" t="s">
        <v>849</v>
      </c>
      <c r="B294" t="s">
        <v>255</v>
      </c>
      <c r="C294" t="s">
        <v>850</v>
      </c>
      <c r="F294" t="s">
        <v>844</v>
      </c>
      <c r="G294" t="s">
        <v>20</v>
      </c>
      <c r="L294" s="38" t="s">
        <v>258</v>
      </c>
    </row>
    <row r="295" spans="1:12" ht="15.75" customHeight="1">
      <c r="A295" t="s">
        <v>851</v>
      </c>
      <c r="B295" t="s">
        <v>255</v>
      </c>
      <c r="C295" t="s">
        <v>852</v>
      </c>
      <c r="F295" t="s">
        <v>844</v>
      </c>
      <c r="G295" t="s">
        <v>20</v>
      </c>
      <c r="L295" s="38" t="s">
        <v>258</v>
      </c>
    </row>
    <row r="296" spans="1:12" ht="15.75" customHeight="1">
      <c r="A296" t="s">
        <v>853</v>
      </c>
      <c r="B296" t="s">
        <v>255</v>
      </c>
      <c r="C296" t="s">
        <v>854</v>
      </c>
      <c r="F296" t="s">
        <v>855</v>
      </c>
      <c r="G296" t="s">
        <v>20</v>
      </c>
      <c r="L296" s="38" t="s">
        <v>258</v>
      </c>
    </row>
    <row r="297" spans="1:12" ht="15.75" customHeight="1">
      <c r="A297" t="s">
        <v>856</v>
      </c>
      <c r="B297" t="s">
        <v>255</v>
      </c>
      <c r="C297" t="s">
        <v>857</v>
      </c>
      <c r="F297" t="s">
        <v>855</v>
      </c>
      <c r="G297" t="s">
        <v>20</v>
      </c>
      <c r="L297" s="38" t="s">
        <v>258</v>
      </c>
    </row>
    <row r="298" spans="1:12" ht="15.75" customHeight="1">
      <c r="A298" t="s">
        <v>858</v>
      </c>
      <c r="B298" t="s">
        <v>255</v>
      </c>
      <c r="C298" t="s">
        <v>859</v>
      </c>
      <c r="F298" t="s">
        <v>855</v>
      </c>
      <c r="G298" t="s">
        <v>20</v>
      </c>
      <c r="L298" s="38" t="s">
        <v>258</v>
      </c>
    </row>
    <row r="299" spans="1:12" ht="15.75" customHeight="1">
      <c r="A299" t="s">
        <v>860</v>
      </c>
      <c r="B299" t="s">
        <v>255</v>
      </c>
      <c r="C299" t="s">
        <v>861</v>
      </c>
      <c r="F299" t="s">
        <v>855</v>
      </c>
      <c r="G299" t="s">
        <v>20</v>
      </c>
      <c r="L299" s="38" t="s">
        <v>258</v>
      </c>
    </row>
    <row r="300" spans="1:12" ht="15.75" customHeight="1">
      <c r="A300" t="s">
        <v>862</v>
      </c>
      <c r="B300" t="s">
        <v>255</v>
      </c>
      <c r="C300" t="s">
        <v>863</v>
      </c>
      <c r="F300" t="s">
        <v>855</v>
      </c>
      <c r="G300" t="s">
        <v>20</v>
      </c>
      <c r="L300" s="38" t="s">
        <v>258</v>
      </c>
    </row>
    <row r="301" spans="1:12" ht="15.75" customHeight="1">
      <c r="A301" t="s">
        <v>864</v>
      </c>
      <c r="B301" t="s">
        <v>255</v>
      </c>
      <c r="C301" t="s">
        <v>865</v>
      </c>
      <c r="F301" t="s">
        <v>866</v>
      </c>
      <c r="G301" t="s">
        <v>20</v>
      </c>
      <c r="L301" s="38" t="s">
        <v>258</v>
      </c>
    </row>
    <row r="302" spans="1:12" ht="15.75" customHeight="1">
      <c r="A302" t="s">
        <v>867</v>
      </c>
      <c r="B302" t="s">
        <v>255</v>
      </c>
      <c r="C302" t="s">
        <v>868</v>
      </c>
      <c r="F302" t="s">
        <v>866</v>
      </c>
      <c r="G302" t="s">
        <v>20</v>
      </c>
      <c r="L302" s="38" t="s">
        <v>258</v>
      </c>
    </row>
    <row r="303" spans="1:12" ht="15.75" customHeight="1">
      <c r="A303" t="s">
        <v>869</v>
      </c>
      <c r="B303" t="s">
        <v>255</v>
      </c>
      <c r="C303" t="s">
        <v>870</v>
      </c>
      <c r="F303" t="s">
        <v>866</v>
      </c>
      <c r="G303" t="s">
        <v>20</v>
      </c>
      <c r="L303" s="38" t="s">
        <v>258</v>
      </c>
    </row>
    <row r="304" spans="1:12" ht="15.75" customHeight="1">
      <c r="A304" t="s">
        <v>871</v>
      </c>
      <c r="B304" t="s">
        <v>255</v>
      </c>
      <c r="C304" t="s">
        <v>872</v>
      </c>
      <c r="F304" t="s">
        <v>866</v>
      </c>
      <c r="G304" t="s">
        <v>20</v>
      </c>
      <c r="L304" s="38" t="s">
        <v>258</v>
      </c>
    </row>
    <row r="305" spans="1:24" ht="15.75" customHeight="1">
      <c r="A305" t="s">
        <v>873</v>
      </c>
      <c r="B305" t="s">
        <v>255</v>
      </c>
      <c r="C305" t="s">
        <v>874</v>
      </c>
      <c r="F305" t="s">
        <v>866</v>
      </c>
      <c r="G305" t="s">
        <v>20</v>
      </c>
      <c r="L305" s="38" t="s">
        <v>258</v>
      </c>
    </row>
    <row r="306" spans="1:24" ht="15.75" customHeight="1">
      <c r="A306" t="s">
        <v>875</v>
      </c>
      <c r="B306" t="s">
        <v>255</v>
      </c>
      <c r="C306" t="s">
        <v>857</v>
      </c>
      <c r="F306" t="s">
        <v>876</v>
      </c>
      <c r="G306" t="s">
        <v>20</v>
      </c>
      <c r="L306" s="38" t="s">
        <v>258</v>
      </c>
    </row>
    <row r="307" spans="1:24" ht="15.75" customHeight="1">
      <c r="A307" t="s">
        <v>877</v>
      </c>
      <c r="B307" t="s">
        <v>255</v>
      </c>
      <c r="C307" t="s">
        <v>878</v>
      </c>
      <c r="F307" t="s">
        <v>876</v>
      </c>
      <c r="G307" t="s">
        <v>20</v>
      </c>
      <c r="L307" s="38" t="s">
        <v>258</v>
      </c>
      <c r="X307" s="2"/>
    </row>
    <row r="308" spans="1:24" ht="15.75" customHeight="1">
      <c r="A308" t="s">
        <v>879</v>
      </c>
      <c r="B308" t="s">
        <v>255</v>
      </c>
      <c r="C308" t="s">
        <v>880</v>
      </c>
      <c r="F308" t="s">
        <v>876</v>
      </c>
      <c r="G308" t="s">
        <v>20</v>
      </c>
      <c r="L308" s="38" t="s">
        <v>258</v>
      </c>
      <c r="X308" s="2"/>
    </row>
    <row r="309" spans="1:24" ht="15.75" customHeight="1">
      <c r="A309" t="s">
        <v>881</v>
      </c>
      <c r="B309" t="s">
        <v>255</v>
      </c>
      <c r="C309" t="s">
        <v>882</v>
      </c>
      <c r="F309" t="s">
        <v>876</v>
      </c>
      <c r="G309" t="s">
        <v>20</v>
      </c>
      <c r="L309" s="38" t="s">
        <v>258</v>
      </c>
      <c r="X309" s="2"/>
    </row>
    <row r="310" spans="1:24" ht="15.75" customHeight="1">
      <c r="A310" t="s">
        <v>883</v>
      </c>
      <c r="B310" t="s">
        <v>255</v>
      </c>
      <c r="C310" t="s">
        <v>884</v>
      </c>
      <c r="F310" t="s">
        <v>876</v>
      </c>
      <c r="G310" t="s">
        <v>20</v>
      </c>
      <c r="L310" s="38" t="s">
        <v>258</v>
      </c>
    </row>
    <row r="311" spans="1:24" ht="15.75" customHeight="1">
      <c r="A311" t="s">
        <v>885</v>
      </c>
      <c r="B311" t="s">
        <v>255</v>
      </c>
      <c r="C311" t="s">
        <v>886</v>
      </c>
      <c r="F311" t="s">
        <v>876</v>
      </c>
      <c r="G311" t="s">
        <v>20</v>
      </c>
      <c r="L311" s="38" t="s">
        <v>258</v>
      </c>
    </row>
    <row r="312" spans="1:24" ht="15.75" customHeight="1">
      <c r="A312" t="s">
        <v>887</v>
      </c>
      <c r="B312" t="s">
        <v>255</v>
      </c>
      <c r="C312" t="s">
        <v>888</v>
      </c>
      <c r="F312" t="s">
        <v>876</v>
      </c>
      <c r="G312" t="s">
        <v>20</v>
      </c>
      <c r="L312" s="38" t="s">
        <v>258</v>
      </c>
    </row>
    <row r="313" spans="1:24" ht="15.75" customHeight="1">
      <c r="A313" t="s">
        <v>889</v>
      </c>
      <c r="B313" t="s">
        <v>255</v>
      </c>
      <c r="C313" t="s">
        <v>890</v>
      </c>
      <c r="F313" t="s">
        <v>876</v>
      </c>
      <c r="G313" t="s">
        <v>20</v>
      </c>
      <c r="L313" s="38" t="s">
        <v>258</v>
      </c>
    </row>
    <row r="314" spans="1:24" ht="15.75" customHeight="1">
      <c r="A314" t="s">
        <v>891</v>
      </c>
      <c r="B314" t="s">
        <v>255</v>
      </c>
      <c r="C314" t="s">
        <v>892</v>
      </c>
      <c r="F314" t="s">
        <v>893</v>
      </c>
      <c r="G314" t="s">
        <v>20</v>
      </c>
      <c r="L314" s="38" t="s">
        <v>258</v>
      </c>
    </row>
    <row r="315" spans="1:24" ht="15.75" customHeight="1">
      <c r="A315" t="s">
        <v>894</v>
      </c>
      <c r="B315" t="s">
        <v>255</v>
      </c>
      <c r="C315" t="s">
        <v>895</v>
      </c>
      <c r="F315" t="s">
        <v>893</v>
      </c>
      <c r="G315" t="s">
        <v>20</v>
      </c>
      <c r="L315" s="38" t="s">
        <v>258</v>
      </c>
    </row>
    <row r="316" spans="1:24" ht="15.75" customHeight="1">
      <c r="A316" t="s">
        <v>896</v>
      </c>
      <c r="B316" t="s">
        <v>255</v>
      </c>
      <c r="C316" t="s">
        <v>897</v>
      </c>
      <c r="F316" t="s">
        <v>893</v>
      </c>
      <c r="G316" t="s">
        <v>20</v>
      </c>
      <c r="L316" s="38" t="s">
        <v>258</v>
      </c>
    </row>
    <row r="317" spans="1:24" ht="15.75" customHeight="1">
      <c r="A317" t="s">
        <v>898</v>
      </c>
      <c r="B317" t="s">
        <v>255</v>
      </c>
      <c r="C317" t="s">
        <v>899</v>
      </c>
      <c r="F317" t="s">
        <v>900</v>
      </c>
      <c r="G317" t="s">
        <v>20</v>
      </c>
      <c r="L317" s="38" t="s">
        <v>258</v>
      </c>
      <c r="S317" s="1"/>
    </row>
    <row r="318" spans="1:24" ht="15.75" customHeight="1">
      <c r="A318" t="s">
        <v>901</v>
      </c>
      <c r="B318" t="s">
        <v>255</v>
      </c>
      <c r="C318" t="s">
        <v>902</v>
      </c>
      <c r="F318" t="s">
        <v>900</v>
      </c>
      <c r="G318" t="s">
        <v>20</v>
      </c>
      <c r="L318" s="38" t="s">
        <v>258</v>
      </c>
      <c r="S318" s="1"/>
    </row>
    <row r="319" spans="1:24" ht="15.75" customHeight="1">
      <c r="A319" t="s">
        <v>903</v>
      </c>
      <c r="B319" t="s">
        <v>255</v>
      </c>
      <c r="C319" t="s">
        <v>904</v>
      </c>
      <c r="F319" t="s">
        <v>905</v>
      </c>
      <c r="G319" t="s">
        <v>20</v>
      </c>
      <c r="L319" s="38" t="s">
        <v>258</v>
      </c>
    </row>
    <row r="320" spans="1:24" ht="15.75" customHeight="1">
      <c r="A320" t="s">
        <v>906</v>
      </c>
      <c r="B320" t="s">
        <v>255</v>
      </c>
      <c r="C320" t="s">
        <v>907</v>
      </c>
      <c r="F320" t="s">
        <v>905</v>
      </c>
      <c r="G320" t="s">
        <v>20</v>
      </c>
      <c r="L320" s="38" t="s">
        <v>258</v>
      </c>
    </row>
    <row r="321" spans="1:21" ht="15.75" customHeight="1">
      <c r="A321" t="s">
        <v>908</v>
      </c>
      <c r="B321" t="s">
        <v>255</v>
      </c>
      <c r="C321" t="s">
        <v>909</v>
      </c>
      <c r="F321" t="s">
        <v>905</v>
      </c>
      <c r="G321" t="s">
        <v>20</v>
      </c>
      <c r="L321" s="38" t="s">
        <v>258</v>
      </c>
    </row>
    <row r="322" spans="1:21" ht="15.75" customHeight="1">
      <c r="A322" t="s">
        <v>910</v>
      </c>
      <c r="B322" t="s">
        <v>255</v>
      </c>
      <c r="C322" t="s">
        <v>911</v>
      </c>
      <c r="F322" t="s">
        <v>905</v>
      </c>
      <c r="G322" t="s">
        <v>20</v>
      </c>
      <c r="L322" s="38" t="s">
        <v>258</v>
      </c>
    </row>
    <row r="323" spans="1:21" ht="15.75" customHeight="1">
      <c r="A323" t="s">
        <v>912</v>
      </c>
      <c r="B323" t="s">
        <v>255</v>
      </c>
      <c r="C323" t="s">
        <v>913</v>
      </c>
      <c r="F323" t="s">
        <v>914</v>
      </c>
      <c r="G323" t="s">
        <v>20</v>
      </c>
      <c r="L323" s="38" t="s">
        <v>258</v>
      </c>
    </row>
    <row r="324" spans="1:21" ht="15.75" customHeight="1">
      <c r="A324" t="s">
        <v>915</v>
      </c>
      <c r="B324" t="s">
        <v>255</v>
      </c>
      <c r="C324" t="s">
        <v>916</v>
      </c>
      <c r="F324" t="s">
        <v>914</v>
      </c>
      <c r="G324" t="s">
        <v>20</v>
      </c>
      <c r="L324" s="38" t="s">
        <v>258</v>
      </c>
      <c r="U324" s="1"/>
    </row>
    <row r="325" spans="1:21" ht="15.75" customHeight="1">
      <c r="A325" t="s">
        <v>917</v>
      </c>
      <c r="B325" t="s">
        <v>255</v>
      </c>
      <c r="C325" t="s">
        <v>918</v>
      </c>
      <c r="F325" t="s">
        <v>914</v>
      </c>
      <c r="G325" t="s">
        <v>20</v>
      </c>
      <c r="L325" s="38" t="s">
        <v>258</v>
      </c>
      <c r="U325" s="3"/>
    </row>
    <row r="326" spans="1:21" ht="15.75" customHeight="1">
      <c r="A326" t="s">
        <v>919</v>
      </c>
      <c r="B326" t="s">
        <v>255</v>
      </c>
      <c r="C326" t="s">
        <v>920</v>
      </c>
      <c r="F326" t="s">
        <v>921</v>
      </c>
      <c r="G326" t="s">
        <v>20</v>
      </c>
      <c r="L326" s="38" t="s">
        <v>258</v>
      </c>
    </row>
    <row r="327" spans="1:21" ht="15.75" customHeight="1">
      <c r="A327" t="s">
        <v>922</v>
      </c>
      <c r="B327" t="s">
        <v>255</v>
      </c>
      <c r="C327" t="s">
        <v>923</v>
      </c>
      <c r="F327" t="s">
        <v>921</v>
      </c>
      <c r="G327" t="s">
        <v>20</v>
      </c>
      <c r="L327" s="38" t="s">
        <v>258</v>
      </c>
    </row>
    <row r="328" spans="1:21" ht="15.75" customHeight="1">
      <c r="A328" t="s">
        <v>924</v>
      </c>
      <c r="B328" t="s">
        <v>255</v>
      </c>
      <c r="C328" t="s">
        <v>925</v>
      </c>
      <c r="F328" t="s">
        <v>921</v>
      </c>
      <c r="G328" t="s">
        <v>20</v>
      </c>
      <c r="L328" s="38" t="s">
        <v>258</v>
      </c>
      <c r="U328" s="1"/>
    </row>
    <row r="329" spans="1:21" ht="15.75" customHeight="1">
      <c r="A329" t="s">
        <v>926</v>
      </c>
      <c r="B329" t="s">
        <v>255</v>
      </c>
      <c r="C329" t="s">
        <v>927</v>
      </c>
      <c r="F329" t="s">
        <v>921</v>
      </c>
      <c r="G329" t="s">
        <v>20</v>
      </c>
      <c r="L329" s="38" t="s">
        <v>258</v>
      </c>
      <c r="U329" s="3"/>
    </row>
    <row r="330" spans="1:21" ht="15.75" customHeight="1">
      <c r="A330" t="s">
        <v>928</v>
      </c>
      <c r="B330" t="s">
        <v>255</v>
      </c>
      <c r="C330" t="s">
        <v>929</v>
      </c>
      <c r="F330" t="s">
        <v>921</v>
      </c>
      <c r="G330" t="s">
        <v>20</v>
      </c>
      <c r="L330" s="38" t="s">
        <v>258</v>
      </c>
    </row>
    <row r="331" spans="1:21" ht="15.75" customHeight="1">
      <c r="A331" t="s">
        <v>930</v>
      </c>
      <c r="B331" t="s">
        <v>255</v>
      </c>
      <c r="C331" t="s">
        <v>931</v>
      </c>
      <c r="F331" t="s">
        <v>921</v>
      </c>
      <c r="G331" t="s">
        <v>20</v>
      </c>
      <c r="L331" s="38" t="s">
        <v>258</v>
      </c>
    </row>
    <row r="332" spans="1:21" ht="15.75" customHeight="1">
      <c r="A332" t="s">
        <v>932</v>
      </c>
      <c r="B332" t="s">
        <v>255</v>
      </c>
      <c r="C332" t="s">
        <v>933</v>
      </c>
      <c r="F332" t="s">
        <v>921</v>
      </c>
      <c r="G332" t="s">
        <v>20</v>
      </c>
      <c r="L332" s="38" t="s">
        <v>258</v>
      </c>
    </row>
    <row r="333" spans="1:21" ht="15.75" customHeight="1">
      <c r="A333" t="s">
        <v>934</v>
      </c>
      <c r="B333" t="s">
        <v>255</v>
      </c>
      <c r="C333" t="s">
        <v>935</v>
      </c>
      <c r="F333" t="s">
        <v>921</v>
      </c>
      <c r="G333" t="s">
        <v>20</v>
      </c>
      <c r="L333" s="38" t="s">
        <v>258</v>
      </c>
    </row>
    <row r="334" spans="1:21" ht="15.75" customHeight="1">
      <c r="A334" t="s">
        <v>936</v>
      </c>
      <c r="B334" t="s">
        <v>255</v>
      </c>
      <c r="C334" t="s">
        <v>937</v>
      </c>
      <c r="F334" t="s">
        <v>938</v>
      </c>
      <c r="G334" t="s">
        <v>20</v>
      </c>
      <c r="L334" s="38" t="s">
        <v>258</v>
      </c>
    </row>
    <row r="335" spans="1:21" ht="15.75" customHeight="1">
      <c r="A335" t="s">
        <v>939</v>
      </c>
      <c r="B335" t="s">
        <v>255</v>
      </c>
      <c r="C335" t="s">
        <v>940</v>
      </c>
      <c r="F335" t="s">
        <v>938</v>
      </c>
      <c r="G335" t="s">
        <v>20</v>
      </c>
      <c r="L335" s="38" t="s">
        <v>258</v>
      </c>
    </row>
    <row r="336" spans="1:21" ht="15.75" customHeight="1">
      <c r="A336" t="s">
        <v>941</v>
      </c>
      <c r="B336" t="s">
        <v>255</v>
      </c>
      <c r="C336" t="s">
        <v>942</v>
      </c>
      <c r="F336" t="s">
        <v>938</v>
      </c>
      <c r="G336" t="s">
        <v>20</v>
      </c>
      <c r="L336" s="38" t="s">
        <v>258</v>
      </c>
    </row>
    <row r="337" spans="1:33" ht="15.75" customHeight="1">
      <c r="A337" t="s">
        <v>943</v>
      </c>
      <c r="B337" t="s">
        <v>255</v>
      </c>
      <c r="C337" t="s">
        <v>944</v>
      </c>
      <c r="F337" t="s">
        <v>938</v>
      </c>
      <c r="G337" t="s">
        <v>20</v>
      </c>
      <c r="L337" s="38" t="s">
        <v>258</v>
      </c>
    </row>
    <row r="338" spans="1:33" ht="15.75" customHeight="1">
      <c r="A338" t="s">
        <v>945</v>
      </c>
      <c r="B338" t="s">
        <v>255</v>
      </c>
      <c r="C338" t="s">
        <v>946</v>
      </c>
      <c r="F338" t="s">
        <v>938</v>
      </c>
      <c r="G338" t="s">
        <v>20</v>
      </c>
      <c r="L338" s="38" t="s">
        <v>258</v>
      </c>
      <c r="AG338" s="1"/>
    </row>
    <row r="339" spans="1:33" ht="15.75" customHeight="1">
      <c r="A339" t="s">
        <v>947</v>
      </c>
      <c r="B339" t="s">
        <v>255</v>
      </c>
      <c r="C339" t="s">
        <v>948</v>
      </c>
      <c r="F339" t="s">
        <v>938</v>
      </c>
      <c r="G339" t="s">
        <v>20</v>
      </c>
      <c r="L339" s="38" t="s">
        <v>258</v>
      </c>
    </row>
    <row r="340" spans="1:33" ht="15.75" customHeight="1">
      <c r="A340" t="s">
        <v>949</v>
      </c>
      <c r="B340" t="s">
        <v>255</v>
      </c>
      <c r="C340" t="s">
        <v>950</v>
      </c>
      <c r="F340" t="s">
        <v>951</v>
      </c>
      <c r="G340" t="s">
        <v>20</v>
      </c>
      <c r="L340" s="38" t="s">
        <v>258</v>
      </c>
      <c r="Y340" s="1"/>
      <c r="Z340" s="1"/>
    </row>
    <row r="341" spans="1:33" ht="15.75" customHeight="1">
      <c r="A341" t="s">
        <v>952</v>
      </c>
      <c r="B341" t="s">
        <v>255</v>
      </c>
      <c r="C341" t="s">
        <v>953</v>
      </c>
      <c r="F341" t="s">
        <v>951</v>
      </c>
      <c r="G341" t="s">
        <v>20</v>
      </c>
      <c r="L341" s="38" t="s">
        <v>258</v>
      </c>
      <c r="Z341" s="3"/>
    </row>
    <row r="342" spans="1:33" ht="15.75" customHeight="1">
      <c r="A342" t="s">
        <v>954</v>
      </c>
      <c r="B342" t="s">
        <v>255</v>
      </c>
      <c r="C342" t="s">
        <v>955</v>
      </c>
      <c r="F342" t="s">
        <v>956</v>
      </c>
      <c r="G342" t="s">
        <v>20</v>
      </c>
      <c r="L342" s="38" t="s">
        <v>258</v>
      </c>
    </row>
    <row r="343" spans="1:33" ht="15.75" customHeight="1">
      <c r="A343" t="s">
        <v>957</v>
      </c>
      <c r="B343" t="s">
        <v>255</v>
      </c>
      <c r="C343" t="s">
        <v>958</v>
      </c>
      <c r="F343" t="s">
        <v>956</v>
      </c>
      <c r="G343" t="s">
        <v>20</v>
      </c>
      <c r="L343" s="38" t="s">
        <v>258</v>
      </c>
    </row>
    <row r="344" spans="1:33" ht="15.75" customHeight="1">
      <c r="A344" t="s">
        <v>959</v>
      </c>
      <c r="B344" t="s">
        <v>255</v>
      </c>
      <c r="C344" t="s">
        <v>960</v>
      </c>
      <c r="F344" t="s">
        <v>956</v>
      </c>
      <c r="G344" t="s">
        <v>20</v>
      </c>
      <c r="L344" s="38" t="s">
        <v>258</v>
      </c>
    </row>
    <row r="345" spans="1:33" ht="15.75" customHeight="1">
      <c r="A345" t="s">
        <v>961</v>
      </c>
      <c r="B345" t="s">
        <v>255</v>
      </c>
      <c r="C345" t="s">
        <v>962</v>
      </c>
      <c r="F345" t="s">
        <v>963</v>
      </c>
      <c r="G345" t="s">
        <v>20</v>
      </c>
      <c r="L345" s="38" t="s">
        <v>258</v>
      </c>
    </row>
    <row r="346" spans="1:33" ht="15.75" customHeight="1">
      <c r="A346" t="s">
        <v>964</v>
      </c>
      <c r="B346" t="s">
        <v>255</v>
      </c>
      <c r="C346" t="s">
        <v>965</v>
      </c>
      <c r="F346" t="s">
        <v>966</v>
      </c>
      <c r="G346" t="s">
        <v>20</v>
      </c>
      <c r="L346" s="38" t="s">
        <v>258</v>
      </c>
    </row>
    <row r="347" spans="1:33" ht="15.75" customHeight="1">
      <c r="A347" t="s">
        <v>967</v>
      </c>
      <c r="B347" t="s">
        <v>255</v>
      </c>
      <c r="C347" t="s">
        <v>968</v>
      </c>
      <c r="F347" t="s">
        <v>966</v>
      </c>
      <c r="G347" t="s">
        <v>20</v>
      </c>
      <c r="L347" s="38" t="s">
        <v>258</v>
      </c>
    </row>
    <row r="348" spans="1:33" ht="15.75" customHeight="1">
      <c r="A348" t="s">
        <v>969</v>
      </c>
      <c r="B348" t="s">
        <v>255</v>
      </c>
      <c r="C348" t="s">
        <v>970</v>
      </c>
      <c r="F348" t="s">
        <v>966</v>
      </c>
      <c r="G348" t="s">
        <v>20</v>
      </c>
      <c r="L348" s="38" t="s">
        <v>258</v>
      </c>
    </row>
    <row r="349" spans="1:33" ht="15.75" customHeight="1">
      <c r="A349" t="s">
        <v>971</v>
      </c>
      <c r="B349" t="s">
        <v>255</v>
      </c>
      <c r="C349" t="s">
        <v>972</v>
      </c>
      <c r="F349" t="s">
        <v>973</v>
      </c>
      <c r="G349" t="s">
        <v>20</v>
      </c>
      <c r="L349" s="38" t="s">
        <v>258</v>
      </c>
    </row>
    <row r="350" spans="1:33" ht="15.75" customHeight="1">
      <c r="A350" t="s">
        <v>974</v>
      </c>
      <c r="B350" t="s">
        <v>255</v>
      </c>
      <c r="C350" t="s">
        <v>975</v>
      </c>
      <c r="F350" t="s">
        <v>973</v>
      </c>
      <c r="G350" t="s">
        <v>20</v>
      </c>
      <c r="L350" s="38" t="s">
        <v>258</v>
      </c>
    </row>
    <row r="351" spans="1:33" ht="15.75" customHeight="1">
      <c r="A351" t="s">
        <v>976</v>
      </c>
      <c r="B351" t="s">
        <v>255</v>
      </c>
      <c r="C351" t="s">
        <v>768</v>
      </c>
      <c r="F351" t="s">
        <v>973</v>
      </c>
      <c r="G351" t="s">
        <v>20</v>
      </c>
      <c r="L351" s="38" t="s">
        <v>258</v>
      </c>
      <c r="Y351" s="2"/>
    </row>
    <row r="352" spans="1:33" ht="15.75" customHeight="1">
      <c r="A352" t="s">
        <v>977</v>
      </c>
      <c r="B352" t="s">
        <v>255</v>
      </c>
      <c r="C352" t="s">
        <v>978</v>
      </c>
      <c r="F352" t="s">
        <v>973</v>
      </c>
      <c r="G352" t="s">
        <v>20</v>
      </c>
      <c r="L352" s="38" t="s">
        <v>258</v>
      </c>
    </row>
    <row r="353" spans="1:25" ht="15.75" customHeight="1">
      <c r="A353" t="s">
        <v>979</v>
      </c>
      <c r="B353" t="s">
        <v>255</v>
      </c>
      <c r="C353" t="s">
        <v>980</v>
      </c>
      <c r="F353" t="s">
        <v>973</v>
      </c>
      <c r="G353" t="s">
        <v>20</v>
      </c>
      <c r="L353" s="38" t="s">
        <v>258</v>
      </c>
    </row>
    <row r="354" spans="1:25" ht="15.75" customHeight="1">
      <c r="A354" t="s">
        <v>981</v>
      </c>
      <c r="B354" t="s">
        <v>255</v>
      </c>
      <c r="C354" t="s">
        <v>982</v>
      </c>
      <c r="F354" t="s">
        <v>973</v>
      </c>
      <c r="G354" t="s">
        <v>20</v>
      </c>
      <c r="L354" s="38" t="s">
        <v>258</v>
      </c>
    </row>
    <row r="355" spans="1:25" ht="15.75" customHeight="1">
      <c r="A355" t="s">
        <v>983</v>
      </c>
      <c r="B355" t="s">
        <v>255</v>
      </c>
      <c r="C355" t="s">
        <v>984</v>
      </c>
      <c r="F355" t="s">
        <v>973</v>
      </c>
      <c r="G355" t="s">
        <v>20</v>
      </c>
      <c r="L355" s="38" t="s">
        <v>258</v>
      </c>
    </row>
    <row r="356" spans="1:25" ht="15.75" customHeight="1">
      <c r="A356" t="s">
        <v>985</v>
      </c>
      <c r="B356" t="s">
        <v>255</v>
      </c>
      <c r="C356" t="s">
        <v>986</v>
      </c>
      <c r="F356" t="s">
        <v>987</v>
      </c>
      <c r="G356" t="s">
        <v>20</v>
      </c>
      <c r="L356" s="38" t="s">
        <v>258</v>
      </c>
    </row>
    <row r="357" spans="1:25" ht="15.75" customHeight="1">
      <c r="A357" t="s">
        <v>988</v>
      </c>
      <c r="B357" t="s">
        <v>255</v>
      </c>
      <c r="C357" t="s">
        <v>989</v>
      </c>
      <c r="F357" t="s">
        <v>987</v>
      </c>
      <c r="G357" t="s">
        <v>20</v>
      </c>
      <c r="L357" s="38" t="s">
        <v>258</v>
      </c>
    </row>
    <row r="358" spans="1:25" ht="15.75" customHeight="1">
      <c r="A358" t="s">
        <v>990</v>
      </c>
      <c r="B358" t="s">
        <v>255</v>
      </c>
      <c r="C358" t="s">
        <v>991</v>
      </c>
      <c r="F358" t="s">
        <v>987</v>
      </c>
      <c r="G358" t="s">
        <v>20</v>
      </c>
      <c r="L358" s="38" t="s">
        <v>258</v>
      </c>
    </row>
    <row r="359" spans="1:25" ht="15.75" customHeight="1">
      <c r="A359" t="s">
        <v>992</v>
      </c>
      <c r="B359" t="s">
        <v>255</v>
      </c>
      <c r="C359" t="s">
        <v>993</v>
      </c>
      <c r="F359" t="s">
        <v>994</v>
      </c>
      <c r="G359" t="s">
        <v>20</v>
      </c>
      <c r="L359" s="38" t="s">
        <v>258</v>
      </c>
    </row>
    <row r="360" spans="1:25" ht="15.75" customHeight="1">
      <c r="A360" t="s">
        <v>995</v>
      </c>
      <c r="B360" t="s">
        <v>255</v>
      </c>
      <c r="C360" t="s">
        <v>996</v>
      </c>
      <c r="F360" t="s">
        <v>994</v>
      </c>
      <c r="G360" t="s">
        <v>20</v>
      </c>
      <c r="L360" s="38" t="s">
        <v>258</v>
      </c>
      <c r="Y360" s="2"/>
    </row>
    <row r="361" spans="1:25" ht="15.75" customHeight="1">
      <c r="A361" t="s">
        <v>997</v>
      </c>
      <c r="B361" t="s">
        <v>255</v>
      </c>
      <c r="C361" t="s">
        <v>937</v>
      </c>
      <c r="F361" t="s">
        <v>994</v>
      </c>
      <c r="G361" t="s">
        <v>20</v>
      </c>
      <c r="L361" s="38" t="s">
        <v>258</v>
      </c>
    </row>
    <row r="362" spans="1:25" ht="15.75" customHeight="1">
      <c r="A362" t="s">
        <v>998</v>
      </c>
      <c r="B362" t="s">
        <v>255</v>
      </c>
      <c r="C362" t="s">
        <v>999</v>
      </c>
      <c r="F362" t="s">
        <v>994</v>
      </c>
      <c r="G362" t="s">
        <v>20</v>
      </c>
      <c r="L362" s="38" t="s">
        <v>258</v>
      </c>
    </row>
    <row r="363" spans="1:25" ht="15.75" customHeight="1">
      <c r="A363" t="s">
        <v>1000</v>
      </c>
      <c r="B363" t="s">
        <v>255</v>
      </c>
      <c r="C363" t="s">
        <v>940</v>
      </c>
      <c r="F363" t="s">
        <v>994</v>
      </c>
      <c r="G363" t="s">
        <v>20</v>
      </c>
      <c r="L363" s="38" t="s">
        <v>258</v>
      </c>
      <c r="Y363" s="1"/>
    </row>
    <row r="364" spans="1:25" ht="15.75" customHeight="1">
      <c r="A364" t="s">
        <v>1001</v>
      </c>
      <c r="B364" t="s">
        <v>255</v>
      </c>
      <c r="C364" t="s">
        <v>1002</v>
      </c>
      <c r="F364" t="s">
        <v>994</v>
      </c>
      <c r="G364" t="s">
        <v>20</v>
      </c>
      <c r="L364" s="38" t="s">
        <v>258</v>
      </c>
    </row>
    <row r="365" spans="1:25" ht="15.75" customHeight="1">
      <c r="A365" t="s">
        <v>1003</v>
      </c>
      <c r="B365" t="s">
        <v>255</v>
      </c>
      <c r="C365" t="s">
        <v>1004</v>
      </c>
      <c r="F365" t="s">
        <v>994</v>
      </c>
      <c r="G365" t="s">
        <v>20</v>
      </c>
      <c r="L365" s="38" t="s">
        <v>258</v>
      </c>
      <c r="Y365" s="1"/>
    </row>
    <row r="366" spans="1:25" ht="15.75" customHeight="1">
      <c r="A366" t="s">
        <v>1005</v>
      </c>
      <c r="B366" t="s">
        <v>255</v>
      </c>
      <c r="C366" t="s">
        <v>1006</v>
      </c>
      <c r="F366" t="s">
        <v>994</v>
      </c>
      <c r="G366" t="s">
        <v>20</v>
      </c>
      <c r="L366" s="38" t="s">
        <v>258</v>
      </c>
    </row>
    <row r="367" spans="1:25" ht="15.75" customHeight="1">
      <c r="A367" t="s">
        <v>1007</v>
      </c>
      <c r="B367" t="s">
        <v>255</v>
      </c>
      <c r="C367" t="s">
        <v>1008</v>
      </c>
      <c r="F367" t="s">
        <v>994</v>
      </c>
      <c r="G367" t="s">
        <v>20</v>
      </c>
      <c r="L367" s="38" t="s">
        <v>258</v>
      </c>
    </row>
    <row r="368" spans="1:25" ht="15.75" customHeight="1">
      <c r="A368" t="s">
        <v>1009</v>
      </c>
      <c r="B368" t="s">
        <v>255</v>
      </c>
      <c r="C368" t="s">
        <v>1010</v>
      </c>
      <c r="F368" t="s">
        <v>994</v>
      </c>
      <c r="G368" t="s">
        <v>20</v>
      </c>
      <c r="L368" s="38" t="s">
        <v>258</v>
      </c>
    </row>
    <row r="369" spans="1:26" ht="15.75" customHeight="1">
      <c r="A369" t="s">
        <v>1011</v>
      </c>
      <c r="B369" t="s">
        <v>255</v>
      </c>
      <c r="C369" t="s">
        <v>1012</v>
      </c>
      <c r="F369" t="s">
        <v>994</v>
      </c>
      <c r="G369" t="s">
        <v>20</v>
      </c>
      <c r="L369" s="38" t="s">
        <v>258</v>
      </c>
    </row>
    <row r="370" spans="1:26" ht="15.75" customHeight="1">
      <c r="A370" t="s">
        <v>1013</v>
      </c>
      <c r="B370" t="s">
        <v>255</v>
      </c>
      <c r="C370" t="s">
        <v>1014</v>
      </c>
      <c r="F370" t="s">
        <v>1015</v>
      </c>
      <c r="G370" t="s">
        <v>20</v>
      </c>
      <c r="L370" s="38" t="s">
        <v>258</v>
      </c>
      <c r="Z370" s="2"/>
    </row>
    <row r="371" spans="1:26" ht="15.75" customHeight="1">
      <c r="A371" t="s">
        <v>1016</v>
      </c>
      <c r="B371" t="s">
        <v>255</v>
      </c>
      <c r="C371" t="s">
        <v>1017</v>
      </c>
      <c r="F371" t="s">
        <v>1015</v>
      </c>
      <c r="G371" t="s">
        <v>20</v>
      </c>
      <c r="L371" s="38" t="s">
        <v>258</v>
      </c>
    </row>
    <row r="372" spans="1:26" ht="15.75" customHeight="1">
      <c r="A372" t="s">
        <v>1018</v>
      </c>
      <c r="B372" t="s">
        <v>255</v>
      </c>
      <c r="C372" t="s">
        <v>1019</v>
      </c>
      <c r="F372" t="s">
        <v>1020</v>
      </c>
      <c r="G372" t="s">
        <v>20</v>
      </c>
      <c r="L372" s="38" t="s">
        <v>258</v>
      </c>
    </row>
    <row r="373" spans="1:26" ht="15.75" customHeight="1">
      <c r="A373" t="s">
        <v>1021</v>
      </c>
      <c r="B373" t="s">
        <v>255</v>
      </c>
      <c r="C373" t="s">
        <v>1022</v>
      </c>
      <c r="F373" t="s">
        <v>1020</v>
      </c>
      <c r="G373" t="s">
        <v>20</v>
      </c>
      <c r="L373" s="38" t="s">
        <v>258</v>
      </c>
    </row>
    <row r="374" spans="1:26" ht="15.75" customHeight="1">
      <c r="A374" t="s">
        <v>1023</v>
      </c>
      <c r="B374" t="s">
        <v>255</v>
      </c>
      <c r="C374" t="s">
        <v>1024</v>
      </c>
      <c r="F374" t="s">
        <v>1025</v>
      </c>
      <c r="G374" t="s">
        <v>20</v>
      </c>
      <c r="L374" s="38" t="s">
        <v>258</v>
      </c>
    </row>
    <row r="375" spans="1:26" ht="15.75" customHeight="1">
      <c r="A375" t="s">
        <v>1026</v>
      </c>
      <c r="B375" t="s">
        <v>255</v>
      </c>
      <c r="C375" t="s">
        <v>1027</v>
      </c>
      <c r="F375" t="s">
        <v>1025</v>
      </c>
      <c r="G375" t="s">
        <v>20</v>
      </c>
      <c r="L375" s="38" t="s">
        <v>258</v>
      </c>
    </row>
    <row r="376" spans="1:26" ht="15.75" customHeight="1">
      <c r="A376" t="s">
        <v>1028</v>
      </c>
      <c r="B376" t="s">
        <v>255</v>
      </c>
      <c r="C376" t="s">
        <v>1029</v>
      </c>
      <c r="F376" t="s">
        <v>1025</v>
      </c>
      <c r="G376" t="s">
        <v>20</v>
      </c>
      <c r="L376" s="38" t="s">
        <v>258</v>
      </c>
    </row>
    <row r="377" spans="1:26" ht="15.75" customHeight="1">
      <c r="A377" t="s">
        <v>1030</v>
      </c>
      <c r="B377" t="s">
        <v>255</v>
      </c>
      <c r="C377" t="s">
        <v>1031</v>
      </c>
      <c r="F377" t="s">
        <v>1025</v>
      </c>
      <c r="G377" t="s">
        <v>20</v>
      </c>
      <c r="L377" s="38" t="s">
        <v>258</v>
      </c>
    </row>
    <row r="378" spans="1:26" ht="15.75" customHeight="1">
      <c r="A378" t="s">
        <v>1032</v>
      </c>
      <c r="B378" t="s">
        <v>255</v>
      </c>
      <c r="C378" t="s">
        <v>1033</v>
      </c>
      <c r="F378" t="s">
        <v>1025</v>
      </c>
      <c r="G378" t="s">
        <v>20</v>
      </c>
      <c r="L378" s="38" t="s">
        <v>258</v>
      </c>
    </row>
    <row r="379" spans="1:26" ht="15.75" customHeight="1">
      <c r="A379" t="s">
        <v>1034</v>
      </c>
      <c r="B379" t="s">
        <v>255</v>
      </c>
      <c r="C379" t="s">
        <v>1035</v>
      </c>
      <c r="F379" t="s">
        <v>1025</v>
      </c>
      <c r="G379" t="s">
        <v>20</v>
      </c>
      <c r="L379" s="38" t="s">
        <v>258</v>
      </c>
    </row>
    <row r="380" spans="1:26" ht="15.75" customHeight="1">
      <c r="A380" t="s">
        <v>1036</v>
      </c>
      <c r="B380" t="s">
        <v>255</v>
      </c>
      <c r="C380" t="s">
        <v>1037</v>
      </c>
      <c r="F380" t="s">
        <v>1038</v>
      </c>
      <c r="G380" t="s">
        <v>20</v>
      </c>
      <c r="L380" s="38" t="s">
        <v>258</v>
      </c>
    </row>
    <row r="381" spans="1:26" ht="15.75" customHeight="1">
      <c r="A381" t="s">
        <v>1039</v>
      </c>
      <c r="B381" t="s">
        <v>255</v>
      </c>
      <c r="C381" t="s">
        <v>1002</v>
      </c>
      <c r="F381" t="s">
        <v>1040</v>
      </c>
      <c r="G381" t="s">
        <v>20</v>
      </c>
      <c r="L381" s="38" t="s">
        <v>258</v>
      </c>
    </row>
    <row r="382" spans="1:26" ht="15.75" customHeight="1">
      <c r="A382" t="s">
        <v>1041</v>
      </c>
      <c r="B382" t="s">
        <v>255</v>
      </c>
      <c r="C382" t="s">
        <v>1042</v>
      </c>
      <c r="F382" t="s">
        <v>1040</v>
      </c>
      <c r="G382" t="s">
        <v>20</v>
      </c>
      <c r="L382" s="38" t="s">
        <v>258</v>
      </c>
    </row>
    <row r="383" spans="1:26" ht="15.75" customHeight="1">
      <c r="A383" t="s">
        <v>1043</v>
      </c>
      <c r="B383" t="s">
        <v>255</v>
      </c>
      <c r="C383" t="s">
        <v>1044</v>
      </c>
      <c r="F383" t="s">
        <v>1040</v>
      </c>
      <c r="G383" t="s">
        <v>20</v>
      </c>
      <c r="L383" s="38" t="s">
        <v>258</v>
      </c>
    </row>
    <row r="384" spans="1:26" ht="15.75" customHeight="1">
      <c r="A384" t="s">
        <v>1045</v>
      </c>
      <c r="B384" t="s">
        <v>255</v>
      </c>
      <c r="C384" t="s">
        <v>764</v>
      </c>
      <c r="G384" t="s">
        <v>20</v>
      </c>
      <c r="L384" s="38" t="s">
        <v>691</v>
      </c>
    </row>
    <row r="385" spans="1:26" ht="15.75" customHeight="1">
      <c r="A385" t="s">
        <v>1046</v>
      </c>
      <c r="B385" t="s">
        <v>255</v>
      </c>
      <c r="C385" t="s">
        <v>783</v>
      </c>
      <c r="G385" t="s">
        <v>20</v>
      </c>
      <c r="L385" s="38" t="s">
        <v>691</v>
      </c>
    </row>
    <row r="386" spans="1:26" ht="15.75" customHeight="1">
      <c r="A386" t="s">
        <v>1047</v>
      </c>
      <c r="B386" t="s">
        <v>255</v>
      </c>
      <c r="C386" t="s">
        <v>788</v>
      </c>
      <c r="G386" t="s">
        <v>20</v>
      </c>
      <c r="L386" s="38" t="s">
        <v>691</v>
      </c>
    </row>
    <row r="387" spans="1:26" ht="15.75" customHeight="1">
      <c r="A387" t="s">
        <v>1048</v>
      </c>
      <c r="B387" t="s">
        <v>255</v>
      </c>
      <c r="C387" t="s">
        <v>793</v>
      </c>
      <c r="G387" t="s">
        <v>20</v>
      </c>
      <c r="L387" s="38" t="s">
        <v>691</v>
      </c>
      <c r="Z387" s="1"/>
    </row>
    <row r="388" spans="1:26" ht="15.75" customHeight="1">
      <c r="A388" t="s">
        <v>1049</v>
      </c>
      <c r="B388" t="s">
        <v>255</v>
      </c>
      <c r="C388" t="s">
        <v>803</v>
      </c>
      <c r="G388" t="s">
        <v>20</v>
      </c>
      <c r="L388" s="38" t="s">
        <v>691</v>
      </c>
    </row>
    <row r="389" spans="1:26" ht="15.75" customHeight="1">
      <c r="A389" t="s">
        <v>1050</v>
      </c>
      <c r="B389" t="s">
        <v>255</v>
      </c>
      <c r="C389" t="s">
        <v>808</v>
      </c>
      <c r="G389" t="s">
        <v>20</v>
      </c>
      <c r="L389" s="38" t="s">
        <v>691</v>
      </c>
      <c r="Z389" s="3"/>
    </row>
    <row r="390" spans="1:26" ht="15.75" customHeight="1">
      <c r="A390" t="s">
        <v>1051</v>
      </c>
      <c r="B390" t="s">
        <v>255</v>
      </c>
      <c r="C390" t="s">
        <v>815</v>
      </c>
      <c r="G390" t="s">
        <v>20</v>
      </c>
      <c r="L390" s="38" t="s">
        <v>691</v>
      </c>
    </row>
    <row r="391" spans="1:26" ht="15.75" customHeight="1">
      <c r="A391" t="s">
        <v>1052</v>
      </c>
      <c r="B391" t="s">
        <v>255</v>
      </c>
      <c r="C391" t="s">
        <v>820</v>
      </c>
      <c r="G391" t="s">
        <v>20</v>
      </c>
      <c r="L391" s="38" t="s">
        <v>691</v>
      </c>
    </row>
    <row r="392" spans="1:26" ht="15.75" customHeight="1">
      <c r="A392" t="s">
        <v>1053</v>
      </c>
      <c r="B392" t="s">
        <v>255</v>
      </c>
      <c r="C392" t="s">
        <v>823</v>
      </c>
      <c r="G392" t="s">
        <v>20</v>
      </c>
      <c r="L392" s="38" t="s">
        <v>691</v>
      </c>
    </row>
    <row r="393" spans="1:26" ht="15.75" customHeight="1">
      <c r="A393" t="s">
        <v>1054</v>
      </c>
      <c r="B393" t="s">
        <v>255</v>
      </c>
      <c r="C393" t="s">
        <v>826</v>
      </c>
      <c r="G393" t="s">
        <v>20</v>
      </c>
      <c r="L393" s="38" t="s">
        <v>691</v>
      </c>
    </row>
    <row r="394" spans="1:26" ht="15.75" customHeight="1">
      <c r="A394" t="s">
        <v>1055</v>
      </c>
      <c r="B394" t="s">
        <v>255</v>
      </c>
      <c r="C394" t="s">
        <v>837</v>
      </c>
      <c r="G394" t="s">
        <v>20</v>
      </c>
      <c r="L394" s="38" t="s">
        <v>691</v>
      </c>
    </row>
    <row r="395" spans="1:26" ht="15.75" customHeight="1">
      <c r="A395" t="s">
        <v>1056</v>
      </c>
      <c r="B395" t="s">
        <v>255</v>
      </c>
      <c r="C395" t="s">
        <v>844</v>
      </c>
      <c r="G395" t="s">
        <v>20</v>
      </c>
      <c r="L395" s="38" t="s">
        <v>691</v>
      </c>
      <c r="X395" s="2"/>
    </row>
    <row r="396" spans="1:26" ht="15.75" customHeight="1">
      <c r="A396" t="s">
        <v>1057</v>
      </c>
      <c r="B396" t="s">
        <v>255</v>
      </c>
      <c r="C396" t="s">
        <v>855</v>
      </c>
      <c r="G396" t="s">
        <v>20</v>
      </c>
      <c r="L396" s="38" t="s">
        <v>691</v>
      </c>
    </row>
    <row r="397" spans="1:26" ht="15.75" customHeight="1">
      <c r="A397" t="s">
        <v>1058</v>
      </c>
      <c r="B397" t="s">
        <v>255</v>
      </c>
      <c r="C397" t="s">
        <v>866</v>
      </c>
      <c r="G397" t="s">
        <v>20</v>
      </c>
      <c r="L397" s="38" t="s">
        <v>691</v>
      </c>
    </row>
    <row r="398" spans="1:26" ht="15.75" customHeight="1">
      <c r="A398" t="s">
        <v>1059</v>
      </c>
      <c r="B398" t="s">
        <v>255</v>
      </c>
      <c r="C398" t="s">
        <v>876</v>
      </c>
      <c r="G398" t="s">
        <v>20</v>
      </c>
      <c r="L398" s="38" t="s">
        <v>691</v>
      </c>
    </row>
    <row r="399" spans="1:26" ht="15.75" customHeight="1">
      <c r="A399" t="s">
        <v>1060</v>
      </c>
      <c r="B399" t="s">
        <v>255</v>
      </c>
      <c r="C399" t="s">
        <v>893</v>
      </c>
      <c r="G399" t="s">
        <v>20</v>
      </c>
      <c r="L399" s="38" t="s">
        <v>691</v>
      </c>
    </row>
    <row r="400" spans="1:26" ht="15.75" customHeight="1">
      <c r="A400" t="s">
        <v>1061</v>
      </c>
      <c r="B400" t="s">
        <v>255</v>
      </c>
      <c r="C400" t="s">
        <v>900</v>
      </c>
      <c r="G400" t="s">
        <v>20</v>
      </c>
      <c r="L400" s="38" t="s">
        <v>691</v>
      </c>
    </row>
    <row r="401" spans="1:33" ht="15.75" customHeight="1">
      <c r="A401" t="s">
        <v>1062</v>
      </c>
      <c r="B401" t="s">
        <v>255</v>
      </c>
      <c r="C401" t="s">
        <v>905</v>
      </c>
      <c r="G401" t="s">
        <v>20</v>
      </c>
      <c r="L401" s="38" t="s">
        <v>691</v>
      </c>
    </row>
    <row r="402" spans="1:33" ht="15.75" customHeight="1">
      <c r="A402" t="s">
        <v>1063</v>
      </c>
      <c r="B402" t="s">
        <v>255</v>
      </c>
      <c r="C402" t="s">
        <v>914</v>
      </c>
      <c r="G402" t="s">
        <v>20</v>
      </c>
      <c r="L402" s="38" t="s">
        <v>691</v>
      </c>
    </row>
    <row r="403" spans="1:33" ht="15.75" customHeight="1">
      <c r="A403" t="s">
        <v>1064</v>
      </c>
      <c r="B403" t="s">
        <v>255</v>
      </c>
      <c r="C403" t="s">
        <v>921</v>
      </c>
      <c r="G403" t="s">
        <v>20</v>
      </c>
      <c r="L403" s="38" t="s">
        <v>691</v>
      </c>
    </row>
    <row r="404" spans="1:33" ht="15.75" customHeight="1">
      <c r="A404" t="s">
        <v>1065</v>
      </c>
      <c r="B404" t="s">
        <v>255</v>
      </c>
      <c r="C404" t="s">
        <v>938</v>
      </c>
      <c r="G404" t="s">
        <v>20</v>
      </c>
      <c r="L404" s="38" t="s">
        <v>691</v>
      </c>
    </row>
    <row r="405" spans="1:33" ht="15.75" customHeight="1">
      <c r="A405" t="s">
        <v>1066</v>
      </c>
      <c r="B405" t="s">
        <v>255</v>
      </c>
      <c r="C405" t="s">
        <v>951</v>
      </c>
      <c r="G405" t="s">
        <v>20</v>
      </c>
      <c r="L405" s="38" t="s">
        <v>691</v>
      </c>
    </row>
    <row r="406" spans="1:33" ht="15.75" customHeight="1">
      <c r="A406" t="s">
        <v>1067</v>
      </c>
      <c r="B406" t="s">
        <v>255</v>
      </c>
      <c r="C406" t="s">
        <v>956</v>
      </c>
      <c r="G406" t="s">
        <v>20</v>
      </c>
      <c r="L406" s="38" t="s">
        <v>691</v>
      </c>
      <c r="U406" s="3"/>
    </row>
    <row r="407" spans="1:33" ht="15.75" customHeight="1">
      <c r="A407" t="s">
        <v>1068</v>
      </c>
      <c r="B407" t="s">
        <v>255</v>
      </c>
      <c r="C407" t="s">
        <v>963</v>
      </c>
      <c r="G407" t="s">
        <v>20</v>
      </c>
      <c r="L407" s="38" t="s">
        <v>691</v>
      </c>
      <c r="T407" s="4"/>
      <c r="U407" s="3"/>
    </row>
    <row r="408" spans="1:33" ht="15.75" customHeight="1">
      <c r="A408" t="s">
        <v>1069</v>
      </c>
      <c r="B408" t="s">
        <v>255</v>
      </c>
      <c r="C408" t="s">
        <v>966</v>
      </c>
      <c r="G408" t="s">
        <v>20</v>
      </c>
      <c r="L408" s="38" t="s">
        <v>691</v>
      </c>
      <c r="U408" s="1"/>
    </row>
    <row r="409" spans="1:33" ht="15.75" customHeight="1">
      <c r="A409" t="s">
        <v>1070</v>
      </c>
      <c r="B409" t="s">
        <v>255</v>
      </c>
      <c r="C409" t="s">
        <v>973</v>
      </c>
      <c r="G409" t="s">
        <v>20</v>
      </c>
      <c r="L409" s="38" t="s">
        <v>691</v>
      </c>
      <c r="T409" s="4"/>
    </row>
    <row r="410" spans="1:33" ht="15.75" customHeight="1">
      <c r="A410" t="s">
        <v>1071</v>
      </c>
      <c r="B410" t="s">
        <v>255</v>
      </c>
      <c r="C410" t="s">
        <v>987</v>
      </c>
      <c r="G410" t="s">
        <v>20</v>
      </c>
      <c r="L410" s="38" t="s">
        <v>691</v>
      </c>
    </row>
    <row r="411" spans="1:33" ht="15.75" customHeight="1">
      <c r="A411" t="s">
        <v>1072</v>
      </c>
      <c r="B411" t="s">
        <v>255</v>
      </c>
      <c r="C411" t="s">
        <v>994</v>
      </c>
      <c r="G411" t="s">
        <v>20</v>
      </c>
      <c r="L411" s="38" t="s">
        <v>691</v>
      </c>
      <c r="T411" s="4"/>
      <c r="AE411" s="1"/>
    </row>
    <row r="412" spans="1:33" ht="15.75" customHeight="1">
      <c r="A412" t="s">
        <v>1073</v>
      </c>
      <c r="B412" t="s">
        <v>255</v>
      </c>
      <c r="C412" t="s">
        <v>1015</v>
      </c>
      <c r="G412" t="s">
        <v>20</v>
      </c>
      <c r="L412" s="38" t="s">
        <v>691</v>
      </c>
    </row>
    <row r="413" spans="1:33" ht="15.75" customHeight="1">
      <c r="A413" t="s">
        <v>1074</v>
      </c>
      <c r="B413" t="s">
        <v>255</v>
      </c>
      <c r="C413" t="s">
        <v>1020</v>
      </c>
      <c r="G413" t="s">
        <v>20</v>
      </c>
      <c r="L413" s="38" t="s">
        <v>691</v>
      </c>
      <c r="T413" s="4"/>
      <c r="AG413" s="1"/>
    </row>
    <row r="414" spans="1:33" ht="15.75" customHeight="1">
      <c r="A414" t="s">
        <v>1075</v>
      </c>
      <c r="B414" t="s">
        <v>255</v>
      </c>
      <c r="C414" t="s">
        <v>1025</v>
      </c>
      <c r="G414" t="s">
        <v>20</v>
      </c>
      <c r="L414" s="38" t="s">
        <v>691</v>
      </c>
      <c r="AE414" s="1"/>
      <c r="AG414" s="1"/>
    </row>
    <row r="415" spans="1:33" ht="15.75" customHeight="1">
      <c r="A415" t="s">
        <v>1076</v>
      </c>
      <c r="B415" t="s">
        <v>255</v>
      </c>
      <c r="C415" t="s">
        <v>1038</v>
      </c>
      <c r="G415" t="s">
        <v>20</v>
      </c>
      <c r="L415" s="38" t="s">
        <v>691</v>
      </c>
      <c r="AE415" s="1"/>
    </row>
    <row r="416" spans="1:33" ht="15.75" customHeight="1">
      <c r="A416" t="s">
        <v>1077</v>
      </c>
      <c r="B416" t="s">
        <v>255</v>
      </c>
      <c r="C416" t="s">
        <v>1040</v>
      </c>
      <c r="G416" t="s">
        <v>20</v>
      </c>
      <c r="L416" s="38" t="s">
        <v>691</v>
      </c>
      <c r="AE416" s="3"/>
    </row>
    <row r="417" spans="1:31" ht="15.75" customHeight="1">
      <c r="A417" t="s">
        <v>1078</v>
      </c>
      <c r="B417" t="s">
        <v>242</v>
      </c>
      <c r="C417" t="s">
        <v>1079</v>
      </c>
      <c r="G417" t="s">
        <v>7</v>
      </c>
      <c r="H417" t="s">
        <v>1080</v>
      </c>
      <c r="AE417" s="1"/>
    </row>
    <row r="418" spans="1:31" ht="15.75" customHeight="1">
      <c r="A418" t="s">
        <v>1081</v>
      </c>
      <c r="B418" t="s">
        <v>1082</v>
      </c>
      <c r="C418" t="s">
        <v>1083</v>
      </c>
      <c r="G418" t="s">
        <v>20</v>
      </c>
      <c r="L418" s="38" t="s">
        <v>1084</v>
      </c>
      <c r="AE418" s="3"/>
    </row>
    <row r="419" spans="1:31" ht="15.75" customHeight="1">
      <c r="A419" t="s">
        <v>1085</v>
      </c>
      <c r="B419" t="s">
        <v>1082</v>
      </c>
      <c r="C419" t="s">
        <v>1086</v>
      </c>
      <c r="G419" t="s">
        <v>20</v>
      </c>
      <c r="L419" s="38" t="s">
        <v>1084</v>
      </c>
      <c r="AE419" s="3"/>
    </row>
    <row r="420" spans="1:31" ht="15.75" customHeight="1">
      <c r="A420" t="s">
        <v>1087</v>
      </c>
      <c r="B420" t="s">
        <v>1082</v>
      </c>
      <c r="C420" t="s">
        <v>1088</v>
      </c>
      <c r="G420" t="s">
        <v>20</v>
      </c>
      <c r="L420" s="38" t="s">
        <v>1084</v>
      </c>
    </row>
    <row r="421" spans="1:31" ht="15.75" customHeight="1">
      <c r="A421" t="s">
        <v>1089</v>
      </c>
      <c r="B421" t="s">
        <v>1082</v>
      </c>
      <c r="C421" t="s">
        <v>1090</v>
      </c>
      <c r="G421" t="s">
        <v>20</v>
      </c>
      <c r="L421" s="38" t="s">
        <v>1084</v>
      </c>
    </row>
    <row r="422" spans="1:31" ht="15.75" customHeight="1">
      <c r="A422" t="s">
        <v>1091</v>
      </c>
      <c r="B422" t="s">
        <v>1082</v>
      </c>
      <c r="C422" t="s">
        <v>1092</v>
      </c>
      <c r="G422" t="s">
        <v>20</v>
      </c>
      <c r="L422" s="38" t="s">
        <v>1084</v>
      </c>
      <c r="U422" s="1"/>
      <c r="X422" s="2"/>
    </row>
    <row r="423" spans="1:31" ht="15.75" customHeight="1">
      <c r="A423" t="s">
        <v>1093</v>
      </c>
      <c r="B423" t="s">
        <v>1082</v>
      </c>
      <c r="C423" t="s">
        <v>1094</v>
      </c>
      <c r="G423" t="s">
        <v>20</v>
      </c>
      <c r="L423" s="38" t="s">
        <v>1084</v>
      </c>
    </row>
    <row r="424" spans="1:31" ht="15.75" customHeight="1">
      <c r="A424" t="s">
        <v>1095</v>
      </c>
      <c r="B424" t="s">
        <v>1082</v>
      </c>
      <c r="C424" t="s">
        <v>1096</v>
      </c>
      <c r="G424" t="s">
        <v>20</v>
      </c>
      <c r="L424" s="38" t="s">
        <v>1084</v>
      </c>
    </row>
    <row r="425" spans="1:31" ht="15.75" customHeight="1">
      <c r="A425" t="s">
        <v>1097</v>
      </c>
      <c r="B425" t="s">
        <v>1082</v>
      </c>
      <c r="C425" t="s">
        <v>1098</v>
      </c>
      <c r="G425" t="s">
        <v>20</v>
      </c>
      <c r="L425" s="38" t="s">
        <v>1084</v>
      </c>
    </row>
    <row r="426" spans="1:31" ht="15.75" customHeight="1">
      <c r="A426" t="s">
        <v>1099</v>
      </c>
      <c r="B426" t="s">
        <v>1082</v>
      </c>
      <c r="C426" t="s">
        <v>1100</v>
      </c>
      <c r="G426" t="s">
        <v>20</v>
      </c>
      <c r="L426" s="38" t="s">
        <v>1084</v>
      </c>
    </row>
    <row r="427" spans="1:31" ht="15.75" customHeight="1">
      <c r="A427" t="s">
        <v>1101</v>
      </c>
      <c r="B427" t="s">
        <v>1082</v>
      </c>
      <c r="C427" t="s">
        <v>1102</v>
      </c>
      <c r="G427" t="s">
        <v>20</v>
      </c>
      <c r="L427" s="38" t="s">
        <v>1084</v>
      </c>
      <c r="U427" s="2"/>
    </row>
    <row r="428" spans="1:31" ht="15.75" customHeight="1">
      <c r="A428" t="s">
        <v>1103</v>
      </c>
      <c r="B428" t="s">
        <v>1082</v>
      </c>
      <c r="C428" t="s">
        <v>1104</v>
      </c>
      <c r="G428" t="s">
        <v>20</v>
      </c>
      <c r="L428" s="38" t="s">
        <v>1084</v>
      </c>
      <c r="U428" s="2"/>
    </row>
    <row r="429" spans="1:31" ht="15.75" customHeight="1">
      <c r="A429" t="s">
        <v>1105</v>
      </c>
      <c r="B429" t="s">
        <v>242</v>
      </c>
      <c r="C429" t="s">
        <v>1106</v>
      </c>
      <c r="G429" t="s">
        <v>7</v>
      </c>
      <c r="H429" t="s">
        <v>759</v>
      </c>
      <c r="U429" s="5"/>
    </row>
    <row r="430" spans="1:31" ht="15.75" customHeight="1">
      <c r="A430" t="s">
        <v>1107</v>
      </c>
      <c r="B430" t="s">
        <v>376</v>
      </c>
      <c r="C430" t="s">
        <v>1108</v>
      </c>
      <c r="E430" t="s">
        <v>432</v>
      </c>
      <c r="G430" t="s">
        <v>7</v>
      </c>
      <c r="H430" t="s">
        <v>1109</v>
      </c>
      <c r="J430" t="s">
        <v>1110</v>
      </c>
      <c r="U430" s="1"/>
    </row>
    <row r="431" spans="1:31" ht="15.75" customHeight="1">
      <c r="A431" t="s">
        <v>1111</v>
      </c>
      <c r="B431" t="s">
        <v>376</v>
      </c>
      <c r="C431" t="s">
        <v>1112</v>
      </c>
      <c r="E431" t="s">
        <v>432</v>
      </c>
      <c r="G431" t="s">
        <v>7</v>
      </c>
      <c r="H431" t="s">
        <v>1113</v>
      </c>
      <c r="J431" t="s">
        <v>1110</v>
      </c>
      <c r="U431" s="1"/>
    </row>
    <row r="432" spans="1:31" ht="15.75" customHeight="1">
      <c r="A432" t="s">
        <v>1114</v>
      </c>
      <c r="B432" t="s">
        <v>376</v>
      </c>
      <c r="C432" t="s">
        <v>1115</v>
      </c>
      <c r="E432" t="s">
        <v>432</v>
      </c>
      <c r="G432" t="s">
        <v>7</v>
      </c>
      <c r="H432" t="s">
        <v>1116</v>
      </c>
      <c r="J432" t="s">
        <v>1110</v>
      </c>
      <c r="AE432" s="1"/>
    </row>
    <row r="433" spans="1:31" ht="15.75" customHeight="1">
      <c r="A433" t="s">
        <v>1117</v>
      </c>
      <c r="B433" t="s">
        <v>376</v>
      </c>
      <c r="C433" t="s">
        <v>1118</v>
      </c>
      <c r="E433" t="s">
        <v>432</v>
      </c>
      <c r="G433" t="s">
        <v>7</v>
      </c>
      <c r="H433" t="s">
        <v>1119</v>
      </c>
      <c r="J433" t="s">
        <v>1110</v>
      </c>
      <c r="AE433" s="3"/>
    </row>
    <row r="434" spans="1:31" ht="15.75" customHeight="1">
      <c r="A434" t="s">
        <v>1120</v>
      </c>
      <c r="B434" t="s">
        <v>376</v>
      </c>
      <c r="C434" t="s">
        <v>1121</v>
      </c>
      <c r="E434" t="s">
        <v>432</v>
      </c>
      <c r="G434" t="s">
        <v>7</v>
      </c>
      <c r="H434" t="s">
        <v>1122</v>
      </c>
      <c r="J434" t="s">
        <v>1123</v>
      </c>
      <c r="AE434" s="3"/>
    </row>
    <row r="435" spans="1:31" ht="15.75" customHeight="1">
      <c r="A435" t="s">
        <v>1124</v>
      </c>
      <c r="B435" t="s">
        <v>376</v>
      </c>
      <c r="C435" t="s">
        <v>1125</v>
      </c>
      <c r="E435" t="s">
        <v>432</v>
      </c>
      <c r="G435" t="s">
        <v>7</v>
      </c>
      <c r="H435" t="s">
        <v>1126</v>
      </c>
      <c r="J435" t="s">
        <v>1123</v>
      </c>
    </row>
    <row r="436" spans="1:31" ht="15.75" customHeight="1">
      <c r="A436" t="s">
        <v>1127</v>
      </c>
      <c r="B436" t="s">
        <v>376</v>
      </c>
      <c r="C436" t="s">
        <v>1128</v>
      </c>
      <c r="E436" t="s">
        <v>432</v>
      </c>
      <c r="G436" t="s">
        <v>7</v>
      </c>
      <c r="H436" t="s">
        <v>1129</v>
      </c>
      <c r="J436" t="s">
        <v>1123</v>
      </c>
    </row>
    <row r="437" spans="1:31" ht="15.75" customHeight="1">
      <c r="A437" t="s">
        <v>1130</v>
      </c>
      <c r="B437" t="s">
        <v>376</v>
      </c>
      <c r="C437" t="s">
        <v>1131</v>
      </c>
      <c r="E437" t="s">
        <v>432</v>
      </c>
      <c r="G437" t="s">
        <v>7</v>
      </c>
      <c r="H437" t="s">
        <v>1132</v>
      </c>
      <c r="J437" t="s">
        <v>1123</v>
      </c>
    </row>
    <row r="438" spans="1:31" ht="15.75" customHeight="1">
      <c r="A438" s="10" t="s">
        <v>1133</v>
      </c>
      <c r="B438" s="8" t="s">
        <v>242</v>
      </c>
      <c r="C438" s="10" t="s">
        <v>408</v>
      </c>
      <c r="D438" s="8" t="s">
        <v>1134</v>
      </c>
      <c r="G438" s="8" t="s">
        <v>7</v>
      </c>
      <c r="H438" s="8" t="s">
        <v>1135</v>
      </c>
      <c r="J438" t="s">
        <v>1136</v>
      </c>
    </row>
    <row r="439" spans="1:31" ht="15.75" customHeight="1">
      <c r="A439" t="s">
        <v>1137</v>
      </c>
      <c r="B439" t="s">
        <v>242</v>
      </c>
      <c r="C439" t="s">
        <v>1138</v>
      </c>
      <c r="E439" t="s">
        <v>1139</v>
      </c>
      <c r="G439" t="s">
        <v>502</v>
      </c>
      <c r="H439" t="s">
        <v>1140</v>
      </c>
    </row>
    <row r="440" spans="1:31" ht="15.75" customHeight="1">
      <c r="A440" s="8" t="s">
        <v>1141</v>
      </c>
      <c r="B440" s="8" t="s">
        <v>355</v>
      </c>
      <c r="C440" s="19" t="s">
        <v>1142</v>
      </c>
      <c r="D440" s="16"/>
      <c r="F440" s="8" t="s">
        <v>1143</v>
      </c>
      <c r="G440" s="8" t="s">
        <v>20</v>
      </c>
    </row>
    <row r="441" spans="1:31" ht="15.75" customHeight="1">
      <c r="A441" s="8" t="s">
        <v>1144</v>
      </c>
      <c r="B441" s="8" t="s">
        <v>355</v>
      </c>
      <c r="C441" s="10" t="s">
        <v>1145</v>
      </c>
      <c r="G441" s="8" t="s">
        <v>8</v>
      </c>
      <c r="I441" t="s">
        <v>1146</v>
      </c>
    </row>
    <row r="442" spans="1:31" ht="15.75" customHeight="1">
      <c r="A442" s="7" t="s">
        <v>1147</v>
      </c>
      <c r="B442" s="8" t="s">
        <v>17</v>
      </c>
      <c r="C442" s="10" t="s">
        <v>1148</v>
      </c>
      <c r="F442" t="s">
        <v>19</v>
      </c>
      <c r="G442" s="8" t="s">
        <v>20</v>
      </c>
      <c r="K442">
        <v>3</v>
      </c>
      <c r="L442" s="38" t="s">
        <v>22</v>
      </c>
      <c r="P442" t="s">
        <v>23</v>
      </c>
      <c r="Q442" t="s">
        <v>1149</v>
      </c>
      <c r="X442" s="2"/>
    </row>
    <row r="443" spans="1:31" ht="15.75" customHeight="1">
      <c r="A443" s="7" t="s">
        <v>1150</v>
      </c>
      <c r="B443" s="8" t="s">
        <v>17</v>
      </c>
      <c r="C443" s="10" t="s">
        <v>1151</v>
      </c>
      <c r="F443" t="s">
        <v>19</v>
      </c>
      <c r="G443" s="8" t="s">
        <v>20</v>
      </c>
      <c r="K443">
        <v>3</v>
      </c>
      <c r="L443" s="38" t="s">
        <v>22</v>
      </c>
      <c r="P443" t="s">
        <v>23</v>
      </c>
      <c r="Q443" t="s">
        <v>1152</v>
      </c>
    </row>
    <row r="444" spans="1:31" ht="15.75" customHeight="1">
      <c r="A444" s="7" t="s">
        <v>1153</v>
      </c>
      <c r="B444" s="8" t="s">
        <v>17</v>
      </c>
      <c r="C444" s="10" t="s">
        <v>1154</v>
      </c>
      <c r="F444" t="s">
        <v>19</v>
      </c>
      <c r="G444" s="8" t="s">
        <v>20</v>
      </c>
      <c r="K444">
        <v>4</v>
      </c>
      <c r="L444" s="38" t="s">
        <v>22</v>
      </c>
      <c r="P444" t="s">
        <v>23</v>
      </c>
      <c r="Q444" t="s">
        <v>1155</v>
      </c>
    </row>
    <row r="445" spans="1:31" ht="15.75" customHeight="1">
      <c r="A445" s="7" t="s">
        <v>1156</v>
      </c>
      <c r="B445" s="8" t="s">
        <v>17</v>
      </c>
      <c r="C445" s="10" t="s">
        <v>1157</v>
      </c>
      <c r="F445" t="s">
        <v>19</v>
      </c>
      <c r="G445" s="8" t="s">
        <v>20</v>
      </c>
      <c r="K445">
        <v>4</v>
      </c>
      <c r="L445" s="38" t="s">
        <v>22</v>
      </c>
      <c r="P445" t="s">
        <v>23</v>
      </c>
      <c r="Q445" t="s">
        <v>1158</v>
      </c>
    </row>
    <row r="446" spans="1:31" ht="15.75" customHeight="1">
      <c r="A446" s="7" t="s">
        <v>1159</v>
      </c>
      <c r="B446" s="8" t="s">
        <v>17</v>
      </c>
      <c r="C446" s="10" t="s">
        <v>1160</v>
      </c>
      <c r="F446" t="s">
        <v>19</v>
      </c>
      <c r="G446" s="8" t="s">
        <v>20</v>
      </c>
      <c r="K446">
        <v>6</v>
      </c>
      <c r="L446" s="38" t="s">
        <v>22</v>
      </c>
      <c r="P446" t="s">
        <v>23</v>
      </c>
      <c r="Q446" t="s">
        <v>1161</v>
      </c>
    </row>
    <row r="447" spans="1:31" ht="15.75" customHeight="1">
      <c r="A447" s="7" t="s">
        <v>1162</v>
      </c>
      <c r="B447" s="8" t="s">
        <v>17</v>
      </c>
      <c r="C447" s="10" t="s">
        <v>1163</v>
      </c>
      <c r="F447" t="s">
        <v>19</v>
      </c>
      <c r="G447" s="8" t="s">
        <v>20</v>
      </c>
      <c r="K447">
        <v>6</v>
      </c>
      <c r="L447" s="38" t="s">
        <v>22</v>
      </c>
      <c r="P447" t="s">
        <v>23</v>
      </c>
      <c r="Q447" t="s">
        <v>1164</v>
      </c>
    </row>
    <row r="448" spans="1:31" ht="15.75" customHeight="1">
      <c r="A448" s="7" t="s">
        <v>1165</v>
      </c>
      <c r="B448" s="8" t="s">
        <v>17</v>
      </c>
      <c r="C448" s="10" t="s">
        <v>1166</v>
      </c>
      <c r="F448" t="s">
        <v>54</v>
      </c>
      <c r="G448" s="8" t="s">
        <v>20</v>
      </c>
      <c r="K448">
        <v>3</v>
      </c>
      <c r="L448" s="38" t="s">
        <v>22</v>
      </c>
      <c r="P448" t="s">
        <v>55</v>
      </c>
      <c r="Q448" t="s">
        <v>1167</v>
      </c>
    </row>
    <row r="449" spans="1:17" ht="15.75" customHeight="1">
      <c r="A449" s="7" t="s">
        <v>1168</v>
      </c>
      <c r="B449" s="8" t="s">
        <v>17</v>
      </c>
      <c r="C449" s="10" t="s">
        <v>1169</v>
      </c>
      <c r="F449" t="s">
        <v>54</v>
      </c>
      <c r="G449" s="8" t="s">
        <v>20</v>
      </c>
      <c r="K449">
        <v>3</v>
      </c>
      <c r="L449" s="38" t="s">
        <v>22</v>
      </c>
      <c r="P449" t="s">
        <v>55</v>
      </c>
      <c r="Q449" t="s">
        <v>1170</v>
      </c>
    </row>
    <row r="450" spans="1:17" ht="15.75" customHeight="1">
      <c r="A450" s="7" t="s">
        <v>1171</v>
      </c>
      <c r="B450" s="8" t="s">
        <v>17</v>
      </c>
      <c r="C450" s="10" t="s">
        <v>1172</v>
      </c>
      <c r="F450" t="s">
        <v>54</v>
      </c>
      <c r="G450" s="8" t="s">
        <v>20</v>
      </c>
      <c r="K450">
        <v>4</v>
      </c>
      <c r="L450" s="38" t="s">
        <v>22</v>
      </c>
      <c r="P450" t="s">
        <v>55</v>
      </c>
      <c r="Q450" t="s">
        <v>1173</v>
      </c>
    </row>
    <row r="451" spans="1:17" ht="15.75" customHeight="1">
      <c r="A451" s="7" t="s">
        <v>1174</v>
      </c>
      <c r="B451" s="8" t="s">
        <v>17</v>
      </c>
      <c r="C451" s="10" t="s">
        <v>1175</v>
      </c>
      <c r="F451" t="s">
        <v>54</v>
      </c>
      <c r="G451" s="8" t="s">
        <v>20</v>
      </c>
      <c r="K451">
        <v>4</v>
      </c>
      <c r="L451" s="38" t="s">
        <v>22</v>
      </c>
      <c r="P451" t="s">
        <v>55</v>
      </c>
      <c r="Q451" t="s">
        <v>1176</v>
      </c>
    </row>
    <row r="452" spans="1:17" ht="15.75" customHeight="1">
      <c r="A452" s="7" t="s">
        <v>1177</v>
      </c>
      <c r="B452" s="8" t="s">
        <v>17</v>
      </c>
      <c r="C452" s="10" t="s">
        <v>1178</v>
      </c>
      <c r="F452" t="s">
        <v>54</v>
      </c>
      <c r="G452" s="8" t="s">
        <v>20</v>
      </c>
      <c r="H452" s="7"/>
      <c r="I452" s="7"/>
      <c r="K452">
        <v>6</v>
      </c>
      <c r="L452" s="38" t="s">
        <v>22</v>
      </c>
      <c r="P452" t="s">
        <v>55</v>
      </c>
      <c r="Q452" t="s">
        <v>1179</v>
      </c>
    </row>
    <row r="453" spans="1:17" ht="15.75" customHeight="1">
      <c r="A453" s="7" t="s">
        <v>1180</v>
      </c>
      <c r="B453" s="8" t="s">
        <v>17</v>
      </c>
      <c r="C453" s="10" t="s">
        <v>1181</v>
      </c>
      <c r="F453" t="s">
        <v>54</v>
      </c>
      <c r="G453" s="8" t="s">
        <v>20</v>
      </c>
      <c r="K453">
        <v>6</v>
      </c>
      <c r="L453" s="38" t="s">
        <v>22</v>
      </c>
      <c r="P453" t="s">
        <v>55</v>
      </c>
      <c r="Q453" t="s">
        <v>1182</v>
      </c>
    </row>
    <row r="454" spans="1:17" ht="15.75" customHeight="1">
      <c r="A454" s="7" t="s">
        <v>1183</v>
      </c>
      <c r="B454" s="8" t="s">
        <v>17</v>
      </c>
      <c r="C454" s="10" t="s">
        <v>1184</v>
      </c>
      <c r="F454" t="s">
        <v>89</v>
      </c>
      <c r="G454" s="8" t="s">
        <v>20</v>
      </c>
      <c r="K454">
        <v>3</v>
      </c>
      <c r="L454" s="38" t="s">
        <v>22</v>
      </c>
      <c r="P454" t="s">
        <v>90</v>
      </c>
      <c r="Q454" t="s">
        <v>1185</v>
      </c>
    </row>
    <row r="455" spans="1:17" ht="15.75" customHeight="1">
      <c r="A455" s="7" t="s">
        <v>1186</v>
      </c>
      <c r="B455" s="8" t="s">
        <v>17</v>
      </c>
      <c r="C455" s="10" t="s">
        <v>1187</v>
      </c>
      <c r="F455" t="s">
        <v>89</v>
      </c>
      <c r="G455" s="8" t="s">
        <v>20</v>
      </c>
      <c r="K455">
        <v>3</v>
      </c>
      <c r="L455" s="38" t="s">
        <v>22</v>
      </c>
      <c r="P455" t="s">
        <v>90</v>
      </c>
      <c r="Q455" t="s">
        <v>1188</v>
      </c>
    </row>
    <row r="456" spans="1:17" ht="15.75" customHeight="1">
      <c r="A456" s="7" t="s">
        <v>1189</v>
      </c>
      <c r="B456" s="8" t="s">
        <v>17</v>
      </c>
      <c r="C456" s="10" t="s">
        <v>1190</v>
      </c>
      <c r="F456" t="s">
        <v>89</v>
      </c>
      <c r="G456" s="8" t="s">
        <v>20</v>
      </c>
      <c r="K456">
        <v>4</v>
      </c>
      <c r="L456" s="38" t="s">
        <v>22</v>
      </c>
      <c r="P456" t="s">
        <v>90</v>
      </c>
      <c r="Q456" t="s">
        <v>1191</v>
      </c>
    </row>
    <row r="457" spans="1:17" ht="15.75" customHeight="1">
      <c r="A457" s="7" t="s">
        <v>1192</v>
      </c>
      <c r="B457" s="8" t="s">
        <v>17</v>
      </c>
      <c r="C457" s="10" t="s">
        <v>1193</v>
      </c>
      <c r="F457" t="s">
        <v>89</v>
      </c>
      <c r="G457" s="8" t="s">
        <v>20</v>
      </c>
      <c r="K457">
        <v>4</v>
      </c>
      <c r="L457" s="38" t="s">
        <v>22</v>
      </c>
      <c r="P457" t="s">
        <v>90</v>
      </c>
      <c r="Q457" t="s">
        <v>1194</v>
      </c>
    </row>
    <row r="458" spans="1:17" ht="15.75" customHeight="1">
      <c r="A458" s="7" t="s">
        <v>1195</v>
      </c>
      <c r="B458" s="8" t="s">
        <v>17</v>
      </c>
      <c r="C458" s="10" t="s">
        <v>1196</v>
      </c>
      <c r="F458" t="s">
        <v>89</v>
      </c>
      <c r="G458" s="8" t="s">
        <v>20</v>
      </c>
      <c r="K458">
        <v>6</v>
      </c>
      <c r="L458" s="38" t="s">
        <v>22</v>
      </c>
      <c r="P458" t="s">
        <v>90</v>
      </c>
      <c r="Q458" t="s">
        <v>1197</v>
      </c>
    </row>
    <row r="459" spans="1:17" ht="15.75" customHeight="1">
      <c r="A459" s="7" t="s">
        <v>1198</v>
      </c>
      <c r="B459" s="8" t="s">
        <v>17</v>
      </c>
      <c r="C459" s="10" t="s">
        <v>1199</v>
      </c>
      <c r="F459" t="s">
        <v>89</v>
      </c>
      <c r="G459" s="8" t="s">
        <v>20</v>
      </c>
      <c r="K459">
        <v>6</v>
      </c>
      <c r="L459" s="38" t="s">
        <v>22</v>
      </c>
      <c r="P459" t="s">
        <v>90</v>
      </c>
      <c r="Q459" t="s">
        <v>1200</v>
      </c>
    </row>
    <row r="460" spans="1:17" ht="15.75" customHeight="1">
      <c r="A460" s="7" t="s">
        <v>1201</v>
      </c>
      <c r="B460" s="8" t="s">
        <v>17</v>
      </c>
      <c r="C460" s="10" t="s">
        <v>1202</v>
      </c>
      <c r="F460" t="s">
        <v>124</v>
      </c>
      <c r="G460" s="8" t="s">
        <v>20</v>
      </c>
      <c r="K460">
        <v>3</v>
      </c>
      <c r="L460" s="38" t="s">
        <v>22</v>
      </c>
      <c r="P460" t="s">
        <v>125</v>
      </c>
      <c r="Q460" t="s">
        <v>1203</v>
      </c>
    </row>
    <row r="461" spans="1:17" ht="15.75" customHeight="1">
      <c r="A461" s="7" t="s">
        <v>1204</v>
      </c>
      <c r="B461" s="8" t="s">
        <v>17</v>
      </c>
      <c r="C461" s="10" t="s">
        <v>1205</v>
      </c>
      <c r="F461" t="s">
        <v>124</v>
      </c>
      <c r="G461" s="8" t="s">
        <v>20</v>
      </c>
      <c r="K461">
        <v>3</v>
      </c>
      <c r="L461" s="38" t="s">
        <v>22</v>
      </c>
      <c r="P461" t="s">
        <v>125</v>
      </c>
      <c r="Q461" t="s">
        <v>1206</v>
      </c>
    </row>
    <row r="462" spans="1:17" ht="15.75" customHeight="1">
      <c r="A462" s="7" t="s">
        <v>1207</v>
      </c>
      <c r="B462" s="8" t="s">
        <v>17</v>
      </c>
      <c r="C462" s="10" t="s">
        <v>1208</v>
      </c>
      <c r="F462" t="s">
        <v>124</v>
      </c>
      <c r="G462" s="8" t="s">
        <v>20</v>
      </c>
      <c r="K462">
        <v>4</v>
      </c>
      <c r="L462" s="38" t="s">
        <v>22</v>
      </c>
      <c r="P462" t="s">
        <v>125</v>
      </c>
      <c r="Q462" t="s">
        <v>1209</v>
      </c>
    </row>
    <row r="463" spans="1:17" ht="15.75" customHeight="1">
      <c r="A463" s="7" t="s">
        <v>1210</v>
      </c>
      <c r="B463" s="8" t="s">
        <v>17</v>
      </c>
      <c r="C463" s="10" t="s">
        <v>1211</v>
      </c>
      <c r="F463" t="s">
        <v>124</v>
      </c>
      <c r="G463" s="8" t="s">
        <v>20</v>
      </c>
      <c r="K463">
        <v>4</v>
      </c>
      <c r="L463" s="38" t="s">
        <v>22</v>
      </c>
      <c r="P463" t="s">
        <v>125</v>
      </c>
      <c r="Q463" t="s">
        <v>1212</v>
      </c>
    </row>
    <row r="464" spans="1:17" ht="15.75" customHeight="1">
      <c r="A464" s="7" t="s">
        <v>1213</v>
      </c>
      <c r="B464" s="8" t="s">
        <v>17</v>
      </c>
      <c r="C464" s="10" t="s">
        <v>1214</v>
      </c>
      <c r="F464" t="s">
        <v>124</v>
      </c>
      <c r="G464" s="8" t="s">
        <v>20</v>
      </c>
      <c r="K464">
        <v>6</v>
      </c>
      <c r="L464" s="38" t="s">
        <v>22</v>
      </c>
      <c r="P464" t="s">
        <v>125</v>
      </c>
      <c r="Q464" t="s">
        <v>1215</v>
      </c>
    </row>
    <row r="465" spans="1:22" ht="15.75" customHeight="1">
      <c r="A465" s="7" t="s">
        <v>1216</v>
      </c>
      <c r="B465" s="8" t="s">
        <v>17</v>
      </c>
      <c r="C465" s="10" t="s">
        <v>1217</v>
      </c>
      <c r="F465" t="s">
        <v>124</v>
      </c>
      <c r="G465" s="8" t="s">
        <v>20</v>
      </c>
      <c r="K465">
        <v>6</v>
      </c>
      <c r="L465" s="38" t="s">
        <v>22</v>
      </c>
      <c r="P465" t="s">
        <v>125</v>
      </c>
      <c r="Q465" t="s">
        <v>1218</v>
      </c>
    </row>
    <row r="466" spans="1:22" ht="15.75" customHeight="1">
      <c r="A466" s="7" t="s">
        <v>1219</v>
      </c>
      <c r="B466" s="8" t="s">
        <v>17</v>
      </c>
      <c r="C466" s="28" t="s">
        <v>1220</v>
      </c>
      <c r="E466" s="22"/>
      <c r="F466" s="22" t="s">
        <v>1221</v>
      </c>
      <c r="G466" s="8" t="s">
        <v>20</v>
      </c>
      <c r="K466">
        <v>2</v>
      </c>
      <c r="L466" s="38" t="s">
        <v>22</v>
      </c>
      <c r="P466" t="s">
        <v>301</v>
      </c>
      <c r="Q466" t="s">
        <v>1222</v>
      </c>
      <c r="V466" s="6"/>
    </row>
    <row r="467" spans="1:22" ht="15.75" customHeight="1">
      <c r="A467" s="7" t="s">
        <v>1223</v>
      </c>
      <c r="B467" s="8" t="s">
        <v>17</v>
      </c>
      <c r="C467" s="28" t="s">
        <v>1224</v>
      </c>
      <c r="E467" s="22"/>
      <c r="F467" s="22" t="s">
        <v>1221</v>
      </c>
      <c r="G467" s="8" t="s">
        <v>20</v>
      </c>
      <c r="K467">
        <v>3</v>
      </c>
      <c r="L467" s="38" t="s">
        <v>22</v>
      </c>
      <c r="P467" t="s">
        <v>125</v>
      </c>
      <c r="Q467" t="s">
        <v>1225</v>
      </c>
      <c r="V467" s="6"/>
    </row>
    <row r="468" spans="1:22" ht="15.75" customHeight="1">
      <c r="A468" s="7" t="s">
        <v>1226</v>
      </c>
      <c r="B468" s="8" t="s">
        <v>17</v>
      </c>
      <c r="C468" s="28" t="s">
        <v>1227</v>
      </c>
      <c r="E468" s="22"/>
      <c r="F468" s="22" t="s">
        <v>1221</v>
      </c>
      <c r="G468" s="8" t="s">
        <v>20</v>
      </c>
      <c r="K468">
        <v>3</v>
      </c>
      <c r="L468" s="38" t="s">
        <v>22</v>
      </c>
      <c r="P468" t="s">
        <v>23</v>
      </c>
      <c r="Q468" t="s">
        <v>1228</v>
      </c>
      <c r="V468" s="6"/>
    </row>
    <row r="469" spans="1:22" ht="15.75" customHeight="1">
      <c r="A469" s="7" t="s">
        <v>1229</v>
      </c>
      <c r="B469" s="8" t="s">
        <v>17</v>
      </c>
      <c r="C469" s="28" t="s">
        <v>1230</v>
      </c>
      <c r="E469" s="22"/>
      <c r="F469" s="22" t="s">
        <v>1221</v>
      </c>
      <c r="G469" s="8" t="s">
        <v>20</v>
      </c>
      <c r="K469">
        <v>3</v>
      </c>
      <c r="L469" s="38" t="s">
        <v>22</v>
      </c>
      <c r="P469" t="s">
        <v>55</v>
      </c>
      <c r="Q469" t="s">
        <v>1231</v>
      </c>
      <c r="V469" s="6"/>
    </row>
    <row r="470" spans="1:22" ht="15.75" customHeight="1">
      <c r="A470" s="7" t="s">
        <v>1232</v>
      </c>
      <c r="B470" s="8" t="s">
        <v>17</v>
      </c>
      <c r="C470" s="28" t="s">
        <v>1233</v>
      </c>
      <c r="E470" s="22"/>
      <c r="F470" s="22" t="s">
        <v>1221</v>
      </c>
      <c r="G470" s="8" t="s">
        <v>20</v>
      </c>
      <c r="K470">
        <v>3</v>
      </c>
      <c r="L470" s="38" t="s">
        <v>22</v>
      </c>
      <c r="P470" t="s">
        <v>55</v>
      </c>
      <c r="Q470" t="s">
        <v>1234</v>
      </c>
    </row>
    <row r="471" spans="1:22" ht="15.75" customHeight="1">
      <c r="A471" s="7" t="s">
        <v>1235</v>
      </c>
      <c r="B471" s="8" t="s">
        <v>17</v>
      </c>
      <c r="C471" s="28" t="s">
        <v>1236</v>
      </c>
      <c r="E471" s="22"/>
      <c r="F471" s="22" t="s">
        <v>1221</v>
      </c>
      <c r="G471" s="8" t="s">
        <v>20</v>
      </c>
      <c r="K471">
        <v>3</v>
      </c>
      <c r="L471" s="38" t="s">
        <v>22</v>
      </c>
      <c r="P471" t="s">
        <v>160</v>
      </c>
      <c r="Q471" t="s">
        <v>1237</v>
      </c>
    </row>
    <row r="472" spans="1:22" ht="15.75" customHeight="1">
      <c r="A472" s="7" t="s">
        <v>1238</v>
      </c>
      <c r="B472" s="8" t="s">
        <v>17</v>
      </c>
      <c r="C472" s="28" t="s">
        <v>1239</v>
      </c>
      <c r="E472" s="22"/>
      <c r="F472" s="22" t="s">
        <v>1221</v>
      </c>
      <c r="G472" s="8" t="s">
        <v>20</v>
      </c>
      <c r="K472">
        <v>3</v>
      </c>
      <c r="L472" s="38" t="s">
        <v>22</v>
      </c>
      <c r="P472" t="s">
        <v>160</v>
      </c>
      <c r="Q472" t="s">
        <v>1240</v>
      </c>
    </row>
    <row r="473" spans="1:22" ht="15.75" customHeight="1">
      <c r="A473" s="7" t="s">
        <v>1241</v>
      </c>
      <c r="B473" s="8" t="s">
        <v>17</v>
      </c>
      <c r="C473" s="28" t="s">
        <v>1242</v>
      </c>
      <c r="E473" s="22"/>
      <c r="F473" s="22" t="s">
        <v>1221</v>
      </c>
      <c r="G473" s="8" t="s">
        <v>20</v>
      </c>
      <c r="K473">
        <v>3</v>
      </c>
      <c r="L473" s="38" t="s">
        <v>22</v>
      </c>
      <c r="P473" t="s">
        <v>90</v>
      </c>
      <c r="Q473" t="s">
        <v>1243</v>
      </c>
    </row>
    <row r="474" spans="1:22" ht="15.75" customHeight="1">
      <c r="A474" s="7" t="s">
        <v>1244</v>
      </c>
      <c r="B474" s="8" t="s">
        <v>17</v>
      </c>
      <c r="C474" s="28" t="s">
        <v>1245</v>
      </c>
      <c r="E474" s="22"/>
      <c r="F474" s="22" t="s">
        <v>1221</v>
      </c>
      <c r="G474" s="8" t="s">
        <v>20</v>
      </c>
      <c r="K474">
        <v>3</v>
      </c>
      <c r="L474" s="38" t="s">
        <v>22</v>
      </c>
      <c r="P474" t="s">
        <v>125</v>
      </c>
      <c r="Q474" t="s">
        <v>1246</v>
      </c>
    </row>
    <row r="475" spans="1:22" ht="15.75" customHeight="1">
      <c r="A475" s="7" t="s">
        <v>1247</v>
      </c>
      <c r="B475" s="8" t="s">
        <v>17</v>
      </c>
      <c r="C475" s="28" t="s">
        <v>1248</v>
      </c>
      <c r="E475" s="22"/>
      <c r="F475" s="22" t="s">
        <v>1221</v>
      </c>
      <c r="G475" s="8" t="s">
        <v>20</v>
      </c>
      <c r="K475">
        <v>3</v>
      </c>
      <c r="L475" s="38" t="s">
        <v>22</v>
      </c>
      <c r="P475" t="s">
        <v>23</v>
      </c>
      <c r="Q475" t="s">
        <v>1249</v>
      </c>
    </row>
    <row r="476" spans="1:22" ht="15.75" customHeight="1">
      <c r="A476" s="7" t="s">
        <v>1250</v>
      </c>
      <c r="B476" s="8" t="s">
        <v>17</v>
      </c>
      <c r="C476" s="28" t="s">
        <v>1251</v>
      </c>
      <c r="E476" s="22"/>
      <c r="F476" s="22" t="s">
        <v>1221</v>
      </c>
      <c r="G476" s="8" t="s">
        <v>20</v>
      </c>
      <c r="K476">
        <v>3</v>
      </c>
      <c r="L476" s="38" t="s">
        <v>22</v>
      </c>
      <c r="P476" t="s">
        <v>90</v>
      </c>
      <c r="Q476" t="s">
        <v>1252</v>
      </c>
    </row>
    <row r="477" spans="1:22" ht="15.75" customHeight="1">
      <c r="A477" s="7" t="s">
        <v>1253</v>
      </c>
      <c r="B477" s="8" t="s">
        <v>17</v>
      </c>
      <c r="C477" s="28" t="s">
        <v>1254</v>
      </c>
      <c r="E477" s="22"/>
      <c r="F477" s="22" t="s">
        <v>159</v>
      </c>
      <c r="G477" s="8" t="s">
        <v>20</v>
      </c>
      <c r="K477">
        <v>3</v>
      </c>
      <c r="L477" s="38" t="s">
        <v>22</v>
      </c>
      <c r="P477" t="s">
        <v>160</v>
      </c>
      <c r="Q477" t="s">
        <v>1255</v>
      </c>
    </row>
    <row r="478" spans="1:22" ht="15.75" customHeight="1">
      <c r="A478" s="7" t="s">
        <v>1256</v>
      </c>
      <c r="B478" s="8" t="s">
        <v>17</v>
      </c>
      <c r="C478" s="28" t="s">
        <v>1257</v>
      </c>
      <c r="E478" s="22"/>
      <c r="F478" s="22" t="s">
        <v>159</v>
      </c>
      <c r="G478" s="8" t="s">
        <v>20</v>
      </c>
      <c r="K478">
        <v>3</v>
      </c>
      <c r="L478" s="38" t="s">
        <v>22</v>
      </c>
      <c r="P478" t="s">
        <v>160</v>
      </c>
      <c r="Q478" t="s">
        <v>1258</v>
      </c>
    </row>
    <row r="479" spans="1:22" ht="15.75" customHeight="1">
      <c r="A479" s="7" t="s">
        <v>1259</v>
      </c>
      <c r="B479" s="8" t="s">
        <v>17</v>
      </c>
      <c r="C479" s="28" t="s">
        <v>1260</v>
      </c>
      <c r="E479" s="22"/>
      <c r="F479" s="22" t="s">
        <v>159</v>
      </c>
      <c r="G479" s="8" t="s">
        <v>20</v>
      </c>
      <c r="K479">
        <v>4</v>
      </c>
      <c r="L479" s="38" t="s">
        <v>22</v>
      </c>
      <c r="P479" t="s">
        <v>160</v>
      </c>
      <c r="Q479" t="s">
        <v>1261</v>
      </c>
    </row>
    <row r="480" spans="1:22" ht="15.75" customHeight="1">
      <c r="A480" s="7" t="s">
        <v>1262</v>
      </c>
      <c r="B480" s="8" t="s">
        <v>17</v>
      </c>
      <c r="C480" s="28" t="s">
        <v>1263</v>
      </c>
      <c r="E480" s="22"/>
      <c r="F480" s="22" t="s">
        <v>159</v>
      </c>
      <c r="G480" s="8" t="s">
        <v>20</v>
      </c>
      <c r="K480">
        <v>4</v>
      </c>
      <c r="L480" s="38" t="s">
        <v>22</v>
      </c>
      <c r="P480" t="s">
        <v>160</v>
      </c>
      <c r="Q480" t="s">
        <v>1264</v>
      </c>
    </row>
    <row r="481" spans="1:17" ht="15.75" customHeight="1">
      <c r="A481" s="7" t="s">
        <v>1265</v>
      </c>
      <c r="B481" s="8" t="s">
        <v>17</v>
      </c>
      <c r="C481" s="28" t="s">
        <v>1266</v>
      </c>
      <c r="E481" s="22"/>
      <c r="F481" s="22" t="s">
        <v>159</v>
      </c>
      <c r="G481" s="8" t="s">
        <v>20</v>
      </c>
      <c r="K481">
        <v>6</v>
      </c>
      <c r="L481" s="38" t="s">
        <v>22</v>
      </c>
      <c r="P481" t="s">
        <v>160</v>
      </c>
      <c r="Q481" t="s">
        <v>1267</v>
      </c>
    </row>
    <row r="482" spans="1:17" ht="15.75" customHeight="1">
      <c r="A482" s="7" t="s">
        <v>1268</v>
      </c>
      <c r="B482" s="8" t="s">
        <v>17</v>
      </c>
      <c r="C482" s="28" t="s">
        <v>1269</v>
      </c>
      <c r="E482" s="22"/>
      <c r="F482" s="22" t="s">
        <v>159</v>
      </c>
      <c r="G482" s="8" t="s">
        <v>20</v>
      </c>
      <c r="K482">
        <v>6</v>
      </c>
      <c r="L482" s="38" t="s">
        <v>22</v>
      </c>
      <c r="P482" t="s">
        <v>160</v>
      </c>
      <c r="Q482" t="s">
        <v>1270</v>
      </c>
    </row>
    <row r="483" spans="1:17" ht="15.75" customHeight="1">
      <c r="A483" s="7" t="s">
        <v>1271</v>
      </c>
      <c r="B483" s="8" t="s">
        <v>17</v>
      </c>
      <c r="C483" s="28" t="s">
        <v>1272</v>
      </c>
      <c r="E483" s="22"/>
      <c r="F483" s="22" t="s">
        <v>1273</v>
      </c>
      <c r="G483" s="8" t="s">
        <v>20</v>
      </c>
      <c r="K483">
        <v>3</v>
      </c>
      <c r="L483" s="38" t="s">
        <v>22</v>
      </c>
      <c r="P483" t="s">
        <v>297</v>
      </c>
      <c r="Q483" t="s">
        <v>1274</v>
      </c>
    </row>
    <row r="484" spans="1:17" ht="15.75" customHeight="1">
      <c r="A484" s="7" t="s">
        <v>1275</v>
      </c>
      <c r="B484" s="8" t="s">
        <v>17</v>
      </c>
      <c r="C484" s="28" t="s">
        <v>1276</v>
      </c>
      <c r="E484" s="22"/>
      <c r="F484" s="22" t="s">
        <v>1273</v>
      </c>
      <c r="G484" s="8" t="s">
        <v>20</v>
      </c>
      <c r="K484">
        <v>3</v>
      </c>
      <c r="L484" s="38" t="s">
        <v>22</v>
      </c>
      <c r="P484" t="s">
        <v>297</v>
      </c>
      <c r="Q484" t="s">
        <v>1277</v>
      </c>
    </row>
    <row r="485" spans="1:17" ht="15.75" customHeight="1">
      <c r="A485" s="7" t="s">
        <v>1278</v>
      </c>
      <c r="B485" s="8" t="s">
        <v>17</v>
      </c>
      <c r="C485" s="28" t="s">
        <v>1279</v>
      </c>
      <c r="E485" s="22"/>
      <c r="F485" s="22" t="s">
        <v>1273</v>
      </c>
      <c r="G485" s="8" t="s">
        <v>20</v>
      </c>
      <c r="K485">
        <v>3</v>
      </c>
      <c r="L485" s="38" t="s">
        <v>22</v>
      </c>
      <c r="P485" t="s">
        <v>297</v>
      </c>
      <c r="Q485" t="s">
        <v>1280</v>
      </c>
    </row>
    <row r="486" spans="1:17" ht="15.75" customHeight="1">
      <c r="A486" s="7" t="s">
        <v>1281</v>
      </c>
      <c r="B486" s="8" t="s">
        <v>17</v>
      </c>
      <c r="C486" s="28" t="s">
        <v>1282</v>
      </c>
      <c r="E486" s="22"/>
      <c r="F486" s="22" t="s">
        <v>1273</v>
      </c>
      <c r="G486" s="8" t="s">
        <v>20</v>
      </c>
      <c r="K486">
        <v>3</v>
      </c>
      <c r="L486" s="38" t="s">
        <v>22</v>
      </c>
      <c r="P486" t="s">
        <v>297</v>
      </c>
      <c r="Q486" t="s">
        <v>1283</v>
      </c>
    </row>
    <row r="487" spans="1:17" ht="15.75" customHeight="1">
      <c r="A487" s="7" t="s">
        <v>1284</v>
      </c>
      <c r="B487" s="8" t="s">
        <v>17</v>
      </c>
      <c r="C487" s="28" t="s">
        <v>1285</v>
      </c>
      <c r="E487" s="22"/>
      <c r="F487" s="22" t="s">
        <v>1273</v>
      </c>
      <c r="G487" s="8" t="s">
        <v>20</v>
      </c>
      <c r="K487">
        <v>4</v>
      </c>
      <c r="L487" s="38" t="s">
        <v>22</v>
      </c>
      <c r="P487" t="s">
        <v>297</v>
      </c>
      <c r="Q487" t="s">
        <v>1286</v>
      </c>
    </row>
    <row r="488" spans="1:17" ht="15.75" customHeight="1">
      <c r="A488" s="7" t="s">
        <v>1287</v>
      </c>
      <c r="B488" s="8" t="s">
        <v>17</v>
      </c>
      <c r="C488" s="28" t="s">
        <v>1288</v>
      </c>
      <c r="E488" s="22"/>
      <c r="F488" s="22" t="s">
        <v>1273</v>
      </c>
      <c r="G488" s="8" t="s">
        <v>20</v>
      </c>
      <c r="K488">
        <v>4</v>
      </c>
      <c r="L488" s="38" t="s">
        <v>22</v>
      </c>
      <c r="P488" t="s">
        <v>297</v>
      </c>
      <c r="Q488" t="s">
        <v>1289</v>
      </c>
    </row>
    <row r="489" spans="1:17" ht="15.75" customHeight="1">
      <c r="A489" s="7" t="s">
        <v>1290</v>
      </c>
      <c r="B489" s="8" t="s">
        <v>17</v>
      </c>
      <c r="C489" s="28" t="s">
        <v>1291</v>
      </c>
      <c r="E489" s="22"/>
      <c r="F489" s="22" t="s">
        <v>1273</v>
      </c>
      <c r="G489" s="8" t="s">
        <v>20</v>
      </c>
      <c r="K489">
        <v>4</v>
      </c>
      <c r="L489" s="38" t="s">
        <v>22</v>
      </c>
      <c r="P489" t="s">
        <v>297</v>
      </c>
      <c r="Q489" t="s">
        <v>1292</v>
      </c>
    </row>
    <row r="490" spans="1:17" ht="15.75" customHeight="1">
      <c r="A490" s="7" t="s">
        <v>1293</v>
      </c>
      <c r="B490" s="8" t="s">
        <v>17</v>
      </c>
      <c r="C490" s="10" t="s">
        <v>1294</v>
      </c>
      <c r="F490" t="s">
        <v>1273</v>
      </c>
      <c r="G490" s="8" t="s">
        <v>20</v>
      </c>
      <c r="K490">
        <v>5</v>
      </c>
      <c r="L490" s="38" t="s">
        <v>22</v>
      </c>
      <c r="P490" t="s">
        <v>297</v>
      </c>
      <c r="Q490" t="s">
        <v>1295</v>
      </c>
    </row>
    <row r="491" spans="1:17" ht="15.75" customHeight="1">
      <c r="A491" s="7" t="s">
        <v>1296</v>
      </c>
      <c r="B491" s="8" t="s">
        <v>17</v>
      </c>
      <c r="C491" s="28" t="s">
        <v>1297</v>
      </c>
      <c r="E491" s="22"/>
      <c r="F491" s="22" t="s">
        <v>1273</v>
      </c>
      <c r="G491" s="8" t="s">
        <v>20</v>
      </c>
      <c r="K491">
        <v>5</v>
      </c>
      <c r="L491" s="38" t="s">
        <v>22</v>
      </c>
      <c r="P491" t="s">
        <v>297</v>
      </c>
      <c r="Q491" t="s">
        <v>1298</v>
      </c>
    </row>
    <row r="492" spans="1:17" ht="15.75" customHeight="1">
      <c r="A492" s="7" t="s">
        <v>1299</v>
      </c>
      <c r="B492" s="8" t="s">
        <v>17</v>
      </c>
      <c r="C492" s="28" t="s">
        <v>1300</v>
      </c>
      <c r="E492" s="22"/>
      <c r="F492" s="22" t="s">
        <v>1273</v>
      </c>
      <c r="G492" s="8" t="s">
        <v>20</v>
      </c>
      <c r="K492">
        <v>5</v>
      </c>
      <c r="L492" s="38" t="s">
        <v>22</v>
      </c>
      <c r="P492" t="s">
        <v>297</v>
      </c>
      <c r="Q492" t="s">
        <v>1301</v>
      </c>
    </row>
    <row r="493" spans="1:17" ht="15.75" customHeight="1">
      <c r="A493" s="7" t="s">
        <v>1302</v>
      </c>
      <c r="B493" s="8" t="s">
        <v>17</v>
      </c>
      <c r="C493" s="28" t="s">
        <v>1303</v>
      </c>
      <c r="E493" s="22"/>
      <c r="F493" s="22" t="s">
        <v>1273</v>
      </c>
      <c r="G493" s="8" t="s">
        <v>20</v>
      </c>
      <c r="K493">
        <v>6</v>
      </c>
      <c r="L493" s="38" t="s">
        <v>22</v>
      </c>
      <c r="P493" t="s">
        <v>297</v>
      </c>
      <c r="Q493" t="s">
        <v>1304</v>
      </c>
    </row>
    <row r="494" spans="1:17" ht="15.75" customHeight="1">
      <c r="A494" s="7" t="s">
        <v>1305</v>
      </c>
      <c r="B494" s="8" t="s">
        <v>17</v>
      </c>
      <c r="C494" s="28" t="s">
        <v>1306</v>
      </c>
      <c r="E494" s="22"/>
      <c r="F494" s="22" t="s">
        <v>1273</v>
      </c>
      <c r="G494" s="8" t="s">
        <v>20</v>
      </c>
      <c r="K494">
        <v>6</v>
      </c>
      <c r="L494" s="38" t="s">
        <v>22</v>
      </c>
      <c r="P494" t="s">
        <v>297</v>
      </c>
      <c r="Q494" t="s">
        <v>1307</v>
      </c>
    </row>
    <row r="495" spans="1:17" ht="15.75" customHeight="1">
      <c r="A495" s="7" t="s">
        <v>1308</v>
      </c>
      <c r="B495" s="8" t="s">
        <v>17</v>
      </c>
      <c r="C495" s="28" t="s">
        <v>1309</v>
      </c>
      <c r="E495" s="22"/>
      <c r="F495" s="22" t="s">
        <v>1273</v>
      </c>
      <c r="G495" s="8" t="s">
        <v>20</v>
      </c>
      <c r="K495">
        <v>6</v>
      </c>
      <c r="L495" s="38" t="s">
        <v>22</v>
      </c>
      <c r="P495" t="s">
        <v>297</v>
      </c>
      <c r="Q495" t="s">
        <v>1310</v>
      </c>
    </row>
    <row r="496" spans="1:17" ht="15.75" customHeight="1">
      <c r="A496" s="7" t="s">
        <v>1311</v>
      </c>
      <c r="B496" s="8" t="s">
        <v>17</v>
      </c>
      <c r="C496" s="21" t="s">
        <v>1312</v>
      </c>
      <c r="E496" s="7"/>
      <c r="F496" s="7" t="s">
        <v>1273</v>
      </c>
      <c r="G496" s="8" t="s">
        <v>20</v>
      </c>
      <c r="K496">
        <v>7</v>
      </c>
      <c r="L496" s="38" t="s">
        <v>22</v>
      </c>
      <c r="P496" t="s">
        <v>297</v>
      </c>
      <c r="Q496" t="s">
        <v>1313</v>
      </c>
    </row>
    <row r="497" spans="1:17" ht="15.75" customHeight="1">
      <c r="A497" s="7" t="s">
        <v>1314</v>
      </c>
      <c r="B497" s="8" t="s">
        <v>17</v>
      </c>
      <c r="C497" s="28" t="s">
        <v>1315</v>
      </c>
      <c r="E497" s="22"/>
      <c r="F497" s="22" t="s">
        <v>1273</v>
      </c>
      <c r="G497" s="8" t="s">
        <v>20</v>
      </c>
      <c r="K497">
        <v>7</v>
      </c>
      <c r="L497" s="38" t="s">
        <v>22</v>
      </c>
      <c r="P497" t="s">
        <v>297</v>
      </c>
      <c r="Q497" t="s">
        <v>1316</v>
      </c>
    </row>
    <row r="498" spans="1:17" ht="15.75" customHeight="1">
      <c r="A498" s="7" t="s">
        <v>1317</v>
      </c>
      <c r="B498" s="12" t="s">
        <v>477</v>
      </c>
      <c r="C498" s="13" t="s">
        <v>1318</v>
      </c>
      <c r="E498" s="12"/>
      <c r="F498" s="12" t="s">
        <v>479</v>
      </c>
      <c r="G498" s="12" t="s">
        <v>308</v>
      </c>
      <c r="L498" s="38">
        <v>18</v>
      </c>
    </row>
    <row r="499" spans="1:17" ht="15.75" customHeight="1">
      <c r="A499" s="7" t="s">
        <v>1319</v>
      </c>
      <c r="B499" s="12" t="s">
        <v>477</v>
      </c>
      <c r="C499" s="13" t="s">
        <v>1320</v>
      </c>
      <c r="E499" s="12"/>
      <c r="F499" s="12" t="s">
        <v>479</v>
      </c>
      <c r="G499" s="12" t="s">
        <v>308</v>
      </c>
      <c r="L499" s="38">
        <v>18</v>
      </c>
    </row>
    <row r="500" spans="1:17" ht="15.75" customHeight="1">
      <c r="A500" s="7" t="s">
        <v>1321</v>
      </c>
      <c r="B500" s="12" t="s">
        <v>477</v>
      </c>
      <c r="C500" s="13" t="s">
        <v>1322</v>
      </c>
      <c r="E500" s="12"/>
      <c r="F500" s="12" t="s">
        <v>479</v>
      </c>
      <c r="G500" s="12" t="s">
        <v>308</v>
      </c>
      <c r="L500" s="38">
        <v>18</v>
      </c>
    </row>
    <row r="501" spans="1:17" ht="15.75" customHeight="1">
      <c r="A501" s="7" t="s">
        <v>1323</v>
      </c>
      <c r="B501" s="12" t="s">
        <v>477</v>
      </c>
      <c r="C501" s="13" t="s">
        <v>1324</v>
      </c>
      <c r="E501" s="12"/>
      <c r="F501" s="12" t="s">
        <v>479</v>
      </c>
      <c r="G501" s="12" t="s">
        <v>308</v>
      </c>
      <c r="L501" s="38">
        <v>18</v>
      </c>
    </row>
    <row r="502" spans="1:17" ht="15.75" customHeight="1">
      <c r="A502" s="7" t="s">
        <v>1325</v>
      </c>
      <c r="B502" s="12" t="s">
        <v>477</v>
      </c>
      <c r="C502" s="13" t="s">
        <v>1326</v>
      </c>
      <c r="E502" s="12"/>
      <c r="F502" s="12" t="s">
        <v>479</v>
      </c>
      <c r="G502" s="12" t="s">
        <v>308</v>
      </c>
      <c r="L502" s="38">
        <v>18</v>
      </c>
    </row>
    <row r="503" spans="1:17" ht="15.75" customHeight="1">
      <c r="A503" s="7" t="s">
        <v>1327</v>
      </c>
      <c r="B503" s="12" t="s">
        <v>477</v>
      </c>
      <c r="C503" s="21" t="s">
        <v>1328</v>
      </c>
      <c r="E503" s="12"/>
      <c r="F503" s="12" t="s">
        <v>1329</v>
      </c>
      <c r="G503" s="12" t="s">
        <v>308</v>
      </c>
      <c r="L503" s="38">
        <v>1</v>
      </c>
    </row>
    <row r="504" spans="1:17" ht="15.75" customHeight="1">
      <c r="A504" s="7" t="s">
        <v>1330</v>
      </c>
      <c r="B504" s="12" t="s">
        <v>477</v>
      </c>
      <c r="C504" s="21" t="s">
        <v>1331</v>
      </c>
      <c r="E504" s="12"/>
      <c r="F504" s="12" t="s">
        <v>1332</v>
      </c>
      <c r="G504" s="12" t="s">
        <v>308</v>
      </c>
      <c r="L504" s="38">
        <v>6</v>
      </c>
    </row>
    <row r="505" spans="1:17" ht="15.75" customHeight="1">
      <c r="A505" s="7" t="s">
        <v>1333</v>
      </c>
      <c r="B505" s="12" t="s">
        <v>477</v>
      </c>
      <c r="C505" s="21" t="s">
        <v>1334</v>
      </c>
      <c r="E505" s="12"/>
      <c r="F505" s="12" t="s">
        <v>1332</v>
      </c>
      <c r="G505" s="12" t="s">
        <v>308</v>
      </c>
      <c r="L505" s="38">
        <v>6</v>
      </c>
    </row>
    <row r="506" spans="1:17" ht="15.75" customHeight="1">
      <c r="A506" s="7" t="s">
        <v>1335</v>
      </c>
      <c r="B506" s="12" t="s">
        <v>477</v>
      </c>
      <c r="C506" s="21" t="s">
        <v>1336</v>
      </c>
      <c r="E506" s="12"/>
      <c r="F506" s="12" t="s">
        <v>1332</v>
      </c>
      <c r="G506" s="12" t="s">
        <v>308</v>
      </c>
      <c r="L506" s="38">
        <v>6</v>
      </c>
    </row>
    <row r="507" spans="1:17" ht="15.75" customHeight="1">
      <c r="A507" s="7" t="s">
        <v>1337</v>
      </c>
      <c r="B507" s="12" t="s">
        <v>477</v>
      </c>
      <c r="C507" s="21" t="s">
        <v>1338</v>
      </c>
      <c r="E507" s="12"/>
      <c r="F507" s="12" t="s">
        <v>1332</v>
      </c>
      <c r="G507" s="12" t="s">
        <v>308</v>
      </c>
      <c r="L507" s="38">
        <v>6</v>
      </c>
    </row>
    <row r="508" spans="1:17" ht="15.75" customHeight="1">
      <c r="A508" s="7" t="s">
        <v>1339</v>
      </c>
      <c r="B508" s="12" t="s">
        <v>477</v>
      </c>
      <c r="C508" s="21" t="s">
        <v>1340</v>
      </c>
      <c r="E508" s="12"/>
      <c r="F508" s="12" t="s">
        <v>1332</v>
      </c>
      <c r="G508" s="12" t="s">
        <v>308</v>
      </c>
      <c r="L508" s="38">
        <v>6</v>
      </c>
    </row>
    <row r="509" spans="1:17" ht="15.75" customHeight="1">
      <c r="A509" s="7" t="s">
        <v>1341</v>
      </c>
      <c r="B509" s="12" t="s">
        <v>477</v>
      </c>
      <c r="C509" s="21" t="s">
        <v>1342</v>
      </c>
      <c r="E509" s="12"/>
      <c r="F509" s="12" t="s">
        <v>1332</v>
      </c>
      <c r="G509" s="12" t="s">
        <v>308</v>
      </c>
      <c r="L509" s="38">
        <v>6</v>
      </c>
    </row>
    <row r="510" spans="1:17" ht="15.75" customHeight="1">
      <c r="A510" s="7" t="s">
        <v>1343</v>
      </c>
      <c r="B510" s="12" t="s">
        <v>477</v>
      </c>
      <c r="C510" s="21" t="s">
        <v>1344</v>
      </c>
      <c r="E510" s="12"/>
      <c r="F510" s="12" t="s">
        <v>1332</v>
      </c>
      <c r="G510" s="12" t="s">
        <v>308</v>
      </c>
      <c r="L510" s="38">
        <v>6</v>
      </c>
    </row>
    <row r="511" spans="1:17" ht="15.75" customHeight="1">
      <c r="A511" s="7" t="s">
        <v>1345</v>
      </c>
      <c r="B511" s="12" t="s">
        <v>477</v>
      </c>
      <c r="C511" s="21" t="s">
        <v>1346</v>
      </c>
      <c r="E511" s="12"/>
      <c r="F511" s="12" t="s">
        <v>1332</v>
      </c>
      <c r="G511" s="12" t="s">
        <v>308</v>
      </c>
      <c r="L511" s="38">
        <v>6</v>
      </c>
    </row>
    <row r="512" spans="1:17" ht="15.75" customHeight="1">
      <c r="A512" s="7" t="s">
        <v>1347</v>
      </c>
      <c r="B512" s="12" t="s">
        <v>477</v>
      </c>
      <c r="C512" s="21" t="s">
        <v>1348</v>
      </c>
      <c r="E512" s="12"/>
      <c r="F512" s="12" t="s">
        <v>1332</v>
      </c>
      <c r="G512" s="12" t="s">
        <v>308</v>
      </c>
      <c r="L512" s="38">
        <v>6</v>
      </c>
    </row>
    <row r="513" spans="1:12" ht="15.75" customHeight="1">
      <c r="A513" s="7" t="s">
        <v>1349</v>
      </c>
      <c r="B513" s="12" t="s">
        <v>477</v>
      </c>
      <c r="C513" s="21" t="s">
        <v>1350</v>
      </c>
      <c r="E513" s="12"/>
      <c r="F513" s="12" t="s">
        <v>1332</v>
      </c>
      <c r="G513" s="12" t="s">
        <v>308</v>
      </c>
      <c r="L513" s="38">
        <v>6</v>
      </c>
    </row>
    <row r="514" spans="1:12" ht="15.75" customHeight="1">
      <c r="A514" s="7" t="s">
        <v>1351</v>
      </c>
      <c r="B514" s="12" t="s">
        <v>477</v>
      </c>
      <c r="C514" s="21" t="s">
        <v>1352</v>
      </c>
      <c r="E514" s="12"/>
      <c r="F514" s="12" t="s">
        <v>1332</v>
      </c>
      <c r="G514" s="12" t="s">
        <v>308</v>
      </c>
      <c r="L514" s="38">
        <v>6</v>
      </c>
    </row>
    <row r="515" spans="1:12" ht="15.75" customHeight="1">
      <c r="A515" s="7" t="s">
        <v>1353</v>
      </c>
      <c r="B515" s="12" t="s">
        <v>477</v>
      </c>
      <c r="C515" s="21" t="s">
        <v>1354</v>
      </c>
      <c r="E515" s="12"/>
      <c r="F515" s="12" t="s">
        <v>1332</v>
      </c>
      <c r="G515" s="12" t="s">
        <v>308</v>
      </c>
      <c r="L515" s="38">
        <v>6</v>
      </c>
    </row>
    <row r="516" spans="1:12" ht="15.75" customHeight="1">
      <c r="A516" s="7" t="s">
        <v>1355</v>
      </c>
      <c r="B516" s="12" t="s">
        <v>477</v>
      </c>
      <c r="C516" s="21" t="s">
        <v>1356</v>
      </c>
      <c r="E516" s="12"/>
      <c r="F516" s="12" t="s">
        <v>1332</v>
      </c>
      <c r="G516" s="12" t="s">
        <v>308</v>
      </c>
      <c r="L516" s="38">
        <v>12</v>
      </c>
    </row>
    <row r="517" spans="1:12" ht="15.75" customHeight="1">
      <c r="A517" s="7" t="s">
        <v>1357</v>
      </c>
      <c r="B517" s="12" t="s">
        <v>477</v>
      </c>
      <c r="C517" s="21" t="s">
        <v>1358</v>
      </c>
      <c r="E517" s="12"/>
      <c r="F517" s="12" t="s">
        <v>1332</v>
      </c>
      <c r="G517" s="12" t="s">
        <v>308</v>
      </c>
      <c r="L517" s="38">
        <v>12</v>
      </c>
    </row>
    <row r="518" spans="1:12" ht="15.75" customHeight="1">
      <c r="A518" s="7" t="s">
        <v>1359</v>
      </c>
      <c r="B518" s="12" t="s">
        <v>477</v>
      </c>
      <c r="C518" s="21" t="s">
        <v>1360</v>
      </c>
      <c r="E518" s="12"/>
      <c r="F518" s="12" t="s">
        <v>1332</v>
      </c>
      <c r="G518" s="12" t="s">
        <v>308</v>
      </c>
      <c r="L518" s="38">
        <v>12</v>
      </c>
    </row>
    <row r="519" spans="1:12" ht="15.75" customHeight="1">
      <c r="A519" s="7" t="s">
        <v>1361</v>
      </c>
      <c r="B519" s="12" t="s">
        <v>477</v>
      </c>
      <c r="C519" s="21" t="s">
        <v>1362</v>
      </c>
      <c r="E519" s="12"/>
      <c r="F519" s="12" t="s">
        <v>1332</v>
      </c>
      <c r="G519" s="12" t="s">
        <v>308</v>
      </c>
      <c r="L519" s="38">
        <v>12</v>
      </c>
    </row>
    <row r="520" spans="1:12" ht="15.75" customHeight="1">
      <c r="A520" s="7" t="s">
        <v>1363</v>
      </c>
      <c r="B520" s="12" t="s">
        <v>477</v>
      </c>
      <c r="C520" s="21" t="s">
        <v>1364</v>
      </c>
      <c r="E520" s="12"/>
      <c r="F520" s="12" t="s">
        <v>1332</v>
      </c>
      <c r="G520" s="12" t="s">
        <v>308</v>
      </c>
      <c r="L520" s="38">
        <v>12</v>
      </c>
    </row>
    <row r="521" spans="1:12" ht="15.75" customHeight="1">
      <c r="A521" s="7" t="s">
        <v>1365</v>
      </c>
      <c r="B521" s="12" t="s">
        <v>477</v>
      </c>
      <c r="C521" s="21" t="s">
        <v>1366</v>
      </c>
      <c r="E521" s="12"/>
      <c r="F521" s="12" t="s">
        <v>1332</v>
      </c>
      <c r="G521" s="12" t="s">
        <v>308</v>
      </c>
      <c r="L521" s="38">
        <v>12</v>
      </c>
    </row>
    <row r="522" spans="1:12" ht="15.75" customHeight="1">
      <c r="A522" s="7" t="s">
        <v>1367</v>
      </c>
      <c r="B522" s="12" t="s">
        <v>477</v>
      </c>
      <c r="C522" s="21" t="s">
        <v>1368</v>
      </c>
      <c r="E522" s="12"/>
      <c r="F522" s="12" t="s">
        <v>1332</v>
      </c>
      <c r="G522" s="12" t="s">
        <v>308</v>
      </c>
      <c r="L522" s="38">
        <v>12</v>
      </c>
    </row>
    <row r="523" spans="1:12" ht="15.75" customHeight="1">
      <c r="A523" s="7" t="s">
        <v>1369</v>
      </c>
      <c r="B523" s="12" t="s">
        <v>477</v>
      </c>
      <c r="C523" s="21" t="s">
        <v>1370</v>
      </c>
      <c r="E523" s="12"/>
      <c r="F523" s="12" t="s">
        <v>1332</v>
      </c>
      <c r="G523" s="12" t="s">
        <v>308</v>
      </c>
      <c r="L523" s="38">
        <v>12</v>
      </c>
    </row>
    <row r="524" spans="1:12" ht="15.75" customHeight="1">
      <c r="A524" s="7" t="s">
        <v>1371</v>
      </c>
      <c r="B524" s="12" t="s">
        <v>477</v>
      </c>
      <c r="C524" s="21" t="s">
        <v>1372</v>
      </c>
      <c r="E524" s="12"/>
      <c r="F524" s="12" t="s">
        <v>1332</v>
      </c>
      <c r="G524" s="12" t="s">
        <v>308</v>
      </c>
      <c r="L524" s="38">
        <v>12</v>
      </c>
    </row>
    <row r="525" spans="1:12" ht="15.75" customHeight="1">
      <c r="A525" s="7" t="s">
        <v>1373</v>
      </c>
      <c r="B525" s="12" t="s">
        <v>477</v>
      </c>
      <c r="C525" s="21" t="s">
        <v>1374</v>
      </c>
      <c r="E525" s="12"/>
      <c r="F525" s="12" t="s">
        <v>1332</v>
      </c>
      <c r="G525" s="12" t="s">
        <v>308</v>
      </c>
      <c r="L525" s="38">
        <v>12</v>
      </c>
    </row>
    <row r="526" spans="1:12" ht="15.75" customHeight="1">
      <c r="A526" s="7" t="s">
        <v>1375</v>
      </c>
      <c r="B526" s="12" t="s">
        <v>477</v>
      </c>
      <c r="C526" s="21" t="s">
        <v>1376</v>
      </c>
      <c r="E526" s="12"/>
      <c r="F526" s="12" t="s">
        <v>1332</v>
      </c>
      <c r="G526" s="12" t="s">
        <v>308</v>
      </c>
      <c r="L526" s="38">
        <v>12</v>
      </c>
    </row>
    <row r="527" spans="1:12" ht="15.75" customHeight="1">
      <c r="A527" s="7" t="s">
        <v>1377</v>
      </c>
      <c r="B527" s="12" t="s">
        <v>477</v>
      </c>
      <c r="C527" s="21" t="s">
        <v>1378</v>
      </c>
      <c r="E527" s="12"/>
      <c r="F527" s="12" t="s">
        <v>1332</v>
      </c>
      <c r="G527" s="12" t="s">
        <v>308</v>
      </c>
      <c r="L527" s="38">
        <v>12</v>
      </c>
    </row>
    <row r="528" spans="1:12" ht="15.75" customHeight="1">
      <c r="A528" s="7" t="s">
        <v>1379</v>
      </c>
      <c r="B528" s="12" t="s">
        <v>477</v>
      </c>
      <c r="C528" s="21" t="s">
        <v>1380</v>
      </c>
      <c r="E528" s="12"/>
      <c r="F528" s="12" t="s">
        <v>1332</v>
      </c>
      <c r="G528" s="12" t="s">
        <v>308</v>
      </c>
      <c r="L528" s="38">
        <v>16</v>
      </c>
    </row>
    <row r="529" spans="1:24" ht="15.75" customHeight="1">
      <c r="A529" s="7" t="s">
        <v>1381</v>
      </c>
      <c r="B529" s="12" t="s">
        <v>477</v>
      </c>
      <c r="C529" s="21" t="s">
        <v>1382</v>
      </c>
      <c r="E529" s="12"/>
      <c r="F529" s="12" t="s">
        <v>1332</v>
      </c>
      <c r="G529" s="12" t="s">
        <v>308</v>
      </c>
      <c r="L529" s="38">
        <v>16</v>
      </c>
    </row>
    <row r="530" spans="1:24" ht="15.75" customHeight="1">
      <c r="A530" s="7" t="s">
        <v>1383</v>
      </c>
      <c r="B530" s="12" t="s">
        <v>477</v>
      </c>
      <c r="C530" s="21" t="s">
        <v>1384</v>
      </c>
      <c r="E530" s="12"/>
      <c r="F530" s="12" t="s">
        <v>1332</v>
      </c>
      <c r="G530" s="12" t="s">
        <v>308</v>
      </c>
      <c r="L530" s="38">
        <v>16</v>
      </c>
    </row>
    <row r="531" spans="1:24" ht="15.75" customHeight="1">
      <c r="A531" s="7" t="s">
        <v>1385</v>
      </c>
      <c r="B531" s="12" t="s">
        <v>477</v>
      </c>
      <c r="C531" s="21" t="s">
        <v>1386</v>
      </c>
      <c r="E531" s="12"/>
      <c r="F531" s="12" t="s">
        <v>1332</v>
      </c>
      <c r="G531" s="12" t="s">
        <v>308</v>
      </c>
      <c r="L531" s="38">
        <v>16</v>
      </c>
    </row>
    <row r="532" spans="1:24" ht="15.75" customHeight="1">
      <c r="A532" s="7" t="s">
        <v>1387</v>
      </c>
      <c r="B532" s="12" t="s">
        <v>477</v>
      </c>
      <c r="C532" s="21" t="s">
        <v>1388</v>
      </c>
      <c r="E532" s="12"/>
      <c r="F532" s="12" t="s">
        <v>1332</v>
      </c>
      <c r="G532" s="12" t="s">
        <v>308</v>
      </c>
      <c r="L532" s="38">
        <v>16</v>
      </c>
    </row>
    <row r="533" spans="1:24" ht="15.75" customHeight="1">
      <c r="A533" s="7" t="s">
        <v>1389</v>
      </c>
      <c r="B533" s="12" t="s">
        <v>477</v>
      </c>
      <c r="C533" s="21" t="s">
        <v>1390</v>
      </c>
      <c r="E533" s="12"/>
      <c r="F533" s="12" t="s">
        <v>1332</v>
      </c>
      <c r="G533" s="12" t="s">
        <v>308</v>
      </c>
      <c r="L533" s="38">
        <v>16</v>
      </c>
    </row>
    <row r="534" spans="1:24" ht="15.75" customHeight="1">
      <c r="A534" s="7" t="s">
        <v>1391</v>
      </c>
      <c r="B534" s="12" t="s">
        <v>477</v>
      </c>
      <c r="C534" s="21" t="s">
        <v>1392</v>
      </c>
      <c r="E534" s="12"/>
      <c r="F534" s="12" t="s">
        <v>1332</v>
      </c>
      <c r="G534" s="12" t="s">
        <v>308</v>
      </c>
      <c r="L534" s="38">
        <v>16</v>
      </c>
    </row>
    <row r="535" spans="1:24" ht="15.75" customHeight="1">
      <c r="A535" s="7" t="s">
        <v>1393</v>
      </c>
      <c r="B535" s="12" t="s">
        <v>477</v>
      </c>
      <c r="C535" s="21" t="s">
        <v>1394</v>
      </c>
      <c r="E535" s="12"/>
      <c r="F535" s="12" t="s">
        <v>1332</v>
      </c>
      <c r="G535" s="12" t="s">
        <v>308</v>
      </c>
      <c r="L535" s="38">
        <v>16</v>
      </c>
    </row>
    <row r="536" spans="1:24" ht="15.75" customHeight="1">
      <c r="A536" s="7" t="s">
        <v>1395</v>
      </c>
      <c r="B536" s="12" t="s">
        <v>477</v>
      </c>
      <c r="C536" s="21" t="s">
        <v>1396</v>
      </c>
      <c r="E536" s="12"/>
      <c r="F536" s="12" t="s">
        <v>1332</v>
      </c>
      <c r="G536" s="12" t="s">
        <v>308</v>
      </c>
      <c r="L536" s="38">
        <v>16</v>
      </c>
    </row>
    <row r="537" spans="1:24" ht="15.75" customHeight="1">
      <c r="A537" s="7" t="s">
        <v>1397</v>
      </c>
      <c r="B537" s="12" t="s">
        <v>477</v>
      </c>
      <c r="C537" s="21" t="s">
        <v>1398</v>
      </c>
      <c r="E537" s="12"/>
      <c r="F537" s="12" t="s">
        <v>1332</v>
      </c>
      <c r="G537" s="12" t="s">
        <v>308</v>
      </c>
      <c r="L537" s="38">
        <v>16</v>
      </c>
    </row>
    <row r="538" spans="1:24" ht="15.75" customHeight="1">
      <c r="A538" s="7" t="s">
        <v>1399</v>
      </c>
      <c r="B538" s="12" t="s">
        <v>477</v>
      </c>
      <c r="C538" s="21" t="s">
        <v>1400</v>
      </c>
      <c r="E538" s="12"/>
      <c r="F538" s="12" t="s">
        <v>1332</v>
      </c>
      <c r="G538" s="12" t="s">
        <v>308</v>
      </c>
      <c r="L538" s="38">
        <v>16</v>
      </c>
    </row>
    <row r="539" spans="1:24" ht="15.75" customHeight="1">
      <c r="A539" s="7" t="s">
        <v>1401</v>
      </c>
      <c r="B539" s="12" t="s">
        <v>477</v>
      </c>
      <c r="C539" s="21" t="s">
        <v>1402</v>
      </c>
      <c r="E539" s="12"/>
      <c r="F539" s="12" t="s">
        <v>1332</v>
      </c>
      <c r="G539" s="12" t="s">
        <v>308</v>
      </c>
      <c r="L539" s="38">
        <v>16</v>
      </c>
    </row>
    <row r="540" spans="1:24" ht="15.75" customHeight="1">
      <c r="A540" s="7" t="s">
        <v>1403</v>
      </c>
      <c r="B540" s="12" t="s">
        <v>477</v>
      </c>
      <c r="C540" s="20" t="s">
        <v>1404</v>
      </c>
      <c r="E540" s="12"/>
      <c r="F540" s="12" t="s">
        <v>1405</v>
      </c>
      <c r="G540" s="12" t="s">
        <v>308</v>
      </c>
      <c r="L540" s="38">
        <v>10</v>
      </c>
    </row>
    <row r="541" spans="1:24" ht="15.75" customHeight="1">
      <c r="A541" s="22" t="s">
        <v>1406</v>
      </c>
      <c r="B541" s="8" t="s">
        <v>255</v>
      </c>
      <c r="C541" s="28" t="s">
        <v>263</v>
      </c>
      <c r="G541" s="8" t="s">
        <v>20</v>
      </c>
      <c r="L541" s="38" t="s">
        <v>691</v>
      </c>
    </row>
    <row r="542" spans="1:24" ht="15.75" customHeight="1">
      <c r="A542" s="22" t="s">
        <v>1407</v>
      </c>
      <c r="B542" s="8" t="s">
        <v>255</v>
      </c>
      <c r="C542" s="10" t="s">
        <v>257</v>
      </c>
      <c r="G542" s="8" t="s">
        <v>20</v>
      </c>
      <c r="L542" s="38" t="s">
        <v>691</v>
      </c>
    </row>
    <row r="543" spans="1:24" ht="15.75" customHeight="1">
      <c r="A543" s="22" t="s">
        <v>1408</v>
      </c>
      <c r="B543" s="8" t="s">
        <v>255</v>
      </c>
      <c r="C543" s="13" t="s">
        <v>1409</v>
      </c>
      <c r="D543" s="16"/>
      <c r="G543" s="12" t="s">
        <v>20</v>
      </c>
      <c r="L543" s="38" t="s">
        <v>691</v>
      </c>
      <c r="X543" s="2"/>
    </row>
    <row r="544" spans="1:24" ht="15.75" customHeight="1">
      <c r="A544" s="22" t="s">
        <v>1410</v>
      </c>
      <c r="B544" s="8" t="s">
        <v>255</v>
      </c>
      <c r="C544" s="20" t="s">
        <v>276</v>
      </c>
      <c r="G544" s="8" t="s">
        <v>20</v>
      </c>
      <c r="L544" s="38" t="s">
        <v>691</v>
      </c>
    </row>
    <row r="545" spans="1:19" ht="15.75" customHeight="1">
      <c r="A545" s="22" t="s">
        <v>1411</v>
      </c>
      <c r="B545" s="8" t="s">
        <v>255</v>
      </c>
      <c r="C545" s="31" t="s">
        <v>1412</v>
      </c>
      <c r="G545" s="8" t="s">
        <v>20</v>
      </c>
      <c r="L545" s="38" t="s">
        <v>691</v>
      </c>
    </row>
    <row r="546" spans="1:19" ht="15.75" customHeight="1">
      <c r="A546" s="22" t="s">
        <v>1413</v>
      </c>
      <c r="B546" s="8" t="s">
        <v>255</v>
      </c>
      <c r="C546" s="10" t="s">
        <v>1414</v>
      </c>
      <c r="G546" s="8" t="s">
        <v>20</v>
      </c>
      <c r="L546" s="38" t="s">
        <v>691</v>
      </c>
    </row>
    <row r="547" spans="1:19" ht="15.75" customHeight="1">
      <c r="A547" s="22" t="s">
        <v>1415</v>
      </c>
      <c r="B547" s="8" t="s">
        <v>255</v>
      </c>
      <c r="C547" s="10" t="s">
        <v>1416</v>
      </c>
      <c r="G547" s="8" t="s">
        <v>20</v>
      </c>
      <c r="L547" s="38" t="s">
        <v>691</v>
      </c>
    </row>
    <row r="548" spans="1:19" ht="15.75" customHeight="1">
      <c r="A548" s="22" t="s">
        <v>1417</v>
      </c>
      <c r="B548" s="8" t="s">
        <v>1082</v>
      </c>
      <c r="C548" s="20" t="s">
        <v>1418</v>
      </c>
      <c r="G548" s="8" t="s">
        <v>20</v>
      </c>
      <c r="L548" s="38" t="s">
        <v>1419</v>
      </c>
      <c r="S548" s="1"/>
    </row>
    <row r="549" spans="1:19" ht="15.75" customHeight="1">
      <c r="A549" s="22" t="s">
        <v>1420</v>
      </c>
      <c r="B549" s="8" t="s">
        <v>1082</v>
      </c>
      <c r="C549" s="20" t="s">
        <v>1421</v>
      </c>
      <c r="G549" s="8" t="s">
        <v>20</v>
      </c>
      <c r="L549" s="38" t="s">
        <v>1419</v>
      </c>
    </row>
    <row r="550" spans="1:19" ht="15.75" customHeight="1">
      <c r="A550" s="22" t="s">
        <v>1422</v>
      </c>
      <c r="B550" s="8" t="s">
        <v>1082</v>
      </c>
      <c r="C550" s="28" t="s">
        <v>1423</v>
      </c>
      <c r="G550" s="8" t="s">
        <v>20</v>
      </c>
      <c r="L550" s="38" t="s">
        <v>1419</v>
      </c>
    </row>
    <row r="551" spans="1:19" ht="15.75" customHeight="1">
      <c r="A551" s="22" t="s">
        <v>1424</v>
      </c>
      <c r="B551" s="8" t="s">
        <v>1082</v>
      </c>
      <c r="C551" s="20" t="s">
        <v>1425</v>
      </c>
      <c r="G551" s="8" t="s">
        <v>20</v>
      </c>
      <c r="L551" s="38" t="s">
        <v>1419</v>
      </c>
    </row>
    <row r="552" spans="1:19" ht="15.75" customHeight="1">
      <c r="A552" s="22" t="s">
        <v>1426</v>
      </c>
      <c r="B552" s="8" t="s">
        <v>1082</v>
      </c>
      <c r="C552" s="20" t="s">
        <v>1427</v>
      </c>
      <c r="G552" s="8" t="s">
        <v>20</v>
      </c>
      <c r="L552" s="38" t="s">
        <v>1419</v>
      </c>
    </row>
    <row r="553" spans="1:19" ht="15.75" customHeight="1">
      <c r="A553" s="22" t="s">
        <v>1428</v>
      </c>
      <c r="B553" s="8" t="s">
        <v>1082</v>
      </c>
      <c r="C553" s="20" t="s">
        <v>1429</v>
      </c>
      <c r="G553" s="8" t="s">
        <v>20</v>
      </c>
      <c r="L553" s="38" t="s">
        <v>1419</v>
      </c>
    </row>
    <row r="554" spans="1:19" ht="15.75" customHeight="1">
      <c r="A554" s="22" t="s">
        <v>1430</v>
      </c>
      <c r="B554" s="8" t="s">
        <v>1082</v>
      </c>
      <c r="C554" s="20" t="s">
        <v>1431</v>
      </c>
      <c r="G554" s="8" t="s">
        <v>20</v>
      </c>
      <c r="L554" s="38" t="s">
        <v>1419</v>
      </c>
    </row>
    <row r="555" spans="1:19" ht="15.75" customHeight="1">
      <c r="A555" s="22" t="s">
        <v>1432</v>
      </c>
      <c r="B555" s="8" t="s">
        <v>1082</v>
      </c>
      <c r="C555" s="20" t="s">
        <v>1433</v>
      </c>
      <c r="G555" s="8" t="s">
        <v>20</v>
      </c>
      <c r="L555" s="38" t="s">
        <v>1419</v>
      </c>
    </row>
    <row r="556" spans="1:19" ht="15.75" customHeight="1">
      <c r="A556" s="22" t="s">
        <v>1434</v>
      </c>
      <c r="B556" s="8" t="s">
        <v>1082</v>
      </c>
      <c r="C556" s="20" t="s">
        <v>1435</v>
      </c>
      <c r="G556" s="8" t="s">
        <v>20</v>
      </c>
      <c r="L556" s="38" t="s">
        <v>1419</v>
      </c>
    </row>
    <row r="557" spans="1:19" ht="15.75" customHeight="1">
      <c r="A557" s="22" t="s">
        <v>1436</v>
      </c>
      <c r="B557" s="8" t="s">
        <v>1082</v>
      </c>
      <c r="C557" s="20" t="s">
        <v>1437</v>
      </c>
      <c r="G557" s="8" t="s">
        <v>20</v>
      </c>
      <c r="L557" s="38" t="s">
        <v>1419</v>
      </c>
    </row>
    <row r="558" spans="1:19" ht="15.75" customHeight="1">
      <c r="A558" s="22" t="s">
        <v>1438</v>
      </c>
      <c r="B558" s="8" t="s">
        <v>1082</v>
      </c>
      <c r="C558" s="20" t="s">
        <v>1439</v>
      </c>
      <c r="G558" s="8" t="s">
        <v>20</v>
      </c>
      <c r="L558" s="38" t="s">
        <v>1419</v>
      </c>
    </row>
    <row r="559" spans="1:19" ht="15.75" customHeight="1">
      <c r="A559" s="22" t="s">
        <v>1440</v>
      </c>
      <c r="B559" s="8" t="s">
        <v>1082</v>
      </c>
      <c r="C559" s="20" t="s">
        <v>1441</v>
      </c>
      <c r="G559" s="8" t="s">
        <v>20</v>
      </c>
      <c r="L559" s="38" t="s">
        <v>1419</v>
      </c>
    </row>
    <row r="560" spans="1:19" ht="15.75" customHeight="1">
      <c r="A560" s="22" t="s">
        <v>1442</v>
      </c>
      <c r="B560" s="8" t="s">
        <v>1082</v>
      </c>
      <c r="C560" s="20" t="s">
        <v>1443</v>
      </c>
      <c r="G560" s="8" t="s">
        <v>20</v>
      </c>
      <c r="L560" s="38" t="s">
        <v>1419</v>
      </c>
    </row>
    <row r="561" spans="1:12" ht="15.75" customHeight="1">
      <c r="A561" s="22" t="s">
        <v>1444</v>
      </c>
      <c r="B561" s="8" t="s">
        <v>1082</v>
      </c>
      <c r="C561" s="31" t="s">
        <v>1445</v>
      </c>
      <c r="G561" s="8" t="s">
        <v>20</v>
      </c>
      <c r="L561" s="38" t="s">
        <v>1419</v>
      </c>
    </row>
    <row r="562" spans="1:12" ht="15.75" customHeight="1">
      <c r="A562" s="22" t="s">
        <v>1446</v>
      </c>
      <c r="B562" s="8" t="s">
        <v>1082</v>
      </c>
      <c r="C562" s="28" t="s">
        <v>1447</v>
      </c>
      <c r="G562" s="8" t="s">
        <v>20</v>
      </c>
      <c r="L562" s="38" t="s">
        <v>1419</v>
      </c>
    </row>
    <row r="563" spans="1:12" ht="15.75" customHeight="1">
      <c r="A563" s="22" t="s">
        <v>1448</v>
      </c>
      <c r="B563" s="8" t="s">
        <v>1082</v>
      </c>
      <c r="C563" s="10" t="s">
        <v>1449</v>
      </c>
      <c r="G563" s="8" t="s">
        <v>20</v>
      </c>
      <c r="L563" s="38" t="s">
        <v>1419</v>
      </c>
    </row>
    <row r="564" spans="1:12" ht="15.75" customHeight="1">
      <c r="A564" s="22" t="s">
        <v>1450</v>
      </c>
      <c r="B564" s="8" t="s">
        <v>1082</v>
      </c>
      <c r="C564" s="20" t="s">
        <v>1451</v>
      </c>
      <c r="G564" s="8" t="s">
        <v>20</v>
      </c>
      <c r="L564" s="38" t="s">
        <v>1419</v>
      </c>
    </row>
    <row r="565" spans="1:12" ht="15.75" customHeight="1">
      <c r="A565" s="22" t="s">
        <v>1452</v>
      </c>
      <c r="B565" s="8" t="s">
        <v>1082</v>
      </c>
      <c r="C565" s="20" t="s">
        <v>1453</v>
      </c>
      <c r="G565" s="8" t="s">
        <v>20</v>
      </c>
      <c r="L565" s="38" t="s">
        <v>1419</v>
      </c>
    </row>
    <row r="566" spans="1:12" ht="15.75" customHeight="1">
      <c r="A566" s="22" t="s">
        <v>1454</v>
      </c>
      <c r="B566" s="8" t="s">
        <v>1082</v>
      </c>
      <c r="C566" s="20" t="s">
        <v>1455</v>
      </c>
      <c r="G566" s="8" t="s">
        <v>20</v>
      </c>
      <c r="L566" s="38" t="s">
        <v>1419</v>
      </c>
    </row>
    <row r="567" spans="1:12" ht="15.75" customHeight="1">
      <c r="A567" s="22" t="s">
        <v>1456</v>
      </c>
      <c r="B567" s="8" t="s">
        <v>1082</v>
      </c>
      <c r="C567" s="20" t="s">
        <v>1457</v>
      </c>
      <c r="G567" s="8" t="s">
        <v>20</v>
      </c>
      <c r="L567" s="38" t="s">
        <v>1419</v>
      </c>
    </row>
    <row r="568" spans="1:12" ht="15.75" customHeight="1">
      <c r="A568" s="22" t="s">
        <v>1458</v>
      </c>
      <c r="B568" s="8" t="s">
        <v>1082</v>
      </c>
      <c r="C568" s="20" t="s">
        <v>1459</v>
      </c>
      <c r="G568" s="8" t="s">
        <v>20</v>
      </c>
      <c r="L568" s="38" t="s">
        <v>1419</v>
      </c>
    </row>
    <row r="569" spans="1:12" ht="15.75" customHeight="1">
      <c r="A569" s="22" t="s">
        <v>1460</v>
      </c>
      <c r="B569" s="8" t="s">
        <v>1082</v>
      </c>
      <c r="C569" s="31" t="s">
        <v>1461</v>
      </c>
      <c r="G569" s="8" t="s">
        <v>20</v>
      </c>
      <c r="L569" s="38" t="s">
        <v>1419</v>
      </c>
    </row>
    <row r="570" spans="1:12" ht="15.75" customHeight="1">
      <c r="A570" s="22" t="s">
        <v>1462</v>
      </c>
      <c r="B570" s="8" t="s">
        <v>1082</v>
      </c>
      <c r="C570" s="20" t="s">
        <v>1463</v>
      </c>
      <c r="G570" s="8" t="s">
        <v>20</v>
      </c>
      <c r="L570" s="38" t="s">
        <v>1419</v>
      </c>
    </row>
    <row r="571" spans="1:12" ht="15.75" customHeight="1">
      <c r="A571" s="22" t="s">
        <v>1464</v>
      </c>
      <c r="B571" s="8" t="s">
        <v>1082</v>
      </c>
      <c r="C571" s="31" t="s">
        <v>1465</v>
      </c>
      <c r="G571" s="8" t="s">
        <v>20</v>
      </c>
      <c r="L571" s="38" t="s">
        <v>1419</v>
      </c>
    </row>
    <row r="572" spans="1:12" ht="15.75" customHeight="1">
      <c r="A572" s="22" t="s">
        <v>1466</v>
      </c>
      <c r="B572" s="8" t="s">
        <v>1082</v>
      </c>
      <c r="C572" s="20" t="s">
        <v>1467</v>
      </c>
      <c r="G572" s="8" t="s">
        <v>20</v>
      </c>
      <c r="L572" s="38" t="s">
        <v>1419</v>
      </c>
    </row>
    <row r="573" spans="1:12" ht="15.75" customHeight="1">
      <c r="A573" s="22" t="s">
        <v>1468</v>
      </c>
      <c r="B573" s="8" t="s">
        <v>1082</v>
      </c>
      <c r="C573" s="28" t="s">
        <v>1469</v>
      </c>
      <c r="G573" s="8" t="s">
        <v>20</v>
      </c>
      <c r="L573" s="38" t="s">
        <v>1419</v>
      </c>
    </row>
    <row r="574" spans="1:12" ht="15.75" customHeight="1">
      <c r="A574" s="22" t="s">
        <v>1470</v>
      </c>
      <c r="B574" s="8" t="s">
        <v>1082</v>
      </c>
      <c r="C574" s="20" t="s">
        <v>1471</v>
      </c>
      <c r="G574" s="8" t="s">
        <v>20</v>
      </c>
      <c r="L574" s="38" t="s">
        <v>1419</v>
      </c>
    </row>
    <row r="575" spans="1:12" ht="15.75" customHeight="1">
      <c r="A575" s="22" t="s">
        <v>1472</v>
      </c>
      <c r="B575" s="8" t="s">
        <v>255</v>
      </c>
      <c r="C575" s="27" t="s">
        <v>1473</v>
      </c>
      <c r="F575" s="28" t="s">
        <v>263</v>
      </c>
      <c r="G575" s="8" t="s">
        <v>20</v>
      </c>
      <c r="L575" s="38" t="s">
        <v>258</v>
      </c>
    </row>
    <row r="576" spans="1:12" ht="15.75" customHeight="1">
      <c r="A576" s="22" t="s">
        <v>1474</v>
      </c>
      <c r="B576" s="8" t="s">
        <v>255</v>
      </c>
      <c r="C576" s="28" t="s">
        <v>1475</v>
      </c>
      <c r="F576" s="28" t="s">
        <v>263</v>
      </c>
      <c r="G576" s="8" t="s">
        <v>20</v>
      </c>
      <c r="L576" s="38" t="s">
        <v>258</v>
      </c>
    </row>
    <row r="577" spans="1:12" ht="15.75" customHeight="1">
      <c r="A577" s="22" t="s">
        <v>1476</v>
      </c>
      <c r="B577" s="8" t="s">
        <v>255</v>
      </c>
      <c r="C577" s="28" t="s">
        <v>1477</v>
      </c>
      <c r="F577" s="28" t="s">
        <v>263</v>
      </c>
      <c r="G577" s="8" t="s">
        <v>20</v>
      </c>
      <c r="L577" s="38" t="s">
        <v>258</v>
      </c>
    </row>
    <row r="578" spans="1:12" ht="15.75" customHeight="1">
      <c r="A578" s="22" t="s">
        <v>1478</v>
      </c>
      <c r="B578" s="8" t="s">
        <v>255</v>
      </c>
      <c r="C578" s="28" t="s">
        <v>1479</v>
      </c>
      <c r="F578" s="28" t="s">
        <v>263</v>
      </c>
      <c r="G578" s="8" t="s">
        <v>20</v>
      </c>
      <c r="L578" s="38" t="s">
        <v>258</v>
      </c>
    </row>
    <row r="579" spans="1:12" ht="15.75" customHeight="1">
      <c r="A579" s="22" t="s">
        <v>1480</v>
      </c>
      <c r="B579" s="8" t="s">
        <v>255</v>
      </c>
      <c r="C579" s="28" t="s">
        <v>1481</v>
      </c>
      <c r="F579" s="28" t="s">
        <v>263</v>
      </c>
      <c r="G579" s="8" t="s">
        <v>20</v>
      </c>
      <c r="L579" s="38" t="s">
        <v>258</v>
      </c>
    </row>
    <row r="580" spans="1:12" ht="15.75" customHeight="1">
      <c r="A580" s="22" t="s">
        <v>1482</v>
      </c>
      <c r="B580" s="8" t="s">
        <v>255</v>
      </c>
      <c r="C580" s="27" t="s">
        <v>1483</v>
      </c>
      <c r="F580" s="28" t="s">
        <v>263</v>
      </c>
      <c r="G580" s="8" t="s">
        <v>20</v>
      </c>
      <c r="L580" s="38" t="s">
        <v>258</v>
      </c>
    </row>
    <row r="581" spans="1:12" ht="15.75" customHeight="1">
      <c r="A581" s="22" t="s">
        <v>1484</v>
      </c>
      <c r="B581" s="8" t="s">
        <v>255</v>
      </c>
      <c r="C581" s="28" t="s">
        <v>1485</v>
      </c>
      <c r="F581" s="28" t="s">
        <v>263</v>
      </c>
      <c r="G581" s="8" t="s">
        <v>20</v>
      </c>
      <c r="L581" s="38" t="s">
        <v>258</v>
      </c>
    </row>
    <row r="582" spans="1:12" ht="15.75" customHeight="1">
      <c r="A582" s="22" t="s">
        <v>1486</v>
      </c>
      <c r="B582" s="8" t="s">
        <v>255</v>
      </c>
      <c r="C582" s="27" t="s">
        <v>1487</v>
      </c>
      <c r="F582" s="28" t="s">
        <v>263</v>
      </c>
      <c r="G582" s="8" t="s">
        <v>20</v>
      </c>
      <c r="L582" s="38" t="s">
        <v>258</v>
      </c>
    </row>
    <row r="583" spans="1:12" ht="15.75" customHeight="1">
      <c r="A583" s="22" t="s">
        <v>1488</v>
      </c>
      <c r="B583" s="8" t="s">
        <v>255</v>
      </c>
      <c r="C583" s="28" t="s">
        <v>1489</v>
      </c>
      <c r="F583" s="28" t="s">
        <v>263</v>
      </c>
      <c r="G583" s="8" t="s">
        <v>20</v>
      </c>
      <c r="L583" s="38" t="s">
        <v>258</v>
      </c>
    </row>
    <row r="584" spans="1:12" ht="15.75" customHeight="1">
      <c r="A584" s="22" t="s">
        <v>1490</v>
      </c>
      <c r="B584" s="8" t="s">
        <v>255</v>
      </c>
      <c r="C584" s="28" t="s">
        <v>1491</v>
      </c>
      <c r="F584" s="28" t="s">
        <v>263</v>
      </c>
      <c r="G584" s="8" t="s">
        <v>20</v>
      </c>
      <c r="L584" s="38" t="s">
        <v>258</v>
      </c>
    </row>
    <row r="585" spans="1:12" ht="15.75" customHeight="1">
      <c r="A585" s="22" t="s">
        <v>1492</v>
      </c>
      <c r="B585" s="8" t="s">
        <v>255</v>
      </c>
      <c r="C585" s="28" t="s">
        <v>1493</v>
      </c>
      <c r="F585" s="28" t="s">
        <v>263</v>
      </c>
      <c r="G585" s="8" t="s">
        <v>20</v>
      </c>
      <c r="L585" s="38" t="s">
        <v>258</v>
      </c>
    </row>
    <row r="586" spans="1:12" ht="15.75" customHeight="1">
      <c r="A586" s="22" t="s">
        <v>1494</v>
      </c>
      <c r="B586" s="8" t="s">
        <v>255</v>
      </c>
      <c r="C586" s="28" t="s">
        <v>1495</v>
      </c>
      <c r="F586" s="28" t="s">
        <v>263</v>
      </c>
      <c r="G586" s="8" t="s">
        <v>20</v>
      </c>
      <c r="L586" s="38" t="s">
        <v>258</v>
      </c>
    </row>
    <row r="587" spans="1:12" ht="15.75" customHeight="1">
      <c r="A587" s="22" t="s">
        <v>1496</v>
      </c>
      <c r="B587" s="8" t="s">
        <v>255</v>
      </c>
      <c r="C587" s="28" t="s">
        <v>1497</v>
      </c>
      <c r="F587" s="28" t="s">
        <v>263</v>
      </c>
      <c r="G587" s="8" t="s">
        <v>20</v>
      </c>
      <c r="L587" s="38" t="s">
        <v>258</v>
      </c>
    </row>
    <row r="588" spans="1:12" ht="15.75" customHeight="1">
      <c r="A588" s="22" t="s">
        <v>1498</v>
      </c>
      <c r="B588" s="8" t="s">
        <v>255</v>
      </c>
      <c r="C588" s="10" t="s">
        <v>1499</v>
      </c>
      <c r="F588" s="28" t="s">
        <v>263</v>
      </c>
      <c r="G588" s="8" t="s">
        <v>20</v>
      </c>
      <c r="L588" s="38" t="s">
        <v>258</v>
      </c>
    </row>
    <row r="589" spans="1:12" ht="15.75" customHeight="1">
      <c r="A589" s="22" t="s">
        <v>1500</v>
      </c>
      <c r="B589" s="8" t="s">
        <v>255</v>
      </c>
      <c r="C589" s="28" t="s">
        <v>1501</v>
      </c>
      <c r="F589" s="28" t="s">
        <v>263</v>
      </c>
      <c r="G589" s="8" t="s">
        <v>20</v>
      </c>
      <c r="L589" s="38" t="s">
        <v>258</v>
      </c>
    </row>
    <row r="590" spans="1:12" ht="15.75" customHeight="1">
      <c r="A590" s="22" t="s">
        <v>1502</v>
      </c>
      <c r="B590" s="8" t="s">
        <v>255</v>
      </c>
      <c r="C590" s="27" t="s">
        <v>1503</v>
      </c>
      <c r="F590" s="28" t="s">
        <v>263</v>
      </c>
      <c r="G590" s="8" t="s">
        <v>20</v>
      </c>
      <c r="L590" s="38" t="s">
        <v>258</v>
      </c>
    </row>
    <row r="591" spans="1:12" ht="15.75" customHeight="1">
      <c r="A591" s="22" t="s">
        <v>1504</v>
      </c>
      <c r="B591" s="8" t="s">
        <v>255</v>
      </c>
      <c r="C591" s="27" t="s">
        <v>1505</v>
      </c>
      <c r="F591" s="28" t="s">
        <v>263</v>
      </c>
      <c r="G591" s="8" t="s">
        <v>20</v>
      </c>
      <c r="L591" s="38" t="s">
        <v>258</v>
      </c>
    </row>
    <row r="592" spans="1:12" ht="15.75" customHeight="1">
      <c r="A592" s="22" t="s">
        <v>1506</v>
      </c>
      <c r="B592" s="8" t="s">
        <v>255</v>
      </c>
      <c r="C592" s="27" t="s">
        <v>1507</v>
      </c>
      <c r="F592" s="28" t="s">
        <v>263</v>
      </c>
      <c r="G592" s="8" t="s">
        <v>20</v>
      </c>
      <c r="L592" s="38" t="s">
        <v>258</v>
      </c>
    </row>
    <row r="593" spans="1:12" ht="15.75" customHeight="1">
      <c r="A593" s="22" t="s">
        <v>1508</v>
      </c>
      <c r="B593" s="8" t="s">
        <v>255</v>
      </c>
      <c r="C593" s="28" t="s">
        <v>902</v>
      </c>
      <c r="F593" s="28" t="s">
        <v>263</v>
      </c>
      <c r="G593" s="8" t="s">
        <v>20</v>
      </c>
      <c r="L593" s="38" t="s">
        <v>258</v>
      </c>
    </row>
    <row r="594" spans="1:12" ht="15.75" customHeight="1">
      <c r="A594" s="22" t="s">
        <v>1509</v>
      </c>
      <c r="B594" s="8" t="s">
        <v>255</v>
      </c>
      <c r="C594" s="18" t="s">
        <v>1510</v>
      </c>
      <c r="F594" s="10" t="s">
        <v>257</v>
      </c>
      <c r="G594" s="8" t="s">
        <v>20</v>
      </c>
      <c r="L594" s="38" t="s">
        <v>258</v>
      </c>
    </row>
    <row r="595" spans="1:12" ht="15.75" customHeight="1">
      <c r="A595" s="22" t="s">
        <v>1511</v>
      </c>
      <c r="B595" s="8" t="s">
        <v>255</v>
      </c>
      <c r="C595" s="18" t="s">
        <v>1512</v>
      </c>
      <c r="F595" s="10" t="s">
        <v>257</v>
      </c>
      <c r="G595" s="8" t="s">
        <v>20</v>
      </c>
      <c r="L595" s="38" t="s">
        <v>258</v>
      </c>
    </row>
    <row r="596" spans="1:12" ht="15.75" customHeight="1">
      <c r="A596" s="22" t="s">
        <v>1513</v>
      </c>
      <c r="B596" s="8" t="s">
        <v>255</v>
      </c>
      <c r="C596" s="18" t="s">
        <v>1514</v>
      </c>
      <c r="F596" s="10" t="s">
        <v>257</v>
      </c>
      <c r="G596" s="8" t="s">
        <v>20</v>
      </c>
      <c r="L596" s="38" t="s">
        <v>258</v>
      </c>
    </row>
    <row r="597" spans="1:12" ht="15.75" customHeight="1">
      <c r="A597" s="22" t="s">
        <v>1515</v>
      </c>
      <c r="B597" s="8" t="s">
        <v>255</v>
      </c>
      <c r="C597" s="18" t="s">
        <v>1516</v>
      </c>
      <c r="F597" s="10" t="s">
        <v>257</v>
      </c>
      <c r="G597" s="8" t="s">
        <v>20</v>
      </c>
      <c r="L597" s="38" t="s">
        <v>258</v>
      </c>
    </row>
    <row r="598" spans="1:12" ht="15.75" customHeight="1">
      <c r="A598" s="22" t="s">
        <v>1517</v>
      </c>
      <c r="B598" s="8" t="s">
        <v>255</v>
      </c>
      <c r="C598" s="18" t="s">
        <v>1518</v>
      </c>
      <c r="F598" s="10" t="s">
        <v>257</v>
      </c>
      <c r="G598" s="8" t="s">
        <v>20</v>
      </c>
      <c r="L598" s="38" t="s">
        <v>258</v>
      </c>
    </row>
    <row r="599" spans="1:12" ht="15.75" customHeight="1">
      <c r="A599" s="22" t="s">
        <v>1519</v>
      </c>
      <c r="B599" s="8" t="s">
        <v>255</v>
      </c>
      <c r="C599" s="18" t="s">
        <v>1520</v>
      </c>
      <c r="F599" s="10" t="s">
        <v>257</v>
      </c>
      <c r="G599" s="8" t="s">
        <v>20</v>
      </c>
      <c r="L599" s="38" t="s">
        <v>258</v>
      </c>
    </row>
    <row r="600" spans="1:12" ht="15.75" customHeight="1">
      <c r="A600" s="22" t="s">
        <v>1521</v>
      </c>
      <c r="B600" s="8" t="s">
        <v>255</v>
      </c>
      <c r="C600" s="18" t="s">
        <v>1522</v>
      </c>
      <c r="F600" s="10" t="s">
        <v>257</v>
      </c>
      <c r="G600" s="8" t="s">
        <v>20</v>
      </c>
      <c r="L600" s="38" t="s">
        <v>258</v>
      </c>
    </row>
    <row r="601" spans="1:12" ht="15.75" customHeight="1">
      <c r="A601" s="22" t="s">
        <v>1523</v>
      </c>
      <c r="B601" s="8" t="s">
        <v>255</v>
      </c>
      <c r="C601" s="34" t="s">
        <v>1524</v>
      </c>
      <c r="D601" s="16"/>
      <c r="F601" s="13" t="s">
        <v>1409</v>
      </c>
      <c r="G601" s="12" t="s">
        <v>20</v>
      </c>
      <c r="L601" s="38" t="s">
        <v>258</v>
      </c>
    </row>
    <row r="602" spans="1:12" ht="15.75" customHeight="1">
      <c r="A602" s="22" t="s">
        <v>1525</v>
      </c>
      <c r="B602" s="8" t="s">
        <v>255</v>
      </c>
      <c r="C602" s="18" t="s">
        <v>1526</v>
      </c>
      <c r="D602" s="16"/>
      <c r="F602" s="13" t="s">
        <v>1409</v>
      </c>
      <c r="G602" s="12" t="s">
        <v>20</v>
      </c>
      <c r="L602" s="38" t="s">
        <v>258</v>
      </c>
    </row>
    <row r="603" spans="1:12" ht="15.75" customHeight="1">
      <c r="A603" s="22" t="s">
        <v>1527</v>
      </c>
      <c r="B603" s="8" t="s">
        <v>255</v>
      </c>
      <c r="C603" s="34" t="s">
        <v>1528</v>
      </c>
      <c r="D603" s="16"/>
      <c r="F603" s="13" t="s">
        <v>1409</v>
      </c>
      <c r="G603" s="12" t="s">
        <v>20</v>
      </c>
      <c r="L603" s="38" t="s">
        <v>258</v>
      </c>
    </row>
    <row r="604" spans="1:12" ht="15.75" customHeight="1">
      <c r="A604" s="22" t="s">
        <v>1529</v>
      </c>
      <c r="B604" s="8" t="s">
        <v>255</v>
      </c>
      <c r="C604" s="34" t="s">
        <v>1530</v>
      </c>
      <c r="D604" s="16"/>
      <c r="F604" s="13" t="s">
        <v>1409</v>
      </c>
      <c r="G604" s="12" t="s">
        <v>20</v>
      </c>
      <c r="L604" s="38" t="s">
        <v>258</v>
      </c>
    </row>
    <row r="605" spans="1:12" ht="15.75" customHeight="1">
      <c r="A605" s="22" t="s">
        <v>1531</v>
      </c>
      <c r="B605" s="8" t="s">
        <v>255</v>
      </c>
      <c r="C605" s="34" t="s">
        <v>1532</v>
      </c>
      <c r="D605" s="16"/>
      <c r="F605" s="13" t="s">
        <v>1409</v>
      </c>
      <c r="G605" s="12" t="s">
        <v>20</v>
      </c>
      <c r="L605" s="38" t="s">
        <v>258</v>
      </c>
    </row>
    <row r="606" spans="1:12" ht="15.75" customHeight="1">
      <c r="A606" s="22" t="s">
        <v>1533</v>
      </c>
      <c r="B606" s="8" t="s">
        <v>255</v>
      </c>
      <c r="C606" s="34" t="s">
        <v>1534</v>
      </c>
      <c r="D606" s="16"/>
      <c r="F606" s="13" t="s">
        <v>1409</v>
      </c>
      <c r="G606" s="12" t="s">
        <v>20</v>
      </c>
      <c r="L606" s="38" t="s">
        <v>258</v>
      </c>
    </row>
    <row r="607" spans="1:12" ht="15.75" customHeight="1">
      <c r="A607" s="22" t="s">
        <v>1535</v>
      </c>
      <c r="B607" s="8" t="s">
        <v>255</v>
      </c>
      <c r="C607" s="34" t="s">
        <v>1536</v>
      </c>
      <c r="D607" s="16"/>
      <c r="F607" s="13" t="s">
        <v>1409</v>
      </c>
      <c r="G607" s="12" t="s">
        <v>20</v>
      </c>
      <c r="L607" s="38" t="s">
        <v>258</v>
      </c>
    </row>
    <row r="608" spans="1:12" ht="15.75" customHeight="1">
      <c r="A608" s="22" t="s">
        <v>1537</v>
      </c>
      <c r="B608" s="8" t="s">
        <v>255</v>
      </c>
      <c r="C608" s="34" t="s">
        <v>1538</v>
      </c>
      <c r="D608" s="16"/>
      <c r="F608" s="13" t="s">
        <v>1409</v>
      </c>
      <c r="G608" s="12" t="s">
        <v>20</v>
      </c>
      <c r="L608" s="38" t="s">
        <v>258</v>
      </c>
    </row>
    <row r="609" spans="1:12" ht="15.75" customHeight="1">
      <c r="A609" s="22" t="s">
        <v>1539</v>
      </c>
      <c r="B609" s="8" t="s">
        <v>255</v>
      </c>
      <c r="C609" s="34" t="s">
        <v>1540</v>
      </c>
      <c r="D609" s="16"/>
      <c r="F609" s="13" t="s">
        <v>1409</v>
      </c>
      <c r="G609" s="12" t="s">
        <v>20</v>
      </c>
      <c r="L609" s="38" t="s">
        <v>258</v>
      </c>
    </row>
    <row r="610" spans="1:12" ht="15.75" customHeight="1">
      <c r="A610" s="22" t="s">
        <v>1541</v>
      </c>
      <c r="B610" s="8" t="s">
        <v>255</v>
      </c>
      <c r="C610" s="34" t="s">
        <v>1542</v>
      </c>
      <c r="D610" s="16"/>
      <c r="F610" s="13" t="s">
        <v>1409</v>
      </c>
      <c r="G610" s="12" t="s">
        <v>20</v>
      </c>
      <c r="L610" s="38" t="s">
        <v>258</v>
      </c>
    </row>
    <row r="611" spans="1:12" ht="15.75" customHeight="1">
      <c r="A611" s="22" t="s">
        <v>1543</v>
      </c>
      <c r="B611" s="8" t="s">
        <v>255</v>
      </c>
      <c r="C611" s="34" t="s">
        <v>1544</v>
      </c>
      <c r="D611" s="16"/>
      <c r="F611" s="13" t="s">
        <v>1409</v>
      </c>
      <c r="G611" s="12" t="s">
        <v>20</v>
      </c>
      <c r="L611" s="38" t="s">
        <v>258</v>
      </c>
    </row>
    <row r="612" spans="1:12" ht="15.75" customHeight="1">
      <c r="A612" s="22" t="s">
        <v>1545</v>
      </c>
      <c r="B612" s="8" t="s">
        <v>255</v>
      </c>
      <c r="C612" s="34" t="s">
        <v>1546</v>
      </c>
      <c r="D612" s="16"/>
      <c r="F612" s="13" t="s">
        <v>1409</v>
      </c>
      <c r="G612" s="12" t="s">
        <v>20</v>
      </c>
      <c r="L612" s="38" t="s">
        <v>258</v>
      </c>
    </row>
    <row r="613" spans="1:12" ht="15.75" customHeight="1">
      <c r="A613" s="22" t="s">
        <v>1547</v>
      </c>
      <c r="B613" s="8" t="s">
        <v>255</v>
      </c>
      <c r="C613" s="35" t="s">
        <v>1548</v>
      </c>
      <c r="F613" s="20" t="s">
        <v>276</v>
      </c>
      <c r="G613" s="8" t="s">
        <v>20</v>
      </c>
      <c r="L613" s="38" t="s">
        <v>258</v>
      </c>
    </row>
    <row r="614" spans="1:12" ht="15.75" customHeight="1">
      <c r="A614" s="22" t="s">
        <v>1549</v>
      </c>
      <c r="B614" s="8" t="s">
        <v>255</v>
      </c>
      <c r="C614" s="35" t="s">
        <v>1550</v>
      </c>
      <c r="F614" s="20" t="s">
        <v>276</v>
      </c>
      <c r="G614" s="8" t="s">
        <v>20</v>
      </c>
      <c r="L614" s="38" t="s">
        <v>258</v>
      </c>
    </row>
    <row r="615" spans="1:12" ht="15.75" customHeight="1">
      <c r="A615" s="22" t="s">
        <v>1551</v>
      </c>
      <c r="B615" s="8" t="s">
        <v>255</v>
      </c>
      <c r="C615" s="35" t="s">
        <v>1552</v>
      </c>
      <c r="F615" s="20" t="s">
        <v>276</v>
      </c>
      <c r="G615" s="8" t="s">
        <v>20</v>
      </c>
      <c r="L615" s="38" t="s">
        <v>258</v>
      </c>
    </row>
    <row r="616" spans="1:12" ht="15.75" customHeight="1">
      <c r="A616" s="22" t="s">
        <v>1553</v>
      </c>
      <c r="B616" s="8" t="s">
        <v>255</v>
      </c>
      <c r="C616" s="35" t="s">
        <v>1554</v>
      </c>
      <c r="F616" s="20" t="s">
        <v>276</v>
      </c>
      <c r="G616" s="8" t="s">
        <v>20</v>
      </c>
      <c r="L616" s="38" t="s">
        <v>258</v>
      </c>
    </row>
    <row r="617" spans="1:12" ht="15.75" customHeight="1">
      <c r="A617" s="22" t="s">
        <v>1555</v>
      </c>
      <c r="B617" s="8" t="s">
        <v>255</v>
      </c>
      <c r="C617" s="27" t="s">
        <v>1556</v>
      </c>
      <c r="F617" s="10" t="s">
        <v>1414</v>
      </c>
      <c r="G617" s="8" t="s">
        <v>20</v>
      </c>
      <c r="L617" s="38" t="s">
        <v>258</v>
      </c>
    </row>
    <row r="618" spans="1:12" ht="15.75" customHeight="1">
      <c r="A618" s="22" t="s">
        <v>1557</v>
      </c>
      <c r="B618" s="8" t="s">
        <v>255</v>
      </c>
      <c r="C618" s="27" t="s">
        <v>1558</v>
      </c>
      <c r="F618" s="10" t="s">
        <v>1414</v>
      </c>
      <c r="G618" s="8" t="s">
        <v>20</v>
      </c>
      <c r="L618" s="38" t="s">
        <v>258</v>
      </c>
    </row>
    <row r="619" spans="1:12" ht="15.75" customHeight="1">
      <c r="A619" s="22" t="s">
        <v>1559</v>
      </c>
      <c r="B619" s="8" t="s">
        <v>255</v>
      </c>
      <c r="C619" s="27" t="s">
        <v>1560</v>
      </c>
      <c r="F619" s="10" t="s">
        <v>1414</v>
      </c>
      <c r="G619" s="8" t="s">
        <v>20</v>
      </c>
      <c r="L619" s="38" t="s">
        <v>258</v>
      </c>
    </row>
    <row r="620" spans="1:12" ht="15.75" customHeight="1">
      <c r="A620" s="22" t="s">
        <v>1561</v>
      </c>
      <c r="B620" s="8" t="s">
        <v>255</v>
      </c>
      <c r="C620" s="27" t="s">
        <v>1562</v>
      </c>
      <c r="F620" s="10" t="s">
        <v>1414</v>
      </c>
      <c r="G620" s="8" t="s">
        <v>20</v>
      </c>
      <c r="L620" s="38" t="s">
        <v>258</v>
      </c>
    </row>
    <row r="621" spans="1:12" ht="15.75" customHeight="1">
      <c r="A621" s="22" t="s">
        <v>1563</v>
      </c>
      <c r="B621" s="8" t="s">
        <v>255</v>
      </c>
      <c r="C621" s="27" t="s">
        <v>1564</v>
      </c>
      <c r="F621" s="10" t="s">
        <v>1414</v>
      </c>
      <c r="G621" s="8" t="s">
        <v>20</v>
      </c>
      <c r="L621" s="38" t="s">
        <v>258</v>
      </c>
    </row>
    <row r="622" spans="1:12" ht="15.75" customHeight="1">
      <c r="A622" s="22" t="s">
        <v>1565</v>
      </c>
      <c r="B622" s="8" t="s">
        <v>255</v>
      </c>
      <c r="C622" s="27" t="s">
        <v>1566</v>
      </c>
      <c r="F622" s="10" t="s">
        <v>1414</v>
      </c>
      <c r="G622" s="8" t="s">
        <v>20</v>
      </c>
      <c r="L622" s="38" t="s">
        <v>258</v>
      </c>
    </row>
    <row r="623" spans="1:12" ht="15.75" customHeight="1">
      <c r="A623" s="22" t="s">
        <v>1567</v>
      </c>
      <c r="B623" s="8" t="s">
        <v>255</v>
      </c>
      <c r="C623" s="27" t="s">
        <v>1568</v>
      </c>
      <c r="F623" s="10" t="s">
        <v>1414</v>
      </c>
      <c r="G623" s="8" t="s">
        <v>20</v>
      </c>
      <c r="L623" s="38" t="s">
        <v>258</v>
      </c>
    </row>
    <row r="624" spans="1:12" ht="15.75" customHeight="1">
      <c r="A624" s="22" t="s">
        <v>1569</v>
      </c>
      <c r="B624" s="8" t="s">
        <v>255</v>
      </c>
      <c r="C624" s="27" t="s">
        <v>1570</v>
      </c>
      <c r="F624" s="10" t="s">
        <v>1414</v>
      </c>
      <c r="G624" s="8" t="s">
        <v>20</v>
      </c>
      <c r="L624" s="38" t="s">
        <v>258</v>
      </c>
    </row>
    <row r="625" spans="1:12" ht="15.75" customHeight="1">
      <c r="A625" s="22" t="s">
        <v>1571</v>
      </c>
      <c r="B625" s="8" t="s">
        <v>255</v>
      </c>
      <c r="C625" s="27" t="s">
        <v>1572</v>
      </c>
      <c r="F625" s="10" t="s">
        <v>1414</v>
      </c>
      <c r="G625" s="8" t="s">
        <v>20</v>
      </c>
      <c r="L625" s="38" t="s">
        <v>258</v>
      </c>
    </row>
    <row r="626" spans="1:12" ht="15.75" customHeight="1">
      <c r="A626" s="22" t="s">
        <v>1573</v>
      </c>
      <c r="B626" s="8" t="s">
        <v>255</v>
      </c>
      <c r="C626" s="27" t="s">
        <v>1574</v>
      </c>
      <c r="F626" s="10" t="s">
        <v>1414</v>
      </c>
      <c r="G626" s="8" t="s">
        <v>20</v>
      </c>
      <c r="L626" s="38" t="s">
        <v>258</v>
      </c>
    </row>
    <row r="627" spans="1:12" ht="15.75" customHeight="1">
      <c r="A627" s="22" t="s">
        <v>1575</v>
      </c>
      <c r="B627" s="8" t="s">
        <v>255</v>
      </c>
      <c r="C627" s="27" t="s">
        <v>1576</v>
      </c>
      <c r="F627" s="10" t="s">
        <v>1414</v>
      </c>
      <c r="G627" s="8" t="s">
        <v>20</v>
      </c>
      <c r="L627" s="38" t="s">
        <v>258</v>
      </c>
    </row>
    <row r="628" spans="1:12" ht="15.75" customHeight="1">
      <c r="A628" s="22" t="s">
        <v>1577</v>
      </c>
      <c r="B628" s="8" t="s">
        <v>255</v>
      </c>
      <c r="C628" s="18" t="s">
        <v>1578</v>
      </c>
      <c r="F628" s="10" t="s">
        <v>1416</v>
      </c>
      <c r="G628" s="8" t="s">
        <v>20</v>
      </c>
      <c r="L628" s="38" t="s">
        <v>258</v>
      </c>
    </row>
    <row r="629" spans="1:12" ht="15.75" customHeight="1">
      <c r="A629" s="22" t="s">
        <v>1579</v>
      </c>
      <c r="B629" s="8" t="s">
        <v>255</v>
      </c>
      <c r="C629" s="18" t="s">
        <v>1580</v>
      </c>
      <c r="F629" s="10" t="s">
        <v>1416</v>
      </c>
      <c r="G629" s="8" t="s">
        <v>20</v>
      </c>
      <c r="L629" s="38" t="s">
        <v>258</v>
      </c>
    </row>
    <row r="630" spans="1:12" ht="15.75" customHeight="1">
      <c r="A630" s="22" t="s">
        <v>1581</v>
      </c>
      <c r="B630" s="8" t="s">
        <v>255</v>
      </c>
      <c r="C630" s="18" t="s">
        <v>1582</v>
      </c>
      <c r="F630" s="10" t="s">
        <v>1416</v>
      </c>
      <c r="G630" s="8" t="s">
        <v>20</v>
      </c>
      <c r="L630" s="38" t="s">
        <v>258</v>
      </c>
    </row>
    <row r="631" spans="1:12" ht="15.75" customHeight="1">
      <c r="A631" s="22" t="s">
        <v>1583</v>
      </c>
      <c r="B631" s="8" t="s">
        <v>255</v>
      </c>
      <c r="C631" s="18" t="s">
        <v>1584</v>
      </c>
      <c r="F631" s="10" t="s">
        <v>1416</v>
      </c>
      <c r="G631" s="8" t="s">
        <v>20</v>
      </c>
      <c r="L631" s="38" t="s">
        <v>258</v>
      </c>
    </row>
    <row r="632" spans="1:12" ht="15.75" customHeight="1">
      <c r="A632" s="22" t="s">
        <v>1585</v>
      </c>
      <c r="B632" s="8" t="s">
        <v>255</v>
      </c>
      <c r="C632" s="18" t="s">
        <v>1586</v>
      </c>
      <c r="F632" s="10" t="s">
        <v>1416</v>
      </c>
      <c r="G632" s="8" t="s">
        <v>20</v>
      </c>
      <c r="L632" s="38" t="s">
        <v>258</v>
      </c>
    </row>
    <row r="633" spans="1:12" ht="15.75" customHeight="1">
      <c r="A633" s="22" t="s">
        <v>1587</v>
      </c>
      <c r="B633" s="8" t="s">
        <v>255</v>
      </c>
      <c r="C633" s="18" t="s">
        <v>1588</v>
      </c>
      <c r="F633" s="10" t="s">
        <v>1416</v>
      </c>
      <c r="G633" s="8" t="s">
        <v>20</v>
      </c>
      <c r="L633" s="38" t="s">
        <v>258</v>
      </c>
    </row>
    <row r="634" spans="1:12" ht="15.75" customHeight="1">
      <c r="A634" s="22" t="s">
        <v>1589</v>
      </c>
      <c r="B634" s="8" t="s">
        <v>255</v>
      </c>
      <c r="C634" s="18" t="s">
        <v>1590</v>
      </c>
      <c r="F634" s="10" t="s">
        <v>1416</v>
      </c>
      <c r="G634" s="8" t="s">
        <v>20</v>
      </c>
      <c r="L634" s="38" t="s">
        <v>258</v>
      </c>
    </row>
    <row r="635" spans="1:12" ht="15.75" customHeight="1">
      <c r="A635" s="22" t="s">
        <v>1591</v>
      </c>
      <c r="B635" s="8" t="s">
        <v>255</v>
      </c>
      <c r="C635" s="18" t="s">
        <v>1592</v>
      </c>
      <c r="F635" s="10" t="s">
        <v>1416</v>
      </c>
      <c r="G635" s="8" t="s">
        <v>20</v>
      </c>
      <c r="L635" s="38" t="s">
        <v>258</v>
      </c>
    </row>
    <row r="636" spans="1:12" ht="15.75" customHeight="1">
      <c r="A636" s="7" t="s">
        <v>1593</v>
      </c>
      <c r="B636" s="8" t="s">
        <v>304</v>
      </c>
      <c r="C636" s="33" t="s">
        <v>1594</v>
      </c>
      <c r="G636" s="8" t="s">
        <v>308</v>
      </c>
      <c r="J636" t="s">
        <v>1595</v>
      </c>
      <c r="L636" s="38">
        <v>0</v>
      </c>
    </row>
    <row r="637" spans="1:12" ht="15.75" customHeight="1">
      <c r="A637" s="7" t="s">
        <v>1596</v>
      </c>
      <c r="B637" s="8" t="s">
        <v>304</v>
      </c>
      <c r="C637" s="33" t="s">
        <v>1597</v>
      </c>
      <c r="G637" s="8" t="s">
        <v>308</v>
      </c>
      <c r="J637" t="s">
        <v>1595</v>
      </c>
      <c r="L637" s="38">
        <v>0</v>
      </c>
    </row>
    <row r="638" spans="1:12" ht="15.75" customHeight="1">
      <c r="A638" s="7" t="s">
        <v>1598</v>
      </c>
      <c r="B638" s="8" t="s">
        <v>304</v>
      </c>
      <c r="C638" s="33" t="s">
        <v>1599</v>
      </c>
      <c r="G638" s="8" t="s">
        <v>308</v>
      </c>
      <c r="J638" t="s">
        <v>1595</v>
      </c>
      <c r="L638" s="38">
        <v>0</v>
      </c>
    </row>
    <row r="639" spans="1:12" ht="15.75" customHeight="1">
      <c r="A639" s="7" t="s">
        <v>1600</v>
      </c>
      <c r="B639" s="8" t="s">
        <v>304</v>
      </c>
      <c r="C639" s="33" t="s">
        <v>1601</v>
      </c>
      <c r="G639" s="8" t="s">
        <v>308</v>
      </c>
      <c r="J639" t="s">
        <v>1595</v>
      </c>
      <c r="L639" s="38">
        <v>0</v>
      </c>
    </row>
    <row r="640" spans="1:12" ht="15.75" customHeight="1">
      <c r="A640" s="7" t="s">
        <v>1602</v>
      </c>
      <c r="B640" s="8" t="s">
        <v>304</v>
      </c>
      <c r="C640" s="33" t="s">
        <v>1603</v>
      </c>
      <c r="G640" s="8" t="s">
        <v>308</v>
      </c>
      <c r="J640" t="s">
        <v>1595</v>
      </c>
      <c r="L640" s="38">
        <v>0</v>
      </c>
    </row>
    <row r="641" spans="1:12" ht="15.75" customHeight="1">
      <c r="A641" s="7" t="s">
        <v>1604</v>
      </c>
      <c r="B641" s="8" t="s">
        <v>304</v>
      </c>
      <c r="C641" s="33" t="s">
        <v>1605</v>
      </c>
      <c r="G641" s="8" t="s">
        <v>308</v>
      </c>
      <c r="J641" t="s">
        <v>1595</v>
      </c>
      <c r="L641" s="38">
        <v>0</v>
      </c>
    </row>
    <row r="642" spans="1:12" ht="15.75" customHeight="1">
      <c r="A642" s="7" t="s">
        <v>1606</v>
      </c>
      <c r="B642" s="8" t="s">
        <v>304</v>
      </c>
      <c r="C642" s="33" t="s">
        <v>1607</v>
      </c>
      <c r="G642" s="8" t="s">
        <v>308</v>
      </c>
      <c r="J642" t="s">
        <v>1595</v>
      </c>
      <c r="L642" s="38">
        <v>0</v>
      </c>
    </row>
    <row r="643" spans="1:12" ht="15.75" customHeight="1">
      <c r="A643" s="7" t="s">
        <v>1608</v>
      </c>
      <c r="B643" s="8" t="s">
        <v>304</v>
      </c>
      <c r="C643" s="33" t="s">
        <v>1609</v>
      </c>
      <c r="G643" s="8" t="s">
        <v>308</v>
      </c>
      <c r="J643" t="s">
        <v>1595</v>
      </c>
      <c r="L643" s="38">
        <v>0</v>
      </c>
    </row>
    <row r="644" spans="1:12" ht="15.75" customHeight="1">
      <c r="A644" s="7" t="s">
        <v>1610</v>
      </c>
      <c r="B644" s="8" t="s">
        <v>278</v>
      </c>
      <c r="C644" s="10" t="s">
        <v>1611</v>
      </c>
      <c r="E644" s="8" t="s">
        <v>280</v>
      </c>
      <c r="G644" s="8" t="s">
        <v>7</v>
      </c>
      <c r="H644" s="8" t="s">
        <v>1612</v>
      </c>
    </row>
    <row r="645" spans="1:12" ht="15.75" customHeight="1">
      <c r="A645" s="7" t="s">
        <v>1613</v>
      </c>
      <c r="B645" s="8" t="s">
        <v>278</v>
      </c>
      <c r="C645" s="10" t="s">
        <v>1614</v>
      </c>
      <c r="E645" s="8" t="s">
        <v>280</v>
      </c>
      <c r="G645" s="8" t="s">
        <v>7</v>
      </c>
      <c r="H645" s="8" t="s">
        <v>1615</v>
      </c>
    </row>
    <row r="646" spans="1:12" ht="15.75" customHeight="1">
      <c r="A646" s="7" t="s">
        <v>1616</v>
      </c>
      <c r="B646" s="8" t="s">
        <v>278</v>
      </c>
      <c r="C646" s="10" t="s">
        <v>1617</v>
      </c>
      <c r="E646" s="8" t="s">
        <v>280</v>
      </c>
      <c r="G646" s="8" t="s">
        <v>7</v>
      </c>
      <c r="H646" s="8" t="s">
        <v>1618</v>
      </c>
    </row>
    <row r="647" spans="1:12" ht="15.75" customHeight="1">
      <c r="A647" s="7" t="s">
        <v>1619</v>
      </c>
      <c r="B647" s="8" t="s">
        <v>278</v>
      </c>
      <c r="C647" s="11" t="s">
        <v>1620</v>
      </c>
      <c r="E647" s="8" t="s">
        <v>280</v>
      </c>
      <c r="G647" s="8" t="s">
        <v>7</v>
      </c>
      <c r="H647" s="8" t="s">
        <v>1621</v>
      </c>
    </row>
    <row r="648" spans="1:12" ht="15.75" customHeight="1">
      <c r="A648" s="7" t="s">
        <v>1622</v>
      </c>
      <c r="B648" s="8" t="s">
        <v>278</v>
      </c>
      <c r="C648" s="10" t="s">
        <v>1623</v>
      </c>
      <c r="E648" s="8" t="s">
        <v>280</v>
      </c>
      <c r="G648" s="8" t="s">
        <v>7</v>
      </c>
      <c r="H648" s="8" t="s">
        <v>1624</v>
      </c>
    </row>
    <row r="649" spans="1:12" ht="15.75" customHeight="1">
      <c r="A649" s="7" t="s">
        <v>1625</v>
      </c>
      <c r="B649" s="8" t="s">
        <v>278</v>
      </c>
      <c r="C649" s="10" t="s">
        <v>1626</v>
      </c>
      <c r="E649" s="8" t="s">
        <v>280</v>
      </c>
      <c r="G649" s="8" t="s">
        <v>7</v>
      </c>
      <c r="H649" s="8" t="s">
        <v>1627</v>
      </c>
    </row>
    <row r="650" spans="1:12" ht="15.75" customHeight="1">
      <c r="A650" s="7" t="s">
        <v>1628</v>
      </c>
      <c r="B650" s="8" t="s">
        <v>278</v>
      </c>
      <c r="C650" s="13" t="s">
        <v>511</v>
      </c>
      <c r="E650" s="12" t="s">
        <v>362</v>
      </c>
      <c r="F650" s="12"/>
      <c r="G650" s="12" t="s">
        <v>7</v>
      </c>
      <c r="H650" s="8" t="s">
        <v>1629</v>
      </c>
    </row>
    <row r="651" spans="1:12" ht="15.75" customHeight="1">
      <c r="A651" s="7" t="s">
        <v>1630</v>
      </c>
      <c r="B651" s="8" t="s">
        <v>278</v>
      </c>
      <c r="C651" s="10" t="s">
        <v>1631</v>
      </c>
      <c r="E651" s="8" t="s">
        <v>280</v>
      </c>
      <c r="G651" s="8" t="s">
        <v>502</v>
      </c>
      <c r="H651" s="8" t="s">
        <v>1632</v>
      </c>
    </row>
    <row r="652" spans="1:12" ht="15.75" customHeight="1">
      <c r="A652" s="7" t="s">
        <v>1633</v>
      </c>
      <c r="B652" s="8" t="s">
        <v>278</v>
      </c>
      <c r="C652" s="10" t="s">
        <v>1634</v>
      </c>
      <c r="E652" s="8" t="s">
        <v>280</v>
      </c>
      <c r="G652" s="8" t="s">
        <v>502</v>
      </c>
      <c r="H652" s="8" t="s">
        <v>1635</v>
      </c>
    </row>
    <row r="653" spans="1:12" ht="15.75" customHeight="1">
      <c r="A653" s="7" t="s">
        <v>1636</v>
      </c>
      <c r="B653" s="8" t="s">
        <v>278</v>
      </c>
      <c r="C653" s="10" t="s">
        <v>1637</v>
      </c>
      <c r="E653" s="8" t="s">
        <v>280</v>
      </c>
      <c r="G653" s="8" t="s">
        <v>502</v>
      </c>
      <c r="H653" s="8" t="s">
        <v>1638</v>
      </c>
    </row>
    <row r="654" spans="1:12" ht="15.75" customHeight="1">
      <c r="A654" s="7" t="s">
        <v>1639</v>
      </c>
      <c r="B654" s="8" t="s">
        <v>278</v>
      </c>
      <c r="C654" s="10" t="s">
        <v>1640</v>
      </c>
      <c r="E654" s="8" t="s">
        <v>280</v>
      </c>
      <c r="G654" s="8" t="s">
        <v>502</v>
      </c>
      <c r="H654" s="8" t="s">
        <v>1641</v>
      </c>
    </row>
    <row r="655" spans="1:12" ht="15.75" customHeight="1">
      <c r="A655" s="7" t="s">
        <v>1642</v>
      </c>
      <c r="B655" s="8" t="s">
        <v>278</v>
      </c>
      <c r="C655" s="10" t="s">
        <v>1643</v>
      </c>
      <c r="E655" s="8" t="s">
        <v>280</v>
      </c>
      <c r="G655" s="8" t="s">
        <v>502</v>
      </c>
      <c r="H655" s="8" t="s">
        <v>1644</v>
      </c>
    </row>
    <row r="656" spans="1:12" ht="15.75" customHeight="1">
      <c r="A656" s="7" t="s">
        <v>1645</v>
      </c>
      <c r="B656" s="8" t="s">
        <v>278</v>
      </c>
      <c r="C656" s="10" t="s">
        <v>1646</v>
      </c>
      <c r="E656" s="8" t="s">
        <v>280</v>
      </c>
      <c r="G656" s="8" t="s">
        <v>502</v>
      </c>
      <c r="H656" s="8" t="s">
        <v>1647</v>
      </c>
    </row>
    <row r="657" spans="1:8" ht="15.75" customHeight="1">
      <c r="A657" s="7" t="s">
        <v>1648</v>
      </c>
      <c r="B657" s="8" t="s">
        <v>242</v>
      </c>
      <c r="C657" s="13" t="s">
        <v>1649</v>
      </c>
      <c r="D657" s="8" t="s">
        <v>1650</v>
      </c>
      <c r="E657" s="12" t="s">
        <v>244</v>
      </c>
      <c r="F657" s="12"/>
      <c r="G657" s="12" t="s">
        <v>7</v>
      </c>
      <c r="H657" s="8" t="s">
        <v>1651</v>
      </c>
    </row>
    <row r="658" spans="1:8" ht="15.75" customHeight="1">
      <c r="A658" s="7" t="s">
        <v>1652</v>
      </c>
      <c r="B658" s="8" t="s">
        <v>242</v>
      </c>
      <c r="C658" s="13" t="s">
        <v>1653</v>
      </c>
      <c r="E658" s="12" t="s">
        <v>1654</v>
      </c>
      <c r="F658" s="12"/>
      <c r="G658" s="12" t="s">
        <v>20</v>
      </c>
    </row>
    <row r="659" spans="1:8" ht="15.75" customHeight="1">
      <c r="A659" s="7" t="s">
        <v>1655</v>
      </c>
      <c r="B659" s="8" t="s">
        <v>242</v>
      </c>
      <c r="C659" s="13" t="s">
        <v>1656</v>
      </c>
      <c r="E659" s="12" t="s">
        <v>1654</v>
      </c>
      <c r="F659" s="12"/>
      <c r="G659" s="12" t="s">
        <v>20</v>
      </c>
    </row>
    <row r="660" spans="1:8" ht="15.75" customHeight="1">
      <c r="A660" s="7" t="s">
        <v>1657</v>
      </c>
      <c r="B660" s="8" t="s">
        <v>242</v>
      </c>
      <c r="C660" s="13" t="s">
        <v>1658</v>
      </c>
      <c r="E660" s="12" t="s">
        <v>244</v>
      </c>
      <c r="F660" s="12"/>
      <c r="G660" s="12" t="s">
        <v>7</v>
      </c>
      <c r="H660" s="8" t="s">
        <v>1659</v>
      </c>
    </row>
    <row r="661" spans="1:8" ht="15.75" customHeight="1">
      <c r="A661" t="s">
        <v>1660</v>
      </c>
      <c r="B661" t="s">
        <v>242</v>
      </c>
      <c r="C661" t="s">
        <v>1661</v>
      </c>
      <c r="E661" t="s">
        <v>1662</v>
      </c>
      <c r="G661" t="s">
        <v>20</v>
      </c>
    </row>
    <row r="662" spans="1:8" ht="15.75" customHeight="1">
      <c r="A662" s="7" t="s">
        <v>1663</v>
      </c>
      <c r="B662" s="8" t="s">
        <v>242</v>
      </c>
      <c r="C662" s="13" t="s">
        <v>1664</v>
      </c>
      <c r="D662" s="8" t="s">
        <v>1665</v>
      </c>
      <c r="E662" s="12" t="s">
        <v>362</v>
      </c>
      <c r="F662" s="12"/>
      <c r="G662" s="12" t="s">
        <v>7</v>
      </c>
      <c r="H662" s="8" t="s">
        <v>1666</v>
      </c>
    </row>
    <row r="663" spans="1:8" ht="15.75" customHeight="1">
      <c r="A663" s="7" t="s">
        <v>1667</v>
      </c>
      <c r="B663" s="8" t="s">
        <v>242</v>
      </c>
      <c r="C663" s="13" t="s">
        <v>1668</v>
      </c>
      <c r="E663" s="12" t="s">
        <v>362</v>
      </c>
      <c r="F663" s="12"/>
      <c r="G663" s="12" t="s">
        <v>7</v>
      </c>
      <c r="H663" s="8" t="s">
        <v>1669</v>
      </c>
    </row>
    <row r="664" spans="1:8" ht="15.75" customHeight="1">
      <c r="A664" s="7" t="s">
        <v>1670</v>
      </c>
      <c r="B664" s="8" t="s">
        <v>242</v>
      </c>
      <c r="C664" s="13" t="s">
        <v>1671</v>
      </c>
      <c r="E664" s="12" t="s">
        <v>362</v>
      </c>
      <c r="F664" s="12"/>
      <c r="G664" s="12" t="s">
        <v>7</v>
      </c>
      <c r="H664" s="8" t="s">
        <v>1669</v>
      </c>
    </row>
    <row r="665" spans="1:8" ht="15.75" customHeight="1">
      <c r="A665" s="7" t="s">
        <v>1672</v>
      </c>
      <c r="B665" s="8" t="s">
        <v>242</v>
      </c>
      <c r="C665" s="13" t="s">
        <v>1673</v>
      </c>
      <c r="E665" s="12" t="s">
        <v>362</v>
      </c>
      <c r="F665" s="12"/>
      <c r="G665" s="12" t="s">
        <v>7</v>
      </c>
      <c r="H665" s="8" t="s">
        <v>1674</v>
      </c>
    </row>
    <row r="666" spans="1:8" ht="15.75" customHeight="1">
      <c r="A666" s="7" t="s">
        <v>1675</v>
      </c>
      <c r="B666" s="8" t="s">
        <v>242</v>
      </c>
      <c r="C666" s="13" t="s">
        <v>1676</v>
      </c>
      <c r="E666" s="12" t="s">
        <v>362</v>
      </c>
      <c r="F666" s="12"/>
      <c r="G666" s="12" t="s">
        <v>7</v>
      </c>
      <c r="H666" s="8" t="s">
        <v>1674</v>
      </c>
    </row>
    <row r="667" spans="1:8" ht="15.75" customHeight="1">
      <c r="A667" s="7" t="s">
        <v>1677</v>
      </c>
      <c r="B667" s="8" t="s">
        <v>242</v>
      </c>
      <c r="C667" s="13" t="s">
        <v>1678</v>
      </c>
      <c r="D667" s="8" t="s">
        <v>1679</v>
      </c>
      <c r="E667" s="12" t="s">
        <v>362</v>
      </c>
      <c r="F667" s="12"/>
      <c r="G667" s="12" t="s">
        <v>7</v>
      </c>
      <c r="H667" s="8" t="s">
        <v>1680</v>
      </c>
    </row>
    <row r="668" spans="1:8" ht="15.75" customHeight="1">
      <c r="A668" s="7" t="s">
        <v>1681</v>
      </c>
      <c r="B668" s="8" t="s">
        <v>242</v>
      </c>
      <c r="C668" s="13" t="s">
        <v>1682</v>
      </c>
      <c r="E668" s="12" t="s">
        <v>362</v>
      </c>
      <c r="F668" s="12"/>
      <c r="G668" s="12" t="s">
        <v>7</v>
      </c>
      <c r="H668" s="8" t="s">
        <v>1683</v>
      </c>
    </row>
    <row r="669" spans="1:8" ht="15.75" customHeight="1">
      <c r="A669" s="7" t="s">
        <v>1684</v>
      </c>
      <c r="B669" s="8" t="s">
        <v>242</v>
      </c>
      <c r="C669" s="13" t="s">
        <v>1685</v>
      </c>
      <c r="E669" s="12" t="s">
        <v>362</v>
      </c>
      <c r="F669" s="12"/>
      <c r="G669" s="12" t="s">
        <v>7</v>
      </c>
      <c r="H669" s="8" t="s">
        <v>1686</v>
      </c>
    </row>
    <row r="670" spans="1:8" ht="15.75" customHeight="1">
      <c r="A670" s="7" t="s">
        <v>1687</v>
      </c>
      <c r="B670" s="8" t="s">
        <v>242</v>
      </c>
      <c r="C670" s="11" t="s">
        <v>526</v>
      </c>
      <c r="E670" s="8" t="s">
        <v>280</v>
      </c>
      <c r="G670" s="8" t="s">
        <v>7</v>
      </c>
      <c r="H670" s="8" t="s">
        <v>1688</v>
      </c>
    </row>
    <row r="671" spans="1:8" ht="15.75" customHeight="1">
      <c r="A671" s="7" t="s">
        <v>1689</v>
      </c>
      <c r="B671" s="8" t="s">
        <v>242</v>
      </c>
      <c r="C671" s="11" t="s">
        <v>1690</v>
      </c>
      <c r="E671" s="8" t="s">
        <v>280</v>
      </c>
      <c r="G671" s="8" t="s">
        <v>7</v>
      </c>
      <c r="H671" s="8" t="s">
        <v>1691</v>
      </c>
    </row>
    <row r="672" spans="1:8" ht="15.75" customHeight="1">
      <c r="A672" s="7" t="s">
        <v>1692</v>
      </c>
      <c r="B672" s="8" t="s">
        <v>242</v>
      </c>
      <c r="C672" s="11" t="s">
        <v>1693</v>
      </c>
      <c r="E672" s="8" t="s">
        <v>280</v>
      </c>
      <c r="G672" s="8" t="s">
        <v>7</v>
      </c>
      <c r="H672" s="8" t="s">
        <v>1694</v>
      </c>
    </row>
    <row r="673" spans="1:12" ht="15.75" customHeight="1">
      <c r="A673" s="7" t="s">
        <v>1695</v>
      </c>
      <c r="B673" s="8" t="s">
        <v>242</v>
      </c>
      <c r="C673" s="11" t="s">
        <v>1696</v>
      </c>
      <c r="E673" s="8" t="s">
        <v>280</v>
      </c>
      <c r="G673" s="8" t="s">
        <v>7</v>
      </c>
      <c r="H673" s="8" t="s">
        <v>1697</v>
      </c>
    </row>
    <row r="674" spans="1:12" ht="15.75" customHeight="1">
      <c r="A674" s="7" t="s">
        <v>1698</v>
      </c>
      <c r="B674" s="8" t="s">
        <v>242</v>
      </c>
      <c r="C674" s="11" t="s">
        <v>1699</v>
      </c>
      <c r="E674" s="8" t="s">
        <v>280</v>
      </c>
      <c r="G674" s="8" t="s">
        <v>7</v>
      </c>
      <c r="H674" s="8" t="s">
        <v>1700</v>
      </c>
    </row>
    <row r="675" spans="1:12" ht="15.75" customHeight="1">
      <c r="A675" s="7" t="s">
        <v>1701</v>
      </c>
      <c r="B675" s="8" t="s">
        <v>242</v>
      </c>
      <c r="C675" s="13" t="s">
        <v>1702</v>
      </c>
      <c r="E675" s="12" t="s">
        <v>362</v>
      </c>
      <c r="F675" s="12"/>
      <c r="G675" s="12" t="s">
        <v>7</v>
      </c>
      <c r="H675" t="s">
        <v>1703</v>
      </c>
    </row>
    <row r="676" spans="1:12" ht="15.75" customHeight="1">
      <c r="A676" s="8" t="s">
        <v>301</v>
      </c>
      <c r="B676" s="8" t="s">
        <v>1704</v>
      </c>
      <c r="C676" s="10" t="s">
        <v>1705</v>
      </c>
      <c r="D676" s="8" t="s">
        <v>1706</v>
      </c>
      <c r="G676" s="8" t="s">
        <v>7</v>
      </c>
      <c r="H676" s="8" t="s">
        <v>1707</v>
      </c>
      <c r="L676" s="39"/>
    </row>
    <row r="677" spans="1:12" ht="15.75" customHeight="1">
      <c r="A677" s="8" t="s">
        <v>55</v>
      </c>
      <c r="B677" s="8" t="s">
        <v>1704</v>
      </c>
      <c r="C677" s="10" t="s">
        <v>1708</v>
      </c>
      <c r="D677" s="8" t="s">
        <v>1709</v>
      </c>
      <c r="G677" s="8" t="s">
        <v>7</v>
      </c>
      <c r="H677" s="8" t="s">
        <v>1710</v>
      </c>
    </row>
    <row r="678" spans="1:12" ht="15.75" customHeight="1">
      <c r="A678" s="8" t="s">
        <v>695</v>
      </c>
      <c r="B678" s="8" t="s">
        <v>1704</v>
      </c>
      <c r="C678" s="10" t="s">
        <v>1711</v>
      </c>
      <c r="D678" s="8" t="s">
        <v>1712</v>
      </c>
      <c r="G678" s="8" t="s">
        <v>7</v>
      </c>
      <c r="H678" s="8" t="s">
        <v>1713</v>
      </c>
    </row>
    <row r="679" spans="1:12" ht="15.75" customHeight="1">
      <c r="A679" s="8" t="s">
        <v>297</v>
      </c>
      <c r="B679" s="8" t="s">
        <v>1704</v>
      </c>
      <c r="C679" s="10" t="s">
        <v>1714</v>
      </c>
      <c r="D679" s="8" t="s">
        <v>1715</v>
      </c>
      <c r="G679" s="8" t="s">
        <v>7</v>
      </c>
      <c r="H679" s="8" t="s">
        <v>1716</v>
      </c>
    </row>
    <row r="680" spans="1:12" ht="15.75" customHeight="1">
      <c r="A680" s="8" t="s">
        <v>160</v>
      </c>
      <c r="B680" s="8" t="s">
        <v>1704</v>
      </c>
      <c r="C680" s="10" t="s">
        <v>1717</v>
      </c>
      <c r="D680" s="8" t="s">
        <v>1718</v>
      </c>
      <c r="G680" s="8" t="s">
        <v>7</v>
      </c>
      <c r="H680" s="8" t="s">
        <v>1719</v>
      </c>
    </row>
    <row r="681" spans="1:12" ht="15.75" customHeight="1">
      <c r="A681" s="8" t="s">
        <v>125</v>
      </c>
      <c r="B681" s="8" t="s">
        <v>1704</v>
      </c>
      <c r="C681" s="10" t="s">
        <v>1720</v>
      </c>
      <c r="D681" s="8" t="s">
        <v>1721</v>
      </c>
      <c r="G681" s="8" t="s">
        <v>7</v>
      </c>
      <c r="H681" s="8" t="s">
        <v>1722</v>
      </c>
    </row>
    <row r="682" spans="1:12" ht="15.75" customHeight="1">
      <c r="A682" s="8" t="s">
        <v>710</v>
      </c>
      <c r="B682" s="8" t="s">
        <v>1704</v>
      </c>
      <c r="C682" s="10" t="s">
        <v>1723</v>
      </c>
      <c r="D682" s="8" t="s">
        <v>1724</v>
      </c>
      <c r="G682" s="8" t="s">
        <v>7</v>
      </c>
      <c r="H682" s="8" t="s">
        <v>1725</v>
      </c>
    </row>
    <row r="683" spans="1:12" ht="15.75" customHeight="1">
      <c r="A683" s="8" t="s">
        <v>692</v>
      </c>
      <c r="B683" s="8" t="s">
        <v>1704</v>
      </c>
      <c r="C683" s="10" t="s">
        <v>1726</v>
      </c>
      <c r="D683" s="8" t="s">
        <v>1727</v>
      </c>
      <c r="G683" s="8" t="s">
        <v>7</v>
      </c>
      <c r="H683" s="8" t="s">
        <v>1728</v>
      </c>
      <c r="J683" s="15"/>
    </row>
    <row r="684" spans="1:12" ht="15.75" customHeight="1">
      <c r="A684" s="8" t="s">
        <v>90</v>
      </c>
      <c r="B684" s="8" t="s">
        <v>1704</v>
      </c>
      <c r="C684" s="10" t="s">
        <v>1729</v>
      </c>
      <c r="D684" s="8" t="s">
        <v>1730</v>
      </c>
      <c r="G684" s="8" t="s">
        <v>7</v>
      </c>
      <c r="H684" s="8" t="s">
        <v>1731</v>
      </c>
    </row>
    <row r="685" spans="1:12" ht="15.75" customHeight="1">
      <c r="A685" s="8" t="s">
        <v>23</v>
      </c>
      <c r="B685" s="8" t="s">
        <v>1704</v>
      </c>
      <c r="C685" s="10" t="s">
        <v>1732</v>
      </c>
      <c r="D685" s="8" t="s">
        <v>1733</v>
      </c>
      <c r="G685" s="8" t="s">
        <v>7</v>
      </c>
      <c r="H685" s="8" t="s">
        <v>1734</v>
      </c>
    </row>
    <row r="686" spans="1:12" ht="15.75" customHeight="1">
      <c r="A686" s="7" t="s">
        <v>1735</v>
      </c>
      <c r="B686" s="8" t="s">
        <v>376</v>
      </c>
      <c r="C686" s="13" t="s">
        <v>1736</v>
      </c>
      <c r="E686" s="12"/>
      <c r="F686" s="12"/>
      <c r="G686" s="12" t="s">
        <v>7</v>
      </c>
      <c r="H686" s="8" t="s">
        <v>1737</v>
      </c>
    </row>
    <row r="687" spans="1:12" ht="15.75" customHeight="1">
      <c r="A687" s="8" t="s">
        <v>1738</v>
      </c>
      <c r="B687" s="8" t="s">
        <v>376</v>
      </c>
      <c r="C687" s="13" t="s">
        <v>1739</v>
      </c>
      <c r="D687" s="16"/>
      <c r="E687" s="12"/>
      <c r="F687" s="12"/>
      <c r="G687" s="12" t="s">
        <v>7</v>
      </c>
      <c r="H687" s="8" t="s">
        <v>1740</v>
      </c>
    </row>
    <row r="688" spans="1:12" ht="15.75" customHeight="1">
      <c r="A688" s="8" t="s">
        <v>1741</v>
      </c>
      <c r="B688" s="8" t="s">
        <v>376</v>
      </c>
      <c r="C688" s="13" t="s">
        <v>1742</v>
      </c>
      <c r="D688" s="7"/>
      <c r="E688" s="12"/>
      <c r="F688" s="12"/>
      <c r="G688" s="12" t="s">
        <v>7</v>
      </c>
      <c r="H688" s="8" t="s">
        <v>1743</v>
      </c>
    </row>
    <row r="689" spans="1:8" ht="15.75" customHeight="1">
      <c r="A689" s="7" t="s">
        <v>1744</v>
      </c>
      <c r="B689" s="8" t="s">
        <v>376</v>
      </c>
      <c r="C689" s="13" t="s">
        <v>1745</v>
      </c>
      <c r="D689" s="17"/>
      <c r="E689" s="12"/>
      <c r="F689" s="12"/>
      <c r="G689" s="12" t="s">
        <v>7</v>
      </c>
      <c r="H689" s="8" t="s">
        <v>1746</v>
      </c>
    </row>
    <row r="690" spans="1:8" ht="15.75" customHeight="1">
      <c r="A690" s="8" t="s">
        <v>1747</v>
      </c>
      <c r="B690" s="8" t="s">
        <v>376</v>
      </c>
      <c r="C690" s="13" t="s">
        <v>1748</v>
      </c>
      <c r="E690" s="12"/>
      <c r="F690" s="12"/>
      <c r="G690" s="12" t="s">
        <v>7</v>
      </c>
      <c r="H690" s="8" t="s">
        <v>1749</v>
      </c>
    </row>
    <row r="691" spans="1:8" ht="15.75" customHeight="1">
      <c r="A691" s="8" t="s">
        <v>1750</v>
      </c>
      <c r="B691" s="8" t="s">
        <v>376</v>
      </c>
      <c r="C691" s="13" t="s">
        <v>1751</v>
      </c>
      <c r="E691" s="12"/>
      <c r="F691" s="12"/>
      <c r="G691" s="12" t="s">
        <v>7</v>
      </c>
      <c r="H691" s="8" t="s">
        <v>1752</v>
      </c>
    </row>
    <row r="692" spans="1:8" ht="15.75" customHeight="1">
      <c r="A692" s="8" t="s">
        <v>1753</v>
      </c>
      <c r="B692" s="8" t="s">
        <v>376</v>
      </c>
      <c r="C692" s="10" t="s">
        <v>1754</v>
      </c>
      <c r="G692" s="8" t="s">
        <v>20</v>
      </c>
    </row>
    <row r="693" spans="1:8" ht="15.75" customHeight="1">
      <c r="A693" s="8" t="s">
        <v>1755</v>
      </c>
      <c r="B693" s="8" t="s">
        <v>376</v>
      </c>
      <c r="C693" s="10" t="s">
        <v>1756</v>
      </c>
      <c r="G693" s="8" t="s">
        <v>20</v>
      </c>
    </row>
    <row r="694" spans="1:8" ht="15.75" customHeight="1">
      <c r="A694" s="8" t="s">
        <v>1757</v>
      </c>
      <c r="B694" s="8" t="s">
        <v>376</v>
      </c>
      <c r="C694" s="11" t="s">
        <v>1758</v>
      </c>
      <c r="G694" s="8" t="s">
        <v>20</v>
      </c>
    </row>
    <row r="695" spans="1:8" ht="15.75" customHeight="1">
      <c r="A695" s="8" t="s">
        <v>1759</v>
      </c>
      <c r="B695" s="8" t="s">
        <v>376</v>
      </c>
      <c r="C695" s="18" t="s">
        <v>1760</v>
      </c>
      <c r="F695" s="8" t="s">
        <v>1753</v>
      </c>
      <c r="G695" s="8" t="s">
        <v>20</v>
      </c>
    </row>
    <row r="696" spans="1:8" ht="15.75" customHeight="1">
      <c r="A696" s="8" t="s">
        <v>1761</v>
      </c>
      <c r="B696" s="8" t="s">
        <v>376</v>
      </c>
      <c r="C696" s="19" t="s">
        <v>1762</v>
      </c>
      <c r="F696" s="8" t="s">
        <v>1755</v>
      </c>
      <c r="G696" s="8" t="s">
        <v>20</v>
      </c>
    </row>
    <row r="697" spans="1:8" ht="15.75" customHeight="1">
      <c r="A697" s="8" t="s">
        <v>1763</v>
      </c>
      <c r="B697" s="8" t="s">
        <v>376</v>
      </c>
      <c r="C697" s="19" t="s">
        <v>1764</v>
      </c>
      <c r="D697" s="16"/>
      <c r="F697" s="8" t="s">
        <v>1757</v>
      </c>
      <c r="G697" s="8" t="s">
        <v>20</v>
      </c>
    </row>
    <row r="698" spans="1:8" ht="15.75" customHeight="1">
      <c r="A698" s="8" t="s">
        <v>1765</v>
      </c>
      <c r="B698" s="8" t="s">
        <v>376</v>
      </c>
      <c r="C698" s="19" t="s">
        <v>1766</v>
      </c>
      <c r="D698" s="16"/>
      <c r="F698" s="8" t="s">
        <v>1757</v>
      </c>
      <c r="G698" s="8" t="s">
        <v>20</v>
      </c>
    </row>
    <row r="699" spans="1:8" ht="15.75" customHeight="1">
      <c r="A699" s="8" t="s">
        <v>1767</v>
      </c>
      <c r="B699" s="8" t="s">
        <v>376</v>
      </c>
      <c r="C699" s="19" t="s">
        <v>1768</v>
      </c>
      <c r="D699" s="16"/>
      <c r="F699" s="8" t="s">
        <v>1757</v>
      </c>
      <c r="G699" s="8" t="s">
        <v>20</v>
      </c>
    </row>
    <row r="700" spans="1:8" ht="15.75" customHeight="1">
      <c r="A700" s="8" t="s">
        <v>1769</v>
      </c>
      <c r="B700" s="8" t="s">
        <v>376</v>
      </c>
      <c r="C700" s="11" t="s">
        <v>1770</v>
      </c>
      <c r="G700" s="8" t="s">
        <v>20</v>
      </c>
    </row>
    <row r="701" spans="1:8" ht="15.75" customHeight="1">
      <c r="A701" s="8" t="s">
        <v>1771</v>
      </c>
      <c r="B701" s="8" t="s">
        <v>376</v>
      </c>
      <c r="C701" s="13" t="s">
        <v>1772</v>
      </c>
      <c r="E701" s="12"/>
      <c r="F701" s="12"/>
      <c r="G701" s="12" t="s">
        <v>7</v>
      </c>
      <c r="H701" s="8" t="s">
        <v>1773</v>
      </c>
    </row>
    <row r="702" spans="1:8" ht="15.75" customHeight="1">
      <c r="A702" s="7" t="s">
        <v>1774</v>
      </c>
      <c r="B702" s="8" t="s">
        <v>247</v>
      </c>
      <c r="C702" s="13" t="s">
        <v>1775</v>
      </c>
      <c r="D702" s="8" t="s">
        <v>1776</v>
      </c>
      <c r="E702" s="12" t="s">
        <v>362</v>
      </c>
      <c r="F702" s="12"/>
      <c r="G702" s="12" t="s">
        <v>7</v>
      </c>
      <c r="H702" s="8" t="s">
        <v>1777</v>
      </c>
    </row>
    <row r="703" spans="1:8" ht="15.75" customHeight="1">
      <c r="A703" s="7" t="s">
        <v>1778</v>
      </c>
      <c r="B703" s="8" t="s">
        <v>355</v>
      </c>
      <c r="C703" s="13" t="s">
        <v>1779</v>
      </c>
      <c r="E703" s="12" t="s">
        <v>362</v>
      </c>
      <c r="F703" s="12"/>
      <c r="G703" s="12" t="s">
        <v>7</v>
      </c>
      <c r="H703" s="8" t="s">
        <v>1780</v>
      </c>
    </row>
    <row r="704" spans="1:8" ht="15.75" customHeight="1">
      <c r="A704" s="7" t="s">
        <v>1781</v>
      </c>
      <c r="B704" s="8" t="s">
        <v>355</v>
      </c>
      <c r="C704" s="13" t="s">
        <v>1782</v>
      </c>
      <c r="E704" s="12" t="s">
        <v>362</v>
      </c>
      <c r="F704" s="12"/>
      <c r="G704" s="12" t="s">
        <v>7</v>
      </c>
      <c r="H704" s="8" t="s">
        <v>1783</v>
      </c>
    </row>
    <row r="705" spans="1:8" ht="15.75" customHeight="1">
      <c r="A705" s="7" t="s">
        <v>1784</v>
      </c>
      <c r="B705" s="8" t="s">
        <v>355</v>
      </c>
      <c r="C705" s="13" t="s">
        <v>1785</v>
      </c>
      <c r="E705" s="12" t="s">
        <v>362</v>
      </c>
      <c r="F705" s="12"/>
      <c r="G705" s="12" t="s">
        <v>7</v>
      </c>
      <c r="H705" s="8" t="s">
        <v>1786</v>
      </c>
    </row>
    <row r="706" spans="1:8" ht="15.75" customHeight="1">
      <c r="A706" s="7" t="s">
        <v>1787</v>
      </c>
      <c r="B706" s="8" t="s">
        <v>355</v>
      </c>
      <c r="C706" s="13" t="s">
        <v>1788</v>
      </c>
      <c r="E706" s="12" t="s">
        <v>362</v>
      </c>
      <c r="F706" s="12"/>
      <c r="G706" s="12" t="s">
        <v>7</v>
      </c>
      <c r="H706" s="8" t="s">
        <v>1789</v>
      </c>
    </row>
    <row r="707" spans="1:8" ht="15.75" customHeight="1">
      <c r="A707" s="7" t="s">
        <v>1790</v>
      </c>
      <c r="B707" s="8" t="s">
        <v>355</v>
      </c>
      <c r="C707" s="13" t="s">
        <v>1791</v>
      </c>
      <c r="E707" s="12" t="s">
        <v>362</v>
      </c>
      <c r="F707" s="12"/>
      <c r="G707" s="12" t="s">
        <v>7</v>
      </c>
      <c r="H707" s="8" t="s">
        <v>1792</v>
      </c>
    </row>
    <row r="708" spans="1:8" ht="15.75" customHeight="1">
      <c r="A708" s="8" t="s">
        <v>1143</v>
      </c>
      <c r="B708" s="8" t="s">
        <v>355</v>
      </c>
      <c r="C708" s="11" t="s">
        <v>1793</v>
      </c>
      <c r="G708" s="8" t="s">
        <v>20</v>
      </c>
    </row>
    <row r="709" spans="1:8" ht="15.75" customHeight="1">
      <c r="A709" s="8" t="s">
        <v>1794</v>
      </c>
      <c r="B709" s="8" t="s">
        <v>355</v>
      </c>
      <c r="C709" s="11" t="s">
        <v>1795</v>
      </c>
      <c r="G709" s="8" t="s">
        <v>20</v>
      </c>
    </row>
    <row r="710" spans="1:8" ht="15.75" customHeight="1">
      <c r="A710" s="8" t="s">
        <v>1796</v>
      </c>
      <c r="B710" s="8" t="s">
        <v>355</v>
      </c>
      <c r="C710" s="24" t="s">
        <v>1797</v>
      </c>
      <c r="D710" s="7"/>
      <c r="G710" s="8" t="s">
        <v>20</v>
      </c>
    </row>
    <row r="711" spans="1:8" ht="15.75" customHeight="1">
      <c r="A711" s="8" t="s">
        <v>1798</v>
      </c>
      <c r="B711" s="8" t="s">
        <v>355</v>
      </c>
      <c r="C711" s="11" t="s">
        <v>1799</v>
      </c>
      <c r="D711" s="7"/>
      <c r="G711" s="8" t="s">
        <v>20</v>
      </c>
    </row>
    <row r="712" spans="1:8" ht="15.75" customHeight="1">
      <c r="A712" s="8" t="s">
        <v>1800</v>
      </c>
      <c r="B712" s="8" t="s">
        <v>355</v>
      </c>
      <c r="C712" s="11" t="s">
        <v>1801</v>
      </c>
      <c r="D712" s="7"/>
      <c r="G712" s="8" t="s">
        <v>20</v>
      </c>
    </row>
    <row r="713" spans="1:8" ht="15.75" customHeight="1">
      <c r="A713" s="8" t="s">
        <v>1802</v>
      </c>
      <c r="B713" s="8" t="s">
        <v>355</v>
      </c>
      <c r="C713" s="19" t="s">
        <v>1803</v>
      </c>
      <c r="D713" s="16"/>
      <c r="F713" s="8" t="s">
        <v>1143</v>
      </c>
      <c r="G713" s="8" t="s">
        <v>20</v>
      </c>
    </row>
    <row r="714" spans="1:8" ht="15.75" customHeight="1">
      <c r="A714" s="8" t="s">
        <v>1804</v>
      </c>
      <c r="B714" s="8" t="s">
        <v>355</v>
      </c>
      <c r="C714" s="19" t="s">
        <v>1805</v>
      </c>
      <c r="D714" s="16"/>
      <c r="F714" s="8" t="s">
        <v>1143</v>
      </c>
      <c r="G714" s="8" t="s">
        <v>20</v>
      </c>
    </row>
    <row r="715" spans="1:8" ht="15.75" customHeight="1">
      <c r="A715" s="8" t="s">
        <v>1806</v>
      </c>
      <c r="B715" s="8" t="s">
        <v>355</v>
      </c>
      <c r="C715" s="19" t="s">
        <v>1807</v>
      </c>
      <c r="D715" s="16"/>
      <c r="F715" s="8" t="s">
        <v>1143</v>
      </c>
      <c r="G715" s="8" t="s">
        <v>20</v>
      </c>
    </row>
    <row r="716" spans="1:8" ht="15.75" customHeight="1">
      <c r="A716" s="8" t="s">
        <v>1808</v>
      </c>
      <c r="B716" s="8" t="s">
        <v>355</v>
      </c>
      <c r="C716" s="19" t="s">
        <v>1809</v>
      </c>
      <c r="D716" s="16"/>
      <c r="F716" s="8" t="s">
        <v>1794</v>
      </c>
      <c r="G716" s="8" t="s">
        <v>20</v>
      </c>
    </row>
    <row r="717" spans="1:8" ht="15.75" customHeight="1">
      <c r="A717" s="8" t="s">
        <v>1810</v>
      </c>
      <c r="B717" s="8" t="s">
        <v>355</v>
      </c>
      <c r="C717" s="19" t="s">
        <v>1811</v>
      </c>
      <c r="D717" s="16"/>
      <c r="F717" s="8" t="s">
        <v>1794</v>
      </c>
      <c r="G717" s="8" t="s">
        <v>20</v>
      </c>
    </row>
    <row r="718" spans="1:8" ht="15.75" customHeight="1">
      <c r="A718" s="8" t="s">
        <v>1812</v>
      </c>
      <c r="B718" s="8" t="s">
        <v>355</v>
      </c>
      <c r="C718" s="19" t="s">
        <v>1813</v>
      </c>
      <c r="D718" s="16"/>
      <c r="F718" s="8" t="s">
        <v>1794</v>
      </c>
      <c r="G718" s="8" t="s">
        <v>20</v>
      </c>
    </row>
    <row r="719" spans="1:8" ht="15.75" customHeight="1">
      <c r="A719" s="8" t="s">
        <v>1814</v>
      </c>
      <c r="B719" s="8" t="s">
        <v>355</v>
      </c>
      <c r="C719" s="19" t="s">
        <v>1815</v>
      </c>
      <c r="D719" s="16"/>
      <c r="F719" s="8" t="s">
        <v>1796</v>
      </c>
      <c r="G719" s="8" t="s">
        <v>20</v>
      </c>
    </row>
    <row r="720" spans="1:8" ht="15.75" customHeight="1">
      <c r="A720" s="8" t="s">
        <v>1816</v>
      </c>
      <c r="B720" s="8" t="s">
        <v>355</v>
      </c>
      <c r="C720" s="19" t="s">
        <v>1817</v>
      </c>
      <c r="D720" s="16"/>
      <c r="F720" s="8" t="s">
        <v>1796</v>
      </c>
      <c r="G720" s="8" t="s">
        <v>20</v>
      </c>
    </row>
    <row r="721" spans="1:9" ht="15.75" customHeight="1">
      <c r="A721" s="8" t="s">
        <v>1818</v>
      </c>
      <c r="B721" s="8" t="s">
        <v>355</v>
      </c>
      <c r="C721" s="19" t="s">
        <v>1819</v>
      </c>
      <c r="D721" s="16"/>
      <c r="F721" s="8" t="s">
        <v>1796</v>
      </c>
      <c r="G721" s="8" t="s">
        <v>20</v>
      </c>
    </row>
    <row r="722" spans="1:9" ht="15.75" customHeight="1">
      <c r="A722" s="8" t="s">
        <v>1820</v>
      </c>
      <c r="B722" s="8" t="s">
        <v>355</v>
      </c>
      <c r="C722" s="19" t="s">
        <v>1821</v>
      </c>
      <c r="D722" s="16"/>
      <c r="F722" s="8" t="s">
        <v>1796</v>
      </c>
      <c r="G722" s="8" t="s">
        <v>20</v>
      </c>
    </row>
    <row r="723" spans="1:9" ht="15.75" customHeight="1">
      <c r="A723" s="8" t="s">
        <v>1822</v>
      </c>
      <c r="B723" s="8" t="s">
        <v>355</v>
      </c>
      <c r="C723" s="19" t="s">
        <v>1823</v>
      </c>
      <c r="D723" s="16"/>
      <c r="F723" s="8" t="s">
        <v>1798</v>
      </c>
      <c r="G723" s="8" t="s">
        <v>20</v>
      </c>
    </row>
    <row r="724" spans="1:9" ht="15.75" customHeight="1">
      <c r="A724" s="8" t="s">
        <v>1824</v>
      </c>
      <c r="B724" s="8" t="s">
        <v>355</v>
      </c>
      <c r="C724" s="19" t="s">
        <v>1825</v>
      </c>
      <c r="D724" s="16"/>
      <c r="F724" s="8" t="s">
        <v>1798</v>
      </c>
      <c r="G724" s="8" t="s">
        <v>20</v>
      </c>
    </row>
    <row r="725" spans="1:9" ht="15.75" customHeight="1">
      <c r="A725" s="8" t="s">
        <v>1826</v>
      </c>
      <c r="B725" s="8" t="s">
        <v>355</v>
      </c>
      <c r="C725" s="19" t="s">
        <v>1827</v>
      </c>
      <c r="D725" s="16"/>
      <c r="F725" s="8" t="s">
        <v>1800</v>
      </c>
      <c r="G725" s="8" t="s">
        <v>20</v>
      </c>
    </row>
    <row r="726" spans="1:9" ht="15.75" customHeight="1">
      <c r="A726" s="8" t="s">
        <v>1828</v>
      </c>
      <c r="B726" s="8" t="s">
        <v>355</v>
      </c>
      <c r="C726" s="19" t="s">
        <v>1829</v>
      </c>
      <c r="D726" s="16"/>
      <c r="F726" s="8" t="s">
        <v>1800</v>
      </c>
      <c r="G726" s="8" t="s">
        <v>20</v>
      </c>
    </row>
    <row r="727" spans="1:9" ht="15.75" customHeight="1">
      <c r="A727" s="8" t="s">
        <v>1830</v>
      </c>
      <c r="B727" s="8" t="s">
        <v>355</v>
      </c>
      <c r="C727" s="19" t="s">
        <v>1831</v>
      </c>
      <c r="D727" s="16"/>
      <c r="F727" s="8" t="s">
        <v>1800</v>
      </c>
      <c r="G727" s="8" t="s">
        <v>20</v>
      </c>
    </row>
    <row r="728" spans="1:9" ht="15.75" customHeight="1">
      <c r="A728" s="8" t="s">
        <v>1832</v>
      </c>
      <c r="B728" s="8" t="s">
        <v>355</v>
      </c>
      <c r="C728" s="19" t="s">
        <v>1833</v>
      </c>
      <c r="D728" s="16"/>
      <c r="F728" s="8" t="s">
        <v>1800</v>
      </c>
      <c r="G728" s="8" t="s">
        <v>20</v>
      </c>
    </row>
    <row r="729" spans="1:9" ht="15.75" customHeight="1">
      <c r="A729" s="8" t="s">
        <v>1834</v>
      </c>
      <c r="B729" s="8" t="s">
        <v>355</v>
      </c>
      <c r="C729" s="19" t="s">
        <v>1835</v>
      </c>
      <c r="D729" s="16"/>
      <c r="F729" s="8" t="s">
        <v>1800</v>
      </c>
      <c r="G729" s="8" t="s">
        <v>20</v>
      </c>
    </row>
    <row r="730" spans="1:9" ht="15.75" customHeight="1">
      <c r="A730" s="7" t="s">
        <v>1836</v>
      </c>
      <c r="B730" s="8" t="s">
        <v>355</v>
      </c>
      <c r="C730" s="13" t="s">
        <v>1837</v>
      </c>
      <c r="E730" s="12" t="s">
        <v>362</v>
      </c>
      <c r="F730" s="12"/>
      <c r="G730" s="12" t="s">
        <v>7</v>
      </c>
      <c r="H730" s="8" t="s">
        <v>1838</v>
      </c>
    </row>
    <row r="731" spans="1:9" ht="15.75" customHeight="1">
      <c r="A731" s="7" t="s">
        <v>1839</v>
      </c>
      <c r="B731" s="8" t="s">
        <v>355</v>
      </c>
      <c r="C731" s="13" t="s">
        <v>1840</v>
      </c>
      <c r="E731" s="12" t="s">
        <v>362</v>
      </c>
      <c r="F731" s="12"/>
      <c r="G731" s="12" t="s">
        <v>7</v>
      </c>
      <c r="H731" s="8" t="s">
        <v>1841</v>
      </c>
    </row>
    <row r="732" spans="1:9" ht="15.75" customHeight="1">
      <c r="A732" s="7" t="s">
        <v>1842</v>
      </c>
      <c r="B732" s="8" t="s">
        <v>355</v>
      </c>
      <c r="C732" s="13" t="s">
        <v>1843</v>
      </c>
      <c r="E732" s="12" t="s">
        <v>362</v>
      </c>
      <c r="F732" s="12"/>
      <c r="G732" s="12" t="s">
        <v>7</v>
      </c>
      <c r="H732" s="8" t="s">
        <v>1844</v>
      </c>
    </row>
    <row r="733" spans="1:9" ht="15.75" customHeight="1">
      <c r="A733" s="7" t="s">
        <v>1845</v>
      </c>
      <c r="B733" s="8" t="s">
        <v>355</v>
      </c>
      <c r="C733" s="13" t="s">
        <v>1846</v>
      </c>
      <c r="E733" s="12" t="s">
        <v>362</v>
      </c>
      <c r="F733" s="12"/>
      <c r="G733" s="12" t="s">
        <v>7</v>
      </c>
      <c r="H733" s="8" t="s">
        <v>1847</v>
      </c>
    </row>
    <row r="734" spans="1:9" ht="15.75" customHeight="1">
      <c r="A734" s="7" t="s">
        <v>1848</v>
      </c>
      <c r="B734" s="8" t="s">
        <v>355</v>
      </c>
      <c r="C734" s="13" t="s">
        <v>1849</v>
      </c>
      <c r="E734" s="12" t="s">
        <v>362</v>
      </c>
      <c r="F734" s="12"/>
      <c r="G734" s="12" t="s">
        <v>7</v>
      </c>
      <c r="H734" s="8" t="s">
        <v>1850</v>
      </c>
    </row>
    <row r="735" spans="1:9" ht="15.75" customHeight="1">
      <c r="A735" s="8" t="s">
        <v>1851</v>
      </c>
      <c r="B735" s="8" t="s">
        <v>355</v>
      </c>
      <c r="C735" s="10" t="s">
        <v>1852</v>
      </c>
      <c r="G735" s="8" t="s">
        <v>8</v>
      </c>
      <c r="I735" t="s">
        <v>1853</v>
      </c>
    </row>
    <row r="736" spans="1:9" ht="15.75" customHeight="1">
      <c r="A736" s="8" t="s">
        <v>1854</v>
      </c>
      <c r="B736" s="8" t="s">
        <v>355</v>
      </c>
      <c r="C736" s="10" t="s">
        <v>1855</v>
      </c>
      <c r="G736" s="8" t="s">
        <v>8</v>
      </c>
      <c r="I736" t="s">
        <v>1856</v>
      </c>
    </row>
    <row r="737" spans="1:9" ht="15.75" customHeight="1">
      <c r="A737" s="8" t="s">
        <v>1857</v>
      </c>
      <c r="B737" s="8" t="s">
        <v>355</v>
      </c>
      <c r="C737" s="10" t="s">
        <v>1858</v>
      </c>
      <c r="G737" s="8" t="s">
        <v>8</v>
      </c>
      <c r="I737" t="s">
        <v>1859</v>
      </c>
    </row>
    <row r="738" spans="1:9" ht="15.75" customHeight="1">
      <c r="A738" s="8" t="s">
        <v>1860</v>
      </c>
      <c r="B738" s="8" t="s">
        <v>355</v>
      </c>
      <c r="C738" s="10" t="s">
        <v>1861</v>
      </c>
      <c r="G738" s="8" t="s">
        <v>8</v>
      </c>
      <c r="I738" t="s">
        <v>1862</v>
      </c>
    </row>
    <row r="739" spans="1:9" ht="15.75" customHeight="1">
      <c r="A739" s="8" t="s">
        <v>1863</v>
      </c>
      <c r="B739" s="8" t="s">
        <v>355</v>
      </c>
      <c r="C739" s="10" t="s">
        <v>1864</v>
      </c>
      <c r="G739" s="8" t="s">
        <v>8</v>
      </c>
      <c r="I739" t="s">
        <v>1865</v>
      </c>
    </row>
    <row r="740" spans="1:9" ht="15.75" customHeight="1">
      <c r="A740" s="8" t="s">
        <v>1866</v>
      </c>
      <c r="B740" s="8" t="s">
        <v>355</v>
      </c>
      <c r="C740" s="10" t="s">
        <v>1867</v>
      </c>
      <c r="G740" s="8" t="s">
        <v>8</v>
      </c>
      <c r="I740" t="s">
        <v>1868</v>
      </c>
    </row>
    <row r="741" spans="1:9" ht="15.75" customHeight="1">
      <c r="A741" s="8" t="s">
        <v>1869</v>
      </c>
      <c r="B741" s="8" t="s">
        <v>355</v>
      </c>
      <c r="C741" s="10" t="s">
        <v>1870</v>
      </c>
      <c r="G741" s="8" t="s">
        <v>8</v>
      </c>
      <c r="I741" t="s">
        <v>1871</v>
      </c>
    </row>
    <row r="742" spans="1:9" ht="15.75" customHeight="1">
      <c r="A742" s="8" t="s">
        <v>1872</v>
      </c>
      <c r="B742" s="8" t="s">
        <v>355</v>
      </c>
      <c r="C742" s="10" t="s">
        <v>1873</v>
      </c>
      <c r="G742" s="8" t="s">
        <v>8</v>
      </c>
      <c r="I742" t="s">
        <v>1874</v>
      </c>
    </row>
    <row r="743" spans="1:9" ht="15.75" customHeight="1">
      <c r="A743" s="8" t="s">
        <v>1875</v>
      </c>
      <c r="B743" s="8" t="s">
        <v>355</v>
      </c>
      <c r="C743" s="10" t="s">
        <v>1876</v>
      </c>
      <c r="G743" s="8" t="s">
        <v>8</v>
      </c>
      <c r="I743" t="s">
        <v>1877</v>
      </c>
    </row>
    <row r="744" spans="1:9" ht="15.75" customHeight="1">
      <c r="A744" s="8" t="s">
        <v>1878</v>
      </c>
      <c r="B744" s="8" t="s">
        <v>355</v>
      </c>
      <c r="C744" s="10" t="s">
        <v>1879</v>
      </c>
      <c r="G744" s="8" t="s">
        <v>8</v>
      </c>
      <c r="I744" t="s">
        <v>1880</v>
      </c>
    </row>
    <row r="745" spans="1:9" ht="15.75" customHeight="1">
      <c r="A745" s="8" t="s">
        <v>1881</v>
      </c>
      <c r="B745" s="8" t="s">
        <v>355</v>
      </c>
      <c r="C745" s="10" t="s">
        <v>1882</v>
      </c>
      <c r="G745" s="8" t="s">
        <v>8</v>
      </c>
      <c r="I745" t="s">
        <v>1883</v>
      </c>
    </row>
    <row r="746" spans="1:9" ht="15.75" customHeight="1">
      <c r="A746" s="8" t="s">
        <v>1884</v>
      </c>
      <c r="B746" s="8" t="s">
        <v>355</v>
      </c>
      <c r="C746" s="10" t="s">
        <v>1885</v>
      </c>
      <c r="G746" s="8" t="s">
        <v>8</v>
      </c>
      <c r="I746" t="s">
        <v>1886</v>
      </c>
    </row>
    <row r="747" spans="1:9" ht="15.75" customHeight="1">
      <c r="A747" s="8" t="s">
        <v>1887</v>
      </c>
      <c r="B747" s="8" t="s">
        <v>355</v>
      </c>
      <c r="C747" s="10" t="s">
        <v>1888</v>
      </c>
      <c r="G747" s="8" t="s">
        <v>8</v>
      </c>
      <c r="I747" t="s">
        <v>1889</v>
      </c>
    </row>
    <row r="748" spans="1:9" ht="15.75" customHeight="1">
      <c r="A748" s="8" t="s">
        <v>1890</v>
      </c>
      <c r="B748" s="8" t="s">
        <v>355</v>
      </c>
      <c r="C748" s="10" t="s">
        <v>1891</v>
      </c>
      <c r="G748" s="8" t="s">
        <v>8</v>
      </c>
      <c r="I748" t="s">
        <v>1892</v>
      </c>
    </row>
    <row r="749" spans="1:9" ht="15.75" customHeight="1">
      <c r="A749" s="8" t="s">
        <v>1893</v>
      </c>
      <c r="B749" s="8" t="s">
        <v>355</v>
      </c>
      <c r="C749" s="10" t="s">
        <v>1894</v>
      </c>
      <c r="G749" s="8" t="s">
        <v>8</v>
      </c>
      <c r="I749" t="s">
        <v>1895</v>
      </c>
    </row>
    <row r="750" spans="1:9" ht="15.75" customHeight="1">
      <c r="A750" s="8" t="s">
        <v>1896</v>
      </c>
      <c r="B750" s="8" t="s">
        <v>355</v>
      </c>
      <c r="C750" s="10" t="s">
        <v>1897</v>
      </c>
      <c r="G750" s="8" t="s">
        <v>8</v>
      </c>
      <c r="I750" t="s">
        <v>1898</v>
      </c>
    </row>
    <row r="751" spans="1:9" ht="15.75" customHeight="1">
      <c r="A751" s="8" t="s">
        <v>1899</v>
      </c>
      <c r="B751" s="8" t="s">
        <v>355</v>
      </c>
      <c r="C751" s="10" t="s">
        <v>1900</v>
      </c>
      <c r="G751" s="8" t="s">
        <v>8</v>
      </c>
      <c r="I751" t="s">
        <v>1901</v>
      </c>
    </row>
    <row r="752" spans="1:9" ht="15.75" customHeight="1">
      <c r="A752" s="8" t="s">
        <v>1902</v>
      </c>
      <c r="B752" s="8" t="s">
        <v>355</v>
      </c>
      <c r="C752" s="10" t="s">
        <v>1903</v>
      </c>
      <c r="G752" s="8" t="s">
        <v>8</v>
      </c>
      <c r="I752" t="s">
        <v>1904</v>
      </c>
    </row>
    <row r="753" spans="1:9" ht="15.75" customHeight="1">
      <c r="A753" s="8" t="s">
        <v>1905</v>
      </c>
      <c r="B753" s="8" t="s">
        <v>355</v>
      </c>
      <c r="C753" s="10" t="s">
        <v>1906</v>
      </c>
      <c r="G753" s="8" t="s">
        <v>8</v>
      </c>
      <c r="I753" t="s">
        <v>1907</v>
      </c>
    </row>
    <row r="754" spans="1:9" ht="15.75" customHeight="1">
      <c r="A754" s="8" t="s">
        <v>1908</v>
      </c>
      <c r="B754" s="8" t="s">
        <v>355</v>
      </c>
      <c r="C754" s="10" t="s">
        <v>1909</v>
      </c>
      <c r="G754" s="8" t="s">
        <v>8</v>
      </c>
      <c r="H754" s="25"/>
      <c r="I754" s="25" t="s">
        <v>1910</v>
      </c>
    </row>
    <row r="755" spans="1:9" ht="15.75" customHeight="1">
      <c r="A755" s="8" t="s">
        <v>1911</v>
      </c>
      <c r="B755" s="8" t="s">
        <v>355</v>
      </c>
      <c r="C755" s="10" t="s">
        <v>1912</v>
      </c>
      <c r="G755" s="8" t="s">
        <v>8</v>
      </c>
      <c r="I755" t="s">
        <v>1913</v>
      </c>
    </row>
    <row r="756" spans="1:9" ht="15.75" customHeight="1">
      <c r="A756" t="s">
        <v>1914</v>
      </c>
      <c r="B756" t="s">
        <v>355</v>
      </c>
      <c r="C756" t="s">
        <v>1915</v>
      </c>
      <c r="E756" t="s">
        <v>1916</v>
      </c>
      <c r="F756" t="s">
        <v>1800</v>
      </c>
      <c r="G756" t="s">
        <v>20</v>
      </c>
    </row>
    <row r="757" spans="1:9" ht="15.75" customHeight="1">
      <c r="A757" t="s">
        <v>1917</v>
      </c>
      <c r="B757" t="s">
        <v>355</v>
      </c>
      <c r="C757" t="s">
        <v>1918</v>
      </c>
      <c r="E757" t="s">
        <v>1919</v>
      </c>
      <c r="F757" t="s">
        <v>1800</v>
      </c>
      <c r="G757" t="s">
        <v>20</v>
      </c>
    </row>
    <row r="758" spans="1:9" ht="15.75" customHeight="1">
      <c r="A758" t="s">
        <v>1920</v>
      </c>
      <c r="B758" t="s">
        <v>355</v>
      </c>
      <c r="C758" t="s">
        <v>1921</v>
      </c>
      <c r="E758" t="s">
        <v>1922</v>
      </c>
      <c r="F758" t="s">
        <v>1800</v>
      </c>
      <c r="G758" t="s">
        <v>20</v>
      </c>
    </row>
    <row r="759" spans="1:9" ht="15.75" customHeight="1">
      <c r="A759" t="s">
        <v>1923</v>
      </c>
      <c r="B759" t="s">
        <v>355</v>
      </c>
      <c r="C759" t="s">
        <v>1924</v>
      </c>
      <c r="E759" t="s">
        <v>1925</v>
      </c>
      <c r="F759" t="s">
        <v>1800</v>
      </c>
      <c r="G759" t="s">
        <v>20</v>
      </c>
    </row>
    <row r="760" spans="1:9" ht="15.75" customHeight="1">
      <c r="A760" t="s">
        <v>1926</v>
      </c>
      <c r="B760" t="s">
        <v>355</v>
      </c>
      <c r="C760" t="s">
        <v>1927</v>
      </c>
      <c r="E760" t="s">
        <v>1928</v>
      </c>
      <c r="F760" t="s">
        <v>1800</v>
      </c>
      <c r="G760" t="s">
        <v>20</v>
      </c>
    </row>
    <row r="761" spans="1:9" ht="15.75" customHeight="1">
      <c r="A761" t="s">
        <v>1929</v>
      </c>
      <c r="B761" t="s">
        <v>355</v>
      </c>
      <c r="C761" t="s">
        <v>1930</v>
      </c>
      <c r="E761" t="s">
        <v>1931</v>
      </c>
      <c r="F761" t="s">
        <v>1800</v>
      </c>
      <c r="G761" t="s">
        <v>20</v>
      </c>
    </row>
    <row r="762" spans="1:9" ht="15.75" customHeight="1">
      <c r="A762" t="s">
        <v>1932</v>
      </c>
      <c r="B762" t="s">
        <v>355</v>
      </c>
      <c r="C762" t="s">
        <v>1933</v>
      </c>
      <c r="E762" t="s">
        <v>1934</v>
      </c>
      <c r="F762" t="s">
        <v>1800</v>
      </c>
      <c r="G762" t="s">
        <v>20</v>
      </c>
    </row>
    <row r="763" spans="1:9" ht="15.75" customHeight="1">
      <c r="A763" t="s">
        <v>1935</v>
      </c>
      <c r="B763" t="s">
        <v>355</v>
      </c>
      <c r="C763" t="s">
        <v>1936</v>
      </c>
      <c r="G763" t="s">
        <v>8</v>
      </c>
      <c r="I763" t="s">
        <v>1937</v>
      </c>
    </row>
    <row r="764" spans="1:9" ht="15.75" customHeight="1">
      <c r="A764" t="s">
        <v>1938</v>
      </c>
      <c r="B764" t="s">
        <v>355</v>
      </c>
      <c r="C764" t="s">
        <v>1939</v>
      </c>
      <c r="G764" t="s">
        <v>8</v>
      </c>
      <c r="I764" t="s">
        <v>1940</v>
      </c>
    </row>
    <row r="765" spans="1:9" ht="15.75" customHeight="1">
      <c r="A765" t="s">
        <v>1941</v>
      </c>
      <c r="B765" t="s">
        <v>355</v>
      </c>
      <c r="C765" t="s">
        <v>1942</v>
      </c>
      <c r="G765" t="s">
        <v>8</v>
      </c>
      <c r="I765" t="s">
        <v>1943</v>
      </c>
    </row>
    <row r="766" spans="1:9" ht="15.75" customHeight="1">
      <c r="A766" t="s">
        <v>1944</v>
      </c>
      <c r="B766" t="s">
        <v>355</v>
      </c>
      <c r="C766" t="s">
        <v>1945</v>
      </c>
      <c r="G766" t="s">
        <v>8</v>
      </c>
      <c r="I766" t="s">
        <v>1946</v>
      </c>
    </row>
    <row r="767" spans="1:9" ht="15.75" customHeight="1">
      <c r="A767" t="s">
        <v>1947</v>
      </c>
      <c r="B767" t="s">
        <v>355</v>
      </c>
      <c r="C767" t="s">
        <v>1948</v>
      </c>
      <c r="G767" t="s">
        <v>8</v>
      </c>
      <c r="I767" t="s">
        <v>1949</v>
      </c>
    </row>
    <row r="768" spans="1:9" ht="15.75" customHeight="1">
      <c r="A768" t="s">
        <v>1950</v>
      </c>
      <c r="B768" t="s">
        <v>355</v>
      </c>
      <c r="C768" t="s">
        <v>1951</v>
      </c>
      <c r="G768" t="s">
        <v>8</v>
      </c>
      <c r="I768" t="s">
        <v>1952</v>
      </c>
    </row>
    <row r="769" spans="1:17" ht="15.75" customHeight="1">
      <c r="A769" t="s">
        <v>1953</v>
      </c>
      <c r="B769" t="s">
        <v>355</v>
      </c>
      <c r="C769" t="s">
        <v>1954</v>
      </c>
      <c r="G769" t="s">
        <v>8</v>
      </c>
      <c r="I769" t="s">
        <v>1955</v>
      </c>
    </row>
    <row r="770" spans="1:17" ht="15.75" customHeight="1">
      <c r="A770" s="7" t="s">
        <v>1956</v>
      </c>
      <c r="B770" s="8" t="s">
        <v>17</v>
      </c>
      <c r="C770" s="10" t="s">
        <v>1957</v>
      </c>
      <c r="F770" t="s">
        <v>1958</v>
      </c>
      <c r="G770" s="8" t="s">
        <v>20</v>
      </c>
      <c r="K770">
        <v>1</v>
      </c>
      <c r="L770" s="38" t="s">
        <v>22</v>
      </c>
      <c r="P770" t="s">
        <v>297</v>
      </c>
      <c r="Q770" t="s">
        <v>1959</v>
      </c>
    </row>
    <row r="771" spans="1:17" ht="15.75" customHeight="1">
      <c r="A771" s="7" t="s">
        <v>1960</v>
      </c>
      <c r="B771" s="8" t="s">
        <v>17</v>
      </c>
      <c r="C771" s="10" t="s">
        <v>1961</v>
      </c>
      <c r="F771" t="s">
        <v>1958</v>
      </c>
      <c r="G771" s="8" t="s">
        <v>20</v>
      </c>
      <c r="K771">
        <v>1</v>
      </c>
      <c r="L771" s="38" t="s">
        <v>22</v>
      </c>
      <c r="P771" t="s">
        <v>695</v>
      </c>
      <c r="Q771" t="s">
        <v>1962</v>
      </c>
    </row>
    <row r="772" spans="1:17" ht="15.75" customHeight="1">
      <c r="A772" s="7" t="s">
        <v>1963</v>
      </c>
      <c r="B772" s="8" t="s">
        <v>17</v>
      </c>
      <c r="C772" s="10" t="s">
        <v>1964</v>
      </c>
      <c r="F772" t="s">
        <v>1958</v>
      </c>
      <c r="G772" s="8" t="s">
        <v>20</v>
      </c>
      <c r="K772">
        <v>2</v>
      </c>
      <c r="L772" s="38" t="s">
        <v>22</v>
      </c>
      <c r="P772" t="s">
        <v>297</v>
      </c>
      <c r="Q772" t="s">
        <v>1965</v>
      </c>
    </row>
    <row r="773" spans="1:17" ht="15.75" customHeight="1">
      <c r="A773" s="7" t="s">
        <v>1966</v>
      </c>
      <c r="B773" s="8" t="s">
        <v>17</v>
      </c>
      <c r="C773" s="10" t="s">
        <v>1967</v>
      </c>
      <c r="F773" t="s">
        <v>1958</v>
      </c>
      <c r="G773" s="8" t="s">
        <v>20</v>
      </c>
      <c r="K773">
        <v>2</v>
      </c>
      <c r="L773" s="38" t="s">
        <v>22</v>
      </c>
      <c r="P773" t="s">
        <v>695</v>
      </c>
      <c r="Q773" t="s">
        <v>1968</v>
      </c>
    </row>
    <row r="774" spans="1:17" ht="15.75" customHeight="1">
      <c r="A774" s="7" t="s">
        <v>1969</v>
      </c>
      <c r="B774" s="8" t="s">
        <v>17</v>
      </c>
      <c r="C774" s="10" t="s">
        <v>1970</v>
      </c>
      <c r="F774" t="s">
        <v>1958</v>
      </c>
      <c r="G774" s="8" t="s">
        <v>20</v>
      </c>
      <c r="H774" s="7"/>
      <c r="I774" s="7"/>
      <c r="K774">
        <v>2</v>
      </c>
      <c r="L774" s="38" t="s">
        <v>22</v>
      </c>
      <c r="P774" t="s">
        <v>297</v>
      </c>
      <c r="Q774" t="s">
        <v>1971</v>
      </c>
    </row>
    <row r="775" spans="1:17" ht="15.75" customHeight="1">
      <c r="A775" s="7" t="s">
        <v>1972</v>
      </c>
      <c r="B775" s="8" t="s">
        <v>17</v>
      </c>
      <c r="C775" s="10" t="s">
        <v>1973</v>
      </c>
      <c r="F775" t="s">
        <v>1958</v>
      </c>
      <c r="G775" s="8" t="s">
        <v>20</v>
      </c>
      <c r="H775" s="7"/>
      <c r="I775" s="7"/>
      <c r="K775">
        <v>2</v>
      </c>
      <c r="L775" s="38" t="s">
        <v>22</v>
      </c>
      <c r="P775" t="s">
        <v>297</v>
      </c>
      <c r="Q775" t="s">
        <v>1974</v>
      </c>
    </row>
    <row r="776" spans="1:17" ht="15.75" customHeight="1">
      <c r="A776" s="7" t="s">
        <v>1975</v>
      </c>
      <c r="B776" s="8" t="s">
        <v>17</v>
      </c>
      <c r="C776" s="10" t="s">
        <v>1976</v>
      </c>
      <c r="F776" t="s">
        <v>1958</v>
      </c>
      <c r="G776" s="8" t="s">
        <v>20</v>
      </c>
      <c r="K776">
        <v>3</v>
      </c>
      <c r="L776" s="38" t="s">
        <v>22</v>
      </c>
      <c r="P776" t="s">
        <v>297</v>
      </c>
      <c r="Q776" t="s">
        <v>1977</v>
      </c>
    </row>
    <row r="777" spans="1:17" ht="15.75" customHeight="1">
      <c r="A777" s="7" t="s">
        <v>1978</v>
      </c>
      <c r="B777" s="8" t="s">
        <v>17</v>
      </c>
      <c r="C777" s="10" t="s">
        <v>1979</v>
      </c>
      <c r="F777" t="s">
        <v>1958</v>
      </c>
      <c r="G777" s="8" t="s">
        <v>20</v>
      </c>
      <c r="H777" s="7"/>
      <c r="I777" s="7"/>
      <c r="K777">
        <v>3</v>
      </c>
      <c r="L777" s="38" t="s">
        <v>22</v>
      </c>
      <c r="P777" t="s">
        <v>695</v>
      </c>
      <c r="Q777" t="s">
        <v>1980</v>
      </c>
    </row>
    <row r="778" spans="1:17" ht="15.75" customHeight="1">
      <c r="A778" s="7" t="s">
        <v>1981</v>
      </c>
      <c r="B778" s="8" t="s">
        <v>17</v>
      </c>
      <c r="C778" s="10" t="s">
        <v>1982</v>
      </c>
      <c r="F778" t="s">
        <v>1958</v>
      </c>
      <c r="G778" s="8" t="s">
        <v>20</v>
      </c>
      <c r="K778">
        <v>3</v>
      </c>
      <c r="L778" s="38" t="s">
        <v>22</v>
      </c>
      <c r="P778" t="s">
        <v>297</v>
      </c>
      <c r="Q778" t="s">
        <v>1983</v>
      </c>
    </row>
    <row r="779" spans="1:17" ht="15.75" customHeight="1">
      <c r="A779" s="7" t="s">
        <v>1984</v>
      </c>
      <c r="B779" s="8" t="s">
        <v>17</v>
      </c>
      <c r="C779" s="10" t="s">
        <v>1985</v>
      </c>
      <c r="F779" t="s">
        <v>1958</v>
      </c>
      <c r="G779" s="8" t="s">
        <v>20</v>
      </c>
      <c r="K779">
        <v>3</v>
      </c>
      <c r="L779" s="38" t="s">
        <v>22</v>
      </c>
      <c r="P779" t="s">
        <v>297</v>
      </c>
      <c r="Q779" t="s">
        <v>1983</v>
      </c>
    </row>
    <row r="780" spans="1:17" ht="15.75" customHeight="1">
      <c r="A780" s="7" t="s">
        <v>1986</v>
      </c>
      <c r="B780" s="8" t="s">
        <v>17</v>
      </c>
      <c r="C780" s="10" t="s">
        <v>1987</v>
      </c>
      <c r="F780" t="s">
        <v>1958</v>
      </c>
      <c r="G780" s="8" t="s">
        <v>20</v>
      </c>
      <c r="K780">
        <v>3</v>
      </c>
      <c r="L780" s="38" t="s">
        <v>22</v>
      </c>
      <c r="P780" t="s">
        <v>297</v>
      </c>
      <c r="Q780" t="s">
        <v>1983</v>
      </c>
    </row>
    <row r="781" spans="1:17" ht="15.75" customHeight="1">
      <c r="A781" s="7" t="s">
        <v>1988</v>
      </c>
      <c r="B781" s="8" t="s">
        <v>17</v>
      </c>
      <c r="C781" s="10" t="s">
        <v>1989</v>
      </c>
      <c r="F781" t="s">
        <v>1958</v>
      </c>
      <c r="G781" s="8" t="s">
        <v>20</v>
      </c>
      <c r="K781">
        <v>3</v>
      </c>
      <c r="L781" s="38" t="s">
        <v>22</v>
      </c>
      <c r="P781" t="s">
        <v>297</v>
      </c>
      <c r="Q781" t="s">
        <v>1983</v>
      </c>
    </row>
    <row r="782" spans="1:17" ht="15.75" customHeight="1">
      <c r="A782" s="7" t="s">
        <v>1990</v>
      </c>
      <c r="B782" s="8" t="s">
        <v>17</v>
      </c>
      <c r="C782" s="10" t="s">
        <v>1991</v>
      </c>
      <c r="F782" t="s">
        <v>1958</v>
      </c>
      <c r="G782" s="8" t="s">
        <v>20</v>
      </c>
      <c r="K782">
        <v>3</v>
      </c>
      <c r="L782" s="38" t="s">
        <v>22</v>
      </c>
      <c r="P782" t="s">
        <v>297</v>
      </c>
      <c r="Q782" t="s">
        <v>1983</v>
      </c>
    </row>
    <row r="783" spans="1:17" ht="15.75" customHeight="1">
      <c r="A783" s="7" t="s">
        <v>1992</v>
      </c>
      <c r="B783" s="8" t="s">
        <v>17</v>
      </c>
      <c r="C783" s="10" t="s">
        <v>1993</v>
      </c>
      <c r="F783" t="s">
        <v>1958</v>
      </c>
      <c r="G783" s="8" t="s">
        <v>20</v>
      </c>
      <c r="K783">
        <v>3</v>
      </c>
      <c r="L783" s="38" t="s">
        <v>22</v>
      </c>
      <c r="P783" t="s">
        <v>297</v>
      </c>
      <c r="Q783" t="s">
        <v>1983</v>
      </c>
    </row>
    <row r="784" spans="1:17" ht="15.75" customHeight="1">
      <c r="A784" s="7" t="s">
        <v>1994</v>
      </c>
      <c r="B784" s="8" t="s">
        <v>17</v>
      </c>
      <c r="C784" s="10" t="s">
        <v>1995</v>
      </c>
      <c r="F784" t="s">
        <v>1958</v>
      </c>
      <c r="G784" s="8" t="s">
        <v>20</v>
      </c>
      <c r="H784" s="7"/>
      <c r="I784" s="7"/>
      <c r="K784">
        <v>3</v>
      </c>
      <c r="L784" s="38" t="s">
        <v>22</v>
      </c>
      <c r="P784" t="s">
        <v>297</v>
      </c>
      <c r="Q784" s="1" t="s">
        <v>1983</v>
      </c>
    </row>
    <row r="785" spans="1:17" ht="15.75" customHeight="1">
      <c r="A785" s="7" t="s">
        <v>1996</v>
      </c>
      <c r="B785" s="8" t="s">
        <v>17</v>
      </c>
      <c r="C785" s="10" t="s">
        <v>1997</v>
      </c>
      <c r="F785" t="s">
        <v>1958</v>
      </c>
      <c r="G785" s="8" t="s">
        <v>20</v>
      </c>
      <c r="H785" s="7"/>
      <c r="I785" s="7"/>
      <c r="K785">
        <v>3</v>
      </c>
      <c r="L785" s="38" t="s">
        <v>22</v>
      </c>
      <c r="P785" t="s">
        <v>297</v>
      </c>
      <c r="Q785" s="1" t="s">
        <v>1983</v>
      </c>
    </row>
    <row r="786" spans="1:17" ht="15.75" customHeight="1">
      <c r="A786" s="7" t="s">
        <v>1998</v>
      </c>
      <c r="B786" s="8" t="s">
        <v>17</v>
      </c>
      <c r="C786" s="10" t="s">
        <v>1999</v>
      </c>
      <c r="F786" t="s">
        <v>1958</v>
      </c>
      <c r="G786" s="8" t="s">
        <v>20</v>
      </c>
      <c r="K786">
        <v>3</v>
      </c>
      <c r="L786" s="38" t="s">
        <v>22</v>
      </c>
      <c r="P786" t="s">
        <v>297</v>
      </c>
      <c r="Q786" s="1" t="s">
        <v>1983</v>
      </c>
    </row>
    <row r="787" spans="1:17" ht="15.75" customHeight="1">
      <c r="A787" s="7" t="s">
        <v>2000</v>
      </c>
      <c r="B787" s="8" t="s">
        <v>17</v>
      </c>
      <c r="C787" s="10" t="s">
        <v>2001</v>
      </c>
      <c r="F787" t="s">
        <v>1958</v>
      </c>
      <c r="G787" s="8" t="s">
        <v>20</v>
      </c>
      <c r="K787">
        <v>3</v>
      </c>
      <c r="L787" s="38" t="s">
        <v>22</v>
      </c>
      <c r="P787" t="s">
        <v>297</v>
      </c>
      <c r="Q787" t="s">
        <v>1983</v>
      </c>
    </row>
    <row r="788" spans="1:17" ht="15.75" customHeight="1">
      <c r="A788" s="7" t="s">
        <v>2002</v>
      </c>
      <c r="B788" s="8" t="s">
        <v>17</v>
      </c>
      <c r="C788" s="10" t="s">
        <v>2003</v>
      </c>
      <c r="F788" t="s">
        <v>1958</v>
      </c>
      <c r="G788" s="8" t="s">
        <v>20</v>
      </c>
      <c r="H788" s="7"/>
      <c r="I788" s="7"/>
      <c r="K788">
        <v>3</v>
      </c>
      <c r="L788" s="38" t="s">
        <v>22</v>
      </c>
      <c r="P788" t="s">
        <v>297</v>
      </c>
      <c r="Q788" t="s">
        <v>1983</v>
      </c>
    </row>
    <row r="789" spans="1:17" ht="15.75" customHeight="1">
      <c r="A789" s="7" t="s">
        <v>2004</v>
      </c>
      <c r="B789" s="8" t="s">
        <v>17</v>
      </c>
      <c r="C789" s="10" t="s">
        <v>2005</v>
      </c>
      <c r="F789" t="s">
        <v>1958</v>
      </c>
      <c r="G789" s="8" t="s">
        <v>20</v>
      </c>
      <c r="H789" s="7"/>
      <c r="I789" s="7"/>
      <c r="K789">
        <v>3</v>
      </c>
      <c r="L789" s="38" t="s">
        <v>22</v>
      </c>
      <c r="P789" t="s">
        <v>297</v>
      </c>
      <c r="Q789" s="1" t="s">
        <v>1983</v>
      </c>
    </row>
    <row r="790" spans="1:17" ht="15.75" customHeight="1">
      <c r="A790" s="7" t="s">
        <v>2006</v>
      </c>
      <c r="B790" s="8" t="s">
        <v>17</v>
      </c>
      <c r="C790" s="10" t="s">
        <v>2007</v>
      </c>
      <c r="F790" t="s">
        <v>1958</v>
      </c>
      <c r="G790" s="8" t="s">
        <v>20</v>
      </c>
      <c r="H790" s="7"/>
      <c r="I790" s="7"/>
      <c r="K790">
        <v>4</v>
      </c>
      <c r="L790" s="38" t="s">
        <v>22</v>
      </c>
      <c r="P790" t="s">
        <v>297</v>
      </c>
      <c r="Q790" s="3" t="s">
        <v>2008</v>
      </c>
    </row>
    <row r="791" spans="1:17" ht="15.75" customHeight="1">
      <c r="A791" s="7" t="s">
        <v>2009</v>
      </c>
      <c r="B791" s="8" t="s">
        <v>17</v>
      </c>
      <c r="C791" s="10" t="s">
        <v>2010</v>
      </c>
      <c r="F791" t="s">
        <v>1958</v>
      </c>
      <c r="G791" s="8" t="s">
        <v>20</v>
      </c>
      <c r="H791" s="7"/>
      <c r="I791" s="7"/>
      <c r="K791">
        <v>4</v>
      </c>
      <c r="L791" s="38" t="s">
        <v>22</v>
      </c>
      <c r="P791" t="s">
        <v>695</v>
      </c>
      <c r="Q791" s="3" t="s">
        <v>2011</v>
      </c>
    </row>
    <row r="792" spans="1:17" ht="15.75" customHeight="1">
      <c r="A792" s="7" t="s">
        <v>2012</v>
      </c>
      <c r="B792" s="8" t="s">
        <v>17</v>
      </c>
      <c r="C792" s="10" t="s">
        <v>2013</v>
      </c>
      <c r="F792" t="s">
        <v>1958</v>
      </c>
      <c r="G792" s="8" t="s">
        <v>20</v>
      </c>
      <c r="K792">
        <v>5</v>
      </c>
      <c r="L792" s="38" t="s">
        <v>22</v>
      </c>
      <c r="P792" t="s">
        <v>297</v>
      </c>
      <c r="Q792" s="3" t="s">
        <v>2014</v>
      </c>
    </row>
    <row r="793" spans="1:17" ht="15.75" customHeight="1">
      <c r="A793" s="7" t="s">
        <v>2015</v>
      </c>
      <c r="B793" s="8" t="s">
        <v>17</v>
      </c>
      <c r="C793" s="10" t="s">
        <v>2016</v>
      </c>
      <c r="F793" t="s">
        <v>1958</v>
      </c>
      <c r="G793" s="8" t="s">
        <v>20</v>
      </c>
      <c r="H793" s="7"/>
      <c r="I793" s="7"/>
      <c r="K793">
        <v>5</v>
      </c>
      <c r="L793" s="38" t="s">
        <v>22</v>
      </c>
      <c r="P793" t="s">
        <v>297</v>
      </c>
      <c r="Q793" t="s">
        <v>2017</v>
      </c>
    </row>
    <row r="794" spans="1:17" ht="15.75" customHeight="1">
      <c r="A794" s="7" t="s">
        <v>2018</v>
      </c>
      <c r="B794" s="8" t="s">
        <v>17</v>
      </c>
      <c r="C794" s="10" t="s">
        <v>2019</v>
      </c>
      <c r="F794" t="s">
        <v>1958</v>
      </c>
      <c r="G794" s="8" t="s">
        <v>20</v>
      </c>
      <c r="K794">
        <v>5</v>
      </c>
      <c r="L794" s="38" t="s">
        <v>22</v>
      </c>
      <c r="P794" t="s">
        <v>695</v>
      </c>
      <c r="Q794" t="s">
        <v>2020</v>
      </c>
    </row>
    <row r="795" spans="1:17" ht="15.75" customHeight="1">
      <c r="A795" s="7" t="s">
        <v>2021</v>
      </c>
      <c r="B795" s="8" t="s">
        <v>17</v>
      </c>
      <c r="C795" s="10" t="s">
        <v>2022</v>
      </c>
      <c r="F795" t="s">
        <v>1958</v>
      </c>
      <c r="G795" s="8" t="s">
        <v>20</v>
      </c>
      <c r="H795" s="7"/>
      <c r="I795" s="7"/>
      <c r="K795">
        <v>5</v>
      </c>
      <c r="L795" s="38" t="s">
        <v>22</v>
      </c>
      <c r="P795" t="s">
        <v>695</v>
      </c>
      <c r="Q795" t="s">
        <v>2020</v>
      </c>
    </row>
    <row r="796" spans="1:17" ht="15.75" customHeight="1">
      <c r="A796" s="7" t="s">
        <v>2023</v>
      </c>
      <c r="B796" s="8" t="s">
        <v>17</v>
      </c>
      <c r="C796" s="10" t="s">
        <v>2024</v>
      </c>
      <c r="F796" t="s">
        <v>1958</v>
      </c>
      <c r="G796" s="8" t="s">
        <v>20</v>
      </c>
      <c r="K796">
        <v>5</v>
      </c>
      <c r="L796" s="38" t="s">
        <v>22</v>
      </c>
      <c r="P796" t="s">
        <v>695</v>
      </c>
      <c r="Q796" t="s">
        <v>2020</v>
      </c>
    </row>
    <row r="797" spans="1:17" ht="15.75" customHeight="1">
      <c r="A797" s="7" t="s">
        <v>2025</v>
      </c>
      <c r="B797" s="8" t="s">
        <v>17</v>
      </c>
      <c r="C797" s="10" t="s">
        <v>2026</v>
      </c>
      <c r="F797" t="s">
        <v>1958</v>
      </c>
      <c r="G797" s="8" t="s">
        <v>20</v>
      </c>
      <c r="K797">
        <v>5</v>
      </c>
      <c r="L797" s="38" t="s">
        <v>22</v>
      </c>
      <c r="P797" t="s">
        <v>695</v>
      </c>
      <c r="Q797" t="s">
        <v>2020</v>
      </c>
    </row>
    <row r="798" spans="1:17" ht="15.75" customHeight="1">
      <c r="A798" s="7" t="s">
        <v>2027</v>
      </c>
      <c r="B798" s="8" t="s">
        <v>17</v>
      </c>
      <c r="C798" s="10" t="s">
        <v>2028</v>
      </c>
      <c r="F798" t="s">
        <v>1958</v>
      </c>
      <c r="G798" s="8" t="s">
        <v>20</v>
      </c>
      <c r="H798" s="7"/>
      <c r="I798" s="7"/>
      <c r="K798">
        <v>5</v>
      </c>
      <c r="L798" s="38" t="s">
        <v>22</v>
      </c>
      <c r="P798" t="s">
        <v>695</v>
      </c>
      <c r="Q798" t="s">
        <v>2020</v>
      </c>
    </row>
    <row r="799" spans="1:17" ht="15.75" customHeight="1">
      <c r="A799" s="7" t="s">
        <v>2029</v>
      </c>
      <c r="B799" s="8" t="s">
        <v>17</v>
      </c>
      <c r="C799" s="10" t="s">
        <v>2030</v>
      </c>
      <c r="F799" t="s">
        <v>1958</v>
      </c>
      <c r="G799" s="8" t="s">
        <v>20</v>
      </c>
      <c r="K799">
        <v>5</v>
      </c>
      <c r="L799" s="38" t="s">
        <v>22</v>
      </c>
      <c r="P799" t="s">
        <v>695</v>
      </c>
      <c r="Q799" t="s">
        <v>2020</v>
      </c>
    </row>
    <row r="800" spans="1:17" ht="15.75" customHeight="1">
      <c r="A800" s="7" t="s">
        <v>2031</v>
      </c>
      <c r="B800" s="8" t="s">
        <v>17</v>
      </c>
      <c r="C800" s="10" t="s">
        <v>2032</v>
      </c>
      <c r="F800" t="s">
        <v>1958</v>
      </c>
      <c r="G800" s="8" t="s">
        <v>20</v>
      </c>
      <c r="K800">
        <v>5</v>
      </c>
      <c r="L800" s="38" t="s">
        <v>22</v>
      </c>
      <c r="P800" t="s">
        <v>695</v>
      </c>
      <c r="Q800" t="s">
        <v>2020</v>
      </c>
    </row>
    <row r="801" spans="1:17" ht="15.75" customHeight="1">
      <c r="A801" s="7" t="s">
        <v>2033</v>
      </c>
      <c r="B801" s="8" t="s">
        <v>17</v>
      </c>
      <c r="C801" s="10" t="s">
        <v>2034</v>
      </c>
      <c r="F801" t="s">
        <v>1958</v>
      </c>
      <c r="G801" s="8" t="s">
        <v>20</v>
      </c>
      <c r="H801" s="7"/>
      <c r="I801" s="7"/>
      <c r="K801">
        <v>5</v>
      </c>
      <c r="L801" s="38" t="s">
        <v>22</v>
      </c>
      <c r="P801" t="s">
        <v>695</v>
      </c>
      <c r="Q801" t="s">
        <v>2020</v>
      </c>
    </row>
    <row r="802" spans="1:17" ht="15.75" customHeight="1">
      <c r="A802" s="7" t="s">
        <v>2035</v>
      </c>
      <c r="B802" s="8" t="s">
        <v>17</v>
      </c>
      <c r="C802" s="10" t="s">
        <v>2036</v>
      </c>
      <c r="F802" t="s">
        <v>1958</v>
      </c>
      <c r="G802" s="8" t="s">
        <v>20</v>
      </c>
      <c r="H802" s="7"/>
      <c r="I802" s="7"/>
      <c r="K802">
        <v>5</v>
      </c>
      <c r="L802" s="38" t="s">
        <v>22</v>
      </c>
      <c r="P802" t="s">
        <v>695</v>
      </c>
      <c r="Q802" t="s">
        <v>2020</v>
      </c>
    </row>
    <row r="803" spans="1:17" ht="15.75" customHeight="1">
      <c r="A803" s="7" t="s">
        <v>2037</v>
      </c>
      <c r="B803" s="8" t="s">
        <v>17</v>
      </c>
      <c r="C803" s="10" t="s">
        <v>2038</v>
      </c>
      <c r="F803" t="s">
        <v>1958</v>
      </c>
      <c r="G803" s="8" t="s">
        <v>20</v>
      </c>
      <c r="K803">
        <v>5</v>
      </c>
      <c r="L803" s="38" t="s">
        <v>22</v>
      </c>
      <c r="P803" t="s">
        <v>695</v>
      </c>
      <c r="Q803" t="s">
        <v>2020</v>
      </c>
    </row>
    <row r="804" spans="1:17" ht="15.75" customHeight="1">
      <c r="A804" s="7" t="s">
        <v>2039</v>
      </c>
      <c r="B804" s="8" t="s">
        <v>17</v>
      </c>
      <c r="C804" s="10" t="s">
        <v>2040</v>
      </c>
      <c r="F804" t="s">
        <v>1958</v>
      </c>
      <c r="G804" s="8" t="s">
        <v>20</v>
      </c>
      <c r="K804">
        <v>5</v>
      </c>
      <c r="L804" s="38" t="s">
        <v>22</v>
      </c>
      <c r="P804" t="s">
        <v>695</v>
      </c>
      <c r="Q804" t="s">
        <v>2020</v>
      </c>
    </row>
    <row r="805" spans="1:17" ht="15.75" customHeight="1">
      <c r="A805" s="7" t="s">
        <v>2041</v>
      </c>
      <c r="B805" s="8" t="s">
        <v>17</v>
      </c>
      <c r="C805" s="10" t="s">
        <v>2042</v>
      </c>
      <c r="F805" t="s">
        <v>1958</v>
      </c>
      <c r="G805" s="8" t="s">
        <v>20</v>
      </c>
      <c r="K805">
        <v>5</v>
      </c>
      <c r="L805" s="38" t="s">
        <v>22</v>
      </c>
      <c r="P805" t="s">
        <v>695</v>
      </c>
      <c r="Q805" t="s">
        <v>2020</v>
      </c>
    </row>
    <row r="806" spans="1:17" ht="15.75" customHeight="1">
      <c r="A806" s="7" t="s">
        <v>2043</v>
      </c>
      <c r="B806" s="8" t="s">
        <v>17</v>
      </c>
      <c r="C806" s="10" t="s">
        <v>2044</v>
      </c>
      <c r="F806" t="s">
        <v>1958</v>
      </c>
      <c r="G806" s="8" t="s">
        <v>20</v>
      </c>
      <c r="K806">
        <v>5</v>
      </c>
      <c r="L806" s="38" t="s">
        <v>22</v>
      </c>
      <c r="P806" t="s">
        <v>297</v>
      </c>
      <c r="Q806" t="s">
        <v>2045</v>
      </c>
    </row>
    <row r="807" spans="1:17" ht="15.75" customHeight="1">
      <c r="A807" s="7" t="s">
        <v>2046</v>
      </c>
      <c r="B807" s="8" t="s">
        <v>17</v>
      </c>
      <c r="C807" s="10" t="s">
        <v>2047</v>
      </c>
      <c r="F807" t="s">
        <v>1958</v>
      </c>
      <c r="G807" s="8" t="s">
        <v>20</v>
      </c>
      <c r="K807">
        <v>6</v>
      </c>
      <c r="L807" s="38" t="s">
        <v>22</v>
      </c>
      <c r="P807" t="s">
        <v>297</v>
      </c>
      <c r="Q807" t="s">
        <v>2048</v>
      </c>
    </row>
    <row r="808" spans="1:17" ht="15.75" customHeight="1">
      <c r="A808" s="7" t="s">
        <v>2049</v>
      </c>
      <c r="B808" s="8" t="s">
        <v>17</v>
      </c>
      <c r="C808" s="10" t="s">
        <v>2050</v>
      </c>
      <c r="F808" t="s">
        <v>1958</v>
      </c>
      <c r="G808" s="8" t="s">
        <v>20</v>
      </c>
      <c r="K808">
        <v>6</v>
      </c>
      <c r="L808" s="38" t="s">
        <v>22</v>
      </c>
      <c r="P808" t="s">
        <v>297</v>
      </c>
      <c r="Q808" t="s">
        <v>2051</v>
      </c>
    </row>
    <row r="809" spans="1:17" ht="15.75" customHeight="1">
      <c r="A809" s="7" t="s">
        <v>2052</v>
      </c>
      <c r="B809" s="8" t="s">
        <v>17</v>
      </c>
      <c r="C809" s="10" t="s">
        <v>2053</v>
      </c>
      <c r="F809" t="s">
        <v>1958</v>
      </c>
      <c r="G809" s="8" t="s">
        <v>20</v>
      </c>
      <c r="K809">
        <v>6</v>
      </c>
      <c r="L809" s="38" t="s">
        <v>22</v>
      </c>
      <c r="P809" t="s">
        <v>297</v>
      </c>
      <c r="Q809" t="s">
        <v>2051</v>
      </c>
    </row>
    <row r="810" spans="1:17" ht="15.75" customHeight="1">
      <c r="A810" s="7" t="s">
        <v>2054</v>
      </c>
      <c r="B810" s="8" t="s">
        <v>17</v>
      </c>
      <c r="C810" s="10" t="s">
        <v>2055</v>
      </c>
      <c r="F810" t="s">
        <v>1958</v>
      </c>
      <c r="G810" s="8" t="s">
        <v>20</v>
      </c>
      <c r="K810">
        <v>6</v>
      </c>
      <c r="L810" s="38" t="s">
        <v>22</v>
      </c>
      <c r="P810" t="s">
        <v>297</v>
      </c>
      <c r="Q810" t="s">
        <v>2051</v>
      </c>
    </row>
    <row r="811" spans="1:17" ht="15.75" customHeight="1">
      <c r="A811" s="7" t="s">
        <v>2056</v>
      </c>
      <c r="B811" s="8" t="s">
        <v>17</v>
      </c>
      <c r="C811" s="10" t="s">
        <v>2057</v>
      </c>
      <c r="F811" t="s">
        <v>1958</v>
      </c>
      <c r="G811" s="8" t="s">
        <v>20</v>
      </c>
      <c r="K811">
        <v>6</v>
      </c>
      <c r="L811" s="38" t="s">
        <v>22</v>
      </c>
      <c r="P811" t="s">
        <v>297</v>
      </c>
      <c r="Q811" t="s">
        <v>2051</v>
      </c>
    </row>
    <row r="812" spans="1:17" ht="15.75" customHeight="1">
      <c r="A812" s="7" t="s">
        <v>2058</v>
      </c>
      <c r="B812" s="8" t="s">
        <v>17</v>
      </c>
      <c r="C812" s="10" t="s">
        <v>2059</v>
      </c>
      <c r="F812" t="s">
        <v>1958</v>
      </c>
      <c r="G812" s="8" t="s">
        <v>20</v>
      </c>
      <c r="K812">
        <v>6</v>
      </c>
      <c r="L812" s="38" t="s">
        <v>22</v>
      </c>
      <c r="P812" t="s">
        <v>297</v>
      </c>
      <c r="Q812" t="s">
        <v>2051</v>
      </c>
    </row>
    <row r="813" spans="1:17" ht="15.75" customHeight="1">
      <c r="A813" s="7" t="s">
        <v>2060</v>
      </c>
      <c r="B813" s="8" t="s">
        <v>17</v>
      </c>
      <c r="C813" s="10" t="s">
        <v>2061</v>
      </c>
      <c r="F813" t="s">
        <v>1958</v>
      </c>
      <c r="G813" s="8" t="s">
        <v>20</v>
      </c>
      <c r="K813">
        <v>6</v>
      </c>
      <c r="L813" s="38" t="s">
        <v>22</v>
      </c>
      <c r="P813" t="s">
        <v>297</v>
      </c>
      <c r="Q813" t="s">
        <v>2051</v>
      </c>
    </row>
    <row r="814" spans="1:17" ht="15.75" customHeight="1">
      <c r="A814" s="7" t="s">
        <v>2062</v>
      </c>
      <c r="B814" s="8" t="s">
        <v>17</v>
      </c>
      <c r="C814" s="10" t="s">
        <v>2063</v>
      </c>
      <c r="F814" t="s">
        <v>1958</v>
      </c>
      <c r="G814" s="8" t="s">
        <v>20</v>
      </c>
      <c r="K814">
        <v>6</v>
      </c>
      <c r="L814" s="38" t="s">
        <v>22</v>
      </c>
      <c r="P814" t="s">
        <v>297</v>
      </c>
      <c r="Q814" t="s">
        <v>2051</v>
      </c>
    </row>
    <row r="815" spans="1:17" ht="15.75" customHeight="1">
      <c r="A815" s="7" t="s">
        <v>2064</v>
      </c>
      <c r="B815" s="8" t="s">
        <v>17</v>
      </c>
      <c r="C815" s="10" t="s">
        <v>2065</v>
      </c>
      <c r="F815" t="s">
        <v>1958</v>
      </c>
      <c r="G815" s="8" t="s">
        <v>20</v>
      </c>
      <c r="K815">
        <v>6</v>
      </c>
      <c r="L815" s="38" t="s">
        <v>22</v>
      </c>
      <c r="P815" t="s">
        <v>297</v>
      </c>
      <c r="Q815" t="s">
        <v>2051</v>
      </c>
    </row>
    <row r="816" spans="1:17" ht="15.75" customHeight="1">
      <c r="A816" s="7" t="s">
        <v>2066</v>
      </c>
      <c r="B816" s="8" t="s">
        <v>17</v>
      </c>
      <c r="C816" s="10" t="s">
        <v>2067</v>
      </c>
      <c r="F816" t="s">
        <v>1958</v>
      </c>
      <c r="G816" s="8" t="s">
        <v>20</v>
      </c>
      <c r="K816">
        <v>6</v>
      </c>
      <c r="L816" s="38" t="s">
        <v>22</v>
      </c>
      <c r="P816" t="s">
        <v>297</v>
      </c>
      <c r="Q816" t="s">
        <v>2051</v>
      </c>
    </row>
    <row r="817" spans="1:17" ht="15.75" customHeight="1">
      <c r="A817" s="7" t="s">
        <v>2068</v>
      </c>
      <c r="B817" s="8" t="s">
        <v>17</v>
      </c>
      <c r="C817" s="10" t="s">
        <v>2069</v>
      </c>
      <c r="F817" t="s">
        <v>1958</v>
      </c>
      <c r="G817" s="8" t="s">
        <v>20</v>
      </c>
      <c r="K817">
        <v>6</v>
      </c>
      <c r="L817" s="38" t="s">
        <v>22</v>
      </c>
      <c r="P817" t="s">
        <v>297</v>
      </c>
      <c r="Q817" t="s">
        <v>2051</v>
      </c>
    </row>
    <row r="818" spans="1:17" ht="15.75" customHeight="1">
      <c r="A818" s="7" t="s">
        <v>2070</v>
      </c>
      <c r="B818" s="8" t="s">
        <v>17</v>
      </c>
      <c r="C818" s="10" t="s">
        <v>2071</v>
      </c>
      <c r="F818" t="s">
        <v>1958</v>
      </c>
      <c r="G818" s="8" t="s">
        <v>20</v>
      </c>
      <c r="K818">
        <v>6</v>
      </c>
      <c r="L818" s="38" t="s">
        <v>22</v>
      </c>
      <c r="P818" t="s">
        <v>297</v>
      </c>
      <c r="Q818" t="s">
        <v>2051</v>
      </c>
    </row>
    <row r="819" spans="1:17" ht="15.75" customHeight="1">
      <c r="A819" s="7" t="s">
        <v>2072</v>
      </c>
      <c r="B819" s="8" t="s">
        <v>17</v>
      </c>
      <c r="C819" s="10" t="s">
        <v>2073</v>
      </c>
      <c r="F819" t="s">
        <v>1958</v>
      </c>
      <c r="G819" s="8" t="s">
        <v>20</v>
      </c>
      <c r="K819">
        <v>6</v>
      </c>
      <c r="L819" s="38" t="s">
        <v>22</v>
      </c>
      <c r="P819" t="s">
        <v>301</v>
      </c>
      <c r="Q819" t="s">
        <v>2074</v>
      </c>
    </row>
    <row r="820" spans="1:17" ht="15.75" customHeight="1">
      <c r="A820" s="7" t="s">
        <v>2075</v>
      </c>
      <c r="B820" s="8" t="s">
        <v>17</v>
      </c>
      <c r="C820" s="10" t="s">
        <v>2076</v>
      </c>
      <c r="F820" t="s">
        <v>1958</v>
      </c>
      <c r="G820" s="8" t="s">
        <v>20</v>
      </c>
      <c r="K820">
        <v>7</v>
      </c>
      <c r="L820" s="38" t="s">
        <v>22</v>
      </c>
      <c r="P820" t="s">
        <v>301</v>
      </c>
      <c r="Q820" t="s">
        <v>2077</v>
      </c>
    </row>
    <row r="821" spans="1:17" ht="15.75" customHeight="1">
      <c r="A821" s="7" t="s">
        <v>2078</v>
      </c>
      <c r="B821" s="8" t="s">
        <v>17</v>
      </c>
      <c r="C821" s="10" t="s">
        <v>2079</v>
      </c>
      <c r="F821" t="s">
        <v>1958</v>
      </c>
      <c r="G821" s="8" t="s">
        <v>20</v>
      </c>
      <c r="K821">
        <v>7</v>
      </c>
      <c r="L821" s="38" t="s">
        <v>22</v>
      </c>
      <c r="P821" t="s">
        <v>297</v>
      </c>
      <c r="Q821" t="s">
        <v>2080</v>
      </c>
    </row>
    <row r="822" spans="1:17" ht="15.75" customHeight="1">
      <c r="A822" s="7" t="s">
        <v>2081</v>
      </c>
      <c r="B822" s="8" t="s">
        <v>17</v>
      </c>
      <c r="C822" s="10" t="s">
        <v>2082</v>
      </c>
      <c r="F822" t="s">
        <v>1958</v>
      </c>
      <c r="G822" s="8" t="s">
        <v>20</v>
      </c>
      <c r="K822">
        <v>7</v>
      </c>
      <c r="L822" s="38" t="s">
        <v>22</v>
      </c>
      <c r="P822" t="s">
        <v>297</v>
      </c>
      <c r="Q822" t="s">
        <v>2083</v>
      </c>
    </row>
    <row r="823" spans="1:17" ht="15.75" customHeight="1">
      <c r="A823" s="7" t="s">
        <v>2084</v>
      </c>
      <c r="B823" s="8" t="s">
        <v>17</v>
      </c>
      <c r="C823" s="10" t="s">
        <v>2085</v>
      </c>
      <c r="F823" t="s">
        <v>287</v>
      </c>
      <c r="G823" s="8" t="s">
        <v>20</v>
      </c>
      <c r="K823">
        <v>1</v>
      </c>
      <c r="L823" s="38" t="s">
        <v>22</v>
      </c>
      <c r="P823" t="s">
        <v>125</v>
      </c>
      <c r="Q823" t="s">
        <v>2086</v>
      </c>
    </row>
    <row r="824" spans="1:17" ht="15.75" customHeight="1">
      <c r="A824" s="7" t="s">
        <v>2087</v>
      </c>
      <c r="B824" s="8" t="s">
        <v>17</v>
      </c>
      <c r="C824" s="10" t="s">
        <v>2088</v>
      </c>
      <c r="F824" t="s">
        <v>287</v>
      </c>
      <c r="G824" s="8" t="s">
        <v>20</v>
      </c>
      <c r="K824">
        <v>1</v>
      </c>
      <c r="L824" s="38" t="s">
        <v>22</v>
      </c>
      <c r="P824" t="s">
        <v>125</v>
      </c>
      <c r="Q824" t="s">
        <v>2089</v>
      </c>
    </row>
    <row r="825" spans="1:17" ht="15.75" customHeight="1">
      <c r="A825" s="7" t="s">
        <v>2090</v>
      </c>
      <c r="B825" s="8" t="s">
        <v>17</v>
      </c>
      <c r="C825" s="10" t="s">
        <v>2091</v>
      </c>
      <c r="F825" t="s">
        <v>287</v>
      </c>
      <c r="G825" s="8" t="s">
        <v>20</v>
      </c>
      <c r="K825">
        <v>1</v>
      </c>
      <c r="L825" s="38" t="s">
        <v>22</v>
      </c>
      <c r="P825" t="s">
        <v>125</v>
      </c>
      <c r="Q825" t="s">
        <v>2092</v>
      </c>
    </row>
    <row r="826" spans="1:17" ht="15.75" customHeight="1">
      <c r="A826" s="7" t="s">
        <v>2093</v>
      </c>
      <c r="B826" s="8" t="s">
        <v>17</v>
      </c>
      <c r="C826" s="10" t="s">
        <v>2094</v>
      </c>
      <c r="F826" t="s">
        <v>287</v>
      </c>
      <c r="G826" s="8" t="s">
        <v>20</v>
      </c>
      <c r="K826">
        <v>1</v>
      </c>
      <c r="L826" s="38" t="s">
        <v>22</v>
      </c>
      <c r="P826" t="s">
        <v>125</v>
      </c>
      <c r="Q826" t="s">
        <v>2095</v>
      </c>
    </row>
    <row r="827" spans="1:17" ht="15.75" customHeight="1">
      <c r="A827" s="7" t="s">
        <v>2096</v>
      </c>
      <c r="B827" s="8" t="s">
        <v>17</v>
      </c>
      <c r="C827" s="10" t="s">
        <v>2097</v>
      </c>
      <c r="F827" t="s">
        <v>287</v>
      </c>
      <c r="G827" s="8" t="s">
        <v>20</v>
      </c>
      <c r="K827">
        <v>2</v>
      </c>
      <c r="L827" s="38" t="s">
        <v>22</v>
      </c>
      <c r="P827" t="s">
        <v>125</v>
      </c>
      <c r="Q827" t="s">
        <v>2098</v>
      </c>
    </row>
    <row r="828" spans="1:17" ht="15.75" customHeight="1">
      <c r="A828" s="7" t="s">
        <v>2099</v>
      </c>
      <c r="B828" s="8" t="s">
        <v>17</v>
      </c>
      <c r="C828" s="10" t="s">
        <v>2100</v>
      </c>
      <c r="F828" t="s">
        <v>287</v>
      </c>
      <c r="G828" s="8" t="s">
        <v>20</v>
      </c>
      <c r="K828">
        <v>2</v>
      </c>
      <c r="L828" s="38" t="s">
        <v>22</v>
      </c>
      <c r="P828" t="s">
        <v>125</v>
      </c>
      <c r="Q828" t="s">
        <v>2101</v>
      </c>
    </row>
    <row r="829" spans="1:17" ht="15.75" customHeight="1">
      <c r="A829" s="7" t="s">
        <v>2102</v>
      </c>
      <c r="B829" s="8" t="s">
        <v>17</v>
      </c>
      <c r="C829" s="10" t="s">
        <v>2103</v>
      </c>
      <c r="F829" t="s">
        <v>287</v>
      </c>
      <c r="G829" s="8" t="s">
        <v>20</v>
      </c>
      <c r="K829">
        <v>2</v>
      </c>
      <c r="L829" s="38" t="s">
        <v>22</v>
      </c>
      <c r="P829" t="s">
        <v>125</v>
      </c>
      <c r="Q829" t="s">
        <v>2104</v>
      </c>
    </row>
    <row r="830" spans="1:17" ht="15.75" customHeight="1">
      <c r="A830" s="7" t="s">
        <v>2105</v>
      </c>
      <c r="B830" s="8" t="s">
        <v>17</v>
      </c>
      <c r="C830" s="10" t="s">
        <v>2106</v>
      </c>
      <c r="F830" t="s">
        <v>287</v>
      </c>
      <c r="G830" s="8" t="s">
        <v>20</v>
      </c>
      <c r="K830">
        <v>2</v>
      </c>
      <c r="L830" s="38" t="s">
        <v>22</v>
      </c>
      <c r="P830" t="s">
        <v>125</v>
      </c>
      <c r="Q830" t="s">
        <v>2107</v>
      </c>
    </row>
    <row r="831" spans="1:17" ht="15.75" customHeight="1">
      <c r="A831" s="7" t="s">
        <v>2108</v>
      </c>
      <c r="B831" s="8" t="s">
        <v>17</v>
      </c>
      <c r="C831" s="10" t="s">
        <v>2109</v>
      </c>
      <c r="F831" t="s">
        <v>287</v>
      </c>
      <c r="G831" s="8" t="s">
        <v>20</v>
      </c>
      <c r="K831">
        <v>2</v>
      </c>
      <c r="L831" s="38" t="s">
        <v>22</v>
      </c>
      <c r="P831" t="s">
        <v>125</v>
      </c>
      <c r="Q831" t="s">
        <v>2110</v>
      </c>
    </row>
    <row r="832" spans="1:17" ht="15.75" customHeight="1">
      <c r="A832" s="7" t="s">
        <v>2111</v>
      </c>
      <c r="B832" s="8" t="s">
        <v>17</v>
      </c>
      <c r="C832" s="10" t="s">
        <v>2112</v>
      </c>
      <c r="F832" t="s">
        <v>287</v>
      </c>
      <c r="G832" s="8" t="s">
        <v>20</v>
      </c>
      <c r="K832">
        <v>3</v>
      </c>
      <c r="L832" s="38" t="s">
        <v>22</v>
      </c>
      <c r="P832" t="s">
        <v>125</v>
      </c>
      <c r="Q832" t="s">
        <v>2113</v>
      </c>
    </row>
    <row r="833" spans="1:17" ht="15.75" customHeight="1">
      <c r="A833" s="7" t="s">
        <v>2114</v>
      </c>
      <c r="B833" s="8" t="s">
        <v>17</v>
      </c>
      <c r="C833" s="10" t="s">
        <v>2115</v>
      </c>
      <c r="F833" t="s">
        <v>287</v>
      </c>
      <c r="G833" s="8" t="s">
        <v>20</v>
      </c>
      <c r="K833">
        <v>3</v>
      </c>
      <c r="L833" s="38" t="s">
        <v>22</v>
      </c>
      <c r="P833" t="s">
        <v>125</v>
      </c>
      <c r="Q833" t="s">
        <v>2116</v>
      </c>
    </row>
    <row r="834" spans="1:17" ht="15.75" customHeight="1">
      <c r="A834" s="7" t="s">
        <v>2117</v>
      </c>
      <c r="B834" s="8" t="s">
        <v>17</v>
      </c>
      <c r="C834" s="10" t="s">
        <v>2118</v>
      </c>
      <c r="F834" t="s">
        <v>287</v>
      </c>
      <c r="G834" s="8" t="s">
        <v>20</v>
      </c>
      <c r="K834">
        <v>3</v>
      </c>
      <c r="L834" s="38" t="s">
        <v>22</v>
      </c>
      <c r="P834" t="s">
        <v>55</v>
      </c>
      <c r="Q834" t="s">
        <v>2119</v>
      </c>
    </row>
    <row r="835" spans="1:17" ht="15.75" customHeight="1">
      <c r="A835" s="7" t="s">
        <v>2120</v>
      </c>
      <c r="B835" s="8" t="s">
        <v>17</v>
      </c>
      <c r="C835" s="10" t="s">
        <v>2121</v>
      </c>
      <c r="F835" t="s">
        <v>287</v>
      </c>
      <c r="G835" s="8" t="s">
        <v>20</v>
      </c>
      <c r="K835">
        <v>3</v>
      </c>
      <c r="L835" s="38" t="s">
        <v>22</v>
      </c>
      <c r="P835" t="s">
        <v>125</v>
      </c>
      <c r="Q835" t="s">
        <v>2122</v>
      </c>
    </row>
    <row r="836" spans="1:17" ht="15.75" customHeight="1">
      <c r="A836" s="7" t="s">
        <v>2123</v>
      </c>
      <c r="B836" s="8" t="s">
        <v>17</v>
      </c>
      <c r="C836" s="10" t="s">
        <v>2124</v>
      </c>
      <c r="F836" t="s">
        <v>287</v>
      </c>
      <c r="G836" s="8" t="s">
        <v>20</v>
      </c>
      <c r="K836">
        <v>3</v>
      </c>
      <c r="L836" s="38" t="s">
        <v>22</v>
      </c>
      <c r="P836" t="s">
        <v>55</v>
      </c>
      <c r="Q836" t="s">
        <v>2125</v>
      </c>
    </row>
    <row r="837" spans="1:17" ht="15.75" customHeight="1">
      <c r="A837" s="7" t="s">
        <v>2126</v>
      </c>
      <c r="B837" s="8" t="s">
        <v>17</v>
      </c>
      <c r="C837" s="10" t="s">
        <v>2127</v>
      </c>
      <c r="F837" t="s">
        <v>287</v>
      </c>
      <c r="G837" s="8" t="s">
        <v>20</v>
      </c>
      <c r="K837">
        <v>4</v>
      </c>
      <c r="L837" s="38" t="s">
        <v>22</v>
      </c>
      <c r="P837" t="s">
        <v>125</v>
      </c>
      <c r="Q837" t="s">
        <v>2128</v>
      </c>
    </row>
    <row r="838" spans="1:17" ht="15.75" customHeight="1">
      <c r="A838" s="7" t="s">
        <v>2129</v>
      </c>
      <c r="B838" s="8" t="s">
        <v>17</v>
      </c>
      <c r="C838" s="10" t="s">
        <v>2130</v>
      </c>
      <c r="F838" t="s">
        <v>287</v>
      </c>
      <c r="G838" s="8" t="s">
        <v>20</v>
      </c>
      <c r="K838">
        <v>4</v>
      </c>
      <c r="L838" s="38" t="s">
        <v>22</v>
      </c>
      <c r="P838" t="s">
        <v>55</v>
      </c>
      <c r="Q838" t="s">
        <v>2131</v>
      </c>
    </row>
    <row r="839" spans="1:17" ht="15.75" customHeight="1">
      <c r="A839" s="7" t="s">
        <v>2132</v>
      </c>
      <c r="B839" s="8" t="s">
        <v>17</v>
      </c>
      <c r="C839" s="10" t="s">
        <v>2133</v>
      </c>
      <c r="F839" t="s">
        <v>287</v>
      </c>
      <c r="G839" s="8" t="s">
        <v>20</v>
      </c>
      <c r="K839">
        <v>4</v>
      </c>
      <c r="L839" s="38" t="s">
        <v>22</v>
      </c>
      <c r="P839" t="s">
        <v>125</v>
      </c>
      <c r="Q839" t="s">
        <v>2134</v>
      </c>
    </row>
    <row r="840" spans="1:17" ht="15.75" customHeight="1">
      <c r="A840" s="7" t="s">
        <v>2135</v>
      </c>
      <c r="B840" s="8" t="s">
        <v>17</v>
      </c>
      <c r="C840" s="10" t="s">
        <v>2136</v>
      </c>
      <c r="F840" t="s">
        <v>287</v>
      </c>
      <c r="G840" s="8" t="s">
        <v>20</v>
      </c>
      <c r="K840">
        <v>4</v>
      </c>
      <c r="L840" s="38" t="s">
        <v>22</v>
      </c>
      <c r="P840" t="s">
        <v>125</v>
      </c>
      <c r="Q840" t="s">
        <v>2137</v>
      </c>
    </row>
    <row r="841" spans="1:17" ht="15.75" customHeight="1">
      <c r="A841" s="7" t="s">
        <v>2138</v>
      </c>
      <c r="B841" s="8" t="s">
        <v>17</v>
      </c>
      <c r="C841" s="10" t="s">
        <v>2139</v>
      </c>
      <c r="F841" t="s">
        <v>287</v>
      </c>
      <c r="G841" s="8" t="s">
        <v>20</v>
      </c>
      <c r="K841">
        <v>4</v>
      </c>
      <c r="L841" s="38" t="s">
        <v>22</v>
      </c>
      <c r="P841" t="s">
        <v>301</v>
      </c>
      <c r="Q841" t="s">
        <v>2140</v>
      </c>
    </row>
    <row r="842" spans="1:17" ht="15.75" customHeight="1">
      <c r="A842" s="7" t="s">
        <v>2141</v>
      </c>
      <c r="B842" s="8" t="s">
        <v>17</v>
      </c>
      <c r="C842" s="10" t="s">
        <v>2142</v>
      </c>
      <c r="F842" t="s">
        <v>287</v>
      </c>
      <c r="G842" s="8" t="s">
        <v>20</v>
      </c>
      <c r="K842">
        <v>5</v>
      </c>
      <c r="L842" s="38" t="s">
        <v>22</v>
      </c>
      <c r="P842" t="s">
        <v>125</v>
      </c>
      <c r="Q842" t="s">
        <v>2143</v>
      </c>
    </row>
    <row r="843" spans="1:17" ht="15.75" customHeight="1">
      <c r="A843" s="7" t="s">
        <v>2144</v>
      </c>
      <c r="B843" s="8" t="s">
        <v>17</v>
      </c>
      <c r="C843" s="10" t="s">
        <v>2145</v>
      </c>
      <c r="F843" t="s">
        <v>287</v>
      </c>
      <c r="G843" s="8" t="s">
        <v>20</v>
      </c>
      <c r="K843">
        <v>5</v>
      </c>
      <c r="L843" s="38" t="s">
        <v>22</v>
      </c>
      <c r="P843" t="s">
        <v>125</v>
      </c>
      <c r="Q843" t="s">
        <v>2146</v>
      </c>
    </row>
    <row r="844" spans="1:17" ht="15.75" customHeight="1">
      <c r="A844" s="7" t="s">
        <v>2147</v>
      </c>
      <c r="B844" s="8" t="s">
        <v>17</v>
      </c>
      <c r="C844" s="10" t="s">
        <v>2148</v>
      </c>
      <c r="F844" t="s">
        <v>287</v>
      </c>
      <c r="G844" s="8" t="s">
        <v>20</v>
      </c>
      <c r="K844">
        <v>5</v>
      </c>
      <c r="L844" s="38" t="s">
        <v>22</v>
      </c>
      <c r="P844" t="s">
        <v>297</v>
      </c>
      <c r="Q844" t="s">
        <v>2149</v>
      </c>
    </row>
    <row r="845" spans="1:17" ht="15.75" customHeight="1">
      <c r="A845" s="7" t="s">
        <v>2150</v>
      </c>
      <c r="B845" s="8" t="s">
        <v>17</v>
      </c>
      <c r="C845" s="10" t="s">
        <v>2151</v>
      </c>
      <c r="F845" t="s">
        <v>287</v>
      </c>
      <c r="G845" s="8" t="s">
        <v>20</v>
      </c>
      <c r="K845">
        <v>6</v>
      </c>
      <c r="L845" s="38" t="s">
        <v>22</v>
      </c>
      <c r="P845" t="s">
        <v>125</v>
      </c>
      <c r="Q845" t="s">
        <v>2152</v>
      </c>
    </row>
    <row r="846" spans="1:17" ht="15.75" customHeight="1">
      <c r="A846" s="7" t="s">
        <v>2153</v>
      </c>
      <c r="B846" s="8" t="s">
        <v>17</v>
      </c>
      <c r="C846" s="10" t="s">
        <v>2154</v>
      </c>
      <c r="F846" t="s">
        <v>287</v>
      </c>
      <c r="G846" s="8" t="s">
        <v>20</v>
      </c>
      <c r="K846">
        <v>6</v>
      </c>
      <c r="L846" s="38" t="s">
        <v>22</v>
      </c>
      <c r="P846" t="s">
        <v>55</v>
      </c>
      <c r="Q846" t="s">
        <v>2155</v>
      </c>
    </row>
    <row r="847" spans="1:17" ht="15.75" customHeight="1">
      <c r="A847" s="7" t="s">
        <v>2156</v>
      </c>
      <c r="B847" s="8" t="s">
        <v>17</v>
      </c>
      <c r="C847" s="10" t="s">
        <v>2157</v>
      </c>
      <c r="F847" t="s">
        <v>287</v>
      </c>
      <c r="G847" s="8" t="s">
        <v>20</v>
      </c>
      <c r="K847">
        <v>6</v>
      </c>
      <c r="L847" s="38" t="s">
        <v>22</v>
      </c>
      <c r="P847" t="s">
        <v>297</v>
      </c>
      <c r="Q847" t="s">
        <v>2158</v>
      </c>
    </row>
    <row r="848" spans="1:17" ht="15.75" customHeight="1">
      <c r="A848" s="7" t="s">
        <v>2159</v>
      </c>
      <c r="B848" s="8" t="s">
        <v>17</v>
      </c>
      <c r="C848" s="10" t="s">
        <v>2160</v>
      </c>
      <c r="F848" t="s">
        <v>287</v>
      </c>
      <c r="G848" s="8" t="s">
        <v>20</v>
      </c>
      <c r="K848">
        <v>6</v>
      </c>
      <c r="L848" s="38" t="s">
        <v>22</v>
      </c>
      <c r="P848" t="s">
        <v>297</v>
      </c>
      <c r="Q848" t="s">
        <v>2161</v>
      </c>
    </row>
    <row r="849" spans="1:17" ht="15.75" customHeight="1">
      <c r="A849" s="7" t="s">
        <v>2162</v>
      </c>
      <c r="B849" s="8" t="s">
        <v>17</v>
      </c>
      <c r="C849" s="10" t="s">
        <v>2163</v>
      </c>
      <c r="F849" t="s">
        <v>287</v>
      </c>
      <c r="G849" s="8" t="s">
        <v>20</v>
      </c>
      <c r="K849">
        <v>7</v>
      </c>
      <c r="L849" s="38" t="s">
        <v>22</v>
      </c>
      <c r="P849" t="s">
        <v>125</v>
      </c>
      <c r="Q849" t="s">
        <v>2164</v>
      </c>
    </row>
    <row r="850" spans="1:17" ht="15.75" customHeight="1">
      <c r="A850" s="7" t="s">
        <v>2165</v>
      </c>
      <c r="B850" s="8" t="s">
        <v>17</v>
      </c>
      <c r="C850" s="10" t="s">
        <v>2166</v>
      </c>
      <c r="F850" t="s">
        <v>287</v>
      </c>
      <c r="G850" s="8" t="s">
        <v>20</v>
      </c>
      <c r="K850">
        <v>7</v>
      </c>
      <c r="L850" s="38" t="s">
        <v>22</v>
      </c>
      <c r="P850" t="s">
        <v>125</v>
      </c>
      <c r="Q850" t="s">
        <v>2167</v>
      </c>
    </row>
    <row r="851" spans="1:17" ht="15.75" customHeight="1">
      <c r="A851" s="7" t="s">
        <v>2168</v>
      </c>
      <c r="B851" s="8" t="s">
        <v>17</v>
      </c>
      <c r="C851" s="10" t="s">
        <v>2169</v>
      </c>
      <c r="F851" t="s">
        <v>287</v>
      </c>
      <c r="G851" s="8" t="s">
        <v>20</v>
      </c>
      <c r="K851">
        <v>7</v>
      </c>
      <c r="L851" s="38" t="s">
        <v>22</v>
      </c>
      <c r="P851" t="s">
        <v>125</v>
      </c>
      <c r="Q851" t="s">
        <v>2170</v>
      </c>
    </row>
    <row r="852" spans="1:17" ht="15.75" customHeight="1">
      <c r="A852" s="7" t="s">
        <v>2171</v>
      </c>
      <c r="B852" s="8" t="s">
        <v>17</v>
      </c>
      <c r="C852" s="10" t="s">
        <v>2172</v>
      </c>
      <c r="F852" t="s">
        <v>19</v>
      </c>
      <c r="G852" s="8" t="s">
        <v>20</v>
      </c>
      <c r="K852">
        <v>1</v>
      </c>
      <c r="L852" s="38" t="s">
        <v>22</v>
      </c>
      <c r="P852" t="s">
        <v>23</v>
      </c>
      <c r="Q852" t="s">
        <v>2173</v>
      </c>
    </row>
    <row r="853" spans="1:17" ht="15.75" customHeight="1">
      <c r="A853" s="7" t="s">
        <v>2174</v>
      </c>
      <c r="B853" s="8" t="s">
        <v>17</v>
      </c>
      <c r="C853" s="10" t="s">
        <v>2175</v>
      </c>
      <c r="F853" t="s">
        <v>19</v>
      </c>
      <c r="G853" s="8" t="s">
        <v>20</v>
      </c>
      <c r="K853">
        <v>1</v>
      </c>
      <c r="L853" s="38" t="s">
        <v>22</v>
      </c>
      <c r="P853" t="s">
        <v>23</v>
      </c>
      <c r="Q853" t="s">
        <v>2176</v>
      </c>
    </row>
    <row r="854" spans="1:17" ht="15.75" customHeight="1">
      <c r="A854" s="7" t="s">
        <v>2177</v>
      </c>
      <c r="B854" s="8" t="s">
        <v>17</v>
      </c>
      <c r="C854" s="10" t="s">
        <v>2178</v>
      </c>
      <c r="F854" t="s">
        <v>19</v>
      </c>
      <c r="G854" s="8" t="s">
        <v>20</v>
      </c>
      <c r="K854">
        <v>1</v>
      </c>
      <c r="L854" s="38" t="s">
        <v>22</v>
      </c>
      <c r="P854" t="s">
        <v>23</v>
      </c>
      <c r="Q854" t="s">
        <v>2179</v>
      </c>
    </row>
    <row r="855" spans="1:17" ht="15.75" customHeight="1">
      <c r="A855" s="7" t="s">
        <v>2180</v>
      </c>
      <c r="B855" s="8" t="s">
        <v>17</v>
      </c>
      <c r="C855" s="10" t="s">
        <v>2181</v>
      </c>
      <c r="F855" t="s">
        <v>19</v>
      </c>
      <c r="G855" s="8" t="s">
        <v>20</v>
      </c>
      <c r="K855">
        <v>1</v>
      </c>
      <c r="L855" s="38" t="s">
        <v>22</v>
      </c>
      <c r="P855" t="s">
        <v>23</v>
      </c>
      <c r="Q855" t="s">
        <v>2182</v>
      </c>
    </row>
    <row r="856" spans="1:17" ht="15.75" customHeight="1">
      <c r="A856" s="7" t="s">
        <v>2183</v>
      </c>
      <c r="B856" s="8" t="s">
        <v>17</v>
      </c>
      <c r="C856" s="10" t="s">
        <v>2184</v>
      </c>
      <c r="F856" t="s">
        <v>19</v>
      </c>
      <c r="G856" s="8" t="s">
        <v>20</v>
      </c>
      <c r="K856">
        <v>2</v>
      </c>
      <c r="L856" s="38" t="s">
        <v>22</v>
      </c>
      <c r="P856" t="s">
        <v>23</v>
      </c>
      <c r="Q856" t="s">
        <v>2185</v>
      </c>
    </row>
    <row r="857" spans="1:17" ht="15.75" customHeight="1">
      <c r="A857" s="7" t="s">
        <v>2186</v>
      </c>
      <c r="B857" s="8" t="s">
        <v>17</v>
      </c>
      <c r="C857" s="10" t="s">
        <v>2187</v>
      </c>
      <c r="F857" t="s">
        <v>19</v>
      </c>
      <c r="G857" s="8" t="s">
        <v>20</v>
      </c>
      <c r="K857">
        <v>2</v>
      </c>
      <c r="L857" s="38" t="s">
        <v>22</v>
      </c>
      <c r="P857" t="s">
        <v>23</v>
      </c>
      <c r="Q857" t="s">
        <v>2188</v>
      </c>
    </row>
    <row r="858" spans="1:17" ht="15.75" customHeight="1">
      <c r="A858" s="7" t="s">
        <v>2189</v>
      </c>
      <c r="B858" s="8" t="s">
        <v>17</v>
      </c>
      <c r="C858" s="10" t="s">
        <v>2190</v>
      </c>
      <c r="F858" t="s">
        <v>19</v>
      </c>
      <c r="G858" s="8" t="s">
        <v>20</v>
      </c>
      <c r="K858">
        <v>3</v>
      </c>
      <c r="L858" s="38" t="s">
        <v>22</v>
      </c>
      <c r="P858" t="s">
        <v>23</v>
      </c>
      <c r="Q858" t="s">
        <v>2191</v>
      </c>
    </row>
    <row r="859" spans="1:17" ht="15.75" customHeight="1">
      <c r="A859" s="7" t="s">
        <v>2192</v>
      </c>
      <c r="B859" s="8" t="s">
        <v>17</v>
      </c>
      <c r="C859" s="10" t="s">
        <v>2193</v>
      </c>
      <c r="F859" t="s">
        <v>19</v>
      </c>
      <c r="G859" s="8" t="s">
        <v>20</v>
      </c>
      <c r="K859">
        <v>3</v>
      </c>
      <c r="L859" s="38" t="s">
        <v>22</v>
      </c>
      <c r="P859" t="s">
        <v>23</v>
      </c>
      <c r="Q859" t="s">
        <v>2194</v>
      </c>
    </row>
    <row r="860" spans="1:17" ht="15.75" customHeight="1">
      <c r="A860" s="7" t="s">
        <v>2195</v>
      </c>
      <c r="B860" s="8" t="s">
        <v>17</v>
      </c>
      <c r="C860" s="10" t="s">
        <v>2196</v>
      </c>
      <c r="F860" t="s">
        <v>19</v>
      </c>
      <c r="G860" s="8" t="s">
        <v>20</v>
      </c>
      <c r="K860">
        <v>4</v>
      </c>
      <c r="L860" s="38" t="s">
        <v>22</v>
      </c>
      <c r="P860" t="s">
        <v>23</v>
      </c>
      <c r="Q860" t="s">
        <v>2197</v>
      </c>
    </row>
    <row r="861" spans="1:17" ht="15.75" customHeight="1">
      <c r="A861" s="7" t="s">
        <v>2198</v>
      </c>
      <c r="B861" s="8" t="s">
        <v>17</v>
      </c>
      <c r="C861" s="10" t="s">
        <v>2199</v>
      </c>
      <c r="F861" t="s">
        <v>19</v>
      </c>
      <c r="G861" s="8" t="s">
        <v>20</v>
      </c>
      <c r="K861">
        <v>4</v>
      </c>
      <c r="L861" s="38" t="s">
        <v>22</v>
      </c>
      <c r="P861" t="s">
        <v>23</v>
      </c>
      <c r="Q861" t="s">
        <v>2200</v>
      </c>
    </row>
    <row r="862" spans="1:17" ht="15.75" customHeight="1">
      <c r="A862" s="7" t="s">
        <v>2201</v>
      </c>
      <c r="B862" s="8" t="s">
        <v>17</v>
      </c>
      <c r="C862" s="10" t="s">
        <v>2202</v>
      </c>
      <c r="F862" t="s">
        <v>54</v>
      </c>
      <c r="G862" s="8" t="s">
        <v>20</v>
      </c>
      <c r="K862">
        <v>1</v>
      </c>
      <c r="L862" s="38" t="s">
        <v>22</v>
      </c>
      <c r="P862" t="s">
        <v>55</v>
      </c>
      <c r="Q862" t="s">
        <v>2203</v>
      </c>
    </row>
    <row r="863" spans="1:17" ht="15.75" customHeight="1">
      <c r="A863" s="7" t="s">
        <v>2204</v>
      </c>
      <c r="B863" s="8" t="s">
        <v>17</v>
      </c>
      <c r="C863" s="10" t="s">
        <v>2205</v>
      </c>
      <c r="F863" t="s">
        <v>54</v>
      </c>
      <c r="G863" s="8" t="s">
        <v>20</v>
      </c>
      <c r="K863">
        <v>1</v>
      </c>
      <c r="L863" s="38" t="s">
        <v>22</v>
      </c>
      <c r="P863" t="s">
        <v>55</v>
      </c>
      <c r="Q863" t="s">
        <v>2206</v>
      </c>
    </row>
    <row r="864" spans="1:17" ht="15.75" customHeight="1">
      <c r="A864" s="7" t="s">
        <v>2207</v>
      </c>
      <c r="B864" s="8" t="s">
        <v>17</v>
      </c>
      <c r="C864" s="10" t="s">
        <v>2208</v>
      </c>
      <c r="F864" t="s">
        <v>54</v>
      </c>
      <c r="G864" s="8" t="s">
        <v>20</v>
      </c>
      <c r="K864">
        <v>1</v>
      </c>
      <c r="L864" s="38" t="s">
        <v>22</v>
      </c>
      <c r="P864" t="s">
        <v>55</v>
      </c>
      <c r="Q864" t="s">
        <v>2209</v>
      </c>
    </row>
    <row r="865" spans="1:17" ht="15.75" customHeight="1">
      <c r="A865" s="7" t="s">
        <v>2210</v>
      </c>
      <c r="B865" s="8" t="s">
        <v>17</v>
      </c>
      <c r="C865" s="10" t="s">
        <v>2211</v>
      </c>
      <c r="F865" t="s">
        <v>54</v>
      </c>
      <c r="G865" s="8" t="s">
        <v>20</v>
      </c>
      <c r="K865">
        <v>1</v>
      </c>
      <c r="L865" s="38" t="s">
        <v>22</v>
      </c>
      <c r="P865" t="s">
        <v>55</v>
      </c>
      <c r="Q865" t="s">
        <v>2212</v>
      </c>
    </row>
    <row r="866" spans="1:17" ht="15.75" customHeight="1">
      <c r="A866" s="7" t="s">
        <v>2213</v>
      </c>
      <c r="B866" s="8" t="s">
        <v>17</v>
      </c>
      <c r="C866" s="10" t="s">
        <v>2214</v>
      </c>
      <c r="F866" t="s">
        <v>54</v>
      </c>
      <c r="G866" s="8" t="s">
        <v>20</v>
      </c>
      <c r="K866">
        <v>2</v>
      </c>
      <c r="L866" s="38" t="s">
        <v>22</v>
      </c>
      <c r="P866" t="s">
        <v>55</v>
      </c>
      <c r="Q866" t="s">
        <v>2215</v>
      </c>
    </row>
    <row r="867" spans="1:17" ht="15.75" customHeight="1">
      <c r="A867" s="7" t="s">
        <v>2216</v>
      </c>
      <c r="B867" s="8" t="s">
        <v>17</v>
      </c>
      <c r="C867" s="10" t="s">
        <v>2217</v>
      </c>
      <c r="F867" t="s">
        <v>54</v>
      </c>
      <c r="G867" s="8" t="s">
        <v>20</v>
      </c>
      <c r="K867">
        <v>2</v>
      </c>
      <c r="L867" s="38" t="s">
        <v>22</v>
      </c>
      <c r="P867" t="s">
        <v>55</v>
      </c>
      <c r="Q867" t="s">
        <v>2218</v>
      </c>
    </row>
    <row r="868" spans="1:17" ht="15.75" customHeight="1">
      <c r="A868" s="7" t="s">
        <v>2219</v>
      </c>
      <c r="B868" s="8" t="s">
        <v>17</v>
      </c>
      <c r="C868" s="10" t="s">
        <v>2220</v>
      </c>
      <c r="F868" t="s">
        <v>54</v>
      </c>
      <c r="G868" s="8" t="s">
        <v>20</v>
      </c>
      <c r="K868">
        <v>3</v>
      </c>
      <c r="L868" s="38" t="s">
        <v>22</v>
      </c>
      <c r="P868" t="s">
        <v>55</v>
      </c>
      <c r="Q868" t="s">
        <v>2221</v>
      </c>
    </row>
    <row r="869" spans="1:17" ht="15.75" customHeight="1">
      <c r="A869" s="7" t="s">
        <v>2222</v>
      </c>
      <c r="B869" s="8" t="s">
        <v>17</v>
      </c>
      <c r="C869" s="10" t="s">
        <v>2223</v>
      </c>
      <c r="F869" t="s">
        <v>54</v>
      </c>
      <c r="G869" s="8" t="s">
        <v>20</v>
      </c>
      <c r="H869" s="7"/>
      <c r="I869" s="7"/>
      <c r="K869">
        <v>3</v>
      </c>
      <c r="L869" s="38" t="s">
        <v>22</v>
      </c>
      <c r="P869" t="s">
        <v>55</v>
      </c>
      <c r="Q869" t="s">
        <v>2224</v>
      </c>
    </row>
    <row r="870" spans="1:17" ht="15.75" customHeight="1">
      <c r="A870" s="7" t="s">
        <v>2225</v>
      </c>
      <c r="B870" s="8" t="s">
        <v>17</v>
      </c>
      <c r="C870" s="10" t="s">
        <v>2226</v>
      </c>
      <c r="F870" t="s">
        <v>54</v>
      </c>
      <c r="G870" s="8" t="s">
        <v>20</v>
      </c>
      <c r="K870">
        <v>4</v>
      </c>
      <c r="L870" s="38" t="s">
        <v>22</v>
      </c>
      <c r="P870" t="s">
        <v>55</v>
      </c>
      <c r="Q870" t="s">
        <v>2227</v>
      </c>
    </row>
    <row r="871" spans="1:17" ht="15.75" customHeight="1">
      <c r="A871" s="7" t="s">
        <v>2228</v>
      </c>
      <c r="B871" s="8" t="s">
        <v>17</v>
      </c>
      <c r="C871" s="10" t="s">
        <v>2229</v>
      </c>
      <c r="F871" t="s">
        <v>54</v>
      </c>
      <c r="G871" s="8" t="s">
        <v>20</v>
      </c>
      <c r="K871">
        <v>4</v>
      </c>
      <c r="L871" s="38" t="s">
        <v>22</v>
      </c>
      <c r="P871" t="s">
        <v>55</v>
      </c>
      <c r="Q871" t="s">
        <v>2230</v>
      </c>
    </row>
    <row r="872" spans="1:17" ht="15.75" customHeight="1">
      <c r="A872" s="7" t="s">
        <v>2231</v>
      </c>
      <c r="B872" s="8" t="s">
        <v>17</v>
      </c>
      <c r="C872" s="10" t="s">
        <v>2232</v>
      </c>
      <c r="F872" t="s">
        <v>2233</v>
      </c>
      <c r="G872" s="8" t="s">
        <v>20</v>
      </c>
      <c r="K872">
        <v>1</v>
      </c>
      <c r="L872" s="38" t="s">
        <v>22</v>
      </c>
      <c r="P872" t="s">
        <v>692</v>
      </c>
      <c r="Q872" t="s">
        <v>2234</v>
      </c>
    </row>
    <row r="873" spans="1:17" ht="15.75" customHeight="1">
      <c r="A873" s="7" t="s">
        <v>2235</v>
      </c>
      <c r="B873" s="8" t="s">
        <v>17</v>
      </c>
      <c r="C873" s="10" t="s">
        <v>2236</v>
      </c>
      <c r="F873" t="s">
        <v>2233</v>
      </c>
      <c r="G873" s="8" t="s">
        <v>20</v>
      </c>
      <c r="K873">
        <v>1</v>
      </c>
      <c r="L873" s="38" t="s">
        <v>22</v>
      </c>
      <c r="P873" t="s">
        <v>695</v>
      </c>
      <c r="Q873" t="s">
        <v>2237</v>
      </c>
    </row>
    <row r="874" spans="1:17" ht="15.75" customHeight="1">
      <c r="A874" s="7" t="s">
        <v>2238</v>
      </c>
      <c r="B874" s="8" t="s">
        <v>17</v>
      </c>
      <c r="C874" s="10" t="s">
        <v>2239</v>
      </c>
      <c r="F874" t="s">
        <v>2233</v>
      </c>
      <c r="G874" s="8" t="s">
        <v>20</v>
      </c>
      <c r="K874">
        <v>1</v>
      </c>
      <c r="L874" s="38" t="s">
        <v>22</v>
      </c>
      <c r="P874" t="s">
        <v>692</v>
      </c>
      <c r="Q874" t="s">
        <v>2240</v>
      </c>
    </row>
    <row r="875" spans="1:17" ht="15.75" customHeight="1">
      <c r="A875" s="7" t="s">
        <v>2241</v>
      </c>
      <c r="B875" s="8" t="s">
        <v>17</v>
      </c>
      <c r="C875" s="10" t="s">
        <v>2242</v>
      </c>
      <c r="F875" t="s">
        <v>2233</v>
      </c>
      <c r="G875" s="8" t="s">
        <v>20</v>
      </c>
      <c r="K875">
        <v>1</v>
      </c>
      <c r="L875" s="38" t="s">
        <v>22</v>
      </c>
      <c r="P875" t="s">
        <v>297</v>
      </c>
      <c r="Q875" t="s">
        <v>2243</v>
      </c>
    </row>
    <row r="876" spans="1:17" ht="15.75" customHeight="1">
      <c r="A876" s="7" t="s">
        <v>2244</v>
      </c>
      <c r="B876" s="8" t="s">
        <v>17</v>
      </c>
      <c r="C876" s="10" t="s">
        <v>2245</v>
      </c>
      <c r="F876" t="s">
        <v>2233</v>
      </c>
      <c r="G876" s="8" t="s">
        <v>20</v>
      </c>
      <c r="K876">
        <v>2</v>
      </c>
      <c r="L876" s="38" t="s">
        <v>22</v>
      </c>
      <c r="P876" t="s">
        <v>160</v>
      </c>
      <c r="Q876" t="s">
        <v>2246</v>
      </c>
    </row>
    <row r="877" spans="1:17" ht="15.75" customHeight="1">
      <c r="A877" s="7" t="s">
        <v>2247</v>
      </c>
      <c r="B877" s="8" t="s">
        <v>17</v>
      </c>
      <c r="C877" s="10" t="s">
        <v>2248</v>
      </c>
      <c r="F877" t="s">
        <v>2233</v>
      </c>
      <c r="G877" s="8" t="s">
        <v>20</v>
      </c>
      <c r="K877">
        <v>2</v>
      </c>
      <c r="L877" s="38" t="s">
        <v>22</v>
      </c>
      <c r="P877" t="s">
        <v>692</v>
      </c>
      <c r="Q877" t="s">
        <v>2249</v>
      </c>
    </row>
    <row r="878" spans="1:17" ht="15.75" customHeight="1">
      <c r="A878" s="7" t="s">
        <v>2250</v>
      </c>
      <c r="B878" s="8" t="s">
        <v>17</v>
      </c>
      <c r="C878" s="10" t="s">
        <v>2251</v>
      </c>
      <c r="F878" t="s">
        <v>2233</v>
      </c>
      <c r="G878" s="8" t="s">
        <v>20</v>
      </c>
      <c r="H878" s="7"/>
      <c r="I878" s="7"/>
      <c r="K878">
        <v>2</v>
      </c>
      <c r="L878" s="38" t="s">
        <v>22</v>
      </c>
      <c r="P878" t="s">
        <v>692</v>
      </c>
      <c r="Q878" t="s">
        <v>2252</v>
      </c>
    </row>
    <row r="879" spans="1:17" ht="15.75" customHeight="1">
      <c r="A879" s="7" t="s">
        <v>2253</v>
      </c>
      <c r="B879" s="8" t="s">
        <v>17</v>
      </c>
      <c r="C879" s="10" t="s">
        <v>2254</v>
      </c>
      <c r="F879" t="s">
        <v>2233</v>
      </c>
      <c r="G879" s="8" t="s">
        <v>20</v>
      </c>
      <c r="K879">
        <v>2</v>
      </c>
      <c r="L879" s="38" t="s">
        <v>22</v>
      </c>
      <c r="P879" t="s">
        <v>692</v>
      </c>
      <c r="Q879" t="s">
        <v>2255</v>
      </c>
    </row>
    <row r="880" spans="1:17" ht="15.75" customHeight="1">
      <c r="A880" s="7" t="s">
        <v>2256</v>
      </c>
      <c r="B880" s="8" t="s">
        <v>17</v>
      </c>
      <c r="C880" s="10" t="s">
        <v>2257</v>
      </c>
      <c r="F880" t="s">
        <v>2233</v>
      </c>
      <c r="G880" s="8" t="s">
        <v>20</v>
      </c>
      <c r="K880">
        <v>3</v>
      </c>
      <c r="L880" s="38" t="s">
        <v>22</v>
      </c>
      <c r="P880" t="s">
        <v>692</v>
      </c>
      <c r="Q880" t="s">
        <v>2258</v>
      </c>
    </row>
    <row r="881" spans="1:17" ht="15.75" customHeight="1">
      <c r="A881" s="7" t="s">
        <v>2259</v>
      </c>
      <c r="B881" s="8" t="s">
        <v>17</v>
      </c>
      <c r="C881" s="10" t="s">
        <v>2260</v>
      </c>
      <c r="F881" t="s">
        <v>2233</v>
      </c>
      <c r="G881" s="8" t="s">
        <v>20</v>
      </c>
      <c r="K881">
        <v>3</v>
      </c>
      <c r="L881" s="38" t="s">
        <v>22</v>
      </c>
      <c r="P881" t="s">
        <v>297</v>
      </c>
      <c r="Q881" t="s">
        <v>2261</v>
      </c>
    </row>
    <row r="882" spans="1:17" ht="15.75" customHeight="1">
      <c r="A882" s="7" t="s">
        <v>2262</v>
      </c>
      <c r="B882" s="8" t="s">
        <v>17</v>
      </c>
      <c r="C882" s="10" t="s">
        <v>2263</v>
      </c>
      <c r="F882" t="s">
        <v>2233</v>
      </c>
      <c r="G882" s="8" t="s">
        <v>20</v>
      </c>
      <c r="K882">
        <v>3</v>
      </c>
      <c r="L882" s="38" t="s">
        <v>22</v>
      </c>
      <c r="P882" t="s">
        <v>692</v>
      </c>
      <c r="Q882" t="s">
        <v>2264</v>
      </c>
    </row>
    <row r="883" spans="1:17" ht="15.75" customHeight="1">
      <c r="A883" s="7" t="s">
        <v>2265</v>
      </c>
      <c r="B883" s="8" t="s">
        <v>17</v>
      </c>
      <c r="C883" s="10" t="s">
        <v>2266</v>
      </c>
      <c r="F883" t="s">
        <v>2233</v>
      </c>
      <c r="G883" s="8" t="s">
        <v>20</v>
      </c>
      <c r="K883">
        <v>3</v>
      </c>
      <c r="L883" s="38" t="s">
        <v>22</v>
      </c>
      <c r="P883" t="s">
        <v>692</v>
      </c>
      <c r="Q883" t="s">
        <v>2267</v>
      </c>
    </row>
    <row r="884" spans="1:17" ht="15.75" customHeight="1">
      <c r="A884" s="7" t="s">
        <v>2268</v>
      </c>
      <c r="B884" s="8" t="s">
        <v>17</v>
      </c>
      <c r="C884" s="10" t="s">
        <v>2269</v>
      </c>
      <c r="F884" t="s">
        <v>2233</v>
      </c>
      <c r="G884" s="8" t="s">
        <v>20</v>
      </c>
      <c r="K884">
        <v>4</v>
      </c>
      <c r="L884" s="38" t="s">
        <v>22</v>
      </c>
      <c r="P884" t="s">
        <v>692</v>
      </c>
      <c r="Q884" t="s">
        <v>2270</v>
      </c>
    </row>
    <row r="885" spans="1:17" ht="15.75" customHeight="1">
      <c r="A885" s="7" t="s">
        <v>2271</v>
      </c>
      <c r="B885" s="8" t="s">
        <v>17</v>
      </c>
      <c r="C885" s="10" t="s">
        <v>2272</v>
      </c>
      <c r="F885" t="s">
        <v>2233</v>
      </c>
      <c r="G885" s="8" t="s">
        <v>20</v>
      </c>
      <c r="K885">
        <v>4</v>
      </c>
      <c r="L885" s="38" t="s">
        <v>22</v>
      </c>
      <c r="P885" t="s">
        <v>692</v>
      </c>
      <c r="Q885" t="s">
        <v>2273</v>
      </c>
    </row>
    <row r="886" spans="1:17" ht="15.75" customHeight="1">
      <c r="A886" s="7" t="s">
        <v>2274</v>
      </c>
      <c r="B886" s="8" t="s">
        <v>17</v>
      </c>
      <c r="C886" s="10" t="s">
        <v>2275</v>
      </c>
      <c r="F886" t="s">
        <v>2233</v>
      </c>
      <c r="G886" s="8" t="s">
        <v>20</v>
      </c>
      <c r="K886">
        <v>4</v>
      </c>
      <c r="L886" s="38" t="s">
        <v>22</v>
      </c>
      <c r="P886" t="s">
        <v>692</v>
      </c>
      <c r="Q886" t="s">
        <v>2276</v>
      </c>
    </row>
    <row r="887" spans="1:17" ht="15.75" customHeight="1">
      <c r="A887" s="7" t="s">
        <v>2277</v>
      </c>
      <c r="B887" s="8" t="s">
        <v>17</v>
      </c>
      <c r="C887" s="10" t="s">
        <v>2278</v>
      </c>
      <c r="F887" t="s">
        <v>2233</v>
      </c>
      <c r="G887" s="8" t="s">
        <v>20</v>
      </c>
      <c r="K887">
        <v>4</v>
      </c>
      <c r="L887" s="38" t="s">
        <v>22</v>
      </c>
      <c r="P887" t="s">
        <v>692</v>
      </c>
      <c r="Q887" t="s">
        <v>2279</v>
      </c>
    </row>
    <row r="888" spans="1:17" ht="15.75" customHeight="1">
      <c r="A888" s="7" t="s">
        <v>2280</v>
      </c>
      <c r="B888" s="8" t="s">
        <v>17</v>
      </c>
      <c r="C888" s="10" t="s">
        <v>2281</v>
      </c>
      <c r="F888" t="s">
        <v>2233</v>
      </c>
      <c r="G888" s="8" t="s">
        <v>20</v>
      </c>
      <c r="K888">
        <v>4</v>
      </c>
      <c r="L888" s="38" t="s">
        <v>22</v>
      </c>
      <c r="P888" t="s">
        <v>692</v>
      </c>
      <c r="Q888" t="s">
        <v>2282</v>
      </c>
    </row>
    <row r="889" spans="1:17" ht="15.75" customHeight="1">
      <c r="A889" s="7" t="s">
        <v>2283</v>
      </c>
      <c r="B889" s="8" t="s">
        <v>17</v>
      </c>
      <c r="C889" s="10" t="s">
        <v>2284</v>
      </c>
      <c r="F889" t="s">
        <v>2233</v>
      </c>
      <c r="G889" s="8" t="s">
        <v>20</v>
      </c>
      <c r="K889">
        <v>5</v>
      </c>
      <c r="L889" s="38" t="s">
        <v>22</v>
      </c>
      <c r="P889" t="s">
        <v>692</v>
      </c>
      <c r="Q889" t="s">
        <v>2285</v>
      </c>
    </row>
    <row r="890" spans="1:17" ht="15.75" customHeight="1">
      <c r="A890" s="7" t="s">
        <v>2286</v>
      </c>
      <c r="B890" s="8" t="s">
        <v>17</v>
      </c>
      <c r="C890" s="10" t="s">
        <v>2287</v>
      </c>
      <c r="F890" t="s">
        <v>2233</v>
      </c>
      <c r="G890" s="8" t="s">
        <v>20</v>
      </c>
      <c r="K890">
        <v>5</v>
      </c>
      <c r="L890" s="38" t="s">
        <v>22</v>
      </c>
      <c r="P890" t="s">
        <v>692</v>
      </c>
      <c r="Q890" t="s">
        <v>2288</v>
      </c>
    </row>
    <row r="891" spans="1:17" ht="15.75" customHeight="1">
      <c r="A891" s="7" t="s">
        <v>2289</v>
      </c>
      <c r="B891" s="8" t="s">
        <v>17</v>
      </c>
      <c r="C891" s="10" t="s">
        <v>2290</v>
      </c>
      <c r="F891" t="s">
        <v>2233</v>
      </c>
      <c r="G891" s="8" t="s">
        <v>20</v>
      </c>
      <c r="K891">
        <v>5</v>
      </c>
      <c r="L891" s="38" t="s">
        <v>22</v>
      </c>
      <c r="P891" t="s">
        <v>692</v>
      </c>
      <c r="Q891" t="s">
        <v>2291</v>
      </c>
    </row>
    <row r="892" spans="1:17" ht="15.75" customHeight="1">
      <c r="A892" s="7" t="s">
        <v>2292</v>
      </c>
      <c r="B892" s="8" t="s">
        <v>17</v>
      </c>
      <c r="C892" s="10" t="s">
        <v>2293</v>
      </c>
      <c r="F892" t="s">
        <v>2233</v>
      </c>
      <c r="G892" s="8" t="s">
        <v>20</v>
      </c>
      <c r="K892">
        <v>5</v>
      </c>
      <c r="L892" s="38" t="s">
        <v>22</v>
      </c>
      <c r="P892" t="s">
        <v>692</v>
      </c>
      <c r="Q892" t="s">
        <v>2294</v>
      </c>
    </row>
    <row r="893" spans="1:17" ht="15.75" customHeight="1">
      <c r="A893" s="7" t="s">
        <v>2295</v>
      </c>
      <c r="B893" s="8" t="s">
        <v>17</v>
      </c>
      <c r="C893" s="10" t="s">
        <v>2296</v>
      </c>
      <c r="F893" t="s">
        <v>2233</v>
      </c>
      <c r="G893" s="8" t="s">
        <v>20</v>
      </c>
      <c r="K893">
        <v>5</v>
      </c>
      <c r="L893" s="38" t="s">
        <v>22</v>
      </c>
      <c r="P893" t="s">
        <v>692</v>
      </c>
      <c r="Q893" t="s">
        <v>2297</v>
      </c>
    </row>
    <row r="894" spans="1:17" ht="15.75" customHeight="1">
      <c r="A894" s="7" t="s">
        <v>2298</v>
      </c>
      <c r="B894" s="8" t="s">
        <v>17</v>
      </c>
      <c r="C894" s="10" t="s">
        <v>2299</v>
      </c>
      <c r="F894" t="s">
        <v>2233</v>
      </c>
      <c r="G894" s="8" t="s">
        <v>20</v>
      </c>
      <c r="K894">
        <v>6</v>
      </c>
      <c r="L894" s="38" t="s">
        <v>22</v>
      </c>
      <c r="P894" t="s">
        <v>692</v>
      </c>
      <c r="Q894" t="s">
        <v>2300</v>
      </c>
    </row>
    <row r="895" spans="1:17" ht="15.75" customHeight="1">
      <c r="A895" s="7" t="s">
        <v>2301</v>
      </c>
      <c r="B895" s="8" t="s">
        <v>17</v>
      </c>
      <c r="C895" s="10" t="s">
        <v>2302</v>
      </c>
      <c r="F895" t="s">
        <v>2233</v>
      </c>
      <c r="G895" s="8" t="s">
        <v>20</v>
      </c>
      <c r="K895">
        <v>6</v>
      </c>
      <c r="L895" s="38" t="s">
        <v>22</v>
      </c>
      <c r="P895" t="s">
        <v>692</v>
      </c>
      <c r="Q895" t="s">
        <v>2303</v>
      </c>
    </row>
    <row r="896" spans="1:17" ht="15.75" customHeight="1">
      <c r="A896" s="7" t="s">
        <v>2304</v>
      </c>
      <c r="B896" s="8" t="s">
        <v>17</v>
      </c>
      <c r="C896" s="10" t="s">
        <v>2305</v>
      </c>
      <c r="F896" t="s">
        <v>2233</v>
      </c>
      <c r="G896" s="8" t="s">
        <v>20</v>
      </c>
      <c r="K896">
        <v>6</v>
      </c>
      <c r="L896" s="38" t="s">
        <v>22</v>
      </c>
      <c r="P896" t="s">
        <v>692</v>
      </c>
      <c r="Q896" t="s">
        <v>2306</v>
      </c>
    </row>
    <row r="897" spans="1:17" ht="15.75" customHeight="1">
      <c r="A897" s="7" t="s">
        <v>2307</v>
      </c>
      <c r="B897" s="8" t="s">
        <v>17</v>
      </c>
      <c r="C897" s="10" t="s">
        <v>2308</v>
      </c>
      <c r="F897" t="s">
        <v>2233</v>
      </c>
      <c r="G897" s="8" t="s">
        <v>20</v>
      </c>
      <c r="K897">
        <v>6</v>
      </c>
      <c r="L897" s="38" t="s">
        <v>22</v>
      </c>
      <c r="P897" t="s">
        <v>692</v>
      </c>
      <c r="Q897" t="s">
        <v>2309</v>
      </c>
    </row>
    <row r="898" spans="1:17" ht="15.75" customHeight="1">
      <c r="A898" s="7" t="s">
        <v>2310</v>
      </c>
      <c r="B898" s="8" t="s">
        <v>17</v>
      </c>
      <c r="C898" s="10" t="s">
        <v>2311</v>
      </c>
      <c r="F898" t="s">
        <v>2233</v>
      </c>
      <c r="G898" s="8" t="s">
        <v>20</v>
      </c>
      <c r="K898">
        <v>6</v>
      </c>
      <c r="L898" s="38" t="s">
        <v>22</v>
      </c>
      <c r="P898" t="s">
        <v>692</v>
      </c>
      <c r="Q898" t="s">
        <v>2312</v>
      </c>
    </row>
    <row r="899" spans="1:17" ht="15.75" customHeight="1">
      <c r="A899" s="7" t="s">
        <v>2313</v>
      </c>
      <c r="B899" s="8" t="s">
        <v>17</v>
      </c>
      <c r="C899" s="10" t="s">
        <v>2314</v>
      </c>
      <c r="F899" t="s">
        <v>2233</v>
      </c>
      <c r="G899" s="8" t="s">
        <v>20</v>
      </c>
      <c r="K899">
        <v>6</v>
      </c>
      <c r="L899" s="38" t="s">
        <v>22</v>
      </c>
      <c r="P899" t="s">
        <v>692</v>
      </c>
      <c r="Q899" t="s">
        <v>2315</v>
      </c>
    </row>
    <row r="900" spans="1:17" ht="15.75" customHeight="1">
      <c r="A900" s="7" t="s">
        <v>2316</v>
      </c>
      <c r="B900" s="8" t="s">
        <v>17</v>
      </c>
      <c r="C900" s="10" t="s">
        <v>2317</v>
      </c>
      <c r="F900" t="s">
        <v>2233</v>
      </c>
      <c r="G900" s="8" t="s">
        <v>20</v>
      </c>
      <c r="H900" s="7"/>
      <c r="I900" s="7"/>
      <c r="K900">
        <v>7</v>
      </c>
      <c r="L900" s="38" t="s">
        <v>22</v>
      </c>
      <c r="P900" t="s">
        <v>692</v>
      </c>
      <c r="Q900" t="s">
        <v>2318</v>
      </c>
    </row>
    <row r="901" spans="1:17" ht="15.75" customHeight="1">
      <c r="A901" s="7" t="s">
        <v>2319</v>
      </c>
      <c r="B901" s="8" t="s">
        <v>17</v>
      </c>
      <c r="C901" s="10" t="s">
        <v>2320</v>
      </c>
      <c r="F901" t="s">
        <v>2233</v>
      </c>
      <c r="G901" s="8" t="s">
        <v>20</v>
      </c>
      <c r="K901">
        <v>7</v>
      </c>
      <c r="L901" s="38" t="s">
        <v>22</v>
      </c>
      <c r="P901" t="s">
        <v>692</v>
      </c>
      <c r="Q901" t="s">
        <v>2321</v>
      </c>
    </row>
    <row r="902" spans="1:17" ht="15.75" customHeight="1">
      <c r="A902" s="7" t="s">
        <v>2322</v>
      </c>
      <c r="B902" s="8" t="s">
        <v>17</v>
      </c>
      <c r="C902" s="10" t="s">
        <v>2323</v>
      </c>
      <c r="F902" t="s">
        <v>2233</v>
      </c>
      <c r="G902" s="8" t="s">
        <v>20</v>
      </c>
      <c r="K902">
        <v>7</v>
      </c>
      <c r="L902" s="38" t="s">
        <v>22</v>
      </c>
      <c r="P902" t="s">
        <v>692</v>
      </c>
      <c r="Q902" t="s">
        <v>2324</v>
      </c>
    </row>
    <row r="903" spans="1:17" ht="15.75" customHeight="1">
      <c r="A903" s="7" t="s">
        <v>2325</v>
      </c>
      <c r="B903" s="8" t="s">
        <v>17</v>
      </c>
      <c r="C903" s="10" t="s">
        <v>2326</v>
      </c>
      <c r="F903" t="s">
        <v>2233</v>
      </c>
      <c r="G903" s="8" t="s">
        <v>20</v>
      </c>
      <c r="K903">
        <v>7</v>
      </c>
      <c r="L903" s="38" t="s">
        <v>22</v>
      </c>
      <c r="P903" t="s">
        <v>692</v>
      </c>
      <c r="Q903" t="s">
        <v>2327</v>
      </c>
    </row>
    <row r="904" spans="1:17" ht="15.75" customHeight="1">
      <c r="A904" s="7" t="s">
        <v>2328</v>
      </c>
      <c r="B904" s="8" t="s">
        <v>17</v>
      </c>
      <c r="C904" s="10" t="s">
        <v>2329</v>
      </c>
      <c r="F904" t="s">
        <v>2330</v>
      </c>
      <c r="G904" s="8" t="s">
        <v>20</v>
      </c>
      <c r="H904" s="7"/>
      <c r="I904" s="7"/>
      <c r="K904">
        <v>1</v>
      </c>
      <c r="L904" s="38" t="s">
        <v>22</v>
      </c>
      <c r="P904" t="s">
        <v>695</v>
      </c>
      <c r="Q904" t="s">
        <v>1959</v>
      </c>
    </row>
    <row r="905" spans="1:17" ht="15.75" customHeight="1">
      <c r="A905" s="7" t="s">
        <v>2331</v>
      </c>
      <c r="B905" s="8" t="s">
        <v>17</v>
      </c>
      <c r="C905" s="10" t="s">
        <v>2332</v>
      </c>
      <c r="F905" t="s">
        <v>2330</v>
      </c>
      <c r="G905" s="8" t="s">
        <v>20</v>
      </c>
      <c r="K905">
        <v>1</v>
      </c>
      <c r="L905" s="38" t="s">
        <v>22</v>
      </c>
      <c r="P905" t="s">
        <v>695</v>
      </c>
      <c r="Q905" t="s">
        <v>2333</v>
      </c>
    </row>
    <row r="906" spans="1:17" ht="15.75" customHeight="1">
      <c r="A906" s="7" t="s">
        <v>2334</v>
      </c>
      <c r="B906" s="8" t="s">
        <v>17</v>
      </c>
      <c r="C906" s="10" t="s">
        <v>2335</v>
      </c>
      <c r="F906" t="s">
        <v>2330</v>
      </c>
      <c r="G906" s="8" t="s">
        <v>20</v>
      </c>
      <c r="K906">
        <v>2</v>
      </c>
      <c r="L906" s="38" t="s">
        <v>22</v>
      </c>
      <c r="P906" t="s">
        <v>695</v>
      </c>
      <c r="Q906" t="s">
        <v>2336</v>
      </c>
    </row>
    <row r="907" spans="1:17" ht="15.75" customHeight="1">
      <c r="A907" s="7" t="s">
        <v>2337</v>
      </c>
      <c r="B907" s="8" t="s">
        <v>17</v>
      </c>
      <c r="C907" s="10" t="s">
        <v>2338</v>
      </c>
      <c r="F907" t="s">
        <v>2330</v>
      </c>
      <c r="G907" s="8" t="s">
        <v>20</v>
      </c>
      <c r="K907">
        <v>2</v>
      </c>
      <c r="L907" s="38" t="s">
        <v>22</v>
      </c>
      <c r="P907" t="s">
        <v>695</v>
      </c>
      <c r="Q907" t="s">
        <v>2339</v>
      </c>
    </row>
    <row r="908" spans="1:17" ht="15.75" customHeight="1">
      <c r="A908" s="7" t="s">
        <v>2340</v>
      </c>
      <c r="B908" s="8" t="s">
        <v>17</v>
      </c>
      <c r="C908" s="10" t="s">
        <v>2341</v>
      </c>
      <c r="F908" t="s">
        <v>2330</v>
      </c>
      <c r="G908" s="8" t="s">
        <v>20</v>
      </c>
      <c r="K908">
        <v>3</v>
      </c>
      <c r="L908" s="38" t="s">
        <v>22</v>
      </c>
      <c r="P908" t="s">
        <v>695</v>
      </c>
      <c r="Q908" t="s">
        <v>2342</v>
      </c>
    </row>
    <row r="909" spans="1:17" ht="15.75" customHeight="1">
      <c r="A909" s="7" t="s">
        <v>2343</v>
      </c>
      <c r="B909" s="8" t="s">
        <v>17</v>
      </c>
      <c r="C909" s="10" t="s">
        <v>2344</v>
      </c>
      <c r="F909" t="s">
        <v>2330</v>
      </c>
      <c r="G909" s="8" t="s">
        <v>20</v>
      </c>
      <c r="K909">
        <v>3</v>
      </c>
      <c r="L909" s="38" t="s">
        <v>22</v>
      </c>
      <c r="P909" t="s">
        <v>695</v>
      </c>
      <c r="Q909" t="s">
        <v>2345</v>
      </c>
    </row>
    <row r="910" spans="1:17" ht="15.75" customHeight="1">
      <c r="A910" s="7" t="s">
        <v>2346</v>
      </c>
      <c r="B910" s="8" t="s">
        <v>17</v>
      </c>
      <c r="C910" s="10" t="s">
        <v>2347</v>
      </c>
      <c r="F910" t="s">
        <v>2330</v>
      </c>
      <c r="G910" s="8" t="s">
        <v>20</v>
      </c>
      <c r="K910">
        <v>4</v>
      </c>
      <c r="L910" s="38" t="s">
        <v>22</v>
      </c>
      <c r="P910" t="s">
        <v>695</v>
      </c>
      <c r="Q910" t="s">
        <v>2348</v>
      </c>
    </row>
    <row r="911" spans="1:17" ht="15.75" customHeight="1">
      <c r="A911" s="7" t="s">
        <v>2349</v>
      </c>
      <c r="B911" s="8" t="s">
        <v>17</v>
      </c>
      <c r="C911" s="10" t="s">
        <v>2350</v>
      </c>
      <c r="F911" t="s">
        <v>2330</v>
      </c>
      <c r="G911" s="8" t="s">
        <v>20</v>
      </c>
      <c r="H911" s="7"/>
      <c r="I911" s="7"/>
      <c r="K911">
        <v>4</v>
      </c>
      <c r="L911" s="38" t="s">
        <v>22</v>
      </c>
      <c r="P911" t="s">
        <v>695</v>
      </c>
      <c r="Q911" t="s">
        <v>2351</v>
      </c>
    </row>
    <row r="912" spans="1:17" ht="15.75" customHeight="1">
      <c r="A912" s="7" t="s">
        <v>2352</v>
      </c>
      <c r="B912" s="8" t="s">
        <v>17</v>
      </c>
      <c r="C912" s="10" t="s">
        <v>2353</v>
      </c>
      <c r="F912" t="s">
        <v>2330</v>
      </c>
      <c r="G912" s="8" t="s">
        <v>20</v>
      </c>
      <c r="H912" s="7"/>
      <c r="I912" s="7"/>
      <c r="K912">
        <v>5</v>
      </c>
      <c r="L912" s="38" t="s">
        <v>22</v>
      </c>
      <c r="P912" t="s">
        <v>695</v>
      </c>
      <c r="Q912" t="s">
        <v>2354</v>
      </c>
    </row>
    <row r="913" spans="1:17" ht="15.75" customHeight="1">
      <c r="A913" s="7" t="s">
        <v>2355</v>
      </c>
      <c r="B913" s="8" t="s">
        <v>17</v>
      </c>
      <c r="C913" s="10" t="s">
        <v>2356</v>
      </c>
      <c r="F913" t="s">
        <v>2330</v>
      </c>
      <c r="G913" s="8" t="s">
        <v>20</v>
      </c>
      <c r="K913">
        <v>6</v>
      </c>
      <c r="L913" s="38" t="s">
        <v>22</v>
      </c>
      <c r="P913" t="s">
        <v>695</v>
      </c>
      <c r="Q913" t="s">
        <v>2357</v>
      </c>
    </row>
    <row r="914" spans="1:17" ht="15.75" customHeight="1">
      <c r="A914" s="7" t="s">
        <v>2358</v>
      </c>
      <c r="B914" s="8" t="s">
        <v>17</v>
      </c>
      <c r="C914" s="10" t="s">
        <v>2359</v>
      </c>
      <c r="F914" t="s">
        <v>2330</v>
      </c>
      <c r="G914" s="8" t="s">
        <v>20</v>
      </c>
      <c r="K914">
        <v>7</v>
      </c>
      <c r="L914" s="38" t="s">
        <v>22</v>
      </c>
      <c r="P914" t="s">
        <v>695</v>
      </c>
      <c r="Q914" t="s">
        <v>2360</v>
      </c>
    </row>
    <row r="915" spans="1:17" ht="15.75" customHeight="1">
      <c r="A915" s="7" t="s">
        <v>2361</v>
      </c>
      <c r="B915" s="8" t="s">
        <v>17</v>
      </c>
      <c r="C915" s="10" t="s">
        <v>2362</v>
      </c>
      <c r="F915" t="s">
        <v>2363</v>
      </c>
      <c r="G915" s="8" t="s">
        <v>20</v>
      </c>
      <c r="H915" s="7"/>
      <c r="I915" s="7"/>
      <c r="K915">
        <v>1</v>
      </c>
      <c r="L915" s="38" t="s">
        <v>22</v>
      </c>
      <c r="P915" t="s">
        <v>695</v>
      </c>
      <c r="Q915" t="s">
        <v>2364</v>
      </c>
    </row>
    <row r="916" spans="1:17" ht="15.75" customHeight="1">
      <c r="A916" s="7" t="s">
        <v>2365</v>
      </c>
      <c r="B916" s="8" t="s">
        <v>17</v>
      </c>
      <c r="C916" s="10" t="s">
        <v>2366</v>
      </c>
      <c r="F916" t="s">
        <v>2363</v>
      </c>
      <c r="G916" s="8" t="s">
        <v>20</v>
      </c>
      <c r="H916" s="7"/>
      <c r="I916" s="7"/>
      <c r="K916">
        <v>1</v>
      </c>
      <c r="L916" s="38" t="s">
        <v>22</v>
      </c>
      <c r="P916" t="s">
        <v>125</v>
      </c>
      <c r="Q916" t="s">
        <v>2367</v>
      </c>
    </row>
    <row r="917" spans="1:17" ht="15.75" customHeight="1">
      <c r="A917" s="7" t="s">
        <v>2368</v>
      </c>
      <c r="B917" s="8" t="s">
        <v>17</v>
      </c>
      <c r="C917" s="10" t="s">
        <v>2369</v>
      </c>
      <c r="F917" t="s">
        <v>2363</v>
      </c>
      <c r="G917" s="8" t="s">
        <v>20</v>
      </c>
      <c r="K917">
        <v>1</v>
      </c>
      <c r="L917" s="38" t="s">
        <v>22</v>
      </c>
      <c r="P917" t="s">
        <v>301</v>
      </c>
      <c r="Q917" t="s">
        <v>2370</v>
      </c>
    </row>
    <row r="918" spans="1:17" ht="15.75" customHeight="1">
      <c r="A918" s="7" t="s">
        <v>2371</v>
      </c>
      <c r="B918" s="8" t="s">
        <v>17</v>
      </c>
      <c r="C918" s="10" t="s">
        <v>2372</v>
      </c>
      <c r="F918" t="s">
        <v>2363</v>
      </c>
      <c r="G918" s="8" t="s">
        <v>20</v>
      </c>
      <c r="K918">
        <v>1</v>
      </c>
      <c r="L918" s="38" t="s">
        <v>22</v>
      </c>
      <c r="P918" t="s">
        <v>125</v>
      </c>
      <c r="Q918" t="s">
        <v>2373</v>
      </c>
    </row>
    <row r="919" spans="1:17" ht="15.75" customHeight="1">
      <c r="A919" s="7" t="s">
        <v>2374</v>
      </c>
      <c r="B919" s="8" t="s">
        <v>17</v>
      </c>
      <c r="C919" s="10" t="s">
        <v>2375</v>
      </c>
      <c r="F919" t="s">
        <v>2363</v>
      </c>
      <c r="G919" s="8" t="s">
        <v>20</v>
      </c>
      <c r="K919">
        <v>2</v>
      </c>
      <c r="L919" s="38" t="s">
        <v>22</v>
      </c>
      <c r="P919" t="s">
        <v>125</v>
      </c>
      <c r="Q919" t="s">
        <v>2376</v>
      </c>
    </row>
    <row r="920" spans="1:17" ht="15.75" customHeight="1">
      <c r="A920" s="7" t="s">
        <v>2377</v>
      </c>
      <c r="B920" s="8" t="s">
        <v>17</v>
      </c>
      <c r="C920" s="10" t="s">
        <v>2378</v>
      </c>
      <c r="F920" t="s">
        <v>2363</v>
      </c>
      <c r="G920" s="8" t="s">
        <v>20</v>
      </c>
      <c r="K920">
        <v>2</v>
      </c>
      <c r="L920" s="38" t="s">
        <v>22</v>
      </c>
      <c r="P920" t="s">
        <v>695</v>
      </c>
      <c r="Q920" t="s">
        <v>2379</v>
      </c>
    </row>
    <row r="921" spans="1:17" ht="15.75" customHeight="1">
      <c r="A921" s="7" t="s">
        <v>2380</v>
      </c>
      <c r="B921" s="8" t="s">
        <v>17</v>
      </c>
      <c r="C921" s="10" t="s">
        <v>2381</v>
      </c>
      <c r="F921" t="s">
        <v>2363</v>
      </c>
      <c r="G921" s="8" t="s">
        <v>20</v>
      </c>
      <c r="K921">
        <v>2</v>
      </c>
      <c r="L921" s="38" t="s">
        <v>22</v>
      </c>
      <c r="P921" t="s">
        <v>90</v>
      </c>
      <c r="Q921" t="s">
        <v>2382</v>
      </c>
    </row>
    <row r="922" spans="1:17" ht="15.75" customHeight="1">
      <c r="A922" s="7" t="s">
        <v>2383</v>
      </c>
      <c r="B922" s="8" t="s">
        <v>17</v>
      </c>
      <c r="C922" s="10" t="s">
        <v>2384</v>
      </c>
      <c r="F922" t="s">
        <v>2363</v>
      </c>
      <c r="G922" s="8" t="s">
        <v>20</v>
      </c>
      <c r="K922">
        <v>2</v>
      </c>
      <c r="L922" s="38" t="s">
        <v>22</v>
      </c>
      <c r="P922" t="s">
        <v>695</v>
      </c>
      <c r="Q922" t="s">
        <v>2385</v>
      </c>
    </row>
    <row r="923" spans="1:17" ht="15.75" customHeight="1">
      <c r="A923" s="7" t="s">
        <v>2386</v>
      </c>
      <c r="B923" s="8" t="s">
        <v>17</v>
      </c>
      <c r="C923" s="10" t="s">
        <v>2387</v>
      </c>
      <c r="F923" t="s">
        <v>2363</v>
      </c>
      <c r="G923" s="8" t="s">
        <v>20</v>
      </c>
      <c r="K923">
        <v>2</v>
      </c>
      <c r="L923" s="38" t="s">
        <v>22</v>
      </c>
      <c r="P923" t="s">
        <v>125</v>
      </c>
      <c r="Q923" t="s">
        <v>2388</v>
      </c>
    </row>
    <row r="924" spans="1:17" ht="15.75" customHeight="1">
      <c r="A924" s="7" t="s">
        <v>2389</v>
      </c>
      <c r="B924" s="8" t="s">
        <v>17</v>
      </c>
      <c r="C924" s="10" t="s">
        <v>2390</v>
      </c>
      <c r="F924" t="s">
        <v>2363</v>
      </c>
      <c r="G924" s="8" t="s">
        <v>20</v>
      </c>
      <c r="K924">
        <v>3</v>
      </c>
      <c r="L924" s="38" t="s">
        <v>22</v>
      </c>
      <c r="P924" t="s">
        <v>695</v>
      </c>
      <c r="Q924" t="s">
        <v>2391</v>
      </c>
    </row>
    <row r="925" spans="1:17" ht="15.75" customHeight="1">
      <c r="A925" s="7" t="s">
        <v>2392</v>
      </c>
      <c r="B925" s="8" t="s">
        <v>17</v>
      </c>
      <c r="C925" s="10" t="s">
        <v>2393</v>
      </c>
      <c r="F925" t="s">
        <v>2363</v>
      </c>
      <c r="G925" s="8" t="s">
        <v>20</v>
      </c>
      <c r="K925">
        <v>3</v>
      </c>
      <c r="L925" s="38" t="s">
        <v>22</v>
      </c>
      <c r="P925" t="s">
        <v>695</v>
      </c>
      <c r="Q925" t="s">
        <v>2394</v>
      </c>
    </row>
    <row r="926" spans="1:17" ht="15.75" customHeight="1">
      <c r="A926" s="7" t="s">
        <v>2395</v>
      </c>
      <c r="B926" s="8" t="s">
        <v>17</v>
      </c>
      <c r="C926" s="10" t="s">
        <v>2396</v>
      </c>
      <c r="F926" t="s">
        <v>2363</v>
      </c>
      <c r="G926" s="8" t="s">
        <v>20</v>
      </c>
      <c r="K926">
        <v>3</v>
      </c>
      <c r="L926" s="38" t="s">
        <v>22</v>
      </c>
      <c r="P926" t="s">
        <v>125</v>
      </c>
      <c r="Q926" t="s">
        <v>2397</v>
      </c>
    </row>
    <row r="927" spans="1:17" ht="15.75" customHeight="1">
      <c r="A927" s="7" t="s">
        <v>2398</v>
      </c>
      <c r="B927" s="8" t="s">
        <v>17</v>
      </c>
      <c r="C927" s="10" t="s">
        <v>2399</v>
      </c>
      <c r="F927" t="s">
        <v>2363</v>
      </c>
      <c r="G927" s="8" t="s">
        <v>20</v>
      </c>
      <c r="K927">
        <v>3</v>
      </c>
      <c r="L927" s="38" t="s">
        <v>22</v>
      </c>
      <c r="P927" t="s">
        <v>125</v>
      </c>
      <c r="Q927" t="s">
        <v>2400</v>
      </c>
    </row>
    <row r="928" spans="1:17" ht="15.75" customHeight="1">
      <c r="A928" s="7" t="s">
        <v>2401</v>
      </c>
      <c r="B928" s="8" t="s">
        <v>17</v>
      </c>
      <c r="C928" s="10" t="s">
        <v>2402</v>
      </c>
      <c r="F928" t="s">
        <v>2363</v>
      </c>
      <c r="G928" s="8" t="s">
        <v>20</v>
      </c>
      <c r="K928">
        <v>4</v>
      </c>
      <c r="L928" s="38" t="s">
        <v>22</v>
      </c>
      <c r="P928" t="s">
        <v>695</v>
      </c>
      <c r="Q928" t="s">
        <v>2403</v>
      </c>
    </row>
    <row r="929" spans="1:17" ht="15.75" customHeight="1">
      <c r="A929" s="7" t="s">
        <v>2404</v>
      </c>
      <c r="B929" s="8" t="s">
        <v>17</v>
      </c>
      <c r="C929" s="10" t="s">
        <v>2405</v>
      </c>
      <c r="F929" t="s">
        <v>2363</v>
      </c>
      <c r="G929" s="8" t="s">
        <v>20</v>
      </c>
      <c r="K929">
        <v>4</v>
      </c>
      <c r="L929" s="38" t="s">
        <v>22</v>
      </c>
      <c r="P929" t="s">
        <v>695</v>
      </c>
      <c r="Q929" t="s">
        <v>2406</v>
      </c>
    </row>
    <row r="930" spans="1:17" ht="15.75" customHeight="1">
      <c r="A930" s="7" t="s">
        <v>2407</v>
      </c>
      <c r="B930" s="8" t="s">
        <v>17</v>
      </c>
      <c r="C930" s="10" t="s">
        <v>2408</v>
      </c>
      <c r="F930" t="s">
        <v>2363</v>
      </c>
      <c r="G930" s="8" t="s">
        <v>20</v>
      </c>
      <c r="K930">
        <v>4</v>
      </c>
      <c r="L930" s="38" t="s">
        <v>22</v>
      </c>
      <c r="P930" t="s">
        <v>695</v>
      </c>
      <c r="Q930" t="s">
        <v>2409</v>
      </c>
    </row>
    <row r="931" spans="1:17" ht="15.75" customHeight="1">
      <c r="A931" s="7" t="s">
        <v>2410</v>
      </c>
      <c r="B931" s="8" t="s">
        <v>17</v>
      </c>
      <c r="C931" s="10" t="s">
        <v>2411</v>
      </c>
      <c r="F931" t="s">
        <v>2363</v>
      </c>
      <c r="G931" s="8" t="s">
        <v>20</v>
      </c>
      <c r="K931">
        <v>5</v>
      </c>
      <c r="L931" s="38" t="s">
        <v>22</v>
      </c>
      <c r="P931" t="s">
        <v>695</v>
      </c>
      <c r="Q931" t="s">
        <v>2412</v>
      </c>
    </row>
    <row r="932" spans="1:17" ht="15.75" customHeight="1">
      <c r="A932" s="7" t="s">
        <v>2413</v>
      </c>
      <c r="B932" s="8" t="s">
        <v>17</v>
      </c>
      <c r="C932" s="10" t="s">
        <v>2414</v>
      </c>
      <c r="F932" t="s">
        <v>2363</v>
      </c>
      <c r="G932" s="8" t="s">
        <v>20</v>
      </c>
      <c r="K932">
        <v>5</v>
      </c>
      <c r="L932" s="38" t="s">
        <v>22</v>
      </c>
      <c r="P932" t="s">
        <v>695</v>
      </c>
      <c r="Q932" t="s">
        <v>2415</v>
      </c>
    </row>
    <row r="933" spans="1:17" ht="15.75" customHeight="1">
      <c r="A933" s="7" t="s">
        <v>2416</v>
      </c>
      <c r="B933" s="8" t="s">
        <v>17</v>
      </c>
      <c r="C933" s="10" t="s">
        <v>2417</v>
      </c>
      <c r="F933" t="s">
        <v>2363</v>
      </c>
      <c r="G933" s="8" t="s">
        <v>20</v>
      </c>
      <c r="K933">
        <v>5</v>
      </c>
      <c r="L933" s="38" t="s">
        <v>22</v>
      </c>
      <c r="P933" t="s">
        <v>695</v>
      </c>
      <c r="Q933" t="s">
        <v>2418</v>
      </c>
    </row>
    <row r="934" spans="1:17" ht="15.75" customHeight="1">
      <c r="A934" s="7" t="s">
        <v>2419</v>
      </c>
      <c r="B934" s="8" t="s">
        <v>17</v>
      </c>
      <c r="C934" s="10" t="s">
        <v>2420</v>
      </c>
      <c r="F934" t="s">
        <v>2363</v>
      </c>
      <c r="G934" s="8" t="s">
        <v>20</v>
      </c>
      <c r="K934">
        <v>6</v>
      </c>
      <c r="L934" s="38" t="s">
        <v>22</v>
      </c>
      <c r="P934" t="s">
        <v>695</v>
      </c>
      <c r="Q934" t="s">
        <v>2421</v>
      </c>
    </row>
    <row r="935" spans="1:17" ht="15.75" customHeight="1">
      <c r="A935" s="7" t="s">
        <v>2422</v>
      </c>
      <c r="B935" s="8" t="s">
        <v>17</v>
      </c>
      <c r="C935" s="10" t="s">
        <v>2423</v>
      </c>
      <c r="F935" t="s">
        <v>2363</v>
      </c>
      <c r="G935" s="8" t="s">
        <v>20</v>
      </c>
      <c r="K935">
        <v>6</v>
      </c>
      <c r="L935" s="38" t="s">
        <v>22</v>
      </c>
      <c r="P935" t="s">
        <v>695</v>
      </c>
      <c r="Q935" t="s">
        <v>2424</v>
      </c>
    </row>
    <row r="936" spans="1:17" ht="15.75" customHeight="1">
      <c r="A936" s="7" t="s">
        <v>2425</v>
      </c>
      <c r="B936" s="8" t="s">
        <v>17</v>
      </c>
      <c r="C936" s="10" t="s">
        <v>2426</v>
      </c>
      <c r="F936" t="s">
        <v>2363</v>
      </c>
      <c r="G936" s="8" t="s">
        <v>20</v>
      </c>
      <c r="K936">
        <v>6</v>
      </c>
      <c r="L936" s="38" t="s">
        <v>22</v>
      </c>
      <c r="P936" t="s">
        <v>695</v>
      </c>
      <c r="Q936" t="s">
        <v>2427</v>
      </c>
    </row>
    <row r="937" spans="1:17" ht="15.75" customHeight="1">
      <c r="A937" s="7" t="s">
        <v>2428</v>
      </c>
      <c r="B937" s="8" t="s">
        <v>17</v>
      </c>
      <c r="C937" s="10" t="s">
        <v>2429</v>
      </c>
      <c r="F937" t="s">
        <v>2363</v>
      </c>
      <c r="G937" s="8" t="s">
        <v>20</v>
      </c>
      <c r="K937">
        <v>7</v>
      </c>
      <c r="L937" s="38" t="s">
        <v>22</v>
      </c>
      <c r="P937" t="s">
        <v>695</v>
      </c>
      <c r="Q937" t="s">
        <v>2430</v>
      </c>
    </row>
    <row r="938" spans="1:17" ht="15.75" customHeight="1">
      <c r="A938" s="7" t="s">
        <v>2431</v>
      </c>
      <c r="B938" s="8" t="s">
        <v>17</v>
      </c>
      <c r="C938" s="10" t="s">
        <v>2432</v>
      </c>
      <c r="F938" t="s">
        <v>89</v>
      </c>
      <c r="G938" s="8" t="s">
        <v>20</v>
      </c>
      <c r="K938">
        <v>1</v>
      </c>
      <c r="L938" s="38" t="s">
        <v>22</v>
      </c>
      <c r="P938" t="s">
        <v>90</v>
      </c>
      <c r="Q938" t="s">
        <v>2433</v>
      </c>
    </row>
    <row r="939" spans="1:17" ht="15.75" customHeight="1">
      <c r="A939" s="7" t="s">
        <v>2434</v>
      </c>
      <c r="B939" s="8" t="s">
        <v>17</v>
      </c>
      <c r="C939" s="10" t="s">
        <v>2435</v>
      </c>
      <c r="F939" t="s">
        <v>89</v>
      </c>
      <c r="G939" s="8" t="s">
        <v>20</v>
      </c>
      <c r="K939">
        <v>1</v>
      </c>
      <c r="L939" s="38" t="s">
        <v>22</v>
      </c>
      <c r="P939" t="s">
        <v>90</v>
      </c>
      <c r="Q939" t="s">
        <v>2436</v>
      </c>
    </row>
    <row r="940" spans="1:17" ht="15.75" customHeight="1">
      <c r="A940" s="7" t="s">
        <v>2437</v>
      </c>
      <c r="B940" s="8" t="s">
        <v>17</v>
      </c>
      <c r="C940" s="10" t="s">
        <v>2438</v>
      </c>
      <c r="F940" t="s">
        <v>89</v>
      </c>
      <c r="G940" s="8" t="s">
        <v>20</v>
      </c>
      <c r="K940">
        <v>1</v>
      </c>
      <c r="L940" s="38" t="s">
        <v>22</v>
      </c>
      <c r="P940" t="s">
        <v>90</v>
      </c>
      <c r="Q940" t="s">
        <v>2439</v>
      </c>
    </row>
    <row r="941" spans="1:17" ht="15.75" customHeight="1">
      <c r="A941" s="7" t="s">
        <v>2440</v>
      </c>
      <c r="B941" s="8" t="s">
        <v>17</v>
      </c>
      <c r="C941" s="10" t="s">
        <v>2441</v>
      </c>
      <c r="F941" t="s">
        <v>89</v>
      </c>
      <c r="G941" s="8" t="s">
        <v>20</v>
      </c>
      <c r="K941">
        <v>1</v>
      </c>
      <c r="L941" s="38" t="s">
        <v>22</v>
      </c>
      <c r="P941" t="s">
        <v>90</v>
      </c>
      <c r="Q941" t="s">
        <v>2442</v>
      </c>
    </row>
    <row r="942" spans="1:17" ht="15.75" customHeight="1">
      <c r="A942" s="7" t="s">
        <v>2443</v>
      </c>
      <c r="B942" s="8" t="s">
        <v>17</v>
      </c>
      <c r="C942" s="10" t="s">
        <v>2444</v>
      </c>
      <c r="F942" t="s">
        <v>89</v>
      </c>
      <c r="G942" s="8" t="s">
        <v>20</v>
      </c>
      <c r="K942">
        <v>2</v>
      </c>
      <c r="L942" s="38" t="s">
        <v>22</v>
      </c>
      <c r="P942" t="s">
        <v>90</v>
      </c>
      <c r="Q942" t="s">
        <v>2445</v>
      </c>
    </row>
    <row r="943" spans="1:17" ht="15.75" customHeight="1">
      <c r="A943" s="7" t="s">
        <v>2446</v>
      </c>
      <c r="B943" s="8" t="s">
        <v>17</v>
      </c>
      <c r="C943" s="10" t="s">
        <v>2447</v>
      </c>
      <c r="F943" t="s">
        <v>89</v>
      </c>
      <c r="G943" s="8" t="s">
        <v>20</v>
      </c>
      <c r="K943">
        <v>2</v>
      </c>
      <c r="L943" s="38" t="s">
        <v>22</v>
      </c>
      <c r="P943" t="s">
        <v>90</v>
      </c>
      <c r="Q943" t="s">
        <v>2448</v>
      </c>
    </row>
    <row r="944" spans="1:17" ht="15.75" customHeight="1">
      <c r="A944" s="7" t="s">
        <v>2449</v>
      </c>
      <c r="B944" s="8" t="s">
        <v>17</v>
      </c>
      <c r="C944" s="10" t="s">
        <v>2450</v>
      </c>
      <c r="F944" t="s">
        <v>89</v>
      </c>
      <c r="G944" s="8" t="s">
        <v>20</v>
      </c>
      <c r="H944" s="7"/>
      <c r="I944" s="7"/>
      <c r="K944">
        <v>3</v>
      </c>
      <c r="L944" s="38" t="s">
        <v>22</v>
      </c>
      <c r="P944" t="s">
        <v>90</v>
      </c>
      <c r="Q944" t="s">
        <v>2451</v>
      </c>
    </row>
    <row r="945" spans="1:17" ht="15.75" customHeight="1">
      <c r="A945" s="7" t="s">
        <v>2452</v>
      </c>
      <c r="B945" s="8" t="s">
        <v>17</v>
      </c>
      <c r="C945" s="10" t="s">
        <v>2453</v>
      </c>
      <c r="F945" t="s">
        <v>89</v>
      </c>
      <c r="G945" s="8" t="s">
        <v>20</v>
      </c>
      <c r="K945">
        <v>3</v>
      </c>
      <c r="L945" s="38" t="s">
        <v>22</v>
      </c>
      <c r="P945" t="s">
        <v>90</v>
      </c>
      <c r="Q945" t="s">
        <v>2454</v>
      </c>
    </row>
    <row r="946" spans="1:17" ht="15.75" customHeight="1">
      <c r="A946" s="7" t="s">
        <v>2455</v>
      </c>
      <c r="B946" s="8" t="s">
        <v>17</v>
      </c>
      <c r="C946" s="10" t="s">
        <v>2456</v>
      </c>
      <c r="F946" t="s">
        <v>89</v>
      </c>
      <c r="G946" s="8" t="s">
        <v>20</v>
      </c>
      <c r="K946">
        <v>4</v>
      </c>
      <c r="L946" s="38" t="s">
        <v>22</v>
      </c>
      <c r="P946" t="s">
        <v>90</v>
      </c>
      <c r="Q946" t="s">
        <v>2457</v>
      </c>
    </row>
    <row r="947" spans="1:17" ht="15.75" customHeight="1">
      <c r="A947" s="7" t="s">
        <v>2458</v>
      </c>
      <c r="B947" s="8" t="s">
        <v>17</v>
      </c>
      <c r="C947" s="10" t="s">
        <v>2459</v>
      </c>
      <c r="F947" t="s">
        <v>89</v>
      </c>
      <c r="G947" s="8" t="s">
        <v>20</v>
      </c>
      <c r="K947">
        <v>4</v>
      </c>
      <c r="L947" s="38" t="s">
        <v>22</v>
      </c>
      <c r="P947" t="s">
        <v>90</v>
      </c>
      <c r="Q947" t="s">
        <v>2460</v>
      </c>
    </row>
    <row r="948" spans="1:17" ht="15.75" customHeight="1">
      <c r="A948" s="7" t="s">
        <v>2461</v>
      </c>
      <c r="B948" s="8" t="s">
        <v>17</v>
      </c>
      <c r="C948" s="10" t="s">
        <v>2462</v>
      </c>
      <c r="F948" t="s">
        <v>124</v>
      </c>
      <c r="G948" s="8" t="s">
        <v>20</v>
      </c>
      <c r="K948">
        <v>1</v>
      </c>
      <c r="L948" s="38" t="s">
        <v>22</v>
      </c>
      <c r="P948" t="s">
        <v>125</v>
      </c>
      <c r="Q948" t="s">
        <v>2463</v>
      </c>
    </row>
    <row r="949" spans="1:17" ht="15.75" customHeight="1">
      <c r="A949" s="7" t="s">
        <v>2464</v>
      </c>
      <c r="B949" s="8" t="s">
        <v>17</v>
      </c>
      <c r="C949" s="10" t="s">
        <v>2465</v>
      </c>
      <c r="F949" t="s">
        <v>124</v>
      </c>
      <c r="G949" s="8" t="s">
        <v>20</v>
      </c>
      <c r="K949">
        <v>1</v>
      </c>
      <c r="L949" s="38" t="s">
        <v>22</v>
      </c>
      <c r="P949" t="s">
        <v>125</v>
      </c>
      <c r="Q949" t="s">
        <v>2466</v>
      </c>
    </row>
    <row r="950" spans="1:17" ht="15.75" customHeight="1">
      <c r="A950" s="7" t="s">
        <v>2467</v>
      </c>
      <c r="B950" s="8" t="s">
        <v>17</v>
      </c>
      <c r="C950" s="10" t="s">
        <v>2468</v>
      </c>
      <c r="F950" t="s">
        <v>124</v>
      </c>
      <c r="G950" s="8" t="s">
        <v>20</v>
      </c>
      <c r="K950">
        <v>1</v>
      </c>
      <c r="L950" s="38" t="s">
        <v>22</v>
      </c>
      <c r="P950" t="s">
        <v>125</v>
      </c>
      <c r="Q950" t="s">
        <v>2469</v>
      </c>
    </row>
    <row r="951" spans="1:17" ht="15.75" customHeight="1">
      <c r="A951" s="7" t="s">
        <v>2470</v>
      </c>
      <c r="B951" s="8" t="s">
        <v>17</v>
      </c>
      <c r="C951" s="10" t="s">
        <v>2471</v>
      </c>
      <c r="F951" t="s">
        <v>124</v>
      </c>
      <c r="G951" s="8" t="s">
        <v>20</v>
      </c>
      <c r="K951">
        <v>1</v>
      </c>
      <c r="L951" s="38" t="s">
        <v>22</v>
      </c>
      <c r="P951" t="s">
        <v>125</v>
      </c>
      <c r="Q951" t="s">
        <v>2472</v>
      </c>
    </row>
    <row r="952" spans="1:17" ht="15.75" customHeight="1">
      <c r="A952" s="7" t="s">
        <v>2473</v>
      </c>
      <c r="B952" s="8" t="s">
        <v>17</v>
      </c>
      <c r="C952" s="10" t="s">
        <v>2474</v>
      </c>
      <c r="F952" t="s">
        <v>124</v>
      </c>
      <c r="G952" s="8" t="s">
        <v>20</v>
      </c>
      <c r="K952">
        <v>2</v>
      </c>
      <c r="L952" s="38" t="s">
        <v>22</v>
      </c>
      <c r="P952" t="s">
        <v>125</v>
      </c>
      <c r="Q952" t="s">
        <v>2475</v>
      </c>
    </row>
    <row r="953" spans="1:17" ht="15.75" customHeight="1">
      <c r="A953" s="7" t="s">
        <v>2476</v>
      </c>
      <c r="B953" s="8" t="s">
        <v>17</v>
      </c>
      <c r="C953" s="10" t="s">
        <v>2477</v>
      </c>
      <c r="F953" t="s">
        <v>124</v>
      </c>
      <c r="G953" s="8" t="s">
        <v>20</v>
      </c>
      <c r="H953" s="7"/>
      <c r="I953" s="7"/>
      <c r="K953">
        <v>2</v>
      </c>
      <c r="L953" s="38" t="s">
        <v>22</v>
      </c>
      <c r="P953" t="s">
        <v>125</v>
      </c>
      <c r="Q953" t="s">
        <v>2478</v>
      </c>
    </row>
    <row r="954" spans="1:17" ht="15.75" customHeight="1">
      <c r="A954" s="7" t="s">
        <v>2479</v>
      </c>
      <c r="B954" s="8" t="s">
        <v>17</v>
      </c>
      <c r="C954" s="10" t="s">
        <v>2480</v>
      </c>
      <c r="F954" t="s">
        <v>124</v>
      </c>
      <c r="G954" s="8" t="s">
        <v>20</v>
      </c>
      <c r="K954">
        <v>3</v>
      </c>
      <c r="L954" s="38" t="s">
        <v>22</v>
      </c>
      <c r="P954" t="s">
        <v>125</v>
      </c>
      <c r="Q954" t="s">
        <v>2481</v>
      </c>
    </row>
    <row r="955" spans="1:17" ht="15.75" customHeight="1">
      <c r="A955" s="7" t="s">
        <v>2482</v>
      </c>
      <c r="B955" s="8" t="s">
        <v>17</v>
      </c>
      <c r="C955" s="10" t="s">
        <v>2483</v>
      </c>
      <c r="F955" t="s">
        <v>124</v>
      </c>
      <c r="G955" s="8" t="s">
        <v>20</v>
      </c>
      <c r="K955">
        <v>3</v>
      </c>
      <c r="L955" s="38" t="s">
        <v>22</v>
      </c>
      <c r="P955" t="s">
        <v>125</v>
      </c>
      <c r="Q955" t="s">
        <v>2484</v>
      </c>
    </row>
    <row r="956" spans="1:17" ht="15.75" customHeight="1">
      <c r="A956" s="7" t="s">
        <v>2485</v>
      </c>
      <c r="B956" s="8" t="s">
        <v>17</v>
      </c>
      <c r="C956" s="10" t="s">
        <v>2486</v>
      </c>
      <c r="F956" t="s">
        <v>124</v>
      </c>
      <c r="G956" s="8" t="s">
        <v>20</v>
      </c>
      <c r="K956">
        <v>4</v>
      </c>
      <c r="L956" s="38" t="s">
        <v>22</v>
      </c>
      <c r="P956" t="s">
        <v>125</v>
      </c>
      <c r="Q956" t="s">
        <v>2487</v>
      </c>
    </row>
    <row r="957" spans="1:17" ht="15.75" customHeight="1">
      <c r="A957" s="7" t="s">
        <v>2488</v>
      </c>
      <c r="B957" s="8" t="s">
        <v>17</v>
      </c>
      <c r="C957" s="10" t="s">
        <v>2489</v>
      </c>
      <c r="F957" t="s">
        <v>124</v>
      </c>
      <c r="G957" s="8" t="s">
        <v>20</v>
      </c>
      <c r="K957">
        <v>4</v>
      </c>
      <c r="L957" s="38" t="s">
        <v>22</v>
      </c>
      <c r="P957" t="s">
        <v>125</v>
      </c>
      <c r="Q957" t="s">
        <v>2490</v>
      </c>
    </row>
    <row r="958" spans="1:17" ht="15.75" customHeight="1">
      <c r="A958" s="7" t="s">
        <v>2491</v>
      </c>
      <c r="B958" s="8" t="s">
        <v>17</v>
      </c>
      <c r="C958" s="13" t="s">
        <v>2492</v>
      </c>
      <c r="E958" s="12"/>
      <c r="F958" s="12" t="s">
        <v>2493</v>
      </c>
      <c r="G958" s="8" t="s">
        <v>20</v>
      </c>
      <c r="K958">
        <v>1</v>
      </c>
      <c r="L958" s="38" t="s">
        <v>22</v>
      </c>
      <c r="P958" t="s">
        <v>301</v>
      </c>
      <c r="Q958" t="s">
        <v>2494</v>
      </c>
    </row>
    <row r="959" spans="1:17" ht="15.75" customHeight="1">
      <c r="A959" s="7" t="s">
        <v>2495</v>
      </c>
      <c r="B959" s="8" t="s">
        <v>17</v>
      </c>
      <c r="C959" s="13" t="s">
        <v>2496</v>
      </c>
      <c r="E959" s="12"/>
      <c r="F959" s="12" t="s">
        <v>2493</v>
      </c>
      <c r="G959" s="8" t="s">
        <v>20</v>
      </c>
      <c r="K959">
        <v>1</v>
      </c>
      <c r="L959" s="38" t="s">
        <v>22</v>
      </c>
      <c r="P959" t="s">
        <v>125</v>
      </c>
      <c r="Q959" t="s">
        <v>2497</v>
      </c>
    </row>
    <row r="960" spans="1:17" ht="15.75" customHeight="1">
      <c r="A960" s="7" t="s">
        <v>2498</v>
      </c>
      <c r="B960" s="8" t="s">
        <v>17</v>
      </c>
      <c r="C960" s="13" t="s">
        <v>2499</v>
      </c>
      <c r="E960" s="12"/>
      <c r="F960" s="12" t="s">
        <v>2493</v>
      </c>
      <c r="G960" s="8" t="s">
        <v>20</v>
      </c>
      <c r="K960">
        <v>1</v>
      </c>
      <c r="L960" s="38" t="s">
        <v>22</v>
      </c>
      <c r="P960" t="s">
        <v>160</v>
      </c>
      <c r="Q960" t="s">
        <v>2500</v>
      </c>
    </row>
    <row r="961" spans="1:17" ht="15.75" customHeight="1">
      <c r="A961" s="7" t="s">
        <v>2501</v>
      </c>
      <c r="B961" s="8" t="s">
        <v>17</v>
      </c>
      <c r="C961" s="13" t="s">
        <v>2502</v>
      </c>
      <c r="E961" s="12"/>
      <c r="F961" s="12" t="s">
        <v>2493</v>
      </c>
      <c r="G961" s="8" t="s">
        <v>20</v>
      </c>
      <c r="K961">
        <v>2</v>
      </c>
      <c r="L961" s="38" t="s">
        <v>22</v>
      </c>
      <c r="P961" t="s">
        <v>23</v>
      </c>
      <c r="Q961" t="s">
        <v>2503</v>
      </c>
    </row>
    <row r="962" spans="1:17" ht="15.75" customHeight="1">
      <c r="A962" s="7" t="s">
        <v>2504</v>
      </c>
      <c r="B962" s="8" t="s">
        <v>17</v>
      </c>
      <c r="C962" s="27" t="s">
        <v>2505</v>
      </c>
      <c r="F962" t="s">
        <v>2493</v>
      </c>
      <c r="G962" s="8" t="s">
        <v>20</v>
      </c>
      <c r="K962">
        <v>2</v>
      </c>
      <c r="L962" s="38" t="s">
        <v>22</v>
      </c>
      <c r="P962" t="s">
        <v>710</v>
      </c>
      <c r="Q962" t="s">
        <v>2506</v>
      </c>
    </row>
    <row r="963" spans="1:17" ht="15.75" customHeight="1">
      <c r="A963" s="7" t="s">
        <v>2507</v>
      </c>
      <c r="B963" s="8" t="s">
        <v>17</v>
      </c>
      <c r="C963" s="28" t="s">
        <v>2508</v>
      </c>
      <c r="E963" s="22"/>
      <c r="F963" s="22" t="s">
        <v>2493</v>
      </c>
      <c r="G963" s="8" t="s">
        <v>20</v>
      </c>
      <c r="K963">
        <v>2</v>
      </c>
      <c r="L963" s="38" t="s">
        <v>22</v>
      </c>
      <c r="P963" t="s">
        <v>23</v>
      </c>
      <c r="Q963" t="s">
        <v>2509</v>
      </c>
    </row>
    <row r="964" spans="1:17" ht="15.75" customHeight="1">
      <c r="A964" s="7" t="s">
        <v>2510</v>
      </c>
      <c r="B964" s="8" t="s">
        <v>17</v>
      </c>
      <c r="C964" s="28" t="s">
        <v>2511</v>
      </c>
      <c r="E964" s="22"/>
      <c r="F964" s="22" t="s">
        <v>2493</v>
      </c>
      <c r="G964" s="8" t="s">
        <v>20</v>
      </c>
      <c r="K964">
        <v>2</v>
      </c>
      <c r="L964" s="38" t="s">
        <v>22</v>
      </c>
      <c r="P964" t="s">
        <v>710</v>
      </c>
      <c r="Q964" t="s">
        <v>2512</v>
      </c>
    </row>
    <row r="965" spans="1:17" ht="15.75" customHeight="1">
      <c r="A965" s="7" t="s">
        <v>2513</v>
      </c>
      <c r="B965" s="8" t="s">
        <v>17</v>
      </c>
      <c r="C965" s="28" t="s">
        <v>2514</v>
      </c>
      <c r="E965" s="22"/>
      <c r="F965" s="22" t="s">
        <v>2493</v>
      </c>
      <c r="G965" s="8" t="s">
        <v>20</v>
      </c>
      <c r="K965">
        <v>3</v>
      </c>
      <c r="L965" s="38" t="s">
        <v>22</v>
      </c>
      <c r="P965" t="s">
        <v>23</v>
      </c>
      <c r="Q965" t="s">
        <v>2515</v>
      </c>
    </row>
    <row r="966" spans="1:17" ht="15.75" customHeight="1">
      <c r="A966" s="7" t="s">
        <v>2516</v>
      </c>
      <c r="B966" s="8" t="s">
        <v>17</v>
      </c>
      <c r="C966" s="28" t="s">
        <v>2517</v>
      </c>
      <c r="E966" s="22"/>
      <c r="F966" s="22" t="s">
        <v>2493</v>
      </c>
      <c r="G966" s="8" t="s">
        <v>20</v>
      </c>
      <c r="K966">
        <v>3</v>
      </c>
      <c r="L966" s="38" t="s">
        <v>22</v>
      </c>
      <c r="P966" t="s">
        <v>692</v>
      </c>
      <c r="Q966" t="s">
        <v>2518</v>
      </c>
    </row>
    <row r="967" spans="1:17" ht="15.75" customHeight="1">
      <c r="A967" s="7" t="s">
        <v>2519</v>
      </c>
      <c r="B967" s="8" t="s">
        <v>17</v>
      </c>
      <c r="C967" s="28" t="s">
        <v>2520</v>
      </c>
      <c r="E967" s="22"/>
      <c r="F967" s="22" t="s">
        <v>2493</v>
      </c>
      <c r="G967" s="8" t="s">
        <v>20</v>
      </c>
      <c r="K967">
        <v>3</v>
      </c>
      <c r="L967" s="38" t="s">
        <v>22</v>
      </c>
      <c r="P967" t="s">
        <v>692</v>
      </c>
      <c r="Q967" t="s">
        <v>2521</v>
      </c>
    </row>
    <row r="968" spans="1:17" ht="15.75" customHeight="1">
      <c r="A968" s="7" t="s">
        <v>2522</v>
      </c>
      <c r="B968" s="8" t="s">
        <v>17</v>
      </c>
      <c r="C968" s="28" t="s">
        <v>2523</v>
      </c>
      <c r="E968" s="22"/>
      <c r="F968" s="22" t="s">
        <v>2493</v>
      </c>
      <c r="G968" s="8" t="s">
        <v>20</v>
      </c>
      <c r="K968">
        <v>3</v>
      </c>
      <c r="L968" s="38" t="s">
        <v>22</v>
      </c>
      <c r="P968" t="s">
        <v>692</v>
      </c>
      <c r="Q968" t="s">
        <v>2524</v>
      </c>
    </row>
    <row r="969" spans="1:17" ht="15.75" customHeight="1">
      <c r="A969" s="7" t="s">
        <v>2525</v>
      </c>
      <c r="B969" s="8" t="s">
        <v>17</v>
      </c>
      <c r="C969" s="28" t="s">
        <v>2526</v>
      </c>
      <c r="E969" s="22"/>
      <c r="F969" s="22" t="s">
        <v>2493</v>
      </c>
      <c r="G969" s="8" t="s">
        <v>20</v>
      </c>
      <c r="K969">
        <v>3</v>
      </c>
      <c r="L969" s="38" t="s">
        <v>22</v>
      </c>
      <c r="P969" t="s">
        <v>297</v>
      </c>
      <c r="Q969" t="s">
        <v>2527</v>
      </c>
    </row>
    <row r="970" spans="1:17" ht="15.75" customHeight="1">
      <c r="A970" s="7" t="s">
        <v>2528</v>
      </c>
      <c r="B970" s="8" t="s">
        <v>17</v>
      </c>
      <c r="C970" s="28" t="s">
        <v>2529</v>
      </c>
      <c r="E970" s="22"/>
      <c r="F970" s="22" t="s">
        <v>2493</v>
      </c>
      <c r="G970" s="8" t="s">
        <v>20</v>
      </c>
      <c r="K970">
        <v>4</v>
      </c>
      <c r="L970" s="38" t="s">
        <v>22</v>
      </c>
      <c r="P970" t="s">
        <v>301</v>
      </c>
      <c r="Q970" t="s">
        <v>2530</v>
      </c>
    </row>
    <row r="971" spans="1:17" ht="15.75" customHeight="1">
      <c r="A971" s="7" t="s">
        <v>2531</v>
      </c>
      <c r="B971" s="8" t="s">
        <v>17</v>
      </c>
      <c r="C971" s="28" t="s">
        <v>2532</v>
      </c>
      <c r="E971" s="22"/>
      <c r="F971" s="22" t="s">
        <v>2493</v>
      </c>
      <c r="G971" s="8" t="s">
        <v>20</v>
      </c>
      <c r="K971">
        <v>4</v>
      </c>
      <c r="L971" s="38" t="s">
        <v>22</v>
      </c>
      <c r="P971" t="s">
        <v>692</v>
      </c>
      <c r="Q971" t="s">
        <v>2533</v>
      </c>
    </row>
    <row r="972" spans="1:17" ht="15.75" customHeight="1">
      <c r="A972" s="7" t="s">
        <v>2534</v>
      </c>
      <c r="B972" s="8" t="s">
        <v>17</v>
      </c>
      <c r="C972" s="28" t="s">
        <v>2535</v>
      </c>
      <c r="E972" s="22"/>
      <c r="F972" s="22" t="s">
        <v>2493</v>
      </c>
      <c r="G972" s="8" t="s">
        <v>20</v>
      </c>
      <c r="K972">
        <v>4</v>
      </c>
      <c r="L972" s="38" t="s">
        <v>22</v>
      </c>
      <c r="P972" t="s">
        <v>23</v>
      </c>
      <c r="Q972" t="s">
        <v>2536</v>
      </c>
    </row>
    <row r="973" spans="1:17" ht="15.75" customHeight="1">
      <c r="A973" s="7" t="s">
        <v>2537</v>
      </c>
      <c r="B973" s="8" t="s">
        <v>17</v>
      </c>
      <c r="C973" s="28" t="s">
        <v>2538</v>
      </c>
      <c r="E973" s="22"/>
      <c r="F973" s="22" t="s">
        <v>2493</v>
      </c>
      <c r="G973" s="8" t="s">
        <v>20</v>
      </c>
      <c r="K973">
        <v>4</v>
      </c>
      <c r="L973" s="38" t="s">
        <v>22</v>
      </c>
      <c r="P973" t="s">
        <v>692</v>
      </c>
      <c r="Q973" t="s">
        <v>2539</v>
      </c>
    </row>
    <row r="974" spans="1:17" ht="15.75" customHeight="1">
      <c r="A974" s="7" t="s">
        <v>2540</v>
      </c>
      <c r="B974" s="8" t="s">
        <v>17</v>
      </c>
      <c r="C974" s="28" t="s">
        <v>2541</v>
      </c>
      <c r="E974" s="22"/>
      <c r="F974" s="22" t="s">
        <v>2493</v>
      </c>
      <c r="G974" s="8" t="s">
        <v>20</v>
      </c>
      <c r="K974">
        <v>4</v>
      </c>
      <c r="L974" s="38" t="s">
        <v>22</v>
      </c>
      <c r="P974" t="s">
        <v>297</v>
      </c>
      <c r="Q974" t="s">
        <v>2542</v>
      </c>
    </row>
    <row r="975" spans="1:17" ht="15.75" customHeight="1">
      <c r="A975" s="7" t="s">
        <v>2543</v>
      </c>
      <c r="B975" s="8" t="s">
        <v>17</v>
      </c>
      <c r="C975" s="28" t="s">
        <v>2544</v>
      </c>
      <c r="E975" s="22"/>
      <c r="F975" s="22" t="s">
        <v>2493</v>
      </c>
      <c r="G975" s="8" t="s">
        <v>20</v>
      </c>
      <c r="K975">
        <v>5</v>
      </c>
      <c r="L975" s="38" t="s">
        <v>22</v>
      </c>
      <c r="P975" t="s">
        <v>23</v>
      </c>
      <c r="Q975" t="s">
        <v>2545</v>
      </c>
    </row>
    <row r="976" spans="1:17" ht="15.75" customHeight="1">
      <c r="A976" s="7" t="s">
        <v>2546</v>
      </c>
      <c r="B976" s="8" t="s">
        <v>17</v>
      </c>
      <c r="C976" s="28" t="s">
        <v>2547</v>
      </c>
      <c r="E976" s="22"/>
      <c r="F976" s="22" t="s">
        <v>2493</v>
      </c>
      <c r="G976" s="8" t="s">
        <v>20</v>
      </c>
      <c r="K976">
        <v>5</v>
      </c>
      <c r="L976" s="38" t="s">
        <v>22</v>
      </c>
      <c r="P976" t="s">
        <v>692</v>
      </c>
      <c r="Q976" t="s">
        <v>2548</v>
      </c>
    </row>
    <row r="977" spans="1:17" ht="15.75" customHeight="1">
      <c r="A977" s="7" t="s">
        <v>2549</v>
      </c>
      <c r="B977" s="8" t="s">
        <v>17</v>
      </c>
      <c r="C977" s="28" t="s">
        <v>2550</v>
      </c>
      <c r="E977" s="22"/>
      <c r="F977" s="22" t="s">
        <v>2493</v>
      </c>
      <c r="G977" s="8" t="s">
        <v>20</v>
      </c>
      <c r="K977">
        <v>5</v>
      </c>
      <c r="L977" s="38" t="s">
        <v>22</v>
      </c>
      <c r="P977" t="s">
        <v>23</v>
      </c>
      <c r="Q977" t="s">
        <v>2551</v>
      </c>
    </row>
    <row r="978" spans="1:17" ht="15.75" customHeight="1">
      <c r="A978" s="7" t="s">
        <v>2552</v>
      </c>
      <c r="B978" s="8" t="s">
        <v>17</v>
      </c>
      <c r="C978" s="28" t="s">
        <v>2553</v>
      </c>
      <c r="E978" s="22"/>
      <c r="F978" s="22" t="s">
        <v>2493</v>
      </c>
      <c r="G978" s="8" t="s">
        <v>20</v>
      </c>
      <c r="K978">
        <v>6</v>
      </c>
      <c r="L978" s="38" t="s">
        <v>22</v>
      </c>
      <c r="P978" t="s">
        <v>23</v>
      </c>
      <c r="Q978" t="s">
        <v>2554</v>
      </c>
    </row>
    <row r="979" spans="1:17" ht="15.75" customHeight="1">
      <c r="A979" s="7" t="s">
        <v>2555</v>
      </c>
      <c r="B979" s="8" t="s">
        <v>17</v>
      </c>
      <c r="C979" s="28" t="s">
        <v>2556</v>
      </c>
      <c r="E979" s="22"/>
      <c r="F979" s="22" t="s">
        <v>2493</v>
      </c>
      <c r="G979" s="8" t="s">
        <v>20</v>
      </c>
      <c r="K979">
        <v>6</v>
      </c>
      <c r="L979" s="38" t="s">
        <v>22</v>
      </c>
      <c r="P979" t="s">
        <v>23</v>
      </c>
      <c r="Q979" t="s">
        <v>2557</v>
      </c>
    </row>
    <row r="980" spans="1:17" ht="15.75" customHeight="1">
      <c r="A980" s="7" t="s">
        <v>2558</v>
      </c>
      <c r="B980" s="8" t="s">
        <v>17</v>
      </c>
      <c r="C980" s="28" t="s">
        <v>2559</v>
      </c>
      <c r="E980" s="22"/>
      <c r="F980" s="22" t="s">
        <v>2493</v>
      </c>
      <c r="G980" s="8" t="s">
        <v>20</v>
      </c>
      <c r="K980">
        <v>6</v>
      </c>
      <c r="L980" s="38" t="s">
        <v>22</v>
      </c>
      <c r="P980" t="s">
        <v>297</v>
      </c>
      <c r="Q980" t="s">
        <v>2560</v>
      </c>
    </row>
    <row r="981" spans="1:17" ht="15.75" customHeight="1">
      <c r="A981" s="7" t="s">
        <v>2561</v>
      </c>
      <c r="B981" s="8" t="s">
        <v>17</v>
      </c>
      <c r="C981" s="28" t="s">
        <v>2562</v>
      </c>
      <c r="E981" s="22"/>
      <c r="F981" s="22" t="s">
        <v>2493</v>
      </c>
      <c r="G981" s="8" t="s">
        <v>20</v>
      </c>
      <c r="K981">
        <v>7</v>
      </c>
      <c r="L981" s="38" t="s">
        <v>22</v>
      </c>
      <c r="P981" t="s">
        <v>692</v>
      </c>
      <c r="Q981" t="s">
        <v>2563</v>
      </c>
    </row>
    <row r="982" spans="1:17" ht="15.75" customHeight="1">
      <c r="A982" s="7" t="s">
        <v>2564</v>
      </c>
      <c r="B982" s="8" t="s">
        <v>17</v>
      </c>
      <c r="C982" s="28" t="s">
        <v>2565</v>
      </c>
      <c r="E982" s="22"/>
      <c r="F982" s="22" t="s">
        <v>2493</v>
      </c>
      <c r="G982" s="8" t="s">
        <v>20</v>
      </c>
      <c r="K982">
        <v>7</v>
      </c>
      <c r="L982" s="38" t="s">
        <v>22</v>
      </c>
      <c r="P982" t="s">
        <v>23</v>
      </c>
      <c r="Q982" t="s">
        <v>2566</v>
      </c>
    </row>
    <row r="983" spans="1:17" ht="15.75" customHeight="1">
      <c r="A983" s="7" t="s">
        <v>2567</v>
      </c>
      <c r="B983" s="8" t="s">
        <v>17</v>
      </c>
      <c r="C983" s="28" t="s">
        <v>2568</v>
      </c>
      <c r="E983" s="22"/>
      <c r="F983" s="22" t="s">
        <v>2493</v>
      </c>
      <c r="G983" s="8" t="s">
        <v>20</v>
      </c>
      <c r="K983">
        <v>7</v>
      </c>
      <c r="L983" s="38" t="s">
        <v>22</v>
      </c>
      <c r="P983" t="s">
        <v>297</v>
      </c>
      <c r="Q983" t="s">
        <v>2569</v>
      </c>
    </row>
    <row r="984" spans="1:17" ht="15.75" customHeight="1">
      <c r="A984" s="7" t="s">
        <v>2570</v>
      </c>
      <c r="B984" s="8" t="s">
        <v>17</v>
      </c>
      <c r="C984" s="28" t="s">
        <v>2571</v>
      </c>
      <c r="E984" s="22"/>
      <c r="F984" s="22" t="s">
        <v>1221</v>
      </c>
      <c r="G984" s="8" t="s">
        <v>20</v>
      </c>
      <c r="K984">
        <v>1</v>
      </c>
      <c r="L984" s="38" t="s">
        <v>22</v>
      </c>
      <c r="P984" t="s">
        <v>125</v>
      </c>
      <c r="Q984" t="s">
        <v>2572</v>
      </c>
    </row>
    <row r="985" spans="1:17" ht="15.75" customHeight="1">
      <c r="A985" s="7" t="s">
        <v>2573</v>
      </c>
      <c r="B985" s="8" t="s">
        <v>17</v>
      </c>
      <c r="C985" s="28" t="s">
        <v>2574</v>
      </c>
      <c r="E985" s="22"/>
      <c r="F985" s="22" t="s">
        <v>1221</v>
      </c>
      <c r="G985" s="8" t="s">
        <v>20</v>
      </c>
      <c r="K985">
        <v>1</v>
      </c>
      <c r="L985" s="38" t="s">
        <v>22</v>
      </c>
      <c r="P985" t="s">
        <v>297</v>
      </c>
      <c r="Q985" t="s">
        <v>2575</v>
      </c>
    </row>
    <row r="986" spans="1:17" ht="15.75" customHeight="1">
      <c r="A986" s="7" t="s">
        <v>2576</v>
      </c>
      <c r="B986" s="8" t="s">
        <v>17</v>
      </c>
      <c r="C986" s="28" t="s">
        <v>2577</v>
      </c>
      <c r="E986" s="22"/>
      <c r="F986" s="22" t="s">
        <v>1221</v>
      </c>
      <c r="G986" s="8" t="s">
        <v>20</v>
      </c>
      <c r="K986">
        <v>1</v>
      </c>
      <c r="L986" s="38" t="s">
        <v>22</v>
      </c>
      <c r="P986" t="s">
        <v>23</v>
      </c>
      <c r="Q986" t="s">
        <v>2578</v>
      </c>
    </row>
    <row r="987" spans="1:17" ht="15.75" customHeight="1">
      <c r="A987" s="7" t="s">
        <v>2579</v>
      </c>
      <c r="B987" s="8" t="s">
        <v>17</v>
      </c>
      <c r="C987" s="28" t="s">
        <v>2580</v>
      </c>
      <c r="E987" s="22"/>
      <c r="F987" s="22" t="s">
        <v>1221</v>
      </c>
      <c r="G987" s="8" t="s">
        <v>20</v>
      </c>
      <c r="K987">
        <v>1</v>
      </c>
      <c r="L987" s="38" t="s">
        <v>22</v>
      </c>
      <c r="P987" t="s">
        <v>301</v>
      </c>
      <c r="Q987" t="s">
        <v>2581</v>
      </c>
    </row>
    <row r="988" spans="1:17" ht="15.75" customHeight="1">
      <c r="A988" s="7" t="s">
        <v>2582</v>
      </c>
      <c r="B988" s="8" t="s">
        <v>17</v>
      </c>
      <c r="C988" s="28" t="s">
        <v>2583</v>
      </c>
      <c r="E988" s="22"/>
      <c r="F988" s="22" t="s">
        <v>1221</v>
      </c>
      <c r="G988" s="8" t="s">
        <v>20</v>
      </c>
      <c r="K988">
        <v>1</v>
      </c>
      <c r="L988" s="38" t="s">
        <v>22</v>
      </c>
      <c r="P988" t="s">
        <v>301</v>
      </c>
      <c r="Q988" t="s">
        <v>2584</v>
      </c>
    </row>
    <row r="989" spans="1:17" ht="15.75" customHeight="1">
      <c r="A989" s="7" t="s">
        <v>2585</v>
      </c>
      <c r="B989" s="8" t="s">
        <v>17</v>
      </c>
      <c r="C989" s="28" t="s">
        <v>2586</v>
      </c>
      <c r="E989" s="22"/>
      <c r="F989" s="22" t="s">
        <v>1221</v>
      </c>
      <c r="G989" s="8" t="s">
        <v>20</v>
      </c>
      <c r="K989">
        <v>2</v>
      </c>
      <c r="L989" s="38" t="s">
        <v>22</v>
      </c>
      <c r="P989" t="s">
        <v>55</v>
      </c>
      <c r="Q989" t="s">
        <v>2587</v>
      </c>
    </row>
    <row r="990" spans="1:17" ht="15.75" customHeight="1">
      <c r="A990" s="7" t="s">
        <v>2588</v>
      </c>
      <c r="B990" s="8" t="s">
        <v>17</v>
      </c>
      <c r="C990" s="28" t="s">
        <v>2589</v>
      </c>
      <c r="E990" s="22"/>
      <c r="F990" s="22" t="s">
        <v>1221</v>
      </c>
      <c r="G990" s="8" t="s">
        <v>20</v>
      </c>
      <c r="K990">
        <v>2</v>
      </c>
      <c r="L990" s="38" t="s">
        <v>22</v>
      </c>
      <c r="P990" t="s">
        <v>160</v>
      </c>
      <c r="Q990" t="s">
        <v>2590</v>
      </c>
    </row>
    <row r="991" spans="1:17" ht="15.75" customHeight="1">
      <c r="A991" s="7" t="s">
        <v>2591</v>
      </c>
      <c r="B991" s="8" t="s">
        <v>17</v>
      </c>
      <c r="C991" s="28" t="s">
        <v>2592</v>
      </c>
      <c r="E991" s="22"/>
      <c r="F991" s="22" t="s">
        <v>1221</v>
      </c>
      <c r="G991" s="8" t="s">
        <v>20</v>
      </c>
      <c r="K991">
        <v>2</v>
      </c>
      <c r="L991" s="38" t="s">
        <v>22</v>
      </c>
      <c r="P991" t="s">
        <v>301</v>
      </c>
      <c r="Q991" t="s">
        <v>2593</v>
      </c>
    </row>
    <row r="992" spans="1:17" ht="15.75" customHeight="1">
      <c r="A992" s="7" t="s">
        <v>2594</v>
      </c>
      <c r="B992" s="8" t="s">
        <v>17</v>
      </c>
      <c r="C992" s="28" t="s">
        <v>2595</v>
      </c>
      <c r="E992" s="22"/>
      <c r="F992" s="22" t="s">
        <v>1221</v>
      </c>
      <c r="G992" s="8" t="s">
        <v>20</v>
      </c>
      <c r="K992">
        <v>2</v>
      </c>
      <c r="L992" s="38" t="s">
        <v>22</v>
      </c>
      <c r="P992" t="s">
        <v>297</v>
      </c>
      <c r="Q992" t="s">
        <v>2596</v>
      </c>
    </row>
    <row r="993" spans="1:17" ht="15.75" customHeight="1">
      <c r="A993" s="7" t="s">
        <v>2597</v>
      </c>
      <c r="B993" s="8" t="s">
        <v>17</v>
      </c>
      <c r="C993" s="28" t="s">
        <v>2598</v>
      </c>
      <c r="E993" s="22"/>
      <c r="F993" s="22" t="s">
        <v>1221</v>
      </c>
      <c r="G993" s="8" t="s">
        <v>20</v>
      </c>
      <c r="K993">
        <v>3</v>
      </c>
      <c r="L993" s="38" t="s">
        <v>22</v>
      </c>
      <c r="P993" t="s">
        <v>90</v>
      </c>
      <c r="Q993" t="s">
        <v>2599</v>
      </c>
    </row>
    <row r="994" spans="1:17" ht="15.75" customHeight="1">
      <c r="A994" s="7" t="s">
        <v>2600</v>
      </c>
      <c r="B994" s="8" t="s">
        <v>17</v>
      </c>
      <c r="C994" s="28" t="s">
        <v>2601</v>
      </c>
      <c r="E994" s="22"/>
      <c r="F994" s="22" t="s">
        <v>1221</v>
      </c>
      <c r="G994" s="8" t="s">
        <v>20</v>
      </c>
      <c r="K994">
        <v>3</v>
      </c>
      <c r="L994" s="38" t="s">
        <v>22</v>
      </c>
      <c r="P994" t="s">
        <v>301</v>
      </c>
      <c r="Q994" t="s">
        <v>2602</v>
      </c>
    </row>
    <row r="995" spans="1:17" ht="15.75" customHeight="1">
      <c r="A995" s="7" t="s">
        <v>2603</v>
      </c>
      <c r="B995" s="8" t="s">
        <v>17</v>
      </c>
      <c r="C995" s="28" t="s">
        <v>2604</v>
      </c>
      <c r="E995" s="22"/>
      <c r="F995" s="22" t="s">
        <v>1221</v>
      </c>
      <c r="G995" s="8" t="s">
        <v>20</v>
      </c>
      <c r="K995">
        <v>3</v>
      </c>
      <c r="L995" s="38" t="s">
        <v>22</v>
      </c>
      <c r="P995" t="s">
        <v>125</v>
      </c>
      <c r="Q995" t="s">
        <v>2605</v>
      </c>
    </row>
    <row r="996" spans="1:17" ht="15.75" customHeight="1">
      <c r="A996" s="7" t="s">
        <v>2606</v>
      </c>
      <c r="B996" s="8" t="s">
        <v>17</v>
      </c>
      <c r="C996" s="28" t="s">
        <v>2607</v>
      </c>
      <c r="E996" s="22"/>
      <c r="F996" s="22" t="s">
        <v>1221</v>
      </c>
      <c r="G996" s="8" t="s">
        <v>20</v>
      </c>
      <c r="K996">
        <v>3</v>
      </c>
      <c r="L996" s="38" t="s">
        <v>22</v>
      </c>
      <c r="P996" t="s">
        <v>301</v>
      </c>
      <c r="Q996" t="s">
        <v>2608</v>
      </c>
    </row>
    <row r="997" spans="1:17" ht="15.75" customHeight="1">
      <c r="A997" s="7" t="s">
        <v>2609</v>
      </c>
      <c r="B997" s="8" t="s">
        <v>17</v>
      </c>
      <c r="C997" s="28" t="s">
        <v>2610</v>
      </c>
      <c r="E997" s="22"/>
      <c r="F997" s="22" t="s">
        <v>1221</v>
      </c>
      <c r="G997" s="8" t="s">
        <v>20</v>
      </c>
      <c r="K997">
        <v>3</v>
      </c>
      <c r="L997" s="38" t="s">
        <v>22</v>
      </c>
      <c r="P997" t="s">
        <v>125</v>
      </c>
      <c r="Q997" t="s">
        <v>2397</v>
      </c>
    </row>
    <row r="998" spans="1:17" ht="15.75" customHeight="1">
      <c r="A998" s="7" t="s">
        <v>2611</v>
      </c>
      <c r="B998" s="8" t="s">
        <v>17</v>
      </c>
      <c r="C998" s="28" t="s">
        <v>2612</v>
      </c>
      <c r="E998" s="22"/>
      <c r="F998" s="22" t="s">
        <v>1221</v>
      </c>
      <c r="G998" s="8" t="s">
        <v>20</v>
      </c>
      <c r="K998">
        <v>3</v>
      </c>
      <c r="L998" s="38" t="s">
        <v>22</v>
      </c>
      <c r="P998" t="s">
        <v>297</v>
      </c>
      <c r="Q998" t="s">
        <v>2613</v>
      </c>
    </row>
    <row r="999" spans="1:17" ht="15.75" customHeight="1">
      <c r="A999" s="7" t="s">
        <v>2614</v>
      </c>
      <c r="B999" s="8" t="s">
        <v>17</v>
      </c>
      <c r="C999" s="28" t="s">
        <v>2615</v>
      </c>
      <c r="E999" s="22"/>
      <c r="F999" s="22" t="s">
        <v>1221</v>
      </c>
      <c r="G999" s="8" t="s">
        <v>20</v>
      </c>
      <c r="K999">
        <v>3</v>
      </c>
      <c r="L999" s="38" t="s">
        <v>22</v>
      </c>
      <c r="P999" t="s">
        <v>695</v>
      </c>
      <c r="Q999" t="s">
        <v>2616</v>
      </c>
    </row>
    <row r="1000" spans="1:17" ht="15.75" customHeight="1">
      <c r="A1000" s="7" t="s">
        <v>2617</v>
      </c>
      <c r="B1000" s="8" t="s">
        <v>17</v>
      </c>
      <c r="C1000" s="28" t="s">
        <v>2618</v>
      </c>
      <c r="E1000" s="22"/>
      <c r="F1000" s="22" t="s">
        <v>1221</v>
      </c>
      <c r="G1000" s="8" t="s">
        <v>20</v>
      </c>
      <c r="K1000">
        <v>3</v>
      </c>
      <c r="L1000" s="38" t="s">
        <v>22</v>
      </c>
      <c r="P1000" t="s">
        <v>695</v>
      </c>
      <c r="Q1000" t="s">
        <v>2619</v>
      </c>
    </row>
    <row r="1001" spans="1:17" ht="15.75" customHeight="1">
      <c r="A1001" s="7" t="s">
        <v>2620</v>
      </c>
      <c r="B1001" s="8" t="s">
        <v>17</v>
      </c>
      <c r="C1001" s="28" t="s">
        <v>2621</v>
      </c>
      <c r="E1001" s="22"/>
      <c r="F1001" s="22" t="s">
        <v>1221</v>
      </c>
      <c r="G1001" s="8" t="s">
        <v>20</v>
      </c>
      <c r="K1001">
        <v>4</v>
      </c>
      <c r="L1001" s="38" t="s">
        <v>22</v>
      </c>
      <c r="P1001" t="s">
        <v>301</v>
      </c>
      <c r="Q1001" t="s">
        <v>2622</v>
      </c>
    </row>
    <row r="1002" spans="1:17" ht="15.75" customHeight="1">
      <c r="A1002" s="7" t="s">
        <v>2623</v>
      </c>
      <c r="B1002" s="8" t="s">
        <v>17</v>
      </c>
      <c r="C1002" s="28" t="s">
        <v>2624</v>
      </c>
      <c r="E1002" s="22"/>
      <c r="F1002" s="22" t="s">
        <v>1221</v>
      </c>
      <c r="G1002" s="8" t="s">
        <v>20</v>
      </c>
      <c r="K1002">
        <v>4</v>
      </c>
      <c r="L1002" s="38" t="s">
        <v>22</v>
      </c>
      <c r="P1002" t="s">
        <v>301</v>
      </c>
      <c r="Q1002" t="s">
        <v>2625</v>
      </c>
    </row>
    <row r="1003" spans="1:17" ht="15.75" customHeight="1">
      <c r="A1003" s="7" t="s">
        <v>2626</v>
      </c>
      <c r="B1003" s="8" t="s">
        <v>17</v>
      </c>
      <c r="C1003" s="28" t="s">
        <v>2627</v>
      </c>
      <c r="E1003" s="22"/>
      <c r="F1003" s="22" t="s">
        <v>1221</v>
      </c>
      <c r="G1003" s="8" t="s">
        <v>20</v>
      </c>
      <c r="K1003">
        <v>4</v>
      </c>
      <c r="L1003" s="38" t="s">
        <v>22</v>
      </c>
      <c r="P1003" t="s">
        <v>301</v>
      </c>
      <c r="Q1003" t="s">
        <v>2628</v>
      </c>
    </row>
    <row r="1004" spans="1:17" ht="15.75" customHeight="1">
      <c r="A1004" s="7" t="s">
        <v>2629</v>
      </c>
      <c r="B1004" s="8" t="s">
        <v>17</v>
      </c>
      <c r="C1004" s="28" t="s">
        <v>2630</v>
      </c>
      <c r="E1004" s="22"/>
      <c r="F1004" s="22" t="s">
        <v>1221</v>
      </c>
      <c r="G1004" s="8" t="s">
        <v>20</v>
      </c>
      <c r="K1004">
        <v>4</v>
      </c>
      <c r="L1004" s="38" t="s">
        <v>22</v>
      </c>
      <c r="P1004" t="s">
        <v>23</v>
      </c>
      <c r="Q1004" t="s">
        <v>2631</v>
      </c>
    </row>
    <row r="1005" spans="1:17" ht="15.75" customHeight="1">
      <c r="A1005" s="7" t="s">
        <v>2632</v>
      </c>
      <c r="B1005" s="8" t="s">
        <v>17</v>
      </c>
      <c r="C1005" s="28" t="s">
        <v>2633</v>
      </c>
      <c r="E1005" s="22"/>
      <c r="F1005" s="22" t="s">
        <v>1221</v>
      </c>
      <c r="G1005" s="8" t="s">
        <v>20</v>
      </c>
      <c r="K1005">
        <v>4</v>
      </c>
      <c r="L1005" s="38" t="s">
        <v>22</v>
      </c>
      <c r="P1005" t="s">
        <v>692</v>
      </c>
      <c r="Q1005" t="s">
        <v>2634</v>
      </c>
    </row>
    <row r="1006" spans="1:17" ht="15.75" customHeight="1">
      <c r="A1006" s="7" t="s">
        <v>2635</v>
      </c>
      <c r="B1006" s="8" t="s">
        <v>17</v>
      </c>
      <c r="C1006" s="28" t="s">
        <v>2636</v>
      </c>
      <c r="E1006" s="22"/>
      <c r="F1006" s="22" t="s">
        <v>1221</v>
      </c>
      <c r="G1006" s="8" t="s">
        <v>20</v>
      </c>
      <c r="K1006">
        <v>4</v>
      </c>
      <c r="L1006" s="38" t="s">
        <v>22</v>
      </c>
      <c r="P1006" t="s">
        <v>297</v>
      </c>
      <c r="Q1006" t="s">
        <v>2637</v>
      </c>
    </row>
    <row r="1007" spans="1:17" ht="15.75" customHeight="1">
      <c r="A1007" s="7" t="s">
        <v>2638</v>
      </c>
      <c r="B1007" s="8" t="s">
        <v>17</v>
      </c>
      <c r="C1007" s="28" t="s">
        <v>2639</v>
      </c>
      <c r="E1007" s="22"/>
      <c r="F1007" s="22" t="s">
        <v>1221</v>
      </c>
      <c r="G1007" s="8" t="s">
        <v>20</v>
      </c>
      <c r="K1007">
        <v>4</v>
      </c>
      <c r="L1007" s="38" t="s">
        <v>22</v>
      </c>
      <c r="P1007" t="s">
        <v>297</v>
      </c>
      <c r="Q1007" t="s">
        <v>2640</v>
      </c>
    </row>
    <row r="1008" spans="1:17" ht="15.75" customHeight="1">
      <c r="A1008" s="7" t="s">
        <v>2641</v>
      </c>
      <c r="B1008" s="8" t="s">
        <v>17</v>
      </c>
      <c r="C1008" s="28" t="s">
        <v>2642</v>
      </c>
      <c r="E1008" s="22"/>
      <c r="F1008" s="22" t="s">
        <v>1221</v>
      </c>
      <c r="G1008" s="8" t="s">
        <v>20</v>
      </c>
      <c r="K1008">
        <v>5</v>
      </c>
      <c r="L1008" s="38" t="s">
        <v>22</v>
      </c>
      <c r="P1008" t="s">
        <v>710</v>
      </c>
      <c r="Q1008" t="s">
        <v>2643</v>
      </c>
    </row>
    <row r="1009" spans="1:17" ht="15.75" customHeight="1">
      <c r="A1009" s="7" t="s">
        <v>2644</v>
      </c>
      <c r="B1009" s="8" t="s">
        <v>17</v>
      </c>
      <c r="C1009" s="28" t="s">
        <v>2645</v>
      </c>
      <c r="E1009" s="22"/>
      <c r="F1009" s="22" t="s">
        <v>1221</v>
      </c>
      <c r="G1009" s="8" t="s">
        <v>20</v>
      </c>
      <c r="K1009">
        <v>5</v>
      </c>
      <c r="L1009" s="38" t="s">
        <v>22</v>
      </c>
      <c r="P1009" t="s">
        <v>301</v>
      </c>
      <c r="Q1009" t="s">
        <v>2646</v>
      </c>
    </row>
    <row r="1010" spans="1:17" ht="15.75" customHeight="1">
      <c r="A1010" s="7" t="s">
        <v>2647</v>
      </c>
      <c r="B1010" s="8" t="s">
        <v>17</v>
      </c>
      <c r="C1010" s="28" t="s">
        <v>2648</v>
      </c>
      <c r="E1010" s="22"/>
      <c r="F1010" s="22" t="s">
        <v>1221</v>
      </c>
      <c r="G1010" s="8" t="s">
        <v>20</v>
      </c>
      <c r="K1010">
        <v>5</v>
      </c>
      <c r="L1010" s="38" t="s">
        <v>22</v>
      </c>
      <c r="P1010" t="s">
        <v>23</v>
      </c>
      <c r="Q1010" t="s">
        <v>2649</v>
      </c>
    </row>
    <row r="1011" spans="1:17" ht="15.75" customHeight="1">
      <c r="A1011" s="7" t="s">
        <v>2650</v>
      </c>
      <c r="B1011" s="8" t="s">
        <v>17</v>
      </c>
      <c r="C1011" s="28" t="s">
        <v>2651</v>
      </c>
      <c r="E1011" s="22"/>
      <c r="F1011" s="22" t="s">
        <v>1221</v>
      </c>
      <c r="G1011" s="8" t="s">
        <v>20</v>
      </c>
      <c r="K1011">
        <v>5</v>
      </c>
      <c r="L1011" s="38" t="s">
        <v>22</v>
      </c>
      <c r="P1011" t="s">
        <v>695</v>
      </c>
      <c r="Q1011" t="s">
        <v>2652</v>
      </c>
    </row>
    <row r="1012" spans="1:17" ht="15.75" customHeight="1">
      <c r="A1012" s="7" t="s">
        <v>2653</v>
      </c>
      <c r="B1012" s="8" t="s">
        <v>17</v>
      </c>
      <c r="C1012" s="28" t="s">
        <v>2654</v>
      </c>
      <c r="E1012" s="22"/>
      <c r="F1012" s="22" t="s">
        <v>1221</v>
      </c>
      <c r="G1012" s="8" t="s">
        <v>20</v>
      </c>
      <c r="K1012">
        <v>5</v>
      </c>
      <c r="L1012" s="38" t="s">
        <v>22</v>
      </c>
      <c r="P1012" t="s">
        <v>301</v>
      </c>
      <c r="Q1012" t="s">
        <v>2655</v>
      </c>
    </row>
    <row r="1013" spans="1:17" ht="15.75" customHeight="1">
      <c r="A1013" s="7" t="s">
        <v>2656</v>
      </c>
      <c r="B1013" s="8" t="s">
        <v>17</v>
      </c>
      <c r="C1013" s="28" t="s">
        <v>2657</v>
      </c>
      <c r="E1013" s="22"/>
      <c r="F1013" s="22" t="s">
        <v>1221</v>
      </c>
      <c r="G1013" s="8" t="s">
        <v>20</v>
      </c>
      <c r="K1013">
        <v>5</v>
      </c>
      <c r="L1013" s="38" t="s">
        <v>22</v>
      </c>
      <c r="P1013" t="s">
        <v>301</v>
      </c>
      <c r="Q1013" t="s">
        <v>2658</v>
      </c>
    </row>
    <row r="1014" spans="1:17" ht="15.75" customHeight="1">
      <c r="A1014" s="7" t="s">
        <v>2659</v>
      </c>
      <c r="B1014" s="8" t="s">
        <v>17</v>
      </c>
      <c r="C1014" s="28" t="s">
        <v>2660</v>
      </c>
      <c r="E1014" s="22"/>
      <c r="F1014" s="22" t="s">
        <v>1221</v>
      </c>
      <c r="G1014" s="8" t="s">
        <v>20</v>
      </c>
      <c r="K1014">
        <v>5</v>
      </c>
      <c r="L1014" s="38" t="s">
        <v>22</v>
      </c>
      <c r="P1014" t="s">
        <v>125</v>
      </c>
      <c r="Q1014" t="s">
        <v>2661</v>
      </c>
    </row>
    <row r="1015" spans="1:17" ht="15.75" customHeight="1">
      <c r="A1015" s="7" t="s">
        <v>2662</v>
      </c>
      <c r="B1015" s="8" t="s">
        <v>17</v>
      </c>
      <c r="C1015" s="28" t="s">
        <v>2663</v>
      </c>
      <c r="E1015" s="22"/>
      <c r="F1015" s="22" t="s">
        <v>1221</v>
      </c>
      <c r="G1015" s="8" t="s">
        <v>20</v>
      </c>
      <c r="K1015">
        <v>5</v>
      </c>
      <c r="L1015" s="38" t="s">
        <v>22</v>
      </c>
      <c r="P1015" t="s">
        <v>695</v>
      </c>
      <c r="Q1015" t="s">
        <v>2664</v>
      </c>
    </row>
    <row r="1016" spans="1:17" ht="15.75" customHeight="1">
      <c r="A1016" s="7" t="s">
        <v>2665</v>
      </c>
      <c r="B1016" s="8" t="s">
        <v>17</v>
      </c>
      <c r="C1016" s="28" t="s">
        <v>2666</v>
      </c>
      <c r="E1016" s="22"/>
      <c r="F1016" s="22" t="s">
        <v>1221</v>
      </c>
      <c r="G1016" s="8" t="s">
        <v>20</v>
      </c>
      <c r="K1016">
        <v>6</v>
      </c>
      <c r="L1016" s="38" t="s">
        <v>22</v>
      </c>
      <c r="P1016" t="s">
        <v>301</v>
      </c>
      <c r="Q1016" t="s">
        <v>2667</v>
      </c>
    </row>
    <row r="1017" spans="1:17" ht="15.75" customHeight="1">
      <c r="A1017" s="7" t="s">
        <v>2668</v>
      </c>
      <c r="B1017" s="8" t="s">
        <v>17</v>
      </c>
      <c r="C1017" s="28" t="s">
        <v>2669</v>
      </c>
      <c r="E1017" s="22"/>
      <c r="F1017" s="22" t="s">
        <v>1221</v>
      </c>
      <c r="G1017" s="8" t="s">
        <v>20</v>
      </c>
      <c r="K1017">
        <v>6</v>
      </c>
      <c r="L1017" s="38" t="s">
        <v>22</v>
      </c>
      <c r="P1017" t="s">
        <v>692</v>
      </c>
      <c r="Q1017" t="s">
        <v>2670</v>
      </c>
    </row>
    <row r="1018" spans="1:17" ht="15.75" customHeight="1">
      <c r="A1018" s="7" t="s">
        <v>2671</v>
      </c>
      <c r="B1018" s="8" t="s">
        <v>17</v>
      </c>
      <c r="C1018" s="28" t="s">
        <v>2672</v>
      </c>
      <c r="E1018" s="22"/>
      <c r="F1018" s="22" t="s">
        <v>1221</v>
      </c>
      <c r="G1018" s="8" t="s">
        <v>20</v>
      </c>
      <c r="K1018">
        <v>6</v>
      </c>
      <c r="L1018" s="38" t="s">
        <v>22</v>
      </c>
      <c r="P1018" t="s">
        <v>125</v>
      </c>
      <c r="Q1018" t="s">
        <v>2673</v>
      </c>
    </row>
    <row r="1019" spans="1:17" ht="15.75" customHeight="1">
      <c r="A1019" s="7" t="s">
        <v>2674</v>
      </c>
      <c r="B1019" s="8" t="s">
        <v>17</v>
      </c>
      <c r="C1019" s="28" t="s">
        <v>2675</v>
      </c>
      <c r="E1019" s="22"/>
      <c r="F1019" s="22" t="s">
        <v>1221</v>
      </c>
      <c r="G1019" s="8" t="s">
        <v>20</v>
      </c>
      <c r="K1019">
        <v>7</v>
      </c>
      <c r="L1019" s="38" t="s">
        <v>22</v>
      </c>
      <c r="P1019" t="s">
        <v>297</v>
      </c>
      <c r="Q1019" t="s">
        <v>2676</v>
      </c>
    </row>
    <row r="1020" spans="1:17" ht="15.75" customHeight="1">
      <c r="A1020" s="7" t="s">
        <v>2677</v>
      </c>
      <c r="B1020" s="8" t="s">
        <v>17</v>
      </c>
      <c r="C1020" s="28" t="s">
        <v>2678</v>
      </c>
      <c r="E1020" s="22"/>
      <c r="F1020" s="22" t="s">
        <v>1221</v>
      </c>
      <c r="G1020" s="8" t="s">
        <v>20</v>
      </c>
      <c r="K1020">
        <v>7</v>
      </c>
      <c r="L1020" s="38" t="s">
        <v>22</v>
      </c>
      <c r="P1020" t="s">
        <v>301</v>
      </c>
      <c r="Q1020" t="s">
        <v>2679</v>
      </c>
    </row>
    <row r="1021" spans="1:17" ht="15.75" customHeight="1">
      <c r="A1021" s="7" t="s">
        <v>2680</v>
      </c>
      <c r="B1021" s="8" t="s">
        <v>17</v>
      </c>
      <c r="C1021" s="28" t="s">
        <v>2681</v>
      </c>
      <c r="E1021" s="22"/>
      <c r="F1021" s="22" t="s">
        <v>1221</v>
      </c>
      <c r="G1021" s="8" t="s">
        <v>20</v>
      </c>
      <c r="K1021">
        <v>7</v>
      </c>
      <c r="L1021" s="38" t="s">
        <v>22</v>
      </c>
      <c r="P1021" t="s">
        <v>297</v>
      </c>
      <c r="Q1021" t="s">
        <v>2682</v>
      </c>
    </row>
    <row r="1022" spans="1:17" ht="15.75" customHeight="1">
      <c r="A1022" s="7" t="s">
        <v>2683</v>
      </c>
      <c r="B1022" s="8" t="s">
        <v>17</v>
      </c>
      <c r="C1022" s="28" t="s">
        <v>2684</v>
      </c>
      <c r="E1022" s="22"/>
      <c r="F1022" s="22" t="s">
        <v>1221</v>
      </c>
      <c r="G1022" s="8" t="s">
        <v>20</v>
      </c>
      <c r="K1022">
        <v>7</v>
      </c>
      <c r="L1022" s="38" t="s">
        <v>22</v>
      </c>
      <c r="P1022" t="s">
        <v>23</v>
      </c>
      <c r="Q1022" t="s">
        <v>2685</v>
      </c>
    </row>
    <row r="1023" spans="1:17" ht="15.75" customHeight="1">
      <c r="A1023" s="7" t="s">
        <v>2686</v>
      </c>
      <c r="B1023" s="8" t="s">
        <v>17</v>
      </c>
      <c r="C1023" s="28" t="s">
        <v>2687</v>
      </c>
      <c r="E1023" s="22"/>
      <c r="F1023" s="22" t="s">
        <v>1221</v>
      </c>
      <c r="G1023" s="8" t="s">
        <v>20</v>
      </c>
      <c r="K1023">
        <v>7</v>
      </c>
      <c r="L1023" s="38" t="s">
        <v>22</v>
      </c>
      <c r="P1023" t="s">
        <v>23</v>
      </c>
      <c r="Q1023" t="s">
        <v>2688</v>
      </c>
    </row>
    <row r="1024" spans="1:17" ht="15.75" customHeight="1">
      <c r="A1024" s="7" t="s">
        <v>2689</v>
      </c>
      <c r="B1024" s="8" t="s">
        <v>17</v>
      </c>
      <c r="C1024" s="28" t="s">
        <v>2690</v>
      </c>
      <c r="E1024" s="22"/>
      <c r="F1024" s="22" t="s">
        <v>1221</v>
      </c>
      <c r="G1024" s="8" t="s">
        <v>20</v>
      </c>
      <c r="K1024">
        <v>7</v>
      </c>
      <c r="L1024" s="38" t="s">
        <v>22</v>
      </c>
      <c r="P1024" t="s">
        <v>125</v>
      </c>
      <c r="Q1024" t="s">
        <v>2691</v>
      </c>
    </row>
    <row r="1025" spans="1:17" ht="15.75" customHeight="1">
      <c r="A1025" s="7" t="s">
        <v>2692</v>
      </c>
      <c r="B1025" s="8" t="s">
        <v>17</v>
      </c>
      <c r="C1025" s="28" t="s">
        <v>2693</v>
      </c>
      <c r="E1025" s="22"/>
      <c r="F1025" s="22" t="s">
        <v>159</v>
      </c>
      <c r="G1025" s="8" t="s">
        <v>20</v>
      </c>
      <c r="K1025">
        <v>1</v>
      </c>
      <c r="L1025" s="38" t="s">
        <v>22</v>
      </c>
      <c r="P1025" t="s">
        <v>160</v>
      </c>
      <c r="Q1025" t="s">
        <v>2694</v>
      </c>
    </row>
    <row r="1026" spans="1:17" ht="15.75" customHeight="1">
      <c r="A1026" s="7" t="s">
        <v>2695</v>
      </c>
      <c r="B1026" s="8" t="s">
        <v>17</v>
      </c>
      <c r="C1026" s="28" t="s">
        <v>2696</v>
      </c>
      <c r="E1026" s="22"/>
      <c r="F1026" s="22" t="s">
        <v>159</v>
      </c>
      <c r="G1026" s="8" t="s">
        <v>20</v>
      </c>
      <c r="K1026">
        <v>1</v>
      </c>
      <c r="L1026" s="38" t="s">
        <v>22</v>
      </c>
      <c r="P1026" t="s">
        <v>160</v>
      </c>
      <c r="Q1026" t="s">
        <v>2697</v>
      </c>
    </row>
    <row r="1027" spans="1:17" ht="15.75" customHeight="1">
      <c r="A1027" s="7" t="s">
        <v>2698</v>
      </c>
      <c r="B1027" s="8" t="s">
        <v>17</v>
      </c>
      <c r="C1027" s="28" t="s">
        <v>2699</v>
      </c>
      <c r="E1027" s="22"/>
      <c r="F1027" s="22" t="s">
        <v>159</v>
      </c>
      <c r="G1027" s="8" t="s">
        <v>20</v>
      </c>
      <c r="K1027">
        <v>1</v>
      </c>
      <c r="L1027" s="38" t="s">
        <v>22</v>
      </c>
      <c r="P1027" t="s">
        <v>160</v>
      </c>
      <c r="Q1027" t="s">
        <v>2700</v>
      </c>
    </row>
    <row r="1028" spans="1:17" ht="15.75" customHeight="1">
      <c r="A1028" s="7" t="s">
        <v>2701</v>
      </c>
      <c r="B1028" s="8" t="s">
        <v>17</v>
      </c>
      <c r="C1028" s="28" t="s">
        <v>2702</v>
      </c>
      <c r="E1028" s="22"/>
      <c r="F1028" s="22" t="s">
        <v>159</v>
      </c>
      <c r="G1028" s="8" t="s">
        <v>20</v>
      </c>
      <c r="K1028">
        <v>1</v>
      </c>
      <c r="L1028" s="38" t="s">
        <v>22</v>
      </c>
      <c r="P1028" t="s">
        <v>160</v>
      </c>
      <c r="Q1028" t="s">
        <v>2703</v>
      </c>
    </row>
    <row r="1029" spans="1:17" ht="15.75" customHeight="1">
      <c r="A1029" s="7" t="s">
        <v>2704</v>
      </c>
      <c r="B1029" s="8" t="s">
        <v>17</v>
      </c>
      <c r="C1029" s="28" t="s">
        <v>2705</v>
      </c>
      <c r="E1029" s="22"/>
      <c r="F1029" s="22" t="s">
        <v>159</v>
      </c>
      <c r="G1029" s="8" t="s">
        <v>20</v>
      </c>
      <c r="K1029">
        <v>2</v>
      </c>
      <c r="L1029" s="38" t="s">
        <v>22</v>
      </c>
      <c r="P1029" t="s">
        <v>160</v>
      </c>
      <c r="Q1029" t="s">
        <v>2706</v>
      </c>
    </row>
    <row r="1030" spans="1:17" ht="15.75" customHeight="1">
      <c r="A1030" s="7" t="s">
        <v>2707</v>
      </c>
      <c r="B1030" s="8" t="s">
        <v>17</v>
      </c>
      <c r="C1030" s="28" t="s">
        <v>2708</v>
      </c>
      <c r="E1030" s="22"/>
      <c r="F1030" s="22" t="s">
        <v>159</v>
      </c>
      <c r="G1030" s="8" t="s">
        <v>20</v>
      </c>
      <c r="K1030">
        <v>2</v>
      </c>
      <c r="L1030" s="38" t="s">
        <v>22</v>
      </c>
      <c r="P1030" t="s">
        <v>160</v>
      </c>
      <c r="Q1030" t="s">
        <v>2709</v>
      </c>
    </row>
    <row r="1031" spans="1:17" ht="15.75" customHeight="1">
      <c r="A1031" s="7" t="s">
        <v>2710</v>
      </c>
      <c r="B1031" s="8" t="s">
        <v>17</v>
      </c>
      <c r="C1031" s="28" t="s">
        <v>2711</v>
      </c>
      <c r="E1031" s="22"/>
      <c r="F1031" s="22" t="s">
        <v>159</v>
      </c>
      <c r="G1031" s="8" t="s">
        <v>20</v>
      </c>
      <c r="K1031">
        <v>3</v>
      </c>
      <c r="L1031" s="38" t="s">
        <v>22</v>
      </c>
      <c r="P1031" t="s">
        <v>160</v>
      </c>
      <c r="Q1031" t="s">
        <v>2712</v>
      </c>
    </row>
    <row r="1032" spans="1:17" ht="15.75" customHeight="1">
      <c r="A1032" s="7" t="s">
        <v>2713</v>
      </c>
      <c r="B1032" s="8" t="s">
        <v>17</v>
      </c>
      <c r="C1032" s="28" t="s">
        <v>2714</v>
      </c>
      <c r="E1032" s="22"/>
      <c r="F1032" s="22" t="s">
        <v>159</v>
      </c>
      <c r="G1032" s="8" t="s">
        <v>20</v>
      </c>
      <c r="K1032">
        <v>3</v>
      </c>
      <c r="L1032" s="38" t="s">
        <v>22</v>
      </c>
      <c r="P1032" t="s">
        <v>160</v>
      </c>
      <c r="Q1032" t="s">
        <v>2715</v>
      </c>
    </row>
    <row r="1033" spans="1:17" ht="15.75" customHeight="1">
      <c r="A1033" s="7" t="s">
        <v>2716</v>
      </c>
      <c r="B1033" s="8" t="s">
        <v>17</v>
      </c>
      <c r="C1033" s="28" t="s">
        <v>2717</v>
      </c>
      <c r="E1033" s="22"/>
      <c r="F1033" s="22" t="s">
        <v>159</v>
      </c>
      <c r="G1033" s="8" t="s">
        <v>20</v>
      </c>
      <c r="K1033">
        <v>4</v>
      </c>
      <c r="L1033" s="38" t="s">
        <v>22</v>
      </c>
      <c r="P1033" t="s">
        <v>160</v>
      </c>
      <c r="Q1033" t="s">
        <v>2718</v>
      </c>
    </row>
    <row r="1034" spans="1:17" ht="15.75" customHeight="1">
      <c r="A1034" s="7" t="s">
        <v>2719</v>
      </c>
      <c r="B1034" s="8" t="s">
        <v>17</v>
      </c>
      <c r="C1034" s="28" t="s">
        <v>2720</v>
      </c>
      <c r="E1034" s="22"/>
      <c r="F1034" s="22" t="s">
        <v>159</v>
      </c>
      <c r="G1034" s="8" t="s">
        <v>20</v>
      </c>
      <c r="K1034">
        <v>4</v>
      </c>
      <c r="L1034" s="38" t="s">
        <v>22</v>
      </c>
      <c r="P1034" t="s">
        <v>160</v>
      </c>
      <c r="Q1034" t="s">
        <v>2721</v>
      </c>
    </row>
    <row r="1035" spans="1:17" ht="15.75" customHeight="1">
      <c r="A1035" s="7" t="s">
        <v>2722</v>
      </c>
      <c r="B1035" s="8" t="s">
        <v>17</v>
      </c>
      <c r="C1035" s="28" t="s">
        <v>2723</v>
      </c>
      <c r="E1035" s="22"/>
      <c r="F1035" s="22" t="s">
        <v>1273</v>
      </c>
      <c r="G1035" s="8" t="s">
        <v>20</v>
      </c>
      <c r="K1035">
        <v>1</v>
      </c>
      <c r="L1035" s="38" t="s">
        <v>22</v>
      </c>
      <c r="P1035" t="s">
        <v>297</v>
      </c>
      <c r="Q1035" t="s">
        <v>2724</v>
      </c>
    </row>
    <row r="1036" spans="1:17" ht="15.75" customHeight="1">
      <c r="A1036" s="7" t="s">
        <v>2725</v>
      </c>
      <c r="B1036" s="8" t="s">
        <v>17</v>
      </c>
      <c r="C1036" s="28" t="s">
        <v>2726</v>
      </c>
      <c r="E1036" s="22"/>
      <c r="F1036" s="22" t="s">
        <v>1273</v>
      </c>
      <c r="G1036" s="8" t="s">
        <v>20</v>
      </c>
      <c r="K1036">
        <v>1</v>
      </c>
      <c r="L1036" s="38" t="s">
        <v>22</v>
      </c>
      <c r="P1036" t="s">
        <v>297</v>
      </c>
      <c r="Q1036" t="s">
        <v>2727</v>
      </c>
    </row>
    <row r="1037" spans="1:17" ht="15.75" customHeight="1">
      <c r="A1037" s="7" t="s">
        <v>2728</v>
      </c>
      <c r="B1037" s="8" t="s">
        <v>17</v>
      </c>
      <c r="C1037" s="28" t="s">
        <v>2729</v>
      </c>
      <c r="E1037" s="22"/>
      <c r="F1037" s="22" t="s">
        <v>1273</v>
      </c>
      <c r="G1037" s="8" t="s">
        <v>20</v>
      </c>
      <c r="K1037">
        <v>1</v>
      </c>
      <c r="L1037" s="38" t="s">
        <v>22</v>
      </c>
      <c r="P1037" t="s">
        <v>297</v>
      </c>
      <c r="Q1037" t="s">
        <v>2730</v>
      </c>
    </row>
    <row r="1038" spans="1:17" ht="15.75" customHeight="1">
      <c r="A1038" s="7" t="s">
        <v>2731</v>
      </c>
      <c r="B1038" s="8" t="s">
        <v>17</v>
      </c>
      <c r="C1038" s="28" t="s">
        <v>2732</v>
      </c>
      <c r="E1038" s="22"/>
      <c r="F1038" s="22" t="s">
        <v>1273</v>
      </c>
      <c r="G1038" s="8" t="s">
        <v>20</v>
      </c>
      <c r="K1038">
        <v>1</v>
      </c>
      <c r="L1038" s="38" t="s">
        <v>22</v>
      </c>
      <c r="P1038" t="s">
        <v>297</v>
      </c>
      <c r="Q1038" t="s">
        <v>2733</v>
      </c>
    </row>
    <row r="1039" spans="1:17" ht="15.75" customHeight="1">
      <c r="A1039" s="7" t="s">
        <v>2734</v>
      </c>
      <c r="B1039" s="8" t="s">
        <v>17</v>
      </c>
      <c r="C1039" s="28" t="s">
        <v>2735</v>
      </c>
      <c r="E1039" s="22"/>
      <c r="F1039" s="22" t="s">
        <v>1273</v>
      </c>
      <c r="G1039" s="8" t="s">
        <v>20</v>
      </c>
      <c r="K1039">
        <v>1</v>
      </c>
      <c r="L1039" s="38" t="s">
        <v>22</v>
      </c>
      <c r="P1039" t="s">
        <v>297</v>
      </c>
      <c r="Q1039" t="s">
        <v>2736</v>
      </c>
    </row>
    <row r="1040" spans="1:17" ht="15.75" customHeight="1">
      <c r="A1040" s="7" t="s">
        <v>2737</v>
      </c>
      <c r="B1040" s="8" t="s">
        <v>17</v>
      </c>
      <c r="C1040" s="28" t="s">
        <v>2738</v>
      </c>
      <c r="E1040" s="22"/>
      <c r="F1040" s="22" t="s">
        <v>1273</v>
      </c>
      <c r="G1040" s="8" t="s">
        <v>20</v>
      </c>
      <c r="K1040">
        <v>2</v>
      </c>
      <c r="L1040" s="38" t="s">
        <v>22</v>
      </c>
      <c r="P1040" t="s">
        <v>297</v>
      </c>
      <c r="Q1040" t="s">
        <v>2739</v>
      </c>
    </row>
    <row r="1041" spans="1:17" ht="15.75" customHeight="1">
      <c r="A1041" s="7" t="s">
        <v>2740</v>
      </c>
      <c r="B1041" s="8" t="s">
        <v>17</v>
      </c>
      <c r="C1041" s="28" t="s">
        <v>2741</v>
      </c>
      <c r="E1041" s="22"/>
      <c r="F1041" s="22" t="s">
        <v>1273</v>
      </c>
      <c r="G1041" s="8" t="s">
        <v>20</v>
      </c>
      <c r="K1041">
        <v>2</v>
      </c>
      <c r="L1041" s="38" t="s">
        <v>22</v>
      </c>
      <c r="P1041" t="s">
        <v>297</v>
      </c>
      <c r="Q1041" t="s">
        <v>2742</v>
      </c>
    </row>
    <row r="1042" spans="1:17" ht="15.75" customHeight="1">
      <c r="A1042" s="7" t="s">
        <v>2743</v>
      </c>
      <c r="B1042" s="8" t="s">
        <v>17</v>
      </c>
      <c r="C1042" s="28" t="s">
        <v>2744</v>
      </c>
      <c r="E1042" s="22"/>
      <c r="F1042" s="22" t="s">
        <v>1273</v>
      </c>
      <c r="G1042" s="8" t="s">
        <v>20</v>
      </c>
      <c r="K1042">
        <v>2</v>
      </c>
      <c r="L1042" s="38" t="s">
        <v>22</v>
      </c>
      <c r="P1042" t="s">
        <v>297</v>
      </c>
      <c r="Q1042" t="s">
        <v>2745</v>
      </c>
    </row>
    <row r="1043" spans="1:17" ht="15.75" customHeight="1">
      <c r="A1043" s="7" t="s">
        <v>2746</v>
      </c>
      <c r="B1043" s="8" t="s">
        <v>17</v>
      </c>
      <c r="C1043" s="28" t="s">
        <v>2747</v>
      </c>
      <c r="E1043" s="22"/>
      <c r="F1043" s="22" t="s">
        <v>1273</v>
      </c>
      <c r="G1043" s="8" t="s">
        <v>20</v>
      </c>
      <c r="K1043">
        <v>2</v>
      </c>
      <c r="L1043" s="38" t="s">
        <v>22</v>
      </c>
      <c r="P1043" t="s">
        <v>297</v>
      </c>
      <c r="Q1043" t="s">
        <v>2748</v>
      </c>
    </row>
    <row r="1044" spans="1:17" ht="15.75" customHeight="1">
      <c r="A1044" s="7" t="s">
        <v>2749</v>
      </c>
      <c r="B1044" s="8" t="s">
        <v>17</v>
      </c>
      <c r="C1044" s="28" t="s">
        <v>2750</v>
      </c>
      <c r="E1044" s="22"/>
      <c r="F1044" s="22" t="s">
        <v>1273</v>
      </c>
      <c r="G1044" s="8" t="s">
        <v>20</v>
      </c>
      <c r="K1044">
        <v>2</v>
      </c>
      <c r="L1044" s="38" t="s">
        <v>22</v>
      </c>
      <c r="P1044" t="s">
        <v>297</v>
      </c>
      <c r="Q1044" t="s">
        <v>2751</v>
      </c>
    </row>
    <row r="1045" spans="1:17" ht="15.75" customHeight="1">
      <c r="A1045" s="7" t="s">
        <v>2752</v>
      </c>
      <c r="B1045" s="8" t="s">
        <v>17</v>
      </c>
      <c r="C1045" s="28" t="s">
        <v>2753</v>
      </c>
      <c r="E1045" s="22"/>
      <c r="F1045" s="22" t="s">
        <v>1273</v>
      </c>
      <c r="G1045" s="8" t="s">
        <v>20</v>
      </c>
      <c r="K1045">
        <v>2</v>
      </c>
      <c r="L1045" s="38" t="s">
        <v>22</v>
      </c>
      <c r="P1045" t="s">
        <v>297</v>
      </c>
      <c r="Q1045" t="s">
        <v>2754</v>
      </c>
    </row>
    <row r="1046" spans="1:17" ht="15.75" customHeight="1">
      <c r="A1046" s="7" t="s">
        <v>2755</v>
      </c>
      <c r="B1046" s="8" t="s">
        <v>17</v>
      </c>
      <c r="C1046" s="28" t="s">
        <v>2756</v>
      </c>
      <c r="E1046" s="22"/>
      <c r="F1046" s="22" t="s">
        <v>1273</v>
      </c>
      <c r="G1046" s="8" t="s">
        <v>20</v>
      </c>
      <c r="K1046">
        <v>3</v>
      </c>
      <c r="L1046" s="38" t="s">
        <v>22</v>
      </c>
      <c r="P1046" t="s">
        <v>297</v>
      </c>
      <c r="Q1046" t="s">
        <v>2757</v>
      </c>
    </row>
    <row r="1047" spans="1:17" ht="15.75" customHeight="1">
      <c r="A1047" s="7" t="s">
        <v>2758</v>
      </c>
      <c r="B1047" s="8" t="s">
        <v>17</v>
      </c>
      <c r="C1047" s="28" t="s">
        <v>2759</v>
      </c>
      <c r="E1047" s="22"/>
      <c r="F1047" s="22" t="s">
        <v>1273</v>
      </c>
      <c r="G1047" s="8" t="s">
        <v>20</v>
      </c>
      <c r="K1047">
        <v>3</v>
      </c>
      <c r="L1047" s="38" t="s">
        <v>22</v>
      </c>
      <c r="P1047" t="s">
        <v>297</v>
      </c>
      <c r="Q1047" t="s">
        <v>2760</v>
      </c>
    </row>
    <row r="1048" spans="1:17" ht="15.75" customHeight="1">
      <c r="A1048" s="7" t="s">
        <v>2761</v>
      </c>
      <c r="B1048" s="8" t="s">
        <v>17</v>
      </c>
      <c r="C1048" s="28" t="s">
        <v>2762</v>
      </c>
      <c r="E1048" s="22"/>
      <c r="F1048" s="22" t="s">
        <v>1273</v>
      </c>
      <c r="G1048" s="8" t="s">
        <v>20</v>
      </c>
      <c r="K1048">
        <v>3</v>
      </c>
      <c r="L1048" s="38" t="s">
        <v>22</v>
      </c>
      <c r="P1048" t="s">
        <v>297</v>
      </c>
      <c r="Q1048" t="s">
        <v>2763</v>
      </c>
    </row>
    <row r="1049" spans="1:17" ht="15.75" customHeight="1">
      <c r="A1049" s="7" t="s">
        <v>2764</v>
      </c>
      <c r="B1049" s="8" t="s">
        <v>17</v>
      </c>
      <c r="C1049" s="28" t="s">
        <v>2765</v>
      </c>
      <c r="E1049" s="22"/>
      <c r="F1049" s="22" t="s">
        <v>1273</v>
      </c>
      <c r="G1049" s="8" t="s">
        <v>20</v>
      </c>
      <c r="K1049">
        <v>3</v>
      </c>
      <c r="L1049" s="38" t="s">
        <v>22</v>
      </c>
      <c r="P1049" t="s">
        <v>297</v>
      </c>
      <c r="Q1049" t="s">
        <v>2766</v>
      </c>
    </row>
    <row r="1050" spans="1:17" ht="15.75" customHeight="1">
      <c r="A1050" s="7" t="s">
        <v>2767</v>
      </c>
      <c r="B1050" s="8" t="s">
        <v>17</v>
      </c>
      <c r="C1050" s="28" t="s">
        <v>2768</v>
      </c>
      <c r="E1050" s="22"/>
      <c r="F1050" s="22" t="s">
        <v>1273</v>
      </c>
      <c r="G1050" s="8" t="s">
        <v>20</v>
      </c>
      <c r="K1050">
        <v>3</v>
      </c>
      <c r="L1050" s="38" t="s">
        <v>22</v>
      </c>
      <c r="P1050" t="s">
        <v>297</v>
      </c>
      <c r="Q1050" t="s">
        <v>2769</v>
      </c>
    </row>
    <row r="1051" spans="1:17" ht="15.75" customHeight="1">
      <c r="A1051" s="7" t="s">
        <v>2770</v>
      </c>
      <c r="B1051" s="8" t="s">
        <v>17</v>
      </c>
      <c r="C1051" s="10" t="s">
        <v>2771</v>
      </c>
      <c r="F1051" t="s">
        <v>1273</v>
      </c>
      <c r="G1051" s="8" t="s">
        <v>20</v>
      </c>
      <c r="K1051">
        <v>3</v>
      </c>
      <c r="L1051" s="38" t="s">
        <v>22</v>
      </c>
      <c r="P1051" t="s">
        <v>297</v>
      </c>
      <c r="Q1051" t="s">
        <v>2772</v>
      </c>
    </row>
    <row r="1052" spans="1:17" ht="15.75" customHeight="1">
      <c r="A1052" s="7" t="s">
        <v>2773</v>
      </c>
      <c r="B1052" s="8" t="s">
        <v>17</v>
      </c>
      <c r="C1052" s="28" t="s">
        <v>2774</v>
      </c>
      <c r="E1052" s="22"/>
      <c r="F1052" s="22" t="s">
        <v>1273</v>
      </c>
      <c r="G1052" s="8" t="s">
        <v>20</v>
      </c>
      <c r="K1052">
        <v>3</v>
      </c>
      <c r="L1052" s="38" t="s">
        <v>22</v>
      </c>
      <c r="P1052" t="s">
        <v>297</v>
      </c>
      <c r="Q1052" t="s">
        <v>2775</v>
      </c>
    </row>
    <row r="1053" spans="1:17" ht="15.75" customHeight="1">
      <c r="A1053" s="7" t="s">
        <v>2776</v>
      </c>
      <c r="B1053" s="8" t="s">
        <v>17</v>
      </c>
      <c r="C1053" s="28" t="s">
        <v>2777</v>
      </c>
      <c r="E1053" s="22"/>
      <c r="F1053" s="22" t="s">
        <v>1273</v>
      </c>
      <c r="G1053" s="8" t="s">
        <v>20</v>
      </c>
      <c r="K1053">
        <v>3</v>
      </c>
      <c r="L1053" s="38" t="s">
        <v>22</v>
      </c>
      <c r="P1053" t="s">
        <v>297</v>
      </c>
      <c r="Q1053" t="s">
        <v>2778</v>
      </c>
    </row>
    <row r="1054" spans="1:17" ht="15.75" customHeight="1">
      <c r="A1054" s="7" t="s">
        <v>2779</v>
      </c>
      <c r="B1054" s="8" t="s">
        <v>17</v>
      </c>
      <c r="C1054" s="28" t="s">
        <v>2780</v>
      </c>
      <c r="E1054" s="22"/>
      <c r="F1054" s="22" t="s">
        <v>1273</v>
      </c>
      <c r="G1054" s="8" t="s">
        <v>20</v>
      </c>
      <c r="K1054">
        <v>4</v>
      </c>
      <c r="L1054" s="38" t="s">
        <v>22</v>
      </c>
      <c r="P1054" t="s">
        <v>297</v>
      </c>
      <c r="Q1054" t="s">
        <v>2781</v>
      </c>
    </row>
    <row r="1055" spans="1:17" ht="15.75" customHeight="1">
      <c r="A1055" s="7" t="s">
        <v>2782</v>
      </c>
      <c r="B1055" s="8" t="s">
        <v>17</v>
      </c>
      <c r="C1055" s="28" t="s">
        <v>2783</v>
      </c>
      <c r="E1055" s="22"/>
      <c r="F1055" s="22" t="s">
        <v>1273</v>
      </c>
      <c r="G1055" s="8" t="s">
        <v>20</v>
      </c>
      <c r="K1055">
        <v>4</v>
      </c>
      <c r="L1055" s="38" t="s">
        <v>22</v>
      </c>
      <c r="P1055" t="s">
        <v>297</v>
      </c>
      <c r="Q1055" t="s">
        <v>2784</v>
      </c>
    </row>
    <row r="1056" spans="1:17" ht="15.75" customHeight="1">
      <c r="A1056" s="7" t="s">
        <v>2785</v>
      </c>
      <c r="B1056" s="8" t="s">
        <v>17</v>
      </c>
      <c r="C1056" s="28" t="s">
        <v>2786</v>
      </c>
      <c r="E1056" s="22"/>
      <c r="F1056" s="22" t="s">
        <v>1273</v>
      </c>
      <c r="G1056" s="8" t="s">
        <v>20</v>
      </c>
      <c r="K1056">
        <v>4</v>
      </c>
      <c r="L1056" s="38" t="s">
        <v>22</v>
      </c>
      <c r="P1056" t="s">
        <v>297</v>
      </c>
      <c r="Q1056" t="s">
        <v>2787</v>
      </c>
    </row>
    <row r="1057" spans="1:17" ht="15.75" customHeight="1">
      <c r="A1057" s="7" t="s">
        <v>2788</v>
      </c>
      <c r="B1057" s="8" t="s">
        <v>17</v>
      </c>
      <c r="C1057" s="28" t="s">
        <v>2789</v>
      </c>
      <c r="E1057" s="22"/>
      <c r="F1057" s="22" t="s">
        <v>1273</v>
      </c>
      <c r="G1057" s="8" t="s">
        <v>20</v>
      </c>
      <c r="K1057">
        <v>4</v>
      </c>
      <c r="L1057" s="38" t="s">
        <v>22</v>
      </c>
      <c r="P1057" t="s">
        <v>297</v>
      </c>
      <c r="Q1057" t="s">
        <v>2790</v>
      </c>
    </row>
    <row r="1058" spans="1:17" ht="15.75" customHeight="1">
      <c r="A1058" s="7" t="s">
        <v>2791</v>
      </c>
      <c r="B1058" s="8" t="s">
        <v>17</v>
      </c>
      <c r="C1058" s="28" t="s">
        <v>2792</v>
      </c>
      <c r="E1058" s="22"/>
      <c r="F1058" s="22" t="s">
        <v>1273</v>
      </c>
      <c r="G1058" s="8" t="s">
        <v>20</v>
      </c>
      <c r="K1058">
        <v>4</v>
      </c>
      <c r="L1058" s="38" t="s">
        <v>22</v>
      </c>
      <c r="P1058" t="s">
        <v>297</v>
      </c>
      <c r="Q1058" t="s">
        <v>2793</v>
      </c>
    </row>
    <row r="1059" spans="1:17" ht="15.75" customHeight="1">
      <c r="A1059" s="7" t="s">
        <v>2794</v>
      </c>
      <c r="B1059" s="8" t="s">
        <v>17</v>
      </c>
      <c r="C1059" s="28" t="s">
        <v>2795</v>
      </c>
      <c r="E1059" s="22"/>
      <c r="F1059" s="22" t="s">
        <v>1273</v>
      </c>
      <c r="G1059" s="8" t="s">
        <v>20</v>
      </c>
      <c r="K1059">
        <v>4</v>
      </c>
      <c r="L1059" s="38" t="s">
        <v>22</v>
      </c>
      <c r="P1059" t="s">
        <v>297</v>
      </c>
      <c r="Q1059" t="s">
        <v>2796</v>
      </c>
    </row>
    <row r="1060" spans="1:17" ht="15.75" customHeight="1">
      <c r="A1060" s="7" t="s">
        <v>2797</v>
      </c>
      <c r="B1060" s="8" t="s">
        <v>17</v>
      </c>
      <c r="C1060" s="28" t="s">
        <v>2798</v>
      </c>
      <c r="E1060" s="22"/>
      <c r="F1060" s="22" t="s">
        <v>1273</v>
      </c>
      <c r="G1060" s="8" t="s">
        <v>20</v>
      </c>
      <c r="K1060">
        <v>4</v>
      </c>
      <c r="L1060" s="38" t="s">
        <v>22</v>
      </c>
      <c r="P1060" t="s">
        <v>297</v>
      </c>
      <c r="Q1060" t="s">
        <v>2799</v>
      </c>
    </row>
    <row r="1061" spans="1:17" ht="15.75" customHeight="1">
      <c r="A1061" s="7" t="s">
        <v>2800</v>
      </c>
      <c r="B1061" s="8" t="s">
        <v>17</v>
      </c>
      <c r="C1061" s="28" t="s">
        <v>2801</v>
      </c>
      <c r="E1061" s="22"/>
      <c r="F1061" s="22" t="s">
        <v>1273</v>
      </c>
      <c r="G1061" s="8" t="s">
        <v>20</v>
      </c>
      <c r="K1061">
        <v>4</v>
      </c>
      <c r="L1061" s="38" t="s">
        <v>22</v>
      </c>
      <c r="P1061" t="s">
        <v>297</v>
      </c>
      <c r="Q1061" t="s">
        <v>2802</v>
      </c>
    </row>
    <row r="1062" spans="1:17" ht="15.75" customHeight="1">
      <c r="A1062" s="7" t="s">
        <v>2803</v>
      </c>
      <c r="B1062" s="8" t="s">
        <v>17</v>
      </c>
      <c r="C1062" s="28" t="s">
        <v>2804</v>
      </c>
      <c r="E1062" s="22"/>
      <c r="F1062" s="22" t="s">
        <v>1273</v>
      </c>
      <c r="G1062" s="8" t="s">
        <v>20</v>
      </c>
      <c r="K1062">
        <v>4</v>
      </c>
      <c r="L1062" s="38" t="s">
        <v>22</v>
      </c>
      <c r="P1062" t="s">
        <v>297</v>
      </c>
      <c r="Q1062" t="s">
        <v>2805</v>
      </c>
    </row>
    <row r="1063" spans="1:17" ht="15.75" customHeight="1">
      <c r="A1063" s="7" t="s">
        <v>2806</v>
      </c>
      <c r="B1063" s="8" t="s">
        <v>17</v>
      </c>
      <c r="C1063" s="28" t="s">
        <v>2807</v>
      </c>
      <c r="E1063" s="22"/>
      <c r="F1063" s="22" t="s">
        <v>1273</v>
      </c>
      <c r="G1063" s="8" t="s">
        <v>20</v>
      </c>
      <c r="K1063">
        <v>5</v>
      </c>
      <c r="L1063" s="38" t="s">
        <v>22</v>
      </c>
      <c r="P1063" t="s">
        <v>297</v>
      </c>
      <c r="Q1063" t="s">
        <v>2808</v>
      </c>
    </row>
    <row r="1064" spans="1:17" ht="15.75" customHeight="1">
      <c r="A1064" s="7" t="s">
        <v>2809</v>
      </c>
      <c r="B1064" s="8" t="s">
        <v>17</v>
      </c>
      <c r="C1064" s="28" t="s">
        <v>2810</v>
      </c>
      <c r="E1064" s="22"/>
      <c r="F1064" s="22" t="s">
        <v>1273</v>
      </c>
      <c r="G1064" s="8" t="s">
        <v>20</v>
      </c>
      <c r="K1064">
        <v>5</v>
      </c>
      <c r="L1064" s="38" t="s">
        <v>22</v>
      </c>
      <c r="P1064" t="s">
        <v>297</v>
      </c>
      <c r="Q1064" t="s">
        <v>2811</v>
      </c>
    </row>
    <row r="1065" spans="1:17" ht="15.75" customHeight="1">
      <c r="A1065" s="7" t="s">
        <v>2812</v>
      </c>
      <c r="B1065" s="8" t="s">
        <v>17</v>
      </c>
      <c r="C1065" s="28" t="s">
        <v>2813</v>
      </c>
      <c r="E1065" s="22"/>
      <c r="F1065" s="22" t="s">
        <v>1273</v>
      </c>
      <c r="G1065" s="8" t="s">
        <v>20</v>
      </c>
      <c r="K1065">
        <v>5</v>
      </c>
      <c r="L1065" s="38" t="s">
        <v>22</v>
      </c>
      <c r="P1065" t="s">
        <v>297</v>
      </c>
      <c r="Q1065" t="s">
        <v>2814</v>
      </c>
    </row>
    <row r="1066" spans="1:17" ht="15.75" customHeight="1">
      <c r="A1066" s="7" t="s">
        <v>2815</v>
      </c>
      <c r="B1066" s="8" t="s">
        <v>17</v>
      </c>
      <c r="C1066" s="28" t="s">
        <v>2816</v>
      </c>
      <c r="E1066" s="22"/>
      <c r="F1066" s="22" t="s">
        <v>1273</v>
      </c>
      <c r="G1066" s="8" t="s">
        <v>20</v>
      </c>
      <c r="K1066">
        <v>5</v>
      </c>
      <c r="L1066" s="38" t="s">
        <v>22</v>
      </c>
      <c r="P1066" t="s">
        <v>297</v>
      </c>
      <c r="Q1066" t="s">
        <v>2817</v>
      </c>
    </row>
    <row r="1067" spans="1:17" ht="15.75" customHeight="1">
      <c r="A1067" s="7" t="s">
        <v>2818</v>
      </c>
      <c r="B1067" s="8" t="s">
        <v>17</v>
      </c>
      <c r="C1067" s="28" t="s">
        <v>2819</v>
      </c>
      <c r="E1067" s="22"/>
      <c r="F1067" s="22" t="s">
        <v>1273</v>
      </c>
      <c r="G1067" s="8" t="s">
        <v>20</v>
      </c>
      <c r="K1067">
        <v>5</v>
      </c>
      <c r="L1067" s="38" t="s">
        <v>22</v>
      </c>
      <c r="P1067" t="s">
        <v>297</v>
      </c>
      <c r="Q1067" t="s">
        <v>2820</v>
      </c>
    </row>
    <row r="1068" spans="1:17" ht="15.75" customHeight="1">
      <c r="A1068" s="7" t="s">
        <v>2821</v>
      </c>
      <c r="B1068" s="8" t="s">
        <v>17</v>
      </c>
      <c r="C1068" s="28" t="s">
        <v>2822</v>
      </c>
      <c r="E1068" s="22"/>
      <c r="F1068" s="22" t="s">
        <v>1273</v>
      </c>
      <c r="G1068" s="8" t="s">
        <v>20</v>
      </c>
      <c r="K1068">
        <v>5</v>
      </c>
      <c r="L1068" s="38" t="s">
        <v>22</v>
      </c>
      <c r="P1068" t="s">
        <v>297</v>
      </c>
      <c r="Q1068" t="s">
        <v>2823</v>
      </c>
    </row>
    <row r="1069" spans="1:17" ht="15.75" customHeight="1">
      <c r="A1069" s="7" t="s">
        <v>2824</v>
      </c>
      <c r="B1069" s="8" t="s">
        <v>17</v>
      </c>
      <c r="C1069" s="10" t="s">
        <v>2825</v>
      </c>
      <c r="F1069" t="s">
        <v>1273</v>
      </c>
      <c r="G1069" s="8" t="s">
        <v>20</v>
      </c>
      <c r="K1069">
        <v>6</v>
      </c>
      <c r="L1069" s="38" t="s">
        <v>22</v>
      </c>
      <c r="P1069" t="s">
        <v>297</v>
      </c>
      <c r="Q1069" t="s">
        <v>2826</v>
      </c>
    </row>
    <row r="1070" spans="1:17" ht="15.75" customHeight="1">
      <c r="A1070" s="7" t="s">
        <v>2827</v>
      </c>
      <c r="B1070" s="8" t="s">
        <v>17</v>
      </c>
      <c r="C1070" s="28" t="s">
        <v>2828</v>
      </c>
      <c r="E1070" s="22"/>
      <c r="F1070" s="22" t="s">
        <v>1273</v>
      </c>
      <c r="G1070" s="8" t="s">
        <v>20</v>
      </c>
      <c r="K1070">
        <v>6</v>
      </c>
      <c r="L1070" s="38" t="s">
        <v>22</v>
      </c>
      <c r="P1070" t="s">
        <v>297</v>
      </c>
      <c r="Q1070" t="s">
        <v>2829</v>
      </c>
    </row>
    <row r="1071" spans="1:17" ht="15.75" customHeight="1">
      <c r="A1071" s="7" t="s">
        <v>2830</v>
      </c>
      <c r="B1071" s="8" t="s">
        <v>17</v>
      </c>
      <c r="C1071" s="28" t="s">
        <v>2831</v>
      </c>
      <c r="E1071" s="22"/>
      <c r="F1071" s="22" t="s">
        <v>1273</v>
      </c>
      <c r="G1071" s="8" t="s">
        <v>20</v>
      </c>
      <c r="K1071">
        <v>6</v>
      </c>
      <c r="L1071" s="38" t="s">
        <v>22</v>
      </c>
      <c r="P1071" t="s">
        <v>297</v>
      </c>
      <c r="Q1071" t="s">
        <v>2832</v>
      </c>
    </row>
    <row r="1072" spans="1:17" ht="15.75" customHeight="1">
      <c r="A1072" s="7" t="s">
        <v>2833</v>
      </c>
      <c r="B1072" s="8" t="s">
        <v>17</v>
      </c>
      <c r="C1072" s="28" t="s">
        <v>2834</v>
      </c>
      <c r="E1072" s="22"/>
      <c r="F1072" s="22" t="s">
        <v>1273</v>
      </c>
      <c r="G1072" s="8" t="s">
        <v>20</v>
      </c>
      <c r="K1072">
        <v>6</v>
      </c>
      <c r="L1072" s="38" t="s">
        <v>22</v>
      </c>
      <c r="P1072" t="s">
        <v>297</v>
      </c>
      <c r="Q1072" t="s">
        <v>2835</v>
      </c>
    </row>
    <row r="1073" spans="1:17" ht="15.75" customHeight="1">
      <c r="A1073" s="7" t="s">
        <v>2836</v>
      </c>
      <c r="B1073" s="8" t="s">
        <v>17</v>
      </c>
      <c r="C1073" s="28" t="s">
        <v>2837</v>
      </c>
      <c r="E1073" s="22"/>
      <c r="F1073" s="22" t="s">
        <v>1273</v>
      </c>
      <c r="G1073" s="8" t="s">
        <v>20</v>
      </c>
      <c r="K1073">
        <v>6</v>
      </c>
      <c r="L1073" s="38" t="s">
        <v>22</v>
      </c>
      <c r="P1073" t="s">
        <v>297</v>
      </c>
      <c r="Q1073" t="s">
        <v>2838</v>
      </c>
    </row>
    <row r="1074" spans="1:17" ht="15.75" customHeight="1">
      <c r="A1074" s="7" t="s">
        <v>2839</v>
      </c>
      <c r="B1074" s="8" t="s">
        <v>17</v>
      </c>
      <c r="C1074" s="28" t="s">
        <v>2840</v>
      </c>
      <c r="E1074" s="22"/>
      <c r="F1074" s="22" t="s">
        <v>1273</v>
      </c>
      <c r="G1074" s="8" t="s">
        <v>20</v>
      </c>
      <c r="K1074">
        <v>6</v>
      </c>
      <c r="L1074" s="38" t="s">
        <v>22</v>
      </c>
      <c r="P1074" t="s">
        <v>297</v>
      </c>
      <c r="Q1074" t="s">
        <v>2799</v>
      </c>
    </row>
    <row r="1075" spans="1:17" ht="15.75" customHeight="1">
      <c r="A1075" s="7" t="s">
        <v>2841</v>
      </c>
      <c r="B1075" s="8" t="s">
        <v>17</v>
      </c>
      <c r="C1075" s="28" t="s">
        <v>2842</v>
      </c>
      <c r="E1075" s="22"/>
      <c r="F1075" s="22" t="s">
        <v>1273</v>
      </c>
      <c r="G1075" s="8" t="s">
        <v>20</v>
      </c>
      <c r="K1075">
        <v>7</v>
      </c>
      <c r="L1075" s="38" t="s">
        <v>22</v>
      </c>
      <c r="P1075" t="s">
        <v>297</v>
      </c>
      <c r="Q1075" t="s">
        <v>2843</v>
      </c>
    </row>
    <row r="1076" spans="1:17" ht="15.75" customHeight="1">
      <c r="A1076" s="7" t="s">
        <v>2844</v>
      </c>
      <c r="B1076" s="8" t="s">
        <v>17</v>
      </c>
      <c r="C1076" s="28" t="s">
        <v>2845</v>
      </c>
      <c r="E1076" s="22"/>
      <c r="F1076" s="22" t="s">
        <v>1273</v>
      </c>
      <c r="G1076" s="8" t="s">
        <v>20</v>
      </c>
      <c r="K1076">
        <v>7</v>
      </c>
      <c r="L1076" s="38" t="s">
        <v>22</v>
      </c>
      <c r="P1076" t="s">
        <v>297</v>
      </c>
      <c r="Q1076" t="s">
        <v>2846</v>
      </c>
    </row>
    <row r="1077" spans="1:17" ht="15.75" customHeight="1">
      <c r="A1077" s="7" t="s">
        <v>2847</v>
      </c>
      <c r="B1077" s="8" t="s">
        <v>17</v>
      </c>
      <c r="C1077" s="28" t="s">
        <v>2848</v>
      </c>
      <c r="E1077" s="22"/>
      <c r="F1077" s="22" t="s">
        <v>1273</v>
      </c>
      <c r="G1077" s="8" t="s">
        <v>20</v>
      </c>
      <c r="K1077">
        <v>7</v>
      </c>
      <c r="L1077" s="38" t="s">
        <v>22</v>
      </c>
      <c r="P1077" t="s">
        <v>297</v>
      </c>
      <c r="Q1077" t="s">
        <v>2849</v>
      </c>
    </row>
    <row r="1078" spans="1:17" ht="15.75" customHeight="1">
      <c r="A1078" s="7" t="s">
        <v>2850</v>
      </c>
      <c r="B1078" s="12" t="s">
        <v>477</v>
      </c>
      <c r="C1078" s="10" t="s">
        <v>2851</v>
      </c>
      <c r="E1078" s="12"/>
      <c r="F1078" s="12" t="s">
        <v>479</v>
      </c>
      <c r="G1078" s="12" t="s">
        <v>308</v>
      </c>
      <c r="L1078" s="38">
        <v>2</v>
      </c>
    </row>
    <row r="1079" spans="1:17" ht="15.75" customHeight="1">
      <c r="A1079" s="7" t="s">
        <v>2852</v>
      </c>
      <c r="B1079" s="12" t="s">
        <v>477</v>
      </c>
      <c r="C1079" s="10" t="s">
        <v>2853</v>
      </c>
      <c r="E1079" s="12"/>
      <c r="F1079" s="12" t="s">
        <v>2854</v>
      </c>
      <c r="G1079" s="12" t="s">
        <v>308</v>
      </c>
      <c r="L1079" s="38">
        <v>16</v>
      </c>
    </row>
    <row r="1080" spans="1:17" ht="15.75" customHeight="1">
      <c r="A1080" s="7" t="s">
        <v>2855</v>
      </c>
      <c r="B1080" s="12" t="s">
        <v>477</v>
      </c>
      <c r="C1080" s="10" t="s">
        <v>2856</v>
      </c>
      <c r="E1080" s="12"/>
      <c r="F1080" s="12" t="s">
        <v>2854</v>
      </c>
      <c r="G1080" s="12" t="s">
        <v>308</v>
      </c>
      <c r="L1080" s="38">
        <v>32</v>
      </c>
    </row>
    <row r="1081" spans="1:17" ht="15.75" customHeight="1">
      <c r="A1081" s="7" t="s">
        <v>2857</v>
      </c>
      <c r="B1081" s="12" t="s">
        <v>477</v>
      </c>
      <c r="C1081" s="10" t="s">
        <v>2858</v>
      </c>
      <c r="E1081" s="12"/>
      <c r="F1081" s="12" t="s">
        <v>2854</v>
      </c>
      <c r="G1081" s="12" t="s">
        <v>308</v>
      </c>
      <c r="L1081" s="38">
        <v>48</v>
      </c>
    </row>
    <row r="1082" spans="1:17" ht="15.75" customHeight="1">
      <c r="A1082" s="7" t="s">
        <v>2859</v>
      </c>
      <c r="B1082" s="12" t="s">
        <v>477</v>
      </c>
      <c r="C1082" s="10" t="s">
        <v>2860</v>
      </c>
      <c r="E1082" s="12"/>
      <c r="F1082" s="12" t="s">
        <v>479</v>
      </c>
      <c r="G1082" s="12" t="s">
        <v>308</v>
      </c>
      <c r="L1082" s="38">
        <v>2</v>
      </c>
    </row>
    <row r="1083" spans="1:17" ht="15.75" customHeight="1">
      <c r="A1083" s="7" t="s">
        <v>2861</v>
      </c>
      <c r="B1083" s="12" t="s">
        <v>477</v>
      </c>
      <c r="C1083" s="21" t="s">
        <v>2862</v>
      </c>
      <c r="E1083" s="12"/>
      <c r="F1083" s="12" t="s">
        <v>479</v>
      </c>
      <c r="G1083" s="12" t="s">
        <v>308</v>
      </c>
      <c r="L1083" s="38">
        <v>1</v>
      </c>
    </row>
    <row r="1084" spans="1:17" ht="15.75" customHeight="1">
      <c r="A1084" s="7" t="s">
        <v>2863</v>
      </c>
      <c r="B1084" s="12" t="s">
        <v>477</v>
      </c>
      <c r="C1084" s="21" t="s">
        <v>2864</v>
      </c>
      <c r="E1084" s="12"/>
      <c r="F1084" s="12" t="s">
        <v>479</v>
      </c>
      <c r="G1084" s="12" t="s">
        <v>308</v>
      </c>
      <c r="L1084" s="38">
        <v>1</v>
      </c>
    </row>
    <row r="1085" spans="1:17" ht="15.75" customHeight="1">
      <c r="A1085" s="7" t="s">
        <v>2865</v>
      </c>
      <c r="B1085" s="12" t="s">
        <v>477</v>
      </c>
      <c r="C1085" s="21" t="s">
        <v>2866</v>
      </c>
      <c r="E1085" s="12"/>
      <c r="F1085" s="12" t="s">
        <v>479</v>
      </c>
      <c r="G1085" s="12" t="s">
        <v>308</v>
      </c>
      <c r="L1085" s="38">
        <v>1</v>
      </c>
    </row>
    <row r="1086" spans="1:17" ht="15.75" customHeight="1">
      <c r="A1086" s="7" t="s">
        <v>2867</v>
      </c>
      <c r="B1086" s="12" t="s">
        <v>477</v>
      </c>
      <c r="C1086" s="21" t="s">
        <v>2868</v>
      </c>
      <c r="E1086" s="12"/>
      <c r="F1086" s="12" t="s">
        <v>479</v>
      </c>
      <c r="G1086" s="12" t="s">
        <v>308</v>
      </c>
      <c r="L1086" s="38">
        <v>2</v>
      </c>
    </row>
    <row r="1087" spans="1:17" ht="15.75" customHeight="1">
      <c r="A1087" s="7" t="s">
        <v>2869</v>
      </c>
      <c r="B1087" s="12" t="s">
        <v>477</v>
      </c>
      <c r="C1087" s="21" t="s">
        <v>2870</v>
      </c>
      <c r="E1087" s="12"/>
      <c r="F1087" s="12" t="s">
        <v>479</v>
      </c>
      <c r="G1087" s="12" t="s">
        <v>308</v>
      </c>
      <c r="L1087" s="38">
        <v>10</v>
      </c>
    </row>
    <row r="1088" spans="1:17" ht="15.75" customHeight="1">
      <c r="A1088" s="7" t="s">
        <v>2871</v>
      </c>
      <c r="B1088" s="12" t="s">
        <v>477</v>
      </c>
      <c r="C1088" s="29" t="s">
        <v>2872</v>
      </c>
      <c r="D1088" s="12"/>
      <c r="E1088" s="12"/>
      <c r="F1088" s="12" t="s">
        <v>1405</v>
      </c>
      <c r="G1088" s="12" t="s">
        <v>308</v>
      </c>
      <c r="L1088" s="38">
        <v>4</v>
      </c>
    </row>
    <row r="1089" spans="1:12" ht="15.75" customHeight="1">
      <c r="A1089" s="7" t="s">
        <v>2873</v>
      </c>
      <c r="B1089" s="12" t="s">
        <v>477</v>
      </c>
      <c r="C1089" s="21" t="s">
        <v>2874</v>
      </c>
      <c r="E1089" s="12"/>
      <c r="F1089" s="12" t="s">
        <v>1405</v>
      </c>
      <c r="G1089" s="12" t="s">
        <v>308</v>
      </c>
      <c r="L1089" s="38">
        <v>6</v>
      </c>
    </row>
    <row r="1090" spans="1:12" ht="15.75" customHeight="1">
      <c r="A1090" s="7" t="s">
        <v>2875</v>
      </c>
      <c r="B1090" s="12" t="s">
        <v>477</v>
      </c>
      <c r="C1090" s="21" t="s">
        <v>2876</v>
      </c>
      <c r="E1090" s="12"/>
      <c r="F1090" s="12" t="s">
        <v>1405</v>
      </c>
      <c r="G1090" s="12" t="s">
        <v>308</v>
      </c>
      <c r="L1090" s="38">
        <v>4</v>
      </c>
    </row>
    <row r="1091" spans="1:12" ht="15.75" customHeight="1">
      <c r="A1091" s="7" t="s">
        <v>2877</v>
      </c>
      <c r="B1091" s="12" t="s">
        <v>477</v>
      </c>
      <c r="C1091" s="21" t="s">
        <v>2878</v>
      </c>
      <c r="E1091" s="12"/>
      <c r="F1091" s="12" t="s">
        <v>1405</v>
      </c>
      <c r="G1091" s="12" t="s">
        <v>308</v>
      </c>
      <c r="L1091" s="38">
        <v>6</v>
      </c>
    </row>
    <row r="1092" spans="1:12" ht="15.75" customHeight="1">
      <c r="A1092" s="7" t="s">
        <v>2879</v>
      </c>
      <c r="B1092" s="12" t="s">
        <v>477</v>
      </c>
      <c r="C1092" s="21" t="s">
        <v>2880</v>
      </c>
      <c r="E1092" s="12"/>
      <c r="F1092" s="12" t="s">
        <v>1405</v>
      </c>
      <c r="G1092" s="12" t="s">
        <v>308</v>
      </c>
      <c r="L1092" s="38">
        <v>4</v>
      </c>
    </row>
    <row r="1093" spans="1:12" ht="15.75" customHeight="1">
      <c r="A1093" s="7" t="s">
        <v>2881</v>
      </c>
      <c r="B1093" s="12" t="s">
        <v>477</v>
      </c>
      <c r="C1093" s="13" t="s">
        <v>2882</v>
      </c>
      <c r="E1093" s="12"/>
      <c r="F1093" s="12" t="s">
        <v>1405</v>
      </c>
      <c r="G1093" s="12" t="s">
        <v>308</v>
      </c>
      <c r="L1093" s="38">
        <v>6</v>
      </c>
    </row>
    <row r="1094" spans="1:12" ht="15.75" customHeight="1">
      <c r="A1094" s="7" t="s">
        <v>2883</v>
      </c>
      <c r="B1094" s="12" t="s">
        <v>477</v>
      </c>
      <c r="C1094" s="28" t="s">
        <v>2884</v>
      </c>
      <c r="E1094" s="12"/>
      <c r="F1094" s="12" t="s">
        <v>1405</v>
      </c>
      <c r="G1094" s="12" t="s">
        <v>308</v>
      </c>
      <c r="L1094" s="38">
        <v>4</v>
      </c>
    </row>
    <row r="1095" spans="1:12" ht="15.75" customHeight="1">
      <c r="A1095" s="7" t="s">
        <v>2885</v>
      </c>
      <c r="B1095" s="12" t="s">
        <v>477</v>
      </c>
      <c r="C1095" s="28" t="s">
        <v>2886</v>
      </c>
      <c r="E1095" s="12"/>
      <c r="F1095" s="12" t="s">
        <v>1405</v>
      </c>
      <c r="G1095" s="12" t="s">
        <v>308</v>
      </c>
      <c r="L1095" s="38">
        <v>6</v>
      </c>
    </row>
    <row r="1096" spans="1:12" ht="15.75" customHeight="1">
      <c r="A1096" s="7" t="s">
        <v>2887</v>
      </c>
      <c r="B1096" s="12" t="s">
        <v>477</v>
      </c>
      <c r="C1096" s="28" t="s">
        <v>2888</v>
      </c>
      <c r="E1096" s="12"/>
      <c r="F1096" s="12" t="s">
        <v>1405</v>
      </c>
      <c r="G1096" s="12" t="s">
        <v>308</v>
      </c>
      <c r="L1096" s="38">
        <v>2</v>
      </c>
    </row>
    <row r="1097" spans="1:12" ht="15.75" customHeight="1">
      <c r="A1097" s="7" t="s">
        <v>2889</v>
      </c>
      <c r="B1097" s="12" t="s">
        <v>477</v>
      </c>
      <c r="C1097" s="28" t="s">
        <v>2890</v>
      </c>
      <c r="E1097" s="12"/>
      <c r="F1097" s="12" t="s">
        <v>1405</v>
      </c>
      <c r="G1097" s="12" t="s">
        <v>308</v>
      </c>
      <c r="L1097" s="38">
        <v>4</v>
      </c>
    </row>
    <row r="1098" spans="1:12" ht="15.75" customHeight="1">
      <c r="A1098" s="7" t="s">
        <v>2891</v>
      </c>
      <c r="B1098" s="12" t="s">
        <v>477</v>
      </c>
      <c r="C1098" s="10" t="s">
        <v>2892</v>
      </c>
      <c r="E1098" s="12"/>
      <c r="F1098" s="12" t="s">
        <v>1332</v>
      </c>
      <c r="G1098" s="12" t="s">
        <v>308</v>
      </c>
      <c r="L1098" s="38">
        <v>26</v>
      </c>
    </row>
    <row r="1099" spans="1:12" ht="15.75" customHeight="1">
      <c r="A1099" s="7" t="s">
        <v>2893</v>
      </c>
      <c r="B1099" s="12" t="s">
        <v>477</v>
      </c>
      <c r="C1099" s="14" t="s">
        <v>2894</v>
      </c>
      <c r="E1099" s="12"/>
      <c r="F1099" s="12" t="s">
        <v>1332</v>
      </c>
      <c r="G1099" s="12" t="s">
        <v>308</v>
      </c>
      <c r="L1099" s="38">
        <v>26</v>
      </c>
    </row>
    <row r="1100" spans="1:12" ht="15.75" customHeight="1">
      <c r="A1100" s="7" t="s">
        <v>2895</v>
      </c>
      <c r="B1100" s="12" t="s">
        <v>477</v>
      </c>
      <c r="C1100" s="10" t="s">
        <v>2896</v>
      </c>
      <c r="E1100" s="12"/>
      <c r="F1100" s="12" t="s">
        <v>1332</v>
      </c>
      <c r="G1100" s="12" t="s">
        <v>308</v>
      </c>
      <c r="L1100" s="38">
        <v>26</v>
      </c>
    </row>
    <row r="1101" spans="1:12" ht="15.75" customHeight="1">
      <c r="A1101" s="7" t="s">
        <v>2897</v>
      </c>
      <c r="B1101" s="12" t="s">
        <v>477</v>
      </c>
      <c r="C1101" s="21" t="s">
        <v>2898</v>
      </c>
      <c r="E1101" s="12"/>
      <c r="F1101" s="12" t="s">
        <v>479</v>
      </c>
      <c r="G1101" s="12" t="s">
        <v>308</v>
      </c>
      <c r="L1101" s="38">
        <v>4</v>
      </c>
    </row>
    <row r="1102" spans="1:12" ht="15.75" customHeight="1">
      <c r="A1102" s="7" t="s">
        <v>2899</v>
      </c>
      <c r="B1102" s="12" t="s">
        <v>477</v>
      </c>
      <c r="C1102" s="21" t="s">
        <v>2900</v>
      </c>
      <c r="E1102" s="12"/>
      <c r="F1102" s="12" t="s">
        <v>479</v>
      </c>
      <c r="G1102" s="12" t="s">
        <v>308</v>
      </c>
      <c r="L1102" s="38">
        <v>6</v>
      </c>
    </row>
    <row r="1103" spans="1:12" ht="15.75" customHeight="1">
      <c r="A1103" s="7" t="s">
        <v>2901</v>
      </c>
      <c r="B1103" s="12" t="s">
        <v>477</v>
      </c>
      <c r="C1103" s="21" t="s">
        <v>2902</v>
      </c>
      <c r="E1103" s="12"/>
      <c r="F1103" s="12" t="s">
        <v>479</v>
      </c>
      <c r="G1103" s="12" t="s">
        <v>308</v>
      </c>
      <c r="L1103" s="38">
        <v>6</v>
      </c>
    </row>
    <row r="1104" spans="1:12" ht="15.75" customHeight="1">
      <c r="A1104" s="7" t="s">
        <v>2903</v>
      </c>
      <c r="B1104" s="12" t="s">
        <v>477</v>
      </c>
      <c r="C1104" s="21" t="s">
        <v>2904</v>
      </c>
      <c r="E1104" s="12"/>
      <c r="F1104" s="12" t="s">
        <v>479</v>
      </c>
      <c r="G1104" s="12" t="s">
        <v>308</v>
      </c>
      <c r="L1104" s="38">
        <v>6</v>
      </c>
    </row>
    <row r="1105" spans="1:12" ht="15.75" customHeight="1">
      <c r="A1105" s="7" t="s">
        <v>2905</v>
      </c>
      <c r="B1105" s="12" t="s">
        <v>477</v>
      </c>
      <c r="C1105" s="21" t="s">
        <v>2906</v>
      </c>
      <c r="E1105" s="12"/>
      <c r="F1105" s="12" t="s">
        <v>479</v>
      </c>
      <c r="G1105" s="12" t="s">
        <v>308</v>
      </c>
      <c r="L1105" s="38">
        <v>6</v>
      </c>
    </row>
    <row r="1106" spans="1:12" ht="15.75" customHeight="1">
      <c r="A1106" s="7" t="s">
        <v>2907</v>
      </c>
      <c r="B1106" s="12" t="s">
        <v>477</v>
      </c>
      <c r="C1106" s="21" t="s">
        <v>2908</v>
      </c>
      <c r="E1106" s="12"/>
      <c r="F1106" s="12" t="s">
        <v>479</v>
      </c>
      <c r="G1106" s="12" t="s">
        <v>308</v>
      </c>
      <c r="L1106" s="38">
        <v>6</v>
      </c>
    </row>
    <row r="1107" spans="1:12" ht="15.75" customHeight="1">
      <c r="A1107" s="7" t="s">
        <v>2909</v>
      </c>
      <c r="B1107" s="12" t="s">
        <v>477</v>
      </c>
      <c r="C1107" s="21" t="s">
        <v>2910</v>
      </c>
      <c r="E1107" s="12"/>
      <c r="F1107" s="12" t="s">
        <v>479</v>
      </c>
      <c r="G1107" s="12" t="s">
        <v>308</v>
      </c>
      <c r="L1107" s="38">
        <v>6</v>
      </c>
    </row>
    <row r="1108" spans="1:12" ht="15.75" customHeight="1">
      <c r="A1108" s="7" t="s">
        <v>2911</v>
      </c>
      <c r="B1108" s="12" t="s">
        <v>477</v>
      </c>
      <c r="C1108" s="21" t="s">
        <v>2912</v>
      </c>
      <c r="E1108" s="12"/>
      <c r="F1108" s="12" t="s">
        <v>479</v>
      </c>
      <c r="G1108" s="12" t="s">
        <v>308</v>
      </c>
      <c r="L1108" s="38">
        <v>6</v>
      </c>
    </row>
    <row r="1109" spans="1:12" ht="15.75" customHeight="1">
      <c r="A1109" s="7" t="s">
        <v>2913</v>
      </c>
      <c r="B1109" s="12" t="s">
        <v>477</v>
      </c>
      <c r="C1109" s="21" t="s">
        <v>2914</v>
      </c>
      <c r="E1109" s="12"/>
      <c r="F1109" s="12" t="s">
        <v>479</v>
      </c>
      <c r="G1109" s="12" t="s">
        <v>308</v>
      </c>
      <c r="L1109" s="38">
        <v>6</v>
      </c>
    </row>
    <row r="1110" spans="1:12" ht="15.75" customHeight="1">
      <c r="A1110" s="7" t="s">
        <v>2915</v>
      </c>
      <c r="B1110" s="12" t="s">
        <v>477</v>
      </c>
      <c r="C1110" s="21" t="s">
        <v>2916</v>
      </c>
      <c r="E1110" s="12"/>
      <c r="F1110" s="12" t="s">
        <v>479</v>
      </c>
      <c r="G1110" s="12" t="s">
        <v>308</v>
      </c>
      <c r="L1110" s="38">
        <v>6</v>
      </c>
    </row>
    <row r="1111" spans="1:12" ht="15.75" customHeight="1">
      <c r="A1111" s="7" t="s">
        <v>2917</v>
      </c>
      <c r="B1111" s="12" t="s">
        <v>477</v>
      </c>
      <c r="C1111" s="21" t="s">
        <v>2918</v>
      </c>
      <c r="E1111" s="12"/>
      <c r="F1111" s="12" t="s">
        <v>479</v>
      </c>
      <c r="G1111" s="12" t="s">
        <v>308</v>
      </c>
      <c r="L1111" s="38">
        <v>6</v>
      </c>
    </row>
    <row r="1112" spans="1:12" ht="15.75" customHeight="1">
      <c r="A1112" s="7" t="s">
        <v>2919</v>
      </c>
      <c r="B1112" s="12" t="s">
        <v>477</v>
      </c>
      <c r="C1112" s="21" t="s">
        <v>2920</v>
      </c>
      <c r="E1112" s="12"/>
      <c r="F1112" s="12" t="s">
        <v>2854</v>
      </c>
      <c r="G1112" s="12" t="s">
        <v>308</v>
      </c>
      <c r="L1112" s="38">
        <v>40</v>
      </c>
    </row>
    <row r="1113" spans="1:12" ht="15.75" customHeight="1">
      <c r="A1113" s="7" t="s">
        <v>2921</v>
      </c>
      <c r="B1113" s="12" t="s">
        <v>477</v>
      </c>
      <c r="C1113" s="28" t="s">
        <v>2922</v>
      </c>
      <c r="E1113" s="12"/>
      <c r="F1113" s="12" t="s">
        <v>1405</v>
      </c>
      <c r="G1113" s="12" t="s">
        <v>308</v>
      </c>
      <c r="L1113" s="38">
        <v>8</v>
      </c>
    </row>
    <row r="1114" spans="1:12" ht="15.75" customHeight="1">
      <c r="A1114" s="7" t="s">
        <v>2923</v>
      </c>
      <c r="B1114" s="12" t="s">
        <v>477</v>
      </c>
      <c r="C1114" s="28" t="s">
        <v>2924</v>
      </c>
      <c r="E1114" s="12"/>
      <c r="F1114" s="12" t="s">
        <v>1405</v>
      </c>
      <c r="G1114" s="12" t="s">
        <v>308</v>
      </c>
      <c r="H1114" s="12"/>
      <c r="I1114" s="12"/>
      <c r="L1114" s="38">
        <v>12</v>
      </c>
    </row>
    <row r="1115" spans="1:12" ht="15.75" customHeight="1">
      <c r="A1115" s="7" t="s">
        <v>2925</v>
      </c>
      <c r="B1115" s="12" t="s">
        <v>477</v>
      </c>
      <c r="C1115" s="28" t="s">
        <v>2926</v>
      </c>
      <c r="E1115" s="12"/>
      <c r="F1115" s="12" t="s">
        <v>1405</v>
      </c>
      <c r="G1115" s="12" t="s">
        <v>308</v>
      </c>
      <c r="H1115" s="12"/>
      <c r="I1115" s="12"/>
      <c r="L1115" s="38">
        <v>10</v>
      </c>
    </row>
    <row r="1116" spans="1:12" ht="15.75" customHeight="1">
      <c r="A1116" s="7" t="s">
        <v>2927</v>
      </c>
      <c r="B1116" s="12" t="s">
        <v>477</v>
      </c>
      <c r="C1116" s="21" t="s">
        <v>2928</v>
      </c>
      <c r="E1116" s="12"/>
      <c r="F1116" s="12" t="s">
        <v>2854</v>
      </c>
      <c r="G1116" s="12" t="s">
        <v>308</v>
      </c>
      <c r="H1116" s="12"/>
      <c r="I1116" s="12"/>
      <c r="L1116" s="38">
        <v>30</v>
      </c>
    </row>
    <row r="1117" spans="1:12" ht="15.75" customHeight="1">
      <c r="A1117" s="7" t="s">
        <v>2929</v>
      </c>
      <c r="B1117" s="12" t="s">
        <v>477</v>
      </c>
      <c r="C1117" s="28" t="s">
        <v>2930</v>
      </c>
      <c r="E1117" s="12"/>
      <c r="F1117" s="12" t="s">
        <v>1405</v>
      </c>
      <c r="G1117" s="12" t="s">
        <v>308</v>
      </c>
      <c r="H1117" s="12"/>
      <c r="I1117" s="12"/>
      <c r="L1117" s="38">
        <v>20</v>
      </c>
    </row>
    <row r="1118" spans="1:12" ht="15.75" customHeight="1">
      <c r="A1118" s="7" t="s">
        <v>2931</v>
      </c>
      <c r="B1118" s="12" t="s">
        <v>477</v>
      </c>
      <c r="C1118" s="21" t="s">
        <v>2932</v>
      </c>
      <c r="E1118" s="12"/>
      <c r="F1118" s="12" t="s">
        <v>479</v>
      </c>
      <c r="G1118" s="12" t="s">
        <v>308</v>
      </c>
      <c r="H1118" s="12"/>
      <c r="I1118" s="12"/>
      <c r="L1118" s="38">
        <v>1</v>
      </c>
    </row>
    <row r="1119" spans="1:12" ht="15.75" customHeight="1">
      <c r="A1119" s="7" t="s">
        <v>2933</v>
      </c>
      <c r="B1119" s="12" t="s">
        <v>477</v>
      </c>
      <c r="C1119" s="21" t="s">
        <v>2934</v>
      </c>
      <c r="E1119" s="12"/>
      <c r="F1119" s="12" t="s">
        <v>479</v>
      </c>
      <c r="G1119" s="12" t="s">
        <v>308</v>
      </c>
      <c r="H1119" s="12"/>
      <c r="I1119" s="12"/>
      <c r="L1119" s="38">
        <v>1</v>
      </c>
    </row>
    <row r="1120" spans="1:12" ht="15.75" customHeight="1">
      <c r="A1120" s="7" t="s">
        <v>2935</v>
      </c>
      <c r="B1120" s="12" t="s">
        <v>477</v>
      </c>
      <c r="C1120" s="13" t="s">
        <v>2936</v>
      </c>
      <c r="E1120" s="12"/>
      <c r="F1120" s="12" t="s">
        <v>479</v>
      </c>
      <c r="G1120" s="12" t="s">
        <v>308</v>
      </c>
      <c r="H1120" s="12"/>
      <c r="I1120" s="12"/>
      <c r="L1120" s="38">
        <v>1</v>
      </c>
    </row>
    <row r="1121" spans="1:12" ht="15.75" customHeight="1">
      <c r="A1121" s="7" t="s">
        <v>2937</v>
      </c>
      <c r="B1121" s="12" t="s">
        <v>477</v>
      </c>
      <c r="C1121" s="28" t="s">
        <v>2938</v>
      </c>
      <c r="E1121" s="12"/>
      <c r="F1121" s="12" t="s">
        <v>1405</v>
      </c>
      <c r="G1121" s="12" t="s">
        <v>308</v>
      </c>
      <c r="H1121" s="12"/>
      <c r="I1121" s="12"/>
      <c r="L1121" s="38">
        <v>50</v>
      </c>
    </row>
    <row r="1122" spans="1:12" ht="15.75" customHeight="1">
      <c r="A1122" s="7" t="s">
        <v>2939</v>
      </c>
      <c r="B1122" s="12" t="s">
        <v>477</v>
      </c>
      <c r="C1122" s="10" t="s">
        <v>2940</v>
      </c>
      <c r="E1122" s="12"/>
      <c r="F1122" s="12" t="s">
        <v>479</v>
      </c>
      <c r="G1122" s="12" t="s">
        <v>308</v>
      </c>
      <c r="H1122" s="12"/>
      <c r="I1122" s="12"/>
      <c r="L1122" s="38">
        <v>4</v>
      </c>
    </row>
    <row r="1123" spans="1:12" ht="15.75" customHeight="1">
      <c r="A1123" s="7" t="s">
        <v>2941</v>
      </c>
      <c r="B1123" s="12" t="s">
        <v>477</v>
      </c>
      <c r="C1123" s="10" t="s">
        <v>2942</v>
      </c>
      <c r="E1123" s="12"/>
      <c r="F1123" s="12" t="s">
        <v>479</v>
      </c>
      <c r="G1123" s="12" t="s">
        <v>308</v>
      </c>
      <c r="H1123" s="12"/>
      <c r="I1123" s="12"/>
      <c r="L1123" s="38">
        <v>6</v>
      </c>
    </row>
    <row r="1124" spans="1:12" ht="15.75" customHeight="1">
      <c r="A1124" s="7" t="s">
        <v>2943</v>
      </c>
      <c r="B1124" s="12" t="s">
        <v>477</v>
      </c>
      <c r="C1124" s="10" t="s">
        <v>2944</v>
      </c>
      <c r="E1124" s="12"/>
      <c r="F1124" s="12" t="s">
        <v>479</v>
      </c>
      <c r="G1124" s="12" t="s">
        <v>308</v>
      </c>
      <c r="H1124" s="12"/>
      <c r="I1124" s="12"/>
      <c r="L1124" s="38">
        <v>8</v>
      </c>
    </row>
    <row r="1125" spans="1:12" ht="15.75" customHeight="1">
      <c r="A1125" s="7" t="s">
        <v>2945</v>
      </c>
      <c r="B1125" s="12" t="s">
        <v>477</v>
      </c>
      <c r="C1125" s="10" t="s">
        <v>2946</v>
      </c>
      <c r="E1125" s="12"/>
      <c r="F1125" s="12" t="s">
        <v>479</v>
      </c>
      <c r="G1125" s="12" t="s">
        <v>308</v>
      </c>
      <c r="H1125" s="12"/>
      <c r="I1125" s="12"/>
      <c r="L1125" s="38">
        <v>10</v>
      </c>
    </row>
    <row r="1126" spans="1:12" ht="15.75" customHeight="1">
      <c r="A1126" s="7" t="s">
        <v>2947</v>
      </c>
      <c r="B1126" s="12" t="s">
        <v>477</v>
      </c>
      <c r="C1126" s="21" t="s">
        <v>2948</v>
      </c>
      <c r="E1126" s="12"/>
      <c r="F1126" s="12" t="s">
        <v>2854</v>
      </c>
      <c r="G1126" s="12" t="s">
        <v>308</v>
      </c>
      <c r="H1126" s="12"/>
      <c r="I1126" s="12"/>
      <c r="L1126" s="38">
        <v>28</v>
      </c>
    </row>
    <row r="1127" spans="1:12" ht="15.75" customHeight="1">
      <c r="A1127" s="7" t="s">
        <v>2949</v>
      </c>
      <c r="B1127" s="12" t="s">
        <v>477</v>
      </c>
      <c r="C1127" s="21" t="s">
        <v>2950</v>
      </c>
      <c r="E1127" s="12"/>
      <c r="F1127" s="12" t="s">
        <v>2854</v>
      </c>
      <c r="G1127" s="12" t="s">
        <v>308</v>
      </c>
      <c r="H1127" s="12"/>
      <c r="I1127" s="12"/>
      <c r="L1127" s="38">
        <v>8</v>
      </c>
    </row>
    <row r="1128" spans="1:12" ht="15.75" customHeight="1">
      <c r="A1128" s="7" t="s">
        <v>2951</v>
      </c>
      <c r="B1128" s="12" t="s">
        <v>477</v>
      </c>
      <c r="C1128" s="21" t="s">
        <v>2952</v>
      </c>
      <c r="E1128" s="12"/>
      <c r="F1128" s="12" t="s">
        <v>2854</v>
      </c>
      <c r="G1128" s="12" t="s">
        <v>308</v>
      </c>
      <c r="H1128" s="12"/>
      <c r="I1128" s="12"/>
      <c r="L1128" s="38">
        <v>12</v>
      </c>
    </row>
    <row r="1129" spans="1:12" ht="15.75" customHeight="1">
      <c r="A1129" s="7" t="s">
        <v>2953</v>
      </c>
      <c r="B1129" s="12" t="s">
        <v>477</v>
      </c>
      <c r="C1129" s="14" t="s">
        <v>2954</v>
      </c>
      <c r="E1129" s="12"/>
      <c r="F1129" s="12" t="s">
        <v>2854</v>
      </c>
      <c r="G1129" s="12" t="s">
        <v>308</v>
      </c>
      <c r="H1129" s="12"/>
      <c r="I1129" s="12"/>
      <c r="L1129" s="38">
        <v>16</v>
      </c>
    </row>
    <row r="1130" spans="1:12" ht="15.75" customHeight="1">
      <c r="A1130" s="7" t="s">
        <v>2955</v>
      </c>
      <c r="B1130" s="12" t="s">
        <v>477</v>
      </c>
      <c r="C1130" s="21" t="s">
        <v>2956</v>
      </c>
      <c r="E1130" s="12"/>
      <c r="F1130" s="12" t="s">
        <v>2854</v>
      </c>
      <c r="G1130" s="12" t="s">
        <v>308</v>
      </c>
      <c r="H1130" s="12"/>
      <c r="I1130" s="12"/>
      <c r="L1130" s="38">
        <v>2</v>
      </c>
    </row>
    <row r="1131" spans="1:12" ht="15.75" customHeight="1">
      <c r="A1131" s="7" t="s">
        <v>2957</v>
      </c>
      <c r="B1131" s="12" t="s">
        <v>477</v>
      </c>
      <c r="C1131" s="10" t="s">
        <v>2958</v>
      </c>
      <c r="E1131" s="12"/>
      <c r="F1131" s="12" t="s">
        <v>2854</v>
      </c>
      <c r="G1131" s="12" t="s">
        <v>308</v>
      </c>
      <c r="H1131" s="12"/>
      <c r="I1131" s="12"/>
      <c r="L1131" s="38">
        <v>2</v>
      </c>
    </row>
    <row r="1132" spans="1:12" ht="15.75" customHeight="1">
      <c r="A1132" s="7" t="s">
        <v>2959</v>
      </c>
      <c r="B1132" s="12" t="s">
        <v>477</v>
      </c>
      <c r="C1132" s="30" t="s">
        <v>2960</v>
      </c>
      <c r="E1132" s="12"/>
      <c r="F1132" s="12" t="s">
        <v>2854</v>
      </c>
      <c r="G1132" s="12" t="s">
        <v>308</v>
      </c>
      <c r="H1132" s="12"/>
      <c r="I1132" s="12"/>
      <c r="L1132" s="38">
        <v>2</v>
      </c>
    </row>
    <row r="1133" spans="1:12" ht="15.75" customHeight="1">
      <c r="A1133" s="7" t="s">
        <v>2961</v>
      </c>
      <c r="B1133" s="12" t="s">
        <v>477</v>
      </c>
      <c r="C1133" s="30" t="s">
        <v>2962</v>
      </c>
      <c r="E1133" s="12"/>
      <c r="F1133" s="12" t="s">
        <v>2854</v>
      </c>
      <c r="G1133" s="12" t="s">
        <v>308</v>
      </c>
      <c r="H1133" s="12"/>
      <c r="I1133" s="12"/>
      <c r="L1133" s="38">
        <v>2</v>
      </c>
    </row>
    <row r="1134" spans="1:12" ht="15.75" customHeight="1">
      <c r="A1134" s="7" t="s">
        <v>2963</v>
      </c>
      <c r="B1134" s="12" t="s">
        <v>477</v>
      </c>
      <c r="C1134" s="30" t="s">
        <v>2964</v>
      </c>
      <c r="E1134" s="12"/>
      <c r="F1134" s="12" t="s">
        <v>2854</v>
      </c>
      <c r="G1134" s="12" t="s">
        <v>308</v>
      </c>
      <c r="L1134" s="38">
        <v>2</v>
      </c>
    </row>
    <row r="1135" spans="1:12" ht="15.75" customHeight="1">
      <c r="A1135" s="7" t="s">
        <v>2965</v>
      </c>
      <c r="B1135" s="12" t="s">
        <v>477</v>
      </c>
      <c r="C1135" s="30" t="s">
        <v>2966</v>
      </c>
      <c r="E1135" s="12"/>
      <c r="F1135" s="12" t="s">
        <v>2854</v>
      </c>
      <c r="G1135" s="12" t="s">
        <v>308</v>
      </c>
      <c r="L1135" s="38">
        <v>2</v>
      </c>
    </row>
    <row r="1136" spans="1:12" ht="15.75" customHeight="1">
      <c r="A1136" s="7" t="s">
        <v>2967</v>
      </c>
      <c r="B1136" s="12" t="s">
        <v>477</v>
      </c>
      <c r="C1136" s="21" t="s">
        <v>2968</v>
      </c>
      <c r="E1136" s="12"/>
      <c r="F1136" s="12" t="s">
        <v>2854</v>
      </c>
      <c r="G1136" s="12" t="s">
        <v>308</v>
      </c>
      <c r="L1136" s="38">
        <v>2</v>
      </c>
    </row>
    <row r="1137" spans="1:12" ht="15.75" customHeight="1">
      <c r="A1137" s="7" t="s">
        <v>2969</v>
      </c>
      <c r="B1137" s="12" t="s">
        <v>477</v>
      </c>
      <c r="C1137" s="10" t="s">
        <v>2970</v>
      </c>
      <c r="E1137" s="12"/>
      <c r="F1137" s="12" t="s">
        <v>1329</v>
      </c>
      <c r="G1137" s="12" t="s">
        <v>308</v>
      </c>
      <c r="L1137" s="38">
        <v>30</v>
      </c>
    </row>
    <row r="1138" spans="1:12" ht="15.75" customHeight="1">
      <c r="A1138" s="7" t="s">
        <v>2971</v>
      </c>
      <c r="B1138" s="12" t="s">
        <v>477</v>
      </c>
      <c r="C1138" s="10" t="s">
        <v>2972</v>
      </c>
      <c r="E1138" s="12"/>
      <c r="F1138" s="12" t="s">
        <v>1329</v>
      </c>
      <c r="G1138" s="12" t="s">
        <v>308</v>
      </c>
      <c r="L1138" s="38">
        <v>40</v>
      </c>
    </row>
    <row r="1139" spans="1:12" ht="15.75" customHeight="1">
      <c r="A1139" s="7" t="s">
        <v>2973</v>
      </c>
      <c r="B1139" s="12" t="s">
        <v>477</v>
      </c>
      <c r="C1139" s="21" t="s">
        <v>2974</v>
      </c>
      <c r="E1139" s="12"/>
      <c r="F1139" s="12" t="s">
        <v>1329</v>
      </c>
      <c r="G1139" s="12" t="s">
        <v>308</v>
      </c>
      <c r="L1139" s="38">
        <v>2</v>
      </c>
    </row>
    <row r="1140" spans="1:12" ht="15.75" customHeight="1">
      <c r="A1140" s="7" t="s">
        <v>2975</v>
      </c>
      <c r="B1140" s="12" t="s">
        <v>477</v>
      </c>
      <c r="C1140" s="21" t="s">
        <v>2976</v>
      </c>
      <c r="E1140" s="12"/>
      <c r="F1140" s="12" t="s">
        <v>1329</v>
      </c>
      <c r="G1140" s="12" t="s">
        <v>308</v>
      </c>
      <c r="L1140" s="38">
        <v>2</v>
      </c>
    </row>
    <row r="1141" spans="1:12" ht="15.75" customHeight="1">
      <c r="A1141" s="7" t="s">
        <v>2977</v>
      </c>
      <c r="B1141" s="12" t="s">
        <v>477</v>
      </c>
      <c r="C1141" s="21" t="s">
        <v>2978</v>
      </c>
      <c r="E1141" s="12"/>
      <c r="F1141" s="12" t="s">
        <v>1329</v>
      </c>
      <c r="G1141" s="12" t="s">
        <v>308</v>
      </c>
      <c r="L1141" s="38">
        <v>4</v>
      </c>
    </row>
    <row r="1142" spans="1:12" ht="15.75" customHeight="1">
      <c r="A1142" s="7" t="s">
        <v>2979</v>
      </c>
      <c r="B1142" s="12" t="s">
        <v>477</v>
      </c>
      <c r="C1142" s="21" t="s">
        <v>2980</v>
      </c>
      <c r="E1142" s="12"/>
      <c r="F1142" s="12" t="s">
        <v>2854</v>
      </c>
      <c r="G1142" s="12" t="s">
        <v>308</v>
      </c>
      <c r="L1142" s="38">
        <v>60</v>
      </c>
    </row>
    <row r="1143" spans="1:12" ht="15.75" customHeight="1">
      <c r="A1143" s="7" t="s">
        <v>2981</v>
      </c>
      <c r="B1143" s="12" t="s">
        <v>477</v>
      </c>
      <c r="C1143" s="14" t="s">
        <v>2982</v>
      </c>
      <c r="E1143" s="12"/>
      <c r="F1143" s="12" t="s">
        <v>1332</v>
      </c>
      <c r="G1143" s="12" t="s">
        <v>308</v>
      </c>
      <c r="L1143" s="38">
        <v>2</v>
      </c>
    </row>
    <row r="1144" spans="1:12" ht="15.75" customHeight="1">
      <c r="A1144" s="7" t="s">
        <v>2983</v>
      </c>
      <c r="B1144" s="12" t="s">
        <v>477</v>
      </c>
      <c r="C1144" s="10" t="s">
        <v>2984</v>
      </c>
      <c r="E1144" s="12"/>
      <c r="F1144" s="12" t="s">
        <v>1332</v>
      </c>
      <c r="G1144" s="12" t="s">
        <v>308</v>
      </c>
      <c r="L1144" s="38">
        <v>3</v>
      </c>
    </row>
    <row r="1145" spans="1:12" ht="15.75" customHeight="1">
      <c r="A1145" s="7" t="s">
        <v>2985</v>
      </c>
      <c r="B1145" s="12" t="s">
        <v>477</v>
      </c>
      <c r="C1145" s="10" t="s">
        <v>2986</v>
      </c>
      <c r="E1145" s="12"/>
      <c r="F1145" s="12" t="s">
        <v>1332</v>
      </c>
      <c r="G1145" s="12" t="s">
        <v>308</v>
      </c>
      <c r="L1145" s="38">
        <v>5</v>
      </c>
    </row>
    <row r="1146" spans="1:12" ht="15.75" customHeight="1">
      <c r="A1146" s="7" t="s">
        <v>2987</v>
      </c>
      <c r="B1146" s="12" t="s">
        <v>477</v>
      </c>
      <c r="C1146" s="28" t="s">
        <v>592</v>
      </c>
      <c r="E1146" s="12"/>
      <c r="F1146" s="12" t="s">
        <v>1405</v>
      </c>
      <c r="G1146" s="12" t="s">
        <v>308</v>
      </c>
      <c r="L1146" s="38">
        <v>2</v>
      </c>
    </row>
    <row r="1147" spans="1:12" ht="15.75" customHeight="1">
      <c r="A1147" s="7" t="s">
        <v>2988</v>
      </c>
      <c r="B1147" s="12" t="s">
        <v>477</v>
      </c>
      <c r="C1147" s="28" t="s">
        <v>594</v>
      </c>
      <c r="E1147" s="12"/>
      <c r="F1147" s="12" t="s">
        <v>1405</v>
      </c>
      <c r="G1147" s="12" t="s">
        <v>308</v>
      </c>
      <c r="L1147" s="38">
        <v>2</v>
      </c>
    </row>
    <row r="1148" spans="1:12" ht="15.75" customHeight="1">
      <c r="A1148" s="7" t="s">
        <v>2989</v>
      </c>
      <c r="B1148" s="12" t="s">
        <v>477</v>
      </c>
      <c r="C1148" s="28" t="s">
        <v>596</v>
      </c>
      <c r="E1148" s="12"/>
      <c r="F1148" s="12" t="s">
        <v>1405</v>
      </c>
      <c r="G1148" s="12" t="s">
        <v>308</v>
      </c>
      <c r="L1148" s="38">
        <v>2</v>
      </c>
    </row>
    <row r="1149" spans="1:12" ht="15.75" customHeight="1">
      <c r="A1149" s="7" t="s">
        <v>2990</v>
      </c>
      <c r="B1149" s="12" t="s">
        <v>477</v>
      </c>
      <c r="C1149" s="28" t="s">
        <v>598</v>
      </c>
      <c r="E1149" s="12"/>
      <c r="F1149" s="12" t="s">
        <v>1405</v>
      </c>
      <c r="G1149" s="12" t="s">
        <v>308</v>
      </c>
      <c r="L1149" s="38">
        <v>2</v>
      </c>
    </row>
    <row r="1150" spans="1:12" ht="15.75" customHeight="1">
      <c r="A1150" s="7" t="s">
        <v>2991</v>
      </c>
      <c r="B1150" s="12" t="s">
        <v>477</v>
      </c>
      <c r="C1150" s="28" t="s">
        <v>600</v>
      </c>
      <c r="E1150" s="12"/>
      <c r="F1150" s="12" t="s">
        <v>1405</v>
      </c>
      <c r="G1150" s="12" t="s">
        <v>308</v>
      </c>
      <c r="L1150" s="38">
        <v>2</v>
      </c>
    </row>
    <row r="1151" spans="1:12" ht="15.75" customHeight="1">
      <c r="A1151" s="7" t="s">
        <v>2992</v>
      </c>
      <c r="B1151" s="12" t="s">
        <v>477</v>
      </c>
      <c r="C1151" s="28" t="s">
        <v>602</v>
      </c>
      <c r="E1151" s="12"/>
      <c r="F1151" s="12" t="s">
        <v>1405</v>
      </c>
      <c r="G1151" s="12" t="s">
        <v>308</v>
      </c>
      <c r="L1151" s="38">
        <v>2</v>
      </c>
    </row>
    <row r="1152" spans="1:12" ht="15.75" customHeight="1">
      <c r="A1152" s="7" t="s">
        <v>2993</v>
      </c>
      <c r="B1152" s="12" t="s">
        <v>477</v>
      </c>
      <c r="C1152" s="28" t="s">
        <v>604</v>
      </c>
      <c r="E1152" s="12"/>
      <c r="F1152" s="12" t="s">
        <v>1405</v>
      </c>
      <c r="G1152" s="12" t="s">
        <v>308</v>
      </c>
      <c r="L1152" s="38">
        <v>2</v>
      </c>
    </row>
    <row r="1153" spans="1:12" ht="15.75" customHeight="1">
      <c r="A1153" s="7" t="s">
        <v>2994</v>
      </c>
      <c r="B1153" s="12" t="s">
        <v>477</v>
      </c>
      <c r="C1153" s="28" t="s">
        <v>608</v>
      </c>
      <c r="E1153" s="12"/>
      <c r="F1153" s="12" t="s">
        <v>1405</v>
      </c>
      <c r="G1153" s="12" t="s">
        <v>308</v>
      </c>
      <c r="L1153" s="38">
        <v>2</v>
      </c>
    </row>
    <row r="1154" spans="1:12" ht="15.75" customHeight="1">
      <c r="A1154" s="7" t="s">
        <v>2995</v>
      </c>
      <c r="B1154" s="12" t="s">
        <v>477</v>
      </c>
      <c r="C1154" s="28" t="s">
        <v>2996</v>
      </c>
      <c r="E1154" s="12"/>
      <c r="F1154" s="12" t="s">
        <v>1405</v>
      </c>
      <c r="G1154" s="12" t="s">
        <v>308</v>
      </c>
      <c r="L1154" s="38">
        <v>20</v>
      </c>
    </row>
    <row r="1155" spans="1:12" ht="15.75" customHeight="1">
      <c r="A1155" s="7" t="s">
        <v>2997</v>
      </c>
      <c r="B1155" s="12" t="s">
        <v>477</v>
      </c>
      <c r="C1155" s="21" t="s">
        <v>2998</v>
      </c>
      <c r="E1155" s="12"/>
      <c r="F1155" s="12" t="s">
        <v>1332</v>
      </c>
      <c r="G1155" s="12" t="s">
        <v>308</v>
      </c>
      <c r="L1155" s="38">
        <v>2</v>
      </c>
    </row>
    <row r="1156" spans="1:12" ht="15.75" customHeight="1">
      <c r="A1156" s="7" t="s">
        <v>2999</v>
      </c>
      <c r="B1156" s="12" t="s">
        <v>477</v>
      </c>
      <c r="C1156" s="21" t="s">
        <v>3000</v>
      </c>
      <c r="E1156" s="12"/>
      <c r="F1156" s="12" t="s">
        <v>1332</v>
      </c>
      <c r="G1156" s="12" t="s">
        <v>308</v>
      </c>
      <c r="L1156" s="38">
        <v>2</v>
      </c>
    </row>
    <row r="1157" spans="1:12">
      <c r="A1157" s="7" t="s">
        <v>3001</v>
      </c>
      <c r="B1157" s="12" t="s">
        <v>477</v>
      </c>
      <c r="C1157" s="21" t="s">
        <v>3002</v>
      </c>
      <c r="E1157" s="12"/>
      <c r="F1157" s="12" t="s">
        <v>1332</v>
      </c>
      <c r="G1157" s="12" t="s">
        <v>308</v>
      </c>
      <c r="L1157" s="38">
        <v>2</v>
      </c>
    </row>
    <row r="1158" spans="1:12">
      <c r="A1158" s="7" t="s">
        <v>3003</v>
      </c>
      <c r="B1158" s="12" t="s">
        <v>477</v>
      </c>
      <c r="C1158" s="21" t="s">
        <v>3004</v>
      </c>
      <c r="E1158" s="12"/>
      <c r="F1158" s="12" t="s">
        <v>1332</v>
      </c>
      <c r="G1158" s="12" t="s">
        <v>308</v>
      </c>
      <c r="L1158" s="38">
        <v>10</v>
      </c>
    </row>
    <row r="1159" spans="1:12">
      <c r="A1159" s="7" t="s">
        <v>3005</v>
      </c>
      <c r="B1159" s="12" t="s">
        <v>477</v>
      </c>
      <c r="C1159" s="21" t="s">
        <v>3006</v>
      </c>
      <c r="E1159" s="12"/>
      <c r="F1159" s="12" t="s">
        <v>1332</v>
      </c>
      <c r="G1159" s="12" t="s">
        <v>308</v>
      </c>
      <c r="L1159" s="38">
        <v>13</v>
      </c>
    </row>
    <row r="1160" spans="1:12">
      <c r="A1160" s="7" t="s">
        <v>3007</v>
      </c>
      <c r="B1160" s="12" t="s">
        <v>477</v>
      </c>
      <c r="C1160" s="21" t="s">
        <v>3008</v>
      </c>
      <c r="E1160" s="12"/>
      <c r="F1160" s="12" t="s">
        <v>1332</v>
      </c>
      <c r="G1160" s="12" t="s">
        <v>308</v>
      </c>
      <c r="L1160" s="38">
        <v>1</v>
      </c>
    </row>
    <row r="1161" spans="1:12">
      <c r="A1161" s="7" t="s">
        <v>3009</v>
      </c>
      <c r="B1161" s="12" t="s">
        <v>477</v>
      </c>
      <c r="C1161" s="10" t="s">
        <v>3010</v>
      </c>
      <c r="E1161" s="12"/>
      <c r="F1161" s="12" t="s">
        <v>1332</v>
      </c>
      <c r="G1161" s="12" t="s">
        <v>308</v>
      </c>
      <c r="L1161" s="38">
        <v>1</v>
      </c>
    </row>
    <row r="1162" spans="1:12">
      <c r="A1162" s="7" t="s">
        <v>3011</v>
      </c>
      <c r="B1162" s="12" t="s">
        <v>477</v>
      </c>
      <c r="C1162" s="10" t="s">
        <v>3012</v>
      </c>
      <c r="E1162" s="12"/>
      <c r="F1162" s="12" t="s">
        <v>1332</v>
      </c>
      <c r="G1162" s="12" t="s">
        <v>308</v>
      </c>
      <c r="L1162" s="38">
        <v>1</v>
      </c>
    </row>
    <row r="1163" spans="1:12">
      <c r="A1163" s="7" t="s">
        <v>3013</v>
      </c>
      <c r="B1163" s="12" t="s">
        <v>477</v>
      </c>
      <c r="C1163" s="10" t="s">
        <v>3014</v>
      </c>
      <c r="E1163" s="12"/>
      <c r="F1163" s="12" t="s">
        <v>1332</v>
      </c>
      <c r="G1163" s="12" t="s">
        <v>308</v>
      </c>
      <c r="L1163" s="38">
        <v>2</v>
      </c>
    </row>
    <row r="1164" spans="1:12">
      <c r="A1164" s="7" t="s">
        <v>3015</v>
      </c>
      <c r="B1164" s="12" t="s">
        <v>477</v>
      </c>
      <c r="C1164" s="21" t="s">
        <v>3016</v>
      </c>
      <c r="E1164" s="12"/>
      <c r="F1164" s="12" t="s">
        <v>1329</v>
      </c>
      <c r="G1164" s="12" t="s">
        <v>308</v>
      </c>
      <c r="L1164" s="38">
        <v>20</v>
      </c>
    </row>
    <row r="1165" spans="1:12">
      <c r="A1165" s="7" t="s">
        <v>3017</v>
      </c>
      <c r="B1165" s="12" t="s">
        <v>477</v>
      </c>
      <c r="C1165" s="28" t="s">
        <v>3018</v>
      </c>
      <c r="E1165" s="12"/>
      <c r="F1165" s="12" t="s">
        <v>1405</v>
      </c>
      <c r="G1165" s="12" t="s">
        <v>308</v>
      </c>
      <c r="L1165" s="38">
        <v>40</v>
      </c>
    </row>
    <row r="1166" spans="1:12">
      <c r="A1166" s="7" t="s">
        <v>3019</v>
      </c>
      <c r="B1166" s="12" t="s">
        <v>477</v>
      </c>
      <c r="C1166" s="28" t="s">
        <v>3020</v>
      </c>
      <c r="E1166" s="12"/>
      <c r="F1166" s="12" t="s">
        <v>1405</v>
      </c>
      <c r="G1166" s="12" t="s">
        <v>308</v>
      </c>
      <c r="L1166" s="38">
        <v>20</v>
      </c>
    </row>
    <row r="1167" spans="1:12">
      <c r="A1167" s="7" t="s">
        <v>3021</v>
      </c>
      <c r="B1167" s="12" t="s">
        <v>477</v>
      </c>
      <c r="C1167" s="10" t="s">
        <v>3022</v>
      </c>
      <c r="E1167" s="12"/>
      <c r="F1167" s="12" t="s">
        <v>479</v>
      </c>
      <c r="G1167" s="12" t="s">
        <v>308</v>
      </c>
      <c r="L1167" s="38">
        <v>36</v>
      </c>
    </row>
    <row r="1168" spans="1:12">
      <c r="A1168" s="7" t="s">
        <v>3023</v>
      </c>
      <c r="B1168" s="12" t="s">
        <v>477</v>
      </c>
      <c r="C1168" s="21" t="s">
        <v>3024</v>
      </c>
      <c r="E1168" s="12"/>
      <c r="F1168" s="12" t="s">
        <v>2854</v>
      </c>
      <c r="G1168" s="12" t="s">
        <v>308</v>
      </c>
      <c r="L1168" s="38">
        <v>34</v>
      </c>
    </row>
    <row r="1169" spans="1:12">
      <c r="A1169" s="7" t="s">
        <v>3025</v>
      </c>
      <c r="B1169" s="12" t="s">
        <v>477</v>
      </c>
      <c r="C1169" s="28" t="s">
        <v>3026</v>
      </c>
      <c r="E1169" s="12"/>
      <c r="F1169" s="12" t="s">
        <v>1405</v>
      </c>
      <c r="G1169" s="12" t="s">
        <v>308</v>
      </c>
      <c r="L1169" s="38">
        <v>40</v>
      </c>
    </row>
    <row r="1170" spans="1:12">
      <c r="A1170" s="7" t="s">
        <v>3027</v>
      </c>
      <c r="B1170" s="12" t="s">
        <v>477</v>
      </c>
      <c r="C1170" s="21" t="s">
        <v>3028</v>
      </c>
      <c r="E1170" s="12"/>
      <c r="F1170" s="12" t="s">
        <v>2854</v>
      </c>
      <c r="G1170" s="12" t="s">
        <v>308</v>
      </c>
      <c r="L1170" s="38">
        <v>2</v>
      </c>
    </row>
    <row r="1171" spans="1:12">
      <c r="A1171" s="7" t="s">
        <v>3029</v>
      </c>
      <c r="B1171" s="12" t="s">
        <v>477</v>
      </c>
      <c r="C1171" s="21" t="s">
        <v>3030</v>
      </c>
      <c r="E1171" s="12"/>
      <c r="F1171" s="12" t="s">
        <v>2854</v>
      </c>
      <c r="G1171" s="12" t="s">
        <v>308</v>
      </c>
      <c r="L1171" s="38">
        <v>2</v>
      </c>
    </row>
    <row r="1172" spans="1:12">
      <c r="A1172" s="7" t="s">
        <v>3031</v>
      </c>
      <c r="B1172" s="12" t="s">
        <v>477</v>
      </c>
      <c r="C1172" s="21" t="s">
        <v>3032</v>
      </c>
      <c r="E1172" s="12"/>
      <c r="F1172" s="12" t="s">
        <v>2854</v>
      </c>
      <c r="G1172" s="12" t="s">
        <v>308</v>
      </c>
      <c r="L1172" s="38">
        <v>2</v>
      </c>
    </row>
    <row r="1173" spans="1:12">
      <c r="A1173" s="7" t="s">
        <v>3033</v>
      </c>
      <c r="B1173" s="12" t="s">
        <v>477</v>
      </c>
      <c r="C1173" s="21" t="s">
        <v>3034</v>
      </c>
      <c r="E1173" s="12"/>
      <c r="F1173" s="12" t="s">
        <v>3035</v>
      </c>
      <c r="G1173" s="12" t="s">
        <v>308</v>
      </c>
      <c r="L1173" s="38">
        <v>14</v>
      </c>
    </row>
    <row r="1174" spans="1:12">
      <c r="A1174" s="7" t="s">
        <v>3036</v>
      </c>
      <c r="B1174" s="12" t="s">
        <v>477</v>
      </c>
      <c r="C1174" s="21" t="s">
        <v>3037</v>
      </c>
      <c r="E1174" s="12"/>
      <c r="F1174" s="12" t="s">
        <v>3035</v>
      </c>
      <c r="G1174" s="12" t="s">
        <v>308</v>
      </c>
      <c r="L1174" s="38">
        <v>22</v>
      </c>
    </row>
    <row r="1175" spans="1:12">
      <c r="A1175" s="7" t="s">
        <v>3038</v>
      </c>
      <c r="B1175" s="12" t="s">
        <v>477</v>
      </c>
      <c r="C1175" s="21" t="s">
        <v>3039</v>
      </c>
      <c r="E1175" s="12"/>
      <c r="F1175" s="12" t="s">
        <v>3035</v>
      </c>
      <c r="G1175" s="12" t="s">
        <v>308</v>
      </c>
      <c r="L1175" s="38">
        <v>1</v>
      </c>
    </row>
    <row r="1176" spans="1:12">
      <c r="A1176" s="7" t="s">
        <v>3040</v>
      </c>
      <c r="B1176" s="12" t="s">
        <v>477</v>
      </c>
      <c r="C1176" s="21" t="s">
        <v>3041</v>
      </c>
      <c r="E1176" s="12"/>
      <c r="F1176" s="12" t="s">
        <v>3035</v>
      </c>
      <c r="G1176" s="12" t="s">
        <v>308</v>
      </c>
      <c r="L1176" s="38">
        <v>6</v>
      </c>
    </row>
    <row r="1177" spans="1:12">
      <c r="A1177" s="7" t="s">
        <v>3042</v>
      </c>
      <c r="B1177" s="12" t="s">
        <v>477</v>
      </c>
      <c r="C1177" s="29" t="s">
        <v>3043</v>
      </c>
      <c r="D1177" s="12"/>
      <c r="E1177" s="12"/>
      <c r="F1177" s="12" t="s">
        <v>3035</v>
      </c>
      <c r="G1177" s="12" t="s">
        <v>308</v>
      </c>
      <c r="L1177" s="38">
        <v>12</v>
      </c>
    </row>
    <row r="1178" spans="1:12">
      <c r="A1178" s="7" t="s">
        <v>3044</v>
      </c>
      <c r="B1178" s="12" t="s">
        <v>477</v>
      </c>
      <c r="C1178" s="21" t="s">
        <v>3045</v>
      </c>
      <c r="E1178" s="12"/>
      <c r="F1178" s="12" t="s">
        <v>2854</v>
      </c>
      <c r="G1178" s="12" t="s">
        <v>308</v>
      </c>
      <c r="L1178" s="38">
        <v>2</v>
      </c>
    </row>
    <row r="1179" spans="1:12">
      <c r="A1179" s="7" t="s">
        <v>3046</v>
      </c>
      <c r="B1179" s="12" t="s">
        <v>477</v>
      </c>
      <c r="C1179" s="21" t="s">
        <v>3047</v>
      </c>
      <c r="E1179" s="12"/>
      <c r="F1179" s="12" t="s">
        <v>2854</v>
      </c>
      <c r="G1179" s="12" t="s">
        <v>308</v>
      </c>
      <c r="L1179" s="38">
        <v>14</v>
      </c>
    </row>
    <row r="1180" spans="1:12">
      <c r="A1180" s="7" t="s">
        <v>3048</v>
      </c>
      <c r="B1180" s="12" t="s">
        <v>477</v>
      </c>
      <c r="C1180" s="21" t="s">
        <v>3049</v>
      </c>
      <c r="E1180" s="12"/>
      <c r="F1180" s="12" t="s">
        <v>2854</v>
      </c>
      <c r="G1180" s="12" t="s">
        <v>308</v>
      </c>
      <c r="L1180" s="38">
        <v>16</v>
      </c>
    </row>
    <row r="1181" spans="1:12">
      <c r="A1181" s="7" t="s">
        <v>3050</v>
      </c>
      <c r="B1181" s="12" t="s">
        <v>477</v>
      </c>
      <c r="C1181" s="20" t="s">
        <v>3051</v>
      </c>
      <c r="E1181" s="12"/>
      <c r="F1181" s="12" t="s">
        <v>1405</v>
      </c>
      <c r="G1181" s="12" t="s">
        <v>308</v>
      </c>
      <c r="L1181" s="38">
        <v>20</v>
      </c>
    </row>
    <row r="1182" spans="1:12">
      <c r="A1182" s="7" t="s">
        <v>3052</v>
      </c>
      <c r="B1182" s="12" t="s">
        <v>477</v>
      </c>
      <c r="C1182" s="21" t="s">
        <v>3053</v>
      </c>
      <c r="E1182" s="12"/>
      <c r="F1182" s="12" t="s">
        <v>1332</v>
      </c>
      <c r="G1182" s="12" t="s">
        <v>308</v>
      </c>
      <c r="L1182" s="38">
        <v>85</v>
      </c>
    </row>
    <row r="1183" spans="1:12">
      <c r="A1183" s="7" t="s">
        <v>3054</v>
      </c>
      <c r="B1183" s="12" t="s">
        <v>477</v>
      </c>
      <c r="C1183" s="21" t="s">
        <v>3055</v>
      </c>
      <c r="E1183" s="12"/>
      <c r="F1183" s="12" t="s">
        <v>1332</v>
      </c>
      <c r="G1183" s="12" t="s">
        <v>308</v>
      </c>
      <c r="L1183" s="38">
        <v>43</v>
      </c>
    </row>
    <row r="1184" spans="1:12">
      <c r="A1184" s="7" t="s">
        <v>3056</v>
      </c>
      <c r="B1184" s="12" t="s">
        <v>477</v>
      </c>
      <c r="C1184" s="21" t="s">
        <v>3057</v>
      </c>
      <c r="E1184" s="12"/>
      <c r="F1184" s="12" t="s">
        <v>1332</v>
      </c>
      <c r="G1184" s="12" t="s">
        <v>308</v>
      </c>
      <c r="L1184" s="38">
        <v>21</v>
      </c>
    </row>
    <row r="1185" spans="1:12">
      <c r="A1185" s="7" t="s">
        <v>3058</v>
      </c>
      <c r="B1185" s="12" t="s">
        <v>477</v>
      </c>
      <c r="C1185" s="20" t="s">
        <v>3059</v>
      </c>
      <c r="E1185" s="12"/>
      <c r="F1185" s="12" t="s">
        <v>1405</v>
      </c>
      <c r="G1185" s="12" t="s">
        <v>308</v>
      </c>
      <c r="L1185" s="38">
        <v>6</v>
      </c>
    </row>
    <row r="1186" spans="1:12">
      <c r="A1186" s="7" t="s">
        <v>3060</v>
      </c>
      <c r="B1186" s="12" t="s">
        <v>477</v>
      </c>
      <c r="C1186" s="20" t="s">
        <v>3061</v>
      </c>
      <c r="E1186" s="12"/>
      <c r="F1186" s="12" t="s">
        <v>1405</v>
      </c>
      <c r="G1186" s="12" t="s">
        <v>308</v>
      </c>
      <c r="L1186" s="38">
        <v>4</v>
      </c>
    </row>
    <row r="1187" spans="1:12">
      <c r="A1187" s="7" t="s">
        <v>3062</v>
      </c>
      <c r="B1187" s="12" t="s">
        <v>477</v>
      </c>
      <c r="C1187" s="20" t="s">
        <v>3063</v>
      </c>
      <c r="E1187" s="12"/>
      <c r="F1187" s="12" t="s">
        <v>1405</v>
      </c>
      <c r="G1187" s="12" t="s">
        <v>308</v>
      </c>
      <c r="L1187" s="38">
        <v>6</v>
      </c>
    </row>
    <row r="1188" spans="1:12">
      <c r="A1188" s="7" t="s">
        <v>3064</v>
      </c>
      <c r="B1188" s="12" t="s">
        <v>477</v>
      </c>
      <c r="C1188" s="20" t="s">
        <v>3065</v>
      </c>
      <c r="E1188" s="12"/>
      <c r="F1188" s="12" t="s">
        <v>1405</v>
      </c>
      <c r="G1188" s="12" t="s">
        <v>308</v>
      </c>
      <c r="L1188" s="38">
        <v>10</v>
      </c>
    </row>
    <row r="1189" spans="1:12">
      <c r="A1189" s="7" t="s">
        <v>3066</v>
      </c>
      <c r="B1189" s="12" t="s">
        <v>477</v>
      </c>
      <c r="C1189" s="20" t="s">
        <v>3067</v>
      </c>
      <c r="E1189" s="12"/>
      <c r="F1189" s="12" t="s">
        <v>1405</v>
      </c>
      <c r="G1189" s="12" t="s">
        <v>308</v>
      </c>
      <c r="L1189" s="38">
        <v>6</v>
      </c>
    </row>
    <row r="1190" spans="1:12">
      <c r="A1190" s="7" t="s">
        <v>3068</v>
      </c>
      <c r="B1190" s="12" t="s">
        <v>477</v>
      </c>
      <c r="C1190" s="21" t="s">
        <v>3069</v>
      </c>
      <c r="E1190" s="12"/>
      <c r="F1190" s="12" t="s">
        <v>2854</v>
      </c>
      <c r="G1190" s="12" t="s">
        <v>308</v>
      </c>
      <c r="L1190" s="38">
        <v>12</v>
      </c>
    </row>
    <row r="1191" spans="1:12">
      <c r="A1191" s="7" t="s">
        <v>3070</v>
      </c>
      <c r="B1191" s="12" t="s">
        <v>477</v>
      </c>
      <c r="C1191" s="21" t="s">
        <v>3071</v>
      </c>
      <c r="E1191" s="12"/>
      <c r="F1191" s="12" t="s">
        <v>2854</v>
      </c>
      <c r="G1191" s="12" t="s">
        <v>308</v>
      </c>
      <c r="L1191" s="38">
        <v>12</v>
      </c>
    </row>
    <row r="1192" spans="1:12">
      <c r="A1192" s="7" t="s">
        <v>3072</v>
      </c>
      <c r="B1192" s="12" t="s">
        <v>477</v>
      </c>
      <c r="C1192" s="21" t="s">
        <v>3073</v>
      </c>
      <c r="E1192" s="12"/>
      <c r="F1192" s="12" t="s">
        <v>2854</v>
      </c>
      <c r="G1192" s="12" t="s">
        <v>308</v>
      </c>
      <c r="L1192" s="38">
        <v>12</v>
      </c>
    </row>
    <row r="1193" spans="1:12">
      <c r="A1193" s="7" t="s">
        <v>3074</v>
      </c>
      <c r="B1193" s="12" t="s">
        <v>477</v>
      </c>
      <c r="C1193" s="21" t="s">
        <v>3075</v>
      </c>
      <c r="E1193" s="12"/>
      <c r="F1193" s="12" t="s">
        <v>2854</v>
      </c>
      <c r="G1193" s="12" t="s">
        <v>308</v>
      </c>
      <c r="L1193" s="38">
        <v>12</v>
      </c>
    </row>
    <row r="1194" spans="1:12">
      <c r="A1194" s="7" t="s">
        <v>3076</v>
      </c>
      <c r="B1194" s="12" t="s">
        <v>477</v>
      </c>
      <c r="C1194" s="30" t="s">
        <v>3077</v>
      </c>
      <c r="E1194" s="12"/>
      <c r="F1194" s="12" t="s">
        <v>2854</v>
      </c>
      <c r="G1194" s="12" t="s">
        <v>308</v>
      </c>
      <c r="L1194" s="38">
        <v>2</v>
      </c>
    </row>
    <row r="1195" spans="1:12">
      <c r="A1195" s="7" t="s">
        <v>3078</v>
      </c>
      <c r="B1195" s="12" t="s">
        <v>477</v>
      </c>
      <c r="C1195" s="30" t="s">
        <v>3079</v>
      </c>
      <c r="E1195" s="12"/>
      <c r="F1195" s="12" t="s">
        <v>2854</v>
      </c>
      <c r="G1195" s="12" t="s">
        <v>308</v>
      </c>
      <c r="L1195" s="38">
        <v>3</v>
      </c>
    </row>
    <row r="1196" spans="1:12">
      <c r="A1196" s="7" t="s">
        <v>3080</v>
      </c>
      <c r="B1196" s="12" t="s">
        <v>477</v>
      </c>
      <c r="C1196" s="30" t="s">
        <v>3081</v>
      </c>
      <c r="E1196" s="12"/>
      <c r="F1196" s="12" t="s">
        <v>2854</v>
      </c>
      <c r="G1196" s="12" t="s">
        <v>308</v>
      </c>
      <c r="L1196" s="38">
        <v>4</v>
      </c>
    </row>
    <row r="1197" spans="1:12">
      <c r="A1197" s="7" t="s">
        <v>3082</v>
      </c>
      <c r="B1197" s="12" t="s">
        <v>477</v>
      </c>
      <c r="C1197" s="20" t="s">
        <v>3083</v>
      </c>
      <c r="E1197" s="12"/>
      <c r="F1197" s="12" t="s">
        <v>1405</v>
      </c>
      <c r="G1197" s="12" t="s">
        <v>308</v>
      </c>
      <c r="L1197" s="38">
        <v>20</v>
      </c>
    </row>
    <row r="1198" spans="1:12">
      <c r="A1198" s="7" t="s">
        <v>3084</v>
      </c>
      <c r="B1198" s="12" t="s">
        <v>477</v>
      </c>
      <c r="C1198" s="20" t="s">
        <v>3085</v>
      </c>
      <c r="E1198" s="12"/>
      <c r="F1198" s="12" t="s">
        <v>1405</v>
      </c>
      <c r="G1198" s="12" t="s">
        <v>308</v>
      </c>
      <c r="L1198" s="38">
        <v>10</v>
      </c>
    </row>
    <row r="1199" spans="1:12">
      <c r="A1199" s="7" t="s">
        <v>3086</v>
      </c>
      <c r="B1199" s="12" t="s">
        <v>477</v>
      </c>
      <c r="C1199" s="21" t="s">
        <v>3087</v>
      </c>
      <c r="E1199" s="12"/>
      <c r="F1199" s="12" t="s">
        <v>1332</v>
      </c>
      <c r="G1199" s="12" t="s">
        <v>308</v>
      </c>
      <c r="L1199" s="38">
        <v>16</v>
      </c>
    </row>
    <row r="1200" spans="1:12">
      <c r="A1200" s="7" t="s">
        <v>3088</v>
      </c>
      <c r="B1200" s="12" t="s">
        <v>477</v>
      </c>
      <c r="C1200" s="10" t="s">
        <v>3089</v>
      </c>
      <c r="E1200" s="12"/>
      <c r="F1200" s="12" t="s">
        <v>1332</v>
      </c>
      <c r="G1200" s="12" t="s">
        <v>308</v>
      </c>
      <c r="L1200" s="38">
        <v>24</v>
      </c>
    </row>
    <row r="1201" spans="1:17">
      <c r="A1201" s="7" t="s">
        <v>3090</v>
      </c>
      <c r="B1201" s="12" t="s">
        <v>477</v>
      </c>
      <c r="C1201" s="10" t="s">
        <v>3091</v>
      </c>
      <c r="E1201" s="12"/>
      <c r="F1201" s="12" t="s">
        <v>1332</v>
      </c>
      <c r="G1201" s="12" t="s">
        <v>308</v>
      </c>
      <c r="L1201" s="38">
        <v>7</v>
      </c>
    </row>
    <row r="1202" spans="1:17">
      <c r="A1202" s="7" t="s">
        <v>3092</v>
      </c>
      <c r="B1202" s="12" t="s">
        <v>477</v>
      </c>
      <c r="C1202" s="21" t="s">
        <v>3093</v>
      </c>
      <c r="E1202" s="12"/>
      <c r="F1202" s="12" t="s">
        <v>1332</v>
      </c>
      <c r="G1202" s="12" t="s">
        <v>308</v>
      </c>
      <c r="L1202" s="38">
        <v>7</v>
      </c>
    </row>
    <row r="1203" spans="1:17">
      <c r="A1203" s="7" t="s">
        <v>3094</v>
      </c>
      <c r="B1203" s="12" t="s">
        <v>477</v>
      </c>
      <c r="C1203" s="30" t="s">
        <v>3095</v>
      </c>
      <c r="E1203" s="12"/>
      <c r="F1203" s="12" t="s">
        <v>2854</v>
      </c>
      <c r="G1203" s="12" t="s">
        <v>308</v>
      </c>
      <c r="L1203" s="38">
        <v>2</v>
      </c>
    </row>
    <row r="1204" spans="1:17">
      <c r="A1204" s="7" t="s">
        <v>3096</v>
      </c>
      <c r="B1204" s="12" t="s">
        <v>477</v>
      </c>
      <c r="C1204" s="21" t="s">
        <v>3097</v>
      </c>
      <c r="E1204" s="12"/>
      <c r="F1204" s="12" t="s">
        <v>2854</v>
      </c>
      <c r="G1204" s="12" t="s">
        <v>308</v>
      </c>
      <c r="L1204" s="38">
        <v>2</v>
      </c>
    </row>
    <row r="1205" spans="1:17">
      <c r="A1205" s="7" t="s">
        <v>3098</v>
      </c>
      <c r="B1205" s="12" t="s">
        <v>477</v>
      </c>
      <c r="C1205" s="10" t="s">
        <v>3099</v>
      </c>
      <c r="E1205" s="12"/>
      <c r="F1205" s="12" t="s">
        <v>2854</v>
      </c>
      <c r="G1205" s="12" t="s">
        <v>308</v>
      </c>
      <c r="L1205" s="38">
        <v>2</v>
      </c>
    </row>
    <row r="1206" spans="1:17">
      <c r="A1206" s="7" t="s">
        <v>3100</v>
      </c>
      <c r="B1206" s="12" t="s">
        <v>477</v>
      </c>
      <c r="C1206" s="20" t="s">
        <v>3101</v>
      </c>
      <c r="E1206" s="12"/>
      <c r="F1206" s="12" t="s">
        <v>1405</v>
      </c>
      <c r="G1206" s="12" t="s">
        <v>308</v>
      </c>
      <c r="L1206" s="38">
        <v>4</v>
      </c>
    </row>
    <row r="1207" spans="1:17">
      <c r="A1207" s="7" t="s">
        <v>3102</v>
      </c>
      <c r="B1207" s="12" t="s">
        <v>477</v>
      </c>
      <c r="C1207" s="31" t="s">
        <v>3103</v>
      </c>
      <c r="E1207" s="12"/>
      <c r="F1207" s="12" t="s">
        <v>1405</v>
      </c>
      <c r="G1207" s="12" t="s">
        <v>308</v>
      </c>
      <c r="L1207" s="38">
        <v>6</v>
      </c>
    </row>
    <row r="1208" spans="1:17">
      <c r="A1208" s="7" t="s">
        <v>3104</v>
      </c>
      <c r="B1208" s="12" t="s">
        <v>477</v>
      </c>
      <c r="C1208" s="10" t="s">
        <v>3105</v>
      </c>
      <c r="E1208" s="12"/>
      <c r="F1208" s="12" t="s">
        <v>479</v>
      </c>
      <c r="G1208" s="12" t="s">
        <v>308</v>
      </c>
      <c r="L1208" s="38">
        <v>5</v>
      </c>
    </row>
    <row r="1209" spans="1:17">
      <c r="A1209" s="7" t="s">
        <v>3106</v>
      </c>
      <c r="B1209" s="12" t="s">
        <v>477</v>
      </c>
      <c r="C1209" s="10" t="s">
        <v>3107</v>
      </c>
      <c r="E1209" s="12"/>
      <c r="F1209" s="12" t="s">
        <v>479</v>
      </c>
      <c r="G1209" s="12" t="s">
        <v>308</v>
      </c>
      <c r="L1209" s="38">
        <v>5</v>
      </c>
    </row>
    <row r="1210" spans="1:17">
      <c r="A1210" s="7" t="s">
        <v>3108</v>
      </c>
      <c r="B1210" s="12" t="s">
        <v>477</v>
      </c>
      <c r="C1210" s="10" t="s">
        <v>740</v>
      </c>
      <c r="E1210" s="12"/>
      <c r="F1210" s="12" t="s">
        <v>2854</v>
      </c>
      <c r="G1210" s="12" t="s">
        <v>308</v>
      </c>
      <c r="L1210" s="38">
        <v>20</v>
      </c>
    </row>
    <row r="1211" spans="1:17" ht="15.75" customHeight="1">
      <c r="A1211" t="s">
        <v>3109</v>
      </c>
      <c r="B1211" t="s">
        <v>304</v>
      </c>
      <c r="C1211" t="s">
        <v>3110</v>
      </c>
      <c r="G1211" t="s">
        <v>308</v>
      </c>
      <c r="L1211" s="38">
        <v>-20</v>
      </c>
      <c r="M1211" t="s">
        <v>335</v>
      </c>
    </row>
    <row r="1212" spans="1:17" ht="15.75" customHeight="1">
      <c r="A1212" t="s">
        <v>3111</v>
      </c>
      <c r="B1212" t="s">
        <v>304</v>
      </c>
      <c r="C1212" t="s">
        <v>3112</v>
      </c>
      <c r="G1212" t="s">
        <v>308</v>
      </c>
      <c r="L1212" s="38">
        <v>-40</v>
      </c>
      <c r="M1212" t="s">
        <v>335</v>
      </c>
    </row>
    <row r="1213" spans="1:17" ht="15.75" customHeight="1">
      <c r="A1213" t="s">
        <v>3113</v>
      </c>
      <c r="B1213" t="s">
        <v>304</v>
      </c>
      <c r="C1213" t="s">
        <v>3114</v>
      </c>
      <c r="G1213" t="s">
        <v>308</v>
      </c>
      <c r="L1213" s="38">
        <v>-60</v>
      </c>
      <c r="M1213" t="s">
        <v>335</v>
      </c>
    </row>
    <row r="1214" spans="1:17" ht="15.75" customHeight="1">
      <c r="A1214" t="s">
        <v>3115</v>
      </c>
      <c r="B1214" t="s">
        <v>304</v>
      </c>
      <c r="C1214" t="s">
        <v>3116</v>
      </c>
      <c r="G1214" t="s">
        <v>308</v>
      </c>
      <c r="L1214" s="38">
        <v>-80</v>
      </c>
      <c r="M1214" t="s">
        <v>335</v>
      </c>
    </row>
    <row r="1215" spans="1:17" ht="15.75" customHeight="1">
      <c r="A1215" t="s">
        <v>3117</v>
      </c>
      <c r="B1215" t="s">
        <v>304</v>
      </c>
      <c r="C1215" t="s">
        <v>3118</v>
      </c>
      <c r="G1215" t="s">
        <v>308</v>
      </c>
      <c r="L1215" s="38">
        <v>-120</v>
      </c>
      <c r="M1215" t="s">
        <v>335</v>
      </c>
    </row>
    <row r="1216" spans="1:17" ht="15.75" customHeight="1">
      <c r="A1216" s="7" t="s">
        <v>3119</v>
      </c>
      <c r="B1216" s="8" t="s">
        <v>304</v>
      </c>
      <c r="C1216" s="13" t="s">
        <v>3120</v>
      </c>
      <c r="E1216" t="s">
        <v>3121</v>
      </c>
      <c r="G1216" s="8" t="s">
        <v>308</v>
      </c>
      <c r="L1216" s="38">
        <v>-200</v>
      </c>
      <c r="M1216" t="s">
        <v>335</v>
      </c>
      <c r="Q1216" t="s">
        <v>3122</v>
      </c>
    </row>
    <row r="1217" spans="1:17" ht="15.75" customHeight="1">
      <c r="A1217" s="7" t="s">
        <v>3123</v>
      </c>
      <c r="B1217" s="8" t="s">
        <v>304</v>
      </c>
      <c r="C1217" s="13" t="s">
        <v>3124</v>
      </c>
      <c r="E1217" t="s">
        <v>3125</v>
      </c>
      <c r="G1217" s="8" t="s">
        <v>308</v>
      </c>
      <c r="L1217" s="38">
        <v>-500</v>
      </c>
      <c r="M1217" t="s">
        <v>335</v>
      </c>
      <c r="Q1217" t="s">
        <v>3126</v>
      </c>
    </row>
    <row r="1218" spans="1:17" ht="15.75" customHeight="1">
      <c r="A1218" s="7" t="s">
        <v>3127</v>
      </c>
      <c r="B1218" s="8" t="s">
        <v>304</v>
      </c>
      <c r="C1218" s="13" t="s">
        <v>3128</v>
      </c>
      <c r="E1218" t="s">
        <v>3121</v>
      </c>
      <c r="G1218" s="8" t="s">
        <v>308</v>
      </c>
      <c r="L1218" s="38">
        <v>-200</v>
      </c>
      <c r="M1218" t="s">
        <v>335</v>
      </c>
      <c r="Q1218" t="s">
        <v>3129</v>
      </c>
    </row>
    <row r="1219" spans="1:17" ht="15.75" customHeight="1">
      <c r="A1219" s="7" t="s">
        <v>3130</v>
      </c>
      <c r="B1219" s="8" t="s">
        <v>304</v>
      </c>
      <c r="C1219" s="13" t="s">
        <v>3131</v>
      </c>
      <c r="E1219" t="s">
        <v>3125</v>
      </c>
      <c r="G1219" s="8" t="s">
        <v>308</v>
      </c>
      <c r="L1219" s="38">
        <v>-500</v>
      </c>
      <c r="M1219" t="s">
        <v>335</v>
      </c>
      <c r="Q1219" t="s">
        <v>3132</v>
      </c>
    </row>
    <row r="1220" spans="1:17" ht="15.75" customHeight="1">
      <c r="A1220" s="7" t="s">
        <v>3133</v>
      </c>
      <c r="B1220" s="8" t="s">
        <v>304</v>
      </c>
      <c r="C1220" s="13" t="s">
        <v>3134</v>
      </c>
      <c r="E1220" t="s">
        <v>3121</v>
      </c>
      <c r="G1220" s="8" t="s">
        <v>308</v>
      </c>
      <c r="L1220" s="38">
        <v>-200</v>
      </c>
      <c r="M1220" t="s">
        <v>335</v>
      </c>
      <c r="Q1220" t="s">
        <v>3135</v>
      </c>
    </row>
    <row r="1221" spans="1:17" ht="15.75" customHeight="1">
      <c r="A1221" s="7" t="s">
        <v>3136</v>
      </c>
      <c r="B1221" s="8" t="s">
        <v>304</v>
      </c>
      <c r="C1221" s="13" t="s">
        <v>3137</v>
      </c>
      <c r="E1221" t="s">
        <v>3125</v>
      </c>
      <c r="G1221" s="8" t="s">
        <v>308</v>
      </c>
      <c r="L1221" s="38">
        <v>-500</v>
      </c>
      <c r="M1221" t="s">
        <v>335</v>
      </c>
      <c r="Q1221" t="s">
        <v>3138</v>
      </c>
    </row>
    <row r="1222" spans="1:17" ht="15.75" customHeight="1">
      <c r="A1222" s="7" t="s">
        <v>3139</v>
      </c>
      <c r="B1222" s="8" t="s">
        <v>304</v>
      </c>
      <c r="C1222" s="13" t="s">
        <v>3140</v>
      </c>
      <c r="E1222" t="s">
        <v>3121</v>
      </c>
      <c r="G1222" s="8" t="s">
        <v>308</v>
      </c>
      <c r="L1222" s="38">
        <v>-200</v>
      </c>
      <c r="M1222" t="s">
        <v>335</v>
      </c>
      <c r="Q1222" t="s">
        <v>3141</v>
      </c>
    </row>
    <row r="1223" spans="1:17" ht="15.75" customHeight="1">
      <c r="A1223" s="7" t="s">
        <v>3142</v>
      </c>
      <c r="B1223" s="8" t="s">
        <v>304</v>
      </c>
      <c r="C1223" s="13" t="s">
        <v>3143</v>
      </c>
      <c r="E1223" t="s">
        <v>3125</v>
      </c>
      <c r="G1223" s="8" t="s">
        <v>308</v>
      </c>
      <c r="L1223" s="38">
        <v>-500</v>
      </c>
      <c r="M1223" t="s">
        <v>335</v>
      </c>
      <c r="Q1223" t="s">
        <v>3144</v>
      </c>
    </row>
    <row r="1224" spans="1:17" ht="15.75" customHeight="1">
      <c r="A1224" s="7" t="s">
        <v>3145</v>
      </c>
      <c r="B1224" s="8" t="s">
        <v>304</v>
      </c>
      <c r="C1224" s="13" t="s">
        <v>3146</v>
      </c>
      <c r="E1224" t="s">
        <v>3121</v>
      </c>
      <c r="G1224" s="8" t="s">
        <v>308</v>
      </c>
      <c r="L1224" s="38">
        <v>-200</v>
      </c>
      <c r="M1224" t="s">
        <v>335</v>
      </c>
      <c r="Q1224" t="s">
        <v>3147</v>
      </c>
    </row>
    <row r="1225" spans="1:17" ht="15.75" customHeight="1">
      <c r="A1225" s="7" t="s">
        <v>3148</v>
      </c>
      <c r="B1225" s="8" t="s">
        <v>304</v>
      </c>
      <c r="C1225" s="13" t="s">
        <v>3149</v>
      </c>
      <c r="E1225" t="s">
        <v>3125</v>
      </c>
      <c r="G1225" s="8" t="s">
        <v>308</v>
      </c>
      <c r="L1225" s="38">
        <v>-500</v>
      </c>
      <c r="M1225" t="s">
        <v>335</v>
      </c>
      <c r="Q1225" t="s">
        <v>3150</v>
      </c>
    </row>
    <row r="1226" spans="1:17" ht="15.75" customHeight="1">
      <c r="A1226" s="7" t="s">
        <v>3151</v>
      </c>
      <c r="B1226" s="8" t="s">
        <v>304</v>
      </c>
      <c r="C1226" s="13" t="s">
        <v>3152</v>
      </c>
      <c r="E1226" t="s">
        <v>3153</v>
      </c>
      <c r="G1226" s="8" t="s">
        <v>308</v>
      </c>
      <c r="L1226" s="38">
        <v>-500</v>
      </c>
      <c r="M1226" t="s">
        <v>335</v>
      </c>
      <c r="Q1226" t="s">
        <v>3154</v>
      </c>
    </row>
    <row r="1227" spans="1:17" ht="15.75" customHeight="1">
      <c r="A1227" s="7" t="s">
        <v>3155</v>
      </c>
      <c r="B1227" s="8" t="s">
        <v>304</v>
      </c>
      <c r="C1227" s="13" t="s">
        <v>3156</v>
      </c>
      <c r="G1227" s="8" t="s">
        <v>308</v>
      </c>
      <c r="L1227" s="38">
        <v>-200</v>
      </c>
      <c r="M1227" t="s">
        <v>335</v>
      </c>
    </row>
    <row r="1228" spans="1:17" ht="15.75" customHeight="1">
      <c r="A1228" s="7" t="s">
        <v>3157</v>
      </c>
      <c r="B1228" s="8" t="s">
        <v>304</v>
      </c>
      <c r="C1228" s="13" t="s">
        <v>3158</v>
      </c>
      <c r="G1228" s="8" t="s">
        <v>308</v>
      </c>
      <c r="L1228" s="38">
        <v>-500</v>
      </c>
      <c r="M1228" t="s">
        <v>335</v>
      </c>
    </row>
    <row r="1229" spans="1:17" ht="15.75" customHeight="1">
      <c r="A1229" s="7" t="s">
        <v>3159</v>
      </c>
      <c r="B1229" s="8" t="s">
        <v>304</v>
      </c>
      <c r="C1229" s="13" t="s">
        <v>3160</v>
      </c>
      <c r="E1229" t="s">
        <v>3121</v>
      </c>
      <c r="G1229" s="8" t="s">
        <v>308</v>
      </c>
      <c r="L1229" s="38">
        <v>-200</v>
      </c>
      <c r="M1229" t="s">
        <v>335</v>
      </c>
      <c r="Q1229" t="s">
        <v>3161</v>
      </c>
    </row>
    <row r="1230" spans="1:17" ht="15.75" customHeight="1">
      <c r="A1230" s="7" t="s">
        <v>3162</v>
      </c>
      <c r="B1230" s="8" t="s">
        <v>304</v>
      </c>
      <c r="C1230" s="13" t="s">
        <v>3163</v>
      </c>
      <c r="E1230" t="s">
        <v>3125</v>
      </c>
      <c r="G1230" s="8" t="s">
        <v>308</v>
      </c>
      <c r="L1230" s="38">
        <v>-500</v>
      </c>
      <c r="M1230" t="s">
        <v>335</v>
      </c>
      <c r="Q1230" t="s">
        <v>3164</v>
      </c>
    </row>
    <row r="1231" spans="1:17" ht="15.75" customHeight="1">
      <c r="A1231" t="s">
        <v>3165</v>
      </c>
      <c r="B1231" t="s">
        <v>304</v>
      </c>
      <c r="C1231" t="s">
        <v>3166</v>
      </c>
      <c r="E1231" t="s">
        <v>3167</v>
      </c>
      <c r="F1231" t="s">
        <v>3168</v>
      </c>
      <c r="G1231" t="s">
        <v>308</v>
      </c>
      <c r="J1231" t="s">
        <v>3169</v>
      </c>
      <c r="K1231">
        <v>5</v>
      </c>
      <c r="L1231" s="38">
        <v>-20</v>
      </c>
      <c r="M1231" t="s">
        <v>310</v>
      </c>
      <c r="Q1231" t="s">
        <v>3170</v>
      </c>
    </row>
    <row r="1232" spans="1:17" ht="15.75" customHeight="1">
      <c r="A1232" t="s">
        <v>3171</v>
      </c>
      <c r="B1232" t="s">
        <v>304</v>
      </c>
      <c r="C1232" t="s">
        <v>3172</v>
      </c>
      <c r="E1232" t="s">
        <v>3173</v>
      </c>
      <c r="F1232" t="s">
        <v>3168</v>
      </c>
      <c r="G1232" t="s">
        <v>308</v>
      </c>
      <c r="J1232" t="s">
        <v>3174</v>
      </c>
      <c r="K1232">
        <v>10</v>
      </c>
      <c r="L1232" s="38">
        <v>-40</v>
      </c>
      <c r="M1232" t="s">
        <v>310</v>
      </c>
      <c r="Q1232" t="s">
        <v>3175</v>
      </c>
    </row>
    <row r="1233" spans="1:17" ht="15.75" customHeight="1">
      <c r="A1233" t="s">
        <v>3176</v>
      </c>
      <c r="B1233" t="s">
        <v>304</v>
      </c>
      <c r="C1233" t="s">
        <v>3177</v>
      </c>
      <c r="E1233" t="s">
        <v>3178</v>
      </c>
      <c r="F1233" t="s">
        <v>3168</v>
      </c>
      <c r="G1233" t="s">
        <v>308</v>
      </c>
      <c r="J1233" t="s">
        <v>3179</v>
      </c>
      <c r="K1233">
        <v>15</v>
      </c>
      <c r="L1233" s="38">
        <v>-60</v>
      </c>
      <c r="M1233" t="s">
        <v>310</v>
      </c>
      <c r="Q1233" t="s">
        <v>3180</v>
      </c>
    </row>
    <row r="1234" spans="1:17" ht="15.75" customHeight="1">
      <c r="A1234" t="s">
        <v>3181</v>
      </c>
      <c r="B1234" t="s">
        <v>304</v>
      </c>
      <c r="C1234" t="s">
        <v>3168</v>
      </c>
      <c r="E1234" t="s">
        <v>3182</v>
      </c>
      <c r="F1234" t="s">
        <v>3168</v>
      </c>
      <c r="G1234" t="s">
        <v>308</v>
      </c>
      <c r="J1234" t="s">
        <v>3183</v>
      </c>
      <c r="K1234">
        <v>20</v>
      </c>
      <c r="L1234" s="38">
        <v>-80</v>
      </c>
      <c r="M1234" t="s">
        <v>310</v>
      </c>
      <c r="Q1234" t="s">
        <v>3184</v>
      </c>
    </row>
    <row r="1235" spans="1:17" ht="15.75" customHeight="1">
      <c r="A1235" t="s">
        <v>3185</v>
      </c>
      <c r="B1235" t="s">
        <v>304</v>
      </c>
      <c r="C1235" t="s">
        <v>3186</v>
      </c>
      <c r="E1235" t="s">
        <v>3187</v>
      </c>
      <c r="F1235" t="s">
        <v>3168</v>
      </c>
      <c r="G1235" t="s">
        <v>308</v>
      </c>
      <c r="J1235" t="s">
        <v>3188</v>
      </c>
      <c r="K1235">
        <v>30</v>
      </c>
      <c r="L1235" s="38">
        <v>-120</v>
      </c>
      <c r="M1235" t="s">
        <v>310</v>
      </c>
      <c r="Q1235" t="s">
        <v>3189</v>
      </c>
    </row>
    <row r="1236" spans="1:17" ht="15.75" customHeight="1">
      <c r="A1236" t="s">
        <v>3190</v>
      </c>
      <c r="B1236" t="s">
        <v>304</v>
      </c>
      <c r="C1236" t="s">
        <v>3191</v>
      </c>
      <c r="E1236" t="s">
        <v>3192</v>
      </c>
      <c r="F1236" t="s">
        <v>3193</v>
      </c>
      <c r="G1236" t="s">
        <v>308</v>
      </c>
      <c r="J1236" t="s">
        <v>3194</v>
      </c>
      <c r="K1236">
        <v>5</v>
      </c>
      <c r="L1236" s="38">
        <v>-30</v>
      </c>
      <c r="M1236" t="s">
        <v>310</v>
      </c>
      <c r="Q1236" t="s">
        <v>3195</v>
      </c>
    </row>
    <row r="1237" spans="1:17" ht="15.75" customHeight="1">
      <c r="A1237" t="s">
        <v>3196</v>
      </c>
      <c r="B1237" t="s">
        <v>304</v>
      </c>
      <c r="C1237" t="s">
        <v>3197</v>
      </c>
      <c r="E1237" t="s">
        <v>3198</v>
      </c>
      <c r="F1237" t="s">
        <v>3193</v>
      </c>
      <c r="G1237" t="s">
        <v>308</v>
      </c>
      <c r="J1237" t="s">
        <v>3199</v>
      </c>
      <c r="K1237">
        <v>10</v>
      </c>
      <c r="L1237" s="38">
        <v>-60</v>
      </c>
      <c r="M1237" t="s">
        <v>310</v>
      </c>
      <c r="Q1237" t="s">
        <v>3200</v>
      </c>
    </row>
    <row r="1238" spans="1:17" ht="15.75" customHeight="1">
      <c r="A1238" t="s">
        <v>3201</v>
      </c>
      <c r="B1238" t="s">
        <v>304</v>
      </c>
      <c r="C1238" t="s">
        <v>3202</v>
      </c>
      <c r="E1238" t="s">
        <v>3203</v>
      </c>
      <c r="F1238" t="s">
        <v>3193</v>
      </c>
      <c r="G1238" t="s">
        <v>308</v>
      </c>
      <c r="J1238" t="s">
        <v>3204</v>
      </c>
      <c r="K1238">
        <v>15</v>
      </c>
      <c r="L1238" s="38">
        <v>-90</v>
      </c>
      <c r="M1238" t="s">
        <v>310</v>
      </c>
      <c r="Q1238" t="s">
        <v>3205</v>
      </c>
    </row>
    <row r="1239" spans="1:17" ht="15.75" customHeight="1">
      <c r="A1239" t="s">
        <v>3206</v>
      </c>
      <c r="B1239" t="s">
        <v>304</v>
      </c>
      <c r="C1239" t="s">
        <v>3193</v>
      </c>
      <c r="E1239" t="s">
        <v>3207</v>
      </c>
      <c r="F1239" t="s">
        <v>3193</v>
      </c>
      <c r="G1239" t="s">
        <v>308</v>
      </c>
      <c r="J1239" t="s">
        <v>3208</v>
      </c>
      <c r="K1239">
        <v>20</v>
      </c>
      <c r="L1239" s="38">
        <v>-120</v>
      </c>
      <c r="M1239" t="s">
        <v>310</v>
      </c>
      <c r="Q1239" t="s">
        <v>3209</v>
      </c>
    </row>
    <row r="1240" spans="1:17" ht="15.75" customHeight="1">
      <c r="A1240" t="s">
        <v>3210</v>
      </c>
      <c r="B1240" t="s">
        <v>304</v>
      </c>
      <c r="C1240" t="s">
        <v>3211</v>
      </c>
      <c r="E1240" t="s">
        <v>3212</v>
      </c>
      <c r="F1240" t="s">
        <v>3193</v>
      </c>
      <c r="G1240" t="s">
        <v>308</v>
      </c>
      <c r="J1240" t="s">
        <v>3213</v>
      </c>
      <c r="K1240">
        <v>30</v>
      </c>
      <c r="L1240" s="38">
        <v>-180</v>
      </c>
      <c r="M1240" t="s">
        <v>310</v>
      </c>
      <c r="Q1240" t="s">
        <v>3214</v>
      </c>
    </row>
    <row r="1241" spans="1:17" ht="15.75" customHeight="1">
      <c r="A1241" t="s">
        <v>3215</v>
      </c>
      <c r="B1241" t="s">
        <v>304</v>
      </c>
      <c r="C1241" t="s">
        <v>3216</v>
      </c>
      <c r="E1241" t="s">
        <v>3217</v>
      </c>
      <c r="F1241" t="s">
        <v>3218</v>
      </c>
      <c r="G1241" t="s">
        <v>308</v>
      </c>
      <c r="J1241" t="s">
        <v>3219</v>
      </c>
      <c r="K1241">
        <v>5</v>
      </c>
      <c r="L1241" s="38">
        <v>-15</v>
      </c>
      <c r="M1241" t="s">
        <v>310</v>
      </c>
      <c r="Q1241" t="s">
        <v>3220</v>
      </c>
    </row>
    <row r="1242" spans="1:17" ht="15.75" customHeight="1">
      <c r="A1242" t="s">
        <v>3221</v>
      </c>
      <c r="B1242" t="s">
        <v>304</v>
      </c>
      <c r="C1242" t="s">
        <v>3222</v>
      </c>
      <c r="E1242" t="s">
        <v>3223</v>
      </c>
      <c r="F1242" t="s">
        <v>3218</v>
      </c>
      <c r="G1242" t="s">
        <v>308</v>
      </c>
      <c r="J1242" t="s">
        <v>3224</v>
      </c>
      <c r="K1242">
        <v>10</v>
      </c>
      <c r="L1242" s="38">
        <v>-30</v>
      </c>
      <c r="M1242" t="s">
        <v>310</v>
      </c>
      <c r="Q1242" t="s">
        <v>3225</v>
      </c>
    </row>
    <row r="1243" spans="1:17" ht="15.75" customHeight="1">
      <c r="A1243" t="s">
        <v>3226</v>
      </c>
      <c r="B1243" t="s">
        <v>304</v>
      </c>
      <c r="C1243" t="s">
        <v>3227</v>
      </c>
      <c r="E1243" t="s">
        <v>3228</v>
      </c>
      <c r="F1243" t="s">
        <v>3218</v>
      </c>
      <c r="G1243" t="s">
        <v>308</v>
      </c>
      <c r="J1243" t="s">
        <v>3229</v>
      </c>
      <c r="K1243">
        <v>15</v>
      </c>
      <c r="L1243" s="38">
        <v>-45</v>
      </c>
      <c r="M1243" t="s">
        <v>310</v>
      </c>
      <c r="Q1243" t="s">
        <v>3230</v>
      </c>
    </row>
    <row r="1244" spans="1:17" ht="15.75" customHeight="1">
      <c r="A1244" t="s">
        <v>3231</v>
      </c>
      <c r="B1244" t="s">
        <v>304</v>
      </c>
      <c r="C1244" t="s">
        <v>3218</v>
      </c>
      <c r="E1244" t="s">
        <v>3232</v>
      </c>
      <c r="F1244" t="s">
        <v>3218</v>
      </c>
      <c r="G1244" t="s">
        <v>308</v>
      </c>
      <c r="J1244" t="s">
        <v>3233</v>
      </c>
      <c r="K1244">
        <v>20</v>
      </c>
      <c r="L1244" s="38">
        <v>-60</v>
      </c>
      <c r="M1244" t="s">
        <v>310</v>
      </c>
      <c r="Q1244" t="s">
        <v>3234</v>
      </c>
    </row>
    <row r="1245" spans="1:17" ht="15.75" customHeight="1">
      <c r="A1245" t="s">
        <v>3235</v>
      </c>
      <c r="B1245" t="s">
        <v>304</v>
      </c>
      <c r="C1245" t="s">
        <v>3236</v>
      </c>
      <c r="E1245" t="s">
        <v>3237</v>
      </c>
      <c r="F1245" t="s">
        <v>3218</v>
      </c>
      <c r="G1245" t="s">
        <v>308</v>
      </c>
      <c r="J1245" t="s">
        <v>3238</v>
      </c>
      <c r="K1245">
        <v>30</v>
      </c>
      <c r="L1245" s="38">
        <v>-90</v>
      </c>
      <c r="M1245" t="s">
        <v>310</v>
      </c>
      <c r="Q1245" t="s">
        <v>3239</v>
      </c>
    </row>
    <row r="1246" spans="1:17" ht="15.75" customHeight="1">
      <c r="A1246" t="s">
        <v>3240</v>
      </c>
      <c r="B1246" t="s">
        <v>304</v>
      </c>
      <c r="C1246" t="s">
        <v>3241</v>
      </c>
      <c r="E1246" t="s">
        <v>3242</v>
      </c>
      <c r="F1246" t="s">
        <v>3243</v>
      </c>
      <c r="G1246" t="s">
        <v>308</v>
      </c>
      <c r="J1246" t="s">
        <v>3244</v>
      </c>
      <c r="K1246">
        <v>5</v>
      </c>
      <c r="L1246" s="38">
        <v>-25</v>
      </c>
      <c r="M1246" t="s">
        <v>310</v>
      </c>
      <c r="Q1246" t="s">
        <v>3245</v>
      </c>
    </row>
    <row r="1247" spans="1:17" ht="15.75" customHeight="1">
      <c r="A1247" t="s">
        <v>3246</v>
      </c>
      <c r="B1247" t="s">
        <v>304</v>
      </c>
      <c r="C1247" t="s">
        <v>3247</v>
      </c>
      <c r="E1247" t="s">
        <v>3248</v>
      </c>
      <c r="F1247" t="s">
        <v>3243</v>
      </c>
      <c r="G1247" t="s">
        <v>308</v>
      </c>
      <c r="J1247" t="s">
        <v>3249</v>
      </c>
      <c r="K1247">
        <v>10</v>
      </c>
      <c r="L1247" s="38">
        <v>-50</v>
      </c>
      <c r="M1247" t="s">
        <v>310</v>
      </c>
      <c r="Q1247" t="s">
        <v>3250</v>
      </c>
    </row>
    <row r="1248" spans="1:17" ht="15.75" customHeight="1">
      <c r="A1248" t="s">
        <v>3251</v>
      </c>
      <c r="B1248" t="s">
        <v>304</v>
      </c>
      <c r="C1248" t="s">
        <v>3252</v>
      </c>
      <c r="E1248" t="s">
        <v>3253</v>
      </c>
      <c r="F1248" t="s">
        <v>3243</v>
      </c>
      <c r="G1248" t="s">
        <v>308</v>
      </c>
      <c r="J1248" t="s">
        <v>3254</v>
      </c>
      <c r="K1248">
        <v>15</v>
      </c>
      <c r="L1248" s="38">
        <v>-75</v>
      </c>
      <c r="M1248" t="s">
        <v>310</v>
      </c>
      <c r="Q1248" t="s">
        <v>3255</v>
      </c>
    </row>
    <row r="1249" spans="1:17" ht="15.75" customHeight="1">
      <c r="A1249" t="s">
        <v>3256</v>
      </c>
      <c r="B1249" t="s">
        <v>304</v>
      </c>
      <c r="C1249" t="s">
        <v>3243</v>
      </c>
      <c r="E1249" t="s">
        <v>3257</v>
      </c>
      <c r="F1249" t="s">
        <v>3243</v>
      </c>
      <c r="G1249" t="s">
        <v>308</v>
      </c>
      <c r="J1249" t="s">
        <v>3258</v>
      </c>
      <c r="K1249">
        <v>20</v>
      </c>
      <c r="L1249" s="38">
        <v>-100</v>
      </c>
      <c r="M1249" t="s">
        <v>310</v>
      </c>
      <c r="Q1249" t="s">
        <v>3259</v>
      </c>
    </row>
    <row r="1250" spans="1:17" ht="15.75" customHeight="1">
      <c r="A1250" t="s">
        <v>3260</v>
      </c>
      <c r="B1250" t="s">
        <v>304</v>
      </c>
      <c r="C1250" t="s">
        <v>3261</v>
      </c>
      <c r="E1250" t="s">
        <v>3262</v>
      </c>
      <c r="F1250" t="s">
        <v>3243</v>
      </c>
      <c r="G1250" t="s">
        <v>308</v>
      </c>
      <c r="J1250" t="s">
        <v>3263</v>
      </c>
      <c r="K1250">
        <v>30</v>
      </c>
      <c r="L1250" s="38">
        <v>-150</v>
      </c>
      <c r="M1250" t="s">
        <v>310</v>
      </c>
      <c r="Q1250" t="s">
        <v>3264</v>
      </c>
    </row>
    <row r="1251" spans="1:17" ht="15.75" customHeight="1">
      <c r="A1251" t="s">
        <v>3265</v>
      </c>
      <c r="B1251" t="s">
        <v>304</v>
      </c>
      <c r="C1251" t="s">
        <v>3266</v>
      </c>
      <c r="E1251" t="s">
        <v>3267</v>
      </c>
      <c r="F1251" t="s">
        <v>3268</v>
      </c>
      <c r="G1251" t="s">
        <v>308</v>
      </c>
      <c r="J1251" t="s">
        <v>3269</v>
      </c>
      <c r="K1251">
        <v>5</v>
      </c>
      <c r="L1251" s="38">
        <v>-20</v>
      </c>
      <c r="M1251" t="s">
        <v>310</v>
      </c>
      <c r="Q1251" t="s">
        <v>3270</v>
      </c>
    </row>
    <row r="1252" spans="1:17" ht="15.75" customHeight="1">
      <c r="A1252" t="s">
        <v>3271</v>
      </c>
      <c r="B1252" t="s">
        <v>304</v>
      </c>
      <c r="C1252" t="s">
        <v>3272</v>
      </c>
      <c r="E1252" t="s">
        <v>3273</v>
      </c>
      <c r="F1252" t="s">
        <v>3268</v>
      </c>
      <c r="G1252" t="s">
        <v>308</v>
      </c>
      <c r="J1252" t="s">
        <v>3274</v>
      </c>
      <c r="K1252">
        <v>10</v>
      </c>
      <c r="L1252" s="38">
        <v>-40</v>
      </c>
      <c r="M1252" t="s">
        <v>310</v>
      </c>
      <c r="Q1252" t="s">
        <v>3275</v>
      </c>
    </row>
    <row r="1253" spans="1:17" ht="15.75" customHeight="1">
      <c r="A1253" t="s">
        <v>3276</v>
      </c>
      <c r="B1253" t="s">
        <v>304</v>
      </c>
      <c r="C1253" t="s">
        <v>3277</v>
      </c>
      <c r="E1253" t="s">
        <v>3278</v>
      </c>
      <c r="F1253" t="s">
        <v>3268</v>
      </c>
      <c r="G1253" t="s">
        <v>308</v>
      </c>
      <c r="J1253" t="s">
        <v>3279</v>
      </c>
      <c r="K1253">
        <v>15</v>
      </c>
      <c r="L1253" s="38">
        <v>-60</v>
      </c>
      <c r="M1253" t="s">
        <v>310</v>
      </c>
      <c r="Q1253" t="s">
        <v>3280</v>
      </c>
    </row>
    <row r="1254" spans="1:17" ht="15.75" customHeight="1">
      <c r="A1254" t="s">
        <v>3281</v>
      </c>
      <c r="B1254" t="s">
        <v>304</v>
      </c>
      <c r="C1254" t="s">
        <v>3268</v>
      </c>
      <c r="E1254" t="s">
        <v>3282</v>
      </c>
      <c r="F1254" t="s">
        <v>3268</v>
      </c>
      <c r="G1254" t="s">
        <v>308</v>
      </c>
      <c r="J1254" t="s">
        <v>3283</v>
      </c>
      <c r="K1254">
        <v>20</v>
      </c>
      <c r="L1254" s="38">
        <v>-80</v>
      </c>
      <c r="M1254" t="s">
        <v>310</v>
      </c>
      <c r="Q1254" t="s">
        <v>3284</v>
      </c>
    </row>
    <row r="1255" spans="1:17" ht="15.75" customHeight="1">
      <c r="A1255" t="s">
        <v>3285</v>
      </c>
      <c r="B1255" t="s">
        <v>304</v>
      </c>
      <c r="C1255" t="s">
        <v>3286</v>
      </c>
      <c r="E1255" t="s">
        <v>3287</v>
      </c>
      <c r="F1255" t="s">
        <v>3268</v>
      </c>
      <c r="G1255" t="s">
        <v>308</v>
      </c>
      <c r="J1255" t="s">
        <v>3288</v>
      </c>
      <c r="K1255">
        <v>30</v>
      </c>
      <c r="L1255" s="38">
        <v>-120</v>
      </c>
      <c r="M1255" t="s">
        <v>310</v>
      </c>
      <c r="Q1255" t="s">
        <v>3289</v>
      </c>
    </row>
    <row r="1256" spans="1:17" ht="15.75" customHeight="1">
      <c r="A1256" t="s">
        <v>3290</v>
      </c>
      <c r="B1256" t="s">
        <v>304</v>
      </c>
      <c r="C1256" t="s">
        <v>3291</v>
      </c>
      <c r="E1256" t="s">
        <v>3292</v>
      </c>
      <c r="F1256" t="s">
        <v>3293</v>
      </c>
      <c r="G1256" t="s">
        <v>308</v>
      </c>
      <c r="J1256" t="s">
        <v>3294</v>
      </c>
      <c r="K1256">
        <v>5</v>
      </c>
      <c r="L1256" s="38">
        <v>-15</v>
      </c>
      <c r="M1256" t="s">
        <v>310</v>
      </c>
      <c r="Q1256" t="s">
        <v>3295</v>
      </c>
    </row>
    <row r="1257" spans="1:17" ht="15.75" customHeight="1">
      <c r="A1257" t="s">
        <v>3296</v>
      </c>
      <c r="B1257" t="s">
        <v>304</v>
      </c>
      <c r="C1257" t="s">
        <v>3297</v>
      </c>
      <c r="E1257" t="s">
        <v>3298</v>
      </c>
      <c r="F1257" t="s">
        <v>3293</v>
      </c>
      <c r="G1257" t="s">
        <v>308</v>
      </c>
      <c r="J1257" t="s">
        <v>3299</v>
      </c>
      <c r="K1257">
        <v>10</v>
      </c>
      <c r="L1257" s="38">
        <v>-30</v>
      </c>
      <c r="M1257" t="s">
        <v>310</v>
      </c>
      <c r="Q1257" t="s">
        <v>3300</v>
      </c>
    </row>
    <row r="1258" spans="1:17" ht="15.75" customHeight="1">
      <c r="A1258" t="s">
        <v>3301</v>
      </c>
      <c r="B1258" t="s">
        <v>304</v>
      </c>
      <c r="C1258" t="s">
        <v>3302</v>
      </c>
      <c r="E1258" t="s">
        <v>3303</v>
      </c>
      <c r="F1258" t="s">
        <v>3293</v>
      </c>
      <c r="G1258" t="s">
        <v>308</v>
      </c>
      <c r="J1258" t="s">
        <v>3304</v>
      </c>
      <c r="K1258">
        <v>15</v>
      </c>
      <c r="L1258" s="38">
        <v>-45</v>
      </c>
      <c r="M1258" t="s">
        <v>310</v>
      </c>
      <c r="Q1258" t="s">
        <v>3305</v>
      </c>
    </row>
    <row r="1259" spans="1:17" ht="15.75" customHeight="1">
      <c r="A1259" t="s">
        <v>3306</v>
      </c>
      <c r="B1259" t="s">
        <v>304</v>
      </c>
      <c r="C1259" t="s">
        <v>3293</v>
      </c>
      <c r="E1259" t="s">
        <v>3307</v>
      </c>
      <c r="F1259" t="s">
        <v>3293</v>
      </c>
      <c r="G1259" t="s">
        <v>308</v>
      </c>
      <c r="J1259" t="s">
        <v>3308</v>
      </c>
      <c r="K1259">
        <v>20</v>
      </c>
      <c r="L1259" s="38">
        <v>-60</v>
      </c>
      <c r="M1259" t="s">
        <v>310</v>
      </c>
      <c r="Q1259" t="s">
        <v>3309</v>
      </c>
    </row>
    <row r="1260" spans="1:17" ht="15.75" customHeight="1">
      <c r="A1260" t="s">
        <v>3310</v>
      </c>
      <c r="B1260" t="s">
        <v>304</v>
      </c>
      <c r="C1260" t="s">
        <v>3311</v>
      </c>
      <c r="E1260" t="s">
        <v>3312</v>
      </c>
      <c r="F1260" t="s">
        <v>3293</v>
      </c>
      <c r="G1260" t="s">
        <v>308</v>
      </c>
      <c r="J1260" t="s">
        <v>3313</v>
      </c>
      <c r="K1260">
        <v>30</v>
      </c>
      <c r="L1260" s="38">
        <v>-90</v>
      </c>
      <c r="M1260" t="s">
        <v>310</v>
      </c>
      <c r="Q1260" t="s">
        <v>3314</v>
      </c>
    </row>
    <row r="1261" spans="1:17" ht="15.75" customHeight="1">
      <c r="A1261" t="s">
        <v>3315</v>
      </c>
      <c r="B1261" t="s">
        <v>304</v>
      </c>
      <c r="C1261" t="s">
        <v>3316</v>
      </c>
      <c r="E1261" t="s">
        <v>3317</v>
      </c>
      <c r="F1261" t="s">
        <v>3318</v>
      </c>
      <c r="G1261" t="s">
        <v>308</v>
      </c>
      <c r="J1261" t="s">
        <v>3319</v>
      </c>
      <c r="K1261">
        <v>5</v>
      </c>
      <c r="L1261" s="38">
        <v>-30</v>
      </c>
      <c r="M1261" t="s">
        <v>310</v>
      </c>
      <c r="Q1261" t="s">
        <v>3320</v>
      </c>
    </row>
    <row r="1262" spans="1:17" ht="15.75" customHeight="1">
      <c r="A1262" t="s">
        <v>3321</v>
      </c>
      <c r="B1262" t="s">
        <v>304</v>
      </c>
      <c r="C1262" t="s">
        <v>3322</v>
      </c>
      <c r="E1262" t="s">
        <v>3323</v>
      </c>
      <c r="F1262" t="s">
        <v>3318</v>
      </c>
      <c r="G1262" t="s">
        <v>308</v>
      </c>
      <c r="J1262" t="s">
        <v>3324</v>
      </c>
      <c r="K1262">
        <v>10</v>
      </c>
      <c r="L1262" s="38">
        <v>-60</v>
      </c>
      <c r="M1262" t="s">
        <v>310</v>
      </c>
      <c r="Q1262" t="s">
        <v>3325</v>
      </c>
    </row>
    <row r="1263" spans="1:17" ht="15.75" customHeight="1">
      <c r="A1263" t="s">
        <v>3326</v>
      </c>
      <c r="B1263" t="s">
        <v>304</v>
      </c>
      <c r="C1263" t="s">
        <v>3327</v>
      </c>
      <c r="E1263" t="s">
        <v>3328</v>
      </c>
      <c r="F1263" t="s">
        <v>3318</v>
      </c>
      <c r="G1263" t="s">
        <v>308</v>
      </c>
      <c r="J1263" t="s">
        <v>3329</v>
      </c>
      <c r="K1263">
        <v>15</v>
      </c>
      <c r="L1263" s="38">
        <v>-90</v>
      </c>
      <c r="M1263" t="s">
        <v>310</v>
      </c>
      <c r="Q1263" t="s">
        <v>3330</v>
      </c>
    </row>
    <row r="1264" spans="1:17" ht="15.75" customHeight="1">
      <c r="A1264" t="s">
        <v>3331</v>
      </c>
      <c r="B1264" t="s">
        <v>304</v>
      </c>
      <c r="C1264" t="s">
        <v>3318</v>
      </c>
      <c r="E1264" t="s">
        <v>3332</v>
      </c>
      <c r="F1264" t="s">
        <v>3318</v>
      </c>
      <c r="G1264" t="s">
        <v>308</v>
      </c>
      <c r="J1264" t="s">
        <v>3333</v>
      </c>
      <c r="K1264">
        <v>20</v>
      </c>
      <c r="L1264" s="38">
        <v>-120</v>
      </c>
      <c r="M1264" t="s">
        <v>310</v>
      </c>
      <c r="Q1264" t="s">
        <v>3334</v>
      </c>
    </row>
    <row r="1265" spans="1:17" ht="15.75" customHeight="1">
      <c r="A1265" t="s">
        <v>3335</v>
      </c>
      <c r="B1265" t="s">
        <v>304</v>
      </c>
      <c r="C1265" t="s">
        <v>3336</v>
      </c>
      <c r="E1265" t="s">
        <v>3337</v>
      </c>
      <c r="F1265" t="s">
        <v>3318</v>
      </c>
      <c r="G1265" t="s">
        <v>308</v>
      </c>
      <c r="J1265" t="s">
        <v>3338</v>
      </c>
      <c r="K1265">
        <v>30</v>
      </c>
      <c r="L1265" s="38">
        <v>-180</v>
      </c>
      <c r="M1265" t="s">
        <v>310</v>
      </c>
      <c r="Q1265" t="s">
        <v>3339</v>
      </c>
    </row>
    <row r="1266" spans="1:17" ht="15.75" customHeight="1">
      <c r="A1266" t="s">
        <v>3340</v>
      </c>
      <c r="B1266" t="s">
        <v>304</v>
      </c>
      <c r="C1266" t="s">
        <v>3341</v>
      </c>
      <c r="E1266" t="s">
        <v>3342</v>
      </c>
      <c r="F1266" t="s">
        <v>3343</v>
      </c>
      <c r="G1266" t="s">
        <v>308</v>
      </c>
      <c r="J1266" t="s">
        <v>3344</v>
      </c>
      <c r="K1266">
        <v>5</v>
      </c>
      <c r="L1266" s="38">
        <v>-30</v>
      </c>
      <c r="M1266" t="s">
        <v>310</v>
      </c>
      <c r="Q1266" t="s">
        <v>3345</v>
      </c>
    </row>
    <row r="1267" spans="1:17" ht="15.75" customHeight="1">
      <c r="A1267" t="s">
        <v>3346</v>
      </c>
      <c r="B1267" t="s">
        <v>304</v>
      </c>
      <c r="C1267" t="s">
        <v>3347</v>
      </c>
      <c r="E1267" t="s">
        <v>3348</v>
      </c>
      <c r="F1267" t="s">
        <v>3343</v>
      </c>
      <c r="G1267" t="s">
        <v>308</v>
      </c>
      <c r="J1267" t="s">
        <v>3349</v>
      </c>
      <c r="K1267">
        <v>10</v>
      </c>
      <c r="L1267" s="38">
        <v>-60</v>
      </c>
      <c r="M1267" t="s">
        <v>310</v>
      </c>
      <c r="Q1267" t="s">
        <v>3350</v>
      </c>
    </row>
    <row r="1268" spans="1:17" ht="15.75" customHeight="1">
      <c r="A1268" t="s">
        <v>3351</v>
      </c>
      <c r="B1268" t="s">
        <v>304</v>
      </c>
      <c r="C1268" t="s">
        <v>3352</v>
      </c>
      <c r="E1268" t="s">
        <v>3353</v>
      </c>
      <c r="F1268" t="s">
        <v>3343</v>
      </c>
      <c r="G1268" t="s">
        <v>308</v>
      </c>
      <c r="J1268" t="s">
        <v>3354</v>
      </c>
      <c r="K1268">
        <v>15</v>
      </c>
      <c r="L1268" s="38">
        <v>-90</v>
      </c>
      <c r="M1268" t="s">
        <v>310</v>
      </c>
      <c r="Q1268" t="s">
        <v>3355</v>
      </c>
    </row>
    <row r="1269" spans="1:17" ht="15.75" customHeight="1">
      <c r="A1269" t="s">
        <v>3356</v>
      </c>
      <c r="B1269" t="s">
        <v>304</v>
      </c>
      <c r="C1269" t="s">
        <v>3343</v>
      </c>
      <c r="E1269" t="s">
        <v>3357</v>
      </c>
      <c r="F1269" t="s">
        <v>3343</v>
      </c>
      <c r="G1269" t="s">
        <v>308</v>
      </c>
      <c r="J1269" t="s">
        <v>3358</v>
      </c>
      <c r="K1269">
        <v>20</v>
      </c>
      <c r="L1269" s="38">
        <v>-120</v>
      </c>
      <c r="M1269" t="s">
        <v>310</v>
      </c>
      <c r="Q1269" t="s">
        <v>3359</v>
      </c>
    </row>
    <row r="1270" spans="1:17" ht="15.75" customHeight="1">
      <c r="A1270" t="s">
        <v>3360</v>
      </c>
      <c r="B1270" t="s">
        <v>304</v>
      </c>
      <c r="C1270" t="s">
        <v>3361</v>
      </c>
      <c r="E1270" t="s">
        <v>3362</v>
      </c>
      <c r="F1270" t="s">
        <v>3343</v>
      </c>
      <c r="G1270" t="s">
        <v>308</v>
      </c>
      <c r="J1270" t="s">
        <v>3363</v>
      </c>
      <c r="K1270">
        <v>30</v>
      </c>
      <c r="L1270" s="38">
        <v>-180</v>
      </c>
      <c r="M1270" t="s">
        <v>310</v>
      </c>
      <c r="Q1270" t="s">
        <v>3364</v>
      </c>
    </row>
    <row r="1271" spans="1:17" ht="15.75" customHeight="1">
      <c r="A1271" t="s">
        <v>3365</v>
      </c>
      <c r="B1271" t="s">
        <v>304</v>
      </c>
      <c r="C1271" t="s">
        <v>3366</v>
      </c>
      <c r="E1271" t="s">
        <v>3367</v>
      </c>
      <c r="F1271" t="s">
        <v>3368</v>
      </c>
      <c r="G1271" t="s">
        <v>308</v>
      </c>
      <c r="J1271" t="s">
        <v>3369</v>
      </c>
      <c r="K1271">
        <v>5</v>
      </c>
      <c r="L1271" s="38">
        <v>-30</v>
      </c>
      <c r="M1271" t="s">
        <v>310</v>
      </c>
      <c r="Q1271" t="s">
        <v>3370</v>
      </c>
    </row>
    <row r="1272" spans="1:17" ht="15.75" customHeight="1">
      <c r="A1272" t="s">
        <v>3371</v>
      </c>
      <c r="B1272" t="s">
        <v>304</v>
      </c>
      <c r="C1272" t="s">
        <v>3372</v>
      </c>
      <c r="E1272" t="s">
        <v>3373</v>
      </c>
      <c r="F1272" t="s">
        <v>3368</v>
      </c>
      <c r="G1272" t="s">
        <v>308</v>
      </c>
      <c r="J1272" t="s">
        <v>3374</v>
      </c>
      <c r="K1272">
        <v>10</v>
      </c>
      <c r="L1272" s="38">
        <v>-60</v>
      </c>
      <c r="M1272" t="s">
        <v>310</v>
      </c>
      <c r="Q1272" t="s">
        <v>3375</v>
      </c>
    </row>
    <row r="1273" spans="1:17" ht="15.75" customHeight="1">
      <c r="A1273" t="s">
        <v>3376</v>
      </c>
      <c r="B1273" t="s">
        <v>304</v>
      </c>
      <c r="C1273" t="s">
        <v>3377</v>
      </c>
      <c r="E1273" t="s">
        <v>3378</v>
      </c>
      <c r="F1273" t="s">
        <v>3368</v>
      </c>
      <c r="G1273" t="s">
        <v>308</v>
      </c>
      <c r="J1273" t="s">
        <v>3379</v>
      </c>
      <c r="K1273">
        <v>15</v>
      </c>
      <c r="L1273" s="38">
        <v>-90</v>
      </c>
      <c r="M1273" t="s">
        <v>310</v>
      </c>
      <c r="Q1273" t="s">
        <v>3380</v>
      </c>
    </row>
    <row r="1274" spans="1:17" ht="15.75" customHeight="1">
      <c r="A1274" t="s">
        <v>3381</v>
      </c>
      <c r="B1274" t="s">
        <v>304</v>
      </c>
      <c r="C1274" t="s">
        <v>3368</v>
      </c>
      <c r="E1274" t="s">
        <v>3382</v>
      </c>
      <c r="F1274" t="s">
        <v>3368</v>
      </c>
      <c r="G1274" t="s">
        <v>308</v>
      </c>
      <c r="J1274" t="s">
        <v>3383</v>
      </c>
      <c r="K1274">
        <v>20</v>
      </c>
      <c r="L1274" s="38">
        <v>-120</v>
      </c>
      <c r="M1274" t="s">
        <v>310</v>
      </c>
      <c r="Q1274" t="s">
        <v>3384</v>
      </c>
    </row>
    <row r="1275" spans="1:17" ht="15.75" customHeight="1">
      <c r="A1275" t="s">
        <v>3385</v>
      </c>
      <c r="B1275" t="s">
        <v>304</v>
      </c>
      <c r="C1275" t="s">
        <v>3386</v>
      </c>
      <c r="E1275" t="s">
        <v>3387</v>
      </c>
      <c r="F1275" t="s">
        <v>3368</v>
      </c>
      <c r="G1275" t="s">
        <v>308</v>
      </c>
      <c r="J1275" t="s">
        <v>3388</v>
      </c>
      <c r="K1275">
        <v>30</v>
      </c>
      <c r="L1275" s="38">
        <v>-180</v>
      </c>
      <c r="M1275" t="s">
        <v>310</v>
      </c>
      <c r="Q1275" t="s">
        <v>3389</v>
      </c>
    </row>
    <row r="1276" spans="1:17" ht="15.75" customHeight="1">
      <c r="A1276" t="s">
        <v>3390</v>
      </c>
      <c r="B1276" t="s">
        <v>304</v>
      </c>
      <c r="C1276" t="s">
        <v>3391</v>
      </c>
      <c r="E1276" t="s">
        <v>3392</v>
      </c>
      <c r="F1276" t="s">
        <v>3393</v>
      </c>
      <c r="G1276" t="s">
        <v>308</v>
      </c>
      <c r="J1276" t="s">
        <v>3394</v>
      </c>
      <c r="K1276">
        <v>5</v>
      </c>
      <c r="L1276" s="38">
        <v>-35</v>
      </c>
      <c r="M1276" t="s">
        <v>310</v>
      </c>
      <c r="Q1276" t="s">
        <v>3395</v>
      </c>
    </row>
    <row r="1277" spans="1:17" ht="15.75" customHeight="1">
      <c r="A1277" t="s">
        <v>3396</v>
      </c>
      <c r="B1277" t="s">
        <v>304</v>
      </c>
      <c r="C1277" t="s">
        <v>3397</v>
      </c>
      <c r="E1277" t="s">
        <v>3398</v>
      </c>
      <c r="F1277" t="s">
        <v>3393</v>
      </c>
      <c r="G1277" t="s">
        <v>308</v>
      </c>
      <c r="J1277" t="s">
        <v>3399</v>
      </c>
      <c r="K1277">
        <v>10</v>
      </c>
      <c r="L1277" s="38">
        <v>-70</v>
      </c>
      <c r="M1277" t="s">
        <v>310</v>
      </c>
      <c r="Q1277" t="s">
        <v>3400</v>
      </c>
    </row>
    <row r="1278" spans="1:17" ht="15.75" customHeight="1">
      <c r="A1278" t="s">
        <v>3401</v>
      </c>
      <c r="B1278" t="s">
        <v>304</v>
      </c>
      <c r="C1278" t="s">
        <v>3402</v>
      </c>
      <c r="E1278" t="s">
        <v>3403</v>
      </c>
      <c r="F1278" t="s">
        <v>3393</v>
      </c>
      <c r="G1278" t="s">
        <v>308</v>
      </c>
      <c r="J1278" t="s">
        <v>3404</v>
      </c>
      <c r="K1278">
        <v>15</v>
      </c>
      <c r="L1278" s="38">
        <v>-105</v>
      </c>
      <c r="M1278" t="s">
        <v>310</v>
      </c>
      <c r="Q1278" t="s">
        <v>3405</v>
      </c>
    </row>
    <row r="1279" spans="1:17" ht="15.75" customHeight="1">
      <c r="A1279" t="s">
        <v>3406</v>
      </c>
      <c r="B1279" t="s">
        <v>304</v>
      </c>
      <c r="C1279" t="s">
        <v>3393</v>
      </c>
      <c r="E1279" t="s">
        <v>3407</v>
      </c>
      <c r="F1279" t="s">
        <v>3393</v>
      </c>
      <c r="G1279" t="s">
        <v>308</v>
      </c>
      <c r="J1279" t="s">
        <v>3408</v>
      </c>
      <c r="K1279">
        <v>20</v>
      </c>
      <c r="L1279" s="38">
        <v>-140</v>
      </c>
      <c r="M1279" t="s">
        <v>310</v>
      </c>
      <c r="Q1279" t="s">
        <v>3409</v>
      </c>
    </row>
    <row r="1280" spans="1:17" ht="15.75" customHeight="1">
      <c r="A1280" t="s">
        <v>3410</v>
      </c>
      <c r="B1280" t="s">
        <v>304</v>
      </c>
      <c r="C1280" t="s">
        <v>3411</v>
      </c>
      <c r="E1280" t="s">
        <v>3412</v>
      </c>
      <c r="F1280" t="s">
        <v>3393</v>
      </c>
      <c r="G1280" t="s">
        <v>308</v>
      </c>
      <c r="J1280" t="s">
        <v>3413</v>
      </c>
      <c r="K1280">
        <v>30</v>
      </c>
      <c r="L1280" s="38">
        <v>-210</v>
      </c>
      <c r="M1280" t="s">
        <v>310</v>
      </c>
      <c r="Q1280" t="s">
        <v>3414</v>
      </c>
    </row>
    <row r="1281" spans="1:17" ht="15.75" customHeight="1">
      <c r="A1281" t="s">
        <v>3415</v>
      </c>
      <c r="B1281" t="s">
        <v>304</v>
      </c>
      <c r="C1281" t="s">
        <v>3416</v>
      </c>
      <c r="E1281" t="s">
        <v>3417</v>
      </c>
      <c r="F1281" t="s">
        <v>3418</v>
      </c>
      <c r="G1281" t="s">
        <v>308</v>
      </c>
      <c r="J1281" t="s">
        <v>3419</v>
      </c>
      <c r="K1281">
        <v>5</v>
      </c>
      <c r="L1281" s="38">
        <v>-50</v>
      </c>
      <c r="M1281" t="s">
        <v>310</v>
      </c>
      <c r="Q1281" t="s">
        <v>3420</v>
      </c>
    </row>
    <row r="1282" spans="1:17" ht="15.75" customHeight="1">
      <c r="A1282" t="s">
        <v>3421</v>
      </c>
      <c r="B1282" t="s">
        <v>304</v>
      </c>
      <c r="C1282" t="s">
        <v>3422</v>
      </c>
      <c r="E1282" t="s">
        <v>3423</v>
      </c>
      <c r="F1282" t="s">
        <v>3418</v>
      </c>
      <c r="G1282" t="s">
        <v>308</v>
      </c>
      <c r="J1282" t="s">
        <v>3424</v>
      </c>
      <c r="K1282">
        <v>10</v>
      </c>
      <c r="L1282" s="38">
        <v>-100</v>
      </c>
      <c r="M1282" t="s">
        <v>310</v>
      </c>
      <c r="Q1282" t="s">
        <v>3425</v>
      </c>
    </row>
    <row r="1283" spans="1:17" ht="15.75" customHeight="1">
      <c r="A1283" t="s">
        <v>3426</v>
      </c>
      <c r="B1283" t="s">
        <v>304</v>
      </c>
      <c r="C1283" t="s">
        <v>3427</v>
      </c>
      <c r="E1283" t="s">
        <v>3428</v>
      </c>
      <c r="F1283" t="s">
        <v>3418</v>
      </c>
      <c r="G1283" t="s">
        <v>308</v>
      </c>
      <c r="J1283" t="s">
        <v>3429</v>
      </c>
      <c r="K1283">
        <v>15</v>
      </c>
      <c r="L1283" s="38">
        <v>-150</v>
      </c>
      <c r="M1283" t="s">
        <v>310</v>
      </c>
      <c r="Q1283" t="s">
        <v>3430</v>
      </c>
    </row>
    <row r="1284" spans="1:17" ht="15.75" customHeight="1">
      <c r="A1284" t="s">
        <v>3431</v>
      </c>
      <c r="B1284" t="s">
        <v>304</v>
      </c>
      <c r="C1284" t="s">
        <v>3418</v>
      </c>
      <c r="E1284" t="s">
        <v>3432</v>
      </c>
      <c r="F1284" t="s">
        <v>3418</v>
      </c>
      <c r="G1284" t="s">
        <v>308</v>
      </c>
      <c r="J1284" t="s">
        <v>3433</v>
      </c>
      <c r="K1284">
        <v>20</v>
      </c>
      <c r="L1284" s="38">
        <v>-200</v>
      </c>
      <c r="M1284" t="s">
        <v>310</v>
      </c>
      <c r="Q1284" t="s">
        <v>3434</v>
      </c>
    </row>
    <row r="1285" spans="1:17" ht="15.75" customHeight="1">
      <c r="A1285" t="s">
        <v>3435</v>
      </c>
      <c r="B1285" t="s">
        <v>304</v>
      </c>
      <c r="C1285" t="s">
        <v>3436</v>
      </c>
      <c r="E1285" t="s">
        <v>3437</v>
      </c>
      <c r="F1285" t="s">
        <v>3418</v>
      </c>
      <c r="G1285" t="s">
        <v>308</v>
      </c>
      <c r="J1285" t="s">
        <v>3438</v>
      </c>
      <c r="K1285">
        <v>30</v>
      </c>
      <c r="L1285" s="38">
        <v>-300</v>
      </c>
      <c r="M1285" t="s">
        <v>310</v>
      </c>
      <c r="Q1285" t="s">
        <v>3439</v>
      </c>
    </row>
    <row r="1286" spans="1:17" ht="15.75" customHeight="1">
      <c r="A1286" t="s">
        <v>3440</v>
      </c>
      <c r="B1286" t="s">
        <v>304</v>
      </c>
      <c r="C1286" t="s">
        <v>3441</v>
      </c>
      <c r="E1286" t="s">
        <v>3442</v>
      </c>
      <c r="F1286" t="s">
        <v>3443</v>
      </c>
      <c r="G1286" t="s">
        <v>308</v>
      </c>
      <c r="J1286" t="s">
        <v>3444</v>
      </c>
      <c r="K1286">
        <v>5</v>
      </c>
      <c r="L1286" s="38">
        <v>-50</v>
      </c>
      <c r="M1286" t="s">
        <v>310</v>
      </c>
      <c r="Q1286" t="s">
        <v>3445</v>
      </c>
    </row>
    <row r="1287" spans="1:17" ht="15.75" customHeight="1">
      <c r="A1287" t="s">
        <v>3446</v>
      </c>
      <c r="B1287" t="s">
        <v>304</v>
      </c>
      <c r="C1287" t="s">
        <v>3447</v>
      </c>
      <c r="E1287" t="s">
        <v>3448</v>
      </c>
      <c r="F1287" t="s">
        <v>3443</v>
      </c>
      <c r="G1287" t="s">
        <v>308</v>
      </c>
      <c r="J1287" t="s">
        <v>3449</v>
      </c>
      <c r="K1287">
        <v>10</v>
      </c>
      <c r="L1287" s="38">
        <v>-100</v>
      </c>
      <c r="M1287" t="s">
        <v>310</v>
      </c>
      <c r="Q1287" t="s">
        <v>3450</v>
      </c>
    </row>
    <row r="1288" spans="1:17" ht="15.75" customHeight="1">
      <c r="A1288" t="s">
        <v>3451</v>
      </c>
      <c r="B1288" t="s">
        <v>304</v>
      </c>
      <c r="C1288" t="s">
        <v>3452</v>
      </c>
      <c r="E1288" t="s">
        <v>3453</v>
      </c>
      <c r="F1288" t="s">
        <v>3443</v>
      </c>
      <c r="G1288" t="s">
        <v>308</v>
      </c>
      <c r="J1288" t="s">
        <v>3454</v>
      </c>
      <c r="K1288">
        <v>15</v>
      </c>
      <c r="L1288" s="38">
        <v>-150</v>
      </c>
      <c r="M1288" t="s">
        <v>310</v>
      </c>
      <c r="Q1288" t="s">
        <v>3455</v>
      </c>
    </row>
    <row r="1289" spans="1:17" ht="15.75" customHeight="1">
      <c r="A1289" t="s">
        <v>3456</v>
      </c>
      <c r="B1289" t="s">
        <v>304</v>
      </c>
      <c r="C1289" t="s">
        <v>3443</v>
      </c>
      <c r="E1289" t="s">
        <v>3457</v>
      </c>
      <c r="F1289" t="s">
        <v>3443</v>
      </c>
      <c r="G1289" t="s">
        <v>308</v>
      </c>
      <c r="J1289" t="s">
        <v>3458</v>
      </c>
      <c r="K1289">
        <v>20</v>
      </c>
      <c r="L1289" s="38">
        <v>-200</v>
      </c>
      <c r="M1289" t="s">
        <v>310</v>
      </c>
      <c r="Q1289" t="s">
        <v>3459</v>
      </c>
    </row>
    <row r="1290" spans="1:17" ht="15.75" customHeight="1">
      <c r="A1290" t="s">
        <v>3460</v>
      </c>
      <c r="B1290" t="s">
        <v>304</v>
      </c>
      <c r="C1290" t="s">
        <v>3461</v>
      </c>
      <c r="E1290" t="s">
        <v>3462</v>
      </c>
      <c r="F1290" t="s">
        <v>3443</v>
      </c>
      <c r="G1290" t="s">
        <v>308</v>
      </c>
      <c r="J1290" t="s">
        <v>3463</v>
      </c>
      <c r="K1290">
        <v>30</v>
      </c>
      <c r="L1290" s="38">
        <v>-300</v>
      </c>
      <c r="M1290" t="s">
        <v>310</v>
      </c>
      <c r="Q1290" t="s">
        <v>3464</v>
      </c>
    </row>
    <row r="1291" spans="1:17" ht="15.75" customHeight="1">
      <c r="A1291" t="s">
        <v>3465</v>
      </c>
      <c r="B1291" t="s">
        <v>304</v>
      </c>
      <c r="C1291" t="s">
        <v>3466</v>
      </c>
      <c r="E1291" t="s">
        <v>3467</v>
      </c>
      <c r="F1291" t="s">
        <v>3468</v>
      </c>
      <c r="G1291" t="s">
        <v>308</v>
      </c>
      <c r="J1291" t="s">
        <v>3469</v>
      </c>
      <c r="K1291">
        <v>5</v>
      </c>
      <c r="L1291" s="38">
        <v>-30</v>
      </c>
      <c r="M1291" t="s">
        <v>310</v>
      </c>
      <c r="Q1291" t="s">
        <v>3470</v>
      </c>
    </row>
    <row r="1292" spans="1:17" ht="15.75" customHeight="1">
      <c r="A1292" t="s">
        <v>3471</v>
      </c>
      <c r="B1292" t="s">
        <v>304</v>
      </c>
      <c r="C1292" t="s">
        <v>3472</v>
      </c>
      <c r="E1292" t="s">
        <v>3473</v>
      </c>
      <c r="F1292" t="s">
        <v>3468</v>
      </c>
      <c r="G1292" t="s">
        <v>308</v>
      </c>
      <c r="J1292" t="s">
        <v>3474</v>
      </c>
      <c r="K1292">
        <v>10</v>
      </c>
      <c r="L1292" s="38">
        <v>-60</v>
      </c>
      <c r="M1292" t="s">
        <v>310</v>
      </c>
      <c r="Q1292" t="s">
        <v>3475</v>
      </c>
    </row>
    <row r="1293" spans="1:17" ht="15.75" customHeight="1">
      <c r="A1293" t="s">
        <v>3476</v>
      </c>
      <c r="B1293" t="s">
        <v>304</v>
      </c>
      <c r="C1293" t="s">
        <v>3477</v>
      </c>
      <c r="E1293" t="s">
        <v>3478</v>
      </c>
      <c r="F1293" t="s">
        <v>3468</v>
      </c>
      <c r="G1293" t="s">
        <v>308</v>
      </c>
      <c r="J1293" t="s">
        <v>3479</v>
      </c>
      <c r="K1293">
        <v>15</v>
      </c>
      <c r="L1293" s="38">
        <v>-90</v>
      </c>
      <c r="M1293" t="s">
        <v>310</v>
      </c>
      <c r="Q1293" t="s">
        <v>3480</v>
      </c>
    </row>
    <row r="1294" spans="1:17" ht="15.75" customHeight="1">
      <c r="A1294" t="s">
        <v>3481</v>
      </c>
      <c r="B1294" t="s">
        <v>304</v>
      </c>
      <c r="C1294" t="s">
        <v>3468</v>
      </c>
      <c r="E1294" t="s">
        <v>3482</v>
      </c>
      <c r="F1294" t="s">
        <v>3468</v>
      </c>
      <c r="G1294" t="s">
        <v>308</v>
      </c>
      <c r="J1294" t="s">
        <v>3483</v>
      </c>
      <c r="K1294">
        <v>20</v>
      </c>
      <c r="L1294" s="38">
        <v>-120</v>
      </c>
      <c r="M1294" t="s">
        <v>310</v>
      </c>
      <c r="Q1294" t="s">
        <v>3484</v>
      </c>
    </row>
    <row r="1295" spans="1:17" ht="15.75" customHeight="1">
      <c r="A1295" t="s">
        <v>3485</v>
      </c>
      <c r="B1295" t="s">
        <v>304</v>
      </c>
      <c r="C1295" t="s">
        <v>3486</v>
      </c>
      <c r="E1295" t="s">
        <v>3487</v>
      </c>
      <c r="F1295" t="s">
        <v>3468</v>
      </c>
      <c r="G1295" t="s">
        <v>308</v>
      </c>
      <c r="J1295" t="s">
        <v>3488</v>
      </c>
      <c r="K1295">
        <v>30</v>
      </c>
      <c r="L1295" s="38">
        <v>-180</v>
      </c>
      <c r="M1295" t="s">
        <v>310</v>
      </c>
      <c r="Q1295" t="s">
        <v>3489</v>
      </c>
    </row>
    <row r="1296" spans="1:17" ht="15.75" customHeight="1">
      <c r="A1296" t="s">
        <v>3490</v>
      </c>
      <c r="B1296" t="s">
        <v>304</v>
      </c>
      <c r="C1296" t="s">
        <v>3491</v>
      </c>
      <c r="E1296" t="s">
        <v>3492</v>
      </c>
      <c r="F1296" t="s">
        <v>3493</v>
      </c>
      <c r="G1296" t="s">
        <v>308</v>
      </c>
      <c r="J1296" t="s">
        <v>3494</v>
      </c>
      <c r="K1296">
        <v>5</v>
      </c>
      <c r="L1296" s="38">
        <v>-45</v>
      </c>
      <c r="M1296" t="s">
        <v>310</v>
      </c>
      <c r="Q1296" t="s">
        <v>3495</v>
      </c>
    </row>
    <row r="1297" spans="1:17" ht="15.75" customHeight="1">
      <c r="A1297" t="s">
        <v>3496</v>
      </c>
      <c r="B1297" t="s">
        <v>304</v>
      </c>
      <c r="C1297" t="s">
        <v>3497</v>
      </c>
      <c r="E1297" t="s">
        <v>3498</v>
      </c>
      <c r="F1297" t="s">
        <v>3493</v>
      </c>
      <c r="G1297" t="s">
        <v>308</v>
      </c>
      <c r="J1297" t="s">
        <v>3499</v>
      </c>
      <c r="K1297">
        <v>10</v>
      </c>
      <c r="L1297" s="38">
        <v>-90</v>
      </c>
      <c r="M1297" t="s">
        <v>310</v>
      </c>
      <c r="Q1297" t="s">
        <v>3500</v>
      </c>
    </row>
    <row r="1298" spans="1:17" ht="15.75" customHeight="1">
      <c r="A1298" t="s">
        <v>3501</v>
      </c>
      <c r="B1298" t="s">
        <v>304</v>
      </c>
      <c r="C1298" t="s">
        <v>3502</v>
      </c>
      <c r="E1298" t="s">
        <v>3503</v>
      </c>
      <c r="F1298" t="s">
        <v>3493</v>
      </c>
      <c r="G1298" t="s">
        <v>308</v>
      </c>
      <c r="J1298" t="s">
        <v>3504</v>
      </c>
      <c r="K1298">
        <v>15</v>
      </c>
      <c r="L1298" s="38">
        <v>-135</v>
      </c>
      <c r="M1298" t="s">
        <v>310</v>
      </c>
      <c r="Q1298" t="s">
        <v>3505</v>
      </c>
    </row>
    <row r="1299" spans="1:17" ht="15.75" customHeight="1">
      <c r="A1299" t="s">
        <v>3506</v>
      </c>
      <c r="B1299" t="s">
        <v>304</v>
      </c>
      <c r="C1299" t="s">
        <v>3493</v>
      </c>
      <c r="E1299" t="s">
        <v>3507</v>
      </c>
      <c r="F1299" t="s">
        <v>3493</v>
      </c>
      <c r="G1299" t="s">
        <v>308</v>
      </c>
      <c r="J1299" t="s">
        <v>3508</v>
      </c>
      <c r="K1299">
        <v>20</v>
      </c>
      <c r="L1299" s="38">
        <v>-180</v>
      </c>
      <c r="M1299" t="s">
        <v>310</v>
      </c>
      <c r="Q1299" t="s">
        <v>3509</v>
      </c>
    </row>
    <row r="1300" spans="1:17" ht="15.75" customHeight="1">
      <c r="A1300" t="s">
        <v>3510</v>
      </c>
      <c r="B1300" t="s">
        <v>304</v>
      </c>
      <c r="C1300" t="s">
        <v>3511</v>
      </c>
      <c r="E1300" t="s">
        <v>3512</v>
      </c>
      <c r="F1300" t="s">
        <v>3493</v>
      </c>
      <c r="G1300" t="s">
        <v>308</v>
      </c>
      <c r="J1300" t="s">
        <v>3513</v>
      </c>
      <c r="K1300">
        <v>30</v>
      </c>
      <c r="L1300" s="38">
        <v>-270</v>
      </c>
      <c r="M1300" t="s">
        <v>310</v>
      </c>
      <c r="Q1300" t="s">
        <v>3514</v>
      </c>
    </row>
    <row r="1301" spans="1:17" ht="15.75" customHeight="1">
      <c r="A1301" t="s">
        <v>3515</v>
      </c>
      <c r="B1301" t="s">
        <v>304</v>
      </c>
      <c r="C1301" t="s">
        <v>3516</v>
      </c>
      <c r="E1301" t="s">
        <v>3517</v>
      </c>
      <c r="F1301" t="s">
        <v>3518</v>
      </c>
      <c r="G1301" t="s">
        <v>308</v>
      </c>
      <c r="J1301" t="s">
        <v>3519</v>
      </c>
      <c r="K1301">
        <v>5</v>
      </c>
      <c r="L1301" s="38">
        <v>-45</v>
      </c>
      <c r="M1301" t="s">
        <v>310</v>
      </c>
      <c r="Q1301" t="s">
        <v>3520</v>
      </c>
    </row>
    <row r="1302" spans="1:17" ht="15.75" customHeight="1">
      <c r="A1302" t="s">
        <v>3521</v>
      </c>
      <c r="B1302" t="s">
        <v>304</v>
      </c>
      <c r="C1302" t="s">
        <v>3522</v>
      </c>
      <c r="E1302" t="s">
        <v>3523</v>
      </c>
      <c r="F1302" t="s">
        <v>3518</v>
      </c>
      <c r="G1302" t="s">
        <v>308</v>
      </c>
      <c r="J1302" t="s">
        <v>3524</v>
      </c>
      <c r="K1302">
        <v>10</v>
      </c>
      <c r="L1302" s="38">
        <v>-90</v>
      </c>
      <c r="M1302" t="s">
        <v>310</v>
      </c>
      <c r="Q1302" t="s">
        <v>3525</v>
      </c>
    </row>
    <row r="1303" spans="1:17" ht="15.75" customHeight="1">
      <c r="A1303" t="s">
        <v>3526</v>
      </c>
      <c r="B1303" t="s">
        <v>304</v>
      </c>
      <c r="C1303" t="s">
        <v>3527</v>
      </c>
      <c r="E1303" t="s">
        <v>3528</v>
      </c>
      <c r="F1303" t="s">
        <v>3518</v>
      </c>
      <c r="G1303" t="s">
        <v>308</v>
      </c>
      <c r="J1303" t="s">
        <v>3529</v>
      </c>
      <c r="K1303">
        <v>15</v>
      </c>
      <c r="L1303" s="38">
        <v>-135</v>
      </c>
      <c r="M1303" t="s">
        <v>310</v>
      </c>
      <c r="Q1303" t="s">
        <v>3530</v>
      </c>
    </row>
    <row r="1304" spans="1:17" ht="15.75" customHeight="1">
      <c r="A1304" t="s">
        <v>3531</v>
      </c>
      <c r="B1304" t="s">
        <v>304</v>
      </c>
      <c r="C1304" t="s">
        <v>3518</v>
      </c>
      <c r="E1304" t="s">
        <v>3532</v>
      </c>
      <c r="F1304" t="s">
        <v>3518</v>
      </c>
      <c r="G1304" t="s">
        <v>308</v>
      </c>
      <c r="J1304" t="s">
        <v>3533</v>
      </c>
      <c r="K1304">
        <v>20</v>
      </c>
      <c r="L1304" s="38">
        <v>-180</v>
      </c>
      <c r="M1304" t="s">
        <v>310</v>
      </c>
      <c r="Q1304" t="s">
        <v>3534</v>
      </c>
    </row>
    <row r="1305" spans="1:17" ht="15.75" customHeight="1">
      <c r="A1305" t="s">
        <v>3535</v>
      </c>
      <c r="B1305" t="s">
        <v>304</v>
      </c>
      <c r="C1305" t="s">
        <v>3536</v>
      </c>
      <c r="E1305" t="s">
        <v>3537</v>
      </c>
      <c r="F1305" t="s">
        <v>3518</v>
      </c>
      <c r="G1305" t="s">
        <v>308</v>
      </c>
      <c r="J1305" t="s">
        <v>3538</v>
      </c>
      <c r="K1305">
        <v>30</v>
      </c>
      <c r="L1305" s="38">
        <v>-270</v>
      </c>
      <c r="M1305" t="s">
        <v>310</v>
      </c>
      <c r="Q1305" t="s">
        <v>3539</v>
      </c>
    </row>
    <row r="1306" spans="1:17" ht="15.75" customHeight="1">
      <c r="A1306" t="s">
        <v>3540</v>
      </c>
      <c r="B1306" t="s">
        <v>304</v>
      </c>
      <c r="C1306" t="s">
        <v>3541</v>
      </c>
      <c r="E1306" t="s">
        <v>3542</v>
      </c>
      <c r="F1306" t="s">
        <v>3543</v>
      </c>
      <c r="G1306" t="s">
        <v>308</v>
      </c>
      <c r="J1306" t="s">
        <v>3544</v>
      </c>
      <c r="K1306">
        <v>5</v>
      </c>
      <c r="L1306" s="38">
        <v>-50</v>
      </c>
      <c r="M1306" t="s">
        <v>310</v>
      </c>
      <c r="Q1306" t="s">
        <v>3545</v>
      </c>
    </row>
    <row r="1307" spans="1:17" ht="15.75" customHeight="1">
      <c r="A1307" t="s">
        <v>3546</v>
      </c>
      <c r="B1307" t="s">
        <v>304</v>
      </c>
      <c r="C1307" t="s">
        <v>3547</v>
      </c>
      <c r="E1307" t="s">
        <v>3548</v>
      </c>
      <c r="F1307" t="s">
        <v>3543</v>
      </c>
      <c r="G1307" t="s">
        <v>308</v>
      </c>
      <c r="J1307" t="s">
        <v>3549</v>
      </c>
      <c r="K1307">
        <v>10</v>
      </c>
      <c r="L1307" s="38">
        <v>-100</v>
      </c>
      <c r="M1307" t="s">
        <v>310</v>
      </c>
      <c r="Q1307" t="s">
        <v>3550</v>
      </c>
    </row>
    <row r="1308" spans="1:17" ht="15.75" customHeight="1">
      <c r="A1308" t="s">
        <v>3551</v>
      </c>
      <c r="B1308" t="s">
        <v>304</v>
      </c>
      <c r="C1308" t="s">
        <v>3552</v>
      </c>
      <c r="E1308" t="s">
        <v>3553</v>
      </c>
      <c r="F1308" t="s">
        <v>3543</v>
      </c>
      <c r="G1308" t="s">
        <v>308</v>
      </c>
      <c r="J1308" t="s">
        <v>3554</v>
      </c>
      <c r="K1308">
        <v>15</v>
      </c>
      <c r="L1308" s="38">
        <v>-150</v>
      </c>
      <c r="M1308" t="s">
        <v>310</v>
      </c>
      <c r="Q1308" t="s">
        <v>3555</v>
      </c>
    </row>
    <row r="1309" spans="1:17" ht="15.75" customHeight="1">
      <c r="A1309" t="s">
        <v>3556</v>
      </c>
      <c r="B1309" t="s">
        <v>304</v>
      </c>
      <c r="C1309" t="s">
        <v>3543</v>
      </c>
      <c r="E1309" t="s">
        <v>3557</v>
      </c>
      <c r="F1309" t="s">
        <v>3543</v>
      </c>
      <c r="G1309" t="s">
        <v>308</v>
      </c>
      <c r="J1309" t="s">
        <v>3558</v>
      </c>
      <c r="K1309">
        <v>20</v>
      </c>
      <c r="L1309" s="38">
        <v>-200</v>
      </c>
      <c r="M1309" t="s">
        <v>310</v>
      </c>
      <c r="Q1309" t="s">
        <v>3559</v>
      </c>
    </row>
    <row r="1310" spans="1:17" ht="15.75" customHeight="1">
      <c r="A1310" t="s">
        <v>3560</v>
      </c>
      <c r="B1310" t="s">
        <v>304</v>
      </c>
      <c r="C1310" t="s">
        <v>3561</v>
      </c>
      <c r="E1310" t="s">
        <v>3562</v>
      </c>
      <c r="F1310" t="s">
        <v>3543</v>
      </c>
      <c r="G1310" t="s">
        <v>308</v>
      </c>
      <c r="J1310" t="s">
        <v>3563</v>
      </c>
      <c r="K1310">
        <v>30</v>
      </c>
      <c r="L1310" s="38">
        <v>-300</v>
      </c>
      <c r="M1310" t="s">
        <v>310</v>
      </c>
      <c r="Q1310" t="s">
        <v>3564</v>
      </c>
    </row>
    <row r="1311" spans="1:17" ht="15.75" customHeight="1">
      <c r="A1311" t="s">
        <v>3565</v>
      </c>
      <c r="B1311" t="s">
        <v>304</v>
      </c>
      <c r="C1311" t="s">
        <v>3566</v>
      </c>
      <c r="E1311" t="s">
        <v>3567</v>
      </c>
      <c r="F1311" t="s">
        <v>3568</v>
      </c>
      <c r="G1311" t="s">
        <v>308</v>
      </c>
      <c r="J1311" t="s">
        <v>3569</v>
      </c>
      <c r="K1311">
        <v>5</v>
      </c>
      <c r="L1311" s="38">
        <v>-50</v>
      </c>
      <c r="M1311" t="s">
        <v>310</v>
      </c>
      <c r="Q1311" t="s">
        <v>3570</v>
      </c>
    </row>
    <row r="1312" spans="1:17" ht="15.75" customHeight="1">
      <c r="A1312" t="s">
        <v>3571</v>
      </c>
      <c r="B1312" t="s">
        <v>304</v>
      </c>
      <c r="C1312" t="s">
        <v>3572</v>
      </c>
      <c r="E1312" t="s">
        <v>3573</v>
      </c>
      <c r="F1312" t="s">
        <v>3568</v>
      </c>
      <c r="G1312" t="s">
        <v>308</v>
      </c>
      <c r="J1312" t="s">
        <v>3574</v>
      </c>
      <c r="K1312">
        <v>10</v>
      </c>
      <c r="L1312" s="38">
        <v>-100</v>
      </c>
      <c r="M1312" t="s">
        <v>310</v>
      </c>
      <c r="Q1312" t="s">
        <v>3575</v>
      </c>
    </row>
    <row r="1313" spans="1:17" ht="15.75" customHeight="1">
      <c r="A1313" t="s">
        <v>3576</v>
      </c>
      <c r="B1313" t="s">
        <v>304</v>
      </c>
      <c r="C1313" t="s">
        <v>3577</v>
      </c>
      <c r="E1313" t="s">
        <v>3578</v>
      </c>
      <c r="F1313" t="s">
        <v>3568</v>
      </c>
      <c r="G1313" t="s">
        <v>308</v>
      </c>
      <c r="J1313" t="s">
        <v>3579</v>
      </c>
      <c r="K1313">
        <v>15</v>
      </c>
      <c r="L1313" s="38">
        <v>-150</v>
      </c>
      <c r="M1313" t="s">
        <v>310</v>
      </c>
      <c r="Q1313" t="s">
        <v>3580</v>
      </c>
    </row>
    <row r="1314" spans="1:17" ht="15.75" customHeight="1">
      <c r="A1314" t="s">
        <v>3581</v>
      </c>
      <c r="B1314" t="s">
        <v>304</v>
      </c>
      <c r="C1314" t="s">
        <v>3568</v>
      </c>
      <c r="E1314" t="s">
        <v>3582</v>
      </c>
      <c r="F1314" t="s">
        <v>3568</v>
      </c>
      <c r="G1314" t="s">
        <v>308</v>
      </c>
      <c r="J1314" t="s">
        <v>3583</v>
      </c>
      <c r="K1314">
        <v>20</v>
      </c>
      <c r="L1314" s="38">
        <v>-200</v>
      </c>
      <c r="M1314" t="s">
        <v>310</v>
      </c>
      <c r="Q1314" t="s">
        <v>3584</v>
      </c>
    </row>
    <row r="1315" spans="1:17" ht="15.75" customHeight="1">
      <c r="A1315" t="s">
        <v>3585</v>
      </c>
      <c r="B1315" t="s">
        <v>304</v>
      </c>
      <c r="C1315" t="s">
        <v>3586</v>
      </c>
      <c r="E1315" t="s">
        <v>3587</v>
      </c>
      <c r="F1315" t="s">
        <v>3568</v>
      </c>
      <c r="G1315" t="s">
        <v>308</v>
      </c>
      <c r="J1315" t="s">
        <v>3588</v>
      </c>
      <c r="K1315">
        <v>30</v>
      </c>
      <c r="L1315" s="38">
        <v>-300</v>
      </c>
      <c r="M1315" t="s">
        <v>310</v>
      </c>
      <c r="Q1315" t="s">
        <v>3589</v>
      </c>
    </row>
    <row r="1316" spans="1:17" ht="15.75" customHeight="1">
      <c r="A1316" s="7" t="s">
        <v>3590</v>
      </c>
      <c r="B1316" s="8" t="s">
        <v>304</v>
      </c>
      <c r="C1316" s="13" t="s">
        <v>3591</v>
      </c>
      <c r="G1316" s="8" t="s">
        <v>308</v>
      </c>
      <c r="L1316" s="38">
        <v>200</v>
      </c>
      <c r="M1316" t="s">
        <v>335</v>
      </c>
    </row>
    <row r="1317" spans="1:17" ht="15.75" customHeight="1">
      <c r="A1317" s="7" t="s">
        <v>3592</v>
      </c>
      <c r="B1317" s="8" t="s">
        <v>304</v>
      </c>
      <c r="C1317" s="13" t="s">
        <v>3593</v>
      </c>
      <c r="G1317" s="8" t="s">
        <v>308</v>
      </c>
      <c r="L1317" s="38">
        <v>500</v>
      </c>
      <c r="M1317" t="s">
        <v>335</v>
      </c>
    </row>
    <row r="1318" spans="1:17" ht="15.75" customHeight="1">
      <c r="A1318" s="7" t="s">
        <v>3594</v>
      </c>
      <c r="B1318" s="8" t="s">
        <v>304</v>
      </c>
      <c r="C1318" s="13" t="s">
        <v>3595</v>
      </c>
      <c r="G1318" s="8" t="s">
        <v>308</v>
      </c>
      <c r="L1318" s="38">
        <v>300</v>
      </c>
      <c r="M1318">
        <v>3</v>
      </c>
    </row>
    <row r="1319" spans="1:17" ht="15.75" customHeight="1">
      <c r="A1319" s="7" t="s">
        <v>3596</v>
      </c>
      <c r="B1319" s="8" t="s">
        <v>304</v>
      </c>
      <c r="C1319" s="13" t="s">
        <v>3597</v>
      </c>
      <c r="G1319" s="8" t="s">
        <v>308</v>
      </c>
      <c r="L1319" s="38">
        <v>250</v>
      </c>
      <c r="M1319" t="s">
        <v>335</v>
      </c>
    </row>
    <row r="1320" spans="1:17" ht="15.75" customHeight="1">
      <c r="A1320" s="7" t="s">
        <v>3598</v>
      </c>
      <c r="B1320" s="8" t="s">
        <v>304</v>
      </c>
      <c r="C1320" s="13" t="s">
        <v>3599</v>
      </c>
      <c r="G1320" s="8" t="s">
        <v>308</v>
      </c>
      <c r="L1320" s="38">
        <v>100</v>
      </c>
      <c r="M1320" t="s">
        <v>335</v>
      </c>
    </row>
    <row r="1321" spans="1:17" ht="15.75" customHeight="1">
      <c r="A1321" s="7" t="s">
        <v>3600</v>
      </c>
      <c r="B1321" s="8" t="s">
        <v>304</v>
      </c>
      <c r="C1321" s="13" t="s">
        <v>3601</v>
      </c>
      <c r="G1321" s="8" t="s">
        <v>308</v>
      </c>
      <c r="L1321" s="38">
        <v>-100</v>
      </c>
      <c r="M1321" t="s">
        <v>335</v>
      </c>
    </row>
    <row r="1322" spans="1:17" ht="15.75" customHeight="1">
      <c r="A1322" s="7" t="s">
        <v>3602</v>
      </c>
      <c r="B1322" s="8" t="s">
        <v>304</v>
      </c>
      <c r="C1322" s="13" t="s">
        <v>3603</v>
      </c>
      <c r="G1322" s="8" t="s">
        <v>308</v>
      </c>
      <c r="L1322" s="38">
        <v>250</v>
      </c>
      <c r="M1322" t="s">
        <v>335</v>
      </c>
    </row>
    <row r="1323" spans="1:17" ht="15.75" customHeight="1">
      <c r="A1323" s="7" t="s">
        <v>3604</v>
      </c>
      <c r="B1323" s="8" t="s">
        <v>304</v>
      </c>
      <c r="C1323" s="13" t="s">
        <v>3605</v>
      </c>
      <c r="G1323" s="8" t="s">
        <v>308</v>
      </c>
      <c r="L1323" s="38">
        <v>-200</v>
      </c>
      <c r="M1323" t="s">
        <v>335</v>
      </c>
    </row>
    <row r="1324" spans="1:17" ht="15.75" customHeight="1">
      <c r="A1324" s="7" t="s">
        <v>3606</v>
      </c>
      <c r="B1324" s="8" t="s">
        <v>304</v>
      </c>
      <c r="C1324" s="13" t="s">
        <v>3607</v>
      </c>
      <c r="G1324" s="8" t="s">
        <v>308</v>
      </c>
      <c r="L1324" s="38">
        <v>2500</v>
      </c>
      <c r="M1324">
        <v>7</v>
      </c>
    </row>
    <row r="1325" spans="1:17" ht="15.75" customHeight="1">
      <c r="A1325" s="7" t="s">
        <v>3608</v>
      </c>
      <c r="B1325" s="8" t="s">
        <v>304</v>
      </c>
      <c r="C1325" s="13" t="s">
        <v>3609</v>
      </c>
      <c r="E1325" t="s">
        <v>3610</v>
      </c>
      <c r="F1325" t="s">
        <v>3611</v>
      </c>
      <c r="G1325" s="8" t="s">
        <v>308</v>
      </c>
      <c r="J1325" t="s">
        <v>3612</v>
      </c>
      <c r="L1325" s="38">
        <v>100</v>
      </c>
      <c r="M1325" t="s">
        <v>3613</v>
      </c>
      <c r="Q1325" t="s">
        <v>3614</v>
      </c>
    </row>
    <row r="1326" spans="1:17" ht="15.75" customHeight="1">
      <c r="A1326" s="7" t="s">
        <v>3615</v>
      </c>
      <c r="B1326" s="8" t="s">
        <v>304</v>
      </c>
      <c r="C1326" s="13" t="s">
        <v>3616</v>
      </c>
      <c r="G1326" s="8" t="s">
        <v>308</v>
      </c>
      <c r="L1326" s="38">
        <v>800</v>
      </c>
      <c r="M1326">
        <v>3</v>
      </c>
    </row>
    <row r="1327" spans="1:17" ht="15.75" customHeight="1">
      <c r="A1327" s="7" t="s">
        <v>3617</v>
      </c>
      <c r="B1327" s="8" t="s">
        <v>304</v>
      </c>
      <c r="C1327" s="13" t="s">
        <v>3618</v>
      </c>
      <c r="G1327" s="8" t="s">
        <v>308</v>
      </c>
      <c r="L1327" s="38">
        <v>800</v>
      </c>
      <c r="M1327">
        <v>5</v>
      </c>
    </row>
    <row r="1328" spans="1:17" ht="15.75" customHeight="1">
      <c r="A1328" s="7" t="s">
        <v>3619</v>
      </c>
      <c r="B1328" s="8" t="s">
        <v>304</v>
      </c>
      <c r="C1328" s="13" t="s">
        <v>3620</v>
      </c>
      <c r="G1328" s="8" t="s">
        <v>308</v>
      </c>
      <c r="L1328" s="38">
        <v>800</v>
      </c>
      <c r="M1328">
        <v>7</v>
      </c>
    </row>
    <row r="1329" spans="1:13" ht="15.75" customHeight="1">
      <c r="A1329" s="7" t="s">
        <v>3621</v>
      </c>
      <c r="B1329" s="8" t="s">
        <v>304</v>
      </c>
      <c r="C1329" s="13" t="s">
        <v>3622</v>
      </c>
      <c r="G1329" s="8" t="s">
        <v>308</v>
      </c>
      <c r="L1329" s="38">
        <v>1000</v>
      </c>
      <c r="M1329">
        <v>6</v>
      </c>
    </row>
    <row r="1330" spans="1:13" ht="15.75" customHeight="1">
      <c r="A1330" s="7" t="s">
        <v>3623</v>
      </c>
      <c r="B1330" s="8" t="s">
        <v>304</v>
      </c>
      <c r="C1330" s="13" t="s">
        <v>3624</v>
      </c>
      <c r="G1330" s="8" t="s">
        <v>308</v>
      </c>
      <c r="L1330" s="38">
        <v>500</v>
      </c>
      <c r="M1330">
        <v>4</v>
      </c>
    </row>
    <row r="1331" spans="1:13" ht="15.75" customHeight="1">
      <c r="A1331" s="7" t="s">
        <v>3625</v>
      </c>
      <c r="B1331" s="8" t="s">
        <v>304</v>
      </c>
      <c r="C1331" s="13" t="s">
        <v>3626</v>
      </c>
      <c r="G1331" s="8" t="s">
        <v>308</v>
      </c>
      <c r="L1331" s="38">
        <v>250</v>
      </c>
      <c r="M1331" t="s">
        <v>3627</v>
      </c>
    </row>
    <row r="1332" spans="1:13" ht="15.75" customHeight="1">
      <c r="A1332" s="7" t="s">
        <v>3628</v>
      </c>
      <c r="B1332" s="8" t="s">
        <v>304</v>
      </c>
      <c r="C1332" s="13" t="s">
        <v>3629</v>
      </c>
      <c r="G1332" s="8" t="s">
        <v>308</v>
      </c>
      <c r="L1332" s="38">
        <v>-100</v>
      </c>
      <c r="M1332" t="s">
        <v>335</v>
      </c>
    </row>
    <row r="1333" spans="1:13" ht="15.75" customHeight="1">
      <c r="A1333" t="s">
        <v>3630</v>
      </c>
      <c r="B1333" t="s">
        <v>304</v>
      </c>
      <c r="C1333" t="s">
        <v>3631</v>
      </c>
      <c r="G1333" t="s">
        <v>308</v>
      </c>
      <c r="L1333" s="38">
        <v>-25</v>
      </c>
      <c r="M1333" t="s">
        <v>335</v>
      </c>
    </row>
    <row r="1334" spans="1:13" ht="15.75" customHeight="1">
      <c r="A1334" t="s">
        <v>3632</v>
      </c>
      <c r="B1334" t="s">
        <v>304</v>
      </c>
      <c r="C1334" t="s">
        <v>3633</v>
      </c>
      <c r="G1334" t="s">
        <v>308</v>
      </c>
      <c r="L1334" s="38">
        <v>-50</v>
      </c>
      <c r="M1334" t="s">
        <v>335</v>
      </c>
    </row>
    <row r="1335" spans="1:13" ht="15.75" customHeight="1">
      <c r="A1335" t="s">
        <v>3634</v>
      </c>
      <c r="B1335" t="s">
        <v>304</v>
      </c>
      <c r="C1335" t="s">
        <v>3635</v>
      </c>
      <c r="G1335" t="s">
        <v>308</v>
      </c>
      <c r="L1335" s="38">
        <v>-75</v>
      </c>
      <c r="M1335" t="s">
        <v>335</v>
      </c>
    </row>
    <row r="1336" spans="1:13" ht="15.75" customHeight="1">
      <c r="A1336" t="s">
        <v>3636</v>
      </c>
      <c r="B1336" t="s">
        <v>304</v>
      </c>
      <c r="C1336" t="s">
        <v>3637</v>
      </c>
      <c r="G1336" t="s">
        <v>308</v>
      </c>
      <c r="L1336" s="38">
        <v>-100</v>
      </c>
      <c r="M1336" t="s">
        <v>335</v>
      </c>
    </row>
    <row r="1337" spans="1:13" ht="15.75" customHeight="1">
      <c r="A1337" t="s">
        <v>3638</v>
      </c>
      <c r="B1337" t="s">
        <v>304</v>
      </c>
      <c r="C1337" t="s">
        <v>3639</v>
      </c>
      <c r="G1337" t="s">
        <v>308</v>
      </c>
      <c r="L1337" s="38">
        <v>-150</v>
      </c>
      <c r="M1337" t="s">
        <v>335</v>
      </c>
    </row>
    <row r="1338" spans="1:13" ht="15.75" customHeight="1">
      <c r="A1338" s="7" t="s">
        <v>3640</v>
      </c>
      <c r="B1338" s="8" t="s">
        <v>304</v>
      </c>
      <c r="C1338" s="33" t="s">
        <v>3641</v>
      </c>
      <c r="G1338" s="8" t="s">
        <v>308</v>
      </c>
      <c r="L1338" s="38">
        <v>250</v>
      </c>
      <c r="M1338" t="s">
        <v>3627</v>
      </c>
    </row>
    <row r="1339" spans="1:13" ht="15.75" customHeight="1">
      <c r="A1339" s="7" t="s">
        <v>3642</v>
      </c>
      <c r="B1339" s="8" t="s">
        <v>304</v>
      </c>
      <c r="C1339" s="10" t="s">
        <v>3643</v>
      </c>
      <c r="G1339" s="8" t="s">
        <v>308</v>
      </c>
      <c r="L1339" s="38">
        <v>300</v>
      </c>
      <c r="M1339" t="s">
        <v>3627</v>
      </c>
    </row>
    <row r="1340" spans="1:13" ht="15.75" customHeight="1">
      <c r="A1340" s="7" t="s">
        <v>3644</v>
      </c>
      <c r="B1340" s="8" t="s">
        <v>304</v>
      </c>
      <c r="C1340" s="10" t="s">
        <v>3645</v>
      </c>
      <c r="G1340" s="8" t="s">
        <v>308</v>
      </c>
      <c r="L1340" s="38">
        <v>300</v>
      </c>
      <c r="M1340" t="s">
        <v>3627</v>
      </c>
    </row>
    <row r="1341" spans="1:13" ht="15.75" customHeight="1">
      <c r="A1341" s="7" t="s">
        <v>3646</v>
      </c>
      <c r="B1341" s="8" t="s">
        <v>304</v>
      </c>
      <c r="C1341" s="10" t="s">
        <v>3647</v>
      </c>
      <c r="G1341" s="8" t="s">
        <v>308</v>
      </c>
      <c r="L1341" s="38">
        <v>300</v>
      </c>
      <c r="M1341" t="s">
        <v>3627</v>
      </c>
    </row>
    <row r="1342" spans="1:13" ht="15.75" customHeight="1">
      <c r="A1342" s="7" t="s">
        <v>3648</v>
      </c>
      <c r="B1342" s="8" t="s">
        <v>304</v>
      </c>
      <c r="C1342" s="10" t="s">
        <v>3649</v>
      </c>
      <c r="G1342" s="8" t="s">
        <v>308</v>
      </c>
      <c r="L1342" s="38">
        <v>300</v>
      </c>
      <c r="M1342" t="s">
        <v>3627</v>
      </c>
    </row>
    <row r="1343" spans="1:13" ht="15.75" customHeight="1">
      <c r="A1343" s="7" t="s">
        <v>3650</v>
      </c>
      <c r="B1343" s="8" t="s">
        <v>304</v>
      </c>
      <c r="C1343" s="33" t="s">
        <v>3651</v>
      </c>
      <c r="G1343" s="8" t="s">
        <v>308</v>
      </c>
      <c r="L1343" s="38">
        <v>-300</v>
      </c>
      <c r="M1343" t="s">
        <v>3627</v>
      </c>
    </row>
    <row r="1344" spans="1:13" ht="15.75" customHeight="1">
      <c r="A1344" s="7" t="s">
        <v>3652</v>
      </c>
      <c r="B1344" s="8" t="s">
        <v>304</v>
      </c>
      <c r="C1344" s="33" t="s">
        <v>3653</v>
      </c>
      <c r="G1344" s="8" t="s">
        <v>308</v>
      </c>
      <c r="L1344" s="38">
        <v>-100</v>
      </c>
      <c r="M1344" t="s">
        <v>3627</v>
      </c>
    </row>
    <row r="1345" spans="1:13" ht="15.75" customHeight="1">
      <c r="A1345" s="7" t="s">
        <v>3654</v>
      </c>
      <c r="B1345" s="8" t="s">
        <v>304</v>
      </c>
      <c r="C1345" s="10" t="s">
        <v>3655</v>
      </c>
      <c r="G1345" s="8" t="s">
        <v>308</v>
      </c>
      <c r="L1345" s="38">
        <v>300</v>
      </c>
      <c r="M1345" t="s">
        <v>3627</v>
      </c>
    </row>
    <row r="1346" spans="1:13" ht="15.75" customHeight="1">
      <c r="A1346" s="7" t="s">
        <v>3656</v>
      </c>
      <c r="B1346" s="8" t="s">
        <v>304</v>
      </c>
      <c r="C1346" s="33" t="s">
        <v>3657</v>
      </c>
      <c r="G1346" s="8" t="s">
        <v>308</v>
      </c>
      <c r="L1346" s="38">
        <v>0</v>
      </c>
      <c r="M1346" t="s">
        <v>335</v>
      </c>
    </row>
    <row r="1347" spans="1:13" ht="15.75" customHeight="1">
      <c r="A1347" s="7" t="s">
        <v>3658</v>
      </c>
      <c r="B1347" s="8" t="s">
        <v>304</v>
      </c>
      <c r="C1347" s="33" t="s">
        <v>3659</v>
      </c>
      <c r="G1347" s="8" t="s">
        <v>308</v>
      </c>
      <c r="L1347" s="38">
        <v>0</v>
      </c>
      <c r="M1347" t="s">
        <v>335</v>
      </c>
    </row>
    <row r="1348" spans="1:13" ht="15.75" customHeight="1">
      <c r="A1348" s="7" t="s">
        <v>3660</v>
      </c>
      <c r="B1348" s="8" t="s">
        <v>304</v>
      </c>
      <c r="C1348" s="33" t="s">
        <v>3661</v>
      </c>
      <c r="G1348" s="8" t="s">
        <v>308</v>
      </c>
      <c r="L1348" s="38">
        <v>0</v>
      </c>
      <c r="M1348" t="s">
        <v>335</v>
      </c>
    </row>
    <row r="1349" spans="1:13" ht="15.75" customHeight="1">
      <c r="A1349" s="7" t="s">
        <v>3662</v>
      </c>
      <c r="B1349" s="8" t="s">
        <v>304</v>
      </c>
      <c r="C1349" s="33" t="s">
        <v>3663</v>
      </c>
      <c r="G1349" s="8" t="s">
        <v>308</v>
      </c>
      <c r="L1349" s="38">
        <v>0</v>
      </c>
      <c r="M1349" t="s">
        <v>335</v>
      </c>
    </row>
    <row r="1350" spans="1:13" ht="15.75" customHeight="1">
      <c r="A1350" s="7" t="s">
        <v>3664</v>
      </c>
      <c r="B1350" s="8" t="s">
        <v>304</v>
      </c>
      <c r="C1350" s="13" t="s">
        <v>3665</v>
      </c>
      <c r="G1350" s="8" t="s">
        <v>308</v>
      </c>
      <c r="L1350" s="38">
        <v>120</v>
      </c>
      <c r="M1350" t="s">
        <v>335</v>
      </c>
    </row>
    <row r="1351" spans="1:13" ht="15.75" customHeight="1">
      <c r="A1351" s="7" t="s">
        <v>3666</v>
      </c>
      <c r="B1351" s="8" t="s">
        <v>304</v>
      </c>
      <c r="C1351" s="13" t="s">
        <v>3667</v>
      </c>
      <c r="G1351" s="8" t="s">
        <v>308</v>
      </c>
      <c r="L1351" s="38">
        <v>250</v>
      </c>
      <c r="M1351" t="s">
        <v>335</v>
      </c>
    </row>
    <row r="1352" spans="1:13" ht="15.75" customHeight="1">
      <c r="A1352" s="7" t="s">
        <v>3668</v>
      </c>
      <c r="B1352" s="8" t="s">
        <v>304</v>
      </c>
      <c r="C1352" s="13" t="s">
        <v>3669</v>
      </c>
      <c r="G1352" s="8" t="s">
        <v>308</v>
      </c>
      <c r="L1352" s="38">
        <v>150</v>
      </c>
      <c r="M1352" t="s">
        <v>335</v>
      </c>
    </row>
    <row r="1353" spans="1:13" ht="15.75" customHeight="1">
      <c r="A1353" s="7" t="s">
        <v>3670</v>
      </c>
      <c r="B1353" s="8" t="s">
        <v>304</v>
      </c>
      <c r="C1353" s="13" t="s">
        <v>3671</v>
      </c>
      <c r="G1353" s="8" t="s">
        <v>308</v>
      </c>
      <c r="L1353" s="38">
        <v>100</v>
      </c>
      <c r="M1353" t="s">
        <v>335</v>
      </c>
    </row>
    <row r="1354" spans="1:13" ht="15.75" customHeight="1">
      <c r="A1354" s="7" t="s">
        <v>3672</v>
      </c>
      <c r="B1354" s="8" t="s">
        <v>304</v>
      </c>
      <c r="C1354" s="13" t="s">
        <v>3673</v>
      </c>
      <c r="G1354" s="8" t="s">
        <v>308</v>
      </c>
      <c r="L1354" s="38">
        <v>-800</v>
      </c>
      <c r="M1354" t="s">
        <v>335</v>
      </c>
    </row>
    <row r="1355" spans="1:13" ht="15.75" customHeight="1">
      <c r="A1355" s="7" t="s">
        <v>3674</v>
      </c>
      <c r="B1355" s="8" t="s">
        <v>304</v>
      </c>
      <c r="C1355" s="13" t="s">
        <v>3675</v>
      </c>
      <c r="G1355" s="8" t="s">
        <v>308</v>
      </c>
      <c r="L1355" s="38">
        <v>100</v>
      </c>
      <c r="M1355" t="s">
        <v>335</v>
      </c>
    </row>
    <row r="1356" spans="1:13" ht="15.75" customHeight="1">
      <c r="A1356" s="7" t="s">
        <v>3676</v>
      </c>
      <c r="B1356" s="8" t="s">
        <v>304</v>
      </c>
      <c r="C1356" s="13" t="s">
        <v>3677</v>
      </c>
      <c r="G1356" s="8" t="s">
        <v>308</v>
      </c>
      <c r="L1356" s="38">
        <v>-400</v>
      </c>
      <c r="M1356" t="s">
        <v>335</v>
      </c>
    </row>
    <row r="1357" spans="1:13" ht="15.75" customHeight="1">
      <c r="A1357" s="7" t="s">
        <v>3678</v>
      </c>
      <c r="B1357" s="8" t="s">
        <v>304</v>
      </c>
      <c r="C1357" s="13" t="s">
        <v>3679</v>
      </c>
      <c r="G1357" s="8" t="s">
        <v>308</v>
      </c>
      <c r="L1357" s="38">
        <v>150</v>
      </c>
      <c r="M1357" t="s">
        <v>335</v>
      </c>
    </row>
    <row r="1358" spans="1:13" ht="15.75" customHeight="1">
      <c r="A1358" t="s">
        <v>3680</v>
      </c>
      <c r="B1358" t="s">
        <v>304</v>
      </c>
      <c r="C1358" t="s">
        <v>3681</v>
      </c>
      <c r="G1358" t="s">
        <v>308</v>
      </c>
      <c r="L1358" s="38">
        <v>-30</v>
      </c>
      <c r="M1358" t="s">
        <v>335</v>
      </c>
    </row>
    <row r="1359" spans="1:13" ht="15.75" customHeight="1">
      <c r="A1359" t="s">
        <v>3682</v>
      </c>
      <c r="B1359" t="s">
        <v>304</v>
      </c>
      <c r="C1359" t="s">
        <v>3683</v>
      </c>
      <c r="G1359" t="s">
        <v>308</v>
      </c>
      <c r="L1359" s="38">
        <v>-60</v>
      </c>
      <c r="M1359" t="s">
        <v>335</v>
      </c>
    </row>
    <row r="1360" spans="1:13" ht="15.75" customHeight="1">
      <c r="A1360" t="s">
        <v>3684</v>
      </c>
      <c r="B1360" t="s">
        <v>304</v>
      </c>
      <c r="C1360" t="s">
        <v>3685</v>
      </c>
      <c r="G1360" t="s">
        <v>308</v>
      </c>
      <c r="L1360" s="38">
        <v>-90</v>
      </c>
      <c r="M1360" t="s">
        <v>335</v>
      </c>
    </row>
    <row r="1361" spans="1:17" ht="15.75" customHeight="1">
      <c r="A1361" t="s">
        <v>3686</v>
      </c>
      <c r="B1361" t="s">
        <v>304</v>
      </c>
      <c r="C1361" t="s">
        <v>3687</v>
      </c>
      <c r="G1361" t="s">
        <v>308</v>
      </c>
      <c r="L1361" s="38">
        <v>-120</v>
      </c>
      <c r="M1361" t="s">
        <v>335</v>
      </c>
    </row>
    <row r="1362" spans="1:17" ht="15.75" customHeight="1">
      <c r="A1362" t="s">
        <v>3688</v>
      </c>
      <c r="B1362" t="s">
        <v>304</v>
      </c>
      <c r="C1362" t="s">
        <v>3689</v>
      </c>
      <c r="G1362" t="s">
        <v>308</v>
      </c>
      <c r="L1362" s="38">
        <v>-180</v>
      </c>
      <c r="M1362" t="s">
        <v>335</v>
      </c>
    </row>
    <row r="1363" spans="1:17" ht="15.75" customHeight="1">
      <c r="A1363" s="7" t="s">
        <v>3690</v>
      </c>
      <c r="B1363" s="8" t="s">
        <v>304</v>
      </c>
      <c r="C1363" s="13" t="s">
        <v>3691</v>
      </c>
      <c r="G1363" s="8" t="s">
        <v>308</v>
      </c>
      <c r="L1363" s="38">
        <v>150</v>
      </c>
      <c r="M1363" t="s">
        <v>335</v>
      </c>
    </row>
    <row r="1364" spans="1:17" ht="15.75" customHeight="1">
      <c r="A1364" t="s">
        <v>3692</v>
      </c>
      <c r="B1364" t="s">
        <v>304</v>
      </c>
      <c r="C1364" t="s">
        <v>3693</v>
      </c>
      <c r="G1364" t="s">
        <v>308</v>
      </c>
      <c r="L1364" s="38">
        <v>-30</v>
      </c>
      <c r="M1364" t="s">
        <v>335</v>
      </c>
    </row>
    <row r="1365" spans="1:17" ht="15.75" customHeight="1">
      <c r="A1365" t="s">
        <v>3694</v>
      </c>
      <c r="B1365" t="s">
        <v>304</v>
      </c>
      <c r="C1365" t="s">
        <v>3695</v>
      </c>
      <c r="G1365" t="s">
        <v>308</v>
      </c>
      <c r="L1365" s="38">
        <v>-60</v>
      </c>
      <c r="M1365" t="s">
        <v>335</v>
      </c>
    </row>
    <row r="1366" spans="1:17" ht="15.75" customHeight="1">
      <c r="A1366" t="s">
        <v>3696</v>
      </c>
      <c r="B1366" t="s">
        <v>304</v>
      </c>
      <c r="C1366" t="s">
        <v>3697</v>
      </c>
      <c r="G1366" t="s">
        <v>308</v>
      </c>
      <c r="L1366" s="38">
        <v>-90</v>
      </c>
      <c r="M1366" t="s">
        <v>335</v>
      </c>
    </row>
    <row r="1367" spans="1:17" ht="15.75" customHeight="1">
      <c r="A1367" t="s">
        <v>3698</v>
      </c>
      <c r="B1367" t="s">
        <v>304</v>
      </c>
      <c r="C1367" t="s">
        <v>3699</v>
      </c>
      <c r="G1367" t="s">
        <v>308</v>
      </c>
      <c r="L1367" s="38">
        <v>-120</v>
      </c>
      <c r="M1367" t="s">
        <v>335</v>
      </c>
    </row>
    <row r="1368" spans="1:17" ht="15.75" customHeight="1">
      <c r="A1368" t="s">
        <v>3700</v>
      </c>
      <c r="B1368" t="s">
        <v>304</v>
      </c>
      <c r="C1368" t="s">
        <v>3701</v>
      </c>
      <c r="G1368" t="s">
        <v>308</v>
      </c>
      <c r="L1368" s="38">
        <v>-180</v>
      </c>
      <c r="M1368" t="s">
        <v>335</v>
      </c>
    </row>
    <row r="1369" spans="1:17" ht="15.75" customHeight="1">
      <c r="A1369" s="7" t="s">
        <v>3702</v>
      </c>
      <c r="B1369" s="8" t="s">
        <v>304</v>
      </c>
      <c r="C1369" s="13" t="s">
        <v>3703</v>
      </c>
      <c r="G1369" s="8" t="s">
        <v>308</v>
      </c>
      <c r="L1369" s="38">
        <v>1500</v>
      </c>
      <c r="M1369" t="s">
        <v>335</v>
      </c>
    </row>
    <row r="1370" spans="1:17" ht="15.75" customHeight="1">
      <c r="A1370" s="7" t="s">
        <v>3704</v>
      </c>
      <c r="B1370" s="8" t="s">
        <v>304</v>
      </c>
      <c r="C1370" s="13" t="s">
        <v>3705</v>
      </c>
      <c r="G1370" s="8" t="s">
        <v>308</v>
      </c>
      <c r="L1370" s="38">
        <v>-120</v>
      </c>
      <c r="M1370" t="s">
        <v>335</v>
      </c>
    </row>
    <row r="1371" spans="1:17" ht="15.75" customHeight="1">
      <c r="A1371" s="7" t="s">
        <v>3706</v>
      </c>
      <c r="B1371" s="8" t="s">
        <v>304</v>
      </c>
      <c r="C1371" s="13" t="s">
        <v>3707</v>
      </c>
      <c r="E1371" t="s">
        <v>3708</v>
      </c>
      <c r="G1371" s="8" t="s">
        <v>308</v>
      </c>
      <c r="L1371" s="38">
        <v>-50</v>
      </c>
      <c r="M1371" t="s">
        <v>3613</v>
      </c>
      <c r="Q1371" t="s">
        <v>3709</v>
      </c>
    </row>
    <row r="1372" spans="1:17" ht="15.75" customHeight="1">
      <c r="A1372" s="7" t="s">
        <v>3710</v>
      </c>
      <c r="B1372" s="8" t="s">
        <v>304</v>
      </c>
      <c r="C1372" s="13" t="s">
        <v>3711</v>
      </c>
      <c r="G1372" s="8" t="s">
        <v>308</v>
      </c>
      <c r="L1372" s="38">
        <v>1000</v>
      </c>
      <c r="M1372" t="s">
        <v>335</v>
      </c>
    </row>
    <row r="1373" spans="1:17" ht="15.75" customHeight="1">
      <c r="A1373" s="7" t="s">
        <v>3712</v>
      </c>
      <c r="B1373" s="8" t="s">
        <v>304</v>
      </c>
      <c r="C1373" s="13" t="s">
        <v>3713</v>
      </c>
      <c r="G1373" s="8" t="s">
        <v>308</v>
      </c>
      <c r="L1373" s="38">
        <v>100</v>
      </c>
      <c r="M1373" t="s">
        <v>335</v>
      </c>
    </row>
    <row r="1374" spans="1:17" ht="15.75" customHeight="1">
      <c r="A1374" t="s">
        <v>3714</v>
      </c>
      <c r="B1374" t="s">
        <v>242</v>
      </c>
      <c r="C1374" s="28" t="s">
        <v>3715</v>
      </c>
      <c r="E1374" s="22" t="s">
        <v>3716</v>
      </c>
      <c r="F1374" s="22"/>
      <c r="G1374" t="s">
        <v>7</v>
      </c>
      <c r="H1374" t="s">
        <v>3717</v>
      </c>
    </row>
    <row r="1375" spans="1:17">
      <c r="C1375" s="13"/>
      <c r="E1375" s="12"/>
      <c r="F1375" s="12"/>
      <c r="G1375" s="12"/>
    </row>
    <row r="1376" spans="1:17">
      <c r="C1376" s="13"/>
      <c r="E1376" s="12"/>
      <c r="F1376" s="12"/>
      <c r="G1376" s="12"/>
    </row>
    <row r="1377" spans="3:7">
      <c r="C1377" s="13"/>
      <c r="E1377" s="12"/>
      <c r="F1377" s="12"/>
      <c r="G1377" s="12"/>
    </row>
    <row r="1396" spans="8:9">
      <c r="H1396" s="7"/>
      <c r="I1396" s="7"/>
    </row>
    <row r="1402" spans="8:9">
      <c r="H1402" s="7"/>
      <c r="I1402" s="7"/>
    </row>
    <row r="1424" spans="8:9">
      <c r="H1424" s="7"/>
      <c r="I1424" s="7"/>
    </row>
    <row r="1430" spans="3:9">
      <c r="H1430" s="7"/>
      <c r="I1430" s="7"/>
    </row>
    <row r="1433" spans="3:9">
      <c r="C1433" s="28"/>
      <c r="E1433" s="22"/>
      <c r="F1433" s="22"/>
    </row>
    <row r="1434" spans="3:9">
      <c r="C1434" s="28"/>
      <c r="E1434" s="22"/>
      <c r="F1434" s="22"/>
    </row>
    <row r="1435" spans="3:9">
      <c r="C1435" s="28"/>
      <c r="E1435" s="22"/>
      <c r="F1435" s="22"/>
    </row>
    <row r="1436" spans="3:9">
      <c r="C1436" s="28"/>
      <c r="E1436" s="22"/>
      <c r="F1436" s="22"/>
    </row>
    <row r="1437" spans="3:9">
      <c r="C1437" s="28"/>
      <c r="E1437" s="22"/>
      <c r="F1437" s="22"/>
    </row>
    <row r="1438" spans="3:9">
      <c r="C1438" s="28"/>
      <c r="E1438" s="22"/>
      <c r="F1438" s="22"/>
    </row>
    <row r="1439" spans="3:9">
      <c r="C1439" s="28"/>
      <c r="E1439" s="22"/>
      <c r="F1439" s="22"/>
    </row>
    <row r="1440" spans="3:9">
      <c r="C1440" s="28"/>
      <c r="E1440" s="22"/>
      <c r="F1440" s="22"/>
    </row>
    <row r="1441" spans="3:6">
      <c r="C1441" s="28"/>
      <c r="E1441" s="22"/>
      <c r="F1441" s="22"/>
    </row>
    <row r="1442" spans="3:6">
      <c r="C1442" s="28"/>
      <c r="E1442" s="22"/>
      <c r="F1442" s="22"/>
    </row>
    <row r="1443" spans="3:6">
      <c r="C1443" s="28"/>
      <c r="E1443" s="22"/>
      <c r="F1443" s="22"/>
    </row>
    <row r="1444" spans="3:6">
      <c r="C1444" s="28"/>
      <c r="E1444" s="22"/>
      <c r="F1444" s="22"/>
    </row>
    <row r="1445" spans="3:6">
      <c r="C1445" s="28"/>
      <c r="E1445" s="22"/>
      <c r="F1445" s="22"/>
    </row>
    <row r="1446" spans="3:6">
      <c r="C1446" s="28"/>
      <c r="E1446" s="22"/>
      <c r="F1446" s="22"/>
    </row>
    <row r="1447" spans="3:6">
      <c r="C1447" s="28"/>
      <c r="E1447" s="22"/>
      <c r="F1447" s="22"/>
    </row>
    <row r="1448" spans="3:6">
      <c r="C1448" s="28"/>
      <c r="E1448" s="22"/>
      <c r="F1448" s="22"/>
    </row>
    <row r="1449" spans="3:6">
      <c r="C1449" s="28"/>
      <c r="E1449" s="22"/>
      <c r="F1449" s="22"/>
    </row>
    <row r="1450" spans="3:6">
      <c r="C1450" s="28"/>
      <c r="E1450" s="22"/>
      <c r="F1450" s="22"/>
    </row>
    <row r="1451" spans="3:6">
      <c r="C1451" s="28"/>
      <c r="E1451" s="22"/>
      <c r="F1451" s="22"/>
    </row>
    <row r="1452" spans="3:6">
      <c r="C1452" s="28"/>
      <c r="E1452" s="22"/>
      <c r="F1452" s="22"/>
    </row>
    <row r="1453" spans="3:6">
      <c r="C1453" s="28"/>
      <c r="E1453" s="22"/>
      <c r="F1453" s="22"/>
    </row>
    <row r="1454" spans="3:6">
      <c r="C1454" s="28"/>
      <c r="E1454" s="22"/>
      <c r="F1454" s="22"/>
    </row>
    <row r="1455" spans="3:6">
      <c r="C1455" s="28"/>
      <c r="E1455" s="22"/>
      <c r="F1455" s="22"/>
    </row>
    <row r="1456" spans="3:6">
      <c r="C1456" s="28"/>
      <c r="E1456" s="22"/>
      <c r="F1456" s="22"/>
    </row>
    <row r="1457" spans="3:7">
      <c r="C1457" s="28"/>
      <c r="E1457" s="22"/>
      <c r="F1457" s="22"/>
    </row>
    <row r="1458" spans="3:7">
      <c r="C1458" s="28"/>
      <c r="E1458" s="22"/>
      <c r="F1458" s="22"/>
    </row>
    <row r="1459" spans="3:7">
      <c r="C1459" s="28"/>
      <c r="E1459" s="22"/>
      <c r="F1459" s="22"/>
    </row>
    <row r="1460" spans="3:7">
      <c r="C1460" s="28"/>
      <c r="E1460" s="22"/>
      <c r="F1460" s="22"/>
    </row>
    <row r="1461" spans="3:7">
      <c r="C1461" s="28"/>
      <c r="E1461" s="22"/>
      <c r="F1461" s="22"/>
    </row>
    <row r="1462" spans="3:7">
      <c r="C1462" s="28"/>
      <c r="E1462" s="22"/>
      <c r="F1462" s="22"/>
    </row>
    <row r="1463" spans="3:7">
      <c r="C1463" s="28"/>
      <c r="E1463" s="22"/>
      <c r="F1463" s="22"/>
    </row>
    <row r="1464" spans="3:7">
      <c r="C1464" s="28"/>
      <c r="E1464" s="22"/>
      <c r="F1464" s="22"/>
    </row>
    <row r="1465" spans="3:7">
      <c r="C1465" s="28"/>
      <c r="E1465" s="22"/>
      <c r="F1465" s="22"/>
    </row>
    <row r="1466" spans="3:7">
      <c r="C1466" s="28"/>
      <c r="E1466" s="22"/>
      <c r="F1466" s="22"/>
    </row>
    <row r="1467" spans="3:7">
      <c r="C1467" s="28"/>
      <c r="E1467" s="22"/>
      <c r="F1467" s="22"/>
    </row>
    <row r="1468" spans="3:7">
      <c r="C1468" s="28"/>
      <c r="E1468" s="22"/>
      <c r="F1468" s="22"/>
    </row>
    <row r="1469" spans="3:7">
      <c r="C1469" s="28"/>
      <c r="E1469" s="22"/>
      <c r="F1469" s="22"/>
    </row>
    <row r="1470" spans="3:7">
      <c r="C1470" s="28"/>
      <c r="E1470" s="22"/>
      <c r="F1470" s="22"/>
    </row>
    <row r="1471" spans="3:7">
      <c r="C1471" s="28"/>
      <c r="E1471" s="22"/>
      <c r="F1471" s="22"/>
    </row>
    <row r="1472" spans="3:7">
      <c r="C1472" s="13"/>
      <c r="E1472" s="12"/>
      <c r="F1472" s="12"/>
      <c r="G1472" s="12"/>
    </row>
    <row r="1473" spans="3:7">
      <c r="C1473" s="13"/>
      <c r="E1473" s="12"/>
      <c r="F1473" s="12"/>
      <c r="G1473" s="12"/>
    </row>
    <row r="1474" spans="3:7">
      <c r="C1474" s="13"/>
      <c r="E1474" s="12"/>
      <c r="F1474" s="12"/>
      <c r="G1474" s="12"/>
    </row>
    <row r="1475" spans="3:7">
      <c r="C1475" s="13"/>
      <c r="E1475" s="12"/>
      <c r="F1475" s="12"/>
      <c r="G1475" s="12"/>
    </row>
    <row r="1476" spans="3:7">
      <c r="C1476" s="13"/>
      <c r="E1476" s="12"/>
      <c r="F1476" s="12"/>
      <c r="G1476" s="12"/>
    </row>
    <row r="1477" spans="3:7">
      <c r="C1477" s="13"/>
      <c r="E1477" s="12"/>
      <c r="F1477" s="12"/>
      <c r="G1477" s="12"/>
    </row>
    <row r="1478" spans="3:7">
      <c r="C1478" s="13"/>
      <c r="E1478" s="12"/>
      <c r="F1478" s="12"/>
      <c r="G1478" s="12"/>
    </row>
    <row r="1479" spans="3:7">
      <c r="C1479" s="13"/>
      <c r="E1479" s="12"/>
      <c r="F1479" s="12"/>
      <c r="G1479" s="12"/>
    </row>
    <row r="1480" spans="3:7">
      <c r="C1480" s="13"/>
      <c r="E1480" s="12"/>
      <c r="F1480" s="12"/>
      <c r="G1480" s="12"/>
    </row>
    <row r="1481" spans="3:7">
      <c r="C1481" s="32"/>
      <c r="E1481" s="12"/>
      <c r="F1481" s="12"/>
      <c r="G1481" s="12"/>
    </row>
    <row r="1482" spans="3:7">
      <c r="C1482" s="13"/>
      <c r="E1482" s="12"/>
      <c r="F1482" s="12"/>
      <c r="G1482" s="12"/>
    </row>
    <row r="1483" spans="3:7">
      <c r="C1483" s="32"/>
      <c r="E1483" s="12"/>
      <c r="F1483" s="12"/>
      <c r="G1483" s="12"/>
    </row>
    <row r="1484" spans="3:7">
      <c r="C1484" s="32"/>
      <c r="E1484" s="12"/>
      <c r="F1484" s="12"/>
      <c r="G1484" s="12"/>
    </row>
    <row r="1485" spans="3:7">
      <c r="C1485" s="13"/>
      <c r="E1485" s="12"/>
      <c r="F1485" s="12"/>
      <c r="G1485" s="12"/>
    </row>
    <row r="1486" spans="3:7">
      <c r="C1486" s="13"/>
      <c r="E1486" s="12"/>
      <c r="F1486" s="12"/>
      <c r="G1486" s="12"/>
    </row>
    <row r="1487" spans="3:7">
      <c r="C1487" s="32"/>
      <c r="E1487" s="12"/>
      <c r="F1487" s="12"/>
      <c r="G1487" s="12"/>
    </row>
    <row r="1488" spans="3:7">
      <c r="C1488" s="13"/>
      <c r="E1488" s="12"/>
      <c r="F1488" s="12"/>
      <c r="G1488" s="12"/>
    </row>
    <row r="1489" spans="3:7">
      <c r="C1489" s="32"/>
      <c r="E1489" s="12"/>
      <c r="F1489" s="12"/>
      <c r="G1489" s="12"/>
    </row>
    <row r="1490" spans="3:7">
      <c r="C1490" s="32"/>
      <c r="E1490" s="12"/>
      <c r="F1490" s="12"/>
      <c r="G1490" s="12"/>
    </row>
    <row r="1491" spans="3:7">
      <c r="C1491" s="13"/>
      <c r="E1491" s="12"/>
      <c r="F1491" s="12"/>
      <c r="G1491" s="12"/>
    </row>
    <row r="1492" spans="3:7">
      <c r="C1492" s="13"/>
      <c r="E1492" s="12"/>
      <c r="F1492" s="12"/>
      <c r="G1492" s="12"/>
    </row>
    <row r="1493" spans="3:7">
      <c r="C1493" s="13"/>
      <c r="E1493" s="12"/>
      <c r="F1493" s="12"/>
      <c r="G1493" s="12"/>
    </row>
    <row r="1494" spans="3:7">
      <c r="C1494" s="13"/>
      <c r="E1494" s="12"/>
      <c r="F1494" s="12"/>
      <c r="G1494" s="12"/>
    </row>
    <row r="1495" spans="3:7">
      <c r="C1495" s="13"/>
      <c r="E1495" s="12"/>
      <c r="F1495" s="12"/>
      <c r="G1495" s="12"/>
    </row>
    <row r="1496" spans="3:7">
      <c r="C1496" s="13"/>
      <c r="E1496" s="12"/>
      <c r="F1496" s="12"/>
      <c r="G1496" s="12"/>
    </row>
    <row r="1497" spans="3:7">
      <c r="C1497" s="13"/>
      <c r="E1497" s="12"/>
      <c r="F1497" s="12"/>
      <c r="G1497" s="12"/>
    </row>
    <row r="1498" spans="3:7">
      <c r="C1498" s="13"/>
      <c r="E1498" s="12"/>
      <c r="F1498" s="12"/>
      <c r="G1498" s="12"/>
    </row>
    <row r="1499" spans="3:7">
      <c r="C1499" s="13"/>
      <c r="E1499" s="12"/>
      <c r="F1499" s="12"/>
      <c r="G1499" s="12"/>
    </row>
    <row r="1500" spans="3:7">
      <c r="C1500" s="13"/>
      <c r="E1500" s="12"/>
      <c r="F1500" s="12"/>
      <c r="G1500" s="12"/>
    </row>
    <row r="1501" spans="3:7">
      <c r="C1501" s="13"/>
      <c r="E1501" s="12"/>
      <c r="F1501" s="12"/>
      <c r="G1501" s="12"/>
    </row>
    <row r="1502" spans="3:7">
      <c r="C1502" s="13"/>
      <c r="E1502" s="12"/>
      <c r="F1502" s="12"/>
      <c r="G1502" s="12"/>
    </row>
    <row r="1503" spans="3:7">
      <c r="C1503" s="13"/>
      <c r="E1503" s="12"/>
      <c r="F1503" s="12"/>
      <c r="G1503" s="12"/>
    </row>
    <row r="1504" spans="3:7">
      <c r="C1504" s="13"/>
      <c r="E1504" s="12"/>
      <c r="F1504" s="12"/>
      <c r="G1504" s="12"/>
    </row>
    <row r="1505" spans="3:7">
      <c r="C1505" s="13"/>
      <c r="E1505" s="12"/>
      <c r="F1505" s="12"/>
      <c r="G1505" s="12"/>
    </row>
    <row r="1506" spans="3:7">
      <c r="C1506" s="13"/>
      <c r="E1506" s="12"/>
      <c r="F1506" s="12"/>
      <c r="G1506" s="12"/>
    </row>
    <row r="1507" spans="3:7">
      <c r="C1507" s="13"/>
      <c r="E1507" s="12"/>
      <c r="F1507" s="12"/>
      <c r="G1507" s="12"/>
    </row>
    <row r="1508" spans="3:7">
      <c r="C1508" s="13"/>
      <c r="E1508" s="12"/>
      <c r="F1508" s="12"/>
      <c r="G1508" s="12"/>
    </row>
    <row r="1509" spans="3:7">
      <c r="C1509" s="13"/>
      <c r="E1509" s="12"/>
      <c r="F1509" s="12"/>
      <c r="G1509" s="12"/>
    </row>
    <row r="1510" spans="3:7">
      <c r="C1510" s="13"/>
      <c r="E1510" s="12"/>
      <c r="F1510" s="12"/>
      <c r="G1510" s="12"/>
    </row>
    <row r="1511" spans="3:7">
      <c r="C1511" s="13"/>
      <c r="E1511" s="12"/>
      <c r="F1511" s="12"/>
      <c r="G1511" s="12"/>
    </row>
    <row r="1512" spans="3:7">
      <c r="C1512" s="33"/>
      <c r="E1512" s="12"/>
      <c r="F1512" s="12"/>
      <c r="G1512" s="12"/>
    </row>
    <row r="1513" spans="3:7">
      <c r="C1513" s="33"/>
      <c r="E1513" s="12"/>
      <c r="F1513" s="12"/>
      <c r="G1513" s="12"/>
    </row>
    <row r="1514" spans="3:7">
      <c r="C1514" s="33"/>
      <c r="E1514" s="12"/>
      <c r="F1514" s="12"/>
      <c r="G1514" s="12"/>
    </row>
    <row r="1515" spans="3:7">
      <c r="C1515" s="33"/>
      <c r="E1515" s="12"/>
      <c r="F1515" s="12"/>
      <c r="G1515" s="12"/>
    </row>
    <row r="1516" spans="3:7">
      <c r="C1516" s="33"/>
      <c r="E1516" s="12"/>
      <c r="F1516" s="12"/>
      <c r="G1516" s="12"/>
    </row>
    <row r="1517" spans="3:7">
      <c r="C1517" s="33"/>
      <c r="E1517" s="12"/>
      <c r="F1517" s="12"/>
      <c r="G1517" s="12"/>
    </row>
    <row r="1518" spans="3:7">
      <c r="C1518" s="33"/>
      <c r="E1518" s="12"/>
      <c r="F1518" s="12"/>
      <c r="G1518" s="12"/>
    </row>
    <row r="1519" spans="3:7">
      <c r="C1519" s="13"/>
      <c r="E1519" s="12"/>
      <c r="F1519" s="12"/>
      <c r="G1519" s="12"/>
    </row>
    <row r="1520" spans="3:7">
      <c r="C1520" s="36"/>
      <c r="E1520" s="12"/>
      <c r="F1520" s="12"/>
      <c r="G1520" s="12"/>
    </row>
    <row r="1521" spans="3:7">
      <c r="C1521" s="13"/>
      <c r="E1521" s="12"/>
      <c r="F1521" s="12"/>
      <c r="G1521" s="12"/>
    </row>
    <row r="1522" spans="3:7">
      <c r="C1522" s="13"/>
      <c r="E1522" s="12"/>
      <c r="F1522" s="12"/>
      <c r="G1522" s="12"/>
    </row>
    <row r="1523" spans="3:7">
      <c r="C1523" s="13"/>
      <c r="E1523" s="12"/>
      <c r="F1523" s="12"/>
      <c r="G1523" s="12"/>
    </row>
    <row r="1524" spans="3:7">
      <c r="C1524" s="36"/>
      <c r="E1524" s="12"/>
      <c r="F1524" s="12"/>
      <c r="G1524" s="12"/>
    </row>
    <row r="1525" spans="3:7">
      <c r="C1525" s="33"/>
      <c r="E1525" s="12"/>
      <c r="F1525" s="12"/>
      <c r="G1525" s="12"/>
    </row>
    <row r="1526" spans="3:7">
      <c r="C1526" s="13"/>
      <c r="E1526" s="12"/>
      <c r="F1526" s="12"/>
      <c r="G1526" s="12"/>
    </row>
    <row r="1527" spans="3:7">
      <c r="C1527" s="13"/>
      <c r="E1527" s="12"/>
      <c r="F1527" s="12"/>
      <c r="G1527" s="12"/>
    </row>
    <row r="1528" spans="3:7">
      <c r="C1528" s="13"/>
      <c r="E1528" s="12"/>
      <c r="F1528" s="12"/>
      <c r="G1528" s="12"/>
    </row>
    <row r="1529" spans="3:7">
      <c r="C1529" s="13"/>
      <c r="E1529" s="12"/>
      <c r="F1529" s="12"/>
      <c r="G1529" s="12"/>
    </row>
    <row r="1530" spans="3:7">
      <c r="C1530" s="13"/>
      <c r="E1530" s="12"/>
      <c r="F1530" s="12"/>
      <c r="G1530" s="12"/>
    </row>
    <row r="1531" spans="3:7">
      <c r="C1531" s="13"/>
      <c r="E1531" s="12"/>
      <c r="F1531" s="12"/>
      <c r="G1531" s="12"/>
    </row>
    <row r="1532" spans="3:7">
      <c r="C1532" s="13"/>
      <c r="E1532" s="12"/>
      <c r="F1532" s="12"/>
      <c r="G1532" s="12"/>
    </row>
    <row r="1533" spans="3:7">
      <c r="C1533" s="13"/>
      <c r="E1533" s="12"/>
      <c r="F1533" s="12"/>
      <c r="G1533" s="12"/>
    </row>
    <row r="1534" spans="3:7">
      <c r="C1534" s="13"/>
      <c r="E1534" s="12"/>
      <c r="F1534" s="12"/>
      <c r="G1534" s="12"/>
    </row>
    <row r="1535" spans="3:7">
      <c r="C1535" s="13"/>
      <c r="E1535" s="12"/>
      <c r="F1535" s="12"/>
      <c r="G1535" s="12"/>
    </row>
    <row r="1536" spans="3:7">
      <c r="C1536" s="13"/>
      <c r="E1536" s="12"/>
      <c r="F1536" s="12"/>
      <c r="G1536" s="12"/>
    </row>
    <row r="1537" spans="1:17">
      <c r="C1537" s="13"/>
      <c r="E1537" s="12"/>
      <c r="F1537" s="12"/>
      <c r="G1537" s="12"/>
    </row>
    <row r="1538" spans="1:17">
      <c r="C1538" s="13"/>
      <c r="E1538" s="12"/>
      <c r="F1538" s="12"/>
      <c r="G1538" s="12"/>
    </row>
    <row r="1539" spans="1:17">
      <c r="C1539" s="13"/>
      <c r="E1539" s="12"/>
      <c r="F1539" s="12"/>
      <c r="G1539" s="12"/>
    </row>
    <row r="1540" spans="1:17">
      <c r="C1540" s="13"/>
      <c r="E1540" s="12"/>
      <c r="F1540" s="12"/>
      <c r="G1540" s="12"/>
    </row>
    <row r="1541" spans="1:17">
      <c r="C1541" s="13"/>
      <c r="E1541" s="12"/>
      <c r="F1541" s="12"/>
      <c r="G1541" s="12"/>
    </row>
    <row r="1542" spans="1:17">
      <c r="C1542" s="13"/>
      <c r="E1542" s="12"/>
      <c r="F1542" s="12"/>
      <c r="G1542" s="12"/>
    </row>
    <row r="1543" spans="1:17">
      <c r="C1543" s="13"/>
      <c r="E1543" s="12"/>
      <c r="F1543" s="12"/>
      <c r="G1543" s="12"/>
    </row>
    <row r="1544" spans="1:17">
      <c r="C1544" s="13"/>
      <c r="E1544" s="12"/>
      <c r="F1544" s="12"/>
      <c r="G1544" s="12"/>
    </row>
    <row r="1545" spans="1:17">
      <c r="C1545" s="13"/>
      <c r="E1545" s="12"/>
      <c r="F1545" s="12"/>
      <c r="G1545" s="12"/>
    </row>
    <row r="1546" spans="1:17">
      <c r="C1546" s="13"/>
    </row>
    <row r="1547" spans="1:17" ht="15.75" customHeight="1">
      <c r="A1547" t="s">
        <v>3718</v>
      </c>
      <c r="B1547" t="s">
        <v>304</v>
      </c>
      <c r="C1547" t="s">
        <v>3719</v>
      </c>
      <c r="G1547" t="s">
        <v>308</v>
      </c>
      <c r="L1547">
        <v>-650</v>
      </c>
      <c r="M1547" t="s">
        <v>3627</v>
      </c>
      <c r="Q1547" t="s">
        <v>3720</v>
      </c>
    </row>
    <row r="1548" spans="1:17" ht="15.75" customHeight="1">
      <c r="A1548" t="s">
        <v>3721</v>
      </c>
      <c r="B1548" t="s">
        <v>304</v>
      </c>
      <c r="C1548" t="s">
        <v>3722</v>
      </c>
      <c r="G1548" t="s">
        <v>308</v>
      </c>
      <c r="L1548">
        <v>-650</v>
      </c>
      <c r="M1548" t="s">
        <v>3627</v>
      </c>
      <c r="Q1548" t="s">
        <v>3720</v>
      </c>
    </row>
    <row r="1549" spans="1:17" ht="15.75" customHeight="1">
      <c r="A1549" t="s">
        <v>3723</v>
      </c>
      <c r="B1549" t="s">
        <v>304</v>
      </c>
      <c r="C1549" t="s">
        <v>3724</v>
      </c>
      <c r="G1549" t="s">
        <v>308</v>
      </c>
      <c r="L1549">
        <v>-650</v>
      </c>
      <c r="M1549" t="s">
        <v>3627</v>
      </c>
      <c r="Q1549" t="s">
        <v>3720</v>
      </c>
    </row>
    <row r="1550" spans="1:17" ht="15.75" customHeight="1">
      <c r="A1550" t="s">
        <v>3725</v>
      </c>
      <c r="B1550" t="s">
        <v>304</v>
      </c>
      <c r="C1550" t="s">
        <v>3726</v>
      </c>
      <c r="G1550" t="s">
        <v>308</v>
      </c>
      <c r="L1550">
        <v>-650</v>
      </c>
      <c r="M1550" t="s">
        <v>3627</v>
      </c>
      <c r="Q1550" t="s">
        <v>3720</v>
      </c>
    </row>
    <row r="1551" spans="1:17" ht="15.75" customHeight="1">
      <c r="A1551" t="s">
        <v>3727</v>
      </c>
      <c r="B1551" t="s">
        <v>304</v>
      </c>
      <c r="C1551" t="s">
        <v>3728</v>
      </c>
      <c r="G1551" t="s">
        <v>308</v>
      </c>
      <c r="L1551">
        <v>-650</v>
      </c>
      <c r="M1551" t="s">
        <v>3627</v>
      </c>
      <c r="Q1551" t="s">
        <v>3720</v>
      </c>
    </row>
    <row r="1552" spans="1:17" ht="15.75" customHeight="1">
      <c r="A1552" t="s">
        <v>3729</v>
      </c>
      <c r="B1552" t="s">
        <v>304</v>
      </c>
      <c r="C1552" t="s">
        <v>3730</v>
      </c>
      <c r="G1552" t="s">
        <v>308</v>
      </c>
      <c r="L1552">
        <v>-650</v>
      </c>
      <c r="M1552" t="s">
        <v>3627</v>
      </c>
      <c r="Q1552" t="s">
        <v>3731</v>
      </c>
    </row>
    <row r="1553" spans="1:17" ht="15.75" customHeight="1">
      <c r="A1553" t="s">
        <v>3732</v>
      </c>
      <c r="B1553" t="s">
        <v>304</v>
      </c>
      <c r="C1553" t="s">
        <v>3733</v>
      </c>
      <c r="G1553" t="s">
        <v>308</v>
      </c>
      <c r="L1553">
        <v>-650</v>
      </c>
      <c r="M1553" t="s">
        <v>3627</v>
      </c>
      <c r="Q1553" t="s">
        <v>3731</v>
      </c>
    </row>
    <row r="1554" spans="1:17" ht="15.75" customHeight="1">
      <c r="A1554" t="s">
        <v>3734</v>
      </c>
      <c r="B1554" t="s">
        <v>304</v>
      </c>
      <c r="C1554" t="s">
        <v>3735</v>
      </c>
      <c r="G1554" t="s">
        <v>308</v>
      </c>
      <c r="L1554">
        <v>-650</v>
      </c>
      <c r="M1554" t="s">
        <v>3627</v>
      </c>
      <c r="Q1554" t="s">
        <v>3731</v>
      </c>
    </row>
    <row r="1555" spans="1:17" ht="15.75" customHeight="1">
      <c r="A1555" t="s">
        <v>3736</v>
      </c>
      <c r="B1555" t="s">
        <v>304</v>
      </c>
      <c r="C1555" t="s">
        <v>3737</v>
      </c>
      <c r="E1555" t="s">
        <v>3738</v>
      </c>
      <c r="F1555" t="s">
        <v>3739</v>
      </c>
      <c r="G1555" t="s">
        <v>308</v>
      </c>
      <c r="J1555" t="s">
        <v>3740</v>
      </c>
      <c r="L1555">
        <v>0</v>
      </c>
      <c r="M1555" t="s">
        <v>3741</v>
      </c>
      <c r="Q1555" t="s">
        <v>3742</v>
      </c>
    </row>
    <row r="1556" spans="1:17" ht="15.75" customHeight="1">
      <c r="A1556" t="s">
        <v>3743</v>
      </c>
      <c r="B1556" t="s">
        <v>304</v>
      </c>
      <c r="C1556" t="s">
        <v>3744</v>
      </c>
      <c r="E1556" t="s">
        <v>3738</v>
      </c>
      <c r="F1556" t="s">
        <v>3739</v>
      </c>
      <c r="G1556" t="s">
        <v>308</v>
      </c>
      <c r="J1556" t="s">
        <v>3740</v>
      </c>
      <c r="L1556">
        <v>0</v>
      </c>
      <c r="M1556" t="s">
        <v>3741</v>
      </c>
      <c r="Q1556" t="s">
        <v>3745</v>
      </c>
    </row>
    <row r="1557" spans="1:17" ht="15.75" customHeight="1">
      <c r="A1557" t="s">
        <v>3746</v>
      </c>
      <c r="B1557" t="s">
        <v>304</v>
      </c>
      <c r="C1557" t="s">
        <v>3747</v>
      </c>
      <c r="E1557" t="s">
        <v>3738</v>
      </c>
      <c r="F1557" t="s">
        <v>3739</v>
      </c>
      <c r="G1557" t="s">
        <v>308</v>
      </c>
      <c r="J1557" t="s">
        <v>3740</v>
      </c>
      <c r="L1557">
        <v>0</v>
      </c>
      <c r="M1557" t="s">
        <v>3741</v>
      </c>
      <c r="Q1557" t="s">
        <v>3748</v>
      </c>
    </row>
    <row r="1558" spans="1:17" ht="15.75" customHeight="1">
      <c r="A1558" t="s">
        <v>3749</v>
      </c>
      <c r="B1558" t="s">
        <v>304</v>
      </c>
      <c r="C1558" t="s">
        <v>3750</v>
      </c>
      <c r="E1558" t="s">
        <v>3738</v>
      </c>
      <c r="F1558" t="s">
        <v>3739</v>
      </c>
      <c r="G1558" t="s">
        <v>308</v>
      </c>
      <c r="J1558" t="s">
        <v>3740</v>
      </c>
      <c r="L1558">
        <v>0</v>
      </c>
      <c r="M1558" t="s">
        <v>3741</v>
      </c>
      <c r="Q1558" t="s">
        <v>3751</v>
      </c>
    </row>
    <row r="1559" spans="1:17" ht="15.75" customHeight="1">
      <c r="A1559" t="s">
        <v>3752</v>
      </c>
      <c r="B1559" t="s">
        <v>304</v>
      </c>
      <c r="C1559" t="s">
        <v>3753</v>
      </c>
      <c r="E1559" t="s">
        <v>3738</v>
      </c>
      <c r="F1559" t="s">
        <v>3739</v>
      </c>
      <c r="G1559" t="s">
        <v>308</v>
      </c>
      <c r="J1559" t="s">
        <v>3740</v>
      </c>
      <c r="L1559">
        <v>0</v>
      </c>
      <c r="M1559" t="s">
        <v>3741</v>
      </c>
      <c r="Q1559" t="s">
        <v>3754</v>
      </c>
    </row>
    <row r="1560" spans="1:17" ht="15.75" customHeight="1">
      <c r="A1560" t="s">
        <v>3755</v>
      </c>
      <c r="B1560" t="s">
        <v>304</v>
      </c>
      <c r="C1560" t="s">
        <v>3756</v>
      </c>
      <c r="E1560" t="s">
        <v>3757</v>
      </c>
      <c r="F1560" t="s">
        <v>3758</v>
      </c>
      <c r="G1560" t="s">
        <v>3759</v>
      </c>
      <c r="J1560" t="s">
        <v>3760</v>
      </c>
      <c r="L1560">
        <v>0</v>
      </c>
      <c r="M1560" t="s">
        <v>3761</v>
      </c>
      <c r="Q1560" t="s">
        <v>3762</v>
      </c>
    </row>
    <row r="1561" spans="1:17" ht="15.75" customHeight="1">
      <c r="A1561" t="s">
        <v>3763</v>
      </c>
      <c r="B1561" t="s">
        <v>304</v>
      </c>
      <c r="C1561" t="s">
        <v>3764</v>
      </c>
      <c r="E1561" t="s">
        <v>3765</v>
      </c>
      <c r="F1561" t="s">
        <v>1332</v>
      </c>
      <c r="G1561" t="s">
        <v>308</v>
      </c>
      <c r="J1561" t="s">
        <v>3766</v>
      </c>
      <c r="L1561">
        <v>999</v>
      </c>
      <c r="M1561">
        <v>3</v>
      </c>
      <c r="Q1561" t="s">
        <v>3767</v>
      </c>
    </row>
    <row r="1562" spans="1:17" ht="15.75" customHeight="1">
      <c r="A1562" t="s">
        <v>3768</v>
      </c>
      <c r="B1562" t="s">
        <v>304</v>
      </c>
      <c r="C1562" t="s">
        <v>3769</v>
      </c>
      <c r="E1562" t="s">
        <v>3770</v>
      </c>
      <c r="F1562" t="s">
        <v>1332</v>
      </c>
      <c r="G1562" t="s">
        <v>308</v>
      </c>
      <c r="J1562" t="s">
        <v>3766</v>
      </c>
      <c r="L1562">
        <v>999</v>
      </c>
      <c r="M1562">
        <v>3</v>
      </c>
      <c r="Q1562" t="s">
        <v>3771</v>
      </c>
    </row>
    <row r="1563" spans="1:17" ht="15.75" customHeight="1">
      <c r="A1563" t="s">
        <v>3772</v>
      </c>
      <c r="B1563" t="s">
        <v>304</v>
      </c>
      <c r="C1563" t="s">
        <v>3773</v>
      </c>
      <c r="E1563" t="s">
        <v>3774</v>
      </c>
      <c r="F1563" t="s">
        <v>1332</v>
      </c>
      <c r="G1563" t="s">
        <v>308</v>
      </c>
      <c r="J1563" t="s">
        <v>3766</v>
      </c>
      <c r="L1563">
        <v>999</v>
      </c>
      <c r="M1563">
        <v>3</v>
      </c>
      <c r="Q1563" t="s">
        <v>3775</v>
      </c>
    </row>
    <row r="1564" spans="1:17" ht="15.75" customHeight="1">
      <c r="A1564" t="s">
        <v>3776</v>
      </c>
      <c r="B1564" t="s">
        <v>304</v>
      </c>
      <c r="C1564" t="s">
        <v>3777</v>
      </c>
      <c r="E1564" t="s">
        <v>3778</v>
      </c>
      <c r="F1564" t="s">
        <v>1332</v>
      </c>
      <c r="G1564" t="s">
        <v>308</v>
      </c>
      <c r="J1564" t="s">
        <v>3766</v>
      </c>
      <c r="L1564">
        <v>999</v>
      </c>
      <c r="M1564">
        <v>3</v>
      </c>
      <c r="Q1564" t="s">
        <v>3779</v>
      </c>
    </row>
    <row r="1565" spans="1:17" ht="15.75" customHeight="1">
      <c r="A1565" t="s">
        <v>3780</v>
      </c>
      <c r="B1565" t="s">
        <v>304</v>
      </c>
      <c r="C1565" t="s">
        <v>3781</v>
      </c>
      <c r="E1565" t="s">
        <v>3782</v>
      </c>
      <c r="F1565" t="s">
        <v>1332</v>
      </c>
      <c r="G1565" t="s">
        <v>308</v>
      </c>
      <c r="J1565" t="s">
        <v>3766</v>
      </c>
      <c r="L1565">
        <v>999</v>
      </c>
      <c r="M1565">
        <v>3</v>
      </c>
      <c r="Q1565" t="s">
        <v>3783</v>
      </c>
    </row>
    <row r="1566" spans="1:17" ht="15.75" customHeight="1">
      <c r="A1566" t="s">
        <v>3784</v>
      </c>
      <c r="B1566" t="s">
        <v>304</v>
      </c>
      <c r="C1566" t="s">
        <v>3785</v>
      </c>
      <c r="E1566" t="s">
        <v>3786</v>
      </c>
      <c r="F1566" t="s">
        <v>1332</v>
      </c>
      <c r="G1566" t="s">
        <v>308</v>
      </c>
      <c r="J1566" t="s">
        <v>3766</v>
      </c>
      <c r="L1566">
        <v>999</v>
      </c>
      <c r="M1566">
        <v>3</v>
      </c>
      <c r="Q1566" t="s">
        <v>3787</v>
      </c>
    </row>
    <row r="1567" spans="1:17" ht="15.75" customHeight="1">
      <c r="A1567" t="s">
        <v>3788</v>
      </c>
      <c r="B1567" t="s">
        <v>304</v>
      </c>
      <c r="C1567" t="s">
        <v>3789</v>
      </c>
      <c r="E1567" t="s">
        <v>3790</v>
      </c>
      <c r="F1567" t="s">
        <v>1332</v>
      </c>
      <c r="G1567" t="s">
        <v>308</v>
      </c>
      <c r="J1567" t="s">
        <v>3766</v>
      </c>
      <c r="L1567">
        <v>999</v>
      </c>
      <c r="M1567">
        <v>3</v>
      </c>
      <c r="Q1567" t="s">
        <v>3791</v>
      </c>
    </row>
    <row r="1568" spans="1:17" ht="15.75" customHeight="1">
      <c r="A1568" t="s">
        <v>3792</v>
      </c>
      <c r="B1568" t="s">
        <v>304</v>
      </c>
      <c r="C1568" t="s">
        <v>3793</v>
      </c>
      <c r="E1568" t="s">
        <v>3794</v>
      </c>
      <c r="F1568" t="s">
        <v>1332</v>
      </c>
      <c r="G1568" t="s">
        <v>308</v>
      </c>
      <c r="J1568" t="s">
        <v>3766</v>
      </c>
      <c r="L1568">
        <v>999</v>
      </c>
      <c r="M1568">
        <v>3</v>
      </c>
      <c r="Q1568" t="s">
        <v>3795</v>
      </c>
    </row>
    <row r="1569" spans="1:17" ht="15.75" customHeight="1">
      <c r="A1569" t="s">
        <v>3796</v>
      </c>
      <c r="B1569" t="s">
        <v>304</v>
      </c>
      <c r="C1569" t="s">
        <v>3797</v>
      </c>
      <c r="E1569" t="s">
        <v>3798</v>
      </c>
      <c r="F1569" t="s">
        <v>1332</v>
      </c>
      <c r="G1569" t="s">
        <v>308</v>
      </c>
      <c r="J1569" t="s">
        <v>3766</v>
      </c>
      <c r="L1569">
        <v>999</v>
      </c>
      <c r="M1569">
        <v>3</v>
      </c>
      <c r="Q1569" t="s">
        <v>3799</v>
      </c>
    </row>
    <row r="1570" spans="1:17" ht="15.75" customHeight="1">
      <c r="A1570" t="s">
        <v>3800</v>
      </c>
      <c r="B1570" t="s">
        <v>304</v>
      </c>
      <c r="C1570" t="s">
        <v>3801</v>
      </c>
      <c r="E1570" t="s">
        <v>3802</v>
      </c>
      <c r="F1570" t="s">
        <v>1332</v>
      </c>
      <c r="G1570" t="s">
        <v>308</v>
      </c>
      <c r="J1570" t="s">
        <v>3766</v>
      </c>
      <c r="L1570">
        <v>999</v>
      </c>
      <c r="M1570">
        <v>3</v>
      </c>
      <c r="Q1570" t="s">
        <v>3803</v>
      </c>
    </row>
    <row r="1571" spans="1:17" ht="15.75" customHeight="1">
      <c r="A1571" t="s">
        <v>3804</v>
      </c>
      <c r="B1571" t="s">
        <v>304</v>
      </c>
      <c r="C1571" t="s">
        <v>3805</v>
      </c>
      <c r="E1571" t="s">
        <v>3806</v>
      </c>
      <c r="F1571" t="s">
        <v>1332</v>
      </c>
      <c r="G1571" t="s">
        <v>308</v>
      </c>
      <c r="J1571" t="s">
        <v>3766</v>
      </c>
      <c r="L1571">
        <v>999</v>
      </c>
      <c r="M1571">
        <v>3</v>
      </c>
      <c r="Q1571" t="s">
        <v>3807</v>
      </c>
    </row>
    <row r="1572" spans="1:17" ht="15.75" customHeight="1">
      <c r="A1572" t="s">
        <v>3808</v>
      </c>
      <c r="B1572" t="s">
        <v>304</v>
      </c>
      <c r="C1572" t="s">
        <v>3809</v>
      </c>
      <c r="E1572" t="s">
        <v>3810</v>
      </c>
      <c r="F1572" t="s">
        <v>1332</v>
      </c>
      <c r="G1572" t="s">
        <v>308</v>
      </c>
      <c r="J1572" t="s">
        <v>3766</v>
      </c>
      <c r="L1572">
        <v>999</v>
      </c>
      <c r="M1572">
        <v>3</v>
      </c>
      <c r="Q1572" t="s">
        <v>3811</v>
      </c>
    </row>
    <row r="1573" spans="1:17" ht="15.75" customHeight="1">
      <c r="A1573" t="s">
        <v>3812</v>
      </c>
      <c r="B1573" t="s">
        <v>304</v>
      </c>
      <c r="C1573" t="s">
        <v>3813</v>
      </c>
      <c r="E1573" t="s">
        <v>3814</v>
      </c>
      <c r="F1573" t="s">
        <v>1332</v>
      </c>
      <c r="G1573" t="s">
        <v>308</v>
      </c>
      <c r="J1573" t="s">
        <v>3815</v>
      </c>
      <c r="L1573">
        <v>999</v>
      </c>
      <c r="M1573">
        <v>5</v>
      </c>
      <c r="Q1573" t="s">
        <v>3816</v>
      </c>
    </row>
    <row r="1574" spans="1:17" ht="15.75" customHeight="1">
      <c r="A1574" t="s">
        <v>3817</v>
      </c>
      <c r="B1574" t="s">
        <v>304</v>
      </c>
      <c r="C1574" t="s">
        <v>3818</v>
      </c>
      <c r="E1574" t="s">
        <v>3819</v>
      </c>
      <c r="F1574" t="s">
        <v>1332</v>
      </c>
      <c r="G1574" t="s">
        <v>308</v>
      </c>
      <c r="J1574" t="s">
        <v>3820</v>
      </c>
      <c r="L1574">
        <v>999</v>
      </c>
      <c r="M1574">
        <v>5</v>
      </c>
      <c r="Q1574" t="s">
        <v>3821</v>
      </c>
    </row>
    <row r="1575" spans="1:17" ht="15.75" customHeight="1">
      <c r="A1575" t="s">
        <v>3822</v>
      </c>
      <c r="B1575" t="s">
        <v>304</v>
      </c>
      <c r="C1575" t="s">
        <v>3823</v>
      </c>
      <c r="E1575" t="s">
        <v>3824</v>
      </c>
      <c r="F1575" t="s">
        <v>1332</v>
      </c>
      <c r="G1575" t="s">
        <v>308</v>
      </c>
      <c r="J1575" t="s">
        <v>3825</v>
      </c>
      <c r="L1575">
        <v>999</v>
      </c>
      <c r="M1575">
        <v>5</v>
      </c>
      <c r="Q1575" t="s">
        <v>3826</v>
      </c>
    </row>
    <row r="1576" spans="1:17" ht="15.75" customHeight="1">
      <c r="A1576" t="s">
        <v>3827</v>
      </c>
      <c r="B1576" t="s">
        <v>304</v>
      </c>
      <c r="C1576" t="s">
        <v>3828</v>
      </c>
      <c r="E1576" t="s">
        <v>3829</v>
      </c>
      <c r="F1576" t="s">
        <v>1332</v>
      </c>
      <c r="G1576" t="s">
        <v>308</v>
      </c>
      <c r="J1576" t="s">
        <v>3830</v>
      </c>
      <c r="L1576">
        <v>999</v>
      </c>
      <c r="M1576">
        <v>5</v>
      </c>
      <c r="Q1576" t="s">
        <v>3831</v>
      </c>
    </row>
    <row r="1577" spans="1:17" ht="15.75" customHeight="1">
      <c r="A1577" t="s">
        <v>3832</v>
      </c>
      <c r="B1577" t="s">
        <v>304</v>
      </c>
      <c r="C1577" t="s">
        <v>3833</v>
      </c>
      <c r="E1577" t="s">
        <v>3834</v>
      </c>
      <c r="F1577" t="s">
        <v>1332</v>
      </c>
      <c r="G1577" t="s">
        <v>308</v>
      </c>
      <c r="J1577" t="s">
        <v>3835</v>
      </c>
      <c r="L1577">
        <v>999</v>
      </c>
      <c r="M1577">
        <v>5</v>
      </c>
      <c r="Q1577" t="s">
        <v>3836</v>
      </c>
    </row>
    <row r="1578" spans="1:17" ht="15.75" customHeight="1">
      <c r="A1578" t="s">
        <v>3837</v>
      </c>
      <c r="B1578" t="s">
        <v>304</v>
      </c>
      <c r="C1578" t="s">
        <v>3838</v>
      </c>
      <c r="E1578" t="s">
        <v>3839</v>
      </c>
      <c r="F1578" t="s">
        <v>1332</v>
      </c>
      <c r="G1578" t="s">
        <v>308</v>
      </c>
      <c r="J1578" t="s">
        <v>3840</v>
      </c>
      <c r="L1578">
        <v>999</v>
      </c>
      <c r="M1578">
        <v>5</v>
      </c>
      <c r="Q1578" t="s">
        <v>3841</v>
      </c>
    </row>
    <row r="1579" spans="1:17" ht="15.75" customHeight="1">
      <c r="A1579" t="s">
        <v>3842</v>
      </c>
      <c r="B1579" t="s">
        <v>304</v>
      </c>
      <c r="C1579" t="s">
        <v>3843</v>
      </c>
      <c r="E1579" t="s">
        <v>3844</v>
      </c>
      <c r="F1579" t="s">
        <v>1332</v>
      </c>
      <c r="G1579" t="s">
        <v>308</v>
      </c>
      <c r="J1579" t="s">
        <v>3845</v>
      </c>
      <c r="L1579">
        <v>999</v>
      </c>
      <c r="M1579">
        <v>5</v>
      </c>
      <c r="Q1579" t="s">
        <v>3846</v>
      </c>
    </row>
    <row r="1580" spans="1:17" ht="15.75" customHeight="1">
      <c r="A1580" t="s">
        <v>3847</v>
      </c>
      <c r="B1580" t="s">
        <v>304</v>
      </c>
      <c r="C1580" t="s">
        <v>3848</v>
      </c>
      <c r="E1580" t="s">
        <v>3849</v>
      </c>
      <c r="F1580" t="s">
        <v>1332</v>
      </c>
      <c r="G1580" t="s">
        <v>308</v>
      </c>
      <c r="J1580" t="s">
        <v>3850</v>
      </c>
      <c r="L1580">
        <v>999</v>
      </c>
      <c r="M1580">
        <v>5</v>
      </c>
      <c r="Q1580" t="s">
        <v>3851</v>
      </c>
    </row>
    <row r="1581" spans="1:17" ht="15.75" customHeight="1">
      <c r="A1581" t="s">
        <v>3852</v>
      </c>
      <c r="B1581" t="s">
        <v>304</v>
      </c>
      <c r="C1581" t="s">
        <v>3853</v>
      </c>
      <c r="E1581" t="s">
        <v>3854</v>
      </c>
      <c r="F1581" t="s">
        <v>1332</v>
      </c>
      <c r="G1581" t="s">
        <v>308</v>
      </c>
      <c r="J1581" t="s">
        <v>3855</v>
      </c>
      <c r="L1581">
        <v>999</v>
      </c>
      <c r="M1581">
        <v>5</v>
      </c>
      <c r="Q1581" t="s">
        <v>3856</v>
      </c>
    </row>
    <row r="1582" spans="1:17" ht="15.75" customHeight="1">
      <c r="A1582" t="s">
        <v>3857</v>
      </c>
      <c r="B1582" t="s">
        <v>304</v>
      </c>
      <c r="C1582" t="s">
        <v>3858</v>
      </c>
      <c r="E1582" t="s">
        <v>3859</v>
      </c>
      <c r="F1582" t="s">
        <v>1332</v>
      </c>
      <c r="G1582" t="s">
        <v>308</v>
      </c>
      <c r="J1582" t="s">
        <v>3860</v>
      </c>
      <c r="L1582">
        <v>999</v>
      </c>
      <c r="M1582">
        <v>5</v>
      </c>
      <c r="Q1582" t="s">
        <v>3861</v>
      </c>
    </row>
    <row r="1583" spans="1:17" ht="15.75" customHeight="1">
      <c r="A1583" t="s">
        <v>3862</v>
      </c>
      <c r="B1583" t="s">
        <v>304</v>
      </c>
      <c r="C1583" t="s">
        <v>3863</v>
      </c>
      <c r="E1583" t="s">
        <v>3864</v>
      </c>
      <c r="F1583" t="s">
        <v>1332</v>
      </c>
      <c r="G1583" t="s">
        <v>308</v>
      </c>
      <c r="J1583" t="s">
        <v>3865</v>
      </c>
      <c r="L1583">
        <v>999</v>
      </c>
      <c r="M1583">
        <v>5</v>
      </c>
      <c r="Q1583" t="s">
        <v>3866</v>
      </c>
    </row>
    <row r="1584" spans="1:17" ht="15.75" customHeight="1">
      <c r="A1584" t="s">
        <v>3867</v>
      </c>
      <c r="B1584" t="s">
        <v>304</v>
      </c>
      <c r="C1584" t="s">
        <v>3868</v>
      </c>
      <c r="E1584" t="s">
        <v>3869</v>
      </c>
      <c r="F1584" t="s">
        <v>1332</v>
      </c>
      <c r="G1584" t="s">
        <v>308</v>
      </c>
      <c r="J1584" t="s">
        <v>3870</v>
      </c>
      <c r="L1584">
        <v>999</v>
      </c>
      <c r="M1584">
        <v>5</v>
      </c>
      <c r="Q1584" t="s">
        <v>3871</v>
      </c>
    </row>
    <row r="1585" spans="1:17" ht="15.75" customHeight="1">
      <c r="A1585" t="s">
        <v>3872</v>
      </c>
      <c r="B1585" t="s">
        <v>304</v>
      </c>
      <c r="C1585" t="s">
        <v>3873</v>
      </c>
      <c r="E1585" t="s">
        <v>3874</v>
      </c>
      <c r="F1585" t="s">
        <v>1332</v>
      </c>
      <c r="G1585" t="s">
        <v>308</v>
      </c>
      <c r="J1585" t="s">
        <v>3875</v>
      </c>
      <c r="L1585">
        <v>999</v>
      </c>
      <c r="M1585">
        <v>7</v>
      </c>
      <c r="Q1585" t="s">
        <v>3876</v>
      </c>
    </row>
    <row r="1586" spans="1:17" ht="15.75" customHeight="1">
      <c r="A1586" t="s">
        <v>3877</v>
      </c>
      <c r="B1586" t="s">
        <v>304</v>
      </c>
      <c r="C1586" t="s">
        <v>3878</v>
      </c>
      <c r="E1586" t="s">
        <v>3879</v>
      </c>
      <c r="F1586" t="s">
        <v>1332</v>
      </c>
      <c r="G1586" t="s">
        <v>308</v>
      </c>
      <c r="J1586" t="s">
        <v>3880</v>
      </c>
      <c r="L1586">
        <v>999</v>
      </c>
      <c r="M1586">
        <v>7</v>
      </c>
      <c r="Q1586" t="s">
        <v>3881</v>
      </c>
    </row>
    <row r="1587" spans="1:17" ht="15.75" customHeight="1">
      <c r="A1587" t="s">
        <v>3882</v>
      </c>
      <c r="B1587" t="s">
        <v>304</v>
      </c>
      <c r="C1587" t="s">
        <v>3883</v>
      </c>
      <c r="E1587" t="s">
        <v>3884</v>
      </c>
      <c r="F1587" t="s">
        <v>1332</v>
      </c>
      <c r="G1587" t="s">
        <v>308</v>
      </c>
      <c r="J1587" t="s">
        <v>3885</v>
      </c>
      <c r="L1587">
        <v>999</v>
      </c>
      <c r="M1587">
        <v>7</v>
      </c>
      <c r="Q1587" t="s">
        <v>3886</v>
      </c>
    </row>
    <row r="1588" spans="1:17" ht="15.75" customHeight="1">
      <c r="A1588" t="s">
        <v>3887</v>
      </c>
      <c r="B1588" t="s">
        <v>304</v>
      </c>
      <c r="C1588" t="s">
        <v>3888</v>
      </c>
      <c r="E1588" t="s">
        <v>3889</v>
      </c>
      <c r="F1588" t="s">
        <v>1332</v>
      </c>
      <c r="G1588" t="s">
        <v>308</v>
      </c>
      <c r="J1588" t="s">
        <v>3890</v>
      </c>
      <c r="L1588">
        <v>999</v>
      </c>
      <c r="M1588">
        <v>7</v>
      </c>
      <c r="Q1588" t="s">
        <v>3891</v>
      </c>
    </row>
    <row r="1589" spans="1:17" ht="15.75" customHeight="1">
      <c r="A1589" t="s">
        <v>3892</v>
      </c>
      <c r="B1589" t="s">
        <v>304</v>
      </c>
      <c r="C1589" t="s">
        <v>3893</v>
      </c>
      <c r="E1589" t="s">
        <v>3894</v>
      </c>
      <c r="F1589" t="s">
        <v>1332</v>
      </c>
      <c r="G1589" t="s">
        <v>308</v>
      </c>
      <c r="J1589" t="s">
        <v>3895</v>
      </c>
      <c r="L1589">
        <v>999</v>
      </c>
      <c r="M1589">
        <v>7</v>
      </c>
      <c r="Q1589" t="s">
        <v>3896</v>
      </c>
    </row>
    <row r="1590" spans="1:17" ht="15.75" customHeight="1">
      <c r="A1590" t="s">
        <v>3897</v>
      </c>
      <c r="B1590" t="s">
        <v>304</v>
      </c>
      <c r="C1590" t="s">
        <v>3898</v>
      </c>
      <c r="E1590" t="s">
        <v>3899</v>
      </c>
      <c r="F1590" t="s">
        <v>1332</v>
      </c>
      <c r="G1590" t="s">
        <v>308</v>
      </c>
      <c r="J1590" t="s">
        <v>3900</v>
      </c>
      <c r="L1590">
        <v>999</v>
      </c>
      <c r="M1590">
        <v>7</v>
      </c>
      <c r="Q1590" t="s">
        <v>3901</v>
      </c>
    </row>
    <row r="1591" spans="1:17" ht="15.75" customHeight="1">
      <c r="A1591" t="s">
        <v>3902</v>
      </c>
      <c r="B1591" t="s">
        <v>304</v>
      </c>
      <c r="C1591" t="s">
        <v>3903</v>
      </c>
      <c r="E1591" t="s">
        <v>3904</v>
      </c>
      <c r="F1591" t="s">
        <v>1332</v>
      </c>
      <c r="G1591" t="s">
        <v>308</v>
      </c>
      <c r="J1591" t="s">
        <v>3905</v>
      </c>
      <c r="L1591">
        <v>999</v>
      </c>
      <c r="M1591">
        <v>7</v>
      </c>
      <c r="Q1591" t="s">
        <v>3906</v>
      </c>
    </row>
    <row r="1592" spans="1:17" ht="15.75" customHeight="1">
      <c r="A1592" t="s">
        <v>3907</v>
      </c>
      <c r="B1592" t="s">
        <v>304</v>
      </c>
      <c r="C1592" t="s">
        <v>3908</v>
      </c>
      <c r="E1592" t="s">
        <v>3909</v>
      </c>
      <c r="F1592" t="s">
        <v>1332</v>
      </c>
      <c r="G1592" t="s">
        <v>308</v>
      </c>
      <c r="J1592" t="s">
        <v>3910</v>
      </c>
      <c r="L1592">
        <v>999</v>
      </c>
      <c r="M1592">
        <v>7</v>
      </c>
      <c r="Q1592" t="s">
        <v>3911</v>
      </c>
    </row>
    <row r="1593" spans="1:17" ht="15.75" customHeight="1">
      <c r="A1593" t="s">
        <v>3912</v>
      </c>
      <c r="B1593" t="s">
        <v>304</v>
      </c>
      <c r="C1593" t="s">
        <v>3913</v>
      </c>
      <c r="E1593" t="s">
        <v>3914</v>
      </c>
      <c r="F1593" t="s">
        <v>1332</v>
      </c>
      <c r="G1593" t="s">
        <v>308</v>
      </c>
      <c r="J1593" t="s">
        <v>3915</v>
      </c>
      <c r="L1593">
        <v>999</v>
      </c>
      <c r="M1593">
        <v>7</v>
      </c>
      <c r="Q1593" t="s">
        <v>3916</v>
      </c>
    </row>
    <row r="1594" spans="1:17" ht="15.75" customHeight="1">
      <c r="A1594" t="s">
        <v>3917</v>
      </c>
      <c r="B1594" t="s">
        <v>304</v>
      </c>
      <c r="C1594" t="s">
        <v>3918</v>
      </c>
      <c r="E1594" t="s">
        <v>3919</v>
      </c>
      <c r="F1594" t="s">
        <v>1332</v>
      </c>
      <c r="G1594" t="s">
        <v>308</v>
      </c>
      <c r="J1594" t="s">
        <v>3920</v>
      </c>
      <c r="L1594">
        <v>999</v>
      </c>
      <c r="M1594">
        <v>7</v>
      </c>
      <c r="Q1594" t="s">
        <v>3921</v>
      </c>
    </row>
    <row r="1595" spans="1:17" ht="15.75" customHeight="1">
      <c r="A1595" t="s">
        <v>3922</v>
      </c>
      <c r="B1595" t="s">
        <v>304</v>
      </c>
      <c r="C1595" t="s">
        <v>3923</v>
      </c>
      <c r="E1595" t="s">
        <v>3924</v>
      </c>
      <c r="F1595" t="s">
        <v>1332</v>
      </c>
      <c r="G1595" t="s">
        <v>308</v>
      </c>
      <c r="J1595" t="s">
        <v>3925</v>
      </c>
      <c r="L1595">
        <v>999</v>
      </c>
      <c r="M1595">
        <v>7</v>
      </c>
      <c r="Q1595" t="s">
        <v>3926</v>
      </c>
    </row>
    <row r="1596" spans="1:17" ht="15.75" customHeight="1">
      <c r="A1596" t="s">
        <v>3927</v>
      </c>
      <c r="B1596" t="s">
        <v>304</v>
      </c>
      <c r="C1596" t="s">
        <v>3928</v>
      </c>
      <c r="E1596" t="s">
        <v>3929</v>
      </c>
      <c r="F1596" t="s">
        <v>1332</v>
      </c>
      <c r="G1596" t="s">
        <v>308</v>
      </c>
      <c r="J1596" t="s">
        <v>3930</v>
      </c>
      <c r="L1596">
        <v>999</v>
      </c>
      <c r="M1596">
        <v>7</v>
      </c>
      <c r="Q1596" t="s">
        <v>3931</v>
      </c>
    </row>
    <row r="1597" spans="1:17" ht="15.75" customHeight="1">
      <c r="A1597" t="s">
        <v>3932</v>
      </c>
      <c r="B1597" t="s">
        <v>304</v>
      </c>
      <c r="C1597" t="s">
        <v>3933</v>
      </c>
      <c r="E1597" t="s">
        <v>3934</v>
      </c>
      <c r="F1597" t="s">
        <v>3739</v>
      </c>
      <c r="G1597" t="s">
        <v>308</v>
      </c>
      <c r="J1597" t="s">
        <v>3935</v>
      </c>
      <c r="L1597">
        <v>1</v>
      </c>
      <c r="M1597">
        <v>3</v>
      </c>
      <c r="Q1597" t="s">
        <v>3936</v>
      </c>
    </row>
    <row r="1598" spans="1:17" ht="15.75" customHeight="1">
      <c r="A1598" t="s">
        <v>3937</v>
      </c>
      <c r="B1598" t="s">
        <v>304</v>
      </c>
      <c r="C1598" t="s">
        <v>3938</v>
      </c>
      <c r="E1598" t="s">
        <v>3934</v>
      </c>
      <c r="F1598" t="s">
        <v>3739</v>
      </c>
      <c r="G1598" t="s">
        <v>308</v>
      </c>
      <c r="J1598" t="s">
        <v>3935</v>
      </c>
      <c r="L1598">
        <v>1</v>
      </c>
      <c r="M1598">
        <v>1</v>
      </c>
      <c r="Q1598" t="s">
        <v>3936</v>
      </c>
    </row>
    <row r="1599" spans="1:17" ht="15.75" customHeight="1">
      <c r="A1599" t="s">
        <v>3939</v>
      </c>
      <c r="B1599" t="s">
        <v>304</v>
      </c>
      <c r="C1599" t="s">
        <v>3940</v>
      </c>
      <c r="E1599" t="s">
        <v>3941</v>
      </c>
      <c r="F1599" t="s">
        <v>3942</v>
      </c>
      <c r="G1599" t="s">
        <v>308</v>
      </c>
      <c r="L1599">
        <v>0</v>
      </c>
      <c r="M1599" t="s">
        <v>335</v>
      </c>
    </row>
    <row r="1600" spans="1:17" ht="15.75" customHeight="1">
      <c r="A1600" t="s">
        <v>3943</v>
      </c>
      <c r="B1600" t="s">
        <v>304</v>
      </c>
      <c r="C1600" t="s">
        <v>3944</v>
      </c>
      <c r="E1600" t="s">
        <v>3945</v>
      </c>
      <c r="F1600" t="s">
        <v>3946</v>
      </c>
      <c r="G1600" t="s">
        <v>308</v>
      </c>
      <c r="J1600" t="s">
        <v>3947</v>
      </c>
      <c r="L1600">
        <v>100</v>
      </c>
      <c r="M1600" t="s">
        <v>3613</v>
      </c>
      <c r="Q1600" t="s">
        <v>3948</v>
      </c>
    </row>
    <row r="1601" spans="1:17" ht="15.75" customHeight="1">
      <c r="A1601" t="s">
        <v>3949</v>
      </c>
      <c r="B1601" t="s">
        <v>304</v>
      </c>
      <c r="C1601" t="s">
        <v>3950</v>
      </c>
      <c r="E1601" t="s">
        <v>3951</v>
      </c>
      <c r="F1601" t="s">
        <v>3946</v>
      </c>
      <c r="G1601" t="s">
        <v>308</v>
      </c>
      <c r="J1601" t="s">
        <v>3952</v>
      </c>
      <c r="L1601">
        <v>100</v>
      </c>
      <c r="M1601" t="s">
        <v>3613</v>
      </c>
      <c r="Q1601" t="s">
        <v>3953</v>
      </c>
    </row>
    <row r="1602" spans="1:17" ht="15.75" customHeight="1">
      <c r="A1602" t="s">
        <v>3954</v>
      </c>
      <c r="B1602" t="s">
        <v>304</v>
      </c>
      <c r="C1602" t="s">
        <v>3955</v>
      </c>
      <c r="E1602" t="s">
        <v>3956</v>
      </c>
      <c r="F1602" t="s">
        <v>3946</v>
      </c>
      <c r="G1602" t="s">
        <v>308</v>
      </c>
      <c r="J1602" t="s">
        <v>3957</v>
      </c>
      <c r="L1602">
        <v>100</v>
      </c>
      <c r="M1602" t="s">
        <v>3613</v>
      </c>
      <c r="Q1602" t="s">
        <v>3958</v>
      </c>
    </row>
    <row r="1603" spans="1:17" ht="15.75" customHeight="1">
      <c r="A1603" t="s">
        <v>3959</v>
      </c>
      <c r="B1603" t="s">
        <v>304</v>
      </c>
      <c r="C1603" t="s">
        <v>3960</v>
      </c>
      <c r="E1603" t="s">
        <v>3961</v>
      </c>
      <c r="F1603" t="s">
        <v>3946</v>
      </c>
      <c r="G1603" t="s">
        <v>308</v>
      </c>
      <c r="J1603" t="s">
        <v>3962</v>
      </c>
      <c r="L1603">
        <v>100</v>
      </c>
      <c r="M1603" t="s">
        <v>3613</v>
      </c>
      <c r="Q1603" t="s">
        <v>3963</v>
      </c>
    </row>
    <row r="1604" spans="1:17" ht="15.75" customHeight="1">
      <c r="A1604" t="s">
        <v>3964</v>
      </c>
      <c r="B1604" t="s">
        <v>304</v>
      </c>
      <c r="C1604" t="s">
        <v>3965</v>
      </c>
      <c r="E1604" t="s">
        <v>3966</v>
      </c>
      <c r="F1604" t="s">
        <v>3946</v>
      </c>
      <c r="G1604" t="s">
        <v>308</v>
      </c>
      <c r="J1604" t="s">
        <v>3967</v>
      </c>
      <c r="L1604">
        <v>100</v>
      </c>
      <c r="M1604" t="s">
        <v>3613</v>
      </c>
      <c r="Q1604" t="s">
        <v>3968</v>
      </c>
    </row>
    <row r="1605" spans="1:17" ht="15.75" customHeight="1">
      <c r="A1605" t="s">
        <v>3969</v>
      </c>
      <c r="B1605" t="s">
        <v>304</v>
      </c>
      <c r="C1605" t="s">
        <v>3970</v>
      </c>
      <c r="E1605" t="s">
        <v>3971</v>
      </c>
      <c r="F1605" t="s">
        <v>3946</v>
      </c>
      <c r="G1605" t="s">
        <v>308</v>
      </c>
      <c r="J1605" t="s">
        <v>3972</v>
      </c>
      <c r="L1605">
        <v>100</v>
      </c>
      <c r="M1605" t="s">
        <v>3613</v>
      </c>
      <c r="Q1605" t="s">
        <v>3973</v>
      </c>
    </row>
    <row r="1606" spans="1:17" ht="15.75" customHeight="1">
      <c r="A1606" t="s">
        <v>3974</v>
      </c>
      <c r="B1606" t="s">
        <v>304</v>
      </c>
      <c r="C1606" t="s">
        <v>3975</v>
      </c>
      <c r="E1606" t="s">
        <v>3976</v>
      </c>
      <c r="F1606" t="s">
        <v>3946</v>
      </c>
      <c r="G1606" t="s">
        <v>308</v>
      </c>
      <c r="J1606" t="s">
        <v>3977</v>
      </c>
      <c r="L1606">
        <v>100</v>
      </c>
      <c r="M1606" t="s">
        <v>3613</v>
      </c>
      <c r="Q1606" t="s">
        <v>3978</v>
      </c>
    </row>
    <row r="1607" spans="1:17" ht="15.75" customHeight="1">
      <c r="A1607" t="s">
        <v>3979</v>
      </c>
      <c r="B1607" t="s">
        <v>304</v>
      </c>
      <c r="C1607" t="s">
        <v>3980</v>
      </c>
      <c r="E1607" t="s">
        <v>3981</v>
      </c>
      <c r="F1607" t="s">
        <v>3946</v>
      </c>
      <c r="G1607" t="s">
        <v>308</v>
      </c>
      <c r="J1607" t="s">
        <v>3982</v>
      </c>
      <c r="L1607">
        <v>100</v>
      </c>
      <c r="M1607" t="s">
        <v>3613</v>
      </c>
      <c r="Q1607" t="s">
        <v>3983</v>
      </c>
    </row>
    <row r="1608" spans="1:17" ht="15.75" customHeight="1">
      <c r="A1608" t="s">
        <v>3984</v>
      </c>
      <c r="B1608" t="s">
        <v>304</v>
      </c>
      <c r="C1608" t="s">
        <v>3985</v>
      </c>
      <c r="E1608" t="s">
        <v>3986</v>
      </c>
      <c r="F1608" t="s">
        <v>3946</v>
      </c>
      <c r="G1608" t="s">
        <v>308</v>
      </c>
      <c r="J1608" t="s">
        <v>3987</v>
      </c>
      <c r="L1608">
        <v>100</v>
      </c>
      <c r="M1608" t="s">
        <v>3613</v>
      </c>
      <c r="Q1608" t="s">
        <v>3988</v>
      </c>
    </row>
    <row r="1609" spans="1:17" ht="15.75" customHeight="1">
      <c r="A1609" t="s">
        <v>3989</v>
      </c>
      <c r="B1609" t="s">
        <v>304</v>
      </c>
      <c r="C1609" t="s">
        <v>3990</v>
      </c>
      <c r="E1609" t="s">
        <v>3991</v>
      </c>
      <c r="F1609" t="s">
        <v>3946</v>
      </c>
      <c r="G1609" t="s">
        <v>308</v>
      </c>
      <c r="J1609" t="s">
        <v>3992</v>
      </c>
      <c r="L1609">
        <v>100</v>
      </c>
      <c r="M1609" t="s">
        <v>3613</v>
      </c>
      <c r="Q1609" t="s">
        <v>3993</v>
      </c>
    </row>
    <row r="1610" spans="1:17" ht="15.75" customHeight="1">
      <c r="A1610" t="s">
        <v>3994</v>
      </c>
      <c r="B1610" t="s">
        <v>304</v>
      </c>
      <c r="C1610" t="s">
        <v>3995</v>
      </c>
      <c r="E1610" t="s">
        <v>3996</v>
      </c>
      <c r="F1610" t="s">
        <v>3946</v>
      </c>
      <c r="G1610" t="s">
        <v>308</v>
      </c>
      <c r="J1610" t="s">
        <v>3997</v>
      </c>
      <c r="L1610">
        <v>100</v>
      </c>
      <c r="M1610" t="s">
        <v>3613</v>
      </c>
      <c r="Q1610" t="s">
        <v>3998</v>
      </c>
    </row>
    <row r="1611" spans="1:17" ht="15.75" customHeight="1">
      <c r="A1611" t="s">
        <v>3999</v>
      </c>
      <c r="B1611" t="s">
        <v>304</v>
      </c>
      <c r="C1611" t="s">
        <v>4000</v>
      </c>
      <c r="E1611" t="s">
        <v>4001</v>
      </c>
      <c r="F1611" t="s">
        <v>3946</v>
      </c>
      <c r="G1611" t="s">
        <v>308</v>
      </c>
      <c r="J1611" t="s">
        <v>4002</v>
      </c>
      <c r="L1611">
        <v>100</v>
      </c>
      <c r="M1611" t="s">
        <v>3613</v>
      </c>
      <c r="Q1611" t="s">
        <v>4003</v>
      </c>
    </row>
    <row r="1612" spans="1:17" ht="15.75" customHeight="1">
      <c r="A1612" t="s">
        <v>4004</v>
      </c>
      <c r="B1612" t="s">
        <v>304</v>
      </c>
      <c r="C1612" t="s">
        <v>4005</v>
      </c>
      <c r="E1612" t="s">
        <v>4006</v>
      </c>
      <c r="F1612" t="s">
        <v>3946</v>
      </c>
      <c r="G1612" t="s">
        <v>308</v>
      </c>
      <c r="J1612" t="s">
        <v>4007</v>
      </c>
      <c r="L1612">
        <v>100</v>
      </c>
      <c r="M1612" t="s">
        <v>3613</v>
      </c>
      <c r="Q1612" t="s">
        <v>4008</v>
      </c>
    </row>
    <row r="1613" spans="1:17" ht="15.75" customHeight="1">
      <c r="A1613" t="s">
        <v>4009</v>
      </c>
      <c r="B1613" t="s">
        <v>304</v>
      </c>
      <c r="C1613" t="s">
        <v>4010</v>
      </c>
      <c r="E1613" t="s">
        <v>4011</v>
      </c>
      <c r="F1613" t="s">
        <v>3946</v>
      </c>
      <c r="G1613" t="s">
        <v>308</v>
      </c>
      <c r="J1613" t="s">
        <v>4012</v>
      </c>
      <c r="L1613">
        <v>100</v>
      </c>
      <c r="M1613" t="s">
        <v>3613</v>
      </c>
      <c r="Q1613" t="s">
        <v>4013</v>
      </c>
    </row>
    <row r="1614" spans="1:17" ht="15.75" customHeight="1">
      <c r="A1614" t="s">
        <v>4014</v>
      </c>
      <c r="B1614" t="s">
        <v>304</v>
      </c>
      <c r="C1614" t="s">
        <v>4015</v>
      </c>
      <c r="E1614" t="s">
        <v>4016</v>
      </c>
      <c r="F1614" t="s">
        <v>3946</v>
      </c>
      <c r="G1614" t="s">
        <v>308</v>
      </c>
      <c r="J1614" t="s">
        <v>4017</v>
      </c>
      <c r="L1614">
        <v>100</v>
      </c>
      <c r="M1614" t="s">
        <v>3613</v>
      </c>
      <c r="Q1614" t="s">
        <v>4018</v>
      </c>
    </row>
    <row r="1615" spans="1:17" ht="15.75" customHeight="1">
      <c r="A1615" t="s">
        <v>4019</v>
      </c>
      <c r="B1615" t="s">
        <v>304</v>
      </c>
      <c r="C1615" t="s">
        <v>4020</v>
      </c>
      <c r="E1615" t="s">
        <v>4021</v>
      </c>
      <c r="F1615" t="s">
        <v>3946</v>
      </c>
      <c r="G1615" t="s">
        <v>308</v>
      </c>
      <c r="J1615" t="s">
        <v>4022</v>
      </c>
      <c r="L1615">
        <v>100</v>
      </c>
      <c r="M1615" t="s">
        <v>3613</v>
      </c>
      <c r="Q1615" t="s">
        <v>4023</v>
      </c>
    </row>
    <row r="1616" spans="1:17" ht="15.75" customHeight="1">
      <c r="A1616" t="s">
        <v>4024</v>
      </c>
      <c r="B1616" t="s">
        <v>304</v>
      </c>
      <c r="C1616" t="s">
        <v>4025</v>
      </c>
      <c r="E1616" t="s">
        <v>4026</v>
      </c>
      <c r="F1616" t="s">
        <v>3946</v>
      </c>
      <c r="G1616" t="s">
        <v>308</v>
      </c>
      <c r="J1616" t="s">
        <v>4027</v>
      </c>
      <c r="L1616">
        <v>100</v>
      </c>
      <c r="M1616" t="s">
        <v>3613</v>
      </c>
      <c r="Q1616" t="s">
        <v>4028</v>
      </c>
    </row>
    <row r="1617" spans="1:17" ht="15.75" customHeight="1">
      <c r="A1617" t="s">
        <v>4029</v>
      </c>
      <c r="B1617" t="s">
        <v>304</v>
      </c>
      <c r="C1617" t="s">
        <v>4030</v>
      </c>
      <c r="E1617" t="s">
        <v>4031</v>
      </c>
      <c r="F1617" t="s">
        <v>3946</v>
      </c>
      <c r="G1617" t="s">
        <v>308</v>
      </c>
      <c r="J1617" t="s">
        <v>4032</v>
      </c>
      <c r="L1617">
        <v>100</v>
      </c>
      <c r="M1617" t="s">
        <v>3613</v>
      </c>
      <c r="Q1617" t="s">
        <v>4033</v>
      </c>
    </row>
    <row r="1618" spans="1:17" ht="15.75" customHeight="1">
      <c r="A1618" t="s">
        <v>4034</v>
      </c>
      <c r="B1618" t="s">
        <v>304</v>
      </c>
      <c r="C1618" t="s">
        <v>4035</v>
      </c>
      <c r="E1618" t="s">
        <v>4036</v>
      </c>
      <c r="F1618" t="s">
        <v>3946</v>
      </c>
      <c r="G1618" t="s">
        <v>308</v>
      </c>
      <c r="J1618" t="s">
        <v>4037</v>
      </c>
      <c r="L1618">
        <v>100</v>
      </c>
      <c r="M1618" t="s">
        <v>3613</v>
      </c>
      <c r="Q1618" t="s">
        <v>4038</v>
      </c>
    </row>
    <row r="1619" spans="1:17" ht="15.75" customHeight="1">
      <c r="A1619" t="s">
        <v>4039</v>
      </c>
      <c r="B1619" t="s">
        <v>304</v>
      </c>
      <c r="C1619" t="s">
        <v>4040</v>
      </c>
      <c r="E1619" t="s">
        <v>4041</v>
      </c>
      <c r="F1619" t="s">
        <v>3946</v>
      </c>
      <c r="G1619" t="s">
        <v>308</v>
      </c>
      <c r="J1619" t="s">
        <v>4042</v>
      </c>
      <c r="L1619">
        <v>100</v>
      </c>
      <c r="M1619" t="s">
        <v>3613</v>
      </c>
      <c r="Q1619" t="s">
        <v>4043</v>
      </c>
    </row>
    <row r="1620" spans="1:17" ht="15.75" customHeight="1">
      <c r="A1620" t="s">
        <v>4044</v>
      </c>
      <c r="B1620" t="s">
        <v>304</v>
      </c>
      <c r="C1620" t="s">
        <v>4045</v>
      </c>
      <c r="E1620" t="s">
        <v>4046</v>
      </c>
      <c r="F1620" t="s">
        <v>3946</v>
      </c>
      <c r="G1620" t="s">
        <v>308</v>
      </c>
      <c r="J1620" t="s">
        <v>4047</v>
      </c>
      <c r="L1620">
        <v>100</v>
      </c>
      <c r="M1620" t="s">
        <v>3613</v>
      </c>
      <c r="Q1620" t="s">
        <v>4048</v>
      </c>
    </row>
    <row r="1621" spans="1:17" ht="15.75" customHeight="1">
      <c r="A1621" t="s">
        <v>4049</v>
      </c>
      <c r="B1621" t="s">
        <v>304</v>
      </c>
      <c r="C1621" t="s">
        <v>4050</v>
      </c>
      <c r="E1621" t="s">
        <v>4051</v>
      </c>
      <c r="F1621" t="s">
        <v>3946</v>
      </c>
      <c r="G1621" t="s">
        <v>308</v>
      </c>
      <c r="J1621" t="s">
        <v>4052</v>
      </c>
      <c r="L1621">
        <v>100</v>
      </c>
      <c r="M1621" t="s">
        <v>3613</v>
      </c>
      <c r="Q1621" t="s">
        <v>4053</v>
      </c>
    </row>
    <row r="1622" spans="1:17" ht="15.75" customHeight="1">
      <c r="A1622" t="s">
        <v>4054</v>
      </c>
      <c r="B1622" t="s">
        <v>304</v>
      </c>
      <c r="C1622" t="s">
        <v>4055</v>
      </c>
      <c r="E1622" t="s">
        <v>4056</v>
      </c>
      <c r="F1622" t="s">
        <v>307</v>
      </c>
      <c r="G1622" t="s">
        <v>308</v>
      </c>
      <c r="J1622" t="s">
        <v>4057</v>
      </c>
      <c r="K1622">
        <v>25</v>
      </c>
      <c r="L1622">
        <v>-250</v>
      </c>
      <c r="M1622" t="s">
        <v>310</v>
      </c>
      <c r="Q1622" t="s">
        <v>4058</v>
      </c>
    </row>
    <row r="1623" spans="1:17" ht="15.75" customHeight="1">
      <c r="A1623" t="s">
        <v>4059</v>
      </c>
      <c r="B1623" t="s">
        <v>304</v>
      </c>
      <c r="C1623" t="s">
        <v>4060</v>
      </c>
      <c r="E1623" t="s">
        <v>4061</v>
      </c>
      <c r="F1623" t="s">
        <v>3168</v>
      </c>
      <c r="G1623" t="s">
        <v>308</v>
      </c>
      <c r="J1623" t="s">
        <v>4062</v>
      </c>
      <c r="K1623">
        <v>25</v>
      </c>
      <c r="L1623">
        <v>-100</v>
      </c>
      <c r="M1623" t="s">
        <v>310</v>
      </c>
      <c r="Q1623" t="s">
        <v>4063</v>
      </c>
    </row>
    <row r="1624" spans="1:17" ht="15.75" customHeight="1">
      <c r="A1624" t="s">
        <v>4064</v>
      </c>
      <c r="B1624" t="s">
        <v>304</v>
      </c>
      <c r="C1624" t="s">
        <v>4065</v>
      </c>
      <c r="E1624" t="s">
        <v>4066</v>
      </c>
      <c r="F1624" t="s">
        <v>3193</v>
      </c>
      <c r="G1624" t="s">
        <v>308</v>
      </c>
      <c r="J1624" t="s">
        <v>4067</v>
      </c>
      <c r="K1624">
        <v>25</v>
      </c>
      <c r="L1624">
        <v>-150</v>
      </c>
      <c r="M1624" t="s">
        <v>310</v>
      </c>
      <c r="Q1624" t="s">
        <v>4068</v>
      </c>
    </row>
    <row r="1625" spans="1:17" ht="15.75" customHeight="1">
      <c r="A1625" t="s">
        <v>4069</v>
      </c>
      <c r="B1625" t="s">
        <v>304</v>
      </c>
      <c r="C1625" t="s">
        <v>4070</v>
      </c>
      <c r="E1625" t="s">
        <v>4071</v>
      </c>
      <c r="F1625" t="s">
        <v>3218</v>
      </c>
      <c r="G1625" t="s">
        <v>308</v>
      </c>
      <c r="J1625" t="s">
        <v>4072</v>
      </c>
      <c r="K1625">
        <v>25</v>
      </c>
      <c r="L1625">
        <v>-75</v>
      </c>
      <c r="M1625" t="s">
        <v>310</v>
      </c>
      <c r="Q1625" t="s">
        <v>4073</v>
      </c>
    </row>
    <row r="1626" spans="1:17" ht="15.75" customHeight="1">
      <c r="A1626" t="s">
        <v>4074</v>
      </c>
      <c r="B1626" t="s">
        <v>304</v>
      </c>
      <c r="C1626" t="s">
        <v>4075</v>
      </c>
      <c r="E1626" t="s">
        <v>4076</v>
      </c>
      <c r="F1626" t="s">
        <v>3243</v>
      </c>
      <c r="G1626" t="s">
        <v>308</v>
      </c>
      <c r="J1626" t="s">
        <v>4077</v>
      </c>
      <c r="K1626">
        <v>25</v>
      </c>
      <c r="L1626">
        <v>-125</v>
      </c>
      <c r="M1626" t="s">
        <v>310</v>
      </c>
      <c r="Q1626" t="s">
        <v>4078</v>
      </c>
    </row>
    <row r="1627" spans="1:17" ht="15.75" customHeight="1">
      <c r="A1627" t="s">
        <v>4079</v>
      </c>
      <c r="B1627" t="s">
        <v>304</v>
      </c>
      <c r="C1627" t="s">
        <v>4080</v>
      </c>
      <c r="E1627" t="s">
        <v>4081</v>
      </c>
      <c r="F1627" t="s">
        <v>3268</v>
      </c>
      <c r="G1627" t="s">
        <v>308</v>
      </c>
      <c r="J1627" t="s">
        <v>4082</v>
      </c>
      <c r="K1627">
        <v>25</v>
      </c>
      <c r="L1627">
        <v>-100</v>
      </c>
      <c r="M1627" t="s">
        <v>310</v>
      </c>
      <c r="Q1627" t="s">
        <v>4083</v>
      </c>
    </row>
    <row r="1628" spans="1:17" ht="15.75" customHeight="1">
      <c r="A1628" t="s">
        <v>4084</v>
      </c>
      <c r="B1628" t="s">
        <v>304</v>
      </c>
      <c r="C1628" t="s">
        <v>4085</v>
      </c>
      <c r="E1628" t="s">
        <v>4086</v>
      </c>
      <c r="F1628" t="s">
        <v>3293</v>
      </c>
      <c r="G1628" t="s">
        <v>308</v>
      </c>
      <c r="J1628" t="s">
        <v>4087</v>
      </c>
      <c r="K1628">
        <v>25</v>
      </c>
      <c r="L1628">
        <v>-75</v>
      </c>
      <c r="M1628" t="s">
        <v>310</v>
      </c>
      <c r="Q1628" t="s">
        <v>4088</v>
      </c>
    </row>
    <row r="1629" spans="1:17" ht="15.75" customHeight="1">
      <c r="A1629" t="s">
        <v>4089</v>
      </c>
      <c r="B1629" t="s">
        <v>304</v>
      </c>
      <c r="C1629" t="s">
        <v>4090</v>
      </c>
      <c r="E1629" t="s">
        <v>4091</v>
      </c>
      <c r="F1629" t="s">
        <v>3318</v>
      </c>
      <c r="G1629" t="s">
        <v>308</v>
      </c>
      <c r="J1629" t="s">
        <v>4092</v>
      </c>
      <c r="K1629">
        <v>25</v>
      </c>
      <c r="L1629">
        <v>-150</v>
      </c>
      <c r="M1629" t="s">
        <v>310</v>
      </c>
      <c r="Q1629" t="s">
        <v>4093</v>
      </c>
    </row>
    <row r="1630" spans="1:17" ht="15.75" customHeight="1">
      <c r="A1630" t="s">
        <v>4094</v>
      </c>
      <c r="B1630" t="s">
        <v>304</v>
      </c>
      <c r="C1630" t="s">
        <v>4095</v>
      </c>
      <c r="E1630" t="s">
        <v>4096</v>
      </c>
      <c r="F1630" t="s">
        <v>3343</v>
      </c>
      <c r="G1630" t="s">
        <v>308</v>
      </c>
      <c r="J1630" t="s">
        <v>4097</v>
      </c>
      <c r="K1630">
        <v>25</v>
      </c>
      <c r="L1630">
        <v>-150</v>
      </c>
      <c r="M1630" t="s">
        <v>310</v>
      </c>
      <c r="Q1630" t="s">
        <v>4098</v>
      </c>
    </row>
    <row r="1631" spans="1:17" ht="15.75" customHeight="1">
      <c r="A1631" t="s">
        <v>4099</v>
      </c>
      <c r="B1631" t="s">
        <v>304</v>
      </c>
      <c r="C1631" t="s">
        <v>4100</v>
      </c>
      <c r="E1631" t="s">
        <v>4101</v>
      </c>
      <c r="F1631" t="s">
        <v>3368</v>
      </c>
      <c r="G1631" t="s">
        <v>308</v>
      </c>
      <c r="J1631" t="s">
        <v>4102</v>
      </c>
      <c r="K1631">
        <v>25</v>
      </c>
      <c r="L1631">
        <v>-150</v>
      </c>
      <c r="M1631" t="s">
        <v>310</v>
      </c>
      <c r="Q1631" t="s">
        <v>4103</v>
      </c>
    </row>
    <row r="1632" spans="1:17" ht="15.75" customHeight="1">
      <c r="A1632" t="s">
        <v>4104</v>
      </c>
      <c r="B1632" t="s">
        <v>304</v>
      </c>
      <c r="C1632" t="s">
        <v>4105</v>
      </c>
      <c r="E1632" t="s">
        <v>4106</v>
      </c>
      <c r="F1632" t="s">
        <v>3393</v>
      </c>
      <c r="G1632" t="s">
        <v>308</v>
      </c>
      <c r="J1632" t="s">
        <v>4107</v>
      </c>
      <c r="K1632">
        <v>25</v>
      </c>
      <c r="L1632">
        <v>-175</v>
      </c>
      <c r="M1632" t="s">
        <v>310</v>
      </c>
      <c r="Q1632" t="s">
        <v>4108</v>
      </c>
    </row>
    <row r="1633" spans="1:17" ht="15.75" customHeight="1">
      <c r="A1633" t="s">
        <v>4109</v>
      </c>
      <c r="B1633" t="s">
        <v>304</v>
      </c>
      <c r="C1633" t="s">
        <v>4110</v>
      </c>
      <c r="E1633" t="s">
        <v>4111</v>
      </c>
      <c r="F1633" t="s">
        <v>3418</v>
      </c>
      <c r="G1633" t="s">
        <v>308</v>
      </c>
      <c r="J1633" t="s">
        <v>4112</v>
      </c>
      <c r="K1633">
        <v>25</v>
      </c>
      <c r="L1633">
        <v>-250</v>
      </c>
      <c r="M1633" t="s">
        <v>310</v>
      </c>
      <c r="Q1633" t="s">
        <v>4113</v>
      </c>
    </row>
    <row r="1634" spans="1:17" ht="15.75" customHeight="1">
      <c r="A1634" t="s">
        <v>4114</v>
      </c>
      <c r="B1634" t="s">
        <v>304</v>
      </c>
      <c r="C1634" t="s">
        <v>4115</v>
      </c>
      <c r="E1634" t="s">
        <v>4116</v>
      </c>
      <c r="F1634" t="s">
        <v>3443</v>
      </c>
      <c r="G1634" t="s">
        <v>308</v>
      </c>
      <c r="J1634" t="s">
        <v>4117</v>
      </c>
      <c r="K1634">
        <v>25</v>
      </c>
      <c r="L1634">
        <v>-250</v>
      </c>
      <c r="M1634" t="s">
        <v>310</v>
      </c>
      <c r="Q1634" t="s">
        <v>4118</v>
      </c>
    </row>
    <row r="1635" spans="1:17" ht="15.75" customHeight="1">
      <c r="A1635" t="s">
        <v>4119</v>
      </c>
      <c r="B1635" t="s">
        <v>304</v>
      </c>
      <c r="C1635" t="s">
        <v>4120</v>
      </c>
      <c r="E1635" t="s">
        <v>4121</v>
      </c>
      <c r="F1635" t="s">
        <v>3468</v>
      </c>
      <c r="G1635" t="s">
        <v>308</v>
      </c>
      <c r="J1635" t="s">
        <v>4122</v>
      </c>
      <c r="K1635">
        <v>25</v>
      </c>
      <c r="L1635">
        <v>-150</v>
      </c>
      <c r="M1635" t="s">
        <v>310</v>
      </c>
      <c r="Q1635" t="s">
        <v>4123</v>
      </c>
    </row>
    <row r="1636" spans="1:17" ht="15.75" customHeight="1">
      <c r="A1636" t="s">
        <v>4124</v>
      </c>
      <c r="B1636" t="s">
        <v>304</v>
      </c>
      <c r="C1636" t="s">
        <v>4125</v>
      </c>
      <c r="E1636" t="s">
        <v>4126</v>
      </c>
      <c r="F1636" t="s">
        <v>3493</v>
      </c>
      <c r="G1636" t="s">
        <v>308</v>
      </c>
      <c r="J1636" t="s">
        <v>4127</v>
      </c>
      <c r="K1636">
        <v>25</v>
      </c>
      <c r="L1636">
        <v>-225</v>
      </c>
      <c r="M1636" t="s">
        <v>310</v>
      </c>
      <c r="Q1636" t="s">
        <v>4128</v>
      </c>
    </row>
    <row r="1637" spans="1:17" ht="15.75" customHeight="1">
      <c r="A1637" t="s">
        <v>4129</v>
      </c>
      <c r="B1637" t="s">
        <v>304</v>
      </c>
      <c r="C1637" t="s">
        <v>4130</v>
      </c>
      <c r="E1637" t="s">
        <v>4131</v>
      </c>
      <c r="F1637" t="s">
        <v>3518</v>
      </c>
      <c r="G1637" t="s">
        <v>308</v>
      </c>
      <c r="J1637" t="s">
        <v>4132</v>
      </c>
      <c r="K1637">
        <v>25</v>
      </c>
      <c r="L1637">
        <v>-225</v>
      </c>
      <c r="M1637" t="s">
        <v>310</v>
      </c>
      <c r="Q1637" t="s">
        <v>4133</v>
      </c>
    </row>
    <row r="1638" spans="1:17" ht="15.75" customHeight="1">
      <c r="A1638" t="s">
        <v>4134</v>
      </c>
      <c r="B1638" t="s">
        <v>304</v>
      </c>
      <c r="C1638" t="s">
        <v>4135</v>
      </c>
      <c r="E1638" t="s">
        <v>4136</v>
      </c>
      <c r="F1638" t="s">
        <v>3543</v>
      </c>
      <c r="G1638" t="s">
        <v>308</v>
      </c>
      <c r="J1638" t="s">
        <v>4137</v>
      </c>
      <c r="K1638">
        <v>25</v>
      </c>
      <c r="L1638">
        <v>-250</v>
      </c>
      <c r="M1638" t="s">
        <v>310</v>
      </c>
      <c r="Q1638" t="s">
        <v>4138</v>
      </c>
    </row>
    <row r="1639" spans="1:17" ht="15.75" customHeight="1">
      <c r="A1639" t="s">
        <v>4139</v>
      </c>
      <c r="B1639" t="s">
        <v>304</v>
      </c>
      <c r="C1639" t="s">
        <v>4140</v>
      </c>
      <c r="E1639" t="s">
        <v>4141</v>
      </c>
      <c r="F1639" t="s">
        <v>3568</v>
      </c>
      <c r="G1639" t="s">
        <v>308</v>
      </c>
      <c r="J1639" t="s">
        <v>4142</v>
      </c>
      <c r="K1639">
        <v>25</v>
      </c>
      <c r="L1639">
        <v>-250</v>
      </c>
      <c r="M1639" t="s">
        <v>310</v>
      </c>
      <c r="Q1639" t="s">
        <v>4143</v>
      </c>
    </row>
  </sheetData>
  <conditionalFormatting sqref="A1 A9:A33 A35:A56 A78 A88 A96:A111 A125:A168 A211:A221 A237:A963 A1059:A1048576">
    <cfRule type="duplicateValues" dxfId="11" priority="106"/>
  </conditionalFormatting>
  <conditionalFormatting sqref="A1 A9:A56 A78 A88 A96:A111 A125:A168 A211:A221 A237:A963 A1059:A1048576">
    <cfRule type="duplicateValues" dxfId="10" priority="115"/>
  </conditionalFormatting>
  <conditionalFormatting sqref="A57">
    <cfRule type="duplicateValues" dxfId="9" priority="17"/>
  </conditionalFormatting>
  <conditionalFormatting sqref="A1059:A1199 A1201:A1048576 H921:I1200 H1203:I1048576">
    <cfRule type="duplicateValues" dxfId="8" priority="80"/>
  </conditionalFormatting>
  <conditionalFormatting sqref="A1059:A1199 A1201:A1048576">
    <cfRule type="duplicateValues" dxfId="7" priority="105"/>
  </conditionalFormatting>
  <conditionalFormatting sqref="C1:C1048576">
    <cfRule type="duplicateValues" dxfId="6" priority="18"/>
  </conditionalFormatting>
  <conditionalFormatting sqref="F965:F983">
    <cfRule type="duplicateValues" dxfId="5" priority="16"/>
  </conditionalFormatting>
  <conditionalFormatting sqref="F985:F991">
    <cfRule type="duplicateValues" dxfId="4" priority="15"/>
  </conditionalFormatting>
  <conditionalFormatting sqref="F993:F1004">
    <cfRule type="duplicateValues" dxfId="3" priority="14"/>
  </conditionalFormatting>
  <conditionalFormatting sqref="F1006:F1009">
    <cfRule type="duplicateValues" dxfId="2" priority="13"/>
  </conditionalFormatting>
  <conditionalFormatting sqref="F1039:F1049">
    <cfRule type="duplicateValues" dxfId="1" priority="12"/>
  </conditionalFormatting>
  <conditionalFormatting sqref="F1051:F1058">
    <cfRule type="duplicateValues" dxfId="0" priority="11"/>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workbookViewId="0"/>
  </sheetViews>
  <sheetFormatPr baseColWidth="10" defaultColWidth="9.140625" defaultRowHeight="15"/>
  <sheetData>
    <row r="1" spans="1:3">
      <c r="A1" t="s">
        <v>4144</v>
      </c>
      <c r="B1" t="s">
        <v>756</v>
      </c>
      <c r="C1" t="s">
        <v>760</v>
      </c>
    </row>
    <row r="2" spans="1:3">
      <c r="A2">
        <v>0</v>
      </c>
      <c r="B2">
        <v>0</v>
      </c>
      <c r="C2">
        <v>0</v>
      </c>
    </row>
    <row r="3" spans="1:3">
      <c r="A3">
        <v>20</v>
      </c>
      <c r="B3">
        <v>1</v>
      </c>
      <c r="C3">
        <v>1</v>
      </c>
    </row>
    <row r="4" spans="1:3">
      <c r="A4">
        <v>60</v>
      </c>
      <c r="B4">
        <v>2</v>
      </c>
      <c r="C4">
        <v>1</v>
      </c>
    </row>
    <row r="5" spans="1:3">
      <c r="A5">
        <v>120</v>
      </c>
      <c r="B5">
        <v>3</v>
      </c>
      <c r="C5">
        <v>1</v>
      </c>
    </row>
    <row r="6" spans="1:3">
      <c r="A6">
        <v>200</v>
      </c>
      <c r="B6">
        <v>4</v>
      </c>
      <c r="C6">
        <v>2</v>
      </c>
    </row>
    <row r="7" spans="1:3">
      <c r="A7">
        <v>300</v>
      </c>
      <c r="B7">
        <v>5</v>
      </c>
      <c r="C7">
        <v>2</v>
      </c>
    </row>
    <row r="8" spans="1:3">
      <c r="A8">
        <v>400</v>
      </c>
      <c r="B8">
        <v>6</v>
      </c>
      <c r="C8">
        <v>2</v>
      </c>
    </row>
    <row r="9" spans="1:3">
      <c r="A9">
        <v>500</v>
      </c>
      <c r="B9">
        <v>7</v>
      </c>
      <c r="C9">
        <v>2</v>
      </c>
    </row>
    <row r="10" spans="1:3">
      <c r="A10">
        <v>600</v>
      </c>
      <c r="B10">
        <v>8</v>
      </c>
      <c r="C10">
        <v>2</v>
      </c>
    </row>
    <row r="11" spans="1:3">
      <c r="A11">
        <v>700</v>
      </c>
      <c r="B11">
        <v>9</v>
      </c>
      <c r="C11">
        <v>3</v>
      </c>
    </row>
    <row r="12" spans="1:3">
      <c r="A12">
        <v>850</v>
      </c>
      <c r="B12">
        <v>10</v>
      </c>
      <c r="C12">
        <v>3</v>
      </c>
    </row>
    <row r="13" spans="1:3">
      <c r="A13">
        <v>1000</v>
      </c>
      <c r="B13">
        <v>11</v>
      </c>
      <c r="C13">
        <v>3</v>
      </c>
    </row>
    <row r="14" spans="1:3">
      <c r="A14">
        <v>1150</v>
      </c>
      <c r="B14">
        <v>12</v>
      </c>
      <c r="C14">
        <v>3</v>
      </c>
    </row>
    <row r="15" spans="1:3">
      <c r="A15">
        <v>1300</v>
      </c>
      <c r="B15">
        <v>13</v>
      </c>
      <c r="C15">
        <v>3</v>
      </c>
    </row>
    <row r="16" spans="1:3">
      <c r="A16">
        <v>1450</v>
      </c>
      <c r="B16">
        <v>14</v>
      </c>
      <c r="C16">
        <v>3</v>
      </c>
    </row>
    <row r="17" spans="1:3">
      <c r="A17">
        <v>1600</v>
      </c>
      <c r="B17">
        <v>15</v>
      </c>
      <c r="C17">
        <v>3</v>
      </c>
    </row>
    <row r="18" spans="1:3">
      <c r="A18">
        <v>1750</v>
      </c>
      <c r="B18">
        <v>16</v>
      </c>
      <c r="C18">
        <v>4</v>
      </c>
    </row>
    <row r="19" spans="1:3">
      <c r="A19">
        <v>1950</v>
      </c>
      <c r="B19">
        <v>17</v>
      </c>
      <c r="C19">
        <v>4</v>
      </c>
    </row>
    <row r="20" spans="1:3">
      <c r="A20">
        <v>2150</v>
      </c>
      <c r="B20">
        <v>18</v>
      </c>
      <c r="C20">
        <v>4</v>
      </c>
    </row>
    <row r="21" spans="1:3">
      <c r="A21">
        <v>2350</v>
      </c>
      <c r="B21">
        <v>19</v>
      </c>
      <c r="C21">
        <v>4</v>
      </c>
    </row>
    <row r="22" spans="1:3">
      <c r="A22">
        <v>2550</v>
      </c>
      <c r="B22">
        <v>20</v>
      </c>
      <c r="C22">
        <v>4</v>
      </c>
    </row>
    <row r="23" spans="1:3">
      <c r="A23">
        <v>2750</v>
      </c>
      <c r="B23">
        <v>21</v>
      </c>
      <c r="C23">
        <v>4</v>
      </c>
    </row>
    <row r="24" spans="1:3">
      <c r="A24">
        <v>2950</v>
      </c>
      <c r="B24">
        <v>22</v>
      </c>
      <c r="C24">
        <v>4</v>
      </c>
    </row>
    <row r="25" spans="1:3">
      <c r="A25">
        <v>3150</v>
      </c>
      <c r="B25">
        <v>23</v>
      </c>
      <c r="C25">
        <v>4</v>
      </c>
    </row>
    <row r="26" spans="1:3">
      <c r="A26">
        <v>3350</v>
      </c>
      <c r="B26">
        <v>24</v>
      </c>
      <c r="C26">
        <v>4</v>
      </c>
    </row>
    <row r="27" spans="1:3">
      <c r="A27">
        <v>3550</v>
      </c>
      <c r="B27">
        <v>25</v>
      </c>
      <c r="C27">
        <v>5</v>
      </c>
    </row>
    <row r="28" spans="1:3">
      <c r="A28">
        <v>3800</v>
      </c>
      <c r="B28">
        <v>26</v>
      </c>
      <c r="C28">
        <v>5</v>
      </c>
    </row>
    <row r="29" spans="1:3">
      <c r="A29">
        <v>4050</v>
      </c>
      <c r="B29">
        <v>27</v>
      </c>
      <c r="C29">
        <v>5</v>
      </c>
    </row>
    <row r="30" spans="1:3">
      <c r="A30">
        <v>4300</v>
      </c>
      <c r="B30">
        <v>28</v>
      </c>
      <c r="C30">
        <v>5</v>
      </c>
    </row>
    <row r="31" spans="1:3">
      <c r="A31">
        <v>4550</v>
      </c>
      <c r="B31">
        <v>29</v>
      </c>
      <c r="C31">
        <v>5</v>
      </c>
    </row>
    <row r="32" spans="1:3">
      <c r="A32">
        <v>4800</v>
      </c>
      <c r="B32">
        <v>30</v>
      </c>
      <c r="C32">
        <v>5</v>
      </c>
    </row>
    <row r="33" spans="1:3">
      <c r="A33">
        <v>5050</v>
      </c>
      <c r="B33">
        <v>31</v>
      </c>
      <c r="C33">
        <v>5</v>
      </c>
    </row>
    <row r="34" spans="1:3">
      <c r="A34">
        <v>5300</v>
      </c>
      <c r="B34">
        <v>32</v>
      </c>
      <c r="C34">
        <v>5</v>
      </c>
    </row>
    <row r="35" spans="1:3">
      <c r="A35">
        <v>5550</v>
      </c>
      <c r="B35">
        <v>33</v>
      </c>
      <c r="C35">
        <v>5</v>
      </c>
    </row>
    <row r="36" spans="1:3">
      <c r="A36">
        <v>5800</v>
      </c>
      <c r="B36">
        <v>34</v>
      </c>
      <c r="C36">
        <v>5</v>
      </c>
    </row>
    <row r="37" spans="1:3">
      <c r="A37">
        <v>6050</v>
      </c>
      <c r="B37">
        <v>35</v>
      </c>
      <c r="C37">
        <v>5</v>
      </c>
    </row>
    <row r="38" spans="1:3">
      <c r="A38">
        <v>6300</v>
      </c>
      <c r="B38">
        <v>36</v>
      </c>
      <c r="C38">
        <v>6</v>
      </c>
    </row>
    <row r="39" spans="1:3">
      <c r="A39">
        <v>6600</v>
      </c>
      <c r="B39">
        <v>37</v>
      </c>
      <c r="C39">
        <v>6</v>
      </c>
    </row>
    <row r="40" spans="1:3">
      <c r="A40">
        <v>6900</v>
      </c>
      <c r="B40">
        <v>38</v>
      </c>
      <c r="C40">
        <v>6</v>
      </c>
    </row>
    <row r="41" spans="1:3">
      <c r="A41">
        <v>7200</v>
      </c>
      <c r="B41">
        <v>39</v>
      </c>
      <c r="C41">
        <v>6</v>
      </c>
    </row>
    <row r="42" spans="1:3">
      <c r="A42">
        <v>7500</v>
      </c>
      <c r="B42">
        <v>40</v>
      </c>
      <c r="C42">
        <v>6</v>
      </c>
    </row>
    <row r="43" spans="1:3">
      <c r="A43">
        <v>7800</v>
      </c>
      <c r="B43">
        <v>41</v>
      </c>
      <c r="C43">
        <v>6</v>
      </c>
    </row>
    <row r="44" spans="1:3">
      <c r="A44">
        <v>8100</v>
      </c>
      <c r="B44">
        <v>42</v>
      </c>
      <c r="C44">
        <v>6</v>
      </c>
    </row>
    <row r="45" spans="1:3">
      <c r="A45">
        <v>8400</v>
      </c>
      <c r="B45">
        <v>43</v>
      </c>
      <c r="C45">
        <v>6</v>
      </c>
    </row>
    <row r="46" spans="1:3">
      <c r="A46">
        <v>8700</v>
      </c>
      <c r="B46">
        <v>44</v>
      </c>
      <c r="C46">
        <v>6</v>
      </c>
    </row>
    <row r="47" spans="1:3">
      <c r="A47">
        <v>9000</v>
      </c>
      <c r="B47">
        <v>45</v>
      </c>
      <c r="C47">
        <v>6</v>
      </c>
    </row>
    <row r="48" spans="1:3">
      <c r="A48">
        <v>9300</v>
      </c>
      <c r="B48">
        <v>46</v>
      </c>
      <c r="C48">
        <v>6</v>
      </c>
    </row>
    <row r="49" spans="1:3">
      <c r="A49">
        <v>9600</v>
      </c>
      <c r="B49">
        <v>47</v>
      </c>
      <c r="C49">
        <v>6</v>
      </c>
    </row>
    <row r="50" spans="1:3">
      <c r="A50">
        <v>9900</v>
      </c>
      <c r="B50">
        <v>48</v>
      </c>
      <c r="C50">
        <v>6</v>
      </c>
    </row>
    <row r="51" spans="1:3">
      <c r="A51">
        <v>10250</v>
      </c>
      <c r="B51">
        <v>49</v>
      </c>
      <c r="C51">
        <v>7</v>
      </c>
    </row>
    <row r="52" spans="1:3">
      <c r="A52">
        <v>10600</v>
      </c>
      <c r="B52">
        <v>50</v>
      </c>
      <c r="C52">
        <v>7</v>
      </c>
    </row>
    <row r="53" spans="1:3">
      <c r="A53">
        <v>10950</v>
      </c>
      <c r="B53">
        <v>51</v>
      </c>
      <c r="C53">
        <v>7</v>
      </c>
    </row>
    <row r="54" spans="1:3">
      <c r="A54">
        <v>11300</v>
      </c>
      <c r="B54">
        <v>52</v>
      </c>
      <c r="C54">
        <v>7</v>
      </c>
    </row>
    <row r="55" spans="1:3">
      <c r="A55">
        <v>11650</v>
      </c>
      <c r="B55">
        <v>53</v>
      </c>
      <c r="C55">
        <v>7</v>
      </c>
    </row>
    <row r="56" spans="1:3">
      <c r="A56">
        <v>12000</v>
      </c>
      <c r="B56">
        <v>54</v>
      </c>
      <c r="C56">
        <v>7</v>
      </c>
    </row>
    <row r="57" spans="1:3">
      <c r="A57">
        <v>12350</v>
      </c>
      <c r="B57">
        <v>55</v>
      </c>
      <c r="C57">
        <v>7</v>
      </c>
    </row>
    <row r="58" spans="1:3">
      <c r="A58">
        <v>12700</v>
      </c>
      <c r="B58">
        <v>56</v>
      </c>
      <c r="C58">
        <v>7</v>
      </c>
    </row>
    <row r="59" spans="1:3">
      <c r="A59">
        <v>13050</v>
      </c>
      <c r="B59">
        <v>57</v>
      </c>
      <c r="C59">
        <v>7</v>
      </c>
    </row>
    <row r="60" spans="1:3">
      <c r="A60">
        <v>13400</v>
      </c>
      <c r="B60">
        <v>58</v>
      </c>
      <c r="C60">
        <v>7</v>
      </c>
    </row>
    <row r="61" spans="1:3">
      <c r="A61">
        <v>13750</v>
      </c>
      <c r="B61">
        <v>59</v>
      </c>
      <c r="C61">
        <v>7</v>
      </c>
    </row>
    <row r="62" spans="1:3">
      <c r="A62">
        <v>14100</v>
      </c>
      <c r="B62">
        <v>60</v>
      </c>
      <c r="C62">
        <v>7</v>
      </c>
    </row>
    <row r="63" spans="1:3">
      <c r="A63">
        <v>14450</v>
      </c>
      <c r="B63">
        <v>61</v>
      </c>
      <c r="C63">
        <v>7</v>
      </c>
    </row>
    <row r="64" spans="1:3">
      <c r="A64">
        <v>14800</v>
      </c>
      <c r="B64">
        <v>62</v>
      </c>
      <c r="C64">
        <v>7</v>
      </c>
    </row>
    <row r="65" spans="1:3">
      <c r="A65">
        <v>15150</v>
      </c>
      <c r="B65">
        <v>63</v>
      </c>
      <c r="C65">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workbookViewId="0"/>
  </sheetViews>
  <sheetFormatPr baseColWidth="10" defaultColWidth="9.140625" defaultRowHeight="15"/>
  <sheetData>
    <row r="1" spans="1:3">
      <c r="A1" t="s">
        <v>20</v>
      </c>
      <c r="B1" t="s">
        <v>4145</v>
      </c>
      <c r="C1" t="s">
        <v>4146</v>
      </c>
    </row>
    <row r="2" spans="1:3">
      <c r="A2">
        <v>0</v>
      </c>
      <c r="B2">
        <v>0</v>
      </c>
      <c r="C2">
        <v>0</v>
      </c>
    </row>
    <row r="3" spans="1:3">
      <c r="A3">
        <v>1</v>
      </c>
      <c r="B3">
        <v>4</v>
      </c>
      <c r="C3">
        <v>4</v>
      </c>
    </row>
    <row r="4" spans="1:3">
      <c r="A4">
        <v>2</v>
      </c>
      <c r="B4">
        <v>1</v>
      </c>
      <c r="C4">
        <v>5</v>
      </c>
    </row>
    <row r="5" spans="1:3">
      <c r="A5">
        <v>3</v>
      </c>
      <c r="B5">
        <v>1</v>
      </c>
      <c r="C5">
        <v>6</v>
      </c>
    </row>
    <row r="6" spans="1:3">
      <c r="A6">
        <v>4</v>
      </c>
      <c r="B6">
        <v>1</v>
      </c>
      <c r="C6">
        <v>7</v>
      </c>
    </row>
    <row r="7" spans="1:3">
      <c r="A7">
        <v>5</v>
      </c>
      <c r="B7">
        <v>2</v>
      </c>
      <c r="C7">
        <v>9</v>
      </c>
    </row>
    <row r="8" spans="1:3">
      <c r="A8">
        <v>6</v>
      </c>
      <c r="B8">
        <v>2</v>
      </c>
      <c r="C8">
        <v>11</v>
      </c>
    </row>
    <row r="9" spans="1:3">
      <c r="A9">
        <v>7</v>
      </c>
      <c r="B9">
        <v>2</v>
      </c>
      <c r="C9">
        <v>13</v>
      </c>
    </row>
    <row r="10" spans="1:3">
      <c r="A10">
        <v>8</v>
      </c>
      <c r="B10">
        <v>3</v>
      </c>
      <c r="C10">
        <v>16</v>
      </c>
    </row>
    <row r="11" spans="1:3">
      <c r="A11">
        <v>9</v>
      </c>
      <c r="B11">
        <v>3</v>
      </c>
      <c r="C11">
        <v>19</v>
      </c>
    </row>
    <row r="12" spans="1:3">
      <c r="A12">
        <v>10</v>
      </c>
      <c r="B12">
        <v>3</v>
      </c>
      <c r="C12">
        <v>22</v>
      </c>
    </row>
    <row r="13" spans="1:3">
      <c r="A13">
        <v>11</v>
      </c>
      <c r="B13">
        <v>4</v>
      </c>
      <c r="C13">
        <v>26</v>
      </c>
    </row>
    <row r="14" spans="1:3">
      <c r="A14">
        <v>12</v>
      </c>
      <c r="B14">
        <v>4</v>
      </c>
      <c r="C14">
        <v>30</v>
      </c>
    </row>
    <row r="15" spans="1:3">
      <c r="A15">
        <v>13</v>
      </c>
      <c r="B15">
        <v>4</v>
      </c>
      <c r="C15">
        <v>34</v>
      </c>
    </row>
    <row r="16" spans="1:3">
      <c r="A16">
        <v>14</v>
      </c>
      <c r="B16">
        <v>5</v>
      </c>
      <c r="C16">
        <v>39</v>
      </c>
    </row>
    <row r="17" spans="1:3">
      <c r="A17">
        <v>15</v>
      </c>
      <c r="B17">
        <v>5</v>
      </c>
      <c r="C17">
        <v>44</v>
      </c>
    </row>
    <row r="18" spans="1:3">
      <c r="A18">
        <v>16</v>
      </c>
      <c r="B18">
        <v>5</v>
      </c>
      <c r="C18">
        <v>49</v>
      </c>
    </row>
    <row r="19" spans="1:3">
      <c r="A19">
        <v>17</v>
      </c>
      <c r="B19">
        <v>6</v>
      </c>
      <c r="C19">
        <v>55</v>
      </c>
    </row>
    <row r="20" spans="1:3">
      <c r="A20">
        <v>18</v>
      </c>
      <c r="B20">
        <v>6</v>
      </c>
      <c r="C20">
        <v>61</v>
      </c>
    </row>
    <row r="21" spans="1:3">
      <c r="A21">
        <v>19</v>
      </c>
      <c r="B21">
        <v>6</v>
      </c>
      <c r="C21">
        <v>67</v>
      </c>
    </row>
    <row r="22" spans="1:3">
      <c r="A22">
        <v>20</v>
      </c>
      <c r="B22">
        <v>7</v>
      </c>
      <c r="C22">
        <v>74</v>
      </c>
    </row>
    <row r="23" spans="1:3">
      <c r="A23">
        <v>21</v>
      </c>
      <c r="B23">
        <v>7</v>
      </c>
      <c r="C23">
        <v>81</v>
      </c>
    </row>
    <row r="24" spans="1:3">
      <c r="A24">
        <v>22</v>
      </c>
      <c r="B24">
        <v>7</v>
      </c>
      <c r="C24">
        <v>88</v>
      </c>
    </row>
    <row r="25" spans="1:3">
      <c r="A25">
        <v>23</v>
      </c>
      <c r="B25">
        <v>8</v>
      </c>
      <c r="C25">
        <v>96</v>
      </c>
    </row>
    <row r="26" spans="1:3">
      <c r="A26">
        <v>24</v>
      </c>
      <c r="B26">
        <v>8</v>
      </c>
      <c r="C26">
        <v>104</v>
      </c>
    </row>
    <row r="27" spans="1:3">
      <c r="A27">
        <v>25</v>
      </c>
      <c r="B27">
        <v>8</v>
      </c>
      <c r="C27">
        <v>112</v>
      </c>
    </row>
    <row r="28" spans="1:3">
      <c r="A28">
        <v>26</v>
      </c>
      <c r="B28">
        <v>9</v>
      </c>
      <c r="C28">
        <v>121</v>
      </c>
    </row>
    <row r="29" spans="1:3">
      <c r="A29">
        <v>27</v>
      </c>
      <c r="B29">
        <v>9</v>
      </c>
      <c r="C29">
        <v>130</v>
      </c>
    </row>
    <row r="30" spans="1:3">
      <c r="A30">
        <v>28</v>
      </c>
      <c r="B30">
        <v>9</v>
      </c>
      <c r="C30">
        <v>139</v>
      </c>
    </row>
    <row r="31" spans="1:3">
      <c r="A31">
        <v>29</v>
      </c>
      <c r="B31">
        <v>10</v>
      </c>
      <c r="C31">
        <v>149</v>
      </c>
    </row>
    <row r="32" spans="1:3">
      <c r="A32">
        <v>30</v>
      </c>
      <c r="B32">
        <v>10</v>
      </c>
      <c r="C32">
        <v>159</v>
      </c>
    </row>
    <row r="33" spans="1:3">
      <c r="A33">
        <v>31</v>
      </c>
      <c r="B33">
        <v>10</v>
      </c>
      <c r="C33">
        <v>169</v>
      </c>
    </row>
    <row r="34" spans="1:3">
      <c r="A34">
        <v>32</v>
      </c>
      <c r="B34">
        <v>11</v>
      </c>
      <c r="C34">
        <v>180</v>
      </c>
    </row>
    <row r="35" spans="1:3">
      <c r="A35">
        <v>33</v>
      </c>
      <c r="B35">
        <v>11</v>
      </c>
      <c r="C35">
        <v>191</v>
      </c>
    </row>
    <row r="36" spans="1:3">
      <c r="A36">
        <v>34</v>
      </c>
      <c r="B36">
        <v>11</v>
      </c>
      <c r="C36">
        <v>202</v>
      </c>
    </row>
    <row r="37" spans="1:3">
      <c r="A37">
        <v>35</v>
      </c>
      <c r="B37">
        <v>12</v>
      </c>
      <c r="C37">
        <v>214</v>
      </c>
    </row>
    <row r="38" spans="1:3">
      <c r="A38">
        <v>36</v>
      </c>
      <c r="B38">
        <v>12</v>
      </c>
      <c r="C38">
        <v>226</v>
      </c>
    </row>
    <row r="39" spans="1:3">
      <c r="A39">
        <v>37</v>
      </c>
      <c r="B39">
        <v>12</v>
      </c>
      <c r="C39">
        <v>238</v>
      </c>
    </row>
    <row r="40" spans="1:3">
      <c r="A40">
        <v>38</v>
      </c>
      <c r="B40">
        <v>13</v>
      </c>
      <c r="C40">
        <v>251</v>
      </c>
    </row>
    <row r="41" spans="1:3">
      <c r="A41">
        <v>39</v>
      </c>
      <c r="B41">
        <v>13</v>
      </c>
      <c r="C41">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6"/>
  <sheetViews>
    <sheetView workbookViewId="0"/>
  </sheetViews>
  <sheetFormatPr baseColWidth="10" defaultColWidth="9.140625" defaultRowHeight="15"/>
  <sheetData>
    <row r="1" spans="1:3">
      <c r="A1" t="s">
        <v>20</v>
      </c>
      <c r="B1" t="s">
        <v>4146</v>
      </c>
      <c r="C1" t="s">
        <v>4145</v>
      </c>
    </row>
    <row r="2" spans="1:3">
      <c r="A2">
        <v>0</v>
      </c>
      <c r="B2">
        <v>0</v>
      </c>
      <c r="C2">
        <v>0</v>
      </c>
    </row>
    <row r="3" spans="1:3">
      <c r="A3">
        <v>1</v>
      </c>
      <c r="B3">
        <v>30</v>
      </c>
      <c r="C3">
        <v>30</v>
      </c>
    </row>
    <row r="4" spans="1:3">
      <c r="A4">
        <v>2</v>
      </c>
      <c r="B4">
        <v>60</v>
      </c>
      <c r="C4">
        <v>30</v>
      </c>
    </row>
    <row r="5" spans="1:3">
      <c r="A5">
        <v>3</v>
      </c>
      <c r="B5">
        <v>90</v>
      </c>
      <c r="C5">
        <v>30</v>
      </c>
    </row>
    <row r="6" spans="1:3">
      <c r="A6">
        <v>4</v>
      </c>
      <c r="B6">
        <v>120</v>
      </c>
      <c r="C6">
        <v>30</v>
      </c>
    </row>
    <row r="7" spans="1:3">
      <c r="A7">
        <v>5</v>
      </c>
      <c r="B7">
        <v>150</v>
      </c>
      <c r="C7">
        <v>30</v>
      </c>
    </row>
    <row r="8" spans="1:3">
      <c r="A8">
        <v>6</v>
      </c>
      <c r="B8">
        <v>180</v>
      </c>
      <c r="C8">
        <v>30</v>
      </c>
    </row>
    <row r="9" spans="1:3">
      <c r="A9">
        <v>7</v>
      </c>
      <c r="B9">
        <v>210</v>
      </c>
      <c r="C9">
        <v>30</v>
      </c>
    </row>
    <row r="10" spans="1:3">
      <c r="A10">
        <v>8</v>
      </c>
      <c r="B10">
        <v>240</v>
      </c>
      <c r="C10">
        <v>30</v>
      </c>
    </row>
    <row r="11" spans="1:3">
      <c r="A11">
        <v>9</v>
      </c>
      <c r="B11">
        <v>270</v>
      </c>
      <c r="C11">
        <v>30</v>
      </c>
    </row>
    <row r="12" spans="1:3">
      <c r="A12">
        <v>10</v>
      </c>
      <c r="B12">
        <v>300</v>
      </c>
      <c r="C12">
        <v>30</v>
      </c>
    </row>
    <row r="13" spans="1:3">
      <c r="A13">
        <v>11</v>
      </c>
      <c r="B13">
        <v>330</v>
      </c>
      <c r="C13">
        <v>30</v>
      </c>
    </row>
    <row r="14" spans="1:3">
      <c r="A14">
        <v>12</v>
      </c>
      <c r="B14">
        <v>363</v>
      </c>
      <c r="C14">
        <v>33</v>
      </c>
    </row>
    <row r="15" spans="1:3">
      <c r="A15">
        <v>13</v>
      </c>
      <c r="B15">
        <v>399</v>
      </c>
      <c r="C15">
        <v>36</v>
      </c>
    </row>
    <row r="16" spans="1:3">
      <c r="A16">
        <v>14</v>
      </c>
      <c r="B16">
        <v>438</v>
      </c>
      <c r="C16">
        <v>39</v>
      </c>
    </row>
    <row r="17" spans="1:3">
      <c r="A17">
        <v>15</v>
      </c>
      <c r="B17">
        <v>480</v>
      </c>
      <c r="C17">
        <v>42</v>
      </c>
    </row>
    <row r="18" spans="1:3">
      <c r="A18">
        <v>16</v>
      </c>
      <c r="B18">
        <v>525</v>
      </c>
      <c r="C18">
        <v>45</v>
      </c>
    </row>
    <row r="19" spans="1:3">
      <c r="A19">
        <v>17</v>
      </c>
      <c r="B19">
        <v>573</v>
      </c>
      <c r="C19">
        <v>48</v>
      </c>
    </row>
    <row r="20" spans="1:3">
      <c r="A20">
        <v>18</v>
      </c>
      <c r="B20">
        <v>624</v>
      </c>
      <c r="C20">
        <v>51</v>
      </c>
    </row>
    <row r="21" spans="1:3">
      <c r="A21">
        <v>19</v>
      </c>
      <c r="B21">
        <v>678</v>
      </c>
      <c r="C21">
        <v>54</v>
      </c>
    </row>
    <row r="22" spans="1:3">
      <c r="A22">
        <v>20</v>
      </c>
      <c r="B22">
        <v>735</v>
      </c>
      <c r="C22">
        <v>57</v>
      </c>
    </row>
    <row r="23" spans="1:3">
      <c r="A23">
        <v>21</v>
      </c>
      <c r="B23">
        <v>795</v>
      </c>
      <c r="C23">
        <v>60</v>
      </c>
    </row>
    <row r="24" spans="1:3">
      <c r="A24">
        <v>22</v>
      </c>
      <c r="B24">
        <v>858</v>
      </c>
      <c r="C24">
        <v>63</v>
      </c>
    </row>
    <row r="25" spans="1:3">
      <c r="A25">
        <v>23</v>
      </c>
      <c r="B25">
        <v>924</v>
      </c>
      <c r="C25">
        <v>66</v>
      </c>
    </row>
    <row r="26" spans="1:3">
      <c r="A26">
        <v>24</v>
      </c>
      <c r="B26">
        <v>993</v>
      </c>
      <c r="C26">
        <v>69</v>
      </c>
    </row>
    <row r="27" spans="1:3">
      <c r="A27">
        <v>25</v>
      </c>
      <c r="B27">
        <v>1065</v>
      </c>
      <c r="C27">
        <v>72</v>
      </c>
    </row>
    <row r="28" spans="1:3">
      <c r="A28">
        <v>26</v>
      </c>
      <c r="B28">
        <v>1140</v>
      </c>
      <c r="C28">
        <v>75</v>
      </c>
    </row>
    <row r="29" spans="1:3">
      <c r="A29">
        <v>27</v>
      </c>
      <c r="B29">
        <v>1218</v>
      </c>
      <c r="C29">
        <v>78</v>
      </c>
    </row>
    <row r="30" spans="1:3">
      <c r="A30">
        <v>28</v>
      </c>
      <c r="B30">
        <v>1299</v>
      </c>
      <c r="C30">
        <v>81</v>
      </c>
    </row>
    <row r="31" spans="1:3">
      <c r="A31">
        <v>29</v>
      </c>
      <c r="B31">
        <v>1383</v>
      </c>
      <c r="C31">
        <v>84</v>
      </c>
    </row>
    <row r="32" spans="1:3">
      <c r="A32">
        <v>30</v>
      </c>
      <c r="B32">
        <v>1470</v>
      </c>
      <c r="C32">
        <v>87</v>
      </c>
    </row>
    <row r="33" spans="1:3">
      <c r="A33">
        <v>31</v>
      </c>
      <c r="B33">
        <v>1560</v>
      </c>
      <c r="C33">
        <v>90</v>
      </c>
    </row>
    <row r="34" spans="1:3">
      <c r="A34">
        <v>32</v>
      </c>
      <c r="B34">
        <v>1653</v>
      </c>
      <c r="C34">
        <v>93</v>
      </c>
    </row>
    <row r="35" spans="1:3">
      <c r="A35">
        <v>33</v>
      </c>
      <c r="B35">
        <v>1749</v>
      </c>
      <c r="C35">
        <v>96</v>
      </c>
    </row>
    <row r="36" spans="1:3">
      <c r="A36">
        <v>34</v>
      </c>
      <c r="B36">
        <v>1848</v>
      </c>
      <c r="C36">
        <v>99</v>
      </c>
    </row>
    <row r="37" spans="1:3">
      <c r="A37">
        <v>35</v>
      </c>
      <c r="B37">
        <v>1950</v>
      </c>
      <c r="C37">
        <v>102</v>
      </c>
    </row>
    <row r="38" spans="1:3">
      <c r="A38">
        <v>36</v>
      </c>
      <c r="B38">
        <v>2055</v>
      </c>
      <c r="C38">
        <v>105</v>
      </c>
    </row>
    <row r="39" spans="1:3">
      <c r="A39">
        <v>37</v>
      </c>
      <c r="B39">
        <v>2163</v>
      </c>
      <c r="C39">
        <v>108</v>
      </c>
    </row>
    <row r="40" spans="1:3">
      <c r="A40">
        <v>38</v>
      </c>
      <c r="B40">
        <v>2274</v>
      </c>
      <c r="C40">
        <v>111</v>
      </c>
    </row>
    <row r="41" spans="1:3">
      <c r="A41">
        <v>39</v>
      </c>
      <c r="B41">
        <v>2388</v>
      </c>
      <c r="C41">
        <v>114</v>
      </c>
    </row>
    <row r="42" spans="1:3">
      <c r="A42">
        <v>40</v>
      </c>
      <c r="B42">
        <v>2505</v>
      </c>
      <c r="C42">
        <v>117</v>
      </c>
    </row>
    <row r="43" spans="1:3">
      <c r="A43">
        <v>41</v>
      </c>
      <c r="B43">
        <v>2625</v>
      </c>
      <c r="C43">
        <v>120</v>
      </c>
    </row>
    <row r="44" spans="1:3">
      <c r="A44">
        <v>42</v>
      </c>
      <c r="B44">
        <v>2748</v>
      </c>
      <c r="C44">
        <v>123</v>
      </c>
    </row>
    <row r="45" spans="1:3">
      <c r="A45">
        <v>43</v>
      </c>
      <c r="B45">
        <v>2874</v>
      </c>
      <c r="C45">
        <v>126</v>
      </c>
    </row>
    <row r="46" spans="1:3">
      <c r="A46">
        <v>44</v>
      </c>
      <c r="B46">
        <v>3003</v>
      </c>
      <c r="C46">
        <v>129</v>
      </c>
    </row>
    <row r="47" spans="1:3">
      <c r="A47">
        <v>45</v>
      </c>
      <c r="B47">
        <v>3135</v>
      </c>
      <c r="C47">
        <v>132</v>
      </c>
    </row>
    <row r="48" spans="1:3">
      <c r="A48">
        <v>46</v>
      </c>
      <c r="B48">
        <v>3270</v>
      </c>
      <c r="C48">
        <v>135</v>
      </c>
    </row>
    <row r="49" spans="1:3">
      <c r="A49">
        <v>47</v>
      </c>
      <c r="B49">
        <v>3408</v>
      </c>
      <c r="C49">
        <v>138</v>
      </c>
    </row>
    <row r="50" spans="1:3">
      <c r="A50">
        <v>48</v>
      </c>
      <c r="B50">
        <v>3549</v>
      </c>
      <c r="C50">
        <v>141</v>
      </c>
    </row>
    <row r="51" spans="1:3">
      <c r="A51">
        <v>49</v>
      </c>
      <c r="B51">
        <v>3693</v>
      </c>
      <c r="C51">
        <v>144</v>
      </c>
    </row>
    <row r="52" spans="1:3">
      <c r="A52">
        <v>50</v>
      </c>
      <c r="B52">
        <v>3840</v>
      </c>
      <c r="C52">
        <v>147</v>
      </c>
    </row>
    <row r="53" spans="1:3">
      <c r="A53">
        <v>51</v>
      </c>
      <c r="B53">
        <v>3990</v>
      </c>
      <c r="C53">
        <v>150</v>
      </c>
    </row>
    <row r="54" spans="1:3">
      <c r="A54">
        <v>52</v>
      </c>
      <c r="B54">
        <v>4143</v>
      </c>
      <c r="C54">
        <v>153</v>
      </c>
    </row>
    <row r="55" spans="1:3">
      <c r="A55">
        <v>53</v>
      </c>
      <c r="B55">
        <v>4299</v>
      </c>
      <c r="C55">
        <v>156</v>
      </c>
    </row>
    <row r="56" spans="1:3">
      <c r="A56">
        <v>54</v>
      </c>
      <c r="B56">
        <v>4458</v>
      </c>
      <c r="C56">
        <v>159</v>
      </c>
    </row>
    <row r="57" spans="1:3">
      <c r="A57">
        <v>55</v>
      </c>
      <c r="B57">
        <v>4620</v>
      </c>
      <c r="C57">
        <v>162</v>
      </c>
    </row>
    <row r="58" spans="1:3">
      <c r="A58">
        <v>56</v>
      </c>
      <c r="B58">
        <v>4785</v>
      </c>
      <c r="C58">
        <v>165</v>
      </c>
    </row>
    <row r="59" spans="1:3">
      <c r="A59">
        <v>57</v>
      </c>
      <c r="B59">
        <v>4953</v>
      </c>
      <c r="C59">
        <v>168</v>
      </c>
    </row>
    <row r="60" spans="1:3">
      <c r="A60">
        <v>58</v>
      </c>
      <c r="B60">
        <v>5124</v>
      </c>
      <c r="C60">
        <v>171</v>
      </c>
    </row>
    <row r="61" spans="1:3">
      <c r="A61">
        <v>59</v>
      </c>
      <c r="B61">
        <v>5298</v>
      </c>
      <c r="C61">
        <v>174</v>
      </c>
    </row>
    <row r="62" spans="1:3">
      <c r="A62">
        <v>60</v>
      </c>
      <c r="B62">
        <v>5475</v>
      </c>
      <c r="C62">
        <v>177</v>
      </c>
    </row>
    <row r="63" spans="1:3">
      <c r="A63">
        <v>61</v>
      </c>
      <c r="B63">
        <v>5655</v>
      </c>
      <c r="C63">
        <v>180</v>
      </c>
    </row>
    <row r="64" spans="1:3">
      <c r="A64">
        <v>62</v>
      </c>
      <c r="B64">
        <v>5838</v>
      </c>
      <c r="C64">
        <v>183</v>
      </c>
    </row>
    <row r="65" spans="1:3">
      <c r="A65">
        <v>63</v>
      </c>
      <c r="B65">
        <v>6024</v>
      </c>
      <c r="C65">
        <v>186</v>
      </c>
    </row>
    <row r="66" spans="1:3">
      <c r="A66">
        <v>64</v>
      </c>
      <c r="B66">
        <v>6213</v>
      </c>
      <c r="C66">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1"/>
  <sheetViews>
    <sheetView workbookViewId="0"/>
  </sheetViews>
  <sheetFormatPr baseColWidth="10" defaultColWidth="9.140625" defaultRowHeight="15"/>
  <sheetData>
    <row r="1" spans="1:5">
      <c r="A1" t="s">
        <v>4147</v>
      </c>
      <c r="B1" t="s">
        <v>657</v>
      </c>
      <c r="C1" t="s">
        <v>4148</v>
      </c>
      <c r="D1" t="s">
        <v>4149</v>
      </c>
      <c r="E1" t="s">
        <v>4150</v>
      </c>
    </row>
    <row r="2" spans="1:5">
      <c r="A2" t="s">
        <v>1083</v>
      </c>
      <c r="B2" t="s">
        <v>673</v>
      </c>
      <c r="C2">
        <v>9</v>
      </c>
      <c r="D2">
        <v>21</v>
      </c>
      <c r="E2">
        <v>31</v>
      </c>
    </row>
    <row r="3" spans="1:5">
      <c r="A3" t="s">
        <v>1083</v>
      </c>
      <c r="B3" t="s">
        <v>658</v>
      </c>
      <c r="C3">
        <v>9</v>
      </c>
      <c r="D3">
        <v>21</v>
      </c>
      <c r="E3">
        <v>31</v>
      </c>
    </row>
    <row r="4" spans="1:5">
      <c r="A4" t="s">
        <v>1083</v>
      </c>
      <c r="B4" t="s">
        <v>662</v>
      </c>
      <c r="C4">
        <v>10</v>
      </c>
      <c r="D4">
        <v>22</v>
      </c>
      <c r="E4">
        <v>31</v>
      </c>
    </row>
    <row r="5" spans="1:5">
      <c r="A5" t="s">
        <v>1083</v>
      </c>
      <c r="B5" t="s">
        <v>4151</v>
      </c>
      <c r="C5">
        <v>9</v>
      </c>
      <c r="D5">
        <v>21</v>
      </c>
      <c r="E5">
        <v>31</v>
      </c>
    </row>
    <row r="6" spans="1:5">
      <c r="A6" t="s">
        <v>1083</v>
      </c>
      <c r="B6" t="s">
        <v>667</v>
      </c>
      <c r="C6">
        <v>15</v>
      </c>
      <c r="D6">
        <v>27</v>
      </c>
      <c r="E6">
        <v>31</v>
      </c>
    </row>
    <row r="7" spans="1:5">
      <c r="A7" t="s">
        <v>1083</v>
      </c>
      <c r="B7" t="s">
        <v>670</v>
      </c>
      <c r="C7">
        <v>10</v>
      </c>
      <c r="D7">
        <v>22</v>
      </c>
      <c r="E7">
        <v>31</v>
      </c>
    </row>
    <row r="8" spans="1:5">
      <c r="A8" t="s">
        <v>1083</v>
      </c>
      <c r="B8" t="s">
        <v>676</v>
      </c>
      <c r="C8">
        <v>10</v>
      </c>
      <c r="D8">
        <v>22</v>
      </c>
      <c r="E8">
        <v>31</v>
      </c>
    </row>
    <row r="9" spans="1:5">
      <c r="A9" t="s">
        <v>1083</v>
      </c>
      <c r="B9" t="s">
        <v>679</v>
      </c>
      <c r="C9">
        <v>11</v>
      </c>
      <c r="D9">
        <v>23</v>
      </c>
      <c r="E9">
        <v>31</v>
      </c>
    </row>
    <row r="10" spans="1:5">
      <c r="A10" t="s">
        <v>1083</v>
      </c>
      <c r="B10" t="s">
        <v>682</v>
      </c>
      <c r="C10">
        <v>10</v>
      </c>
      <c r="D10">
        <v>22</v>
      </c>
      <c r="E10">
        <v>31</v>
      </c>
    </row>
    <row r="11" spans="1:5">
      <c r="A11" t="s">
        <v>1083</v>
      </c>
      <c r="B11" t="s">
        <v>4152</v>
      </c>
      <c r="C11">
        <v>11</v>
      </c>
      <c r="D11">
        <v>23</v>
      </c>
      <c r="E11">
        <v>31</v>
      </c>
    </row>
    <row r="12" spans="1:5">
      <c r="A12" t="s">
        <v>1086</v>
      </c>
      <c r="B12" t="s">
        <v>673</v>
      </c>
      <c r="C12">
        <v>11</v>
      </c>
      <c r="D12">
        <v>23</v>
      </c>
      <c r="E12">
        <v>31</v>
      </c>
    </row>
    <row r="13" spans="1:5">
      <c r="A13" t="s">
        <v>1086</v>
      </c>
      <c r="B13" t="s">
        <v>658</v>
      </c>
      <c r="C13">
        <v>12</v>
      </c>
      <c r="D13">
        <v>24</v>
      </c>
      <c r="E13">
        <v>31</v>
      </c>
    </row>
    <row r="14" spans="1:5">
      <c r="A14" t="s">
        <v>1086</v>
      </c>
      <c r="B14" t="s">
        <v>662</v>
      </c>
      <c r="C14">
        <v>8</v>
      </c>
      <c r="D14">
        <v>20</v>
      </c>
      <c r="E14">
        <v>31</v>
      </c>
    </row>
    <row r="15" spans="1:5">
      <c r="A15" t="s">
        <v>1086</v>
      </c>
      <c r="B15" t="s">
        <v>4151</v>
      </c>
      <c r="C15">
        <v>13</v>
      </c>
      <c r="D15">
        <v>25</v>
      </c>
      <c r="E15">
        <v>31</v>
      </c>
    </row>
    <row r="16" spans="1:5">
      <c r="A16" t="s">
        <v>1086</v>
      </c>
      <c r="B16" t="s">
        <v>667</v>
      </c>
      <c r="C16">
        <v>8</v>
      </c>
      <c r="D16">
        <v>20</v>
      </c>
      <c r="E16">
        <v>31</v>
      </c>
    </row>
    <row r="17" spans="1:5">
      <c r="A17" t="s">
        <v>1086</v>
      </c>
      <c r="B17" t="s">
        <v>670</v>
      </c>
      <c r="C17">
        <v>10</v>
      </c>
      <c r="D17">
        <v>22</v>
      </c>
      <c r="E17">
        <v>31</v>
      </c>
    </row>
    <row r="18" spans="1:5">
      <c r="A18" t="s">
        <v>1086</v>
      </c>
      <c r="B18" t="s">
        <v>676</v>
      </c>
      <c r="C18">
        <v>12</v>
      </c>
      <c r="D18">
        <v>24</v>
      </c>
      <c r="E18">
        <v>31</v>
      </c>
    </row>
    <row r="19" spans="1:5">
      <c r="A19" t="s">
        <v>1086</v>
      </c>
      <c r="B19" t="s">
        <v>679</v>
      </c>
      <c r="C19">
        <v>9</v>
      </c>
      <c r="D19">
        <v>21</v>
      </c>
      <c r="E19">
        <v>31</v>
      </c>
    </row>
    <row r="20" spans="1:5">
      <c r="A20" t="s">
        <v>1086</v>
      </c>
      <c r="B20" t="s">
        <v>682</v>
      </c>
      <c r="C20">
        <v>13</v>
      </c>
      <c r="D20">
        <v>25</v>
      </c>
      <c r="E20">
        <v>31</v>
      </c>
    </row>
    <row r="21" spans="1:5">
      <c r="A21" t="s">
        <v>1086</v>
      </c>
      <c r="B21" t="s">
        <v>4152</v>
      </c>
      <c r="C21">
        <v>8</v>
      </c>
      <c r="D21">
        <v>20</v>
      </c>
      <c r="E21">
        <v>31</v>
      </c>
    </row>
    <row r="22" spans="1:5">
      <c r="A22" t="s">
        <v>1088</v>
      </c>
      <c r="B22" t="s">
        <v>673</v>
      </c>
      <c r="C22">
        <v>14</v>
      </c>
      <c r="D22">
        <v>26</v>
      </c>
      <c r="E22">
        <v>31</v>
      </c>
    </row>
    <row r="23" spans="1:5">
      <c r="A23" t="s">
        <v>1088</v>
      </c>
      <c r="B23" t="s">
        <v>658</v>
      </c>
      <c r="C23">
        <v>12</v>
      </c>
      <c r="D23">
        <v>24</v>
      </c>
      <c r="E23">
        <v>31</v>
      </c>
    </row>
    <row r="24" spans="1:5">
      <c r="A24" t="s">
        <v>1088</v>
      </c>
      <c r="B24" t="s">
        <v>662</v>
      </c>
      <c r="C24">
        <v>7</v>
      </c>
      <c r="D24">
        <v>19</v>
      </c>
      <c r="E24">
        <v>31</v>
      </c>
    </row>
    <row r="25" spans="1:5">
      <c r="A25" t="s">
        <v>1088</v>
      </c>
      <c r="B25" t="s">
        <v>4151</v>
      </c>
      <c r="C25">
        <v>14</v>
      </c>
      <c r="D25">
        <v>26</v>
      </c>
      <c r="E25">
        <v>31</v>
      </c>
    </row>
    <row r="26" spans="1:5">
      <c r="A26" t="s">
        <v>1088</v>
      </c>
      <c r="B26" t="s">
        <v>667</v>
      </c>
      <c r="C26">
        <v>7</v>
      </c>
      <c r="D26">
        <v>19</v>
      </c>
      <c r="E26">
        <v>31</v>
      </c>
    </row>
    <row r="27" spans="1:5">
      <c r="A27" t="s">
        <v>1088</v>
      </c>
      <c r="B27" t="s">
        <v>670</v>
      </c>
      <c r="C27">
        <v>12</v>
      </c>
      <c r="D27">
        <v>24</v>
      </c>
      <c r="E27">
        <v>31</v>
      </c>
    </row>
    <row r="28" spans="1:5">
      <c r="A28" t="s">
        <v>1088</v>
      </c>
      <c r="B28" t="s">
        <v>676</v>
      </c>
      <c r="C28">
        <v>11</v>
      </c>
      <c r="D28">
        <v>23</v>
      </c>
      <c r="E28">
        <v>31</v>
      </c>
    </row>
    <row r="29" spans="1:5">
      <c r="A29" t="s">
        <v>1088</v>
      </c>
      <c r="B29" t="s">
        <v>679</v>
      </c>
      <c r="C29">
        <v>8</v>
      </c>
      <c r="D29">
        <v>20</v>
      </c>
      <c r="E29">
        <v>31</v>
      </c>
    </row>
    <row r="30" spans="1:5">
      <c r="A30" t="s">
        <v>1088</v>
      </c>
      <c r="B30" t="s">
        <v>682</v>
      </c>
      <c r="C30">
        <v>12</v>
      </c>
      <c r="D30">
        <v>24</v>
      </c>
      <c r="E30">
        <v>31</v>
      </c>
    </row>
    <row r="31" spans="1:5">
      <c r="A31" t="s">
        <v>1088</v>
      </c>
      <c r="B31" t="s">
        <v>4152</v>
      </c>
      <c r="C31">
        <v>7</v>
      </c>
      <c r="D31">
        <v>19</v>
      </c>
      <c r="E31">
        <v>31</v>
      </c>
    </row>
    <row r="32" spans="1:5">
      <c r="A32" t="s">
        <v>1090</v>
      </c>
      <c r="B32" t="s">
        <v>673</v>
      </c>
      <c r="C32">
        <v>12</v>
      </c>
      <c r="D32">
        <v>24</v>
      </c>
      <c r="E32">
        <v>31</v>
      </c>
    </row>
    <row r="33" spans="1:5">
      <c r="A33" t="s">
        <v>1090</v>
      </c>
      <c r="B33" t="s">
        <v>658</v>
      </c>
      <c r="C33">
        <v>16</v>
      </c>
      <c r="D33">
        <v>28</v>
      </c>
      <c r="E33">
        <v>31</v>
      </c>
    </row>
    <row r="34" spans="1:5">
      <c r="A34" t="s">
        <v>1090</v>
      </c>
      <c r="B34" t="s">
        <v>662</v>
      </c>
      <c r="C34">
        <v>11</v>
      </c>
      <c r="D34">
        <v>23</v>
      </c>
      <c r="E34">
        <v>31</v>
      </c>
    </row>
    <row r="35" spans="1:5">
      <c r="A35" t="s">
        <v>1090</v>
      </c>
      <c r="B35" t="s">
        <v>4151</v>
      </c>
      <c r="C35">
        <v>11</v>
      </c>
      <c r="D35">
        <v>23</v>
      </c>
      <c r="E35">
        <v>31</v>
      </c>
    </row>
    <row r="36" spans="1:5">
      <c r="A36" t="s">
        <v>1090</v>
      </c>
      <c r="B36" t="s">
        <v>667</v>
      </c>
      <c r="C36">
        <v>11</v>
      </c>
      <c r="D36">
        <v>23</v>
      </c>
      <c r="E36">
        <v>31</v>
      </c>
    </row>
    <row r="37" spans="1:5">
      <c r="A37" t="s">
        <v>1090</v>
      </c>
      <c r="B37" t="s">
        <v>670</v>
      </c>
      <c r="C37">
        <v>8</v>
      </c>
      <c r="D37">
        <v>20</v>
      </c>
      <c r="E37">
        <v>31</v>
      </c>
    </row>
    <row r="38" spans="1:5">
      <c r="A38" t="s">
        <v>1090</v>
      </c>
      <c r="B38" t="s">
        <v>676</v>
      </c>
      <c r="C38">
        <v>16</v>
      </c>
      <c r="D38">
        <v>28</v>
      </c>
      <c r="E38">
        <v>31</v>
      </c>
    </row>
    <row r="39" spans="1:5">
      <c r="A39" t="s">
        <v>1090</v>
      </c>
      <c r="B39" t="s">
        <v>679</v>
      </c>
      <c r="C39">
        <v>3</v>
      </c>
      <c r="D39">
        <v>15</v>
      </c>
      <c r="E39">
        <v>31</v>
      </c>
    </row>
    <row r="40" spans="1:5">
      <c r="A40" t="s">
        <v>1090</v>
      </c>
      <c r="B40" t="s">
        <v>682</v>
      </c>
      <c r="C40">
        <v>13</v>
      </c>
      <c r="D40">
        <v>25</v>
      </c>
      <c r="E40">
        <v>31</v>
      </c>
    </row>
    <row r="41" spans="1:5">
      <c r="A41" t="s">
        <v>1090</v>
      </c>
      <c r="B41" t="s">
        <v>4152</v>
      </c>
      <c r="C41">
        <v>3</v>
      </c>
      <c r="D41">
        <v>15</v>
      </c>
      <c r="E41">
        <v>31</v>
      </c>
    </row>
    <row r="42" spans="1:5">
      <c r="A42" t="s">
        <v>1092</v>
      </c>
      <c r="B42" t="s">
        <v>673</v>
      </c>
      <c r="C42">
        <v>11</v>
      </c>
      <c r="D42">
        <v>23</v>
      </c>
      <c r="E42">
        <v>31</v>
      </c>
    </row>
    <row r="43" spans="1:5">
      <c r="A43" t="s">
        <v>1092</v>
      </c>
      <c r="B43" t="s">
        <v>658</v>
      </c>
      <c r="C43">
        <v>13</v>
      </c>
      <c r="D43">
        <v>25</v>
      </c>
      <c r="E43">
        <v>31</v>
      </c>
    </row>
    <row r="44" spans="1:5">
      <c r="A44" t="s">
        <v>1092</v>
      </c>
      <c r="B44" t="s">
        <v>662</v>
      </c>
      <c r="C44">
        <v>5</v>
      </c>
      <c r="D44">
        <v>17</v>
      </c>
      <c r="E44">
        <v>31</v>
      </c>
    </row>
    <row r="45" spans="1:5">
      <c r="A45" t="s">
        <v>1092</v>
      </c>
      <c r="B45" t="s">
        <v>4151</v>
      </c>
      <c r="C45">
        <v>11</v>
      </c>
      <c r="D45">
        <v>23</v>
      </c>
      <c r="E45">
        <v>31</v>
      </c>
    </row>
    <row r="46" spans="1:5">
      <c r="A46" t="s">
        <v>1092</v>
      </c>
      <c r="B46" t="s">
        <v>667</v>
      </c>
      <c r="C46">
        <v>7</v>
      </c>
      <c r="D46">
        <v>19</v>
      </c>
      <c r="E46">
        <v>31</v>
      </c>
    </row>
    <row r="47" spans="1:5">
      <c r="A47" t="s">
        <v>1092</v>
      </c>
      <c r="B47" t="s">
        <v>670</v>
      </c>
      <c r="C47">
        <v>12</v>
      </c>
      <c r="D47">
        <v>24</v>
      </c>
      <c r="E47">
        <v>31</v>
      </c>
    </row>
    <row r="48" spans="1:5">
      <c r="A48" t="s">
        <v>1092</v>
      </c>
      <c r="B48" t="s">
        <v>676</v>
      </c>
      <c r="C48">
        <v>15</v>
      </c>
      <c r="D48">
        <v>27</v>
      </c>
      <c r="E48">
        <v>31</v>
      </c>
    </row>
    <row r="49" spans="1:5">
      <c r="A49" t="s">
        <v>1092</v>
      </c>
      <c r="B49" t="s">
        <v>679</v>
      </c>
      <c r="C49">
        <v>7</v>
      </c>
      <c r="D49">
        <v>19</v>
      </c>
      <c r="E49">
        <v>31</v>
      </c>
    </row>
    <row r="50" spans="1:5">
      <c r="A50" t="s">
        <v>1092</v>
      </c>
      <c r="B50" t="s">
        <v>682</v>
      </c>
      <c r="C50">
        <v>16</v>
      </c>
      <c r="D50">
        <v>28</v>
      </c>
      <c r="E50">
        <v>31</v>
      </c>
    </row>
    <row r="51" spans="1:5">
      <c r="A51" t="s">
        <v>1092</v>
      </c>
      <c r="B51" t="s">
        <v>4152</v>
      </c>
      <c r="C51">
        <v>7</v>
      </c>
      <c r="D51">
        <v>19</v>
      </c>
      <c r="E51">
        <v>31</v>
      </c>
    </row>
    <row r="52" spans="1:5">
      <c r="A52" t="s">
        <v>1094</v>
      </c>
      <c r="B52" t="s">
        <v>673</v>
      </c>
      <c r="C52">
        <v>9</v>
      </c>
      <c r="D52">
        <v>21</v>
      </c>
      <c r="E52">
        <v>31</v>
      </c>
    </row>
    <row r="53" spans="1:5">
      <c r="A53" t="s">
        <v>1094</v>
      </c>
      <c r="B53" t="s">
        <v>658</v>
      </c>
      <c r="C53">
        <v>9</v>
      </c>
      <c r="D53">
        <v>21</v>
      </c>
      <c r="E53">
        <v>31</v>
      </c>
    </row>
    <row r="54" spans="1:5">
      <c r="A54" t="s">
        <v>1094</v>
      </c>
      <c r="B54" t="s">
        <v>662</v>
      </c>
      <c r="C54">
        <v>10</v>
      </c>
      <c r="D54">
        <v>22</v>
      </c>
      <c r="E54">
        <v>31</v>
      </c>
    </row>
    <row r="55" spans="1:5">
      <c r="A55" t="s">
        <v>1094</v>
      </c>
      <c r="B55" t="s">
        <v>4151</v>
      </c>
      <c r="C55">
        <v>12</v>
      </c>
      <c r="D55">
        <v>24</v>
      </c>
      <c r="E55">
        <v>31</v>
      </c>
    </row>
    <row r="56" spans="1:5">
      <c r="A56" t="s">
        <v>1094</v>
      </c>
      <c r="B56" t="s">
        <v>667</v>
      </c>
      <c r="C56">
        <v>11</v>
      </c>
      <c r="D56">
        <v>23</v>
      </c>
      <c r="E56">
        <v>31</v>
      </c>
    </row>
    <row r="57" spans="1:5">
      <c r="A57" t="s">
        <v>1094</v>
      </c>
      <c r="B57" t="s">
        <v>670</v>
      </c>
      <c r="C57">
        <v>12</v>
      </c>
      <c r="D57">
        <v>24</v>
      </c>
      <c r="E57">
        <v>31</v>
      </c>
    </row>
    <row r="58" spans="1:5">
      <c r="A58" t="s">
        <v>1094</v>
      </c>
      <c r="B58" t="s">
        <v>676</v>
      </c>
      <c r="C58">
        <v>10</v>
      </c>
      <c r="D58">
        <v>22</v>
      </c>
      <c r="E58">
        <v>31</v>
      </c>
    </row>
    <row r="59" spans="1:5">
      <c r="A59" t="s">
        <v>1094</v>
      </c>
      <c r="B59" t="s">
        <v>679</v>
      </c>
      <c r="C59">
        <v>10</v>
      </c>
      <c r="D59">
        <v>22</v>
      </c>
      <c r="E59">
        <v>31</v>
      </c>
    </row>
    <row r="60" spans="1:5">
      <c r="A60" t="s">
        <v>1094</v>
      </c>
      <c r="B60" t="s">
        <v>682</v>
      </c>
      <c r="C60">
        <v>11</v>
      </c>
      <c r="D60">
        <v>23</v>
      </c>
      <c r="E60">
        <v>31</v>
      </c>
    </row>
    <row r="61" spans="1:5">
      <c r="A61" t="s">
        <v>1094</v>
      </c>
      <c r="B61" t="s">
        <v>4152</v>
      </c>
      <c r="C61">
        <v>10</v>
      </c>
      <c r="D61">
        <v>22</v>
      </c>
      <c r="E61">
        <v>31</v>
      </c>
    </row>
    <row r="62" spans="1:5">
      <c r="A62" t="s">
        <v>1096</v>
      </c>
      <c r="B62" t="s">
        <v>673</v>
      </c>
      <c r="C62">
        <v>12</v>
      </c>
      <c r="D62">
        <v>24</v>
      </c>
      <c r="E62">
        <v>31</v>
      </c>
    </row>
    <row r="63" spans="1:5">
      <c r="A63" t="s">
        <v>1096</v>
      </c>
      <c r="B63" t="s">
        <v>658</v>
      </c>
      <c r="C63">
        <v>7</v>
      </c>
      <c r="D63">
        <v>19</v>
      </c>
      <c r="E63">
        <v>31</v>
      </c>
    </row>
    <row r="64" spans="1:5">
      <c r="A64" t="s">
        <v>1096</v>
      </c>
      <c r="B64" t="s">
        <v>662</v>
      </c>
      <c r="C64">
        <v>11</v>
      </c>
      <c r="D64">
        <v>23</v>
      </c>
      <c r="E64">
        <v>31</v>
      </c>
    </row>
    <row r="65" spans="1:5">
      <c r="A65" t="s">
        <v>1096</v>
      </c>
      <c r="B65" t="s">
        <v>4151</v>
      </c>
      <c r="C65">
        <v>13</v>
      </c>
      <c r="D65">
        <v>25</v>
      </c>
      <c r="E65">
        <v>31</v>
      </c>
    </row>
    <row r="66" spans="1:5">
      <c r="A66" t="s">
        <v>1096</v>
      </c>
      <c r="B66" t="s">
        <v>667</v>
      </c>
      <c r="C66">
        <v>8</v>
      </c>
      <c r="D66">
        <v>20</v>
      </c>
      <c r="E66">
        <v>31</v>
      </c>
    </row>
    <row r="67" spans="1:5">
      <c r="A67" t="s">
        <v>1096</v>
      </c>
      <c r="B67" t="s">
        <v>670</v>
      </c>
      <c r="C67">
        <v>15</v>
      </c>
      <c r="D67">
        <v>27</v>
      </c>
      <c r="E67">
        <v>31</v>
      </c>
    </row>
    <row r="68" spans="1:5">
      <c r="A68" t="s">
        <v>1096</v>
      </c>
      <c r="B68" t="s">
        <v>676</v>
      </c>
      <c r="C68">
        <v>6</v>
      </c>
      <c r="D68">
        <v>18</v>
      </c>
      <c r="E68">
        <v>31</v>
      </c>
    </row>
    <row r="69" spans="1:5">
      <c r="A69" t="s">
        <v>1096</v>
      </c>
      <c r="B69" t="s">
        <v>679</v>
      </c>
      <c r="C69">
        <v>8</v>
      </c>
      <c r="D69">
        <v>20</v>
      </c>
      <c r="E69">
        <v>31</v>
      </c>
    </row>
    <row r="70" spans="1:5">
      <c r="A70" t="s">
        <v>1096</v>
      </c>
      <c r="B70" t="s">
        <v>682</v>
      </c>
      <c r="C70">
        <v>13</v>
      </c>
      <c r="D70">
        <v>25</v>
      </c>
      <c r="E70">
        <v>31</v>
      </c>
    </row>
    <row r="71" spans="1:5">
      <c r="A71" t="s">
        <v>1096</v>
      </c>
      <c r="B71" t="s">
        <v>4152</v>
      </c>
      <c r="C71">
        <v>11</v>
      </c>
      <c r="D71">
        <v>23</v>
      </c>
      <c r="E71">
        <v>31</v>
      </c>
    </row>
    <row r="72" spans="1:5">
      <c r="A72" t="s">
        <v>1098</v>
      </c>
      <c r="B72" t="s">
        <v>673</v>
      </c>
      <c r="C72">
        <v>6</v>
      </c>
      <c r="D72">
        <v>18</v>
      </c>
      <c r="E72">
        <v>31</v>
      </c>
    </row>
    <row r="73" spans="1:5">
      <c r="A73" t="s">
        <v>1098</v>
      </c>
      <c r="B73" t="s">
        <v>658</v>
      </c>
      <c r="C73">
        <v>8</v>
      </c>
      <c r="D73">
        <v>20</v>
      </c>
      <c r="E73">
        <v>31</v>
      </c>
    </row>
    <row r="74" spans="1:5">
      <c r="A74" t="s">
        <v>1098</v>
      </c>
      <c r="B74" t="s">
        <v>662</v>
      </c>
      <c r="C74">
        <v>16</v>
      </c>
      <c r="D74">
        <v>28</v>
      </c>
      <c r="E74">
        <v>31</v>
      </c>
    </row>
    <row r="75" spans="1:5">
      <c r="A75" t="s">
        <v>1098</v>
      </c>
      <c r="B75" t="s">
        <v>4151</v>
      </c>
      <c r="C75">
        <v>9</v>
      </c>
      <c r="D75">
        <v>21</v>
      </c>
      <c r="E75">
        <v>31</v>
      </c>
    </row>
    <row r="76" spans="1:5">
      <c r="A76" t="s">
        <v>1098</v>
      </c>
      <c r="B76" t="s">
        <v>667</v>
      </c>
      <c r="C76">
        <v>12</v>
      </c>
      <c r="D76">
        <v>24</v>
      </c>
      <c r="E76">
        <v>31</v>
      </c>
    </row>
    <row r="77" spans="1:5">
      <c r="A77" t="s">
        <v>1098</v>
      </c>
      <c r="B77" t="s">
        <v>670</v>
      </c>
      <c r="C77">
        <v>10</v>
      </c>
      <c r="D77">
        <v>22</v>
      </c>
      <c r="E77">
        <v>31</v>
      </c>
    </row>
    <row r="78" spans="1:5">
      <c r="A78" t="s">
        <v>1098</v>
      </c>
      <c r="B78" t="s">
        <v>676</v>
      </c>
      <c r="C78">
        <v>7</v>
      </c>
      <c r="D78">
        <v>19</v>
      </c>
      <c r="E78">
        <v>31</v>
      </c>
    </row>
    <row r="79" spans="1:5">
      <c r="A79" t="s">
        <v>1098</v>
      </c>
      <c r="B79" t="s">
        <v>679</v>
      </c>
      <c r="C79">
        <v>14</v>
      </c>
      <c r="D79">
        <v>26</v>
      </c>
      <c r="E79">
        <v>31</v>
      </c>
    </row>
    <row r="80" spans="1:5">
      <c r="A80" t="s">
        <v>1098</v>
      </c>
      <c r="B80" t="s">
        <v>682</v>
      </c>
      <c r="C80">
        <v>7</v>
      </c>
      <c r="D80">
        <v>19</v>
      </c>
      <c r="E80">
        <v>31</v>
      </c>
    </row>
    <row r="81" spans="1:5">
      <c r="A81" t="s">
        <v>1098</v>
      </c>
      <c r="B81" t="s">
        <v>4152</v>
      </c>
      <c r="C81">
        <v>15</v>
      </c>
      <c r="D81">
        <v>27</v>
      </c>
      <c r="E81">
        <v>31</v>
      </c>
    </row>
    <row r="82" spans="1:5">
      <c r="A82" t="s">
        <v>1100</v>
      </c>
      <c r="B82" t="s">
        <v>673</v>
      </c>
      <c r="C82">
        <v>12</v>
      </c>
      <c r="D82">
        <v>24</v>
      </c>
      <c r="E82">
        <v>31</v>
      </c>
    </row>
    <row r="83" spans="1:5">
      <c r="A83" t="s">
        <v>1100</v>
      </c>
      <c r="B83" t="s">
        <v>658</v>
      </c>
      <c r="C83">
        <v>4</v>
      </c>
      <c r="D83">
        <v>16</v>
      </c>
      <c r="E83">
        <v>31</v>
      </c>
    </row>
    <row r="84" spans="1:5">
      <c r="A84" t="s">
        <v>1100</v>
      </c>
      <c r="B84" t="s">
        <v>662</v>
      </c>
      <c r="C84">
        <v>13</v>
      </c>
      <c r="D84">
        <v>25</v>
      </c>
      <c r="E84">
        <v>31</v>
      </c>
    </row>
    <row r="85" spans="1:5">
      <c r="A85" t="s">
        <v>1100</v>
      </c>
      <c r="B85" t="s">
        <v>4151</v>
      </c>
      <c r="C85">
        <v>6</v>
      </c>
      <c r="D85">
        <v>18</v>
      </c>
      <c r="E85">
        <v>31</v>
      </c>
    </row>
    <row r="86" spans="1:5">
      <c r="A86" t="s">
        <v>1100</v>
      </c>
      <c r="B86" t="s">
        <v>667</v>
      </c>
      <c r="C86">
        <v>10</v>
      </c>
      <c r="D86">
        <v>22</v>
      </c>
      <c r="E86">
        <v>31</v>
      </c>
    </row>
    <row r="87" spans="1:5">
      <c r="A87" t="s">
        <v>1100</v>
      </c>
      <c r="B87" t="s">
        <v>670</v>
      </c>
      <c r="C87">
        <v>12</v>
      </c>
      <c r="D87">
        <v>24</v>
      </c>
      <c r="E87">
        <v>31</v>
      </c>
    </row>
    <row r="88" spans="1:5">
      <c r="A88" t="s">
        <v>1100</v>
      </c>
      <c r="B88" t="s">
        <v>676</v>
      </c>
      <c r="C88">
        <v>4</v>
      </c>
      <c r="D88">
        <v>16</v>
      </c>
      <c r="E88">
        <v>31</v>
      </c>
    </row>
    <row r="89" spans="1:5">
      <c r="A89" t="s">
        <v>1100</v>
      </c>
      <c r="B89" t="s">
        <v>679</v>
      </c>
      <c r="C89">
        <v>19</v>
      </c>
      <c r="D89">
        <v>31</v>
      </c>
      <c r="E89">
        <v>31</v>
      </c>
    </row>
    <row r="90" spans="1:5">
      <c r="A90" t="s">
        <v>1100</v>
      </c>
      <c r="B90" t="s">
        <v>682</v>
      </c>
      <c r="C90">
        <v>5</v>
      </c>
      <c r="D90">
        <v>17</v>
      </c>
      <c r="E90">
        <v>31</v>
      </c>
    </row>
    <row r="91" spans="1:5">
      <c r="A91" t="s">
        <v>1100</v>
      </c>
      <c r="B91" t="s">
        <v>4152</v>
      </c>
      <c r="C91">
        <v>19</v>
      </c>
      <c r="D91">
        <v>31</v>
      </c>
      <c r="E91">
        <v>31</v>
      </c>
    </row>
    <row r="92" spans="1:5">
      <c r="A92" t="s">
        <v>1102</v>
      </c>
      <c r="B92" t="s">
        <v>673</v>
      </c>
      <c r="C92">
        <v>11</v>
      </c>
      <c r="D92">
        <v>23</v>
      </c>
      <c r="E92">
        <v>31</v>
      </c>
    </row>
    <row r="93" spans="1:5">
      <c r="A93" t="s">
        <v>1102</v>
      </c>
      <c r="B93" t="s">
        <v>658</v>
      </c>
      <c r="C93">
        <v>11</v>
      </c>
      <c r="D93">
        <v>23</v>
      </c>
      <c r="E93">
        <v>31</v>
      </c>
    </row>
    <row r="94" spans="1:5">
      <c r="A94" t="s">
        <v>1102</v>
      </c>
      <c r="B94" t="s">
        <v>662</v>
      </c>
      <c r="C94">
        <v>14</v>
      </c>
      <c r="D94">
        <v>26</v>
      </c>
      <c r="E94">
        <v>31</v>
      </c>
    </row>
    <row r="95" spans="1:5">
      <c r="A95" t="s">
        <v>1102</v>
      </c>
      <c r="B95" t="s">
        <v>4151</v>
      </c>
      <c r="C95">
        <v>9</v>
      </c>
      <c r="D95">
        <v>21</v>
      </c>
      <c r="E95">
        <v>31</v>
      </c>
    </row>
    <row r="96" spans="1:5">
      <c r="A96" t="s">
        <v>1102</v>
      </c>
      <c r="B96" t="s">
        <v>667</v>
      </c>
      <c r="C96">
        <v>13</v>
      </c>
      <c r="D96">
        <v>25</v>
      </c>
      <c r="E96">
        <v>31</v>
      </c>
    </row>
    <row r="97" spans="1:5">
      <c r="A97" t="s">
        <v>1102</v>
      </c>
      <c r="B97" t="s">
        <v>670</v>
      </c>
      <c r="C97">
        <v>6</v>
      </c>
      <c r="D97">
        <v>18</v>
      </c>
      <c r="E97">
        <v>31</v>
      </c>
    </row>
    <row r="98" spans="1:5">
      <c r="A98" t="s">
        <v>1102</v>
      </c>
      <c r="B98" t="s">
        <v>676</v>
      </c>
      <c r="C98">
        <v>10</v>
      </c>
      <c r="D98">
        <v>22</v>
      </c>
      <c r="E98">
        <v>31</v>
      </c>
    </row>
    <row r="99" spans="1:5">
      <c r="A99" t="s">
        <v>1102</v>
      </c>
      <c r="B99" t="s">
        <v>679</v>
      </c>
      <c r="C99">
        <v>13</v>
      </c>
      <c r="D99">
        <v>25</v>
      </c>
      <c r="E99">
        <v>31</v>
      </c>
    </row>
    <row r="100" spans="1:5">
      <c r="A100" t="s">
        <v>1102</v>
      </c>
      <c r="B100" t="s">
        <v>682</v>
      </c>
      <c r="C100">
        <v>6</v>
      </c>
      <c r="D100">
        <v>18</v>
      </c>
      <c r="E100">
        <v>31</v>
      </c>
    </row>
    <row r="101" spans="1:5">
      <c r="A101" t="s">
        <v>1102</v>
      </c>
      <c r="B101" t="s">
        <v>4152</v>
      </c>
      <c r="C101">
        <v>11</v>
      </c>
      <c r="D101">
        <v>23</v>
      </c>
      <c r="E101">
        <v>31</v>
      </c>
    </row>
    <row r="102" spans="1:5">
      <c r="A102" t="s">
        <v>1104</v>
      </c>
      <c r="B102" t="s">
        <v>673</v>
      </c>
      <c r="C102">
        <v>8</v>
      </c>
      <c r="D102">
        <v>20</v>
      </c>
      <c r="E102">
        <v>31</v>
      </c>
    </row>
    <row r="103" spans="1:5">
      <c r="A103" t="s">
        <v>1104</v>
      </c>
      <c r="B103" t="s">
        <v>658</v>
      </c>
      <c r="C103">
        <v>14</v>
      </c>
      <c r="D103">
        <v>26</v>
      </c>
      <c r="E103">
        <v>31</v>
      </c>
    </row>
    <row r="104" spans="1:5">
      <c r="A104" t="s">
        <v>1104</v>
      </c>
      <c r="B104" t="s">
        <v>662</v>
      </c>
      <c r="C104">
        <v>10</v>
      </c>
      <c r="D104">
        <v>22</v>
      </c>
      <c r="E104">
        <v>31</v>
      </c>
    </row>
    <row r="105" spans="1:5">
      <c r="A105" t="s">
        <v>1104</v>
      </c>
      <c r="B105" t="s">
        <v>4151</v>
      </c>
      <c r="C105">
        <v>8</v>
      </c>
      <c r="D105">
        <v>20</v>
      </c>
      <c r="E105">
        <v>31</v>
      </c>
    </row>
    <row r="106" spans="1:5">
      <c r="A106" t="s">
        <v>1104</v>
      </c>
      <c r="B106" t="s">
        <v>667</v>
      </c>
      <c r="C106">
        <v>12</v>
      </c>
      <c r="D106">
        <v>24</v>
      </c>
      <c r="E106">
        <v>31</v>
      </c>
    </row>
    <row r="107" spans="1:5">
      <c r="A107" t="s">
        <v>1104</v>
      </c>
      <c r="B107" t="s">
        <v>670</v>
      </c>
      <c r="C107">
        <v>7</v>
      </c>
      <c r="D107">
        <v>19</v>
      </c>
      <c r="E107">
        <v>31</v>
      </c>
    </row>
    <row r="108" spans="1:5">
      <c r="A108" t="s">
        <v>1104</v>
      </c>
      <c r="B108" t="s">
        <v>676</v>
      </c>
      <c r="C108">
        <v>13</v>
      </c>
      <c r="D108">
        <v>25</v>
      </c>
      <c r="E108">
        <v>31</v>
      </c>
    </row>
    <row r="109" spans="1:5">
      <c r="A109" t="s">
        <v>1104</v>
      </c>
      <c r="B109" t="s">
        <v>679</v>
      </c>
      <c r="C109">
        <v>13</v>
      </c>
      <c r="D109">
        <v>25</v>
      </c>
      <c r="E109">
        <v>31</v>
      </c>
    </row>
    <row r="110" spans="1:5">
      <c r="A110" t="s">
        <v>1104</v>
      </c>
      <c r="B110" t="s">
        <v>682</v>
      </c>
      <c r="C110">
        <v>7</v>
      </c>
      <c r="D110">
        <v>19</v>
      </c>
      <c r="E110">
        <v>31</v>
      </c>
    </row>
    <row r="111" spans="1:5">
      <c r="A111" t="s">
        <v>1104</v>
      </c>
      <c r="B111" t="s">
        <v>4152</v>
      </c>
      <c r="C111">
        <v>12</v>
      </c>
      <c r="D111">
        <v>24</v>
      </c>
      <c r="E111">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6"/>
  <sheetViews>
    <sheetView workbookViewId="0"/>
  </sheetViews>
  <sheetFormatPr baseColWidth="10" defaultColWidth="9.140625" defaultRowHeight="15"/>
  <sheetData>
    <row r="1" spans="1:4">
      <c r="A1" t="s">
        <v>0</v>
      </c>
      <c r="B1" t="s">
        <v>756</v>
      </c>
      <c r="C1" t="s">
        <v>4153</v>
      </c>
      <c r="D1" t="s">
        <v>4154</v>
      </c>
    </row>
    <row r="2" spans="1:4">
      <c r="A2" t="s">
        <v>563</v>
      </c>
      <c r="B2">
        <v>1</v>
      </c>
      <c r="C2">
        <v>3</v>
      </c>
      <c r="D2">
        <v>10</v>
      </c>
    </row>
    <row r="3" spans="1:4">
      <c r="A3" t="s">
        <v>563</v>
      </c>
      <c r="B3">
        <v>2</v>
      </c>
      <c r="C3">
        <v>6</v>
      </c>
      <c r="D3">
        <v>15</v>
      </c>
    </row>
    <row r="4" spans="1:4">
      <c r="A4" t="s">
        <v>563</v>
      </c>
      <c r="B4">
        <v>3</v>
      </c>
      <c r="C4">
        <v>9</v>
      </c>
      <c r="D4">
        <v>25</v>
      </c>
    </row>
    <row r="5" spans="1:4">
      <c r="A5" t="s">
        <v>563</v>
      </c>
      <c r="B5">
        <v>4</v>
      </c>
      <c r="C5">
        <v>12</v>
      </c>
      <c r="D5">
        <v>40</v>
      </c>
    </row>
    <row r="6" spans="1:4">
      <c r="A6" t="s">
        <v>563</v>
      </c>
      <c r="B6">
        <v>5</v>
      </c>
      <c r="C6">
        <v>15</v>
      </c>
      <c r="D6">
        <v>60</v>
      </c>
    </row>
    <row r="7" spans="1:4">
      <c r="A7" t="s">
        <v>563</v>
      </c>
      <c r="B7">
        <v>6</v>
      </c>
      <c r="C7">
        <v>18</v>
      </c>
      <c r="D7">
        <v>80</v>
      </c>
    </row>
    <row r="8" spans="1:4">
      <c r="A8" t="s">
        <v>563</v>
      </c>
      <c r="B8">
        <v>7</v>
      </c>
      <c r="C8">
        <v>21</v>
      </c>
      <c r="D8">
        <v>105</v>
      </c>
    </row>
    <row r="9" spans="1:4">
      <c r="A9" t="s">
        <v>576</v>
      </c>
      <c r="B9">
        <v>1</v>
      </c>
      <c r="C9">
        <v>4</v>
      </c>
      <c r="D9">
        <v>20</v>
      </c>
    </row>
    <row r="10" spans="1:4">
      <c r="A10" t="s">
        <v>576</v>
      </c>
      <c r="B10">
        <v>2</v>
      </c>
      <c r="C10">
        <v>7</v>
      </c>
      <c r="D10">
        <v>30</v>
      </c>
    </row>
    <row r="11" spans="1:4">
      <c r="A11" t="s">
        <v>576</v>
      </c>
      <c r="B11">
        <v>3</v>
      </c>
      <c r="C11">
        <v>10</v>
      </c>
      <c r="D11">
        <v>40</v>
      </c>
    </row>
    <row r="12" spans="1:4">
      <c r="A12" t="s">
        <v>576</v>
      </c>
      <c r="B12">
        <v>4</v>
      </c>
      <c r="C12">
        <v>14</v>
      </c>
      <c r="D12">
        <v>55</v>
      </c>
    </row>
    <row r="13" spans="1:4">
      <c r="A13" t="s">
        <v>576</v>
      </c>
      <c r="B13">
        <v>5</v>
      </c>
      <c r="C13">
        <v>18</v>
      </c>
      <c r="D13">
        <v>75</v>
      </c>
    </row>
    <row r="14" spans="1:4">
      <c r="A14" t="s">
        <v>576</v>
      </c>
      <c r="B14">
        <v>6</v>
      </c>
      <c r="C14">
        <v>22</v>
      </c>
      <c r="D14">
        <v>95</v>
      </c>
    </row>
    <row r="15" spans="1:4">
      <c r="A15" t="s">
        <v>576</v>
      </c>
      <c r="B15">
        <v>7</v>
      </c>
      <c r="C15">
        <v>29</v>
      </c>
      <c r="D15">
        <v>150</v>
      </c>
    </row>
    <row r="16" spans="1:4">
      <c r="A16" t="s">
        <v>556</v>
      </c>
      <c r="B16">
        <v>1</v>
      </c>
      <c r="C16">
        <v>4</v>
      </c>
      <c r="D16">
        <v>20</v>
      </c>
    </row>
    <row r="17" spans="1:4">
      <c r="A17" t="s">
        <v>556</v>
      </c>
      <c r="B17">
        <v>2</v>
      </c>
      <c r="C17">
        <v>7</v>
      </c>
      <c r="D17">
        <v>30</v>
      </c>
    </row>
    <row r="18" spans="1:4">
      <c r="A18" t="s">
        <v>556</v>
      </c>
      <c r="B18">
        <v>3</v>
      </c>
      <c r="C18">
        <v>10</v>
      </c>
      <c r="D18">
        <v>40</v>
      </c>
    </row>
    <row r="19" spans="1:4">
      <c r="A19" t="s">
        <v>556</v>
      </c>
      <c r="B19">
        <v>4</v>
      </c>
      <c r="C19">
        <v>14</v>
      </c>
      <c r="D19">
        <v>55</v>
      </c>
    </row>
    <row r="20" spans="1:4">
      <c r="A20" t="s">
        <v>556</v>
      </c>
      <c r="B20">
        <v>5</v>
      </c>
      <c r="C20">
        <v>18</v>
      </c>
      <c r="D20">
        <v>75</v>
      </c>
    </row>
    <row r="21" spans="1:4">
      <c r="A21" t="s">
        <v>556</v>
      </c>
      <c r="B21">
        <v>6</v>
      </c>
      <c r="C21">
        <v>22</v>
      </c>
      <c r="D21">
        <v>95</v>
      </c>
    </row>
    <row r="22" spans="1:4">
      <c r="A22" t="s">
        <v>556</v>
      </c>
      <c r="B22">
        <v>7</v>
      </c>
      <c r="C22">
        <v>29</v>
      </c>
      <c r="D22">
        <v>150</v>
      </c>
    </row>
    <row r="23" spans="1:4">
      <c r="A23" t="s">
        <v>578</v>
      </c>
      <c r="B23">
        <v>1</v>
      </c>
      <c r="C23">
        <v>3</v>
      </c>
      <c r="D23">
        <v>10</v>
      </c>
    </row>
    <row r="24" spans="1:4">
      <c r="A24" t="s">
        <v>578</v>
      </c>
      <c r="B24">
        <v>2</v>
      </c>
      <c r="C24">
        <v>6</v>
      </c>
      <c r="D24">
        <v>20</v>
      </c>
    </row>
    <row r="25" spans="1:4">
      <c r="A25" t="s">
        <v>578</v>
      </c>
      <c r="B25">
        <v>3</v>
      </c>
      <c r="C25">
        <v>9</v>
      </c>
      <c r="D25">
        <v>30</v>
      </c>
    </row>
    <row r="26" spans="1:4">
      <c r="A26" t="s">
        <v>578</v>
      </c>
      <c r="B26">
        <v>4</v>
      </c>
      <c r="C26">
        <v>12</v>
      </c>
      <c r="D26">
        <v>40</v>
      </c>
    </row>
    <row r="27" spans="1:4">
      <c r="A27" t="s">
        <v>578</v>
      </c>
      <c r="B27">
        <v>5</v>
      </c>
      <c r="C27">
        <v>15</v>
      </c>
      <c r="D27">
        <v>55</v>
      </c>
    </row>
    <row r="28" spans="1:4">
      <c r="A28" t="s">
        <v>578</v>
      </c>
      <c r="B28">
        <v>6</v>
      </c>
      <c r="C28">
        <v>20</v>
      </c>
      <c r="D28">
        <v>75</v>
      </c>
    </row>
    <row r="29" spans="1:4">
      <c r="A29" t="s">
        <v>578</v>
      </c>
      <c r="B29">
        <v>7</v>
      </c>
      <c r="C29">
        <v>30</v>
      </c>
      <c r="D29">
        <v>100</v>
      </c>
    </row>
    <row r="30" spans="1:4">
      <c r="A30" t="s">
        <v>560</v>
      </c>
      <c r="B30">
        <v>1</v>
      </c>
      <c r="C30">
        <v>2</v>
      </c>
      <c r="D30">
        <v>7</v>
      </c>
    </row>
    <row r="31" spans="1:4">
      <c r="A31" t="s">
        <v>560</v>
      </c>
      <c r="B31">
        <v>2</v>
      </c>
      <c r="C31">
        <v>5</v>
      </c>
      <c r="D31">
        <v>14</v>
      </c>
    </row>
    <row r="32" spans="1:4">
      <c r="A32" t="s">
        <v>560</v>
      </c>
      <c r="B32">
        <v>3</v>
      </c>
      <c r="C32">
        <v>8</v>
      </c>
      <c r="D32">
        <v>21</v>
      </c>
    </row>
    <row r="33" spans="1:4">
      <c r="A33" t="s">
        <v>560</v>
      </c>
      <c r="B33">
        <v>4</v>
      </c>
      <c r="C33">
        <v>11</v>
      </c>
      <c r="D33">
        <v>28</v>
      </c>
    </row>
    <row r="34" spans="1:4">
      <c r="A34" t="s">
        <v>560</v>
      </c>
      <c r="B34">
        <v>5</v>
      </c>
      <c r="C34">
        <v>14</v>
      </c>
      <c r="D34">
        <v>35</v>
      </c>
    </row>
    <row r="35" spans="1:4">
      <c r="A35" t="s">
        <v>560</v>
      </c>
      <c r="B35">
        <v>6</v>
      </c>
      <c r="C35">
        <v>17</v>
      </c>
      <c r="D35">
        <v>92</v>
      </c>
    </row>
    <row r="36" spans="1:4">
      <c r="A36" t="s">
        <v>560</v>
      </c>
      <c r="B36">
        <v>7</v>
      </c>
      <c r="C36">
        <v>20</v>
      </c>
      <c r="D36">
        <v>145</v>
      </c>
    </row>
    <row r="37" spans="1:4">
      <c r="A37" t="s">
        <v>552</v>
      </c>
      <c r="B37">
        <v>1</v>
      </c>
      <c r="C37">
        <v>5</v>
      </c>
      <c r="D37">
        <v>15</v>
      </c>
    </row>
    <row r="38" spans="1:4">
      <c r="A38" t="s">
        <v>552</v>
      </c>
      <c r="B38">
        <v>2</v>
      </c>
      <c r="C38">
        <v>10</v>
      </c>
      <c r="D38">
        <v>25</v>
      </c>
    </row>
    <row r="39" spans="1:4">
      <c r="A39" t="s">
        <v>552</v>
      </c>
      <c r="B39">
        <v>3</v>
      </c>
      <c r="C39">
        <v>14</v>
      </c>
      <c r="D39">
        <v>35</v>
      </c>
    </row>
    <row r="40" spans="1:4">
      <c r="A40" t="s">
        <v>552</v>
      </c>
      <c r="B40">
        <v>4</v>
      </c>
      <c r="C40">
        <v>18</v>
      </c>
      <c r="D40">
        <v>50</v>
      </c>
    </row>
    <row r="41" spans="1:4">
      <c r="A41" t="s">
        <v>552</v>
      </c>
      <c r="B41">
        <v>5</v>
      </c>
      <c r="C41">
        <v>21</v>
      </c>
      <c r="D41">
        <v>70</v>
      </c>
    </row>
    <row r="42" spans="1:4">
      <c r="A42" t="s">
        <v>552</v>
      </c>
      <c r="B42">
        <v>6</v>
      </c>
      <c r="C42">
        <v>24</v>
      </c>
      <c r="D42">
        <v>90</v>
      </c>
    </row>
    <row r="43" spans="1:4">
      <c r="A43" t="s">
        <v>552</v>
      </c>
      <c r="B43">
        <v>7</v>
      </c>
      <c r="C43">
        <v>27</v>
      </c>
      <c r="D43">
        <v>115</v>
      </c>
    </row>
    <row r="44" spans="1:4">
      <c r="A44" t="s">
        <v>557</v>
      </c>
      <c r="B44">
        <v>1</v>
      </c>
      <c r="C44">
        <v>4</v>
      </c>
      <c r="D44">
        <v>15</v>
      </c>
    </row>
    <row r="45" spans="1:4">
      <c r="A45" t="s">
        <v>557</v>
      </c>
      <c r="B45">
        <v>2</v>
      </c>
      <c r="C45">
        <v>8</v>
      </c>
      <c r="D45">
        <v>25</v>
      </c>
    </row>
    <row r="46" spans="1:4">
      <c r="A46" t="s">
        <v>557</v>
      </c>
      <c r="B46">
        <v>3</v>
      </c>
      <c r="C46">
        <v>11</v>
      </c>
      <c r="D46">
        <v>35</v>
      </c>
    </row>
    <row r="47" spans="1:4">
      <c r="A47" t="s">
        <v>557</v>
      </c>
      <c r="B47">
        <v>4</v>
      </c>
      <c r="C47">
        <v>14</v>
      </c>
      <c r="D47">
        <v>50</v>
      </c>
    </row>
    <row r="48" spans="1:4">
      <c r="A48" t="s">
        <v>557</v>
      </c>
      <c r="B48">
        <v>5</v>
      </c>
      <c r="C48">
        <v>17</v>
      </c>
      <c r="D48">
        <v>70</v>
      </c>
    </row>
    <row r="49" spans="1:4">
      <c r="A49" t="s">
        <v>557</v>
      </c>
      <c r="B49">
        <v>6</v>
      </c>
      <c r="C49">
        <v>20</v>
      </c>
      <c r="D49">
        <v>90</v>
      </c>
    </row>
    <row r="50" spans="1:4">
      <c r="A50" t="s">
        <v>557</v>
      </c>
      <c r="B50">
        <v>7</v>
      </c>
      <c r="C50">
        <v>23</v>
      </c>
      <c r="D50">
        <v>115</v>
      </c>
    </row>
    <row r="51" spans="1:4">
      <c r="A51" t="s">
        <v>627</v>
      </c>
      <c r="B51">
        <v>1</v>
      </c>
      <c r="C51">
        <v>1</v>
      </c>
      <c r="D51">
        <v>5</v>
      </c>
    </row>
    <row r="52" spans="1:4">
      <c r="A52" t="s">
        <v>627</v>
      </c>
      <c r="B52">
        <v>2</v>
      </c>
      <c r="C52">
        <v>4</v>
      </c>
      <c r="D52">
        <v>10</v>
      </c>
    </row>
    <row r="53" spans="1:4">
      <c r="A53" t="s">
        <v>627</v>
      </c>
      <c r="B53">
        <v>3</v>
      </c>
      <c r="C53">
        <v>7</v>
      </c>
      <c r="D53">
        <v>20</v>
      </c>
    </row>
    <row r="54" spans="1:4">
      <c r="A54" t="s">
        <v>627</v>
      </c>
      <c r="B54">
        <v>4</v>
      </c>
      <c r="C54">
        <v>10</v>
      </c>
      <c r="D54">
        <v>30</v>
      </c>
    </row>
    <row r="55" spans="1:4">
      <c r="A55" t="s">
        <v>627</v>
      </c>
      <c r="B55">
        <v>5</v>
      </c>
      <c r="C55">
        <v>13</v>
      </c>
      <c r="D55">
        <v>35</v>
      </c>
    </row>
    <row r="56" spans="1:4">
      <c r="A56" t="s">
        <v>627</v>
      </c>
      <c r="B56">
        <v>6</v>
      </c>
      <c r="C56">
        <v>16</v>
      </c>
      <c r="D56">
        <v>40</v>
      </c>
    </row>
    <row r="57" spans="1:4">
      <c r="A57" t="s">
        <v>627</v>
      </c>
      <c r="B57">
        <v>7</v>
      </c>
      <c r="C57">
        <v>19</v>
      </c>
      <c r="D57">
        <v>50</v>
      </c>
    </row>
    <row r="58" spans="1:4">
      <c r="A58" t="s">
        <v>566</v>
      </c>
      <c r="B58">
        <v>1</v>
      </c>
      <c r="C58">
        <v>4</v>
      </c>
      <c r="D58">
        <v>10</v>
      </c>
    </row>
    <row r="59" spans="1:4">
      <c r="A59" t="s">
        <v>566</v>
      </c>
      <c r="B59">
        <v>2</v>
      </c>
      <c r="C59">
        <v>8</v>
      </c>
      <c r="D59">
        <v>15</v>
      </c>
    </row>
    <row r="60" spans="1:4">
      <c r="A60" t="s">
        <v>566</v>
      </c>
      <c r="B60">
        <v>3</v>
      </c>
      <c r="C60">
        <v>12</v>
      </c>
      <c r="D60">
        <v>25</v>
      </c>
    </row>
    <row r="61" spans="1:4">
      <c r="A61" t="s">
        <v>566</v>
      </c>
      <c r="B61">
        <v>4</v>
      </c>
      <c r="C61">
        <v>16</v>
      </c>
      <c r="D61">
        <v>35</v>
      </c>
    </row>
    <row r="62" spans="1:4">
      <c r="A62" t="s">
        <v>566</v>
      </c>
      <c r="B62">
        <v>5</v>
      </c>
      <c r="C62">
        <v>20</v>
      </c>
      <c r="D62">
        <v>45</v>
      </c>
    </row>
    <row r="63" spans="1:4">
      <c r="A63" t="s">
        <v>566</v>
      </c>
      <c r="B63">
        <v>6</v>
      </c>
      <c r="C63">
        <v>24</v>
      </c>
      <c r="D63">
        <v>60</v>
      </c>
    </row>
    <row r="64" spans="1:4">
      <c r="A64" t="s">
        <v>566</v>
      </c>
      <c r="B64">
        <v>7</v>
      </c>
      <c r="C64">
        <v>28</v>
      </c>
      <c r="D64">
        <v>80</v>
      </c>
    </row>
    <row r="65" spans="1:4">
      <c r="A65" t="s">
        <v>564</v>
      </c>
      <c r="B65">
        <v>1</v>
      </c>
      <c r="C65">
        <v>2</v>
      </c>
      <c r="D65">
        <v>5</v>
      </c>
    </row>
    <row r="66" spans="1:4">
      <c r="A66" t="s">
        <v>564</v>
      </c>
      <c r="B66">
        <v>2</v>
      </c>
      <c r="C66">
        <v>5</v>
      </c>
      <c r="D66">
        <v>10</v>
      </c>
    </row>
    <row r="67" spans="1:4">
      <c r="A67" t="s">
        <v>564</v>
      </c>
      <c r="B67">
        <v>3</v>
      </c>
      <c r="C67">
        <v>8</v>
      </c>
      <c r="D67">
        <v>20</v>
      </c>
    </row>
    <row r="68" spans="1:4">
      <c r="A68" t="s">
        <v>564</v>
      </c>
      <c r="B68">
        <v>4</v>
      </c>
      <c r="C68">
        <v>11</v>
      </c>
      <c r="D68">
        <v>35</v>
      </c>
    </row>
    <row r="69" spans="1:4">
      <c r="A69" t="s">
        <v>564</v>
      </c>
      <c r="B69">
        <v>5</v>
      </c>
      <c r="C69">
        <v>14</v>
      </c>
      <c r="D69">
        <v>55</v>
      </c>
    </row>
    <row r="70" spans="1:4">
      <c r="A70" t="s">
        <v>564</v>
      </c>
      <c r="B70">
        <v>6</v>
      </c>
      <c r="C70">
        <v>17</v>
      </c>
      <c r="D70">
        <v>70</v>
      </c>
    </row>
    <row r="71" spans="1:4">
      <c r="A71" t="s">
        <v>564</v>
      </c>
      <c r="B71">
        <v>7</v>
      </c>
      <c r="C71">
        <v>20</v>
      </c>
      <c r="D71">
        <v>90</v>
      </c>
    </row>
    <row r="72" spans="1:4">
      <c r="A72" t="s">
        <v>567</v>
      </c>
      <c r="B72">
        <v>1</v>
      </c>
      <c r="C72">
        <v>2</v>
      </c>
      <c r="D72">
        <v>5</v>
      </c>
    </row>
    <row r="73" spans="1:4">
      <c r="A73" t="s">
        <v>567</v>
      </c>
      <c r="B73">
        <v>2</v>
      </c>
      <c r="C73">
        <v>5</v>
      </c>
      <c r="D73">
        <v>10</v>
      </c>
    </row>
    <row r="74" spans="1:4">
      <c r="A74" t="s">
        <v>567</v>
      </c>
      <c r="B74">
        <v>3</v>
      </c>
      <c r="C74">
        <v>8</v>
      </c>
      <c r="D74">
        <v>20</v>
      </c>
    </row>
    <row r="75" spans="1:4">
      <c r="A75" t="s">
        <v>567</v>
      </c>
      <c r="B75">
        <v>4</v>
      </c>
      <c r="C75">
        <v>11</v>
      </c>
      <c r="D75">
        <v>35</v>
      </c>
    </row>
    <row r="76" spans="1:4">
      <c r="A76" t="s">
        <v>567</v>
      </c>
      <c r="B76">
        <v>5</v>
      </c>
      <c r="C76">
        <v>14</v>
      </c>
      <c r="D76">
        <v>55</v>
      </c>
    </row>
    <row r="77" spans="1:4">
      <c r="A77" t="s">
        <v>567</v>
      </c>
      <c r="B77">
        <v>6</v>
      </c>
      <c r="C77">
        <v>17</v>
      </c>
      <c r="D77">
        <v>70</v>
      </c>
    </row>
    <row r="78" spans="1:4">
      <c r="A78" t="s">
        <v>567</v>
      </c>
      <c r="B78">
        <v>7</v>
      </c>
      <c r="C78">
        <v>20</v>
      </c>
      <c r="D78">
        <v>90</v>
      </c>
    </row>
    <row r="79" spans="1:4">
      <c r="A79" t="s">
        <v>571</v>
      </c>
      <c r="B79">
        <v>1</v>
      </c>
      <c r="C79">
        <v>2</v>
      </c>
      <c r="D79">
        <v>5</v>
      </c>
    </row>
    <row r="80" spans="1:4">
      <c r="A80" t="s">
        <v>571</v>
      </c>
      <c r="B80">
        <v>2</v>
      </c>
      <c r="C80">
        <v>5</v>
      </c>
      <c r="D80">
        <v>10</v>
      </c>
    </row>
    <row r="81" spans="1:4">
      <c r="A81" t="s">
        <v>571</v>
      </c>
      <c r="B81">
        <v>3</v>
      </c>
      <c r="C81">
        <v>8</v>
      </c>
      <c r="D81">
        <v>20</v>
      </c>
    </row>
    <row r="82" spans="1:4">
      <c r="A82" t="s">
        <v>571</v>
      </c>
      <c r="B82">
        <v>4</v>
      </c>
      <c r="C82">
        <v>11</v>
      </c>
      <c r="D82">
        <v>35</v>
      </c>
    </row>
    <row r="83" spans="1:4">
      <c r="A83" t="s">
        <v>571</v>
      </c>
      <c r="B83">
        <v>5</v>
      </c>
      <c r="C83">
        <v>14</v>
      </c>
      <c r="D83">
        <v>55</v>
      </c>
    </row>
    <row r="84" spans="1:4">
      <c r="A84" t="s">
        <v>571</v>
      </c>
      <c r="B84">
        <v>6</v>
      </c>
      <c r="C84">
        <v>17</v>
      </c>
      <c r="D84">
        <v>70</v>
      </c>
    </row>
    <row r="85" spans="1:4">
      <c r="A85" t="s">
        <v>571</v>
      </c>
      <c r="B85">
        <v>7</v>
      </c>
      <c r="C85">
        <v>20</v>
      </c>
      <c r="D85">
        <v>90</v>
      </c>
    </row>
    <row r="86" spans="1:4">
      <c r="A86" t="s">
        <v>569</v>
      </c>
      <c r="B86">
        <v>1</v>
      </c>
      <c r="C86">
        <v>2</v>
      </c>
      <c r="D86">
        <v>5</v>
      </c>
    </row>
    <row r="87" spans="1:4">
      <c r="A87" t="s">
        <v>569</v>
      </c>
      <c r="B87">
        <v>2</v>
      </c>
      <c r="C87">
        <v>5</v>
      </c>
      <c r="D87">
        <v>10</v>
      </c>
    </row>
    <row r="88" spans="1:4">
      <c r="A88" t="s">
        <v>569</v>
      </c>
      <c r="B88">
        <v>3</v>
      </c>
      <c r="C88">
        <v>8</v>
      </c>
      <c r="D88">
        <v>20</v>
      </c>
    </row>
    <row r="89" spans="1:4">
      <c r="A89" t="s">
        <v>569</v>
      </c>
      <c r="B89">
        <v>4</v>
      </c>
      <c r="C89">
        <v>11</v>
      </c>
      <c r="D89">
        <v>35</v>
      </c>
    </row>
    <row r="90" spans="1:4">
      <c r="A90" t="s">
        <v>569</v>
      </c>
      <c r="B90">
        <v>5</v>
      </c>
      <c r="C90">
        <v>14</v>
      </c>
      <c r="D90">
        <v>55</v>
      </c>
    </row>
    <row r="91" spans="1:4">
      <c r="A91" t="s">
        <v>569</v>
      </c>
      <c r="B91">
        <v>6</v>
      </c>
      <c r="C91">
        <v>17</v>
      </c>
      <c r="D91">
        <v>70</v>
      </c>
    </row>
    <row r="92" spans="1:4">
      <c r="A92" t="s">
        <v>569</v>
      </c>
      <c r="B92">
        <v>7</v>
      </c>
      <c r="C92">
        <v>20</v>
      </c>
      <c r="D92">
        <v>90</v>
      </c>
    </row>
    <row r="93" spans="1:4">
      <c r="A93" t="s">
        <v>559</v>
      </c>
      <c r="B93">
        <v>1</v>
      </c>
      <c r="C93">
        <v>4</v>
      </c>
      <c r="D93">
        <v>10</v>
      </c>
    </row>
    <row r="94" spans="1:4">
      <c r="A94" t="s">
        <v>559</v>
      </c>
      <c r="B94">
        <v>2</v>
      </c>
      <c r="C94">
        <v>7</v>
      </c>
      <c r="D94">
        <v>20</v>
      </c>
    </row>
    <row r="95" spans="1:4">
      <c r="A95" t="s">
        <v>559</v>
      </c>
      <c r="B95">
        <v>3</v>
      </c>
      <c r="C95">
        <v>10</v>
      </c>
      <c r="D95">
        <v>30</v>
      </c>
    </row>
    <row r="96" spans="1:4">
      <c r="A96" t="s">
        <v>559</v>
      </c>
      <c r="B96">
        <v>4</v>
      </c>
      <c r="C96">
        <v>14</v>
      </c>
      <c r="D96">
        <v>45</v>
      </c>
    </row>
    <row r="97" spans="1:4">
      <c r="A97" t="s">
        <v>559</v>
      </c>
      <c r="B97">
        <v>5</v>
      </c>
      <c r="C97">
        <v>18</v>
      </c>
      <c r="D97">
        <v>60</v>
      </c>
    </row>
    <row r="98" spans="1:4">
      <c r="A98" t="s">
        <v>559</v>
      </c>
      <c r="B98">
        <v>6</v>
      </c>
      <c r="C98">
        <v>22</v>
      </c>
      <c r="D98">
        <v>80</v>
      </c>
    </row>
    <row r="99" spans="1:4">
      <c r="A99" t="s">
        <v>559</v>
      </c>
      <c r="B99">
        <v>7</v>
      </c>
      <c r="C99">
        <v>29</v>
      </c>
      <c r="D99">
        <v>100</v>
      </c>
    </row>
    <row r="100" spans="1:4">
      <c r="A100" t="s">
        <v>573</v>
      </c>
      <c r="B100">
        <v>1</v>
      </c>
      <c r="C100">
        <v>4</v>
      </c>
      <c r="D100">
        <v>10</v>
      </c>
    </row>
    <row r="101" spans="1:4">
      <c r="A101" t="s">
        <v>573</v>
      </c>
      <c r="B101">
        <v>2</v>
      </c>
      <c r="C101">
        <v>7</v>
      </c>
      <c r="D101">
        <v>20</v>
      </c>
    </row>
    <row r="102" spans="1:4">
      <c r="A102" t="s">
        <v>573</v>
      </c>
      <c r="B102">
        <v>3</v>
      </c>
      <c r="C102">
        <v>10</v>
      </c>
      <c r="D102">
        <v>30</v>
      </c>
    </row>
    <row r="103" spans="1:4">
      <c r="A103" t="s">
        <v>573</v>
      </c>
      <c r="B103">
        <v>4</v>
      </c>
      <c r="C103">
        <v>14</v>
      </c>
      <c r="D103">
        <v>45</v>
      </c>
    </row>
    <row r="104" spans="1:4">
      <c r="A104" t="s">
        <v>573</v>
      </c>
      <c r="B104">
        <v>5</v>
      </c>
      <c r="C104">
        <v>18</v>
      </c>
      <c r="D104">
        <v>60</v>
      </c>
    </row>
    <row r="105" spans="1:4">
      <c r="A105" t="s">
        <v>573</v>
      </c>
      <c r="B105">
        <v>6</v>
      </c>
      <c r="C105">
        <v>22</v>
      </c>
      <c r="D105">
        <v>80</v>
      </c>
    </row>
    <row r="106" spans="1:4">
      <c r="A106" t="s">
        <v>573</v>
      </c>
      <c r="B106">
        <v>7</v>
      </c>
      <c r="C106">
        <v>29</v>
      </c>
      <c r="D106">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0"/>
  <sheetViews>
    <sheetView workbookViewId="0"/>
  </sheetViews>
  <sheetFormatPr baseColWidth="10" defaultColWidth="9.140625" defaultRowHeight="15"/>
  <cols>
    <col min="1" max="1" width="30.140625" style="9" customWidth="1"/>
    <col min="2" max="2" width="31.7109375" style="9" customWidth="1"/>
  </cols>
  <sheetData>
    <row r="1" spans="1:3">
      <c r="A1" t="s">
        <v>4155</v>
      </c>
      <c r="B1" t="s">
        <v>4156</v>
      </c>
      <c r="C1" t="s">
        <v>13</v>
      </c>
    </row>
    <row r="2" spans="1:3">
      <c r="A2" t="s">
        <v>4157</v>
      </c>
      <c r="B2" t="s">
        <v>687</v>
      </c>
      <c r="C2">
        <v>10</v>
      </c>
    </row>
    <row r="3" spans="1:3">
      <c r="A3" t="s">
        <v>706</v>
      </c>
      <c r="B3" t="s">
        <v>735</v>
      </c>
      <c r="C3">
        <v>15</v>
      </c>
    </row>
    <row r="4" spans="1:3">
      <c r="A4" t="s">
        <v>706</v>
      </c>
      <c r="B4" t="s">
        <v>693</v>
      </c>
      <c r="C4">
        <v>30</v>
      </c>
    </row>
    <row r="5" spans="1:3">
      <c r="A5" t="s">
        <v>721</v>
      </c>
      <c r="B5" t="s">
        <v>693</v>
      </c>
      <c r="C5">
        <v>20</v>
      </c>
    </row>
    <row r="6" spans="1:3">
      <c r="A6" t="s">
        <v>698</v>
      </c>
      <c r="B6" t="s">
        <v>696</v>
      </c>
      <c r="C6">
        <v>15</v>
      </c>
    </row>
    <row r="7" spans="1:3">
      <c r="A7" t="s">
        <v>729</v>
      </c>
      <c r="B7" t="s">
        <v>748</v>
      </c>
      <c r="C7">
        <v>10</v>
      </c>
    </row>
    <row r="8" spans="1:3">
      <c r="A8" t="s">
        <v>711</v>
      </c>
      <c r="B8" t="s">
        <v>698</v>
      </c>
      <c r="C8">
        <v>10</v>
      </c>
    </row>
    <row r="9" spans="1:3">
      <c r="A9" t="s">
        <v>693</v>
      </c>
      <c r="B9" t="s">
        <v>702</v>
      </c>
      <c r="C9">
        <v>15</v>
      </c>
    </row>
    <row r="10" spans="1:3">
      <c r="A10" t="s">
        <v>719</v>
      </c>
      <c r="B10" t="s">
        <v>704</v>
      </c>
      <c r="C10">
        <v>10</v>
      </c>
    </row>
    <row r="11" spans="1:3">
      <c r="A11" t="s">
        <v>723</v>
      </c>
      <c r="B11" t="s">
        <v>706</v>
      </c>
      <c r="C11">
        <v>25</v>
      </c>
    </row>
    <row r="12" spans="1:3">
      <c r="A12" t="s">
        <v>706</v>
      </c>
      <c r="B12" t="s">
        <v>708</v>
      </c>
      <c r="C12">
        <v>30</v>
      </c>
    </row>
    <row r="13" spans="1:3">
      <c r="A13" t="s">
        <v>702</v>
      </c>
      <c r="B13" t="s">
        <v>715</v>
      </c>
      <c r="C13">
        <v>10</v>
      </c>
    </row>
    <row r="14" spans="1:3">
      <c r="A14" t="s">
        <v>735</v>
      </c>
      <c r="B14" t="s">
        <v>4157</v>
      </c>
      <c r="C14">
        <v>15</v>
      </c>
    </row>
    <row r="15" spans="1:3">
      <c r="A15" t="s">
        <v>733</v>
      </c>
      <c r="B15" t="s">
        <v>4157</v>
      </c>
      <c r="C15">
        <v>15</v>
      </c>
    </row>
    <row r="16" spans="1:3">
      <c r="A16" t="s">
        <v>687</v>
      </c>
      <c r="B16" t="s">
        <v>753</v>
      </c>
      <c r="C16">
        <v>10</v>
      </c>
    </row>
    <row r="17" spans="1:3">
      <c r="A17" t="s">
        <v>748</v>
      </c>
      <c r="B17" t="s">
        <v>753</v>
      </c>
      <c r="C17">
        <v>10</v>
      </c>
    </row>
    <row r="18" spans="1:3">
      <c r="A18" t="s">
        <v>700</v>
      </c>
      <c r="B18" t="s">
        <v>753</v>
      </c>
      <c r="C18">
        <v>10</v>
      </c>
    </row>
    <row r="19" spans="1:3">
      <c r="A19" t="s">
        <v>704</v>
      </c>
      <c r="B19" t="s">
        <v>753</v>
      </c>
      <c r="C19">
        <v>10</v>
      </c>
    </row>
    <row r="20" spans="1:3">
      <c r="A20" t="s">
        <v>711</v>
      </c>
      <c r="B20" t="s">
        <v>753</v>
      </c>
      <c r="C20">
        <v>10</v>
      </c>
    </row>
    <row r="21" spans="1:3">
      <c r="A21" t="s">
        <v>739</v>
      </c>
      <c r="B21" t="s">
        <v>719</v>
      </c>
      <c r="C21">
        <v>15</v>
      </c>
    </row>
    <row r="22" spans="1:3">
      <c r="A22" t="s">
        <v>696</v>
      </c>
      <c r="B22" t="s">
        <v>741</v>
      </c>
      <c r="C22">
        <v>15</v>
      </c>
    </row>
    <row r="23" spans="1:3">
      <c r="A23" t="s">
        <v>717</v>
      </c>
      <c r="B23" t="s">
        <v>723</v>
      </c>
      <c r="C23">
        <v>30</v>
      </c>
    </row>
    <row r="24" spans="1:3">
      <c r="A24" t="s">
        <v>698</v>
      </c>
      <c r="B24" t="s">
        <v>727</v>
      </c>
      <c r="C24">
        <v>15</v>
      </c>
    </row>
    <row r="25" spans="1:3">
      <c r="A25" t="s">
        <v>725</v>
      </c>
      <c r="B25" t="s">
        <v>727</v>
      </c>
      <c r="C25">
        <v>30</v>
      </c>
    </row>
    <row r="26" spans="1:3">
      <c r="A26" t="s">
        <v>731</v>
      </c>
      <c r="B26" t="s">
        <v>729</v>
      </c>
      <c r="C26">
        <v>15</v>
      </c>
    </row>
    <row r="27" spans="1:3">
      <c r="A27" t="s">
        <v>737</v>
      </c>
      <c r="B27" t="s">
        <v>731</v>
      </c>
      <c r="C27">
        <v>20</v>
      </c>
    </row>
    <row r="28" spans="1:3">
      <c r="A28" t="s">
        <v>708</v>
      </c>
      <c r="B28" t="s">
        <v>731</v>
      </c>
      <c r="C28">
        <v>15</v>
      </c>
    </row>
    <row r="29" spans="1:3">
      <c r="A29" t="s">
        <v>713</v>
      </c>
      <c r="B29" t="s">
        <v>739</v>
      </c>
      <c r="C29">
        <v>15</v>
      </c>
    </row>
    <row r="30" spans="1:3">
      <c r="A30" t="s">
        <v>715</v>
      </c>
      <c r="B30" t="s">
        <v>753</v>
      </c>
      <c r="C30">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73"/>
  <sheetViews>
    <sheetView workbookViewId="0"/>
  </sheetViews>
  <sheetFormatPr baseColWidth="10" defaultColWidth="9.140625" defaultRowHeight="15"/>
  <sheetData>
    <row r="1" spans="1:9">
      <c r="A1" t="s">
        <v>6</v>
      </c>
      <c r="B1" t="s">
        <v>4158</v>
      </c>
      <c r="C1" t="s">
        <v>4159</v>
      </c>
      <c r="D1" t="s">
        <v>4160</v>
      </c>
      <c r="E1" t="s">
        <v>4161</v>
      </c>
      <c r="F1" t="s">
        <v>4162</v>
      </c>
      <c r="H1" t="s">
        <v>255</v>
      </c>
      <c r="I1" t="s">
        <v>4163</v>
      </c>
    </row>
    <row r="2" spans="1:9">
      <c r="A2" t="s">
        <v>4164</v>
      </c>
      <c r="B2" t="s">
        <v>4165</v>
      </c>
      <c r="C2">
        <v>1</v>
      </c>
      <c r="D2" t="s">
        <v>4166</v>
      </c>
      <c r="E2" t="s">
        <v>4167</v>
      </c>
      <c r="F2" t="s">
        <v>4168</v>
      </c>
      <c r="G2" t="s">
        <v>4169</v>
      </c>
      <c r="H2" t="s">
        <v>263</v>
      </c>
      <c r="I2" t="s">
        <v>4170</v>
      </c>
    </row>
    <row r="3" spans="1:9">
      <c r="A3" t="s">
        <v>4164</v>
      </c>
      <c r="B3" t="s">
        <v>4171</v>
      </c>
      <c r="C3">
        <v>1</v>
      </c>
      <c r="D3" t="s">
        <v>4166</v>
      </c>
      <c r="E3" t="s">
        <v>4167</v>
      </c>
      <c r="F3" t="s">
        <v>4168</v>
      </c>
      <c r="G3" t="s">
        <v>4169</v>
      </c>
      <c r="H3" t="s">
        <v>263</v>
      </c>
      <c r="I3" t="s">
        <v>4172</v>
      </c>
    </row>
    <row r="4" spans="1:9">
      <c r="A4" t="s">
        <v>4164</v>
      </c>
      <c r="B4" t="s">
        <v>4173</v>
      </c>
      <c r="C4">
        <v>1</v>
      </c>
      <c r="D4" t="s">
        <v>4166</v>
      </c>
      <c r="E4" t="s">
        <v>4167</v>
      </c>
      <c r="F4">
        <v>470</v>
      </c>
      <c r="G4" t="s">
        <v>4174</v>
      </c>
      <c r="H4" t="s">
        <v>263</v>
      </c>
      <c r="I4" t="s">
        <v>4175</v>
      </c>
    </row>
    <row r="5" spans="1:9">
      <c r="A5" t="s">
        <v>4164</v>
      </c>
      <c r="B5" t="s">
        <v>4176</v>
      </c>
      <c r="C5">
        <v>1</v>
      </c>
      <c r="D5" t="s">
        <v>4166</v>
      </c>
      <c r="E5" t="s">
        <v>4167</v>
      </c>
      <c r="F5">
        <v>282</v>
      </c>
      <c r="G5" t="s">
        <v>4174</v>
      </c>
      <c r="H5" t="s">
        <v>263</v>
      </c>
      <c r="I5" t="s">
        <v>4175</v>
      </c>
    </row>
    <row r="6" spans="1:9">
      <c r="A6" t="s">
        <v>4164</v>
      </c>
      <c r="B6" t="s">
        <v>4177</v>
      </c>
      <c r="C6">
        <v>1</v>
      </c>
      <c r="D6" t="s">
        <v>4166</v>
      </c>
      <c r="E6" t="s">
        <v>4167</v>
      </c>
      <c r="F6">
        <v>750</v>
      </c>
      <c r="G6" t="s">
        <v>4174</v>
      </c>
      <c r="H6" t="s">
        <v>263</v>
      </c>
      <c r="I6" t="s">
        <v>4175</v>
      </c>
    </row>
    <row r="7" spans="1:9">
      <c r="A7" t="s">
        <v>4164</v>
      </c>
      <c r="B7" t="s">
        <v>4178</v>
      </c>
      <c r="C7">
        <v>1</v>
      </c>
      <c r="D7" t="s">
        <v>4166</v>
      </c>
      <c r="E7" t="s">
        <v>4167</v>
      </c>
      <c r="F7">
        <v>2250</v>
      </c>
      <c r="G7" t="s">
        <v>4174</v>
      </c>
      <c r="H7" t="s">
        <v>263</v>
      </c>
      <c r="I7" t="s">
        <v>4175</v>
      </c>
    </row>
    <row r="8" spans="1:9">
      <c r="A8" t="s">
        <v>4164</v>
      </c>
      <c r="B8" t="s">
        <v>4179</v>
      </c>
      <c r="C8">
        <v>1</v>
      </c>
      <c r="D8" t="s">
        <v>4166</v>
      </c>
      <c r="E8" t="s">
        <v>4167</v>
      </c>
      <c r="F8">
        <v>3380</v>
      </c>
      <c r="G8" t="s">
        <v>4174</v>
      </c>
      <c r="H8" t="s">
        <v>263</v>
      </c>
      <c r="I8" t="s">
        <v>4175</v>
      </c>
    </row>
    <row r="9" spans="1:9">
      <c r="A9" t="s">
        <v>4164</v>
      </c>
      <c r="B9" t="s">
        <v>4180</v>
      </c>
      <c r="C9">
        <v>1</v>
      </c>
      <c r="D9" t="s">
        <v>4166</v>
      </c>
      <c r="E9" t="s">
        <v>4167</v>
      </c>
      <c r="F9" t="s">
        <v>4168</v>
      </c>
      <c r="G9" t="s">
        <v>4169</v>
      </c>
      <c r="H9" t="s">
        <v>263</v>
      </c>
      <c r="I9" t="s">
        <v>4181</v>
      </c>
    </row>
    <row r="10" spans="1:9">
      <c r="A10" t="s">
        <v>4164</v>
      </c>
      <c r="B10" t="s">
        <v>4182</v>
      </c>
      <c r="C10">
        <v>1</v>
      </c>
      <c r="D10" t="s">
        <v>4166</v>
      </c>
      <c r="E10" t="s">
        <v>4167</v>
      </c>
      <c r="F10">
        <v>250</v>
      </c>
      <c r="G10" t="s">
        <v>4183</v>
      </c>
      <c r="H10" t="s">
        <v>263</v>
      </c>
      <c r="I10" t="s">
        <v>4184</v>
      </c>
    </row>
    <row r="11" spans="1:9">
      <c r="A11" t="s">
        <v>4164</v>
      </c>
      <c r="B11" t="s">
        <v>4185</v>
      </c>
      <c r="C11">
        <v>1</v>
      </c>
      <c r="D11" t="s">
        <v>4166</v>
      </c>
      <c r="E11" t="s">
        <v>4167</v>
      </c>
      <c r="F11">
        <v>150</v>
      </c>
      <c r="G11" t="s">
        <v>4183</v>
      </c>
      <c r="H11" t="s">
        <v>263</v>
      </c>
      <c r="I11" t="s">
        <v>4184</v>
      </c>
    </row>
    <row r="12" spans="1:9">
      <c r="A12" t="s">
        <v>4164</v>
      </c>
      <c r="B12" t="s">
        <v>4186</v>
      </c>
      <c r="C12">
        <v>1</v>
      </c>
      <c r="D12" t="s">
        <v>4166</v>
      </c>
      <c r="E12" t="s">
        <v>4167</v>
      </c>
      <c r="F12">
        <v>400</v>
      </c>
      <c r="G12" t="s">
        <v>4183</v>
      </c>
      <c r="H12" t="s">
        <v>263</v>
      </c>
      <c r="I12" t="s">
        <v>4184</v>
      </c>
    </row>
    <row r="13" spans="1:9">
      <c r="A13" t="s">
        <v>4164</v>
      </c>
      <c r="B13" t="s">
        <v>4187</v>
      </c>
      <c r="C13">
        <v>1</v>
      </c>
      <c r="D13" t="s">
        <v>4166</v>
      </c>
      <c r="E13" t="s">
        <v>4167</v>
      </c>
      <c r="F13">
        <v>1200</v>
      </c>
      <c r="G13" t="s">
        <v>4183</v>
      </c>
      <c r="H13" t="s">
        <v>263</v>
      </c>
      <c r="I13" t="s">
        <v>4184</v>
      </c>
    </row>
    <row r="14" spans="1:9">
      <c r="A14" t="s">
        <v>4164</v>
      </c>
      <c r="B14" t="s">
        <v>4188</v>
      </c>
      <c r="C14">
        <v>1</v>
      </c>
      <c r="D14" t="s">
        <v>4166</v>
      </c>
      <c r="E14" t="s">
        <v>4167</v>
      </c>
      <c r="F14">
        <v>1800</v>
      </c>
      <c r="G14" t="s">
        <v>4183</v>
      </c>
      <c r="H14" t="s">
        <v>263</v>
      </c>
      <c r="I14" t="s">
        <v>4184</v>
      </c>
    </row>
    <row r="15" spans="1:9">
      <c r="A15" t="s">
        <v>4164</v>
      </c>
      <c r="B15" t="s">
        <v>4189</v>
      </c>
      <c r="C15">
        <v>1</v>
      </c>
      <c r="D15" t="s">
        <v>4166</v>
      </c>
      <c r="E15" t="s">
        <v>4167</v>
      </c>
      <c r="F15">
        <v>190</v>
      </c>
      <c r="G15" t="s">
        <v>4190</v>
      </c>
      <c r="H15" t="s">
        <v>263</v>
      </c>
      <c r="I15" t="s">
        <v>4191</v>
      </c>
    </row>
    <row r="16" spans="1:9">
      <c r="A16" t="s">
        <v>4164</v>
      </c>
      <c r="B16" t="s">
        <v>4192</v>
      </c>
      <c r="C16">
        <v>1</v>
      </c>
      <c r="D16" t="s">
        <v>4166</v>
      </c>
      <c r="E16" t="s">
        <v>4167</v>
      </c>
      <c r="F16">
        <v>115</v>
      </c>
      <c r="G16" t="s">
        <v>4190</v>
      </c>
      <c r="H16" t="s">
        <v>263</v>
      </c>
      <c r="I16" t="s">
        <v>4191</v>
      </c>
    </row>
    <row r="17" spans="1:9">
      <c r="A17" t="s">
        <v>4164</v>
      </c>
      <c r="B17" t="s">
        <v>4193</v>
      </c>
      <c r="C17">
        <v>1</v>
      </c>
      <c r="D17" t="s">
        <v>4166</v>
      </c>
      <c r="E17" t="s">
        <v>4167</v>
      </c>
      <c r="F17">
        <v>1350</v>
      </c>
      <c r="G17" t="s">
        <v>4190</v>
      </c>
      <c r="H17" t="s">
        <v>263</v>
      </c>
      <c r="I17" t="s">
        <v>4191</v>
      </c>
    </row>
    <row r="18" spans="1:9">
      <c r="A18" t="s">
        <v>4164</v>
      </c>
      <c r="B18" t="s">
        <v>4194</v>
      </c>
      <c r="C18">
        <v>1</v>
      </c>
      <c r="D18" t="s">
        <v>4166</v>
      </c>
      <c r="E18" t="s">
        <v>4167</v>
      </c>
      <c r="F18">
        <v>300</v>
      </c>
      <c r="G18" t="s">
        <v>4190</v>
      </c>
      <c r="H18" t="s">
        <v>263</v>
      </c>
      <c r="I18" t="s">
        <v>4191</v>
      </c>
    </row>
    <row r="19" spans="1:9">
      <c r="A19" t="s">
        <v>4164</v>
      </c>
      <c r="B19" t="s">
        <v>4195</v>
      </c>
      <c r="C19">
        <v>1</v>
      </c>
      <c r="D19" t="s">
        <v>4166</v>
      </c>
      <c r="E19" t="s">
        <v>4167</v>
      </c>
      <c r="F19">
        <v>900</v>
      </c>
      <c r="G19" t="s">
        <v>4190</v>
      </c>
      <c r="H19" t="s">
        <v>263</v>
      </c>
      <c r="I19" t="s">
        <v>4191</v>
      </c>
    </row>
    <row r="20" spans="1:9">
      <c r="A20" t="s">
        <v>4164</v>
      </c>
      <c r="B20" t="s">
        <v>4196</v>
      </c>
      <c r="C20">
        <v>1</v>
      </c>
      <c r="D20" t="s">
        <v>4166</v>
      </c>
      <c r="E20" t="s">
        <v>4167</v>
      </c>
      <c r="F20">
        <v>282</v>
      </c>
      <c r="G20" t="s">
        <v>4197</v>
      </c>
      <c r="H20" t="s">
        <v>263</v>
      </c>
      <c r="I20" t="s">
        <v>4198</v>
      </c>
    </row>
    <row r="21" spans="1:9">
      <c r="A21" t="s">
        <v>4164</v>
      </c>
      <c r="B21" t="s">
        <v>4199</v>
      </c>
      <c r="C21">
        <v>1</v>
      </c>
      <c r="D21" t="s">
        <v>4166</v>
      </c>
      <c r="E21" t="s">
        <v>4167</v>
      </c>
      <c r="F21">
        <v>169</v>
      </c>
      <c r="G21" t="s">
        <v>4197</v>
      </c>
      <c r="H21" t="s">
        <v>263</v>
      </c>
      <c r="I21" t="s">
        <v>4198</v>
      </c>
    </row>
    <row r="22" spans="1:9">
      <c r="A22" t="s">
        <v>4164</v>
      </c>
      <c r="B22" t="s">
        <v>4200</v>
      </c>
      <c r="C22">
        <v>1</v>
      </c>
      <c r="D22" t="s">
        <v>4166</v>
      </c>
      <c r="E22" t="s">
        <v>4167</v>
      </c>
      <c r="F22">
        <v>2040</v>
      </c>
      <c r="G22" t="s">
        <v>4197</v>
      </c>
      <c r="H22" t="s">
        <v>263</v>
      </c>
      <c r="I22" t="s">
        <v>4198</v>
      </c>
    </row>
    <row r="23" spans="1:9">
      <c r="A23" t="s">
        <v>4164</v>
      </c>
      <c r="B23" t="s">
        <v>4201</v>
      </c>
      <c r="C23">
        <v>1</v>
      </c>
      <c r="D23" t="s">
        <v>4166</v>
      </c>
      <c r="E23" t="s">
        <v>4167</v>
      </c>
      <c r="F23">
        <v>450</v>
      </c>
      <c r="G23" t="s">
        <v>4197</v>
      </c>
      <c r="H23" t="s">
        <v>263</v>
      </c>
      <c r="I23" t="s">
        <v>4198</v>
      </c>
    </row>
    <row r="24" spans="1:9">
      <c r="A24" t="s">
        <v>4164</v>
      </c>
      <c r="B24" t="s">
        <v>4202</v>
      </c>
      <c r="C24">
        <v>1</v>
      </c>
      <c r="D24" t="s">
        <v>4166</v>
      </c>
      <c r="E24" t="s">
        <v>4167</v>
      </c>
      <c r="F24">
        <v>1350</v>
      </c>
      <c r="G24" t="s">
        <v>4197</v>
      </c>
      <c r="H24" t="s">
        <v>263</v>
      </c>
      <c r="I24" t="s">
        <v>4198</v>
      </c>
    </row>
    <row r="25" spans="1:9">
      <c r="A25" t="s">
        <v>4164</v>
      </c>
      <c r="B25" t="s">
        <v>4203</v>
      </c>
      <c r="C25">
        <v>1</v>
      </c>
      <c r="D25" t="s">
        <v>4166</v>
      </c>
      <c r="E25" t="s">
        <v>4167</v>
      </c>
      <c r="F25">
        <v>938</v>
      </c>
      <c r="G25" t="s">
        <v>4204</v>
      </c>
      <c r="H25" t="s">
        <v>263</v>
      </c>
      <c r="I25" t="s">
        <v>4205</v>
      </c>
    </row>
    <row r="26" spans="1:9">
      <c r="A26" t="s">
        <v>4164</v>
      </c>
      <c r="B26" t="s">
        <v>4206</v>
      </c>
      <c r="C26">
        <v>1</v>
      </c>
      <c r="D26" t="s">
        <v>4166</v>
      </c>
      <c r="E26" t="s">
        <v>4167</v>
      </c>
      <c r="F26">
        <v>563</v>
      </c>
      <c r="G26" t="s">
        <v>4204</v>
      </c>
      <c r="H26" t="s">
        <v>263</v>
      </c>
      <c r="I26" t="s">
        <v>4205</v>
      </c>
    </row>
    <row r="27" spans="1:9">
      <c r="A27" t="s">
        <v>4164</v>
      </c>
      <c r="B27" t="s">
        <v>4207</v>
      </c>
      <c r="C27">
        <v>1</v>
      </c>
      <c r="D27" t="s">
        <v>4166</v>
      </c>
      <c r="E27" t="s">
        <v>4167</v>
      </c>
      <c r="F27">
        <v>1500</v>
      </c>
      <c r="G27" t="s">
        <v>4204</v>
      </c>
      <c r="H27" t="s">
        <v>263</v>
      </c>
      <c r="I27" t="s">
        <v>4205</v>
      </c>
    </row>
    <row r="28" spans="1:9">
      <c r="A28" t="s">
        <v>4164</v>
      </c>
      <c r="B28" t="s">
        <v>4208</v>
      </c>
      <c r="C28">
        <v>1</v>
      </c>
      <c r="D28" t="s">
        <v>4166</v>
      </c>
      <c r="E28" t="s">
        <v>4167</v>
      </c>
      <c r="F28">
        <v>4500</v>
      </c>
      <c r="G28" t="s">
        <v>4204</v>
      </c>
      <c r="H28" t="s">
        <v>263</v>
      </c>
      <c r="I28" t="s">
        <v>4205</v>
      </c>
    </row>
    <row r="29" spans="1:9">
      <c r="A29" t="s">
        <v>4164</v>
      </c>
      <c r="B29" t="s">
        <v>4209</v>
      </c>
      <c r="C29">
        <v>1</v>
      </c>
      <c r="D29" t="s">
        <v>4166</v>
      </c>
      <c r="E29" t="s">
        <v>4167</v>
      </c>
      <c r="F29">
        <v>6750</v>
      </c>
      <c r="G29" t="s">
        <v>4204</v>
      </c>
      <c r="H29" t="s">
        <v>263</v>
      </c>
      <c r="I29" t="s">
        <v>4205</v>
      </c>
    </row>
    <row r="30" spans="1:9">
      <c r="A30" t="s">
        <v>4164</v>
      </c>
      <c r="B30" t="s">
        <v>4210</v>
      </c>
      <c r="C30">
        <v>1</v>
      </c>
      <c r="D30" t="s">
        <v>4166</v>
      </c>
      <c r="E30" t="s">
        <v>4167</v>
      </c>
      <c r="F30">
        <v>250</v>
      </c>
      <c r="G30" t="s">
        <v>1418</v>
      </c>
      <c r="H30" t="s">
        <v>263</v>
      </c>
      <c r="I30" t="s">
        <v>4205</v>
      </c>
    </row>
    <row r="31" spans="1:9">
      <c r="A31" t="s">
        <v>4164</v>
      </c>
      <c r="B31" t="s">
        <v>4211</v>
      </c>
      <c r="C31">
        <v>1</v>
      </c>
      <c r="D31" t="s">
        <v>4166</v>
      </c>
      <c r="E31" t="s">
        <v>4167</v>
      </c>
      <c r="F31">
        <v>150</v>
      </c>
      <c r="G31" t="s">
        <v>1418</v>
      </c>
      <c r="H31" t="s">
        <v>263</v>
      </c>
      <c r="I31" t="s">
        <v>4205</v>
      </c>
    </row>
    <row r="32" spans="1:9">
      <c r="A32" t="s">
        <v>4164</v>
      </c>
      <c r="B32" t="s">
        <v>4212</v>
      </c>
      <c r="C32">
        <v>1</v>
      </c>
      <c r="D32" t="s">
        <v>4166</v>
      </c>
      <c r="E32" t="s">
        <v>4167</v>
      </c>
      <c r="F32">
        <v>1800</v>
      </c>
      <c r="G32" t="s">
        <v>1418</v>
      </c>
      <c r="H32" t="s">
        <v>263</v>
      </c>
      <c r="I32" t="s">
        <v>4205</v>
      </c>
    </row>
    <row r="33" spans="1:9">
      <c r="A33" t="s">
        <v>4164</v>
      </c>
      <c r="B33" t="s">
        <v>4213</v>
      </c>
      <c r="C33">
        <v>1</v>
      </c>
      <c r="D33" t="s">
        <v>4166</v>
      </c>
      <c r="E33" t="s">
        <v>4167</v>
      </c>
      <c r="F33">
        <v>400</v>
      </c>
      <c r="G33" t="s">
        <v>1418</v>
      </c>
      <c r="H33" t="s">
        <v>263</v>
      </c>
      <c r="I33" t="s">
        <v>4205</v>
      </c>
    </row>
    <row r="34" spans="1:9">
      <c r="A34" t="s">
        <v>4164</v>
      </c>
      <c r="B34" t="s">
        <v>4214</v>
      </c>
      <c r="C34">
        <v>1</v>
      </c>
      <c r="D34" t="s">
        <v>4166</v>
      </c>
      <c r="E34" t="s">
        <v>4167</v>
      </c>
      <c r="F34">
        <v>1200</v>
      </c>
      <c r="G34" t="s">
        <v>1418</v>
      </c>
      <c r="H34" t="s">
        <v>263</v>
      </c>
      <c r="I34" t="s">
        <v>4205</v>
      </c>
    </row>
    <row r="35" spans="1:9">
      <c r="A35" t="s">
        <v>4164</v>
      </c>
      <c r="B35" t="s">
        <v>4215</v>
      </c>
      <c r="C35">
        <v>1</v>
      </c>
      <c r="D35" t="s">
        <v>4166</v>
      </c>
      <c r="E35" t="s">
        <v>4167</v>
      </c>
      <c r="F35">
        <v>1000</v>
      </c>
      <c r="G35" t="s">
        <v>4216</v>
      </c>
      <c r="H35" t="s">
        <v>263</v>
      </c>
      <c r="I35" t="s">
        <v>4205</v>
      </c>
    </row>
    <row r="36" spans="1:9">
      <c r="A36" t="s">
        <v>4164</v>
      </c>
      <c r="B36" t="s">
        <v>4217</v>
      </c>
      <c r="C36">
        <v>1</v>
      </c>
      <c r="D36" t="s">
        <v>4166</v>
      </c>
      <c r="E36" t="s">
        <v>4167</v>
      </c>
      <c r="F36">
        <v>3000</v>
      </c>
      <c r="G36" t="s">
        <v>4216</v>
      </c>
      <c r="H36" t="s">
        <v>263</v>
      </c>
      <c r="I36" t="s">
        <v>4205</v>
      </c>
    </row>
    <row r="37" spans="1:9">
      <c r="A37" t="s">
        <v>4164</v>
      </c>
      <c r="B37" t="s">
        <v>4218</v>
      </c>
      <c r="C37">
        <v>1</v>
      </c>
      <c r="D37" t="s">
        <v>4166</v>
      </c>
      <c r="E37" t="s">
        <v>4167</v>
      </c>
      <c r="F37">
        <v>4500</v>
      </c>
      <c r="G37" t="s">
        <v>4216</v>
      </c>
      <c r="H37" t="s">
        <v>263</v>
      </c>
      <c r="I37" t="s">
        <v>4205</v>
      </c>
    </row>
    <row r="38" spans="1:9">
      <c r="A38" t="s">
        <v>4164</v>
      </c>
      <c r="B38" t="s">
        <v>4219</v>
      </c>
      <c r="C38">
        <v>1</v>
      </c>
      <c r="D38" t="s">
        <v>4166</v>
      </c>
      <c r="E38" t="s">
        <v>4167</v>
      </c>
      <c r="F38" t="s">
        <v>4168</v>
      </c>
      <c r="G38" t="s">
        <v>4169</v>
      </c>
      <c r="H38" t="s">
        <v>263</v>
      </c>
      <c r="I38" t="s">
        <v>4220</v>
      </c>
    </row>
    <row r="39" spans="1:9">
      <c r="A39" t="s">
        <v>4164</v>
      </c>
      <c r="B39" t="s">
        <v>4221</v>
      </c>
      <c r="C39">
        <v>1</v>
      </c>
      <c r="D39" t="s">
        <v>4166</v>
      </c>
      <c r="E39" t="s">
        <v>4167</v>
      </c>
      <c r="F39">
        <v>532</v>
      </c>
      <c r="G39" t="s">
        <v>4222</v>
      </c>
      <c r="H39" t="s">
        <v>263</v>
      </c>
      <c r="I39" t="s">
        <v>4223</v>
      </c>
    </row>
    <row r="40" spans="1:9">
      <c r="A40" t="s">
        <v>4164</v>
      </c>
      <c r="B40" t="s">
        <v>4224</v>
      </c>
      <c r="C40">
        <v>1</v>
      </c>
      <c r="D40" t="s">
        <v>4166</v>
      </c>
      <c r="E40" t="s">
        <v>4167</v>
      </c>
      <c r="F40">
        <v>319</v>
      </c>
      <c r="G40" t="s">
        <v>4222</v>
      </c>
      <c r="H40" t="s">
        <v>263</v>
      </c>
      <c r="I40" t="s">
        <v>4223</v>
      </c>
    </row>
    <row r="41" spans="1:9">
      <c r="A41" t="s">
        <v>4164</v>
      </c>
      <c r="B41" t="s">
        <v>4225</v>
      </c>
      <c r="C41">
        <v>1</v>
      </c>
      <c r="D41" t="s">
        <v>4166</v>
      </c>
      <c r="E41" t="s">
        <v>4167</v>
      </c>
      <c r="F41">
        <v>850</v>
      </c>
      <c r="G41" t="s">
        <v>4222</v>
      </c>
      <c r="H41" t="s">
        <v>263</v>
      </c>
      <c r="I41" t="s">
        <v>4223</v>
      </c>
    </row>
    <row r="42" spans="1:9">
      <c r="A42" t="s">
        <v>4164</v>
      </c>
      <c r="B42" t="s">
        <v>4226</v>
      </c>
      <c r="C42">
        <v>1</v>
      </c>
      <c r="D42" t="s">
        <v>4166</v>
      </c>
      <c r="E42" t="s">
        <v>4167</v>
      </c>
      <c r="F42">
        <v>2550</v>
      </c>
      <c r="G42" t="s">
        <v>4222</v>
      </c>
      <c r="H42" t="s">
        <v>263</v>
      </c>
      <c r="I42" t="s">
        <v>4223</v>
      </c>
    </row>
    <row r="43" spans="1:9">
      <c r="A43" t="s">
        <v>4164</v>
      </c>
      <c r="B43" t="s">
        <v>4227</v>
      </c>
      <c r="C43">
        <v>1</v>
      </c>
      <c r="D43" t="s">
        <v>4166</v>
      </c>
      <c r="E43" t="s">
        <v>4167</v>
      </c>
      <c r="F43">
        <v>3850</v>
      </c>
      <c r="G43" t="s">
        <v>4222</v>
      </c>
      <c r="H43" t="s">
        <v>263</v>
      </c>
      <c r="I43" t="s">
        <v>4223</v>
      </c>
    </row>
    <row r="44" spans="1:9">
      <c r="A44" t="s">
        <v>4164</v>
      </c>
      <c r="B44" t="s">
        <v>4228</v>
      </c>
      <c r="C44">
        <v>1</v>
      </c>
      <c r="D44" t="s">
        <v>4166</v>
      </c>
      <c r="E44" t="s">
        <v>4167</v>
      </c>
      <c r="F44">
        <v>375</v>
      </c>
      <c r="G44" t="s">
        <v>4229</v>
      </c>
      <c r="H44" t="s">
        <v>263</v>
      </c>
      <c r="I44" t="s">
        <v>4230</v>
      </c>
    </row>
    <row r="45" spans="1:9">
      <c r="A45" t="s">
        <v>4164</v>
      </c>
      <c r="B45" t="s">
        <v>4231</v>
      </c>
      <c r="C45">
        <v>1</v>
      </c>
      <c r="D45" t="s">
        <v>4166</v>
      </c>
      <c r="E45" t="s">
        <v>4167</v>
      </c>
      <c r="F45">
        <v>225</v>
      </c>
      <c r="G45" t="s">
        <v>4229</v>
      </c>
      <c r="H45" t="s">
        <v>263</v>
      </c>
      <c r="I45" t="s">
        <v>4230</v>
      </c>
    </row>
    <row r="46" spans="1:9">
      <c r="A46" t="s">
        <v>4164</v>
      </c>
      <c r="B46" t="s">
        <v>4232</v>
      </c>
      <c r="C46">
        <v>1</v>
      </c>
      <c r="D46" t="s">
        <v>4166</v>
      </c>
      <c r="E46" t="s">
        <v>4167</v>
      </c>
      <c r="F46">
        <v>2700</v>
      </c>
      <c r="G46" t="s">
        <v>4229</v>
      </c>
      <c r="H46" t="s">
        <v>263</v>
      </c>
      <c r="I46" t="s">
        <v>4230</v>
      </c>
    </row>
    <row r="47" spans="1:9">
      <c r="A47" t="s">
        <v>4164</v>
      </c>
      <c r="B47" t="s">
        <v>4233</v>
      </c>
      <c r="C47">
        <v>1</v>
      </c>
      <c r="D47" t="s">
        <v>4166</v>
      </c>
      <c r="E47" t="s">
        <v>4167</v>
      </c>
      <c r="F47">
        <v>600</v>
      </c>
      <c r="G47" t="s">
        <v>4229</v>
      </c>
      <c r="H47" t="s">
        <v>263</v>
      </c>
      <c r="I47" t="s">
        <v>4230</v>
      </c>
    </row>
    <row r="48" spans="1:9">
      <c r="A48" t="s">
        <v>4164</v>
      </c>
      <c r="B48" t="s">
        <v>4234</v>
      </c>
      <c r="C48">
        <v>1</v>
      </c>
      <c r="D48" t="s">
        <v>4166</v>
      </c>
      <c r="E48" t="s">
        <v>4167</v>
      </c>
      <c r="F48">
        <v>1800</v>
      </c>
      <c r="G48" t="s">
        <v>4229</v>
      </c>
      <c r="H48" t="s">
        <v>263</v>
      </c>
      <c r="I48" t="s">
        <v>4230</v>
      </c>
    </row>
    <row r="49" spans="1:9">
      <c r="A49" t="s">
        <v>4235</v>
      </c>
      <c r="B49" t="s">
        <v>4236</v>
      </c>
      <c r="C49">
        <v>1</v>
      </c>
      <c r="D49" t="s">
        <v>4237</v>
      </c>
      <c r="E49">
        <v>5</v>
      </c>
      <c r="F49">
        <v>35</v>
      </c>
      <c r="H49" t="s">
        <v>764</v>
      </c>
      <c r="I49" t="s">
        <v>4238</v>
      </c>
    </row>
    <row r="50" spans="1:9">
      <c r="A50" t="s">
        <v>4235</v>
      </c>
      <c r="B50" t="s">
        <v>4239</v>
      </c>
      <c r="C50">
        <v>1</v>
      </c>
      <c r="D50" t="s">
        <v>4240</v>
      </c>
      <c r="E50">
        <v>1</v>
      </c>
      <c r="F50">
        <v>85</v>
      </c>
      <c r="H50" t="s">
        <v>764</v>
      </c>
      <c r="I50" t="s">
        <v>4238</v>
      </c>
    </row>
    <row r="51" spans="1:9">
      <c r="A51" t="s">
        <v>4235</v>
      </c>
      <c r="B51" t="s">
        <v>4241</v>
      </c>
      <c r="C51">
        <v>1</v>
      </c>
      <c r="D51" t="s">
        <v>4242</v>
      </c>
      <c r="E51">
        <v>1</v>
      </c>
      <c r="F51">
        <v>500</v>
      </c>
      <c r="H51" t="s">
        <v>764</v>
      </c>
      <c r="I51" t="s">
        <v>4238</v>
      </c>
    </row>
    <row r="52" spans="1:9">
      <c r="A52" t="s">
        <v>4243</v>
      </c>
      <c r="B52" t="s">
        <v>4244</v>
      </c>
      <c r="C52">
        <v>1</v>
      </c>
      <c r="D52" t="s">
        <v>4245</v>
      </c>
      <c r="E52">
        <v>0.2</v>
      </c>
      <c r="F52">
        <v>1</v>
      </c>
      <c r="H52" t="s">
        <v>764</v>
      </c>
      <c r="I52" t="s">
        <v>4238</v>
      </c>
    </row>
    <row r="53" spans="1:9">
      <c r="A53" t="s">
        <v>4235</v>
      </c>
      <c r="B53" t="s">
        <v>4246</v>
      </c>
      <c r="C53">
        <v>1</v>
      </c>
      <c r="D53" t="s">
        <v>4247</v>
      </c>
      <c r="E53">
        <v>2E-3</v>
      </c>
      <c r="F53">
        <v>92</v>
      </c>
      <c r="H53" t="s">
        <v>764</v>
      </c>
      <c r="I53" t="s">
        <v>4248</v>
      </c>
    </row>
    <row r="54" spans="1:9">
      <c r="A54" t="s">
        <v>4249</v>
      </c>
      <c r="B54" t="s">
        <v>4250</v>
      </c>
      <c r="C54">
        <v>1</v>
      </c>
      <c r="D54" t="s">
        <v>4251</v>
      </c>
      <c r="E54">
        <v>0.1</v>
      </c>
      <c r="F54">
        <v>0.98</v>
      </c>
      <c r="H54" t="s">
        <v>764</v>
      </c>
      <c r="I54" t="s">
        <v>4252</v>
      </c>
    </row>
    <row r="55" spans="1:9">
      <c r="A55" t="s">
        <v>4249</v>
      </c>
      <c r="B55" t="s">
        <v>4253</v>
      </c>
      <c r="C55">
        <v>1</v>
      </c>
      <c r="D55" t="s">
        <v>4251</v>
      </c>
      <c r="E55">
        <v>0.1</v>
      </c>
      <c r="F55">
        <v>1.3</v>
      </c>
      <c r="H55" t="s">
        <v>764</v>
      </c>
      <c r="I55" t="s">
        <v>4252</v>
      </c>
    </row>
    <row r="56" spans="1:9">
      <c r="A56" t="s">
        <v>4249</v>
      </c>
      <c r="B56" t="s">
        <v>4254</v>
      </c>
      <c r="C56">
        <v>1</v>
      </c>
      <c r="D56" t="s">
        <v>4251</v>
      </c>
      <c r="E56">
        <v>0.1</v>
      </c>
      <c r="F56">
        <v>3.5</v>
      </c>
      <c r="H56" t="s">
        <v>764</v>
      </c>
      <c r="I56" t="s">
        <v>4252</v>
      </c>
    </row>
    <row r="57" spans="1:9">
      <c r="A57" t="s">
        <v>4235</v>
      </c>
      <c r="B57" t="s">
        <v>4255</v>
      </c>
      <c r="C57">
        <v>1</v>
      </c>
      <c r="D57" t="s">
        <v>4256</v>
      </c>
      <c r="E57">
        <v>1</v>
      </c>
      <c r="F57">
        <v>13</v>
      </c>
      <c r="H57" t="s">
        <v>764</v>
      </c>
      <c r="I57" t="s">
        <v>4257</v>
      </c>
    </row>
    <row r="58" spans="1:9">
      <c r="A58" t="s">
        <v>4235</v>
      </c>
      <c r="B58" t="s">
        <v>4258</v>
      </c>
      <c r="C58">
        <v>1</v>
      </c>
      <c r="D58" t="s">
        <v>4256</v>
      </c>
      <c r="E58">
        <v>1</v>
      </c>
      <c r="F58">
        <v>13</v>
      </c>
      <c r="H58" t="s">
        <v>764</v>
      </c>
      <c r="I58" t="s">
        <v>4257</v>
      </c>
    </row>
    <row r="59" spans="1:9">
      <c r="A59" t="s">
        <v>4259</v>
      </c>
      <c r="B59" t="s">
        <v>4260</v>
      </c>
      <c r="C59">
        <v>1</v>
      </c>
      <c r="D59" t="s">
        <v>4256</v>
      </c>
      <c r="E59">
        <v>0.02</v>
      </c>
      <c r="F59">
        <v>4.5</v>
      </c>
      <c r="H59" t="s">
        <v>764</v>
      </c>
      <c r="I59" t="s">
        <v>4257</v>
      </c>
    </row>
    <row r="60" spans="1:9">
      <c r="A60" t="s">
        <v>4259</v>
      </c>
      <c r="B60" t="s">
        <v>4261</v>
      </c>
      <c r="C60">
        <v>1</v>
      </c>
      <c r="D60" t="s">
        <v>4166</v>
      </c>
      <c r="E60">
        <v>0.5</v>
      </c>
      <c r="F60">
        <v>0.1</v>
      </c>
      <c r="H60" t="s">
        <v>764</v>
      </c>
      <c r="I60" t="s">
        <v>4257</v>
      </c>
    </row>
    <row r="61" spans="1:9">
      <c r="A61" t="s">
        <v>4262</v>
      </c>
      <c r="B61" t="s">
        <v>4263</v>
      </c>
      <c r="C61">
        <v>1</v>
      </c>
      <c r="D61" t="s">
        <v>4166</v>
      </c>
      <c r="E61">
        <v>0.25</v>
      </c>
      <c r="F61">
        <v>0.88</v>
      </c>
      <c r="H61" t="s">
        <v>764</v>
      </c>
      <c r="I61" t="s">
        <v>4257</v>
      </c>
    </row>
    <row r="62" spans="1:9">
      <c r="A62" t="s">
        <v>4264</v>
      </c>
      <c r="B62" t="s">
        <v>4265</v>
      </c>
      <c r="C62">
        <v>1</v>
      </c>
      <c r="D62" t="s">
        <v>4166</v>
      </c>
      <c r="E62">
        <v>0.13</v>
      </c>
      <c r="F62">
        <v>3.5</v>
      </c>
      <c r="H62" t="s">
        <v>764</v>
      </c>
      <c r="I62" t="s">
        <v>4257</v>
      </c>
    </row>
    <row r="63" spans="1:9">
      <c r="A63" t="s">
        <v>4235</v>
      </c>
      <c r="B63" t="s">
        <v>4266</v>
      </c>
      <c r="C63">
        <v>1</v>
      </c>
      <c r="D63" t="s">
        <v>4256</v>
      </c>
      <c r="E63">
        <v>1</v>
      </c>
      <c r="F63">
        <v>66</v>
      </c>
      <c r="H63" t="s">
        <v>764</v>
      </c>
      <c r="I63" t="s">
        <v>4267</v>
      </c>
    </row>
    <row r="64" spans="1:9">
      <c r="A64" t="s">
        <v>4268</v>
      </c>
      <c r="B64" t="s">
        <v>4269</v>
      </c>
      <c r="C64">
        <v>1</v>
      </c>
      <c r="D64" t="s">
        <v>4256</v>
      </c>
      <c r="E64">
        <v>1</v>
      </c>
      <c r="F64">
        <v>3.5</v>
      </c>
      <c r="H64" t="s">
        <v>764</v>
      </c>
      <c r="I64" t="s">
        <v>4270</v>
      </c>
    </row>
    <row r="65" spans="1:9">
      <c r="A65" t="s">
        <v>4243</v>
      </c>
      <c r="B65" t="s">
        <v>4271</v>
      </c>
      <c r="C65">
        <v>1</v>
      </c>
      <c r="D65" t="s">
        <v>4242</v>
      </c>
      <c r="E65">
        <v>0.25</v>
      </c>
      <c r="F65">
        <v>0.45</v>
      </c>
      <c r="H65" t="s">
        <v>764</v>
      </c>
      <c r="I65" t="s">
        <v>4272</v>
      </c>
    </row>
    <row r="66" spans="1:9">
      <c r="A66" t="s">
        <v>4259</v>
      </c>
      <c r="B66" t="s">
        <v>4273</v>
      </c>
      <c r="C66">
        <v>1</v>
      </c>
      <c r="D66" t="s">
        <v>4242</v>
      </c>
      <c r="E66">
        <v>0.5</v>
      </c>
      <c r="F66">
        <v>2</v>
      </c>
      <c r="H66" t="s">
        <v>764</v>
      </c>
      <c r="I66" t="s">
        <v>4272</v>
      </c>
    </row>
    <row r="67" spans="1:9">
      <c r="A67" t="s">
        <v>4259</v>
      </c>
      <c r="B67" t="s">
        <v>4274</v>
      </c>
      <c r="C67">
        <v>1</v>
      </c>
      <c r="D67" t="s">
        <v>4242</v>
      </c>
      <c r="E67">
        <v>0.13</v>
      </c>
      <c r="F67">
        <v>3</v>
      </c>
      <c r="H67" t="s">
        <v>764</v>
      </c>
      <c r="I67" t="s">
        <v>4272</v>
      </c>
    </row>
    <row r="68" spans="1:9">
      <c r="A68" t="s">
        <v>4259</v>
      </c>
      <c r="B68" t="s">
        <v>4275</v>
      </c>
      <c r="C68">
        <v>1</v>
      </c>
      <c r="D68" t="s">
        <v>4251</v>
      </c>
      <c r="E68">
        <v>0.02</v>
      </c>
      <c r="F68">
        <v>14</v>
      </c>
      <c r="H68" t="s">
        <v>764</v>
      </c>
      <c r="I68" t="s">
        <v>4272</v>
      </c>
    </row>
    <row r="69" spans="1:9">
      <c r="A69" t="s">
        <v>4235</v>
      </c>
      <c r="B69" t="s">
        <v>4276</v>
      </c>
      <c r="C69">
        <v>1</v>
      </c>
      <c r="D69" t="s">
        <v>4251</v>
      </c>
      <c r="E69">
        <v>0.12</v>
      </c>
      <c r="F69">
        <v>18</v>
      </c>
      <c r="H69" t="s">
        <v>764</v>
      </c>
      <c r="I69" t="s">
        <v>4277</v>
      </c>
    </row>
    <row r="70" spans="1:9">
      <c r="A70" t="s">
        <v>4259</v>
      </c>
      <c r="B70" t="s">
        <v>4278</v>
      </c>
      <c r="C70">
        <v>1</v>
      </c>
      <c r="D70" t="s">
        <v>4256</v>
      </c>
      <c r="E70">
        <v>0.02</v>
      </c>
      <c r="F70">
        <v>2.2000000000000002</v>
      </c>
      <c r="H70" t="s">
        <v>764</v>
      </c>
      <c r="I70" t="s">
        <v>4279</v>
      </c>
    </row>
    <row r="71" spans="1:9">
      <c r="A71" t="s">
        <v>4259</v>
      </c>
      <c r="B71" t="s">
        <v>4280</v>
      </c>
      <c r="C71">
        <v>1</v>
      </c>
      <c r="D71" t="s">
        <v>4256</v>
      </c>
      <c r="E71">
        <v>0.08</v>
      </c>
      <c r="F71">
        <v>12</v>
      </c>
      <c r="H71" t="s">
        <v>764</v>
      </c>
      <c r="I71" t="s">
        <v>4279</v>
      </c>
    </row>
    <row r="72" spans="1:9">
      <c r="A72" t="s">
        <v>4235</v>
      </c>
      <c r="B72" t="s">
        <v>4281</v>
      </c>
      <c r="C72">
        <v>1</v>
      </c>
      <c r="D72" t="s">
        <v>4242</v>
      </c>
      <c r="E72">
        <v>1</v>
      </c>
      <c r="F72">
        <v>23</v>
      </c>
      <c r="H72" t="s">
        <v>764</v>
      </c>
      <c r="I72" t="s">
        <v>4282</v>
      </c>
    </row>
    <row r="73" spans="1:9">
      <c r="A73" t="s">
        <v>4235</v>
      </c>
      <c r="B73" t="s">
        <v>4283</v>
      </c>
      <c r="C73">
        <v>1</v>
      </c>
      <c r="D73" t="s">
        <v>4242</v>
      </c>
      <c r="E73">
        <v>1</v>
      </c>
      <c r="F73">
        <v>25</v>
      </c>
      <c r="H73" t="s">
        <v>764</v>
      </c>
      <c r="I73" t="s">
        <v>4282</v>
      </c>
    </row>
    <row r="74" spans="1:9">
      <c r="A74" t="s">
        <v>4284</v>
      </c>
      <c r="B74" t="s">
        <v>4285</v>
      </c>
      <c r="C74">
        <v>1</v>
      </c>
      <c r="D74" t="s">
        <v>4240</v>
      </c>
      <c r="E74">
        <v>0.5</v>
      </c>
      <c r="F74">
        <v>0.4</v>
      </c>
      <c r="H74" t="s">
        <v>764</v>
      </c>
      <c r="I74" t="s">
        <v>4282</v>
      </c>
    </row>
    <row r="75" spans="1:9">
      <c r="A75" t="s">
        <v>4286</v>
      </c>
      <c r="B75" t="s">
        <v>4287</v>
      </c>
      <c r="C75">
        <v>1</v>
      </c>
      <c r="D75" t="s">
        <v>4288</v>
      </c>
      <c r="E75">
        <v>0.5</v>
      </c>
      <c r="F75">
        <v>0.1</v>
      </c>
      <c r="H75" t="s">
        <v>783</v>
      </c>
      <c r="I75" t="s">
        <v>4289</v>
      </c>
    </row>
    <row r="76" spans="1:9">
      <c r="A76" t="s">
        <v>4286</v>
      </c>
      <c r="B76" t="s">
        <v>4290</v>
      </c>
      <c r="C76">
        <v>1</v>
      </c>
      <c r="D76" t="s">
        <v>4288</v>
      </c>
      <c r="E76">
        <v>1</v>
      </c>
      <c r="F76">
        <v>7.4999999999999997E-2</v>
      </c>
      <c r="H76" t="s">
        <v>783</v>
      </c>
      <c r="I76" t="s">
        <v>4289</v>
      </c>
    </row>
    <row r="77" spans="1:9">
      <c r="A77" t="s">
        <v>4286</v>
      </c>
      <c r="B77" t="s">
        <v>4291</v>
      </c>
      <c r="C77">
        <v>1</v>
      </c>
      <c r="D77" t="s">
        <v>4288</v>
      </c>
      <c r="E77">
        <v>0.5</v>
      </c>
      <c r="F77">
        <v>1.4999999999999999E-2</v>
      </c>
      <c r="H77" t="s">
        <v>783</v>
      </c>
      <c r="I77" t="s">
        <v>4289</v>
      </c>
    </row>
    <row r="78" spans="1:9">
      <c r="A78" t="s">
        <v>4286</v>
      </c>
      <c r="B78" t="s">
        <v>4292</v>
      </c>
      <c r="C78">
        <v>1</v>
      </c>
      <c r="D78" t="s">
        <v>4288</v>
      </c>
      <c r="E78">
        <v>1</v>
      </c>
      <c r="F78">
        <v>7.4999999999999997E-2</v>
      </c>
      <c r="H78" t="s">
        <v>783</v>
      </c>
      <c r="I78" t="s">
        <v>4289</v>
      </c>
    </row>
    <row r="79" spans="1:9">
      <c r="A79" t="s">
        <v>4286</v>
      </c>
      <c r="B79" t="s">
        <v>4293</v>
      </c>
      <c r="C79">
        <v>1</v>
      </c>
      <c r="D79" t="s">
        <v>4288</v>
      </c>
      <c r="E79">
        <v>0.5</v>
      </c>
      <c r="F79">
        <v>0.05</v>
      </c>
      <c r="H79" t="s">
        <v>783</v>
      </c>
      <c r="I79" t="s">
        <v>4289</v>
      </c>
    </row>
    <row r="80" spans="1:9">
      <c r="A80" t="s">
        <v>4286</v>
      </c>
      <c r="B80" t="s">
        <v>4294</v>
      </c>
      <c r="C80">
        <v>1</v>
      </c>
      <c r="D80" t="s">
        <v>4288</v>
      </c>
      <c r="E80">
        <v>1</v>
      </c>
      <c r="F80">
        <v>0.15</v>
      </c>
      <c r="H80" t="s">
        <v>783</v>
      </c>
      <c r="I80" t="s">
        <v>4289</v>
      </c>
    </row>
    <row r="81" spans="1:9">
      <c r="A81" t="s">
        <v>4286</v>
      </c>
      <c r="B81" t="s">
        <v>4295</v>
      </c>
      <c r="C81">
        <v>1</v>
      </c>
      <c r="D81" t="s">
        <v>4288</v>
      </c>
      <c r="E81">
        <v>0.5</v>
      </c>
      <c r="F81">
        <v>0.1</v>
      </c>
      <c r="H81" t="s">
        <v>783</v>
      </c>
      <c r="I81" t="s">
        <v>4289</v>
      </c>
    </row>
    <row r="82" spans="1:9">
      <c r="A82" t="s">
        <v>4284</v>
      </c>
      <c r="B82" t="s">
        <v>4296</v>
      </c>
      <c r="C82">
        <v>1</v>
      </c>
      <c r="D82" t="s">
        <v>4240</v>
      </c>
      <c r="E82">
        <v>0.5</v>
      </c>
      <c r="F82">
        <v>2.5000000000000001E-2</v>
      </c>
      <c r="H82" t="s">
        <v>783</v>
      </c>
      <c r="I82" t="s">
        <v>4289</v>
      </c>
    </row>
    <row r="83" spans="1:9">
      <c r="A83" t="s">
        <v>4286</v>
      </c>
      <c r="B83" t="s">
        <v>4297</v>
      </c>
      <c r="C83">
        <v>1</v>
      </c>
      <c r="D83" t="s">
        <v>4245</v>
      </c>
      <c r="E83">
        <v>0.25</v>
      </c>
      <c r="F83">
        <v>0.43</v>
      </c>
      <c r="H83" t="s">
        <v>783</v>
      </c>
      <c r="I83" t="s">
        <v>4298</v>
      </c>
    </row>
    <row r="84" spans="1:9">
      <c r="A84" t="s">
        <v>4286</v>
      </c>
      <c r="B84" t="s">
        <v>4299</v>
      </c>
      <c r="C84">
        <v>1</v>
      </c>
      <c r="D84" t="s">
        <v>4245</v>
      </c>
      <c r="E84">
        <v>0.5</v>
      </c>
      <c r="F84">
        <v>1</v>
      </c>
      <c r="H84" t="s">
        <v>783</v>
      </c>
      <c r="I84" t="s">
        <v>4298</v>
      </c>
    </row>
    <row r="85" spans="1:9">
      <c r="A85" t="s">
        <v>4286</v>
      </c>
      <c r="B85" t="s">
        <v>4300</v>
      </c>
      <c r="C85">
        <v>1</v>
      </c>
      <c r="D85" t="s">
        <v>4245</v>
      </c>
      <c r="E85">
        <v>1</v>
      </c>
      <c r="F85">
        <v>3.5</v>
      </c>
      <c r="H85" t="s">
        <v>783</v>
      </c>
      <c r="I85" t="s">
        <v>4298</v>
      </c>
    </row>
    <row r="86" spans="1:9">
      <c r="A86" t="s">
        <v>4286</v>
      </c>
      <c r="B86" t="s">
        <v>4301</v>
      </c>
      <c r="C86">
        <v>1</v>
      </c>
      <c r="D86" t="s">
        <v>4166</v>
      </c>
      <c r="E86">
        <v>0.5</v>
      </c>
      <c r="F86">
        <v>0.2</v>
      </c>
      <c r="H86" t="s">
        <v>783</v>
      </c>
      <c r="I86" t="s">
        <v>4298</v>
      </c>
    </row>
    <row r="87" spans="1:9">
      <c r="A87" t="s">
        <v>4286</v>
      </c>
      <c r="B87" t="s">
        <v>4302</v>
      </c>
      <c r="C87">
        <v>1</v>
      </c>
      <c r="D87" t="s">
        <v>4288</v>
      </c>
      <c r="E87">
        <v>0.5</v>
      </c>
      <c r="F87">
        <v>0.25</v>
      </c>
      <c r="H87" t="s">
        <v>783</v>
      </c>
      <c r="I87" t="s">
        <v>4298</v>
      </c>
    </row>
    <row r="88" spans="1:9">
      <c r="A88" t="s">
        <v>4286</v>
      </c>
      <c r="B88" t="s">
        <v>4303</v>
      </c>
      <c r="C88">
        <v>1</v>
      </c>
      <c r="D88" t="s">
        <v>4166</v>
      </c>
      <c r="E88">
        <v>0.5</v>
      </c>
      <c r="F88">
        <v>0.2</v>
      </c>
      <c r="H88" t="s">
        <v>783</v>
      </c>
      <c r="I88" t="s">
        <v>4298</v>
      </c>
    </row>
    <row r="89" spans="1:9">
      <c r="A89" t="s">
        <v>4286</v>
      </c>
      <c r="B89" t="s">
        <v>4304</v>
      </c>
      <c r="C89">
        <v>1</v>
      </c>
      <c r="D89" t="s">
        <v>4245</v>
      </c>
      <c r="E89">
        <v>0.1</v>
      </c>
      <c r="F89">
        <v>0.15</v>
      </c>
      <c r="H89" t="s">
        <v>783</v>
      </c>
      <c r="I89" t="s">
        <v>4298</v>
      </c>
    </row>
    <row r="90" spans="1:9">
      <c r="A90" t="s">
        <v>4286</v>
      </c>
      <c r="B90" t="s">
        <v>4305</v>
      </c>
      <c r="C90">
        <v>1</v>
      </c>
      <c r="D90" t="s">
        <v>4245</v>
      </c>
      <c r="E90">
        <v>0.1</v>
      </c>
      <c r="F90">
        <v>0.43</v>
      </c>
      <c r="H90" t="s">
        <v>783</v>
      </c>
      <c r="I90" t="s">
        <v>4298</v>
      </c>
    </row>
    <row r="91" spans="1:9">
      <c r="A91" t="s">
        <v>4286</v>
      </c>
      <c r="B91" t="s">
        <v>4306</v>
      </c>
      <c r="C91">
        <v>1</v>
      </c>
      <c r="D91" t="s">
        <v>4288</v>
      </c>
      <c r="E91">
        <v>0.5</v>
      </c>
      <c r="F91">
        <v>0.3</v>
      </c>
      <c r="H91" t="s">
        <v>783</v>
      </c>
      <c r="I91" t="s">
        <v>4298</v>
      </c>
    </row>
    <row r="92" spans="1:9">
      <c r="A92" t="s">
        <v>4286</v>
      </c>
      <c r="B92" t="s">
        <v>4307</v>
      </c>
      <c r="C92">
        <v>1</v>
      </c>
      <c r="D92" t="s">
        <v>4308</v>
      </c>
      <c r="E92">
        <v>0.02</v>
      </c>
      <c r="F92">
        <v>0.15</v>
      </c>
      <c r="H92" t="s">
        <v>783</v>
      </c>
      <c r="I92" t="s">
        <v>4298</v>
      </c>
    </row>
    <row r="93" spans="1:9">
      <c r="A93" t="s">
        <v>4259</v>
      </c>
      <c r="B93" t="s">
        <v>4309</v>
      </c>
      <c r="C93">
        <v>1</v>
      </c>
      <c r="D93" t="s">
        <v>4310</v>
      </c>
      <c r="E93" t="s">
        <v>4167</v>
      </c>
      <c r="F93">
        <v>0.5</v>
      </c>
      <c r="H93" t="s">
        <v>788</v>
      </c>
      <c r="I93" t="s">
        <v>4311</v>
      </c>
    </row>
    <row r="94" spans="1:9">
      <c r="A94" t="s">
        <v>4259</v>
      </c>
      <c r="B94" t="s">
        <v>4312</v>
      </c>
      <c r="C94">
        <v>1</v>
      </c>
      <c r="D94" t="s">
        <v>4310</v>
      </c>
      <c r="E94" t="s">
        <v>4167</v>
      </c>
      <c r="F94">
        <v>2</v>
      </c>
      <c r="H94" t="s">
        <v>788</v>
      </c>
      <c r="I94" t="s">
        <v>4311</v>
      </c>
    </row>
    <row r="95" spans="1:9">
      <c r="A95" t="s">
        <v>4259</v>
      </c>
      <c r="B95" t="s">
        <v>4313</v>
      </c>
      <c r="C95">
        <v>1</v>
      </c>
      <c r="D95" t="s">
        <v>4310</v>
      </c>
      <c r="E95" t="s">
        <v>4167</v>
      </c>
      <c r="F95">
        <v>0.75</v>
      </c>
      <c r="H95" t="s">
        <v>788</v>
      </c>
      <c r="I95" t="s">
        <v>4311</v>
      </c>
    </row>
    <row r="96" spans="1:9">
      <c r="A96" t="s">
        <v>4259</v>
      </c>
      <c r="B96" t="s">
        <v>4314</v>
      </c>
      <c r="C96">
        <v>1</v>
      </c>
      <c r="D96" t="s">
        <v>4310</v>
      </c>
      <c r="E96" t="s">
        <v>4167</v>
      </c>
      <c r="F96">
        <v>1</v>
      </c>
      <c r="H96" t="s">
        <v>788</v>
      </c>
      <c r="I96" t="s">
        <v>4311</v>
      </c>
    </row>
    <row r="97" spans="1:9">
      <c r="A97" t="s">
        <v>4259</v>
      </c>
      <c r="B97" t="s">
        <v>4315</v>
      </c>
      <c r="C97">
        <v>1</v>
      </c>
      <c r="D97" t="s">
        <v>4310</v>
      </c>
      <c r="E97" t="s">
        <v>4167</v>
      </c>
      <c r="F97">
        <v>2</v>
      </c>
      <c r="H97" t="s">
        <v>788</v>
      </c>
      <c r="I97" t="s">
        <v>4316</v>
      </c>
    </row>
    <row r="98" spans="1:9">
      <c r="A98" t="s">
        <v>4259</v>
      </c>
      <c r="B98" t="s">
        <v>4317</v>
      </c>
      <c r="C98">
        <v>1</v>
      </c>
      <c r="D98" t="s">
        <v>4310</v>
      </c>
      <c r="E98" t="s">
        <v>4167</v>
      </c>
      <c r="F98">
        <v>15</v>
      </c>
      <c r="H98" t="s">
        <v>788</v>
      </c>
      <c r="I98" t="s">
        <v>4316</v>
      </c>
    </row>
    <row r="99" spans="1:9">
      <c r="A99" t="s">
        <v>4259</v>
      </c>
      <c r="B99" t="s">
        <v>4318</v>
      </c>
      <c r="C99">
        <v>1</v>
      </c>
      <c r="D99" t="s">
        <v>4310</v>
      </c>
      <c r="E99" t="s">
        <v>4167</v>
      </c>
      <c r="F99">
        <v>0.9</v>
      </c>
      <c r="H99" t="s">
        <v>788</v>
      </c>
      <c r="I99" t="s">
        <v>4316</v>
      </c>
    </row>
    <row r="100" spans="1:9">
      <c r="A100" t="s">
        <v>4284</v>
      </c>
      <c r="B100" t="s">
        <v>4319</v>
      </c>
      <c r="C100">
        <v>1</v>
      </c>
      <c r="D100" t="s">
        <v>4310</v>
      </c>
      <c r="E100" t="s">
        <v>4167</v>
      </c>
      <c r="F100">
        <v>10</v>
      </c>
      <c r="H100" t="s">
        <v>788</v>
      </c>
      <c r="I100" t="s">
        <v>4316</v>
      </c>
    </row>
    <row r="101" spans="1:9">
      <c r="A101" t="s">
        <v>4320</v>
      </c>
      <c r="B101" t="s">
        <v>4321</v>
      </c>
      <c r="C101">
        <v>1</v>
      </c>
      <c r="D101" t="s">
        <v>4322</v>
      </c>
      <c r="E101">
        <v>2.0000000000000001E-4</v>
      </c>
      <c r="F101">
        <v>3.6</v>
      </c>
      <c r="G101" t="s">
        <v>4323</v>
      </c>
      <c r="H101" t="s">
        <v>793</v>
      </c>
      <c r="I101" t="s">
        <v>4320</v>
      </c>
    </row>
    <row r="102" spans="1:9">
      <c r="A102" t="s">
        <v>4320</v>
      </c>
      <c r="B102" t="s">
        <v>4324</v>
      </c>
      <c r="C102">
        <v>1</v>
      </c>
      <c r="D102" t="s">
        <v>4322</v>
      </c>
      <c r="E102">
        <v>2.0000000000000001E-4</v>
      </c>
      <c r="F102">
        <v>1.3</v>
      </c>
      <c r="G102" t="s">
        <v>4325</v>
      </c>
      <c r="H102" t="s">
        <v>793</v>
      </c>
      <c r="I102" t="s">
        <v>4320</v>
      </c>
    </row>
    <row r="103" spans="1:9">
      <c r="A103" t="s">
        <v>4320</v>
      </c>
      <c r="B103" t="s">
        <v>4326</v>
      </c>
      <c r="C103">
        <v>1</v>
      </c>
      <c r="D103" t="s">
        <v>4322</v>
      </c>
      <c r="E103">
        <v>2.0000000000000001E-4</v>
      </c>
      <c r="F103">
        <v>2.2000000000000002</v>
      </c>
      <c r="G103" t="s">
        <v>4327</v>
      </c>
      <c r="H103" t="s">
        <v>793</v>
      </c>
      <c r="I103" t="s">
        <v>4320</v>
      </c>
    </row>
    <row r="104" spans="1:9">
      <c r="A104" t="s">
        <v>4320</v>
      </c>
      <c r="B104" t="s">
        <v>4328</v>
      </c>
      <c r="C104">
        <v>1</v>
      </c>
      <c r="D104" t="s">
        <v>4322</v>
      </c>
      <c r="E104">
        <v>2.0000000000000001E-4</v>
      </c>
      <c r="F104">
        <v>3</v>
      </c>
      <c r="H104" t="s">
        <v>793</v>
      </c>
      <c r="I104" t="s">
        <v>4320</v>
      </c>
    </row>
    <row r="105" spans="1:9">
      <c r="A105" t="s">
        <v>4320</v>
      </c>
      <c r="B105" t="s">
        <v>4329</v>
      </c>
      <c r="C105">
        <v>1</v>
      </c>
      <c r="D105" t="s">
        <v>4322</v>
      </c>
      <c r="E105">
        <v>2.0000000000000001E-4</v>
      </c>
      <c r="F105">
        <v>4.4000000000000004</v>
      </c>
      <c r="H105" t="s">
        <v>793</v>
      </c>
      <c r="I105" t="s">
        <v>4320</v>
      </c>
    </row>
    <row r="106" spans="1:9">
      <c r="A106" t="s">
        <v>4320</v>
      </c>
      <c r="B106" t="s">
        <v>4330</v>
      </c>
      <c r="C106">
        <v>1</v>
      </c>
      <c r="D106" t="s">
        <v>4322</v>
      </c>
      <c r="E106">
        <v>2.0000000000000001E-4</v>
      </c>
      <c r="F106">
        <v>8</v>
      </c>
      <c r="H106" t="s">
        <v>793</v>
      </c>
      <c r="I106" t="s">
        <v>4320</v>
      </c>
    </row>
    <row r="107" spans="1:9">
      <c r="A107" t="s">
        <v>4320</v>
      </c>
      <c r="B107" t="s">
        <v>4331</v>
      </c>
      <c r="C107">
        <v>1</v>
      </c>
      <c r="D107" t="s">
        <v>4322</v>
      </c>
      <c r="E107">
        <v>2.0000000000000001E-4</v>
      </c>
      <c r="F107">
        <v>16</v>
      </c>
      <c r="H107" t="s">
        <v>793</v>
      </c>
      <c r="I107" t="s">
        <v>4320</v>
      </c>
    </row>
    <row r="108" spans="1:9">
      <c r="A108" t="s">
        <v>4320</v>
      </c>
      <c r="B108" t="s">
        <v>4332</v>
      </c>
      <c r="C108">
        <v>1</v>
      </c>
      <c r="D108" t="s">
        <v>4322</v>
      </c>
      <c r="E108">
        <v>2.0000000000000001E-4</v>
      </c>
      <c r="F108">
        <v>20</v>
      </c>
      <c r="H108" t="s">
        <v>793</v>
      </c>
      <c r="I108" t="s">
        <v>4320</v>
      </c>
    </row>
    <row r="109" spans="1:9">
      <c r="A109" t="s">
        <v>4320</v>
      </c>
      <c r="B109" t="s">
        <v>4333</v>
      </c>
      <c r="C109">
        <v>1</v>
      </c>
      <c r="D109" t="s">
        <v>4322</v>
      </c>
      <c r="E109">
        <v>2.0000000000000001E-4</v>
      </c>
      <c r="F109">
        <v>25</v>
      </c>
      <c r="H109" t="s">
        <v>793</v>
      </c>
      <c r="I109" t="s">
        <v>4320</v>
      </c>
    </row>
    <row r="110" spans="1:9">
      <c r="A110" t="s">
        <v>4320</v>
      </c>
      <c r="B110" t="s">
        <v>4334</v>
      </c>
      <c r="C110">
        <v>1</v>
      </c>
      <c r="D110" t="s">
        <v>4322</v>
      </c>
      <c r="E110">
        <v>2.0000000000000001E-4</v>
      </c>
      <c r="F110">
        <v>27</v>
      </c>
      <c r="G110" t="s">
        <v>4335</v>
      </c>
      <c r="H110" t="s">
        <v>793</v>
      </c>
      <c r="I110" t="s">
        <v>4320</v>
      </c>
    </row>
    <row r="111" spans="1:9">
      <c r="A111" t="s">
        <v>4320</v>
      </c>
      <c r="B111" t="s">
        <v>4336</v>
      </c>
      <c r="C111">
        <v>1</v>
      </c>
      <c r="D111" t="s">
        <v>4322</v>
      </c>
      <c r="E111">
        <v>2.0000000000000001E-4</v>
      </c>
      <c r="F111">
        <v>22</v>
      </c>
      <c r="G111" t="s">
        <v>4337</v>
      </c>
      <c r="H111" t="s">
        <v>793</v>
      </c>
      <c r="I111" t="s">
        <v>4320</v>
      </c>
    </row>
    <row r="112" spans="1:9">
      <c r="A112" t="s">
        <v>4320</v>
      </c>
      <c r="B112" t="s">
        <v>4338</v>
      </c>
      <c r="C112">
        <v>1</v>
      </c>
      <c r="D112" t="s">
        <v>4322</v>
      </c>
      <c r="E112">
        <v>2.0000000000000001E-4</v>
      </c>
      <c r="F112">
        <v>11</v>
      </c>
      <c r="G112" t="s">
        <v>4339</v>
      </c>
      <c r="H112" t="s">
        <v>793</v>
      </c>
      <c r="I112" t="s">
        <v>4320</v>
      </c>
    </row>
    <row r="113" spans="1:9">
      <c r="A113" t="s">
        <v>4320</v>
      </c>
      <c r="B113" t="s">
        <v>4340</v>
      </c>
      <c r="C113">
        <v>1</v>
      </c>
      <c r="D113" t="s">
        <v>4322</v>
      </c>
      <c r="E113">
        <v>2.0000000000000001E-4</v>
      </c>
      <c r="F113">
        <v>7</v>
      </c>
      <c r="G113" t="s">
        <v>4341</v>
      </c>
      <c r="H113" t="s">
        <v>793</v>
      </c>
      <c r="I113" t="s">
        <v>4320</v>
      </c>
    </row>
    <row r="114" spans="1:9">
      <c r="A114" t="s">
        <v>4320</v>
      </c>
      <c r="B114" t="s">
        <v>4342</v>
      </c>
      <c r="C114">
        <v>1</v>
      </c>
      <c r="D114" t="s">
        <v>4322</v>
      </c>
      <c r="E114">
        <v>2.0000000000000001E-4</v>
      </c>
      <c r="F114">
        <v>8</v>
      </c>
      <c r="H114" t="s">
        <v>793</v>
      </c>
      <c r="I114" t="s">
        <v>4320</v>
      </c>
    </row>
    <row r="115" spans="1:9">
      <c r="A115" t="s">
        <v>4320</v>
      </c>
      <c r="B115" t="s">
        <v>4343</v>
      </c>
      <c r="C115">
        <v>1</v>
      </c>
      <c r="D115" t="s">
        <v>4322</v>
      </c>
      <c r="E115">
        <v>2.0000000000000001E-4</v>
      </c>
      <c r="F115">
        <v>3.5</v>
      </c>
      <c r="G115" t="s">
        <v>4344</v>
      </c>
      <c r="H115" t="s">
        <v>793</v>
      </c>
      <c r="I115" t="s">
        <v>4320</v>
      </c>
    </row>
    <row r="116" spans="1:9">
      <c r="A116" t="s">
        <v>4320</v>
      </c>
      <c r="B116" t="s">
        <v>4345</v>
      </c>
      <c r="C116">
        <v>1</v>
      </c>
      <c r="D116" t="s">
        <v>4322</v>
      </c>
      <c r="E116">
        <v>2.0000000000000001E-4</v>
      </c>
      <c r="F116">
        <v>1.8</v>
      </c>
      <c r="G116" t="s">
        <v>4346</v>
      </c>
      <c r="H116" t="s">
        <v>793</v>
      </c>
      <c r="I116" t="s">
        <v>4320</v>
      </c>
    </row>
    <row r="117" spans="1:9">
      <c r="A117" t="s">
        <v>4347</v>
      </c>
      <c r="B117" t="s">
        <v>4348</v>
      </c>
      <c r="C117">
        <v>1</v>
      </c>
      <c r="D117" t="s">
        <v>4349</v>
      </c>
      <c r="E117">
        <v>1</v>
      </c>
      <c r="F117">
        <v>88</v>
      </c>
      <c r="H117" t="s">
        <v>793</v>
      </c>
      <c r="I117" t="s">
        <v>4320</v>
      </c>
    </row>
    <row r="118" spans="1:9">
      <c r="A118" t="s">
        <v>4347</v>
      </c>
      <c r="B118" t="s">
        <v>4350</v>
      </c>
      <c r="C118">
        <v>1</v>
      </c>
      <c r="D118" t="s">
        <v>4247</v>
      </c>
      <c r="E118">
        <v>1</v>
      </c>
      <c r="F118">
        <v>106</v>
      </c>
      <c r="H118" t="s">
        <v>793</v>
      </c>
      <c r="I118" t="s">
        <v>4320</v>
      </c>
    </row>
    <row r="119" spans="1:9">
      <c r="A119" t="s">
        <v>4249</v>
      </c>
      <c r="B119" t="s">
        <v>4351</v>
      </c>
      <c r="C119">
        <v>1</v>
      </c>
      <c r="D119" t="s">
        <v>4245</v>
      </c>
      <c r="E119">
        <v>0.02</v>
      </c>
      <c r="F119">
        <v>1.7999999999999999E-2</v>
      </c>
      <c r="H119" t="s">
        <v>793</v>
      </c>
      <c r="I119" t="s">
        <v>4352</v>
      </c>
    </row>
    <row r="120" spans="1:9">
      <c r="A120" t="s">
        <v>4249</v>
      </c>
      <c r="B120" t="s">
        <v>4353</v>
      </c>
      <c r="C120">
        <v>1</v>
      </c>
      <c r="D120" t="s">
        <v>4166</v>
      </c>
      <c r="E120">
        <v>0.5</v>
      </c>
      <c r="F120">
        <v>0.78</v>
      </c>
      <c r="H120" t="s">
        <v>793</v>
      </c>
      <c r="I120" t="s">
        <v>4352</v>
      </c>
    </row>
    <row r="121" spans="1:9">
      <c r="A121" t="s">
        <v>4235</v>
      </c>
      <c r="B121" t="s">
        <v>4354</v>
      </c>
      <c r="C121">
        <v>1</v>
      </c>
      <c r="D121" t="s">
        <v>4240</v>
      </c>
      <c r="E121">
        <v>1</v>
      </c>
      <c r="F121">
        <v>3</v>
      </c>
      <c r="H121" t="s">
        <v>793</v>
      </c>
      <c r="I121" t="s">
        <v>4355</v>
      </c>
    </row>
    <row r="122" spans="1:9">
      <c r="A122" t="s">
        <v>4249</v>
      </c>
      <c r="B122" t="s">
        <v>4356</v>
      </c>
      <c r="C122">
        <v>1</v>
      </c>
      <c r="D122" t="s">
        <v>4357</v>
      </c>
      <c r="E122">
        <v>0.05</v>
      </c>
      <c r="F122">
        <v>5.0000000000000001E-3</v>
      </c>
      <c r="H122" t="s">
        <v>793</v>
      </c>
      <c r="I122" t="s">
        <v>4355</v>
      </c>
    </row>
    <row r="123" spans="1:9">
      <c r="A123" t="s">
        <v>4235</v>
      </c>
      <c r="B123" t="s">
        <v>4358</v>
      </c>
      <c r="C123">
        <v>1</v>
      </c>
      <c r="D123" t="s">
        <v>4242</v>
      </c>
      <c r="E123">
        <v>1</v>
      </c>
      <c r="F123">
        <v>52</v>
      </c>
      <c r="H123" t="s">
        <v>793</v>
      </c>
      <c r="I123" t="s">
        <v>4359</v>
      </c>
    </row>
    <row r="124" spans="1:9">
      <c r="A124" t="s">
        <v>4235</v>
      </c>
      <c r="B124" t="s">
        <v>4360</v>
      </c>
      <c r="C124">
        <v>1</v>
      </c>
      <c r="D124" t="s">
        <v>4256</v>
      </c>
      <c r="E124">
        <v>1</v>
      </c>
      <c r="F124">
        <v>8</v>
      </c>
      <c r="H124" t="s">
        <v>793</v>
      </c>
      <c r="I124" t="s">
        <v>4359</v>
      </c>
    </row>
    <row r="125" spans="1:9">
      <c r="A125" t="s">
        <v>4235</v>
      </c>
      <c r="B125" t="s">
        <v>4361</v>
      </c>
      <c r="C125">
        <v>1</v>
      </c>
      <c r="D125" t="s">
        <v>4240</v>
      </c>
      <c r="E125">
        <v>1</v>
      </c>
      <c r="F125">
        <v>35</v>
      </c>
      <c r="H125" t="s">
        <v>793</v>
      </c>
      <c r="I125" t="s">
        <v>4282</v>
      </c>
    </row>
    <row r="126" spans="1:9">
      <c r="A126" t="s">
        <v>4235</v>
      </c>
      <c r="B126" t="s">
        <v>4362</v>
      </c>
      <c r="C126">
        <v>1</v>
      </c>
      <c r="D126" t="s">
        <v>4240</v>
      </c>
      <c r="E126">
        <v>1</v>
      </c>
      <c r="F126">
        <v>125</v>
      </c>
      <c r="H126" t="s">
        <v>793</v>
      </c>
      <c r="I126" t="s">
        <v>4282</v>
      </c>
    </row>
    <row r="127" spans="1:9">
      <c r="A127" t="s">
        <v>4286</v>
      </c>
      <c r="B127" t="s">
        <v>4363</v>
      </c>
      <c r="C127">
        <v>1</v>
      </c>
      <c r="D127" t="s">
        <v>4240</v>
      </c>
      <c r="E127">
        <v>0.5</v>
      </c>
      <c r="F127">
        <v>0.3</v>
      </c>
      <c r="H127" t="s">
        <v>793</v>
      </c>
      <c r="I127" t="s">
        <v>4282</v>
      </c>
    </row>
    <row r="128" spans="1:9">
      <c r="A128" t="s">
        <v>4364</v>
      </c>
      <c r="B128" t="s">
        <v>4365</v>
      </c>
      <c r="C128">
        <v>1</v>
      </c>
      <c r="D128" t="s">
        <v>4166</v>
      </c>
      <c r="E128" t="s">
        <v>4167</v>
      </c>
      <c r="F128">
        <v>640000</v>
      </c>
      <c r="H128" t="s">
        <v>803</v>
      </c>
      <c r="I128" t="s">
        <v>4366</v>
      </c>
    </row>
    <row r="129" spans="1:9">
      <c r="A129" t="s">
        <v>4364</v>
      </c>
      <c r="B129" t="s">
        <v>4367</v>
      </c>
      <c r="C129">
        <v>1</v>
      </c>
      <c r="D129" t="s">
        <v>4166</v>
      </c>
      <c r="E129" t="s">
        <v>4167</v>
      </c>
      <c r="F129">
        <v>1400000</v>
      </c>
      <c r="H129" t="s">
        <v>803</v>
      </c>
      <c r="I129" t="s">
        <v>4366</v>
      </c>
    </row>
    <row r="130" spans="1:9">
      <c r="A130" t="s">
        <v>4364</v>
      </c>
      <c r="B130" t="s">
        <v>4368</v>
      </c>
      <c r="C130">
        <v>1</v>
      </c>
      <c r="D130" t="s">
        <v>4166</v>
      </c>
      <c r="E130" t="s">
        <v>4167</v>
      </c>
      <c r="F130">
        <v>960000</v>
      </c>
      <c r="H130" t="s">
        <v>803</v>
      </c>
      <c r="I130" t="s">
        <v>4366</v>
      </c>
    </row>
    <row r="131" spans="1:9">
      <c r="A131" t="s">
        <v>4364</v>
      </c>
      <c r="B131" t="s">
        <v>4369</v>
      </c>
      <c r="C131">
        <v>1</v>
      </c>
      <c r="D131" t="s">
        <v>4166</v>
      </c>
      <c r="E131" t="s">
        <v>4167</v>
      </c>
      <c r="F131">
        <v>420000</v>
      </c>
      <c r="H131" t="s">
        <v>803</v>
      </c>
      <c r="I131" t="s">
        <v>4366</v>
      </c>
    </row>
    <row r="132" spans="1:9">
      <c r="A132" t="s">
        <v>4364</v>
      </c>
      <c r="B132" t="s">
        <v>4370</v>
      </c>
      <c r="C132">
        <v>1</v>
      </c>
      <c r="D132" t="s">
        <v>4166</v>
      </c>
      <c r="E132">
        <v>50</v>
      </c>
      <c r="F132">
        <v>528</v>
      </c>
      <c r="H132" t="s">
        <v>803</v>
      </c>
      <c r="I132" t="s">
        <v>4371</v>
      </c>
    </row>
    <row r="133" spans="1:9">
      <c r="A133" t="s">
        <v>4364</v>
      </c>
      <c r="B133" t="s">
        <v>4372</v>
      </c>
      <c r="C133">
        <v>1</v>
      </c>
      <c r="D133" t="s">
        <v>4166</v>
      </c>
      <c r="E133">
        <v>400</v>
      </c>
      <c r="F133">
        <v>2860</v>
      </c>
      <c r="H133" t="s">
        <v>803</v>
      </c>
      <c r="I133" t="s">
        <v>4371</v>
      </c>
    </row>
    <row r="134" spans="1:9">
      <c r="A134" t="s">
        <v>4364</v>
      </c>
      <c r="B134" t="s">
        <v>4373</v>
      </c>
      <c r="C134">
        <v>1</v>
      </c>
      <c r="D134" t="s">
        <v>4166</v>
      </c>
      <c r="E134">
        <v>50</v>
      </c>
      <c r="F134">
        <v>50</v>
      </c>
      <c r="H134" t="s">
        <v>803</v>
      </c>
      <c r="I134" t="s">
        <v>4371</v>
      </c>
    </row>
    <row r="135" spans="1:9">
      <c r="A135" t="s">
        <v>4364</v>
      </c>
      <c r="B135" t="s">
        <v>4374</v>
      </c>
      <c r="C135">
        <v>1</v>
      </c>
      <c r="D135" t="s">
        <v>4166</v>
      </c>
      <c r="E135" t="s">
        <v>4167</v>
      </c>
      <c r="F135">
        <v>280000</v>
      </c>
      <c r="H135" t="s">
        <v>803</v>
      </c>
      <c r="I135" t="s">
        <v>4371</v>
      </c>
    </row>
    <row r="136" spans="1:9">
      <c r="A136" t="s">
        <v>4235</v>
      </c>
      <c r="B136" t="s">
        <v>4375</v>
      </c>
      <c r="C136">
        <v>1</v>
      </c>
      <c r="D136" t="s">
        <v>4242</v>
      </c>
      <c r="E136">
        <v>1</v>
      </c>
      <c r="F136">
        <v>20</v>
      </c>
      <c r="H136" t="s">
        <v>808</v>
      </c>
      <c r="I136" t="s">
        <v>4376</v>
      </c>
    </row>
    <row r="137" spans="1:9">
      <c r="A137" t="s">
        <v>4235</v>
      </c>
      <c r="B137" t="s">
        <v>4377</v>
      </c>
      <c r="C137">
        <v>1</v>
      </c>
      <c r="D137" t="s">
        <v>4242</v>
      </c>
      <c r="E137">
        <v>1</v>
      </c>
      <c r="F137">
        <v>13</v>
      </c>
      <c r="H137" t="s">
        <v>808</v>
      </c>
      <c r="I137" t="s">
        <v>4376</v>
      </c>
    </row>
    <row r="138" spans="1:9">
      <c r="A138" t="s">
        <v>4235</v>
      </c>
      <c r="B138" t="s">
        <v>4378</v>
      </c>
      <c r="C138">
        <v>1</v>
      </c>
      <c r="D138" t="s">
        <v>4242</v>
      </c>
      <c r="E138">
        <v>1</v>
      </c>
      <c r="F138">
        <v>7.5</v>
      </c>
      <c r="H138" t="s">
        <v>808</v>
      </c>
      <c r="I138" t="s">
        <v>4376</v>
      </c>
    </row>
    <row r="139" spans="1:9">
      <c r="A139" t="s">
        <v>4286</v>
      </c>
      <c r="B139" t="s">
        <v>4379</v>
      </c>
      <c r="C139">
        <v>1</v>
      </c>
      <c r="D139" t="s">
        <v>4242</v>
      </c>
      <c r="E139">
        <v>0.5</v>
      </c>
      <c r="F139">
        <v>0.5</v>
      </c>
      <c r="H139" t="s">
        <v>808</v>
      </c>
      <c r="I139" t="s">
        <v>4380</v>
      </c>
    </row>
    <row r="140" spans="1:9">
      <c r="A140" t="s">
        <v>4286</v>
      </c>
      <c r="B140" t="s">
        <v>4381</v>
      </c>
      <c r="C140">
        <v>1</v>
      </c>
      <c r="D140" t="s">
        <v>4242</v>
      </c>
      <c r="E140">
        <v>1</v>
      </c>
      <c r="F140">
        <v>0.4</v>
      </c>
      <c r="H140" t="s">
        <v>808</v>
      </c>
      <c r="I140" t="s">
        <v>4380</v>
      </c>
    </row>
    <row r="141" spans="1:9">
      <c r="A141" t="s">
        <v>4286</v>
      </c>
      <c r="B141" t="s">
        <v>4382</v>
      </c>
      <c r="C141">
        <v>1</v>
      </c>
      <c r="D141" t="s">
        <v>4242</v>
      </c>
      <c r="E141">
        <v>1</v>
      </c>
      <c r="F141">
        <v>0.5</v>
      </c>
      <c r="H141" t="s">
        <v>808</v>
      </c>
      <c r="I141" t="s">
        <v>4380</v>
      </c>
    </row>
    <row r="142" spans="1:9">
      <c r="A142" t="s">
        <v>4286</v>
      </c>
      <c r="B142" t="s">
        <v>4383</v>
      </c>
      <c r="C142">
        <v>1</v>
      </c>
      <c r="D142" t="s">
        <v>4242</v>
      </c>
      <c r="E142">
        <v>1</v>
      </c>
      <c r="F142">
        <v>50</v>
      </c>
      <c r="H142" t="s">
        <v>808</v>
      </c>
      <c r="I142" t="s">
        <v>4380</v>
      </c>
    </row>
    <row r="143" spans="1:9">
      <c r="A143" t="s">
        <v>4259</v>
      </c>
      <c r="B143" t="s">
        <v>4384</v>
      </c>
      <c r="C143">
        <v>1</v>
      </c>
      <c r="D143" t="s">
        <v>4242</v>
      </c>
      <c r="E143">
        <v>0.25</v>
      </c>
      <c r="F143">
        <v>2.8</v>
      </c>
      <c r="H143" t="s">
        <v>808</v>
      </c>
      <c r="I143" t="s">
        <v>4385</v>
      </c>
    </row>
    <row r="144" spans="1:9">
      <c r="A144" t="s">
        <v>4259</v>
      </c>
      <c r="B144" t="s">
        <v>4386</v>
      </c>
      <c r="C144">
        <v>1</v>
      </c>
      <c r="D144" t="s">
        <v>4242</v>
      </c>
      <c r="E144">
        <v>0.25</v>
      </c>
      <c r="F144">
        <v>3</v>
      </c>
      <c r="H144" t="s">
        <v>808</v>
      </c>
      <c r="I144" t="s">
        <v>4385</v>
      </c>
    </row>
    <row r="145" spans="1:9">
      <c r="A145" t="s">
        <v>4249</v>
      </c>
      <c r="B145" t="s">
        <v>4387</v>
      </c>
      <c r="C145">
        <v>1</v>
      </c>
      <c r="D145" t="s">
        <v>4166</v>
      </c>
      <c r="E145">
        <v>0.5</v>
      </c>
      <c r="F145">
        <v>15.4</v>
      </c>
      <c r="H145" t="s">
        <v>815</v>
      </c>
      <c r="I145" t="s">
        <v>4388</v>
      </c>
    </row>
    <row r="146" spans="1:9">
      <c r="A146" t="s">
        <v>4249</v>
      </c>
      <c r="B146" t="s">
        <v>4389</v>
      </c>
      <c r="C146">
        <v>1</v>
      </c>
      <c r="D146" t="s">
        <v>4245</v>
      </c>
      <c r="E146">
        <v>0.08</v>
      </c>
      <c r="F146">
        <v>1.3</v>
      </c>
      <c r="H146" t="s">
        <v>815</v>
      </c>
      <c r="I146" t="s">
        <v>4390</v>
      </c>
    </row>
    <row r="147" spans="1:9">
      <c r="A147" t="s">
        <v>4249</v>
      </c>
      <c r="B147" t="s">
        <v>4391</v>
      </c>
      <c r="C147">
        <v>1</v>
      </c>
      <c r="D147" t="s">
        <v>4245</v>
      </c>
      <c r="E147">
        <v>0.1</v>
      </c>
      <c r="F147">
        <v>7.5</v>
      </c>
      <c r="H147" t="s">
        <v>815</v>
      </c>
      <c r="I147" t="s">
        <v>4390</v>
      </c>
    </row>
    <row r="148" spans="1:9">
      <c r="A148" t="s">
        <v>4249</v>
      </c>
      <c r="B148" t="s">
        <v>4392</v>
      </c>
      <c r="C148">
        <v>1</v>
      </c>
      <c r="D148" t="s">
        <v>4166</v>
      </c>
      <c r="E148">
        <v>0.75</v>
      </c>
      <c r="F148">
        <v>18</v>
      </c>
      <c r="H148" t="s">
        <v>815</v>
      </c>
      <c r="I148" t="s">
        <v>4390</v>
      </c>
    </row>
    <row r="149" spans="1:9">
      <c r="A149" t="s">
        <v>4393</v>
      </c>
      <c r="B149" t="s">
        <v>4394</v>
      </c>
      <c r="C149">
        <v>100</v>
      </c>
      <c r="D149" t="s">
        <v>4395</v>
      </c>
      <c r="E149" t="s">
        <v>4167</v>
      </c>
      <c r="F149">
        <v>5</v>
      </c>
      <c r="H149" t="s">
        <v>820</v>
      </c>
      <c r="I149" t="s">
        <v>4396</v>
      </c>
    </row>
    <row r="150" spans="1:9">
      <c r="A150" t="s">
        <v>4397</v>
      </c>
      <c r="B150" t="s">
        <v>4398</v>
      </c>
      <c r="C150">
        <v>1</v>
      </c>
      <c r="D150" t="s">
        <v>4166</v>
      </c>
      <c r="E150">
        <v>0.5</v>
      </c>
      <c r="F150">
        <v>32</v>
      </c>
      <c r="H150" t="s">
        <v>823</v>
      </c>
      <c r="I150" t="s">
        <v>4399</v>
      </c>
    </row>
    <row r="151" spans="1:9">
      <c r="A151" t="s">
        <v>4397</v>
      </c>
      <c r="B151" t="s">
        <v>4400</v>
      </c>
      <c r="C151">
        <v>1</v>
      </c>
      <c r="D151" t="s">
        <v>4166</v>
      </c>
      <c r="E151">
        <v>0.3</v>
      </c>
      <c r="F151">
        <v>20</v>
      </c>
      <c r="H151" t="s">
        <v>823</v>
      </c>
      <c r="I151" t="s">
        <v>4399</v>
      </c>
    </row>
    <row r="152" spans="1:9">
      <c r="A152" t="s">
        <v>4286</v>
      </c>
      <c r="B152" t="s">
        <v>4401</v>
      </c>
      <c r="C152">
        <v>1</v>
      </c>
      <c r="D152" t="s">
        <v>4308</v>
      </c>
      <c r="E152">
        <v>0.5</v>
      </c>
      <c r="F152">
        <v>0.25</v>
      </c>
      <c r="H152" t="s">
        <v>826</v>
      </c>
      <c r="I152" t="s">
        <v>4402</v>
      </c>
    </row>
    <row r="153" spans="1:9">
      <c r="A153" t="s">
        <v>4286</v>
      </c>
      <c r="B153" t="s">
        <v>4403</v>
      </c>
      <c r="C153">
        <v>1</v>
      </c>
      <c r="D153" t="s">
        <v>4308</v>
      </c>
      <c r="E153">
        <v>0.1</v>
      </c>
      <c r="F153">
        <v>100</v>
      </c>
      <c r="H153" t="s">
        <v>826</v>
      </c>
      <c r="I153" t="s">
        <v>4402</v>
      </c>
    </row>
    <row r="154" spans="1:9">
      <c r="A154" t="s">
        <v>4404</v>
      </c>
      <c r="B154" t="s">
        <v>4405</v>
      </c>
      <c r="C154">
        <v>1</v>
      </c>
      <c r="D154" t="s">
        <v>4242</v>
      </c>
      <c r="E154">
        <v>1</v>
      </c>
      <c r="F154">
        <v>3</v>
      </c>
      <c r="G154" t="s">
        <v>4406</v>
      </c>
      <c r="H154" t="s">
        <v>826</v>
      </c>
      <c r="I154" t="s">
        <v>4407</v>
      </c>
    </row>
    <row r="155" spans="1:9">
      <c r="A155" t="s">
        <v>4286</v>
      </c>
      <c r="B155" t="s">
        <v>4408</v>
      </c>
      <c r="C155">
        <v>1</v>
      </c>
      <c r="D155" t="s">
        <v>4308</v>
      </c>
      <c r="E155">
        <v>0.5</v>
      </c>
      <c r="F155">
        <v>0.08</v>
      </c>
      <c r="H155" t="s">
        <v>826</v>
      </c>
      <c r="I155" t="s">
        <v>4409</v>
      </c>
    </row>
    <row r="156" spans="1:9">
      <c r="A156" t="s">
        <v>4286</v>
      </c>
      <c r="B156" t="s">
        <v>4410</v>
      </c>
      <c r="C156">
        <v>1</v>
      </c>
      <c r="D156" t="s">
        <v>4308</v>
      </c>
      <c r="E156">
        <v>0.5</v>
      </c>
      <c r="F156">
        <v>0.02</v>
      </c>
      <c r="H156" t="s">
        <v>826</v>
      </c>
      <c r="I156" t="s">
        <v>4409</v>
      </c>
    </row>
    <row r="157" spans="1:9">
      <c r="A157" t="s">
        <v>4286</v>
      </c>
      <c r="B157" t="s">
        <v>4411</v>
      </c>
      <c r="C157">
        <v>1</v>
      </c>
      <c r="D157" t="s">
        <v>4308</v>
      </c>
      <c r="E157">
        <v>0.5</v>
      </c>
      <c r="F157">
        <v>2.5000000000000001E-2</v>
      </c>
      <c r="H157" t="s">
        <v>826</v>
      </c>
      <c r="I157" t="s">
        <v>4409</v>
      </c>
    </row>
    <row r="158" spans="1:9">
      <c r="A158" t="s">
        <v>4286</v>
      </c>
      <c r="B158" t="s">
        <v>4412</v>
      </c>
      <c r="C158">
        <v>1</v>
      </c>
      <c r="D158" t="s">
        <v>4308</v>
      </c>
      <c r="E158">
        <v>0.5</v>
      </c>
      <c r="F158">
        <v>0.03</v>
      </c>
      <c r="H158" t="s">
        <v>826</v>
      </c>
      <c r="I158" t="s">
        <v>4409</v>
      </c>
    </row>
    <row r="159" spans="1:9">
      <c r="A159" t="s">
        <v>4286</v>
      </c>
      <c r="B159" t="s">
        <v>4413</v>
      </c>
      <c r="C159">
        <v>1</v>
      </c>
      <c r="D159" t="s">
        <v>4308</v>
      </c>
      <c r="E159">
        <v>0.5</v>
      </c>
      <c r="F159">
        <v>0.04</v>
      </c>
      <c r="H159" t="s">
        <v>826</v>
      </c>
      <c r="I159" t="s">
        <v>4409</v>
      </c>
    </row>
    <row r="160" spans="1:9">
      <c r="A160" t="s">
        <v>4286</v>
      </c>
      <c r="B160" t="s">
        <v>4414</v>
      </c>
      <c r="C160">
        <v>1</v>
      </c>
      <c r="D160" t="s">
        <v>4308</v>
      </c>
      <c r="E160">
        <v>0.5</v>
      </c>
      <c r="F160">
        <v>0.05</v>
      </c>
      <c r="H160" t="s">
        <v>826</v>
      </c>
      <c r="I160" t="s">
        <v>4409</v>
      </c>
    </row>
    <row r="161" spans="1:9">
      <c r="A161" t="s">
        <v>4286</v>
      </c>
      <c r="B161" t="s">
        <v>4415</v>
      </c>
      <c r="C161">
        <v>1</v>
      </c>
      <c r="D161" t="s">
        <v>4308</v>
      </c>
      <c r="E161">
        <v>3</v>
      </c>
      <c r="F161">
        <v>40</v>
      </c>
      <c r="H161" t="s">
        <v>826</v>
      </c>
      <c r="I161" t="s">
        <v>4409</v>
      </c>
    </row>
    <row r="162" spans="1:9">
      <c r="A162" t="s">
        <v>4259</v>
      </c>
      <c r="B162" t="s">
        <v>4416</v>
      </c>
      <c r="C162">
        <v>1</v>
      </c>
      <c r="D162" t="s">
        <v>4166</v>
      </c>
      <c r="E162">
        <v>0.25</v>
      </c>
      <c r="F162">
        <v>0.5</v>
      </c>
      <c r="H162" t="s">
        <v>826</v>
      </c>
      <c r="I162" t="s">
        <v>4417</v>
      </c>
    </row>
    <row r="163" spans="1:9">
      <c r="A163" t="s">
        <v>4235</v>
      </c>
      <c r="B163" t="s">
        <v>4418</v>
      </c>
      <c r="C163">
        <v>1</v>
      </c>
      <c r="D163" t="s">
        <v>4251</v>
      </c>
      <c r="E163">
        <v>0.2</v>
      </c>
      <c r="F163">
        <v>66</v>
      </c>
      <c r="H163" t="s">
        <v>826</v>
      </c>
      <c r="I163" t="s">
        <v>4419</v>
      </c>
    </row>
    <row r="164" spans="1:9">
      <c r="A164" t="s">
        <v>4393</v>
      </c>
      <c r="B164" t="s">
        <v>4420</v>
      </c>
      <c r="C164">
        <v>100</v>
      </c>
      <c r="D164" t="s">
        <v>4395</v>
      </c>
      <c r="E164" t="s">
        <v>4167</v>
      </c>
      <c r="F164">
        <v>1</v>
      </c>
      <c r="H164" t="s">
        <v>837</v>
      </c>
      <c r="I164" t="s">
        <v>4421</v>
      </c>
    </row>
    <row r="165" spans="1:9">
      <c r="A165" t="s">
        <v>4422</v>
      </c>
      <c r="B165" t="s">
        <v>4423</v>
      </c>
      <c r="C165">
        <v>1</v>
      </c>
      <c r="D165" t="s">
        <v>4166</v>
      </c>
      <c r="E165">
        <v>0.02</v>
      </c>
      <c r="F165">
        <v>0.02</v>
      </c>
      <c r="H165" t="s">
        <v>837</v>
      </c>
      <c r="I165" t="s">
        <v>4422</v>
      </c>
    </row>
    <row r="166" spans="1:9">
      <c r="A166" t="s">
        <v>4422</v>
      </c>
      <c r="B166" t="s">
        <v>4424</v>
      </c>
      <c r="C166">
        <v>1</v>
      </c>
      <c r="D166" t="s">
        <v>4166</v>
      </c>
      <c r="E166">
        <v>1</v>
      </c>
      <c r="F166">
        <v>1</v>
      </c>
      <c r="H166" t="s">
        <v>837</v>
      </c>
      <c r="I166" t="s">
        <v>4422</v>
      </c>
    </row>
    <row r="167" spans="1:9">
      <c r="A167" t="s">
        <v>4422</v>
      </c>
      <c r="B167" t="s">
        <v>4425</v>
      </c>
      <c r="C167">
        <v>1</v>
      </c>
      <c r="D167" t="s">
        <v>4395</v>
      </c>
      <c r="E167" t="s">
        <v>4167</v>
      </c>
      <c r="F167">
        <v>0.2</v>
      </c>
      <c r="H167" t="s">
        <v>837</v>
      </c>
      <c r="I167" t="s">
        <v>4422</v>
      </c>
    </row>
    <row r="168" spans="1:9">
      <c r="A168" t="s">
        <v>4393</v>
      </c>
      <c r="B168" t="s">
        <v>4426</v>
      </c>
      <c r="C168">
        <v>100</v>
      </c>
      <c r="D168" t="s">
        <v>4395</v>
      </c>
      <c r="E168" t="s">
        <v>4167</v>
      </c>
      <c r="F168">
        <v>4</v>
      </c>
      <c r="H168" t="s">
        <v>837</v>
      </c>
      <c r="I168" t="s">
        <v>4427</v>
      </c>
    </row>
    <row r="169" spans="1:9">
      <c r="A169" t="s">
        <v>4393</v>
      </c>
      <c r="B169" t="s">
        <v>4428</v>
      </c>
      <c r="C169">
        <v>100</v>
      </c>
      <c r="D169" t="s">
        <v>4395</v>
      </c>
      <c r="E169" t="s">
        <v>4167</v>
      </c>
      <c r="F169">
        <v>12</v>
      </c>
      <c r="H169" t="s">
        <v>844</v>
      </c>
      <c r="I169" t="s">
        <v>4429</v>
      </c>
    </row>
    <row r="170" spans="1:9">
      <c r="A170" t="s">
        <v>4393</v>
      </c>
      <c r="B170" t="s">
        <v>4430</v>
      </c>
      <c r="C170">
        <v>100</v>
      </c>
      <c r="D170" t="s">
        <v>4395</v>
      </c>
      <c r="E170" t="s">
        <v>4167</v>
      </c>
      <c r="F170">
        <v>1</v>
      </c>
      <c r="H170" t="s">
        <v>844</v>
      </c>
      <c r="I170" t="s">
        <v>4429</v>
      </c>
    </row>
    <row r="171" spans="1:9">
      <c r="A171" t="s">
        <v>4393</v>
      </c>
      <c r="B171" t="s">
        <v>4431</v>
      </c>
      <c r="C171">
        <v>100</v>
      </c>
      <c r="D171" t="s">
        <v>4395</v>
      </c>
      <c r="E171" t="s">
        <v>4167</v>
      </c>
      <c r="F171">
        <v>3</v>
      </c>
      <c r="H171" t="s">
        <v>844</v>
      </c>
      <c r="I171" t="s">
        <v>4429</v>
      </c>
    </row>
    <row r="172" spans="1:9">
      <c r="A172" t="s">
        <v>4393</v>
      </c>
      <c r="B172" t="s">
        <v>4432</v>
      </c>
      <c r="C172">
        <v>100</v>
      </c>
      <c r="D172" t="s">
        <v>4395</v>
      </c>
      <c r="E172" t="s">
        <v>4167</v>
      </c>
      <c r="F172">
        <v>2</v>
      </c>
      <c r="H172" t="s">
        <v>844</v>
      </c>
      <c r="I172" t="s">
        <v>4433</v>
      </c>
    </row>
    <row r="173" spans="1:9">
      <c r="A173" t="s">
        <v>4393</v>
      </c>
      <c r="B173" t="s">
        <v>4434</v>
      </c>
      <c r="C173">
        <v>100</v>
      </c>
      <c r="D173" t="s">
        <v>4395</v>
      </c>
      <c r="E173" t="s">
        <v>4167</v>
      </c>
      <c r="F173">
        <v>35</v>
      </c>
      <c r="H173" t="s">
        <v>844</v>
      </c>
      <c r="I173" t="s">
        <v>4435</v>
      </c>
    </row>
    <row r="174" spans="1:9">
      <c r="A174" t="s">
        <v>4393</v>
      </c>
      <c r="B174" t="s">
        <v>4436</v>
      </c>
      <c r="C174">
        <v>1</v>
      </c>
      <c r="D174" t="s">
        <v>4437</v>
      </c>
      <c r="E174" t="s">
        <v>4167</v>
      </c>
      <c r="F174">
        <v>1.4999999999999999E-2</v>
      </c>
      <c r="H174" t="s">
        <v>844</v>
      </c>
      <c r="I174" t="s">
        <v>4438</v>
      </c>
    </row>
    <row r="175" spans="1:9">
      <c r="A175" t="s">
        <v>4393</v>
      </c>
      <c r="B175" t="s">
        <v>4439</v>
      </c>
      <c r="C175">
        <v>100</v>
      </c>
      <c r="D175" t="s">
        <v>4395</v>
      </c>
      <c r="E175" t="s">
        <v>4167</v>
      </c>
      <c r="F175">
        <v>15</v>
      </c>
      <c r="H175" t="s">
        <v>844</v>
      </c>
      <c r="I175" t="s">
        <v>4438</v>
      </c>
    </row>
    <row r="176" spans="1:9">
      <c r="A176" t="s">
        <v>4440</v>
      </c>
      <c r="B176" t="s">
        <v>4441</v>
      </c>
      <c r="C176">
        <v>1</v>
      </c>
      <c r="D176" t="s">
        <v>4310</v>
      </c>
      <c r="E176" t="s">
        <v>4167</v>
      </c>
      <c r="F176">
        <v>0.4</v>
      </c>
      <c r="H176" t="s">
        <v>844</v>
      </c>
      <c r="I176" t="s">
        <v>4442</v>
      </c>
    </row>
    <row r="177" spans="1:9">
      <c r="A177" t="s">
        <v>4440</v>
      </c>
      <c r="B177" t="s">
        <v>4443</v>
      </c>
      <c r="C177">
        <v>1</v>
      </c>
      <c r="D177" t="s">
        <v>4310</v>
      </c>
      <c r="E177" t="s">
        <v>4167</v>
      </c>
      <c r="F177">
        <v>0.05</v>
      </c>
      <c r="H177" t="s">
        <v>844</v>
      </c>
      <c r="I177" t="s">
        <v>4442</v>
      </c>
    </row>
    <row r="178" spans="1:9">
      <c r="A178" t="s">
        <v>4440</v>
      </c>
      <c r="B178" t="s">
        <v>4444</v>
      </c>
      <c r="C178">
        <v>1</v>
      </c>
      <c r="D178" t="s">
        <v>4166</v>
      </c>
      <c r="E178" t="s">
        <v>4167</v>
      </c>
      <c r="F178">
        <v>0.25</v>
      </c>
      <c r="H178" t="s">
        <v>844</v>
      </c>
      <c r="I178" t="s">
        <v>4442</v>
      </c>
    </row>
    <row r="179" spans="1:9">
      <c r="A179" t="s">
        <v>4440</v>
      </c>
      <c r="B179" t="s">
        <v>4445</v>
      </c>
      <c r="C179">
        <v>10</v>
      </c>
      <c r="D179" t="s">
        <v>4446</v>
      </c>
      <c r="E179" t="s">
        <v>4167</v>
      </c>
      <c r="F179" t="s">
        <v>4168</v>
      </c>
      <c r="H179" t="s">
        <v>844</v>
      </c>
      <c r="I179" t="s">
        <v>4442</v>
      </c>
    </row>
    <row r="180" spans="1:9">
      <c r="A180" t="s">
        <v>4264</v>
      </c>
      <c r="B180" t="s">
        <v>4447</v>
      </c>
      <c r="C180">
        <v>1</v>
      </c>
      <c r="D180" t="s">
        <v>4166</v>
      </c>
      <c r="E180">
        <v>0.25</v>
      </c>
      <c r="F180">
        <v>15</v>
      </c>
      <c r="H180" t="s">
        <v>855</v>
      </c>
      <c r="I180" t="s">
        <v>4448</v>
      </c>
    </row>
    <row r="181" spans="1:9">
      <c r="A181" t="s">
        <v>4449</v>
      </c>
      <c r="B181" t="s">
        <v>4450</v>
      </c>
      <c r="C181">
        <v>1</v>
      </c>
      <c r="D181" t="s">
        <v>4166</v>
      </c>
      <c r="E181">
        <v>0.1</v>
      </c>
      <c r="F181">
        <v>1.2</v>
      </c>
      <c r="H181" t="s">
        <v>855</v>
      </c>
      <c r="I181" t="s">
        <v>4451</v>
      </c>
    </row>
    <row r="182" spans="1:9">
      <c r="A182" t="s">
        <v>4449</v>
      </c>
      <c r="B182" t="s">
        <v>4452</v>
      </c>
      <c r="C182">
        <v>1</v>
      </c>
      <c r="D182" t="s">
        <v>4166</v>
      </c>
      <c r="E182">
        <v>0.25</v>
      </c>
      <c r="F182">
        <v>2.42</v>
      </c>
      <c r="H182" t="s">
        <v>855</v>
      </c>
      <c r="I182" t="s">
        <v>4451</v>
      </c>
    </row>
    <row r="183" spans="1:9">
      <c r="A183" t="s">
        <v>4449</v>
      </c>
      <c r="B183" t="s">
        <v>4453</v>
      </c>
      <c r="C183">
        <v>1</v>
      </c>
      <c r="D183" t="s">
        <v>4166</v>
      </c>
      <c r="E183">
        <v>0.1</v>
      </c>
      <c r="F183">
        <v>1.2</v>
      </c>
      <c r="H183" t="s">
        <v>855</v>
      </c>
      <c r="I183" t="s">
        <v>4451</v>
      </c>
    </row>
    <row r="184" spans="1:9">
      <c r="A184" t="s">
        <v>4449</v>
      </c>
      <c r="B184" t="s">
        <v>4454</v>
      </c>
      <c r="C184">
        <v>1</v>
      </c>
      <c r="D184" t="s">
        <v>4166</v>
      </c>
      <c r="E184">
        <v>0.5</v>
      </c>
      <c r="F184">
        <v>4.4000000000000004</v>
      </c>
      <c r="H184" t="s">
        <v>855</v>
      </c>
      <c r="I184" t="s">
        <v>4451</v>
      </c>
    </row>
    <row r="185" spans="1:9">
      <c r="A185" t="s">
        <v>4455</v>
      </c>
      <c r="B185" t="s">
        <v>4456</v>
      </c>
      <c r="C185">
        <v>1</v>
      </c>
      <c r="D185" t="s">
        <v>4166</v>
      </c>
      <c r="E185">
        <v>1</v>
      </c>
      <c r="F185">
        <v>93</v>
      </c>
      <c r="H185" t="s">
        <v>855</v>
      </c>
      <c r="I185" t="s">
        <v>4451</v>
      </c>
    </row>
    <row r="186" spans="1:9">
      <c r="A186" t="s">
        <v>4449</v>
      </c>
      <c r="B186" t="s">
        <v>4457</v>
      </c>
      <c r="C186">
        <v>1</v>
      </c>
      <c r="D186" t="s">
        <v>4166</v>
      </c>
      <c r="E186">
        <v>0.1</v>
      </c>
      <c r="F186">
        <v>17.600000000000001</v>
      </c>
      <c r="H186" t="s">
        <v>855</v>
      </c>
      <c r="I186" t="s">
        <v>4458</v>
      </c>
    </row>
    <row r="187" spans="1:9">
      <c r="A187" t="s">
        <v>4243</v>
      </c>
      <c r="B187" t="s">
        <v>4459</v>
      </c>
      <c r="C187">
        <v>1</v>
      </c>
      <c r="D187" t="s">
        <v>4166</v>
      </c>
      <c r="E187">
        <v>0.1</v>
      </c>
      <c r="F187">
        <v>11</v>
      </c>
      <c r="H187" t="s">
        <v>855</v>
      </c>
      <c r="I187" t="s">
        <v>4460</v>
      </c>
    </row>
    <row r="188" spans="1:9">
      <c r="A188" t="s">
        <v>4461</v>
      </c>
      <c r="B188" t="s">
        <v>4459</v>
      </c>
      <c r="C188">
        <v>1</v>
      </c>
      <c r="D188" t="s">
        <v>4166</v>
      </c>
      <c r="E188">
        <v>0.1</v>
      </c>
      <c r="F188">
        <v>11</v>
      </c>
      <c r="H188" t="s">
        <v>855</v>
      </c>
      <c r="I188" t="s">
        <v>4460</v>
      </c>
    </row>
    <row r="189" spans="1:9">
      <c r="A189" t="s">
        <v>4461</v>
      </c>
      <c r="B189" t="s">
        <v>4462</v>
      </c>
      <c r="C189">
        <v>1</v>
      </c>
      <c r="D189" t="s">
        <v>4166</v>
      </c>
      <c r="E189">
        <v>0.08</v>
      </c>
      <c r="F189">
        <v>90</v>
      </c>
      <c r="H189" t="s">
        <v>855</v>
      </c>
      <c r="I189" t="s">
        <v>4460</v>
      </c>
    </row>
    <row r="190" spans="1:9">
      <c r="A190" t="s">
        <v>4461</v>
      </c>
      <c r="B190" t="s">
        <v>4463</v>
      </c>
      <c r="C190">
        <v>1</v>
      </c>
      <c r="D190" t="s">
        <v>4166</v>
      </c>
      <c r="E190">
        <v>0.08</v>
      </c>
      <c r="F190">
        <v>155</v>
      </c>
      <c r="H190" t="s">
        <v>855</v>
      </c>
      <c r="I190" t="s">
        <v>4460</v>
      </c>
    </row>
    <row r="191" spans="1:9">
      <c r="A191" t="s">
        <v>4461</v>
      </c>
      <c r="B191" t="s">
        <v>4464</v>
      </c>
      <c r="C191">
        <v>1</v>
      </c>
      <c r="D191" t="s">
        <v>4166</v>
      </c>
      <c r="E191">
        <v>0.08</v>
      </c>
      <c r="F191">
        <v>140</v>
      </c>
      <c r="H191" t="s">
        <v>855</v>
      </c>
      <c r="I191" t="s">
        <v>4460</v>
      </c>
    </row>
    <row r="192" spans="1:9">
      <c r="A192" t="s">
        <v>4461</v>
      </c>
      <c r="B192" t="s">
        <v>4465</v>
      </c>
      <c r="C192">
        <v>1</v>
      </c>
      <c r="D192" t="s">
        <v>4166</v>
      </c>
      <c r="E192">
        <v>1.25</v>
      </c>
      <c r="F192">
        <v>360</v>
      </c>
      <c r="H192" t="s">
        <v>855</v>
      </c>
      <c r="I192" t="s">
        <v>4460</v>
      </c>
    </row>
    <row r="193" spans="1:9">
      <c r="A193" t="s">
        <v>4461</v>
      </c>
      <c r="B193" t="s">
        <v>4466</v>
      </c>
      <c r="C193">
        <v>1</v>
      </c>
      <c r="D193" t="s">
        <v>4166</v>
      </c>
      <c r="E193">
        <v>4</v>
      </c>
      <c r="F193">
        <v>1500</v>
      </c>
      <c r="H193" t="s">
        <v>855</v>
      </c>
      <c r="I193" t="s">
        <v>4460</v>
      </c>
    </row>
    <row r="194" spans="1:9">
      <c r="A194" t="s">
        <v>4461</v>
      </c>
      <c r="B194" t="s">
        <v>4467</v>
      </c>
      <c r="C194">
        <v>1</v>
      </c>
      <c r="D194" t="s">
        <v>4166</v>
      </c>
      <c r="E194">
        <v>0.5</v>
      </c>
      <c r="F194">
        <v>175</v>
      </c>
      <c r="H194" t="s">
        <v>855</v>
      </c>
      <c r="I194" t="s">
        <v>4460</v>
      </c>
    </row>
    <row r="195" spans="1:9">
      <c r="A195" t="s">
        <v>4461</v>
      </c>
      <c r="B195" t="s">
        <v>4468</v>
      </c>
      <c r="C195">
        <v>1</v>
      </c>
      <c r="D195" t="s">
        <v>4166</v>
      </c>
      <c r="E195">
        <v>0.13</v>
      </c>
      <c r="F195">
        <v>176</v>
      </c>
      <c r="H195" t="s">
        <v>855</v>
      </c>
      <c r="I195" t="s">
        <v>4460</v>
      </c>
    </row>
    <row r="196" spans="1:9">
      <c r="A196" t="s">
        <v>4461</v>
      </c>
      <c r="B196" t="s">
        <v>4469</v>
      </c>
      <c r="C196">
        <v>1</v>
      </c>
      <c r="D196" t="s">
        <v>4166</v>
      </c>
      <c r="E196">
        <v>0.05</v>
      </c>
      <c r="F196">
        <v>51</v>
      </c>
      <c r="H196" t="s">
        <v>855</v>
      </c>
      <c r="I196" t="s">
        <v>4460</v>
      </c>
    </row>
    <row r="197" spans="1:9">
      <c r="A197" t="s">
        <v>4264</v>
      </c>
      <c r="B197" t="s">
        <v>4470</v>
      </c>
      <c r="C197">
        <v>1</v>
      </c>
      <c r="D197" t="s">
        <v>4166</v>
      </c>
      <c r="E197">
        <v>0.75</v>
      </c>
      <c r="F197">
        <v>32</v>
      </c>
      <c r="H197" t="s">
        <v>855</v>
      </c>
      <c r="I197" t="s">
        <v>4460</v>
      </c>
    </row>
    <row r="198" spans="1:9">
      <c r="A198" t="s">
        <v>4471</v>
      </c>
      <c r="B198" t="s">
        <v>4472</v>
      </c>
      <c r="C198">
        <v>1</v>
      </c>
      <c r="D198" t="s">
        <v>4166</v>
      </c>
      <c r="E198">
        <v>9</v>
      </c>
      <c r="F198">
        <v>45</v>
      </c>
      <c r="H198" t="s">
        <v>855</v>
      </c>
      <c r="I198" t="s">
        <v>4473</v>
      </c>
    </row>
    <row r="199" spans="1:9">
      <c r="A199" t="s">
        <v>4461</v>
      </c>
      <c r="B199" t="s">
        <v>4474</v>
      </c>
      <c r="C199">
        <v>1</v>
      </c>
      <c r="D199" t="s">
        <v>4166</v>
      </c>
      <c r="E199">
        <v>5</v>
      </c>
      <c r="F199">
        <v>792</v>
      </c>
      <c r="H199" t="s">
        <v>855</v>
      </c>
      <c r="I199" t="s">
        <v>4473</v>
      </c>
    </row>
    <row r="200" spans="1:9">
      <c r="A200" t="s">
        <v>4461</v>
      </c>
      <c r="B200" t="s">
        <v>4475</v>
      </c>
      <c r="C200">
        <v>1</v>
      </c>
      <c r="D200" t="s">
        <v>4166</v>
      </c>
      <c r="E200">
        <v>0.38</v>
      </c>
      <c r="F200">
        <v>36</v>
      </c>
      <c r="H200" t="s">
        <v>855</v>
      </c>
      <c r="I200" t="s">
        <v>4473</v>
      </c>
    </row>
    <row r="201" spans="1:9">
      <c r="A201" t="s">
        <v>4264</v>
      </c>
      <c r="B201" t="s">
        <v>4476</v>
      </c>
      <c r="C201">
        <v>1</v>
      </c>
      <c r="D201" t="s">
        <v>4166</v>
      </c>
      <c r="E201">
        <v>0.3</v>
      </c>
      <c r="F201">
        <v>300</v>
      </c>
      <c r="H201" t="s">
        <v>855</v>
      </c>
      <c r="I201" t="s">
        <v>4473</v>
      </c>
    </row>
    <row r="202" spans="1:9">
      <c r="A202" t="s">
        <v>4264</v>
      </c>
      <c r="B202" t="s">
        <v>4477</v>
      </c>
      <c r="C202">
        <v>1</v>
      </c>
      <c r="D202" t="s">
        <v>4166</v>
      </c>
      <c r="E202">
        <v>2</v>
      </c>
      <c r="F202">
        <v>528</v>
      </c>
      <c r="H202" t="s">
        <v>855</v>
      </c>
      <c r="I202" t="s">
        <v>4473</v>
      </c>
    </row>
    <row r="203" spans="1:9">
      <c r="A203" t="s">
        <v>4478</v>
      </c>
      <c r="B203" t="s">
        <v>4479</v>
      </c>
      <c r="C203">
        <v>1</v>
      </c>
      <c r="D203" t="s">
        <v>4166</v>
      </c>
      <c r="E203">
        <v>0.02</v>
      </c>
      <c r="F203">
        <v>2.2000000000000002</v>
      </c>
      <c r="G203" t="s">
        <v>4480</v>
      </c>
      <c r="H203" t="s">
        <v>866</v>
      </c>
      <c r="I203" t="s">
        <v>4481</v>
      </c>
    </row>
    <row r="204" spans="1:9">
      <c r="A204" t="s">
        <v>4478</v>
      </c>
      <c r="B204" t="s">
        <v>4482</v>
      </c>
      <c r="C204">
        <v>1</v>
      </c>
      <c r="D204" t="s">
        <v>4166</v>
      </c>
      <c r="E204">
        <v>0.25</v>
      </c>
      <c r="F204">
        <v>1.8</v>
      </c>
      <c r="G204" t="s">
        <v>4480</v>
      </c>
      <c r="H204" t="s">
        <v>866</v>
      </c>
      <c r="I204" t="s">
        <v>4481</v>
      </c>
    </row>
    <row r="205" spans="1:9">
      <c r="A205" t="s">
        <v>4449</v>
      </c>
      <c r="B205" t="s">
        <v>4483</v>
      </c>
      <c r="C205">
        <v>1</v>
      </c>
      <c r="D205" t="s">
        <v>4357</v>
      </c>
      <c r="E205">
        <v>0.5</v>
      </c>
      <c r="F205">
        <v>1100</v>
      </c>
      <c r="H205" t="s">
        <v>866</v>
      </c>
      <c r="I205" t="s">
        <v>866</v>
      </c>
    </row>
    <row r="206" spans="1:9">
      <c r="A206" t="s">
        <v>4449</v>
      </c>
      <c r="B206" t="s">
        <v>4484</v>
      </c>
      <c r="C206">
        <v>1</v>
      </c>
      <c r="D206" t="s">
        <v>4166</v>
      </c>
      <c r="E206">
        <v>0.5</v>
      </c>
      <c r="F206">
        <v>1100</v>
      </c>
      <c r="H206" t="s">
        <v>866</v>
      </c>
      <c r="I206" t="s">
        <v>866</v>
      </c>
    </row>
    <row r="207" spans="1:9">
      <c r="A207" t="s">
        <v>4471</v>
      </c>
      <c r="B207" t="s">
        <v>4485</v>
      </c>
      <c r="C207">
        <v>1</v>
      </c>
      <c r="D207" t="s">
        <v>4166</v>
      </c>
      <c r="E207">
        <v>10</v>
      </c>
      <c r="F207">
        <v>2200</v>
      </c>
      <c r="H207" t="s">
        <v>866</v>
      </c>
      <c r="I207" t="s">
        <v>866</v>
      </c>
    </row>
    <row r="208" spans="1:9">
      <c r="A208" t="s">
        <v>4471</v>
      </c>
      <c r="B208" t="s">
        <v>4486</v>
      </c>
      <c r="C208">
        <v>1</v>
      </c>
      <c r="D208" t="s">
        <v>4166</v>
      </c>
      <c r="E208">
        <v>1.25</v>
      </c>
      <c r="F208">
        <v>270</v>
      </c>
      <c r="H208" t="s">
        <v>866</v>
      </c>
      <c r="I208" t="s">
        <v>866</v>
      </c>
    </row>
    <row r="209" spans="1:9">
      <c r="A209" t="s">
        <v>4478</v>
      </c>
      <c r="B209" t="s">
        <v>4487</v>
      </c>
      <c r="C209">
        <v>1</v>
      </c>
      <c r="D209" t="s">
        <v>4166</v>
      </c>
      <c r="E209">
        <v>0.1</v>
      </c>
      <c r="F209">
        <v>100</v>
      </c>
      <c r="G209" t="s">
        <v>4480</v>
      </c>
      <c r="H209" t="s">
        <v>866</v>
      </c>
      <c r="I209" t="s">
        <v>866</v>
      </c>
    </row>
    <row r="210" spans="1:9">
      <c r="A210" t="s">
        <v>4478</v>
      </c>
      <c r="B210" t="s">
        <v>4488</v>
      </c>
      <c r="C210">
        <v>1</v>
      </c>
      <c r="D210" t="s">
        <v>4166</v>
      </c>
      <c r="E210">
        <v>0.37</v>
      </c>
      <c r="F210">
        <v>875</v>
      </c>
      <c r="G210" t="s">
        <v>4480</v>
      </c>
      <c r="H210" t="s">
        <v>866</v>
      </c>
      <c r="I210" t="s">
        <v>866</v>
      </c>
    </row>
    <row r="211" spans="1:9">
      <c r="A211" t="s">
        <v>4478</v>
      </c>
      <c r="B211" t="s">
        <v>4489</v>
      </c>
      <c r="C211">
        <v>1</v>
      </c>
      <c r="D211" t="s">
        <v>4166</v>
      </c>
      <c r="E211">
        <v>0.1</v>
      </c>
      <c r="F211">
        <v>88</v>
      </c>
      <c r="G211" t="s">
        <v>4480</v>
      </c>
      <c r="H211" t="s">
        <v>866</v>
      </c>
      <c r="I211" t="s">
        <v>866</v>
      </c>
    </row>
    <row r="212" spans="1:9">
      <c r="A212" t="s">
        <v>4478</v>
      </c>
      <c r="B212" t="s">
        <v>4490</v>
      </c>
      <c r="C212">
        <v>1</v>
      </c>
      <c r="D212" t="s">
        <v>4166</v>
      </c>
      <c r="E212">
        <v>0.1</v>
      </c>
      <c r="F212">
        <v>88</v>
      </c>
      <c r="G212" t="s">
        <v>4480</v>
      </c>
      <c r="H212" t="s">
        <v>866</v>
      </c>
      <c r="I212" t="s">
        <v>866</v>
      </c>
    </row>
    <row r="213" spans="1:9">
      <c r="A213" t="s">
        <v>4478</v>
      </c>
      <c r="B213" t="s">
        <v>4491</v>
      </c>
      <c r="C213">
        <v>1</v>
      </c>
      <c r="D213" t="s">
        <v>4166</v>
      </c>
      <c r="E213">
        <v>0.1</v>
      </c>
      <c r="F213">
        <v>88</v>
      </c>
      <c r="G213" t="s">
        <v>4480</v>
      </c>
      <c r="H213" t="s">
        <v>866</v>
      </c>
      <c r="I213" t="s">
        <v>866</v>
      </c>
    </row>
    <row r="214" spans="1:9">
      <c r="A214" t="s">
        <v>4478</v>
      </c>
      <c r="B214" t="s">
        <v>4492</v>
      </c>
      <c r="C214">
        <v>1</v>
      </c>
      <c r="D214" t="s">
        <v>4166</v>
      </c>
      <c r="E214">
        <v>0.1</v>
      </c>
      <c r="F214">
        <v>100</v>
      </c>
      <c r="G214" t="s">
        <v>4480</v>
      </c>
      <c r="H214" t="s">
        <v>866</v>
      </c>
      <c r="I214" t="s">
        <v>866</v>
      </c>
    </row>
    <row r="215" spans="1:9">
      <c r="A215" t="s">
        <v>4478</v>
      </c>
      <c r="B215" t="s">
        <v>4493</v>
      </c>
      <c r="C215">
        <v>1</v>
      </c>
      <c r="D215" t="s">
        <v>4166</v>
      </c>
      <c r="E215">
        <v>0.3</v>
      </c>
      <c r="F215">
        <v>260</v>
      </c>
      <c r="G215" t="s">
        <v>4480</v>
      </c>
      <c r="H215" t="s">
        <v>866</v>
      </c>
      <c r="I215" t="s">
        <v>866</v>
      </c>
    </row>
    <row r="216" spans="1:9">
      <c r="A216" t="s">
        <v>4449</v>
      </c>
      <c r="B216" t="s">
        <v>4494</v>
      </c>
      <c r="C216">
        <v>1</v>
      </c>
      <c r="D216" t="s">
        <v>4166</v>
      </c>
      <c r="E216">
        <v>2</v>
      </c>
      <c r="F216">
        <v>66</v>
      </c>
      <c r="H216" t="s">
        <v>866</v>
      </c>
      <c r="I216" t="s">
        <v>4495</v>
      </c>
    </row>
    <row r="217" spans="1:9">
      <c r="A217" t="s">
        <v>4461</v>
      </c>
      <c r="B217" t="s">
        <v>4496</v>
      </c>
      <c r="C217">
        <v>1</v>
      </c>
      <c r="D217" t="s">
        <v>4166</v>
      </c>
      <c r="E217">
        <v>0.5</v>
      </c>
      <c r="F217">
        <v>5.3</v>
      </c>
      <c r="H217" t="s">
        <v>866</v>
      </c>
      <c r="I217" t="s">
        <v>4495</v>
      </c>
    </row>
    <row r="218" spans="1:9">
      <c r="A218" t="s">
        <v>4449</v>
      </c>
      <c r="B218" t="s">
        <v>4497</v>
      </c>
      <c r="C218">
        <v>1</v>
      </c>
      <c r="D218" t="s">
        <v>4357</v>
      </c>
      <c r="E218">
        <v>0.3</v>
      </c>
      <c r="F218">
        <v>44</v>
      </c>
      <c r="H218" t="s">
        <v>866</v>
      </c>
      <c r="I218" t="s">
        <v>4498</v>
      </c>
    </row>
    <row r="219" spans="1:9">
      <c r="A219" t="s">
        <v>4449</v>
      </c>
      <c r="B219" t="s">
        <v>4499</v>
      </c>
      <c r="C219">
        <v>1</v>
      </c>
      <c r="D219" t="s">
        <v>4166</v>
      </c>
      <c r="E219">
        <v>0.25</v>
      </c>
      <c r="F219">
        <v>44</v>
      </c>
      <c r="H219" t="s">
        <v>866</v>
      </c>
      <c r="I219" t="s">
        <v>4498</v>
      </c>
    </row>
    <row r="220" spans="1:9">
      <c r="A220" t="s">
        <v>4449</v>
      </c>
      <c r="B220" t="s">
        <v>4500</v>
      </c>
      <c r="C220">
        <v>1</v>
      </c>
      <c r="D220" t="s">
        <v>4166</v>
      </c>
      <c r="E220">
        <v>0.25</v>
      </c>
      <c r="F220">
        <v>5.28</v>
      </c>
      <c r="H220" t="s">
        <v>866</v>
      </c>
      <c r="I220" t="s">
        <v>4498</v>
      </c>
    </row>
    <row r="221" spans="1:9">
      <c r="A221" t="s">
        <v>4455</v>
      </c>
      <c r="B221" t="s">
        <v>4501</v>
      </c>
      <c r="C221">
        <v>1</v>
      </c>
      <c r="D221" t="s">
        <v>4166</v>
      </c>
      <c r="E221">
        <v>0.05</v>
      </c>
      <c r="F221">
        <v>1.3</v>
      </c>
      <c r="H221" t="s">
        <v>866</v>
      </c>
      <c r="I221" t="s">
        <v>4498</v>
      </c>
    </row>
    <row r="222" spans="1:9">
      <c r="A222" t="s">
        <v>4262</v>
      </c>
      <c r="B222" t="s">
        <v>4502</v>
      </c>
      <c r="C222">
        <v>1</v>
      </c>
      <c r="D222" t="s">
        <v>4503</v>
      </c>
      <c r="E222">
        <v>0.38</v>
      </c>
      <c r="F222">
        <v>88</v>
      </c>
      <c r="H222" t="s">
        <v>866</v>
      </c>
      <c r="I222" t="s">
        <v>4498</v>
      </c>
    </row>
    <row r="223" spans="1:9">
      <c r="A223" t="s">
        <v>4478</v>
      </c>
      <c r="B223" t="s">
        <v>4504</v>
      </c>
      <c r="C223">
        <v>1</v>
      </c>
      <c r="D223" t="s">
        <v>4166</v>
      </c>
      <c r="E223">
        <v>0.05</v>
      </c>
      <c r="F223">
        <v>10</v>
      </c>
      <c r="G223" t="s">
        <v>4480</v>
      </c>
      <c r="H223" t="s">
        <v>866</v>
      </c>
      <c r="I223" t="s">
        <v>4498</v>
      </c>
    </row>
    <row r="224" spans="1:9">
      <c r="A224" t="s">
        <v>4478</v>
      </c>
      <c r="B224" t="s">
        <v>4505</v>
      </c>
      <c r="C224">
        <v>1</v>
      </c>
      <c r="D224" t="s">
        <v>4166</v>
      </c>
      <c r="E224">
        <v>0.25</v>
      </c>
      <c r="F224">
        <v>88</v>
      </c>
      <c r="G224" t="s">
        <v>4480</v>
      </c>
      <c r="H224" t="s">
        <v>866</v>
      </c>
      <c r="I224" t="s">
        <v>4498</v>
      </c>
    </row>
    <row r="225" spans="1:9">
      <c r="A225" t="s">
        <v>4478</v>
      </c>
      <c r="B225" t="s">
        <v>4506</v>
      </c>
      <c r="C225">
        <v>1</v>
      </c>
      <c r="D225" t="s">
        <v>4166</v>
      </c>
      <c r="E225">
        <v>0.1</v>
      </c>
      <c r="F225">
        <v>8.8000000000000007</v>
      </c>
      <c r="G225" t="s">
        <v>4480</v>
      </c>
      <c r="H225" t="s">
        <v>866</v>
      </c>
      <c r="I225" t="s">
        <v>4498</v>
      </c>
    </row>
    <row r="226" spans="1:9">
      <c r="A226" t="s">
        <v>4478</v>
      </c>
      <c r="B226" t="s">
        <v>4507</v>
      </c>
      <c r="C226">
        <v>1</v>
      </c>
      <c r="D226" t="s">
        <v>4166</v>
      </c>
      <c r="E226">
        <v>0.1</v>
      </c>
      <c r="F226">
        <v>8.8000000000000007</v>
      </c>
      <c r="G226" t="s">
        <v>4480</v>
      </c>
      <c r="H226" t="s">
        <v>866</v>
      </c>
      <c r="I226" t="s">
        <v>4498</v>
      </c>
    </row>
    <row r="227" spans="1:9">
      <c r="A227" t="s">
        <v>4478</v>
      </c>
      <c r="B227" t="s">
        <v>4508</v>
      </c>
      <c r="C227">
        <v>1</v>
      </c>
      <c r="D227" t="s">
        <v>4166</v>
      </c>
      <c r="E227">
        <v>0.1</v>
      </c>
      <c r="F227">
        <v>8.8000000000000007</v>
      </c>
      <c r="G227" t="s">
        <v>4480</v>
      </c>
      <c r="H227" t="s">
        <v>866</v>
      </c>
      <c r="I227" t="s">
        <v>4498</v>
      </c>
    </row>
    <row r="228" spans="1:9">
      <c r="A228" t="s">
        <v>4478</v>
      </c>
      <c r="B228" t="s">
        <v>4509</v>
      </c>
      <c r="C228">
        <v>1</v>
      </c>
      <c r="D228" t="s">
        <v>4166</v>
      </c>
      <c r="E228">
        <v>0.1</v>
      </c>
      <c r="F228">
        <v>10</v>
      </c>
      <c r="G228" t="s">
        <v>4480</v>
      </c>
      <c r="H228" t="s">
        <v>866</v>
      </c>
      <c r="I228" t="s">
        <v>4498</v>
      </c>
    </row>
    <row r="229" spans="1:9">
      <c r="A229" t="s">
        <v>4478</v>
      </c>
      <c r="B229" t="s">
        <v>4510</v>
      </c>
      <c r="C229">
        <v>1</v>
      </c>
      <c r="D229" t="s">
        <v>4166</v>
      </c>
      <c r="E229">
        <v>0.3</v>
      </c>
      <c r="F229">
        <v>26</v>
      </c>
      <c r="G229" t="s">
        <v>4480</v>
      </c>
      <c r="H229" t="s">
        <v>866</v>
      </c>
      <c r="I229" t="s">
        <v>4498</v>
      </c>
    </row>
    <row r="230" spans="1:9">
      <c r="A230" t="s">
        <v>4449</v>
      </c>
      <c r="B230" t="s">
        <v>4511</v>
      </c>
      <c r="C230">
        <v>1</v>
      </c>
      <c r="D230" t="s">
        <v>4166</v>
      </c>
      <c r="E230">
        <v>0.1</v>
      </c>
      <c r="F230">
        <v>0.88</v>
      </c>
      <c r="H230" t="s">
        <v>866</v>
      </c>
      <c r="I230" t="s">
        <v>4512</v>
      </c>
    </row>
    <row r="231" spans="1:9">
      <c r="A231" t="s">
        <v>4449</v>
      </c>
      <c r="B231" t="s">
        <v>4513</v>
      </c>
      <c r="C231">
        <v>1</v>
      </c>
      <c r="D231" t="s">
        <v>4357</v>
      </c>
      <c r="E231">
        <v>0.25</v>
      </c>
      <c r="F231">
        <v>2.2000000000000002</v>
      </c>
      <c r="H231" t="s">
        <v>866</v>
      </c>
      <c r="I231" t="s">
        <v>4512</v>
      </c>
    </row>
    <row r="232" spans="1:9">
      <c r="A232" t="s">
        <v>4449</v>
      </c>
      <c r="B232" t="s">
        <v>4514</v>
      </c>
      <c r="C232">
        <v>1</v>
      </c>
      <c r="D232" t="s">
        <v>4166</v>
      </c>
      <c r="E232">
        <v>0.25</v>
      </c>
      <c r="F232">
        <v>1.32</v>
      </c>
      <c r="H232" t="s">
        <v>866</v>
      </c>
      <c r="I232" t="s">
        <v>4512</v>
      </c>
    </row>
    <row r="233" spans="1:9">
      <c r="A233" t="s">
        <v>4449</v>
      </c>
      <c r="B233" t="s">
        <v>4515</v>
      </c>
      <c r="C233">
        <v>1</v>
      </c>
      <c r="D233" t="s">
        <v>4166</v>
      </c>
      <c r="E233">
        <v>0.2</v>
      </c>
      <c r="F233">
        <v>1.32</v>
      </c>
      <c r="H233" t="s">
        <v>866</v>
      </c>
      <c r="I233" t="s">
        <v>4512</v>
      </c>
    </row>
    <row r="234" spans="1:9">
      <c r="A234" t="s">
        <v>4471</v>
      </c>
      <c r="B234" t="s">
        <v>4516</v>
      </c>
      <c r="C234">
        <v>1</v>
      </c>
      <c r="D234" t="s">
        <v>4166</v>
      </c>
      <c r="E234">
        <v>0.75</v>
      </c>
      <c r="F234">
        <v>1.7</v>
      </c>
      <c r="H234" t="s">
        <v>866</v>
      </c>
      <c r="I234" t="s">
        <v>4512</v>
      </c>
    </row>
    <row r="235" spans="1:9">
      <c r="A235" t="s">
        <v>4517</v>
      </c>
      <c r="B235" t="s">
        <v>4518</v>
      </c>
      <c r="C235">
        <v>1</v>
      </c>
      <c r="D235" t="s">
        <v>4166</v>
      </c>
      <c r="E235">
        <v>0.02</v>
      </c>
      <c r="F235">
        <v>0.44</v>
      </c>
      <c r="H235" t="s">
        <v>866</v>
      </c>
      <c r="I235" t="s">
        <v>4512</v>
      </c>
    </row>
    <row r="236" spans="1:9">
      <c r="A236" t="s">
        <v>4519</v>
      </c>
      <c r="B236" t="s">
        <v>4520</v>
      </c>
      <c r="C236">
        <v>1</v>
      </c>
      <c r="D236" t="s">
        <v>4166</v>
      </c>
      <c r="E236">
        <v>1.5</v>
      </c>
      <c r="F236">
        <v>1.32</v>
      </c>
      <c r="H236" t="s">
        <v>876</v>
      </c>
      <c r="I236" t="s">
        <v>4451</v>
      </c>
    </row>
    <row r="237" spans="1:9">
      <c r="A237" t="s">
        <v>4449</v>
      </c>
      <c r="B237" t="s">
        <v>4521</v>
      </c>
      <c r="C237">
        <v>1</v>
      </c>
      <c r="D237" t="s">
        <v>4166</v>
      </c>
      <c r="E237">
        <v>0.05</v>
      </c>
      <c r="F237">
        <v>1.4E-2</v>
      </c>
      <c r="H237" t="s">
        <v>876</v>
      </c>
      <c r="I237" t="s">
        <v>4451</v>
      </c>
    </row>
    <row r="238" spans="1:9">
      <c r="A238" t="s">
        <v>4449</v>
      </c>
      <c r="B238" t="s">
        <v>4522</v>
      </c>
      <c r="C238">
        <v>1</v>
      </c>
      <c r="D238" t="s">
        <v>4166</v>
      </c>
      <c r="E238">
        <v>3</v>
      </c>
      <c r="F238">
        <v>3.08</v>
      </c>
      <c r="H238" t="s">
        <v>876</v>
      </c>
      <c r="I238" t="s">
        <v>4451</v>
      </c>
    </row>
    <row r="239" spans="1:9">
      <c r="A239" t="s">
        <v>4449</v>
      </c>
      <c r="B239" t="s">
        <v>4523</v>
      </c>
      <c r="C239">
        <v>1</v>
      </c>
      <c r="D239" t="s">
        <v>4166</v>
      </c>
      <c r="E239">
        <v>7.0000000000000007E-2</v>
      </c>
      <c r="F239">
        <v>5.0000000000000001E-3</v>
      </c>
      <c r="H239" t="s">
        <v>876</v>
      </c>
      <c r="I239" t="s">
        <v>4451</v>
      </c>
    </row>
    <row r="240" spans="1:9">
      <c r="A240" t="s">
        <v>4449</v>
      </c>
      <c r="B240" t="s">
        <v>4524</v>
      </c>
      <c r="C240">
        <v>1</v>
      </c>
      <c r="D240" t="s">
        <v>4166</v>
      </c>
      <c r="E240">
        <v>0.1</v>
      </c>
      <c r="F240">
        <v>1.7999999999999999E-2</v>
      </c>
      <c r="H240" t="s">
        <v>876</v>
      </c>
      <c r="I240" t="s">
        <v>4451</v>
      </c>
    </row>
    <row r="241" spans="1:9">
      <c r="A241" t="s">
        <v>4259</v>
      </c>
      <c r="B241" t="s">
        <v>4525</v>
      </c>
      <c r="C241">
        <v>1</v>
      </c>
      <c r="D241" t="s">
        <v>4166</v>
      </c>
      <c r="E241">
        <v>0.13</v>
      </c>
      <c r="F241">
        <v>0.05</v>
      </c>
      <c r="H241" t="s">
        <v>876</v>
      </c>
      <c r="I241" t="s">
        <v>4451</v>
      </c>
    </row>
    <row r="242" spans="1:9">
      <c r="A242" t="s">
        <v>4455</v>
      </c>
      <c r="B242" t="s">
        <v>4526</v>
      </c>
      <c r="C242">
        <v>1</v>
      </c>
      <c r="D242" t="s">
        <v>4166</v>
      </c>
      <c r="E242">
        <v>0.12</v>
      </c>
      <c r="F242">
        <v>2.2000000000000002</v>
      </c>
      <c r="H242" t="s">
        <v>876</v>
      </c>
      <c r="I242" t="s">
        <v>4451</v>
      </c>
    </row>
    <row r="243" spans="1:9">
      <c r="A243" t="s">
        <v>4527</v>
      </c>
      <c r="B243" t="s">
        <v>4528</v>
      </c>
      <c r="C243">
        <v>1</v>
      </c>
      <c r="D243" t="s">
        <v>4166</v>
      </c>
      <c r="E243">
        <v>1.25</v>
      </c>
      <c r="F243">
        <v>2.1999999999999999E-2</v>
      </c>
      <c r="H243" t="s">
        <v>876</v>
      </c>
      <c r="I243" t="s">
        <v>4451</v>
      </c>
    </row>
    <row r="244" spans="1:9">
      <c r="A244" t="s">
        <v>4249</v>
      </c>
      <c r="B244" t="s">
        <v>4529</v>
      </c>
      <c r="C244">
        <v>1</v>
      </c>
      <c r="D244" t="s">
        <v>4166</v>
      </c>
      <c r="E244">
        <v>0.5</v>
      </c>
      <c r="F244">
        <v>50</v>
      </c>
      <c r="H244" t="s">
        <v>876</v>
      </c>
      <c r="I244" t="s">
        <v>4451</v>
      </c>
    </row>
    <row r="245" spans="1:9">
      <c r="A245" t="s">
        <v>4249</v>
      </c>
      <c r="B245" t="s">
        <v>4530</v>
      </c>
      <c r="C245">
        <v>1</v>
      </c>
      <c r="D245" t="s">
        <v>4166</v>
      </c>
      <c r="E245">
        <v>7.0000000000000007E-2</v>
      </c>
      <c r="F245">
        <v>3.6999999999999998E-2</v>
      </c>
      <c r="H245" t="s">
        <v>876</v>
      </c>
      <c r="I245" t="s">
        <v>4451</v>
      </c>
    </row>
    <row r="246" spans="1:9">
      <c r="A246" t="s">
        <v>4517</v>
      </c>
      <c r="B246" t="s">
        <v>4531</v>
      </c>
      <c r="C246">
        <v>1</v>
      </c>
      <c r="D246" t="s">
        <v>4166</v>
      </c>
      <c r="E246">
        <v>0.03</v>
      </c>
      <c r="F246">
        <v>1.4E-2</v>
      </c>
      <c r="H246" t="s">
        <v>876</v>
      </c>
      <c r="I246" t="s">
        <v>4451</v>
      </c>
    </row>
    <row r="247" spans="1:9">
      <c r="A247" t="s">
        <v>4517</v>
      </c>
      <c r="B247" t="s">
        <v>4532</v>
      </c>
      <c r="C247">
        <v>1</v>
      </c>
      <c r="D247" t="s">
        <v>4357</v>
      </c>
      <c r="E247">
        <v>0.5</v>
      </c>
      <c r="F247">
        <v>6.6000000000000003E-2</v>
      </c>
      <c r="H247" t="s">
        <v>876</v>
      </c>
      <c r="I247" t="s">
        <v>4451</v>
      </c>
    </row>
    <row r="248" spans="1:9">
      <c r="A248" t="s">
        <v>4517</v>
      </c>
      <c r="B248" t="s">
        <v>4533</v>
      </c>
      <c r="C248">
        <v>1</v>
      </c>
      <c r="D248" t="s">
        <v>4357</v>
      </c>
      <c r="E248">
        <v>1.1000000000000001</v>
      </c>
      <c r="F248">
        <v>1.7</v>
      </c>
      <c r="H248" t="s">
        <v>876</v>
      </c>
      <c r="I248" t="s">
        <v>4451</v>
      </c>
    </row>
    <row r="249" spans="1:9">
      <c r="A249" t="s">
        <v>4517</v>
      </c>
      <c r="B249" t="s">
        <v>4534</v>
      </c>
      <c r="C249">
        <v>1</v>
      </c>
      <c r="D249" t="s">
        <v>4166</v>
      </c>
      <c r="E249">
        <v>0.5</v>
      </c>
      <c r="F249">
        <v>2</v>
      </c>
      <c r="H249" t="s">
        <v>876</v>
      </c>
      <c r="I249" t="s">
        <v>4451</v>
      </c>
    </row>
    <row r="250" spans="1:9">
      <c r="A250" t="s">
        <v>4517</v>
      </c>
      <c r="B250" t="s">
        <v>4535</v>
      </c>
      <c r="C250">
        <v>1</v>
      </c>
      <c r="D250" t="s">
        <v>4166</v>
      </c>
      <c r="E250">
        <v>1</v>
      </c>
      <c r="F250">
        <v>0.87</v>
      </c>
      <c r="H250" t="s">
        <v>876</v>
      </c>
      <c r="I250" t="s">
        <v>4451</v>
      </c>
    </row>
    <row r="251" spans="1:9">
      <c r="A251" t="s">
        <v>4517</v>
      </c>
      <c r="B251" t="s">
        <v>4536</v>
      </c>
      <c r="C251">
        <v>1</v>
      </c>
      <c r="D251" t="s">
        <v>4357</v>
      </c>
      <c r="E251">
        <v>0.02</v>
      </c>
      <c r="F251">
        <v>0.88</v>
      </c>
      <c r="H251" t="s">
        <v>876</v>
      </c>
      <c r="I251" t="s">
        <v>4451</v>
      </c>
    </row>
    <row r="252" spans="1:9">
      <c r="A252" t="s">
        <v>4284</v>
      </c>
      <c r="B252" t="s">
        <v>4537</v>
      </c>
      <c r="C252">
        <v>1</v>
      </c>
      <c r="D252" t="s">
        <v>4538</v>
      </c>
      <c r="E252" t="s">
        <v>4167</v>
      </c>
      <c r="F252">
        <v>0.05</v>
      </c>
      <c r="H252" t="s">
        <v>876</v>
      </c>
      <c r="I252" t="s">
        <v>4451</v>
      </c>
    </row>
    <row r="253" spans="1:9">
      <c r="A253" t="s">
        <v>4284</v>
      </c>
      <c r="B253" t="s">
        <v>4539</v>
      </c>
      <c r="C253">
        <v>1</v>
      </c>
      <c r="D253" t="s">
        <v>4166</v>
      </c>
      <c r="E253">
        <v>0.5</v>
      </c>
      <c r="F253">
        <v>0.2</v>
      </c>
      <c r="H253" t="s">
        <v>876</v>
      </c>
      <c r="I253" t="s">
        <v>4451</v>
      </c>
    </row>
    <row r="254" spans="1:9">
      <c r="A254" t="s">
        <v>4259</v>
      </c>
      <c r="B254" t="s">
        <v>4540</v>
      </c>
      <c r="C254">
        <v>1</v>
      </c>
      <c r="D254" t="s">
        <v>4166</v>
      </c>
      <c r="E254">
        <v>0.25</v>
      </c>
      <c r="F254">
        <v>0.25</v>
      </c>
      <c r="H254" t="s">
        <v>876</v>
      </c>
      <c r="I254" t="s">
        <v>4541</v>
      </c>
    </row>
    <row r="255" spans="1:9">
      <c r="A255" t="s">
        <v>4262</v>
      </c>
      <c r="B255" t="s">
        <v>4542</v>
      </c>
      <c r="C255">
        <v>1</v>
      </c>
      <c r="D255" t="s">
        <v>4357</v>
      </c>
      <c r="E255">
        <v>1.5</v>
      </c>
      <c r="F255">
        <v>0.88</v>
      </c>
      <c r="H255" t="s">
        <v>876</v>
      </c>
      <c r="I255" t="s">
        <v>4541</v>
      </c>
    </row>
    <row r="256" spans="1:9">
      <c r="A256" t="s">
        <v>4249</v>
      </c>
      <c r="B256" t="s">
        <v>4543</v>
      </c>
      <c r="C256">
        <v>1</v>
      </c>
      <c r="D256" t="s">
        <v>4357</v>
      </c>
      <c r="E256">
        <v>0.15</v>
      </c>
      <c r="F256">
        <v>3.5</v>
      </c>
      <c r="H256" t="s">
        <v>876</v>
      </c>
      <c r="I256" t="s">
        <v>4541</v>
      </c>
    </row>
    <row r="257" spans="1:9">
      <c r="A257" t="s">
        <v>4268</v>
      </c>
      <c r="B257" t="s">
        <v>4544</v>
      </c>
      <c r="C257">
        <v>1</v>
      </c>
      <c r="D257" t="s">
        <v>4166</v>
      </c>
      <c r="E257">
        <v>1</v>
      </c>
      <c r="F257">
        <v>0.42</v>
      </c>
      <c r="H257" t="s">
        <v>876</v>
      </c>
      <c r="I257" t="s">
        <v>4541</v>
      </c>
    </row>
    <row r="258" spans="1:9">
      <c r="A258" t="s">
        <v>4268</v>
      </c>
      <c r="B258" t="s">
        <v>4545</v>
      </c>
      <c r="C258">
        <v>1</v>
      </c>
      <c r="D258" t="s">
        <v>4166</v>
      </c>
      <c r="E258">
        <v>1.25</v>
      </c>
      <c r="F258">
        <v>1.7999999999999999E-2</v>
      </c>
      <c r="H258" t="s">
        <v>876</v>
      </c>
      <c r="I258" t="s">
        <v>4541</v>
      </c>
    </row>
    <row r="259" spans="1:9">
      <c r="A259" t="s">
        <v>4449</v>
      </c>
      <c r="B259" t="s">
        <v>4546</v>
      </c>
      <c r="C259">
        <v>1</v>
      </c>
      <c r="D259" t="s">
        <v>4166</v>
      </c>
      <c r="E259">
        <v>3</v>
      </c>
      <c r="F259">
        <v>7.92</v>
      </c>
      <c r="H259" t="s">
        <v>876</v>
      </c>
      <c r="I259" t="s">
        <v>4547</v>
      </c>
    </row>
    <row r="260" spans="1:9">
      <c r="A260" t="s">
        <v>4471</v>
      </c>
      <c r="B260" t="s">
        <v>4548</v>
      </c>
      <c r="C260">
        <v>1</v>
      </c>
      <c r="D260" t="s">
        <v>4166</v>
      </c>
      <c r="E260">
        <v>15</v>
      </c>
      <c r="F260">
        <v>8</v>
      </c>
      <c r="H260" t="s">
        <v>876</v>
      </c>
      <c r="I260" t="s">
        <v>4547</v>
      </c>
    </row>
    <row r="261" spans="1:9">
      <c r="A261" t="s">
        <v>4397</v>
      </c>
      <c r="B261" t="s">
        <v>4549</v>
      </c>
      <c r="C261">
        <v>1</v>
      </c>
      <c r="D261" t="s">
        <v>4166</v>
      </c>
      <c r="E261">
        <v>1.1000000000000001</v>
      </c>
      <c r="F261">
        <v>6.6</v>
      </c>
      <c r="H261" t="s">
        <v>876</v>
      </c>
      <c r="I261" t="s">
        <v>4547</v>
      </c>
    </row>
    <row r="262" spans="1:9">
      <c r="A262" t="s">
        <v>4397</v>
      </c>
      <c r="B262" t="s">
        <v>4550</v>
      </c>
      <c r="C262">
        <v>1</v>
      </c>
      <c r="D262" t="s">
        <v>4166</v>
      </c>
      <c r="E262">
        <v>1.5</v>
      </c>
      <c r="F262">
        <v>2.64</v>
      </c>
      <c r="H262" t="s">
        <v>876</v>
      </c>
      <c r="I262" t="s">
        <v>4547</v>
      </c>
    </row>
    <row r="263" spans="1:9">
      <c r="A263" t="s">
        <v>4235</v>
      </c>
      <c r="B263" t="s">
        <v>4551</v>
      </c>
      <c r="C263">
        <v>1</v>
      </c>
      <c r="D263" t="s">
        <v>4240</v>
      </c>
      <c r="E263">
        <v>1</v>
      </c>
      <c r="F263">
        <v>1.4</v>
      </c>
      <c r="H263" t="s">
        <v>876</v>
      </c>
      <c r="I263" t="s">
        <v>4552</v>
      </c>
    </row>
    <row r="264" spans="1:9">
      <c r="A264" t="s">
        <v>4235</v>
      </c>
      <c r="B264" t="s">
        <v>4553</v>
      </c>
      <c r="C264">
        <v>1</v>
      </c>
      <c r="D264" t="s">
        <v>4256</v>
      </c>
      <c r="E264">
        <v>1</v>
      </c>
      <c r="F264">
        <v>8</v>
      </c>
      <c r="H264" t="s">
        <v>876</v>
      </c>
      <c r="I264" t="s">
        <v>4552</v>
      </c>
    </row>
    <row r="265" spans="1:9">
      <c r="A265" t="s">
        <v>4243</v>
      </c>
      <c r="B265" t="s">
        <v>4554</v>
      </c>
      <c r="C265">
        <v>1</v>
      </c>
      <c r="D265" t="s">
        <v>4166</v>
      </c>
      <c r="E265">
        <v>0.5</v>
      </c>
      <c r="F265">
        <v>2.1999999999999999E-2</v>
      </c>
      <c r="H265" t="s">
        <v>876</v>
      </c>
      <c r="I265" t="s">
        <v>4552</v>
      </c>
    </row>
    <row r="266" spans="1:9">
      <c r="A266" t="s">
        <v>4519</v>
      </c>
      <c r="B266" t="s">
        <v>4555</v>
      </c>
      <c r="C266">
        <v>1</v>
      </c>
      <c r="D266" t="s">
        <v>4166</v>
      </c>
      <c r="E266">
        <v>2</v>
      </c>
      <c r="F266">
        <v>1.76</v>
      </c>
      <c r="H266" t="s">
        <v>876</v>
      </c>
      <c r="I266" t="s">
        <v>4556</v>
      </c>
    </row>
    <row r="267" spans="1:9">
      <c r="A267" t="s">
        <v>4557</v>
      </c>
      <c r="B267" t="s">
        <v>4558</v>
      </c>
      <c r="C267">
        <v>1</v>
      </c>
      <c r="D267" t="s">
        <v>4503</v>
      </c>
      <c r="E267">
        <v>1.5</v>
      </c>
      <c r="F267">
        <v>5.3</v>
      </c>
      <c r="H267" t="s">
        <v>876</v>
      </c>
      <c r="I267" t="s">
        <v>4556</v>
      </c>
    </row>
    <row r="268" spans="1:9">
      <c r="A268" t="s">
        <v>4557</v>
      </c>
      <c r="B268" t="s">
        <v>4559</v>
      </c>
      <c r="C268">
        <v>1</v>
      </c>
      <c r="D268" t="s">
        <v>4503</v>
      </c>
      <c r="E268">
        <v>0.6</v>
      </c>
      <c r="F268">
        <v>7.4999999999999997E-2</v>
      </c>
      <c r="H268" t="s">
        <v>876</v>
      </c>
      <c r="I268" t="s">
        <v>4556</v>
      </c>
    </row>
    <row r="269" spans="1:9">
      <c r="A269" t="s">
        <v>4284</v>
      </c>
      <c r="B269" t="s">
        <v>4560</v>
      </c>
      <c r="C269">
        <v>1</v>
      </c>
      <c r="D269" t="s">
        <v>4166</v>
      </c>
      <c r="E269">
        <v>2</v>
      </c>
      <c r="F269">
        <v>1.32</v>
      </c>
      <c r="H269" t="s">
        <v>876</v>
      </c>
      <c r="I269" t="s">
        <v>4556</v>
      </c>
    </row>
    <row r="270" spans="1:9">
      <c r="A270" t="s">
        <v>4284</v>
      </c>
      <c r="B270" t="s">
        <v>4561</v>
      </c>
      <c r="C270">
        <v>1</v>
      </c>
      <c r="D270" t="s">
        <v>4166</v>
      </c>
      <c r="E270">
        <v>2</v>
      </c>
      <c r="F270">
        <v>2.2000000000000002</v>
      </c>
      <c r="H270" t="s">
        <v>876</v>
      </c>
      <c r="I270" t="s">
        <v>4556</v>
      </c>
    </row>
    <row r="271" spans="1:9">
      <c r="A271" t="s">
        <v>4557</v>
      </c>
      <c r="B271" t="s">
        <v>4562</v>
      </c>
      <c r="C271">
        <v>1</v>
      </c>
      <c r="D271" t="s">
        <v>4166</v>
      </c>
      <c r="E271">
        <v>0.05</v>
      </c>
      <c r="F271">
        <v>0.32</v>
      </c>
      <c r="H271" t="s">
        <v>876</v>
      </c>
      <c r="I271" t="s">
        <v>4563</v>
      </c>
    </row>
    <row r="272" spans="1:9">
      <c r="A272" t="s">
        <v>4557</v>
      </c>
      <c r="B272" t="s">
        <v>4564</v>
      </c>
      <c r="C272">
        <v>1</v>
      </c>
      <c r="D272" t="s">
        <v>4166</v>
      </c>
      <c r="E272">
        <v>0.05</v>
      </c>
      <c r="F272">
        <v>3.5</v>
      </c>
      <c r="H272" t="s">
        <v>876</v>
      </c>
      <c r="I272" t="s">
        <v>4563</v>
      </c>
    </row>
    <row r="273" spans="1:9">
      <c r="A273" t="s">
        <v>4557</v>
      </c>
      <c r="B273" t="s">
        <v>4565</v>
      </c>
      <c r="C273">
        <v>1</v>
      </c>
      <c r="D273" t="s">
        <v>4503</v>
      </c>
      <c r="E273">
        <v>1</v>
      </c>
      <c r="F273">
        <v>0.1</v>
      </c>
      <c r="H273" t="s">
        <v>876</v>
      </c>
      <c r="I273" t="s">
        <v>4563</v>
      </c>
    </row>
    <row r="274" spans="1:9">
      <c r="A274" t="s">
        <v>4557</v>
      </c>
      <c r="B274" t="s">
        <v>4566</v>
      </c>
      <c r="C274">
        <v>1</v>
      </c>
      <c r="D274" t="s">
        <v>4503</v>
      </c>
      <c r="E274">
        <v>1</v>
      </c>
      <c r="F274">
        <v>1</v>
      </c>
      <c r="H274" t="s">
        <v>876</v>
      </c>
      <c r="I274" t="s">
        <v>4563</v>
      </c>
    </row>
    <row r="275" spans="1:9">
      <c r="A275" t="s">
        <v>4519</v>
      </c>
      <c r="B275" t="s">
        <v>4567</v>
      </c>
      <c r="C275">
        <v>1</v>
      </c>
      <c r="D275" t="s">
        <v>4166</v>
      </c>
      <c r="E275">
        <v>2</v>
      </c>
      <c r="F275">
        <v>0.89</v>
      </c>
      <c r="H275" t="s">
        <v>876</v>
      </c>
      <c r="I275" t="s">
        <v>4568</v>
      </c>
    </row>
    <row r="276" spans="1:9">
      <c r="A276" t="s">
        <v>4519</v>
      </c>
      <c r="B276" t="s">
        <v>4569</v>
      </c>
      <c r="C276">
        <v>1</v>
      </c>
      <c r="D276" t="s">
        <v>4166</v>
      </c>
      <c r="E276">
        <v>2.5</v>
      </c>
      <c r="F276">
        <v>2.5</v>
      </c>
      <c r="H276" t="s">
        <v>876</v>
      </c>
      <c r="I276" t="s">
        <v>4568</v>
      </c>
    </row>
    <row r="277" spans="1:9">
      <c r="A277" t="s">
        <v>4557</v>
      </c>
      <c r="B277" t="s">
        <v>4570</v>
      </c>
      <c r="C277">
        <v>1</v>
      </c>
      <c r="D277" t="s">
        <v>4503</v>
      </c>
      <c r="E277">
        <v>1.5</v>
      </c>
      <c r="F277">
        <v>8.4</v>
      </c>
      <c r="H277" t="s">
        <v>876</v>
      </c>
      <c r="I277" t="s">
        <v>4568</v>
      </c>
    </row>
    <row r="278" spans="1:9">
      <c r="A278" t="s">
        <v>4471</v>
      </c>
      <c r="B278" t="s">
        <v>4571</v>
      </c>
      <c r="C278">
        <v>1</v>
      </c>
      <c r="D278" t="s">
        <v>4166</v>
      </c>
      <c r="E278">
        <v>10</v>
      </c>
      <c r="F278">
        <v>13</v>
      </c>
      <c r="H278" t="s">
        <v>876</v>
      </c>
      <c r="I278" t="s">
        <v>4568</v>
      </c>
    </row>
    <row r="279" spans="1:9">
      <c r="A279" t="s">
        <v>4471</v>
      </c>
      <c r="B279" t="s">
        <v>4572</v>
      </c>
      <c r="C279">
        <v>1</v>
      </c>
      <c r="D279" t="s">
        <v>4166</v>
      </c>
      <c r="E279">
        <v>25</v>
      </c>
      <c r="F279">
        <v>44</v>
      </c>
      <c r="H279" t="s">
        <v>876</v>
      </c>
      <c r="I279" t="s">
        <v>4568</v>
      </c>
    </row>
    <row r="280" spans="1:9">
      <c r="A280" t="s">
        <v>4471</v>
      </c>
      <c r="B280" t="s">
        <v>4573</v>
      </c>
      <c r="C280">
        <v>1</v>
      </c>
      <c r="D280" t="s">
        <v>4166</v>
      </c>
      <c r="E280">
        <v>125</v>
      </c>
      <c r="F280">
        <v>176</v>
      </c>
      <c r="H280" t="s">
        <v>876</v>
      </c>
      <c r="I280" t="s">
        <v>4568</v>
      </c>
    </row>
    <row r="281" spans="1:9">
      <c r="A281" t="s">
        <v>4471</v>
      </c>
      <c r="B281" t="s">
        <v>4574</v>
      </c>
      <c r="C281">
        <v>1</v>
      </c>
      <c r="D281" t="s">
        <v>4166</v>
      </c>
      <c r="E281">
        <v>3</v>
      </c>
      <c r="F281">
        <v>2.2000000000000002</v>
      </c>
      <c r="H281" t="s">
        <v>876</v>
      </c>
      <c r="I281" t="s">
        <v>4568</v>
      </c>
    </row>
    <row r="282" spans="1:9">
      <c r="A282" t="s">
        <v>4471</v>
      </c>
      <c r="B282" t="s">
        <v>4575</v>
      </c>
      <c r="C282">
        <v>1</v>
      </c>
      <c r="D282" t="s">
        <v>4166</v>
      </c>
      <c r="E282">
        <v>30</v>
      </c>
      <c r="F282">
        <v>44</v>
      </c>
      <c r="H282" t="s">
        <v>876</v>
      </c>
      <c r="I282" t="s">
        <v>4568</v>
      </c>
    </row>
    <row r="283" spans="1:9">
      <c r="A283" t="s">
        <v>4471</v>
      </c>
      <c r="B283" t="s">
        <v>4576</v>
      </c>
      <c r="C283">
        <v>1</v>
      </c>
      <c r="D283" t="s">
        <v>4166</v>
      </c>
      <c r="E283">
        <v>30</v>
      </c>
      <c r="F283">
        <v>18</v>
      </c>
      <c r="H283" t="s">
        <v>876</v>
      </c>
      <c r="I283" t="s">
        <v>4568</v>
      </c>
    </row>
    <row r="284" spans="1:9">
      <c r="A284" t="s">
        <v>4471</v>
      </c>
      <c r="B284" t="s">
        <v>4577</v>
      </c>
      <c r="C284">
        <v>1</v>
      </c>
      <c r="D284" t="s">
        <v>4166</v>
      </c>
      <c r="E284">
        <v>100</v>
      </c>
      <c r="F284">
        <v>66</v>
      </c>
      <c r="H284" t="s">
        <v>876</v>
      </c>
      <c r="I284" t="s">
        <v>4568</v>
      </c>
    </row>
    <row r="285" spans="1:9">
      <c r="A285" t="s">
        <v>4471</v>
      </c>
      <c r="B285" t="s">
        <v>4578</v>
      </c>
      <c r="C285">
        <v>1</v>
      </c>
      <c r="D285" t="s">
        <v>4166</v>
      </c>
      <c r="E285">
        <v>50</v>
      </c>
      <c r="F285">
        <v>110</v>
      </c>
      <c r="H285" t="s">
        <v>876</v>
      </c>
      <c r="I285" t="s">
        <v>4568</v>
      </c>
    </row>
    <row r="286" spans="1:9">
      <c r="A286" t="s">
        <v>4471</v>
      </c>
      <c r="B286" t="s">
        <v>4579</v>
      </c>
      <c r="C286">
        <v>1</v>
      </c>
      <c r="D286" t="s">
        <v>4166</v>
      </c>
      <c r="E286">
        <v>4</v>
      </c>
      <c r="F286">
        <v>26</v>
      </c>
      <c r="H286" t="s">
        <v>876</v>
      </c>
      <c r="I286" t="s">
        <v>4568</v>
      </c>
    </row>
    <row r="287" spans="1:9">
      <c r="A287" t="s">
        <v>4471</v>
      </c>
      <c r="B287" t="s">
        <v>4580</v>
      </c>
      <c r="C287">
        <v>1</v>
      </c>
      <c r="D287" t="s">
        <v>4166</v>
      </c>
      <c r="E287">
        <v>20</v>
      </c>
      <c r="F287">
        <v>48</v>
      </c>
      <c r="H287" t="s">
        <v>876</v>
      </c>
      <c r="I287" t="s">
        <v>4568</v>
      </c>
    </row>
    <row r="288" spans="1:9">
      <c r="A288" t="s">
        <v>4471</v>
      </c>
      <c r="B288" t="s">
        <v>4581</v>
      </c>
      <c r="C288">
        <v>1</v>
      </c>
      <c r="D288" t="s">
        <v>4166</v>
      </c>
      <c r="E288">
        <v>4</v>
      </c>
      <c r="F288">
        <v>8</v>
      </c>
      <c r="H288" t="s">
        <v>876</v>
      </c>
      <c r="I288" t="s">
        <v>4568</v>
      </c>
    </row>
    <row r="289" spans="1:9">
      <c r="A289" t="s">
        <v>4471</v>
      </c>
      <c r="B289" t="s">
        <v>4582</v>
      </c>
      <c r="C289">
        <v>1</v>
      </c>
      <c r="D289" t="s">
        <v>4166</v>
      </c>
      <c r="E289">
        <v>15</v>
      </c>
      <c r="F289">
        <v>5</v>
      </c>
      <c r="H289" t="s">
        <v>876</v>
      </c>
      <c r="I289" t="s">
        <v>4568</v>
      </c>
    </row>
    <row r="290" spans="1:9">
      <c r="A290" t="s">
        <v>4471</v>
      </c>
      <c r="B290" t="s">
        <v>4583</v>
      </c>
      <c r="C290">
        <v>1</v>
      </c>
      <c r="D290" t="s">
        <v>4166</v>
      </c>
      <c r="E290">
        <v>20</v>
      </c>
      <c r="F290">
        <v>80</v>
      </c>
      <c r="H290" t="s">
        <v>876</v>
      </c>
      <c r="I290" t="s">
        <v>4568</v>
      </c>
    </row>
    <row r="291" spans="1:9">
      <c r="A291" t="s">
        <v>4471</v>
      </c>
      <c r="B291" t="s">
        <v>4584</v>
      </c>
      <c r="C291">
        <v>1</v>
      </c>
      <c r="D291" t="s">
        <v>4166</v>
      </c>
      <c r="E291">
        <v>15</v>
      </c>
      <c r="F291">
        <v>14</v>
      </c>
      <c r="H291" t="s">
        <v>876</v>
      </c>
      <c r="I291" t="s">
        <v>4568</v>
      </c>
    </row>
    <row r="292" spans="1:9">
      <c r="A292" t="s">
        <v>4471</v>
      </c>
      <c r="B292" t="s">
        <v>4585</v>
      </c>
      <c r="C292">
        <v>1</v>
      </c>
      <c r="D292" t="s">
        <v>4166</v>
      </c>
      <c r="E292">
        <v>5</v>
      </c>
      <c r="F292">
        <v>3.5</v>
      </c>
      <c r="H292" t="s">
        <v>876</v>
      </c>
      <c r="I292" t="s">
        <v>4568</v>
      </c>
    </row>
    <row r="293" spans="1:9">
      <c r="A293" t="s">
        <v>4404</v>
      </c>
      <c r="B293" t="s">
        <v>4586</v>
      </c>
      <c r="C293">
        <v>1</v>
      </c>
      <c r="D293" t="s">
        <v>4166</v>
      </c>
      <c r="E293">
        <v>50</v>
      </c>
      <c r="F293">
        <v>26</v>
      </c>
      <c r="H293" t="s">
        <v>876</v>
      </c>
      <c r="I293" t="s">
        <v>4587</v>
      </c>
    </row>
    <row r="294" spans="1:9">
      <c r="A294" t="s">
        <v>4404</v>
      </c>
      <c r="B294" t="s">
        <v>4588</v>
      </c>
      <c r="C294">
        <v>1</v>
      </c>
      <c r="D294" t="s">
        <v>4166</v>
      </c>
      <c r="E294">
        <v>17.5</v>
      </c>
      <c r="F294">
        <v>22</v>
      </c>
      <c r="H294" t="s">
        <v>876</v>
      </c>
      <c r="I294" t="s">
        <v>4587</v>
      </c>
    </row>
    <row r="295" spans="1:9">
      <c r="A295" t="s">
        <v>4589</v>
      </c>
      <c r="B295" t="s">
        <v>4590</v>
      </c>
      <c r="C295">
        <v>1</v>
      </c>
      <c r="D295" t="s">
        <v>4166</v>
      </c>
      <c r="E295">
        <v>450</v>
      </c>
      <c r="F295">
        <v>6600</v>
      </c>
      <c r="H295" t="s">
        <v>876</v>
      </c>
      <c r="I295" t="s">
        <v>4587</v>
      </c>
    </row>
    <row r="296" spans="1:9">
      <c r="A296" t="s">
        <v>4589</v>
      </c>
      <c r="B296" t="s">
        <v>4591</v>
      </c>
      <c r="C296">
        <v>1</v>
      </c>
      <c r="D296" t="s">
        <v>4166</v>
      </c>
      <c r="E296">
        <v>150</v>
      </c>
      <c r="F296">
        <v>1760</v>
      </c>
      <c r="H296" t="s">
        <v>876</v>
      </c>
      <c r="I296" t="s">
        <v>4587</v>
      </c>
    </row>
    <row r="297" spans="1:9">
      <c r="A297" t="s">
        <v>4589</v>
      </c>
      <c r="B297" t="s">
        <v>4592</v>
      </c>
      <c r="C297">
        <v>1</v>
      </c>
      <c r="D297" t="s">
        <v>4166</v>
      </c>
      <c r="E297">
        <v>550</v>
      </c>
      <c r="F297">
        <v>4400</v>
      </c>
      <c r="H297" t="s">
        <v>876</v>
      </c>
      <c r="I297" t="s">
        <v>4587</v>
      </c>
    </row>
    <row r="298" spans="1:9">
      <c r="A298" t="s">
        <v>4589</v>
      </c>
      <c r="B298" t="s">
        <v>4593</v>
      </c>
      <c r="C298">
        <v>1</v>
      </c>
      <c r="D298" t="s">
        <v>4594</v>
      </c>
      <c r="E298" t="s">
        <v>4167</v>
      </c>
      <c r="F298">
        <v>3960</v>
      </c>
      <c r="H298" t="s">
        <v>876</v>
      </c>
      <c r="I298" t="s">
        <v>4587</v>
      </c>
    </row>
    <row r="299" spans="1:9">
      <c r="A299" t="s">
        <v>4589</v>
      </c>
      <c r="B299" t="s">
        <v>4595</v>
      </c>
      <c r="C299">
        <v>1</v>
      </c>
      <c r="D299" t="s">
        <v>4594</v>
      </c>
      <c r="E299" t="s">
        <v>4167</v>
      </c>
      <c r="F299">
        <v>100</v>
      </c>
      <c r="H299" t="s">
        <v>876</v>
      </c>
      <c r="I299" t="s">
        <v>4587</v>
      </c>
    </row>
    <row r="300" spans="1:9">
      <c r="A300" t="s">
        <v>4589</v>
      </c>
      <c r="B300" t="s">
        <v>4596</v>
      </c>
      <c r="C300">
        <v>1</v>
      </c>
      <c r="D300" t="s">
        <v>4594</v>
      </c>
      <c r="E300" t="s">
        <v>4167</v>
      </c>
      <c r="F300">
        <v>35</v>
      </c>
      <c r="H300" t="s">
        <v>876</v>
      </c>
      <c r="I300" t="s">
        <v>4587</v>
      </c>
    </row>
    <row r="301" spans="1:9">
      <c r="A301" t="s">
        <v>4589</v>
      </c>
      <c r="B301" t="s">
        <v>4597</v>
      </c>
      <c r="C301">
        <v>1</v>
      </c>
      <c r="D301" t="s">
        <v>4594</v>
      </c>
      <c r="E301" t="s">
        <v>4167</v>
      </c>
      <c r="F301">
        <v>53</v>
      </c>
      <c r="H301" t="s">
        <v>876</v>
      </c>
      <c r="I301" t="s">
        <v>4587</v>
      </c>
    </row>
    <row r="302" spans="1:9">
      <c r="A302" t="s">
        <v>4589</v>
      </c>
      <c r="B302" t="s">
        <v>4598</v>
      </c>
      <c r="C302">
        <v>1</v>
      </c>
      <c r="D302" t="s">
        <v>4166</v>
      </c>
      <c r="E302">
        <v>500</v>
      </c>
      <c r="F302">
        <v>250</v>
      </c>
      <c r="H302" t="s">
        <v>876</v>
      </c>
      <c r="I302" t="s">
        <v>4587</v>
      </c>
    </row>
    <row r="303" spans="1:9">
      <c r="A303" t="s">
        <v>4589</v>
      </c>
      <c r="B303" t="s">
        <v>4599</v>
      </c>
      <c r="C303">
        <v>1</v>
      </c>
      <c r="D303" t="s">
        <v>4166</v>
      </c>
      <c r="E303">
        <v>225</v>
      </c>
      <c r="F303">
        <v>2520</v>
      </c>
      <c r="H303" t="s">
        <v>876</v>
      </c>
      <c r="I303" t="s">
        <v>4587</v>
      </c>
    </row>
    <row r="304" spans="1:9">
      <c r="A304" t="s">
        <v>4589</v>
      </c>
      <c r="B304" t="s">
        <v>4600</v>
      </c>
      <c r="C304">
        <v>1</v>
      </c>
      <c r="D304" t="s">
        <v>4594</v>
      </c>
      <c r="E304" t="s">
        <v>4167</v>
      </c>
      <c r="F304">
        <v>3200</v>
      </c>
      <c r="H304" t="s">
        <v>876</v>
      </c>
      <c r="I304" t="s">
        <v>4587</v>
      </c>
    </row>
    <row r="305" spans="1:9">
      <c r="A305" t="s">
        <v>4589</v>
      </c>
      <c r="B305" t="s">
        <v>4601</v>
      </c>
      <c r="C305">
        <v>1</v>
      </c>
      <c r="D305" t="s">
        <v>4166</v>
      </c>
      <c r="E305">
        <v>300</v>
      </c>
      <c r="F305">
        <v>5280</v>
      </c>
      <c r="H305" t="s">
        <v>876</v>
      </c>
      <c r="I305" t="s">
        <v>4587</v>
      </c>
    </row>
    <row r="306" spans="1:9">
      <c r="A306" t="s">
        <v>4589</v>
      </c>
      <c r="B306" t="s">
        <v>4602</v>
      </c>
      <c r="C306">
        <v>1</v>
      </c>
      <c r="D306" t="s">
        <v>4594</v>
      </c>
      <c r="E306" t="s">
        <v>4167</v>
      </c>
      <c r="F306">
        <v>2640</v>
      </c>
      <c r="H306" t="s">
        <v>876</v>
      </c>
      <c r="I306" t="s">
        <v>4587</v>
      </c>
    </row>
    <row r="307" spans="1:9">
      <c r="A307" t="s">
        <v>4589</v>
      </c>
      <c r="B307" t="s">
        <v>4603</v>
      </c>
      <c r="C307">
        <v>1</v>
      </c>
      <c r="D307" t="s">
        <v>4166</v>
      </c>
      <c r="E307">
        <v>37.5</v>
      </c>
      <c r="F307">
        <v>180</v>
      </c>
      <c r="G307" t="s">
        <v>4604</v>
      </c>
      <c r="H307" t="s">
        <v>876</v>
      </c>
      <c r="I307" t="s">
        <v>4587</v>
      </c>
    </row>
    <row r="308" spans="1:9">
      <c r="A308" t="s">
        <v>4589</v>
      </c>
      <c r="B308" t="s">
        <v>4605</v>
      </c>
      <c r="C308">
        <v>1</v>
      </c>
      <c r="D308" t="s">
        <v>4166</v>
      </c>
      <c r="E308">
        <v>300</v>
      </c>
      <c r="F308">
        <v>2860</v>
      </c>
      <c r="H308" t="s">
        <v>876</v>
      </c>
      <c r="I308" t="s">
        <v>4587</v>
      </c>
    </row>
    <row r="309" spans="1:9">
      <c r="A309" t="s">
        <v>4589</v>
      </c>
      <c r="B309" t="s">
        <v>4606</v>
      </c>
      <c r="C309">
        <v>1</v>
      </c>
      <c r="D309" t="s">
        <v>4594</v>
      </c>
      <c r="E309" t="s">
        <v>4167</v>
      </c>
      <c r="F309">
        <v>5280</v>
      </c>
      <c r="H309" t="s">
        <v>876</v>
      </c>
      <c r="I309" t="s">
        <v>4587</v>
      </c>
    </row>
    <row r="310" spans="1:9">
      <c r="A310" t="s">
        <v>4589</v>
      </c>
      <c r="B310" t="s">
        <v>4607</v>
      </c>
      <c r="C310">
        <v>1</v>
      </c>
      <c r="D310" t="s">
        <v>4594</v>
      </c>
      <c r="E310" t="s">
        <v>4167</v>
      </c>
      <c r="F310">
        <v>1320</v>
      </c>
      <c r="H310" t="s">
        <v>876</v>
      </c>
      <c r="I310" t="s">
        <v>4587</v>
      </c>
    </row>
    <row r="311" spans="1:9">
      <c r="A311" t="s">
        <v>4589</v>
      </c>
      <c r="B311" t="s">
        <v>4608</v>
      </c>
      <c r="C311">
        <v>1</v>
      </c>
      <c r="D311" t="s">
        <v>4166</v>
      </c>
      <c r="E311">
        <v>500</v>
      </c>
      <c r="F311">
        <v>2960</v>
      </c>
      <c r="H311" t="s">
        <v>876</v>
      </c>
      <c r="I311" t="s">
        <v>4587</v>
      </c>
    </row>
    <row r="312" spans="1:9">
      <c r="A312" t="s">
        <v>4589</v>
      </c>
      <c r="B312" t="s">
        <v>4609</v>
      </c>
      <c r="C312">
        <v>1</v>
      </c>
      <c r="D312" t="s">
        <v>4166</v>
      </c>
      <c r="E312">
        <v>625</v>
      </c>
      <c r="F312">
        <v>2640</v>
      </c>
      <c r="H312" t="s">
        <v>876</v>
      </c>
      <c r="I312" t="s">
        <v>4587</v>
      </c>
    </row>
    <row r="313" spans="1:9">
      <c r="A313" t="s">
        <v>4589</v>
      </c>
      <c r="B313" t="s">
        <v>4610</v>
      </c>
      <c r="C313">
        <v>1</v>
      </c>
      <c r="D313" t="s">
        <v>4594</v>
      </c>
      <c r="E313" t="s">
        <v>4167</v>
      </c>
      <c r="F313">
        <v>1320</v>
      </c>
      <c r="H313" t="s">
        <v>876</v>
      </c>
      <c r="I313" t="s">
        <v>4587</v>
      </c>
    </row>
    <row r="314" spans="1:9">
      <c r="A314" t="s">
        <v>4589</v>
      </c>
      <c r="B314" t="s">
        <v>4611</v>
      </c>
      <c r="C314">
        <v>1</v>
      </c>
      <c r="D314" t="s">
        <v>4166</v>
      </c>
      <c r="E314">
        <v>550</v>
      </c>
      <c r="F314">
        <v>1760</v>
      </c>
      <c r="H314" t="s">
        <v>876</v>
      </c>
      <c r="I314" t="s">
        <v>4587</v>
      </c>
    </row>
    <row r="315" spans="1:9">
      <c r="A315" t="s">
        <v>4589</v>
      </c>
      <c r="B315" t="s">
        <v>4612</v>
      </c>
      <c r="C315">
        <v>1</v>
      </c>
      <c r="D315" t="s">
        <v>4166</v>
      </c>
      <c r="E315">
        <v>250</v>
      </c>
      <c r="F315">
        <v>4400</v>
      </c>
      <c r="H315" t="s">
        <v>876</v>
      </c>
      <c r="I315" t="s">
        <v>4587</v>
      </c>
    </row>
    <row r="316" spans="1:9">
      <c r="A316" t="s">
        <v>4613</v>
      </c>
      <c r="B316" t="s">
        <v>4614</v>
      </c>
      <c r="C316">
        <v>1</v>
      </c>
      <c r="D316" t="s">
        <v>4166</v>
      </c>
      <c r="E316">
        <v>1</v>
      </c>
      <c r="F316">
        <v>132</v>
      </c>
      <c r="H316" t="s">
        <v>893</v>
      </c>
      <c r="I316" t="s">
        <v>4615</v>
      </c>
    </row>
    <row r="317" spans="1:9">
      <c r="A317" t="s">
        <v>4613</v>
      </c>
      <c r="B317" t="s">
        <v>4616</v>
      </c>
      <c r="C317">
        <v>1</v>
      </c>
      <c r="D317" t="s">
        <v>4166</v>
      </c>
      <c r="E317">
        <v>0.25</v>
      </c>
      <c r="F317">
        <v>44</v>
      </c>
      <c r="H317" t="s">
        <v>893</v>
      </c>
      <c r="I317" t="s">
        <v>4615</v>
      </c>
    </row>
    <row r="318" spans="1:9">
      <c r="A318" t="s">
        <v>4613</v>
      </c>
      <c r="B318" t="s">
        <v>4617</v>
      </c>
      <c r="C318">
        <v>1</v>
      </c>
      <c r="D318" t="s">
        <v>4166</v>
      </c>
      <c r="E318">
        <v>0.2</v>
      </c>
      <c r="F318">
        <v>0.88</v>
      </c>
      <c r="H318" t="s">
        <v>893</v>
      </c>
      <c r="I318" t="s">
        <v>4615</v>
      </c>
    </row>
    <row r="319" spans="1:9">
      <c r="A319" t="s">
        <v>4613</v>
      </c>
      <c r="B319" t="s">
        <v>4618</v>
      </c>
      <c r="C319">
        <v>1</v>
      </c>
      <c r="D319" t="s">
        <v>4166</v>
      </c>
      <c r="E319">
        <v>0.75</v>
      </c>
      <c r="F319">
        <v>125</v>
      </c>
      <c r="H319" t="s">
        <v>893</v>
      </c>
      <c r="I319" t="s">
        <v>4615</v>
      </c>
    </row>
    <row r="320" spans="1:9">
      <c r="A320" t="s">
        <v>4613</v>
      </c>
      <c r="B320" t="s">
        <v>4619</v>
      </c>
      <c r="C320">
        <v>1</v>
      </c>
      <c r="D320" t="s">
        <v>4166</v>
      </c>
      <c r="E320">
        <v>0.75</v>
      </c>
      <c r="F320">
        <v>154</v>
      </c>
      <c r="H320" t="s">
        <v>893</v>
      </c>
      <c r="I320" t="s">
        <v>4615</v>
      </c>
    </row>
    <row r="321" spans="1:9">
      <c r="A321" t="s">
        <v>4613</v>
      </c>
      <c r="B321" t="s">
        <v>4620</v>
      </c>
      <c r="C321">
        <v>1</v>
      </c>
      <c r="D321" t="s">
        <v>4166</v>
      </c>
      <c r="E321">
        <v>2</v>
      </c>
      <c r="F321">
        <v>220</v>
      </c>
      <c r="H321" t="s">
        <v>893</v>
      </c>
      <c r="I321" t="s">
        <v>4615</v>
      </c>
    </row>
    <row r="322" spans="1:9">
      <c r="A322" t="s">
        <v>4613</v>
      </c>
      <c r="B322" t="s">
        <v>4621</v>
      </c>
      <c r="C322">
        <v>1</v>
      </c>
      <c r="D322" t="s">
        <v>4166</v>
      </c>
      <c r="E322">
        <v>1.5</v>
      </c>
      <c r="F322">
        <v>330</v>
      </c>
      <c r="H322" t="s">
        <v>893</v>
      </c>
      <c r="I322" t="s">
        <v>4615</v>
      </c>
    </row>
    <row r="323" spans="1:9">
      <c r="A323" t="s">
        <v>4613</v>
      </c>
      <c r="B323" t="s">
        <v>4622</v>
      </c>
      <c r="C323">
        <v>1</v>
      </c>
      <c r="D323" t="s">
        <v>4166</v>
      </c>
      <c r="E323">
        <v>1</v>
      </c>
      <c r="F323">
        <v>220</v>
      </c>
      <c r="H323" t="s">
        <v>893</v>
      </c>
      <c r="I323" t="s">
        <v>4615</v>
      </c>
    </row>
    <row r="324" spans="1:9">
      <c r="A324" t="s">
        <v>4613</v>
      </c>
      <c r="B324" t="s">
        <v>4623</v>
      </c>
      <c r="C324">
        <v>1</v>
      </c>
      <c r="D324" t="s">
        <v>4166</v>
      </c>
      <c r="E324">
        <v>40</v>
      </c>
      <c r="F324">
        <v>5280</v>
      </c>
      <c r="H324" t="s">
        <v>893</v>
      </c>
      <c r="I324" t="s">
        <v>4624</v>
      </c>
    </row>
    <row r="325" spans="1:9">
      <c r="A325" t="s">
        <v>4613</v>
      </c>
      <c r="B325" t="s">
        <v>4625</v>
      </c>
      <c r="C325">
        <v>1</v>
      </c>
      <c r="D325" t="s">
        <v>4166</v>
      </c>
      <c r="E325">
        <v>2</v>
      </c>
      <c r="F325">
        <v>330</v>
      </c>
      <c r="H325" t="s">
        <v>893</v>
      </c>
      <c r="I325" t="s">
        <v>4624</v>
      </c>
    </row>
    <row r="326" spans="1:9">
      <c r="A326" t="s">
        <v>4613</v>
      </c>
      <c r="B326" t="s">
        <v>4626</v>
      </c>
      <c r="C326">
        <v>1</v>
      </c>
      <c r="D326" t="s">
        <v>4166</v>
      </c>
      <c r="E326">
        <v>2</v>
      </c>
      <c r="F326">
        <v>330</v>
      </c>
      <c r="H326" t="s">
        <v>893</v>
      </c>
      <c r="I326" t="s">
        <v>4624</v>
      </c>
    </row>
    <row r="327" spans="1:9">
      <c r="A327" t="s">
        <v>4613</v>
      </c>
      <c r="B327" t="s">
        <v>4627</v>
      </c>
      <c r="C327">
        <v>1</v>
      </c>
      <c r="D327" t="s">
        <v>4166</v>
      </c>
      <c r="E327">
        <v>35</v>
      </c>
      <c r="F327">
        <v>13200</v>
      </c>
      <c r="H327" t="s">
        <v>893</v>
      </c>
      <c r="I327" t="s">
        <v>4624</v>
      </c>
    </row>
    <row r="328" spans="1:9">
      <c r="A328" t="s">
        <v>4613</v>
      </c>
      <c r="B328" t="s">
        <v>4628</v>
      </c>
      <c r="C328">
        <v>1</v>
      </c>
      <c r="D328" t="s">
        <v>4166</v>
      </c>
      <c r="E328">
        <v>3</v>
      </c>
      <c r="F328">
        <v>220</v>
      </c>
      <c r="H328" t="s">
        <v>893</v>
      </c>
      <c r="I328" t="s">
        <v>4629</v>
      </c>
    </row>
    <row r="329" spans="1:9">
      <c r="A329" t="s">
        <v>4613</v>
      </c>
      <c r="B329" t="s">
        <v>4630</v>
      </c>
      <c r="C329">
        <v>1</v>
      </c>
      <c r="D329" t="s">
        <v>4166</v>
      </c>
      <c r="E329">
        <v>1</v>
      </c>
      <c r="F329">
        <v>220</v>
      </c>
      <c r="H329" t="s">
        <v>893</v>
      </c>
      <c r="I329" t="s">
        <v>4629</v>
      </c>
    </row>
    <row r="330" spans="1:9">
      <c r="A330" t="s">
        <v>4613</v>
      </c>
      <c r="B330" t="s">
        <v>4631</v>
      </c>
      <c r="C330">
        <v>1</v>
      </c>
      <c r="D330" t="s">
        <v>4166</v>
      </c>
      <c r="E330">
        <v>2.5</v>
      </c>
      <c r="F330">
        <v>88</v>
      </c>
      <c r="H330" t="s">
        <v>893</v>
      </c>
      <c r="I330" t="s">
        <v>4629</v>
      </c>
    </row>
    <row r="331" spans="1:9">
      <c r="A331" t="s">
        <v>4613</v>
      </c>
      <c r="B331" t="s">
        <v>4632</v>
      </c>
      <c r="C331">
        <v>1</v>
      </c>
      <c r="D331" t="s">
        <v>4166</v>
      </c>
      <c r="E331">
        <v>0.5</v>
      </c>
      <c r="F331">
        <v>22</v>
      </c>
      <c r="H331" t="s">
        <v>893</v>
      </c>
      <c r="I331" t="s">
        <v>4629</v>
      </c>
    </row>
    <row r="332" spans="1:9">
      <c r="A332" t="s">
        <v>4613</v>
      </c>
      <c r="B332" t="s">
        <v>4633</v>
      </c>
      <c r="C332">
        <v>1</v>
      </c>
      <c r="D332" t="s">
        <v>4166</v>
      </c>
      <c r="E332">
        <v>2</v>
      </c>
      <c r="F332">
        <v>44</v>
      </c>
      <c r="H332" t="s">
        <v>893</v>
      </c>
      <c r="I332" t="s">
        <v>4629</v>
      </c>
    </row>
    <row r="333" spans="1:9">
      <c r="A333" t="s">
        <v>4634</v>
      </c>
      <c r="B333" t="s">
        <v>4635</v>
      </c>
      <c r="C333">
        <v>1</v>
      </c>
      <c r="D333" t="s">
        <v>4636</v>
      </c>
      <c r="E333" t="s">
        <v>4167</v>
      </c>
      <c r="F333">
        <v>1300</v>
      </c>
      <c r="H333" t="s">
        <v>900</v>
      </c>
      <c r="I333" t="s">
        <v>4637</v>
      </c>
    </row>
    <row r="334" spans="1:9">
      <c r="A334" t="s">
        <v>4634</v>
      </c>
      <c r="B334" t="s">
        <v>4638</v>
      </c>
      <c r="C334">
        <v>1</v>
      </c>
      <c r="D334" t="s">
        <v>4636</v>
      </c>
      <c r="E334" t="s">
        <v>4167</v>
      </c>
      <c r="F334">
        <v>30</v>
      </c>
      <c r="H334" t="s">
        <v>900</v>
      </c>
      <c r="I334" t="s">
        <v>4637</v>
      </c>
    </row>
    <row r="335" spans="1:9">
      <c r="A335" t="s">
        <v>4634</v>
      </c>
      <c r="B335" t="s">
        <v>4639</v>
      </c>
      <c r="C335">
        <v>1</v>
      </c>
      <c r="D335" t="s">
        <v>4636</v>
      </c>
      <c r="E335" t="s">
        <v>4167</v>
      </c>
      <c r="F335">
        <v>17.7</v>
      </c>
      <c r="H335" t="s">
        <v>900</v>
      </c>
      <c r="I335" t="s">
        <v>4637</v>
      </c>
    </row>
    <row r="336" spans="1:9">
      <c r="A336" t="s">
        <v>4634</v>
      </c>
      <c r="B336" t="s">
        <v>4640</v>
      </c>
      <c r="C336">
        <v>1</v>
      </c>
      <c r="D336" t="s">
        <v>4636</v>
      </c>
      <c r="E336" t="s">
        <v>4167</v>
      </c>
      <c r="F336">
        <v>40</v>
      </c>
      <c r="H336" t="s">
        <v>900</v>
      </c>
      <c r="I336" t="s">
        <v>4637</v>
      </c>
    </row>
    <row r="337" spans="1:9">
      <c r="A337" t="s">
        <v>4286</v>
      </c>
      <c r="B337" t="s">
        <v>4641</v>
      </c>
      <c r="C337">
        <v>1</v>
      </c>
      <c r="D337" t="s">
        <v>4308</v>
      </c>
      <c r="E337">
        <v>2.5000000000000001E-2</v>
      </c>
      <c r="F337">
        <v>0.4</v>
      </c>
      <c r="H337" t="s">
        <v>900</v>
      </c>
      <c r="I337" t="s">
        <v>4642</v>
      </c>
    </row>
    <row r="338" spans="1:9">
      <c r="A338" t="s">
        <v>4286</v>
      </c>
      <c r="B338" t="s">
        <v>4643</v>
      </c>
      <c r="C338">
        <v>1</v>
      </c>
      <c r="D338" t="s">
        <v>4308</v>
      </c>
      <c r="E338">
        <v>0.2</v>
      </c>
      <c r="F338">
        <v>0.5</v>
      </c>
      <c r="H338" t="s">
        <v>900</v>
      </c>
      <c r="I338" t="s">
        <v>4642</v>
      </c>
    </row>
    <row r="339" spans="1:9">
      <c r="A339" t="s">
        <v>4644</v>
      </c>
      <c r="B339" t="s">
        <v>4645</v>
      </c>
      <c r="C339">
        <v>30</v>
      </c>
      <c r="D339" t="s">
        <v>4646</v>
      </c>
      <c r="E339" t="s">
        <v>4167</v>
      </c>
      <c r="F339">
        <v>110</v>
      </c>
      <c r="H339" t="s">
        <v>257</v>
      </c>
      <c r="I339" t="s">
        <v>4647</v>
      </c>
    </row>
    <row r="340" spans="1:9">
      <c r="A340" t="s">
        <v>4644</v>
      </c>
      <c r="B340" t="s">
        <v>4648</v>
      </c>
      <c r="C340">
        <v>7</v>
      </c>
      <c r="D340" t="s">
        <v>4646</v>
      </c>
      <c r="E340" t="s">
        <v>4167</v>
      </c>
      <c r="F340">
        <v>13.2</v>
      </c>
      <c r="G340" t="s">
        <v>4649</v>
      </c>
      <c r="H340" t="s">
        <v>257</v>
      </c>
      <c r="I340" t="s">
        <v>4647</v>
      </c>
    </row>
    <row r="341" spans="1:9">
      <c r="A341" t="s">
        <v>4644</v>
      </c>
      <c r="B341" t="s">
        <v>4650</v>
      </c>
      <c r="C341">
        <v>7</v>
      </c>
      <c r="D341" t="s">
        <v>4646</v>
      </c>
      <c r="E341" t="s">
        <v>4167</v>
      </c>
      <c r="F341">
        <v>5</v>
      </c>
      <c r="H341" t="s">
        <v>257</v>
      </c>
      <c r="I341" t="s">
        <v>4647</v>
      </c>
    </row>
    <row r="342" spans="1:9">
      <c r="A342" t="s">
        <v>4644</v>
      </c>
      <c r="B342" t="s">
        <v>4651</v>
      </c>
      <c r="C342">
        <v>1</v>
      </c>
      <c r="D342" t="s">
        <v>4646</v>
      </c>
      <c r="E342" t="s">
        <v>4167</v>
      </c>
      <c r="F342">
        <v>0.1</v>
      </c>
      <c r="H342" t="s">
        <v>257</v>
      </c>
      <c r="I342" t="s">
        <v>4647</v>
      </c>
    </row>
    <row r="343" spans="1:9">
      <c r="A343" t="s">
        <v>4644</v>
      </c>
      <c r="B343" t="s">
        <v>4652</v>
      </c>
      <c r="C343">
        <v>7</v>
      </c>
      <c r="D343" t="s">
        <v>4646</v>
      </c>
      <c r="E343" t="s">
        <v>4167</v>
      </c>
      <c r="F343">
        <v>13</v>
      </c>
      <c r="G343" t="s">
        <v>4653</v>
      </c>
      <c r="H343" t="s">
        <v>257</v>
      </c>
      <c r="I343" t="s">
        <v>4647</v>
      </c>
    </row>
    <row r="344" spans="1:9">
      <c r="A344" t="s">
        <v>4644</v>
      </c>
      <c r="B344" t="s">
        <v>4654</v>
      </c>
      <c r="C344">
        <v>30</v>
      </c>
      <c r="D344" t="s">
        <v>4646</v>
      </c>
      <c r="E344" t="s">
        <v>4167</v>
      </c>
      <c r="F344">
        <v>35</v>
      </c>
      <c r="H344" t="s">
        <v>257</v>
      </c>
      <c r="I344" t="s">
        <v>4647</v>
      </c>
    </row>
    <row r="345" spans="1:9">
      <c r="A345" t="s">
        <v>4644</v>
      </c>
      <c r="B345" t="s">
        <v>4655</v>
      </c>
      <c r="C345">
        <v>1</v>
      </c>
      <c r="D345" t="s">
        <v>4646</v>
      </c>
      <c r="E345" t="s">
        <v>4167</v>
      </c>
      <c r="F345">
        <v>8</v>
      </c>
      <c r="H345" t="s">
        <v>257</v>
      </c>
      <c r="I345" t="s">
        <v>4647</v>
      </c>
    </row>
    <row r="346" spans="1:9">
      <c r="A346" t="s">
        <v>4644</v>
      </c>
      <c r="B346" t="s">
        <v>4656</v>
      </c>
      <c r="C346">
        <v>7</v>
      </c>
      <c r="D346" t="s">
        <v>4646</v>
      </c>
      <c r="E346" t="s">
        <v>4167</v>
      </c>
      <c r="F346">
        <v>2</v>
      </c>
      <c r="G346" t="s">
        <v>4657</v>
      </c>
      <c r="H346" t="s">
        <v>257</v>
      </c>
      <c r="I346" t="s">
        <v>4647</v>
      </c>
    </row>
    <row r="347" spans="1:9">
      <c r="A347" t="s">
        <v>4644</v>
      </c>
      <c r="B347" t="s">
        <v>4658</v>
      </c>
      <c r="C347">
        <v>30</v>
      </c>
      <c r="D347" t="s">
        <v>4646</v>
      </c>
      <c r="E347" t="s">
        <v>4167</v>
      </c>
      <c r="F347">
        <v>50</v>
      </c>
      <c r="H347" t="s">
        <v>257</v>
      </c>
      <c r="I347" t="s">
        <v>4647</v>
      </c>
    </row>
    <row r="348" spans="1:9">
      <c r="A348" t="s">
        <v>4644</v>
      </c>
      <c r="B348" t="s">
        <v>4659</v>
      </c>
      <c r="C348">
        <v>30</v>
      </c>
      <c r="D348" t="s">
        <v>4646</v>
      </c>
      <c r="E348" t="s">
        <v>4167</v>
      </c>
      <c r="F348">
        <v>80</v>
      </c>
      <c r="H348" t="s">
        <v>257</v>
      </c>
      <c r="I348" t="s">
        <v>4647</v>
      </c>
    </row>
    <row r="349" spans="1:9">
      <c r="A349" t="s">
        <v>4644</v>
      </c>
      <c r="B349" t="s">
        <v>4660</v>
      </c>
      <c r="C349">
        <v>30</v>
      </c>
      <c r="D349" t="s">
        <v>4646</v>
      </c>
      <c r="E349" t="s">
        <v>4167</v>
      </c>
      <c r="F349">
        <v>8</v>
      </c>
      <c r="H349" t="s">
        <v>257</v>
      </c>
      <c r="I349" t="s">
        <v>4647</v>
      </c>
    </row>
    <row r="350" spans="1:9">
      <c r="A350" t="s">
        <v>4644</v>
      </c>
      <c r="B350" t="s">
        <v>4661</v>
      </c>
      <c r="C350">
        <v>30</v>
      </c>
      <c r="D350" t="s">
        <v>4646</v>
      </c>
      <c r="E350" t="s">
        <v>4167</v>
      </c>
      <c r="F350">
        <v>30</v>
      </c>
      <c r="H350" t="s">
        <v>257</v>
      </c>
      <c r="I350" t="s">
        <v>4647</v>
      </c>
    </row>
    <row r="351" spans="1:9">
      <c r="A351" t="s">
        <v>4644</v>
      </c>
      <c r="B351" t="s">
        <v>4662</v>
      </c>
      <c r="C351">
        <v>30</v>
      </c>
      <c r="D351" t="s">
        <v>4646</v>
      </c>
      <c r="E351" t="s">
        <v>4167</v>
      </c>
      <c r="F351">
        <v>40</v>
      </c>
      <c r="H351" t="s">
        <v>257</v>
      </c>
      <c r="I351" t="s">
        <v>4647</v>
      </c>
    </row>
    <row r="352" spans="1:9">
      <c r="A352" t="s">
        <v>4644</v>
      </c>
      <c r="B352" t="s">
        <v>4663</v>
      </c>
      <c r="C352">
        <v>1</v>
      </c>
      <c r="D352" t="s">
        <v>4646</v>
      </c>
      <c r="E352" t="s">
        <v>4167</v>
      </c>
      <c r="F352">
        <v>2.5</v>
      </c>
      <c r="H352" t="s">
        <v>257</v>
      </c>
      <c r="I352" t="s">
        <v>4647</v>
      </c>
    </row>
    <row r="353" spans="1:9">
      <c r="A353" t="s">
        <v>4644</v>
      </c>
      <c r="B353" t="s">
        <v>4664</v>
      </c>
      <c r="C353">
        <v>1</v>
      </c>
      <c r="D353" t="s">
        <v>4646</v>
      </c>
      <c r="E353" t="s">
        <v>4167</v>
      </c>
      <c r="F353">
        <v>1.3</v>
      </c>
      <c r="H353" t="s">
        <v>257</v>
      </c>
      <c r="I353" t="s">
        <v>4647</v>
      </c>
    </row>
    <row r="354" spans="1:9">
      <c r="A354" t="s">
        <v>4644</v>
      </c>
      <c r="B354" t="s">
        <v>4665</v>
      </c>
      <c r="C354">
        <v>30</v>
      </c>
      <c r="D354" t="s">
        <v>4646</v>
      </c>
      <c r="E354" t="s">
        <v>4167</v>
      </c>
      <c r="F354">
        <v>15</v>
      </c>
      <c r="H354" t="s">
        <v>257</v>
      </c>
      <c r="I354" t="s">
        <v>4647</v>
      </c>
    </row>
    <row r="355" spans="1:9">
      <c r="A355" t="s">
        <v>4644</v>
      </c>
      <c r="B355" t="s">
        <v>4666</v>
      </c>
      <c r="C355">
        <v>1</v>
      </c>
      <c r="D355" t="s">
        <v>4646</v>
      </c>
      <c r="E355" t="s">
        <v>4167</v>
      </c>
      <c r="F355">
        <v>0.3</v>
      </c>
      <c r="H355" t="s">
        <v>257</v>
      </c>
      <c r="I355" t="s">
        <v>4647</v>
      </c>
    </row>
    <row r="356" spans="1:9">
      <c r="A356" t="s">
        <v>4644</v>
      </c>
      <c r="B356" t="s">
        <v>4667</v>
      </c>
      <c r="C356">
        <v>7</v>
      </c>
      <c r="D356" t="s">
        <v>4646</v>
      </c>
      <c r="E356" t="s">
        <v>4167</v>
      </c>
      <c r="F356">
        <v>3</v>
      </c>
      <c r="G356" t="s">
        <v>4668</v>
      </c>
      <c r="H356" t="s">
        <v>257</v>
      </c>
      <c r="I356" t="s">
        <v>4647</v>
      </c>
    </row>
    <row r="357" spans="1:9">
      <c r="A357" t="s">
        <v>4669</v>
      </c>
      <c r="B357" t="s">
        <v>4670</v>
      </c>
      <c r="C357">
        <v>5</v>
      </c>
      <c r="D357" t="s">
        <v>4308</v>
      </c>
      <c r="E357">
        <v>7.5</v>
      </c>
      <c r="F357">
        <v>2.5</v>
      </c>
      <c r="H357" t="s">
        <v>257</v>
      </c>
      <c r="I357" t="s">
        <v>4647</v>
      </c>
    </row>
    <row r="358" spans="1:9">
      <c r="A358" t="s">
        <v>4669</v>
      </c>
      <c r="B358" t="s">
        <v>4671</v>
      </c>
      <c r="C358">
        <v>1</v>
      </c>
      <c r="D358" t="s">
        <v>4672</v>
      </c>
      <c r="E358">
        <v>1</v>
      </c>
      <c r="F358">
        <v>0.03</v>
      </c>
      <c r="H358" t="s">
        <v>257</v>
      </c>
      <c r="I358" t="s">
        <v>4647</v>
      </c>
    </row>
    <row r="359" spans="1:9">
      <c r="A359" t="s">
        <v>4669</v>
      </c>
      <c r="B359" t="s">
        <v>4673</v>
      </c>
      <c r="C359">
        <v>1</v>
      </c>
      <c r="D359" t="s">
        <v>4308</v>
      </c>
      <c r="E359">
        <v>1</v>
      </c>
      <c r="F359">
        <v>0.05</v>
      </c>
      <c r="H359" t="s">
        <v>257</v>
      </c>
      <c r="I359" t="s">
        <v>4647</v>
      </c>
    </row>
    <row r="360" spans="1:9">
      <c r="A360" t="s">
        <v>4669</v>
      </c>
      <c r="B360" t="s">
        <v>4674</v>
      </c>
      <c r="C360">
        <v>1</v>
      </c>
      <c r="D360" t="s">
        <v>4308</v>
      </c>
      <c r="E360">
        <v>0.8</v>
      </c>
      <c r="F360">
        <v>0.1</v>
      </c>
      <c r="H360" t="s">
        <v>257</v>
      </c>
      <c r="I360" t="s">
        <v>4647</v>
      </c>
    </row>
    <row r="361" spans="1:9">
      <c r="A361" t="s">
        <v>4669</v>
      </c>
      <c r="B361" t="s">
        <v>4675</v>
      </c>
      <c r="C361">
        <v>1</v>
      </c>
      <c r="D361" t="s">
        <v>4308</v>
      </c>
      <c r="E361">
        <v>0.5</v>
      </c>
      <c r="F361">
        <v>0.15</v>
      </c>
      <c r="H361" t="s">
        <v>257</v>
      </c>
      <c r="I361" t="s">
        <v>4647</v>
      </c>
    </row>
    <row r="362" spans="1:9">
      <c r="A362" t="s">
        <v>4669</v>
      </c>
      <c r="B362" t="s">
        <v>4676</v>
      </c>
      <c r="C362">
        <v>1</v>
      </c>
      <c r="D362" t="s">
        <v>4308</v>
      </c>
      <c r="E362">
        <v>0.5</v>
      </c>
      <c r="F362">
        <v>0.25</v>
      </c>
      <c r="H362" t="s">
        <v>257</v>
      </c>
      <c r="I362" t="s">
        <v>4647</v>
      </c>
    </row>
    <row r="363" spans="1:9">
      <c r="A363" t="s">
        <v>4669</v>
      </c>
      <c r="B363" t="s">
        <v>4677</v>
      </c>
      <c r="C363">
        <v>1</v>
      </c>
      <c r="D363" t="s">
        <v>4308</v>
      </c>
      <c r="E363">
        <v>0.5</v>
      </c>
      <c r="F363">
        <v>0.35</v>
      </c>
      <c r="H363" t="s">
        <v>257</v>
      </c>
      <c r="I363" t="s">
        <v>4647</v>
      </c>
    </row>
    <row r="364" spans="1:9">
      <c r="A364" t="s">
        <v>4669</v>
      </c>
      <c r="B364" t="s">
        <v>4678</v>
      </c>
      <c r="C364">
        <v>1</v>
      </c>
      <c r="D364" t="s">
        <v>4308</v>
      </c>
      <c r="E364">
        <v>0.5</v>
      </c>
      <c r="F364">
        <v>0.05</v>
      </c>
      <c r="H364" t="s">
        <v>257</v>
      </c>
      <c r="I364" t="s">
        <v>4647</v>
      </c>
    </row>
    <row r="365" spans="1:9">
      <c r="A365" t="s">
        <v>4669</v>
      </c>
      <c r="B365" t="s">
        <v>4679</v>
      </c>
      <c r="C365">
        <v>2</v>
      </c>
      <c r="D365" t="s">
        <v>4308</v>
      </c>
      <c r="E365">
        <v>2</v>
      </c>
      <c r="F365">
        <v>0.9</v>
      </c>
      <c r="H365" t="s">
        <v>257</v>
      </c>
      <c r="I365" t="s">
        <v>4647</v>
      </c>
    </row>
    <row r="366" spans="1:9">
      <c r="A366" t="s">
        <v>4669</v>
      </c>
      <c r="B366" t="s">
        <v>4680</v>
      </c>
      <c r="C366">
        <v>1</v>
      </c>
      <c r="D366" t="s">
        <v>4308</v>
      </c>
      <c r="E366">
        <v>0.5</v>
      </c>
      <c r="F366">
        <v>0.1</v>
      </c>
      <c r="H366" t="s">
        <v>257</v>
      </c>
      <c r="I366" t="s">
        <v>4647</v>
      </c>
    </row>
    <row r="367" spans="1:9">
      <c r="A367" t="s">
        <v>4669</v>
      </c>
      <c r="B367" t="s">
        <v>4681</v>
      </c>
      <c r="C367">
        <v>1</v>
      </c>
      <c r="D367" t="s">
        <v>4672</v>
      </c>
      <c r="E367">
        <v>0.2</v>
      </c>
      <c r="F367">
        <v>0.5</v>
      </c>
      <c r="H367" t="s">
        <v>257</v>
      </c>
      <c r="I367" t="s">
        <v>4647</v>
      </c>
    </row>
    <row r="368" spans="1:9">
      <c r="A368" t="s">
        <v>4669</v>
      </c>
      <c r="B368" t="s">
        <v>4682</v>
      </c>
      <c r="C368">
        <v>1</v>
      </c>
      <c r="D368" t="s">
        <v>4672</v>
      </c>
      <c r="E368">
        <v>0.3</v>
      </c>
      <c r="F368">
        <v>1.4999999999999999E-2</v>
      </c>
      <c r="H368" t="s">
        <v>257</v>
      </c>
      <c r="I368" t="s">
        <v>4647</v>
      </c>
    </row>
    <row r="369" spans="1:9">
      <c r="A369" t="s">
        <v>4669</v>
      </c>
      <c r="B369" t="s">
        <v>4683</v>
      </c>
      <c r="C369">
        <v>10</v>
      </c>
      <c r="D369" t="s">
        <v>4308</v>
      </c>
      <c r="E369">
        <v>20</v>
      </c>
      <c r="F369">
        <v>1.2</v>
      </c>
      <c r="H369" t="s">
        <v>257</v>
      </c>
      <c r="I369" t="s">
        <v>4647</v>
      </c>
    </row>
    <row r="370" spans="1:9">
      <c r="A370" t="s">
        <v>4669</v>
      </c>
      <c r="B370" t="s">
        <v>4684</v>
      </c>
      <c r="C370">
        <v>1</v>
      </c>
      <c r="D370" t="s">
        <v>4672</v>
      </c>
      <c r="E370">
        <v>0.2</v>
      </c>
      <c r="F370">
        <v>0.5</v>
      </c>
      <c r="H370" t="s">
        <v>257</v>
      </c>
      <c r="I370" t="s">
        <v>4647</v>
      </c>
    </row>
    <row r="371" spans="1:9">
      <c r="A371" t="s">
        <v>4669</v>
      </c>
      <c r="B371" t="s">
        <v>4685</v>
      </c>
      <c r="C371">
        <v>1</v>
      </c>
      <c r="D371" t="s">
        <v>4672</v>
      </c>
      <c r="E371">
        <v>0.3</v>
      </c>
      <c r="F371">
        <v>0.1</v>
      </c>
      <c r="H371" t="s">
        <v>257</v>
      </c>
      <c r="I371" t="s">
        <v>4647</v>
      </c>
    </row>
    <row r="372" spans="1:9">
      <c r="A372" t="s">
        <v>4669</v>
      </c>
      <c r="B372" t="s">
        <v>4686</v>
      </c>
      <c r="C372">
        <v>1</v>
      </c>
      <c r="D372" t="s">
        <v>4672</v>
      </c>
      <c r="E372">
        <v>0.1</v>
      </c>
      <c r="F372">
        <v>0.35</v>
      </c>
      <c r="H372" t="s">
        <v>257</v>
      </c>
      <c r="I372" t="s">
        <v>4647</v>
      </c>
    </row>
    <row r="373" spans="1:9">
      <c r="A373" t="s">
        <v>4669</v>
      </c>
      <c r="B373" t="s">
        <v>4687</v>
      </c>
      <c r="C373">
        <v>1</v>
      </c>
      <c r="D373" t="s">
        <v>4672</v>
      </c>
      <c r="E373">
        <v>0.2</v>
      </c>
      <c r="F373">
        <v>0.05</v>
      </c>
      <c r="H373" t="s">
        <v>257</v>
      </c>
      <c r="I373" t="s">
        <v>4647</v>
      </c>
    </row>
    <row r="374" spans="1:9">
      <c r="A374" t="s">
        <v>4669</v>
      </c>
      <c r="B374" t="s">
        <v>4688</v>
      </c>
      <c r="C374">
        <v>1</v>
      </c>
      <c r="D374" t="s">
        <v>4672</v>
      </c>
      <c r="E374">
        <v>1</v>
      </c>
      <c r="F374">
        <v>0.05</v>
      </c>
      <c r="H374" t="s">
        <v>257</v>
      </c>
      <c r="I374" t="s">
        <v>4647</v>
      </c>
    </row>
    <row r="375" spans="1:9">
      <c r="A375" t="s">
        <v>4669</v>
      </c>
      <c r="B375" t="s">
        <v>4689</v>
      </c>
      <c r="C375">
        <v>1</v>
      </c>
      <c r="D375" t="s">
        <v>4672</v>
      </c>
      <c r="E375">
        <v>0.3</v>
      </c>
      <c r="F375">
        <v>2.5000000000000001E-2</v>
      </c>
      <c r="H375" t="s">
        <v>257</v>
      </c>
      <c r="I375" t="s">
        <v>4647</v>
      </c>
    </row>
    <row r="376" spans="1:9">
      <c r="A376" t="s">
        <v>4669</v>
      </c>
      <c r="B376" t="s">
        <v>4690</v>
      </c>
      <c r="C376">
        <v>1</v>
      </c>
      <c r="D376" t="s">
        <v>4672</v>
      </c>
      <c r="E376">
        <v>0.5</v>
      </c>
      <c r="F376">
        <v>5.0000000000000001E-3</v>
      </c>
      <c r="H376" t="s">
        <v>257</v>
      </c>
      <c r="I376" t="s">
        <v>4647</v>
      </c>
    </row>
    <row r="377" spans="1:9">
      <c r="A377" t="s">
        <v>4669</v>
      </c>
      <c r="B377" t="s">
        <v>4691</v>
      </c>
      <c r="C377">
        <v>1</v>
      </c>
      <c r="D377" t="s">
        <v>4672</v>
      </c>
      <c r="E377">
        <v>0.3</v>
      </c>
      <c r="F377">
        <v>0.25</v>
      </c>
      <c r="H377" t="s">
        <v>257</v>
      </c>
      <c r="I377" t="s">
        <v>4647</v>
      </c>
    </row>
    <row r="378" spans="1:9">
      <c r="A378" t="s">
        <v>4669</v>
      </c>
      <c r="B378" t="s">
        <v>4692</v>
      </c>
      <c r="C378">
        <v>1</v>
      </c>
      <c r="D378" t="s">
        <v>4672</v>
      </c>
      <c r="E378">
        <v>0.3</v>
      </c>
      <c r="F378">
        <v>4.4999999999999998E-2</v>
      </c>
      <c r="H378" t="s">
        <v>257</v>
      </c>
      <c r="I378" t="s">
        <v>4647</v>
      </c>
    </row>
    <row r="379" spans="1:9">
      <c r="A379" t="s">
        <v>4669</v>
      </c>
      <c r="B379" t="s">
        <v>4693</v>
      </c>
      <c r="C379">
        <v>1</v>
      </c>
      <c r="D379" t="s">
        <v>4672</v>
      </c>
      <c r="E379">
        <v>0.1</v>
      </c>
      <c r="F379">
        <v>0.35</v>
      </c>
      <c r="H379" t="s">
        <v>257</v>
      </c>
      <c r="I379" t="s">
        <v>4647</v>
      </c>
    </row>
    <row r="380" spans="1:9">
      <c r="A380" t="s">
        <v>4286</v>
      </c>
      <c r="B380" t="s">
        <v>4694</v>
      </c>
      <c r="C380">
        <v>2</v>
      </c>
      <c r="D380" t="s">
        <v>4308</v>
      </c>
      <c r="E380">
        <v>1</v>
      </c>
      <c r="F380">
        <v>1</v>
      </c>
      <c r="H380" t="s">
        <v>257</v>
      </c>
      <c r="I380" t="s">
        <v>4695</v>
      </c>
    </row>
    <row r="381" spans="1:9">
      <c r="A381" t="s">
        <v>4455</v>
      </c>
      <c r="B381" t="s">
        <v>4696</v>
      </c>
      <c r="C381">
        <v>1</v>
      </c>
      <c r="D381" t="s">
        <v>4166</v>
      </c>
      <c r="E381">
        <v>0.1</v>
      </c>
      <c r="F381">
        <v>45</v>
      </c>
      <c r="H381" t="s">
        <v>257</v>
      </c>
      <c r="I381" t="s">
        <v>4695</v>
      </c>
    </row>
    <row r="382" spans="1:9">
      <c r="A382" t="s">
        <v>4517</v>
      </c>
      <c r="B382" t="s">
        <v>4697</v>
      </c>
      <c r="C382">
        <v>1</v>
      </c>
      <c r="D382" t="s">
        <v>4636</v>
      </c>
      <c r="E382">
        <v>1</v>
      </c>
      <c r="F382">
        <v>2.2000000000000002</v>
      </c>
      <c r="H382" t="s">
        <v>257</v>
      </c>
      <c r="I382" t="s">
        <v>4695</v>
      </c>
    </row>
    <row r="383" spans="1:9">
      <c r="A383" t="s">
        <v>4284</v>
      </c>
      <c r="B383" t="s">
        <v>4698</v>
      </c>
      <c r="C383">
        <v>1</v>
      </c>
      <c r="D383" t="s">
        <v>4357</v>
      </c>
      <c r="E383">
        <v>4</v>
      </c>
      <c r="F383">
        <v>2.2000000000000002</v>
      </c>
      <c r="H383" t="s">
        <v>257</v>
      </c>
      <c r="I383" t="s">
        <v>4695</v>
      </c>
    </row>
    <row r="384" spans="1:9">
      <c r="A384" t="s">
        <v>4397</v>
      </c>
      <c r="B384" t="s">
        <v>4699</v>
      </c>
      <c r="C384">
        <v>1</v>
      </c>
      <c r="D384" t="s">
        <v>4357</v>
      </c>
      <c r="E384">
        <v>0.6</v>
      </c>
      <c r="F384">
        <v>3.52</v>
      </c>
      <c r="H384" t="s">
        <v>257</v>
      </c>
      <c r="I384" t="s">
        <v>4695</v>
      </c>
    </row>
    <row r="385" spans="1:9">
      <c r="A385" t="s">
        <v>4268</v>
      </c>
      <c r="B385" t="s">
        <v>4700</v>
      </c>
      <c r="C385">
        <v>1</v>
      </c>
      <c r="D385" t="s">
        <v>4357</v>
      </c>
      <c r="E385">
        <v>0.05</v>
      </c>
      <c r="F385">
        <v>3.5</v>
      </c>
      <c r="H385" t="s">
        <v>257</v>
      </c>
      <c r="I385" t="s">
        <v>4695</v>
      </c>
    </row>
    <row r="386" spans="1:9">
      <c r="A386" t="s">
        <v>4268</v>
      </c>
      <c r="B386" t="s">
        <v>4701</v>
      </c>
      <c r="C386">
        <v>1</v>
      </c>
      <c r="D386" t="s">
        <v>4166</v>
      </c>
      <c r="E386">
        <v>0.5</v>
      </c>
      <c r="F386">
        <v>0.54</v>
      </c>
      <c r="H386" t="s">
        <v>257</v>
      </c>
      <c r="I386" t="s">
        <v>4695</v>
      </c>
    </row>
    <row r="387" spans="1:9">
      <c r="A387" t="s">
        <v>4702</v>
      </c>
      <c r="B387" t="s">
        <v>4703</v>
      </c>
      <c r="C387">
        <v>1</v>
      </c>
      <c r="D387" t="s">
        <v>4166</v>
      </c>
      <c r="E387" t="s">
        <v>4167</v>
      </c>
      <c r="F387">
        <v>180</v>
      </c>
      <c r="H387" t="s">
        <v>257</v>
      </c>
      <c r="I387" t="s">
        <v>4704</v>
      </c>
    </row>
    <row r="388" spans="1:9">
      <c r="A388" t="s">
        <v>4702</v>
      </c>
      <c r="B388" t="s">
        <v>4705</v>
      </c>
      <c r="C388">
        <v>1</v>
      </c>
      <c r="D388" t="s">
        <v>4166</v>
      </c>
      <c r="E388" t="s">
        <v>4167</v>
      </c>
      <c r="F388">
        <v>80</v>
      </c>
      <c r="H388" t="s">
        <v>257</v>
      </c>
      <c r="I388" t="s">
        <v>4704</v>
      </c>
    </row>
    <row r="389" spans="1:9">
      <c r="A389" t="s">
        <v>4702</v>
      </c>
      <c r="B389" t="s">
        <v>4706</v>
      </c>
      <c r="C389">
        <v>1</v>
      </c>
      <c r="D389" t="s">
        <v>4166</v>
      </c>
      <c r="E389" t="s">
        <v>4167</v>
      </c>
      <c r="F389">
        <v>160</v>
      </c>
      <c r="H389" t="s">
        <v>257</v>
      </c>
      <c r="I389" t="s">
        <v>4704</v>
      </c>
    </row>
    <row r="390" spans="1:9">
      <c r="A390" t="s">
        <v>4702</v>
      </c>
      <c r="B390" t="s">
        <v>4707</v>
      </c>
      <c r="C390">
        <v>1</v>
      </c>
      <c r="D390" t="s">
        <v>4166</v>
      </c>
      <c r="E390" t="s">
        <v>4167</v>
      </c>
      <c r="F390">
        <v>120</v>
      </c>
      <c r="H390" t="s">
        <v>257</v>
      </c>
      <c r="I390" t="s">
        <v>4704</v>
      </c>
    </row>
    <row r="391" spans="1:9">
      <c r="A391" t="s">
        <v>4702</v>
      </c>
      <c r="B391" t="s">
        <v>4708</v>
      </c>
      <c r="C391">
        <v>1</v>
      </c>
      <c r="D391" t="s">
        <v>4166</v>
      </c>
      <c r="E391" t="s">
        <v>4167</v>
      </c>
      <c r="F391">
        <v>500</v>
      </c>
      <c r="H391" t="s">
        <v>257</v>
      </c>
      <c r="I391" t="s">
        <v>4704</v>
      </c>
    </row>
    <row r="392" spans="1:9">
      <c r="A392" t="s">
        <v>4702</v>
      </c>
      <c r="B392" t="s">
        <v>4709</v>
      </c>
      <c r="C392">
        <v>1</v>
      </c>
      <c r="D392" t="s">
        <v>4166</v>
      </c>
      <c r="E392" t="s">
        <v>4167</v>
      </c>
      <c r="F392">
        <v>38</v>
      </c>
      <c r="H392" t="s">
        <v>257</v>
      </c>
      <c r="I392" t="s">
        <v>4704</v>
      </c>
    </row>
    <row r="393" spans="1:9">
      <c r="A393" t="s">
        <v>4702</v>
      </c>
      <c r="B393" t="s">
        <v>4710</v>
      </c>
      <c r="C393">
        <v>1</v>
      </c>
      <c r="D393" t="s">
        <v>4166</v>
      </c>
      <c r="E393" t="s">
        <v>4167</v>
      </c>
      <c r="F393">
        <v>75</v>
      </c>
      <c r="H393" t="s">
        <v>257</v>
      </c>
      <c r="I393" t="s">
        <v>4704</v>
      </c>
    </row>
    <row r="394" spans="1:9">
      <c r="A394" t="s">
        <v>4702</v>
      </c>
      <c r="B394" t="s">
        <v>4711</v>
      </c>
      <c r="C394">
        <v>1</v>
      </c>
      <c r="D394" t="s">
        <v>4166</v>
      </c>
      <c r="E394" t="s">
        <v>4167</v>
      </c>
      <c r="F394">
        <v>50</v>
      </c>
      <c r="H394" t="s">
        <v>257</v>
      </c>
      <c r="I394" t="s">
        <v>4704</v>
      </c>
    </row>
    <row r="395" spans="1:9">
      <c r="A395" t="s">
        <v>4702</v>
      </c>
      <c r="B395" t="s">
        <v>4712</v>
      </c>
      <c r="C395">
        <v>1</v>
      </c>
      <c r="D395" t="s">
        <v>4166</v>
      </c>
      <c r="E395" t="s">
        <v>4167</v>
      </c>
      <c r="F395">
        <v>65</v>
      </c>
      <c r="H395" t="s">
        <v>257</v>
      </c>
      <c r="I395" t="s">
        <v>4704</v>
      </c>
    </row>
    <row r="396" spans="1:9">
      <c r="A396" t="s">
        <v>4702</v>
      </c>
      <c r="B396" t="s">
        <v>4713</v>
      </c>
      <c r="C396">
        <v>1</v>
      </c>
      <c r="D396" t="s">
        <v>4166</v>
      </c>
      <c r="E396" t="s">
        <v>4167</v>
      </c>
      <c r="F396">
        <v>130</v>
      </c>
      <c r="H396" t="s">
        <v>257</v>
      </c>
      <c r="I396" t="s">
        <v>4704</v>
      </c>
    </row>
    <row r="397" spans="1:9">
      <c r="A397" t="s">
        <v>4702</v>
      </c>
      <c r="B397" t="s">
        <v>4714</v>
      </c>
      <c r="C397">
        <v>1</v>
      </c>
      <c r="D397" t="s">
        <v>4166</v>
      </c>
      <c r="E397" t="s">
        <v>4167</v>
      </c>
      <c r="F397">
        <v>100</v>
      </c>
      <c r="H397" t="s">
        <v>257</v>
      </c>
      <c r="I397" t="s">
        <v>4704</v>
      </c>
    </row>
    <row r="398" spans="1:9">
      <c r="A398" t="s">
        <v>4702</v>
      </c>
      <c r="B398" t="s">
        <v>4715</v>
      </c>
      <c r="C398">
        <v>1</v>
      </c>
      <c r="D398" t="s">
        <v>4166</v>
      </c>
      <c r="E398" t="s">
        <v>4167</v>
      </c>
      <c r="F398">
        <v>100</v>
      </c>
      <c r="H398" t="s">
        <v>257</v>
      </c>
      <c r="I398" t="s">
        <v>4704</v>
      </c>
    </row>
    <row r="399" spans="1:9">
      <c r="A399" t="s">
        <v>4702</v>
      </c>
      <c r="B399" t="s">
        <v>4716</v>
      </c>
      <c r="C399">
        <v>1</v>
      </c>
      <c r="D399" t="s">
        <v>4166</v>
      </c>
      <c r="E399" t="s">
        <v>4167</v>
      </c>
      <c r="F399">
        <v>200</v>
      </c>
      <c r="H399" t="s">
        <v>257</v>
      </c>
      <c r="I399" t="s">
        <v>4704</v>
      </c>
    </row>
    <row r="400" spans="1:9">
      <c r="A400" t="s">
        <v>4702</v>
      </c>
      <c r="B400" t="s">
        <v>4717</v>
      </c>
      <c r="C400">
        <v>1</v>
      </c>
      <c r="D400" t="s">
        <v>4166</v>
      </c>
      <c r="E400" t="s">
        <v>4167</v>
      </c>
      <c r="F400">
        <v>150</v>
      </c>
      <c r="H400" t="s">
        <v>257</v>
      </c>
      <c r="I400" t="s">
        <v>4704</v>
      </c>
    </row>
    <row r="401" spans="1:9">
      <c r="A401" t="s">
        <v>4702</v>
      </c>
      <c r="B401" t="s">
        <v>4718</v>
      </c>
      <c r="C401">
        <v>1</v>
      </c>
      <c r="D401" t="s">
        <v>4166</v>
      </c>
      <c r="E401" t="s">
        <v>4167</v>
      </c>
      <c r="F401">
        <v>200</v>
      </c>
      <c r="H401" t="s">
        <v>257</v>
      </c>
      <c r="I401" t="s">
        <v>4704</v>
      </c>
    </row>
    <row r="402" spans="1:9">
      <c r="A402" t="s">
        <v>4702</v>
      </c>
      <c r="B402" t="s">
        <v>4719</v>
      </c>
      <c r="C402">
        <v>1</v>
      </c>
      <c r="D402" t="s">
        <v>4166</v>
      </c>
      <c r="E402" t="s">
        <v>4167</v>
      </c>
      <c r="F402">
        <v>400</v>
      </c>
      <c r="H402" t="s">
        <v>257</v>
      </c>
      <c r="I402" t="s">
        <v>4704</v>
      </c>
    </row>
    <row r="403" spans="1:9">
      <c r="A403" t="s">
        <v>4702</v>
      </c>
      <c r="B403" t="s">
        <v>4720</v>
      </c>
      <c r="C403">
        <v>1</v>
      </c>
      <c r="D403" t="s">
        <v>4166</v>
      </c>
      <c r="E403" t="s">
        <v>4167</v>
      </c>
      <c r="F403">
        <v>300</v>
      </c>
      <c r="H403" t="s">
        <v>257</v>
      </c>
      <c r="I403" t="s">
        <v>4704</v>
      </c>
    </row>
    <row r="404" spans="1:9">
      <c r="A404" t="s">
        <v>4702</v>
      </c>
      <c r="B404" t="s">
        <v>4721</v>
      </c>
      <c r="C404">
        <v>1</v>
      </c>
      <c r="D404" t="s">
        <v>4166</v>
      </c>
      <c r="E404" t="s">
        <v>4167</v>
      </c>
      <c r="F404">
        <v>100</v>
      </c>
      <c r="H404" t="s">
        <v>257</v>
      </c>
      <c r="I404" t="s">
        <v>4704</v>
      </c>
    </row>
    <row r="405" spans="1:9">
      <c r="A405" t="s">
        <v>4702</v>
      </c>
      <c r="B405" t="s">
        <v>4722</v>
      </c>
      <c r="C405">
        <v>1</v>
      </c>
      <c r="D405" t="s">
        <v>4166</v>
      </c>
      <c r="E405" t="s">
        <v>4167</v>
      </c>
      <c r="F405">
        <v>200</v>
      </c>
      <c r="H405" t="s">
        <v>257</v>
      </c>
      <c r="I405" t="s">
        <v>4704</v>
      </c>
    </row>
    <row r="406" spans="1:9">
      <c r="A406" t="s">
        <v>4702</v>
      </c>
      <c r="B406" t="s">
        <v>4723</v>
      </c>
      <c r="C406">
        <v>1</v>
      </c>
      <c r="D406" t="s">
        <v>4166</v>
      </c>
      <c r="E406" t="s">
        <v>4167</v>
      </c>
      <c r="F406">
        <v>150</v>
      </c>
      <c r="H406" t="s">
        <v>257</v>
      </c>
      <c r="I406" t="s">
        <v>4704</v>
      </c>
    </row>
    <row r="407" spans="1:9">
      <c r="A407" t="s">
        <v>4284</v>
      </c>
      <c r="B407" t="s">
        <v>4724</v>
      </c>
      <c r="C407">
        <v>1</v>
      </c>
      <c r="D407" t="s">
        <v>4308</v>
      </c>
      <c r="E407">
        <v>0.5</v>
      </c>
      <c r="F407">
        <v>2.2000000000000002</v>
      </c>
      <c r="G407" t="s">
        <v>4725</v>
      </c>
      <c r="H407" t="s">
        <v>905</v>
      </c>
      <c r="I407" t="s">
        <v>4726</v>
      </c>
    </row>
    <row r="408" spans="1:9">
      <c r="A408" t="s">
        <v>4286</v>
      </c>
      <c r="B408" t="s">
        <v>4727</v>
      </c>
      <c r="C408">
        <v>1</v>
      </c>
      <c r="D408" t="s">
        <v>4308</v>
      </c>
      <c r="E408">
        <v>0.5</v>
      </c>
      <c r="F408">
        <v>0.3</v>
      </c>
      <c r="H408" t="s">
        <v>905</v>
      </c>
      <c r="I408" t="s">
        <v>4728</v>
      </c>
    </row>
    <row r="409" spans="1:9">
      <c r="A409" t="s">
        <v>4286</v>
      </c>
      <c r="B409" t="s">
        <v>4729</v>
      </c>
      <c r="C409">
        <v>1</v>
      </c>
      <c r="D409" t="s">
        <v>4308</v>
      </c>
      <c r="E409">
        <v>0.5</v>
      </c>
      <c r="F409">
        <v>0.2</v>
      </c>
      <c r="H409" t="s">
        <v>905</v>
      </c>
      <c r="I409" t="s">
        <v>4728</v>
      </c>
    </row>
    <row r="410" spans="1:9">
      <c r="A410" t="s">
        <v>4286</v>
      </c>
      <c r="B410" t="s">
        <v>4730</v>
      </c>
      <c r="C410">
        <v>1</v>
      </c>
      <c r="D410" t="s">
        <v>4308</v>
      </c>
      <c r="E410">
        <v>0.5</v>
      </c>
      <c r="F410">
        <v>0.4</v>
      </c>
      <c r="H410" t="s">
        <v>905</v>
      </c>
      <c r="I410" t="s">
        <v>4731</v>
      </c>
    </row>
    <row r="411" spans="1:9">
      <c r="A411" t="s">
        <v>4286</v>
      </c>
      <c r="B411" t="s">
        <v>4732</v>
      </c>
      <c r="C411">
        <v>1</v>
      </c>
      <c r="D411" t="s">
        <v>4308</v>
      </c>
      <c r="E411">
        <v>0.5</v>
      </c>
      <c r="F411">
        <v>3.5000000000000003E-2</v>
      </c>
      <c r="H411" t="s">
        <v>905</v>
      </c>
      <c r="I411" t="s">
        <v>4731</v>
      </c>
    </row>
    <row r="412" spans="1:9">
      <c r="A412" t="s">
        <v>4286</v>
      </c>
      <c r="B412" t="s">
        <v>4733</v>
      </c>
      <c r="C412">
        <v>1</v>
      </c>
      <c r="D412" t="s">
        <v>4308</v>
      </c>
      <c r="E412">
        <v>0.5</v>
      </c>
      <c r="F412">
        <v>0.05</v>
      </c>
      <c r="H412" t="s">
        <v>905</v>
      </c>
      <c r="I412" t="s">
        <v>4731</v>
      </c>
    </row>
    <row r="413" spans="1:9">
      <c r="A413" t="s">
        <v>4286</v>
      </c>
      <c r="B413" t="s">
        <v>4734</v>
      </c>
      <c r="C413">
        <v>1</v>
      </c>
      <c r="D413" t="s">
        <v>4308</v>
      </c>
      <c r="E413">
        <v>0.5</v>
      </c>
      <c r="F413">
        <v>7.4999999999999997E-2</v>
      </c>
      <c r="H413" t="s">
        <v>905</v>
      </c>
      <c r="I413" t="s">
        <v>4731</v>
      </c>
    </row>
    <row r="414" spans="1:9">
      <c r="A414" t="s">
        <v>4286</v>
      </c>
      <c r="B414" t="s">
        <v>4735</v>
      </c>
      <c r="C414">
        <v>1</v>
      </c>
      <c r="D414" t="s">
        <v>4308</v>
      </c>
      <c r="E414">
        <v>0.5</v>
      </c>
      <c r="F414">
        <v>0.4</v>
      </c>
      <c r="H414" t="s">
        <v>905</v>
      </c>
      <c r="I414" t="s">
        <v>4731</v>
      </c>
    </row>
    <row r="415" spans="1:9">
      <c r="A415" t="s">
        <v>4286</v>
      </c>
      <c r="B415" t="s">
        <v>4736</v>
      </c>
      <c r="C415">
        <v>1</v>
      </c>
      <c r="D415" t="s">
        <v>4308</v>
      </c>
      <c r="E415">
        <v>0.125</v>
      </c>
      <c r="F415">
        <v>1.4999999999999999E-2</v>
      </c>
      <c r="H415" t="s">
        <v>905</v>
      </c>
      <c r="I415" t="s">
        <v>4737</v>
      </c>
    </row>
    <row r="416" spans="1:9">
      <c r="A416" t="s">
        <v>4738</v>
      </c>
      <c r="B416" t="s">
        <v>4739</v>
      </c>
      <c r="C416">
        <v>1</v>
      </c>
      <c r="D416" t="s">
        <v>4166</v>
      </c>
      <c r="E416">
        <v>0.25</v>
      </c>
      <c r="F416">
        <v>660</v>
      </c>
      <c r="H416" t="s">
        <v>914</v>
      </c>
      <c r="I416" t="s">
        <v>4740</v>
      </c>
    </row>
    <row r="417" spans="1:9">
      <c r="A417" t="s">
        <v>4738</v>
      </c>
      <c r="B417" t="s">
        <v>4741</v>
      </c>
      <c r="C417">
        <v>1</v>
      </c>
      <c r="D417" t="s">
        <v>4166</v>
      </c>
      <c r="E417">
        <v>0.25</v>
      </c>
      <c r="F417">
        <v>1320</v>
      </c>
      <c r="H417" t="s">
        <v>914</v>
      </c>
      <c r="I417" t="s">
        <v>4740</v>
      </c>
    </row>
    <row r="418" spans="1:9">
      <c r="A418" t="s">
        <v>4738</v>
      </c>
      <c r="B418" t="s">
        <v>4742</v>
      </c>
      <c r="C418">
        <v>1</v>
      </c>
      <c r="D418" t="s">
        <v>4166</v>
      </c>
      <c r="E418">
        <v>0.25</v>
      </c>
      <c r="F418">
        <v>5.3</v>
      </c>
      <c r="H418" t="s">
        <v>914</v>
      </c>
      <c r="I418" t="s">
        <v>4740</v>
      </c>
    </row>
    <row r="419" spans="1:9">
      <c r="A419" t="s">
        <v>4738</v>
      </c>
      <c r="B419" t="s">
        <v>4743</v>
      </c>
      <c r="C419">
        <v>1</v>
      </c>
      <c r="D419" t="s">
        <v>4166</v>
      </c>
      <c r="E419">
        <v>0.38</v>
      </c>
      <c r="F419">
        <v>100</v>
      </c>
      <c r="H419" t="s">
        <v>914</v>
      </c>
      <c r="I419" t="s">
        <v>4740</v>
      </c>
    </row>
    <row r="420" spans="1:9">
      <c r="A420" t="s">
        <v>4738</v>
      </c>
      <c r="B420" t="s">
        <v>4744</v>
      </c>
      <c r="C420">
        <v>1</v>
      </c>
      <c r="D420" t="s">
        <v>4166</v>
      </c>
      <c r="E420">
        <v>0.25</v>
      </c>
      <c r="F420">
        <v>0.44</v>
      </c>
      <c r="H420" t="s">
        <v>914</v>
      </c>
      <c r="I420" t="s">
        <v>4740</v>
      </c>
    </row>
    <row r="421" spans="1:9">
      <c r="A421" t="s">
        <v>4738</v>
      </c>
      <c r="B421" t="s">
        <v>4745</v>
      </c>
      <c r="C421">
        <v>1</v>
      </c>
      <c r="D421" t="s">
        <v>4166</v>
      </c>
      <c r="E421">
        <v>3</v>
      </c>
      <c r="F421">
        <v>40</v>
      </c>
      <c r="H421" t="s">
        <v>914</v>
      </c>
      <c r="I421" t="s">
        <v>4746</v>
      </c>
    </row>
    <row r="422" spans="1:9">
      <c r="A422" t="s">
        <v>4738</v>
      </c>
      <c r="B422" t="s">
        <v>4747</v>
      </c>
      <c r="C422">
        <v>1</v>
      </c>
      <c r="D422" t="s">
        <v>4166</v>
      </c>
      <c r="E422">
        <v>1.5</v>
      </c>
      <c r="F422">
        <v>48</v>
      </c>
      <c r="H422" t="s">
        <v>914</v>
      </c>
      <c r="I422" t="s">
        <v>4746</v>
      </c>
    </row>
    <row r="423" spans="1:9">
      <c r="A423" t="s">
        <v>4478</v>
      </c>
      <c r="B423" t="s">
        <v>4748</v>
      </c>
      <c r="C423">
        <v>1</v>
      </c>
      <c r="D423" t="s">
        <v>4310</v>
      </c>
      <c r="E423" t="s">
        <v>4167</v>
      </c>
      <c r="F423">
        <v>4.5</v>
      </c>
      <c r="G423" t="s">
        <v>4480</v>
      </c>
      <c r="H423" t="s">
        <v>914</v>
      </c>
      <c r="I423" t="s">
        <v>4749</v>
      </c>
    </row>
    <row r="424" spans="1:9">
      <c r="A424" t="s">
        <v>4286</v>
      </c>
      <c r="B424" t="s">
        <v>4750</v>
      </c>
      <c r="C424">
        <v>1</v>
      </c>
      <c r="D424" t="s">
        <v>4240</v>
      </c>
      <c r="E424">
        <v>0.5</v>
      </c>
      <c r="F424">
        <v>0.02</v>
      </c>
      <c r="H424" t="s">
        <v>921</v>
      </c>
      <c r="I424" t="s">
        <v>4751</v>
      </c>
    </row>
    <row r="425" spans="1:9">
      <c r="A425" t="s">
        <v>4286</v>
      </c>
      <c r="B425" t="s">
        <v>4752</v>
      </c>
      <c r="C425">
        <v>1</v>
      </c>
      <c r="D425" t="s">
        <v>4240</v>
      </c>
      <c r="E425">
        <v>0.5</v>
      </c>
      <c r="F425">
        <v>0.04</v>
      </c>
      <c r="H425" t="s">
        <v>921</v>
      </c>
      <c r="I425" t="s">
        <v>4751</v>
      </c>
    </row>
    <row r="426" spans="1:9">
      <c r="A426" t="s">
        <v>4286</v>
      </c>
      <c r="B426" t="s">
        <v>4753</v>
      </c>
      <c r="C426">
        <v>1</v>
      </c>
      <c r="D426" t="s">
        <v>4240</v>
      </c>
      <c r="E426">
        <v>0.5</v>
      </c>
      <c r="F426">
        <v>3.5000000000000003E-2</v>
      </c>
      <c r="H426" t="s">
        <v>921</v>
      </c>
      <c r="I426" t="s">
        <v>4751</v>
      </c>
    </row>
    <row r="427" spans="1:9">
      <c r="A427" t="s">
        <v>4286</v>
      </c>
      <c r="B427" t="s">
        <v>4754</v>
      </c>
      <c r="C427">
        <v>1</v>
      </c>
      <c r="D427" t="s">
        <v>4240</v>
      </c>
      <c r="E427">
        <v>0.5</v>
      </c>
      <c r="F427">
        <v>0.05</v>
      </c>
      <c r="H427" t="s">
        <v>921</v>
      </c>
      <c r="I427" t="s">
        <v>4751</v>
      </c>
    </row>
    <row r="428" spans="1:9">
      <c r="A428" t="s">
        <v>4286</v>
      </c>
      <c r="B428" t="s">
        <v>4755</v>
      </c>
      <c r="C428">
        <v>1</v>
      </c>
      <c r="D428" t="s">
        <v>4240</v>
      </c>
      <c r="E428">
        <v>0.5</v>
      </c>
      <c r="F428">
        <v>0.02</v>
      </c>
      <c r="H428" t="s">
        <v>921</v>
      </c>
      <c r="I428" t="s">
        <v>4751</v>
      </c>
    </row>
    <row r="429" spans="1:9">
      <c r="A429" t="s">
        <v>4286</v>
      </c>
      <c r="B429" t="s">
        <v>4756</v>
      </c>
      <c r="C429">
        <v>1</v>
      </c>
      <c r="D429" t="s">
        <v>4247</v>
      </c>
      <c r="E429">
        <v>0.5</v>
      </c>
      <c r="F429">
        <v>0.05</v>
      </c>
      <c r="H429" t="s">
        <v>921</v>
      </c>
      <c r="I429" t="s">
        <v>4751</v>
      </c>
    </row>
    <row r="430" spans="1:9">
      <c r="A430" t="s">
        <v>4286</v>
      </c>
      <c r="B430" t="s">
        <v>4757</v>
      </c>
      <c r="C430">
        <v>1</v>
      </c>
      <c r="D430" t="s">
        <v>4308</v>
      </c>
      <c r="E430">
        <v>0.5</v>
      </c>
      <c r="F430">
        <v>2.2999999999999998</v>
      </c>
      <c r="H430" t="s">
        <v>921</v>
      </c>
      <c r="I430" t="s">
        <v>4751</v>
      </c>
    </row>
    <row r="431" spans="1:9">
      <c r="A431" t="s">
        <v>4286</v>
      </c>
      <c r="B431" t="s">
        <v>4758</v>
      </c>
      <c r="C431">
        <v>1</v>
      </c>
      <c r="D431" t="s">
        <v>4308</v>
      </c>
      <c r="E431">
        <v>0.5</v>
      </c>
      <c r="F431">
        <v>1.4999999999999999E-2</v>
      </c>
      <c r="H431" t="s">
        <v>921</v>
      </c>
      <c r="I431" t="s">
        <v>4751</v>
      </c>
    </row>
    <row r="432" spans="1:9">
      <c r="A432" t="s">
        <v>4286</v>
      </c>
      <c r="B432" t="s">
        <v>4759</v>
      </c>
      <c r="C432">
        <v>1</v>
      </c>
      <c r="D432" t="s">
        <v>4166</v>
      </c>
      <c r="E432">
        <v>0.5</v>
      </c>
      <c r="F432">
        <v>0.02</v>
      </c>
      <c r="H432" t="s">
        <v>921</v>
      </c>
      <c r="I432" t="s">
        <v>4751</v>
      </c>
    </row>
    <row r="433" spans="1:9">
      <c r="A433" t="s">
        <v>4286</v>
      </c>
      <c r="B433" t="s">
        <v>4760</v>
      </c>
      <c r="C433">
        <v>1</v>
      </c>
      <c r="D433" t="s">
        <v>4240</v>
      </c>
      <c r="E433">
        <v>0.5</v>
      </c>
      <c r="F433">
        <v>3.5000000000000003E-2</v>
      </c>
      <c r="H433" t="s">
        <v>921</v>
      </c>
      <c r="I433" t="s">
        <v>4751</v>
      </c>
    </row>
    <row r="434" spans="1:9">
      <c r="A434" t="s">
        <v>4286</v>
      </c>
      <c r="B434" t="s">
        <v>4761</v>
      </c>
      <c r="C434">
        <v>1</v>
      </c>
      <c r="D434" t="s">
        <v>4308</v>
      </c>
      <c r="E434">
        <v>0.5</v>
      </c>
      <c r="F434">
        <v>0.4</v>
      </c>
      <c r="H434" t="s">
        <v>921</v>
      </c>
      <c r="I434" t="s">
        <v>4751</v>
      </c>
    </row>
    <row r="435" spans="1:9">
      <c r="A435" t="s">
        <v>4286</v>
      </c>
      <c r="B435" t="s">
        <v>4762</v>
      </c>
      <c r="C435">
        <v>1</v>
      </c>
      <c r="D435" t="s">
        <v>4308</v>
      </c>
      <c r="E435">
        <v>0.5</v>
      </c>
      <c r="F435">
        <v>0.25</v>
      </c>
      <c r="H435" t="s">
        <v>921</v>
      </c>
      <c r="I435" t="s">
        <v>4751</v>
      </c>
    </row>
    <row r="436" spans="1:9">
      <c r="A436" t="s">
        <v>4286</v>
      </c>
      <c r="B436" t="s">
        <v>4763</v>
      </c>
      <c r="C436">
        <v>1</v>
      </c>
      <c r="D436" t="s">
        <v>4240</v>
      </c>
      <c r="E436">
        <v>0.5</v>
      </c>
      <c r="F436">
        <v>0.04</v>
      </c>
      <c r="H436" t="s">
        <v>921</v>
      </c>
      <c r="I436" t="s">
        <v>4751</v>
      </c>
    </row>
    <row r="437" spans="1:9">
      <c r="A437" t="s">
        <v>4286</v>
      </c>
      <c r="B437" t="s">
        <v>4764</v>
      </c>
      <c r="C437">
        <v>1</v>
      </c>
      <c r="D437" t="s">
        <v>4240</v>
      </c>
      <c r="E437">
        <v>0.5</v>
      </c>
      <c r="F437">
        <v>0.02</v>
      </c>
      <c r="H437" t="s">
        <v>921</v>
      </c>
      <c r="I437" t="s">
        <v>4751</v>
      </c>
    </row>
    <row r="438" spans="1:9">
      <c r="A438" t="s">
        <v>4286</v>
      </c>
      <c r="B438" t="s">
        <v>4765</v>
      </c>
      <c r="C438">
        <v>1</v>
      </c>
      <c r="D438" t="s">
        <v>4245</v>
      </c>
      <c r="E438">
        <v>0.25</v>
      </c>
      <c r="F438">
        <v>0.01</v>
      </c>
      <c r="H438" t="s">
        <v>921</v>
      </c>
      <c r="I438" t="s">
        <v>4751</v>
      </c>
    </row>
    <row r="439" spans="1:9">
      <c r="A439" t="s">
        <v>4286</v>
      </c>
      <c r="B439" t="s">
        <v>4766</v>
      </c>
      <c r="C439">
        <v>1</v>
      </c>
      <c r="D439" t="s">
        <v>4240</v>
      </c>
      <c r="E439">
        <v>0.5</v>
      </c>
      <c r="F439">
        <v>2.5000000000000001E-2</v>
      </c>
      <c r="H439" t="s">
        <v>921</v>
      </c>
      <c r="I439" t="s">
        <v>4751</v>
      </c>
    </row>
    <row r="440" spans="1:9">
      <c r="A440" t="s">
        <v>4286</v>
      </c>
      <c r="B440" t="s">
        <v>4767</v>
      </c>
      <c r="C440">
        <v>1</v>
      </c>
      <c r="D440" t="s">
        <v>4242</v>
      </c>
      <c r="E440">
        <v>1</v>
      </c>
      <c r="F440">
        <v>0.05</v>
      </c>
      <c r="H440" t="s">
        <v>921</v>
      </c>
      <c r="I440" t="s">
        <v>4768</v>
      </c>
    </row>
    <row r="441" spans="1:9">
      <c r="A441" t="s">
        <v>4286</v>
      </c>
      <c r="B441" t="s">
        <v>4769</v>
      </c>
      <c r="C441">
        <v>1</v>
      </c>
      <c r="D441" t="s">
        <v>4240</v>
      </c>
      <c r="E441">
        <v>1</v>
      </c>
      <c r="F441">
        <v>7.4999999999999997E-2</v>
      </c>
      <c r="H441" t="s">
        <v>921</v>
      </c>
      <c r="I441" t="s">
        <v>4768</v>
      </c>
    </row>
    <row r="442" spans="1:9">
      <c r="A442" t="s">
        <v>4286</v>
      </c>
      <c r="B442" t="s">
        <v>4770</v>
      </c>
      <c r="C442">
        <v>1</v>
      </c>
      <c r="D442" t="s">
        <v>4240</v>
      </c>
      <c r="E442">
        <v>1</v>
      </c>
      <c r="F442">
        <v>0.1</v>
      </c>
      <c r="H442" t="s">
        <v>921</v>
      </c>
      <c r="I442" t="s">
        <v>4768</v>
      </c>
    </row>
    <row r="443" spans="1:9">
      <c r="A443" t="s">
        <v>4286</v>
      </c>
      <c r="B443" t="s">
        <v>4771</v>
      </c>
      <c r="C443">
        <v>1</v>
      </c>
      <c r="D443" t="s">
        <v>4240</v>
      </c>
      <c r="E443">
        <v>0.5</v>
      </c>
      <c r="F443">
        <v>1.4999999999999999E-2</v>
      </c>
      <c r="H443" t="s">
        <v>921</v>
      </c>
      <c r="I443" t="s">
        <v>4768</v>
      </c>
    </row>
    <row r="444" spans="1:9">
      <c r="A444" t="s">
        <v>4286</v>
      </c>
      <c r="B444" t="s">
        <v>4772</v>
      </c>
      <c r="C444">
        <v>1</v>
      </c>
      <c r="D444" t="s">
        <v>4240</v>
      </c>
      <c r="E444">
        <v>0.5</v>
      </c>
      <c r="F444">
        <v>0.02</v>
      </c>
      <c r="H444" t="s">
        <v>921</v>
      </c>
      <c r="I444" t="s">
        <v>4768</v>
      </c>
    </row>
    <row r="445" spans="1:9">
      <c r="A445" t="s">
        <v>4284</v>
      </c>
      <c r="B445" t="s">
        <v>4773</v>
      </c>
      <c r="C445">
        <v>7</v>
      </c>
      <c r="D445" t="s">
        <v>4646</v>
      </c>
      <c r="E445" t="s">
        <v>4167</v>
      </c>
      <c r="F445">
        <v>2.2000000000000002</v>
      </c>
      <c r="H445" t="s">
        <v>921</v>
      </c>
      <c r="I445" t="s">
        <v>4768</v>
      </c>
    </row>
    <row r="446" spans="1:9">
      <c r="A446" t="s">
        <v>4284</v>
      </c>
      <c r="B446" t="s">
        <v>4774</v>
      </c>
      <c r="C446">
        <v>7</v>
      </c>
      <c r="D446" t="s">
        <v>4646</v>
      </c>
      <c r="E446" t="s">
        <v>4167</v>
      </c>
      <c r="F446">
        <v>20</v>
      </c>
      <c r="H446" t="s">
        <v>921</v>
      </c>
      <c r="I446" t="s">
        <v>4768</v>
      </c>
    </row>
    <row r="447" spans="1:9">
      <c r="A447" t="s">
        <v>4284</v>
      </c>
      <c r="B447" t="s">
        <v>4775</v>
      </c>
      <c r="C447">
        <v>1</v>
      </c>
      <c r="D447" t="s">
        <v>4308</v>
      </c>
      <c r="E447" t="s">
        <v>4167</v>
      </c>
      <c r="F447">
        <v>2.5000000000000001E-2</v>
      </c>
      <c r="H447" t="s">
        <v>921</v>
      </c>
      <c r="I447" t="s">
        <v>4768</v>
      </c>
    </row>
    <row r="448" spans="1:9">
      <c r="A448" t="s">
        <v>4286</v>
      </c>
      <c r="B448" t="s">
        <v>4776</v>
      </c>
      <c r="C448">
        <v>1</v>
      </c>
      <c r="D448" t="s">
        <v>4166</v>
      </c>
      <c r="E448">
        <v>0.2</v>
      </c>
      <c r="F448">
        <v>8.0000000000000002E-3</v>
      </c>
      <c r="H448" t="s">
        <v>921</v>
      </c>
      <c r="I448" t="s">
        <v>4777</v>
      </c>
    </row>
    <row r="449" spans="1:9">
      <c r="A449" t="s">
        <v>4286</v>
      </c>
      <c r="B449" t="s">
        <v>4778</v>
      </c>
      <c r="C449">
        <v>1</v>
      </c>
      <c r="D449" t="s">
        <v>4245</v>
      </c>
      <c r="E449">
        <v>0.5</v>
      </c>
      <c r="F449">
        <v>0.2</v>
      </c>
      <c r="H449" t="s">
        <v>921</v>
      </c>
      <c r="I449" t="s">
        <v>4777</v>
      </c>
    </row>
    <row r="450" spans="1:9">
      <c r="A450" t="s">
        <v>4286</v>
      </c>
      <c r="B450" t="s">
        <v>4779</v>
      </c>
      <c r="C450">
        <v>1</v>
      </c>
      <c r="D450" t="s">
        <v>4166</v>
      </c>
      <c r="E450">
        <v>0.2</v>
      </c>
      <c r="F450">
        <v>8.0000000000000002E-3</v>
      </c>
      <c r="H450" t="s">
        <v>921</v>
      </c>
      <c r="I450" t="s">
        <v>4777</v>
      </c>
    </row>
    <row r="451" spans="1:9">
      <c r="A451" t="s">
        <v>4286</v>
      </c>
      <c r="B451" t="s">
        <v>4780</v>
      </c>
      <c r="C451">
        <v>1</v>
      </c>
      <c r="D451" t="s">
        <v>4308</v>
      </c>
      <c r="E451">
        <v>0.5</v>
      </c>
      <c r="F451">
        <v>0.2</v>
      </c>
      <c r="H451" t="s">
        <v>921</v>
      </c>
      <c r="I451" t="s">
        <v>4777</v>
      </c>
    </row>
    <row r="452" spans="1:9">
      <c r="A452" t="s">
        <v>4286</v>
      </c>
      <c r="B452" t="s">
        <v>4781</v>
      </c>
      <c r="C452">
        <v>1</v>
      </c>
      <c r="D452" t="s">
        <v>4308</v>
      </c>
      <c r="E452">
        <v>0.5</v>
      </c>
      <c r="F452">
        <v>3.5</v>
      </c>
      <c r="H452" t="s">
        <v>921</v>
      </c>
      <c r="I452" t="s">
        <v>4777</v>
      </c>
    </row>
    <row r="453" spans="1:9">
      <c r="A453" t="s">
        <v>4286</v>
      </c>
      <c r="B453" t="s">
        <v>4782</v>
      </c>
      <c r="C453">
        <v>1</v>
      </c>
      <c r="D453" t="s">
        <v>4240</v>
      </c>
      <c r="E453">
        <v>0.5</v>
      </c>
      <c r="F453">
        <v>0.1</v>
      </c>
      <c r="H453" t="s">
        <v>921</v>
      </c>
      <c r="I453" t="s">
        <v>4777</v>
      </c>
    </row>
    <row r="454" spans="1:9">
      <c r="A454" t="s">
        <v>4286</v>
      </c>
      <c r="B454" t="s">
        <v>4783</v>
      </c>
      <c r="C454">
        <v>1</v>
      </c>
      <c r="D454" t="s">
        <v>4240</v>
      </c>
      <c r="E454">
        <v>0.5</v>
      </c>
      <c r="F454">
        <v>2.5000000000000001E-2</v>
      </c>
      <c r="H454" t="s">
        <v>921</v>
      </c>
      <c r="I454" t="s">
        <v>4777</v>
      </c>
    </row>
    <row r="455" spans="1:9">
      <c r="A455" t="s">
        <v>4286</v>
      </c>
      <c r="B455" t="s">
        <v>4784</v>
      </c>
      <c r="C455">
        <v>1</v>
      </c>
      <c r="D455" t="s">
        <v>4308</v>
      </c>
      <c r="E455">
        <v>0.5</v>
      </c>
      <c r="F455">
        <v>0.35</v>
      </c>
      <c r="H455" t="s">
        <v>921</v>
      </c>
      <c r="I455" t="s">
        <v>4777</v>
      </c>
    </row>
    <row r="456" spans="1:9">
      <c r="A456" t="s">
        <v>4286</v>
      </c>
      <c r="B456" t="s">
        <v>4785</v>
      </c>
      <c r="C456">
        <v>1</v>
      </c>
      <c r="D456" t="s">
        <v>4242</v>
      </c>
      <c r="E456">
        <v>1</v>
      </c>
      <c r="F456">
        <v>0.1</v>
      </c>
      <c r="H456" t="s">
        <v>921</v>
      </c>
      <c r="I456" t="s">
        <v>4777</v>
      </c>
    </row>
    <row r="457" spans="1:9">
      <c r="A457" t="s">
        <v>4286</v>
      </c>
      <c r="B457" t="s">
        <v>4786</v>
      </c>
      <c r="C457">
        <v>1</v>
      </c>
      <c r="D457" t="s">
        <v>4308</v>
      </c>
      <c r="E457">
        <v>0.5</v>
      </c>
      <c r="F457">
        <v>1.6</v>
      </c>
      <c r="H457" t="s">
        <v>921</v>
      </c>
      <c r="I457" t="s">
        <v>4777</v>
      </c>
    </row>
    <row r="458" spans="1:9">
      <c r="A458" t="s">
        <v>4286</v>
      </c>
      <c r="B458" t="s">
        <v>4787</v>
      </c>
      <c r="C458">
        <v>1</v>
      </c>
      <c r="D458" t="s">
        <v>4245</v>
      </c>
      <c r="E458">
        <v>0.5</v>
      </c>
      <c r="F458">
        <v>0.25</v>
      </c>
      <c r="H458" t="s">
        <v>921</v>
      </c>
      <c r="I458" t="s">
        <v>4777</v>
      </c>
    </row>
    <row r="459" spans="1:9">
      <c r="A459" t="s">
        <v>4286</v>
      </c>
      <c r="B459" t="s">
        <v>4788</v>
      </c>
      <c r="C459">
        <v>1</v>
      </c>
      <c r="D459" t="s">
        <v>4245</v>
      </c>
      <c r="E459">
        <v>0.5</v>
      </c>
      <c r="F459">
        <v>0.1</v>
      </c>
      <c r="H459" t="s">
        <v>921</v>
      </c>
      <c r="I459" t="s">
        <v>4789</v>
      </c>
    </row>
    <row r="460" spans="1:9">
      <c r="A460" t="s">
        <v>4286</v>
      </c>
      <c r="B460" t="s">
        <v>4790</v>
      </c>
      <c r="C460">
        <v>1</v>
      </c>
      <c r="D460" t="s">
        <v>4245</v>
      </c>
      <c r="E460">
        <v>0.5</v>
      </c>
      <c r="F460">
        <v>0.15</v>
      </c>
      <c r="H460" t="s">
        <v>921</v>
      </c>
      <c r="I460" t="s">
        <v>4789</v>
      </c>
    </row>
    <row r="461" spans="1:9">
      <c r="A461" t="s">
        <v>4235</v>
      </c>
      <c r="B461" t="s">
        <v>4791</v>
      </c>
      <c r="C461">
        <v>1</v>
      </c>
      <c r="D461" t="s">
        <v>4242</v>
      </c>
      <c r="E461">
        <v>1</v>
      </c>
      <c r="F461">
        <v>1.5</v>
      </c>
      <c r="H461" t="s">
        <v>921</v>
      </c>
      <c r="I461" t="s">
        <v>4792</v>
      </c>
    </row>
    <row r="462" spans="1:9">
      <c r="A462" t="s">
        <v>4286</v>
      </c>
      <c r="B462" t="s">
        <v>4793</v>
      </c>
      <c r="C462">
        <v>1</v>
      </c>
      <c r="D462" t="s">
        <v>4242</v>
      </c>
      <c r="E462">
        <v>0.5</v>
      </c>
      <c r="F462">
        <v>1</v>
      </c>
      <c r="H462" t="s">
        <v>921</v>
      </c>
      <c r="I462" t="s">
        <v>4792</v>
      </c>
    </row>
    <row r="463" spans="1:9">
      <c r="A463" t="s">
        <v>4286</v>
      </c>
      <c r="B463" t="s">
        <v>4794</v>
      </c>
      <c r="C463">
        <v>1</v>
      </c>
      <c r="D463" t="s">
        <v>4242</v>
      </c>
      <c r="E463">
        <v>0.5</v>
      </c>
      <c r="F463">
        <v>1.5E-3</v>
      </c>
      <c r="H463" t="s">
        <v>921</v>
      </c>
      <c r="I463" t="s">
        <v>4792</v>
      </c>
    </row>
    <row r="464" spans="1:9">
      <c r="A464" t="s">
        <v>4286</v>
      </c>
      <c r="B464" t="s">
        <v>4795</v>
      </c>
      <c r="C464">
        <v>1</v>
      </c>
      <c r="D464" t="s">
        <v>4242</v>
      </c>
      <c r="E464">
        <v>0.5</v>
      </c>
      <c r="F464">
        <v>880</v>
      </c>
      <c r="H464" t="s">
        <v>921</v>
      </c>
      <c r="I464" t="s">
        <v>4792</v>
      </c>
    </row>
    <row r="465" spans="1:9">
      <c r="A465" t="s">
        <v>4286</v>
      </c>
      <c r="B465" t="s">
        <v>4796</v>
      </c>
      <c r="C465">
        <v>1</v>
      </c>
      <c r="D465" t="s">
        <v>4240</v>
      </c>
      <c r="E465">
        <v>1</v>
      </c>
      <c r="F465">
        <v>0.125</v>
      </c>
      <c r="H465" t="s">
        <v>921</v>
      </c>
      <c r="I465" t="s">
        <v>4797</v>
      </c>
    </row>
    <row r="466" spans="1:9">
      <c r="A466" t="s">
        <v>4286</v>
      </c>
      <c r="B466" t="s">
        <v>4798</v>
      </c>
      <c r="C466">
        <v>1</v>
      </c>
      <c r="D466" t="s">
        <v>4240</v>
      </c>
      <c r="E466">
        <v>0.5</v>
      </c>
      <c r="F466">
        <v>1.5</v>
      </c>
      <c r="H466" t="s">
        <v>921</v>
      </c>
      <c r="I466" t="s">
        <v>4797</v>
      </c>
    </row>
    <row r="467" spans="1:9">
      <c r="A467" t="s">
        <v>4286</v>
      </c>
      <c r="B467" t="s">
        <v>4799</v>
      </c>
      <c r="C467">
        <v>1</v>
      </c>
      <c r="D467" t="s">
        <v>4245</v>
      </c>
      <c r="E467">
        <v>0.2</v>
      </c>
      <c r="F467">
        <v>40</v>
      </c>
      <c r="H467" t="s">
        <v>921</v>
      </c>
      <c r="I467" t="s">
        <v>4800</v>
      </c>
    </row>
    <row r="468" spans="1:9">
      <c r="A468" t="s">
        <v>4286</v>
      </c>
      <c r="B468" t="s">
        <v>4801</v>
      </c>
      <c r="C468">
        <v>1</v>
      </c>
      <c r="D468" t="s">
        <v>4242</v>
      </c>
      <c r="E468">
        <v>1</v>
      </c>
      <c r="F468">
        <v>0.15</v>
      </c>
      <c r="H468" t="s">
        <v>921</v>
      </c>
      <c r="I468" t="s">
        <v>4802</v>
      </c>
    </row>
    <row r="469" spans="1:9">
      <c r="A469" t="s">
        <v>4286</v>
      </c>
      <c r="B469" t="s">
        <v>4803</v>
      </c>
      <c r="C469">
        <v>1</v>
      </c>
      <c r="D469" t="s">
        <v>4242</v>
      </c>
      <c r="E469">
        <v>1</v>
      </c>
      <c r="F469">
        <v>0.15</v>
      </c>
      <c r="H469" t="s">
        <v>921</v>
      </c>
      <c r="I469" t="s">
        <v>4802</v>
      </c>
    </row>
    <row r="470" spans="1:9">
      <c r="A470" t="s">
        <v>4286</v>
      </c>
      <c r="B470" t="s">
        <v>4804</v>
      </c>
      <c r="C470">
        <v>1</v>
      </c>
      <c r="D470" t="s">
        <v>4242</v>
      </c>
      <c r="E470">
        <v>1</v>
      </c>
      <c r="F470">
        <v>3.5</v>
      </c>
      <c r="H470" t="s">
        <v>921</v>
      </c>
      <c r="I470" t="s">
        <v>4802</v>
      </c>
    </row>
    <row r="471" spans="1:9">
      <c r="A471" t="s">
        <v>4284</v>
      </c>
      <c r="B471" t="s">
        <v>4805</v>
      </c>
      <c r="C471">
        <v>1</v>
      </c>
      <c r="D471" t="s">
        <v>4166</v>
      </c>
      <c r="E471">
        <v>1</v>
      </c>
      <c r="F471">
        <v>1.75</v>
      </c>
      <c r="H471" t="s">
        <v>938</v>
      </c>
      <c r="I471" t="s">
        <v>4806</v>
      </c>
    </row>
    <row r="472" spans="1:9">
      <c r="A472" t="s">
        <v>4284</v>
      </c>
      <c r="B472" t="s">
        <v>4807</v>
      </c>
      <c r="C472">
        <v>1</v>
      </c>
      <c r="D472" t="s">
        <v>4166</v>
      </c>
      <c r="E472">
        <v>1</v>
      </c>
      <c r="F472">
        <v>13</v>
      </c>
      <c r="H472" t="s">
        <v>938</v>
      </c>
      <c r="I472" t="s">
        <v>4806</v>
      </c>
    </row>
    <row r="473" spans="1:9">
      <c r="A473" t="s">
        <v>4557</v>
      </c>
      <c r="B473" t="s">
        <v>4808</v>
      </c>
      <c r="C473">
        <v>1</v>
      </c>
      <c r="D473" t="s">
        <v>4166</v>
      </c>
      <c r="E473">
        <v>1.25</v>
      </c>
      <c r="F473">
        <v>1.3</v>
      </c>
      <c r="H473" t="s">
        <v>938</v>
      </c>
      <c r="I473" t="s">
        <v>4809</v>
      </c>
    </row>
    <row r="474" spans="1:9">
      <c r="A474" t="s">
        <v>4557</v>
      </c>
      <c r="B474" t="s">
        <v>4810</v>
      </c>
      <c r="C474">
        <v>1</v>
      </c>
      <c r="D474" t="s">
        <v>4166</v>
      </c>
      <c r="E474">
        <v>1.25</v>
      </c>
      <c r="F474">
        <v>17.600000000000001</v>
      </c>
      <c r="H474" t="s">
        <v>938</v>
      </c>
      <c r="I474" t="s">
        <v>4809</v>
      </c>
    </row>
    <row r="475" spans="1:9">
      <c r="A475" t="s">
        <v>4557</v>
      </c>
      <c r="B475" t="s">
        <v>4811</v>
      </c>
      <c r="C475">
        <v>1</v>
      </c>
      <c r="D475" t="s">
        <v>4166</v>
      </c>
      <c r="E475">
        <v>1</v>
      </c>
      <c r="F475">
        <v>0.5</v>
      </c>
      <c r="H475" t="s">
        <v>938</v>
      </c>
      <c r="I475" t="s">
        <v>4809</v>
      </c>
    </row>
    <row r="476" spans="1:9">
      <c r="A476" t="s">
        <v>4557</v>
      </c>
      <c r="B476" t="s">
        <v>4812</v>
      </c>
      <c r="C476">
        <v>1</v>
      </c>
      <c r="D476" t="s">
        <v>4166</v>
      </c>
      <c r="E476">
        <v>1</v>
      </c>
      <c r="F476">
        <v>60</v>
      </c>
      <c r="H476" t="s">
        <v>938</v>
      </c>
      <c r="I476" t="s">
        <v>4809</v>
      </c>
    </row>
    <row r="477" spans="1:9">
      <c r="A477" t="s">
        <v>4557</v>
      </c>
      <c r="B477" t="s">
        <v>4813</v>
      </c>
      <c r="C477">
        <v>1</v>
      </c>
      <c r="D477" t="s">
        <v>4503</v>
      </c>
      <c r="E477">
        <v>0.15</v>
      </c>
      <c r="F477">
        <v>1.2</v>
      </c>
      <c r="H477" t="s">
        <v>938</v>
      </c>
      <c r="I477" t="s">
        <v>4809</v>
      </c>
    </row>
    <row r="478" spans="1:9">
      <c r="A478" t="s">
        <v>4557</v>
      </c>
      <c r="B478" t="s">
        <v>4814</v>
      </c>
      <c r="C478">
        <v>1</v>
      </c>
      <c r="D478" t="s">
        <v>4503</v>
      </c>
      <c r="E478">
        <v>0.15</v>
      </c>
      <c r="F478">
        <v>10</v>
      </c>
      <c r="H478" t="s">
        <v>938</v>
      </c>
      <c r="I478" t="s">
        <v>4809</v>
      </c>
    </row>
    <row r="479" spans="1:9">
      <c r="A479" t="s">
        <v>4557</v>
      </c>
      <c r="B479" t="s">
        <v>4815</v>
      </c>
      <c r="C479">
        <v>1</v>
      </c>
      <c r="D479" t="s">
        <v>4503</v>
      </c>
      <c r="E479">
        <v>0.75</v>
      </c>
      <c r="F479">
        <v>1.2</v>
      </c>
      <c r="H479" t="s">
        <v>938</v>
      </c>
      <c r="I479" t="s">
        <v>4809</v>
      </c>
    </row>
    <row r="480" spans="1:9">
      <c r="A480" t="s">
        <v>4557</v>
      </c>
      <c r="B480" t="s">
        <v>4816</v>
      </c>
      <c r="C480">
        <v>1</v>
      </c>
      <c r="D480" t="s">
        <v>4503</v>
      </c>
      <c r="E480">
        <v>0.75</v>
      </c>
      <c r="F480">
        <v>13.2</v>
      </c>
      <c r="H480" t="s">
        <v>938</v>
      </c>
      <c r="I480" t="s">
        <v>4809</v>
      </c>
    </row>
    <row r="481" spans="1:9">
      <c r="A481" t="s">
        <v>4557</v>
      </c>
      <c r="B481" t="s">
        <v>4817</v>
      </c>
      <c r="C481">
        <v>1</v>
      </c>
      <c r="D481" t="s">
        <v>4166</v>
      </c>
      <c r="E481">
        <v>1.75</v>
      </c>
      <c r="F481">
        <v>2</v>
      </c>
      <c r="H481" t="s">
        <v>938</v>
      </c>
      <c r="I481" t="s">
        <v>4809</v>
      </c>
    </row>
    <row r="482" spans="1:9">
      <c r="A482" t="s">
        <v>4557</v>
      </c>
      <c r="B482" t="s">
        <v>4818</v>
      </c>
      <c r="C482">
        <v>1</v>
      </c>
      <c r="D482" t="s">
        <v>4166</v>
      </c>
      <c r="E482">
        <v>1.75</v>
      </c>
      <c r="F482">
        <v>35.5</v>
      </c>
      <c r="H482" t="s">
        <v>938</v>
      </c>
      <c r="I482" t="s">
        <v>4809</v>
      </c>
    </row>
    <row r="483" spans="1:9">
      <c r="A483" t="s">
        <v>4404</v>
      </c>
      <c r="B483" t="s">
        <v>4819</v>
      </c>
      <c r="C483">
        <v>1</v>
      </c>
      <c r="D483" t="s">
        <v>4166</v>
      </c>
      <c r="E483">
        <v>30</v>
      </c>
      <c r="F483">
        <v>10</v>
      </c>
      <c r="G483" t="s">
        <v>4820</v>
      </c>
      <c r="H483" t="s">
        <v>938</v>
      </c>
      <c r="I483" t="s">
        <v>4821</v>
      </c>
    </row>
    <row r="484" spans="1:9">
      <c r="A484" t="s">
        <v>4404</v>
      </c>
      <c r="B484" t="s">
        <v>4822</v>
      </c>
      <c r="C484">
        <v>1</v>
      </c>
      <c r="D484" t="s">
        <v>4166</v>
      </c>
      <c r="E484">
        <v>2</v>
      </c>
      <c r="F484">
        <v>20</v>
      </c>
      <c r="H484" t="s">
        <v>938</v>
      </c>
      <c r="I484" t="s">
        <v>4821</v>
      </c>
    </row>
    <row r="485" spans="1:9">
      <c r="A485" t="s">
        <v>4404</v>
      </c>
      <c r="B485" t="s">
        <v>4823</v>
      </c>
      <c r="C485">
        <v>1</v>
      </c>
      <c r="D485" t="s">
        <v>4166</v>
      </c>
      <c r="E485">
        <v>37.5</v>
      </c>
      <c r="F485">
        <v>190</v>
      </c>
      <c r="G485" t="s">
        <v>4824</v>
      </c>
      <c r="H485" t="s">
        <v>938</v>
      </c>
      <c r="I485" t="s">
        <v>4821</v>
      </c>
    </row>
    <row r="486" spans="1:9">
      <c r="A486" t="s">
        <v>4404</v>
      </c>
      <c r="B486" t="s">
        <v>4825</v>
      </c>
      <c r="C486">
        <v>1</v>
      </c>
      <c r="D486" t="s">
        <v>4166</v>
      </c>
      <c r="E486">
        <v>25</v>
      </c>
      <c r="F486">
        <v>150</v>
      </c>
      <c r="H486" t="s">
        <v>938</v>
      </c>
      <c r="I486" t="s">
        <v>4821</v>
      </c>
    </row>
    <row r="487" spans="1:9">
      <c r="A487" t="s">
        <v>4404</v>
      </c>
      <c r="B487" t="s">
        <v>4826</v>
      </c>
      <c r="C487">
        <v>1</v>
      </c>
      <c r="D487" t="s">
        <v>4166</v>
      </c>
      <c r="E487">
        <v>20</v>
      </c>
      <c r="F487">
        <v>70</v>
      </c>
      <c r="G487" t="s">
        <v>4827</v>
      </c>
      <c r="H487" t="s">
        <v>938</v>
      </c>
      <c r="I487" t="s">
        <v>4821</v>
      </c>
    </row>
    <row r="488" spans="1:9">
      <c r="A488" t="s">
        <v>4404</v>
      </c>
      <c r="B488" t="s">
        <v>4828</v>
      </c>
      <c r="C488">
        <v>1</v>
      </c>
      <c r="D488" t="s">
        <v>4166</v>
      </c>
      <c r="E488">
        <v>8</v>
      </c>
      <c r="F488">
        <v>4.4000000000000004</v>
      </c>
      <c r="H488" t="s">
        <v>938</v>
      </c>
      <c r="I488" t="s">
        <v>4821</v>
      </c>
    </row>
    <row r="489" spans="1:9">
      <c r="A489" t="s">
        <v>4404</v>
      </c>
      <c r="B489" t="s">
        <v>4829</v>
      </c>
      <c r="C489">
        <v>1</v>
      </c>
      <c r="D489" t="s">
        <v>4166</v>
      </c>
      <c r="E489">
        <v>1</v>
      </c>
      <c r="F489">
        <v>0.35</v>
      </c>
      <c r="H489" t="s">
        <v>938</v>
      </c>
      <c r="I489" t="s">
        <v>4821</v>
      </c>
    </row>
    <row r="490" spans="1:9">
      <c r="A490" t="s">
        <v>4404</v>
      </c>
      <c r="B490" t="s">
        <v>4830</v>
      </c>
      <c r="C490">
        <v>1</v>
      </c>
      <c r="D490" t="s">
        <v>4166</v>
      </c>
      <c r="E490">
        <v>3.75</v>
      </c>
      <c r="F490">
        <v>21</v>
      </c>
      <c r="H490" t="s">
        <v>938</v>
      </c>
      <c r="I490" t="s">
        <v>4821</v>
      </c>
    </row>
    <row r="491" spans="1:9">
      <c r="A491" t="s">
        <v>4262</v>
      </c>
      <c r="B491" t="s">
        <v>4831</v>
      </c>
      <c r="C491">
        <v>1</v>
      </c>
      <c r="D491" t="s">
        <v>4166</v>
      </c>
      <c r="E491">
        <v>0.75</v>
      </c>
      <c r="F491">
        <v>1.75</v>
      </c>
      <c r="H491" t="s">
        <v>938</v>
      </c>
      <c r="I491" t="s">
        <v>4821</v>
      </c>
    </row>
    <row r="492" spans="1:9">
      <c r="A492" t="s">
        <v>4262</v>
      </c>
      <c r="B492" t="s">
        <v>4832</v>
      </c>
      <c r="C492">
        <v>1</v>
      </c>
      <c r="D492" t="s">
        <v>4166</v>
      </c>
      <c r="E492">
        <v>0.37</v>
      </c>
      <c r="F492">
        <v>0.44</v>
      </c>
      <c r="H492" t="s">
        <v>938</v>
      </c>
      <c r="I492" t="s">
        <v>4821</v>
      </c>
    </row>
    <row r="493" spans="1:9">
      <c r="A493" t="s">
        <v>4262</v>
      </c>
      <c r="B493" t="s">
        <v>4833</v>
      </c>
      <c r="C493">
        <v>1</v>
      </c>
      <c r="D493" t="s">
        <v>4166</v>
      </c>
      <c r="E493">
        <v>0.5</v>
      </c>
      <c r="F493">
        <v>0.88</v>
      </c>
      <c r="H493" t="s">
        <v>938</v>
      </c>
      <c r="I493" t="s">
        <v>4821</v>
      </c>
    </row>
    <row r="494" spans="1:9">
      <c r="A494" t="s">
        <v>4262</v>
      </c>
      <c r="B494" t="s">
        <v>4834</v>
      </c>
      <c r="C494">
        <v>1</v>
      </c>
      <c r="D494" t="s">
        <v>4166</v>
      </c>
      <c r="E494">
        <v>1.5</v>
      </c>
      <c r="F494">
        <v>11</v>
      </c>
      <c r="H494" t="s">
        <v>938</v>
      </c>
      <c r="I494" t="s">
        <v>4821</v>
      </c>
    </row>
    <row r="495" spans="1:9">
      <c r="A495" t="s">
        <v>4262</v>
      </c>
      <c r="B495" t="s">
        <v>4835</v>
      </c>
      <c r="C495">
        <v>1</v>
      </c>
      <c r="D495" t="s">
        <v>4166</v>
      </c>
      <c r="E495">
        <v>1</v>
      </c>
      <c r="F495">
        <v>3.5</v>
      </c>
      <c r="H495" t="s">
        <v>938</v>
      </c>
      <c r="I495" t="s">
        <v>4821</v>
      </c>
    </row>
    <row r="496" spans="1:9">
      <c r="A496" t="s">
        <v>4262</v>
      </c>
      <c r="B496" t="s">
        <v>4836</v>
      </c>
      <c r="C496">
        <v>1</v>
      </c>
      <c r="D496" t="s">
        <v>4166</v>
      </c>
      <c r="E496">
        <v>2</v>
      </c>
      <c r="F496">
        <v>22</v>
      </c>
      <c r="H496" t="s">
        <v>938</v>
      </c>
      <c r="I496" t="s">
        <v>4821</v>
      </c>
    </row>
    <row r="497" spans="1:9">
      <c r="A497" t="s">
        <v>4262</v>
      </c>
      <c r="B497" t="s">
        <v>4837</v>
      </c>
      <c r="C497">
        <v>1</v>
      </c>
      <c r="D497" t="s">
        <v>4166</v>
      </c>
      <c r="E497">
        <v>2</v>
      </c>
      <c r="F497">
        <v>2.6</v>
      </c>
      <c r="H497" t="s">
        <v>938</v>
      </c>
      <c r="I497" t="s">
        <v>4821</v>
      </c>
    </row>
    <row r="498" spans="1:9">
      <c r="A498" t="s">
        <v>4262</v>
      </c>
      <c r="B498" t="s">
        <v>4838</v>
      </c>
      <c r="C498">
        <v>1</v>
      </c>
      <c r="D498" t="s">
        <v>4166</v>
      </c>
      <c r="E498">
        <v>0.75</v>
      </c>
      <c r="F498">
        <v>4.3</v>
      </c>
      <c r="H498" t="s">
        <v>938</v>
      </c>
      <c r="I498" t="s">
        <v>4821</v>
      </c>
    </row>
    <row r="499" spans="1:9">
      <c r="A499" t="s">
        <v>4262</v>
      </c>
      <c r="B499" t="s">
        <v>4839</v>
      </c>
      <c r="C499">
        <v>1</v>
      </c>
      <c r="D499" t="s">
        <v>4166</v>
      </c>
      <c r="E499">
        <v>1.25</v>
      </c>
      <c r="F499">
        <v>24</v>
      </c>
      <c r="H499" t="s">
        <v>938</v>
      </c>
      <c r="I499" t="s">
        <v>4821</v>
      </c>
    </row>
    <row r="500" spans="1:9">
      <c r="A500" t="s">
        <v>4840</v>
      </c>
      <c r="B500" t="s">
        <v>4841</v>
      </c>
      <c r="C500">
        <v>1</v>
      </c>
      <c r="D500" t="s">
        <v>4166</v>
      </c>
      <c r="E500">
        <v>1.75</v>
      </c>
      <c r="F500">
        <v>4.4000000000000004</v>
      </c>
      <c r="H500" t="s">
        <v>938</v>
      </c>
      <c r="I500" t="s">
        <v>4821</v>
      </c>
    </row>
    <row r="501" spans="1:9">
      <c r="A501" t="s">
        <v>4284</v>
      </c>
      <c r="B501" t="s">
        <v>4842</v>
      </c>
      <c r="C501">
        <v>1</v>
      </c>
      <c r="D501" t="s">
        <v>4166</v>
      </c>
      <c r="E501">
        <v>0.4</v>
      </c>
      <c r="F501">
        <v>0.3</v>
      </c>
      <c r="H501" t="s">
        <v>938</v>
      </c>
      <c r="I501" t="s">
        <v>4821</v>
      </c>
    </row>
    <row r="502" spans="1:9">
      <c r="A502" t="s">
        <v>4284</v>
      </c>
      <c r="B502" t="s">
        <v>4843</v>
      </c>
      <c r="C502">
        <v>1</v>
      </c>
      <c r="D502" t="s">
        <v>4166</v>
      </c>
      <c r="E502">
        <v>0.25</v>
      </c>
      <c r="F502">
        <v>0.2</v>
      </c>
      <c r="H502" t="s">
        <v>938</v>
      </c>
      <c r="I502" t="s">
        <v>4821</v>
      </c>
    </row>
    <row r="503" spans="1:9">
      <c r="A503" t="s">
        <v>4284</v>
      </c>
      <c r="B503" t="s">
        <v>4844</v>
      </c>
      <c r="C503">
        <v>1</v>
      </c>
      <c r="D503" t="s">
        <v>4166</v>
      </c>
      <c r="E503">
        <v>20</v>
      </c>
      <c r="F503">
        <v>0.22500000000000001</v>
      </c>
      <c r="H503" t="s">
        <v>938</v>
      </c>
      <c r="I503" t="s">
        <v>4821</v>
      </c>
    </row>
    <row r="504" spans="1:9">
      <c r="A504" t="s">
        <v>4284</v>
      </c>
      <c r="B504" t="s">
        <v>4845</v>
      </c>
      <c r="C504">
        <v>1</v>
      </c>
      <c r="D504" t="s">
        <v>4166</v>
      </c>
      <c r="E504">
        <v>0.75</v>
      </c>
      <c r="F504">
        <v>2.2000000000000002</v>
      </c>
      <c r="H504" t="s">
        <v>938</v>
      </c>
      <c r="I504" t="s">
        <v>4821</v>
      </c>
    </row>
    <row r="505" spans="1:9">
      <c r="A505" t="s">
        <v>4284</v>
      </c>
      <c r="B505" t="s">
        <v>4846</v>
      </c>
      <c r="C505">
        <v>1</v>
      </c>
      <c r="D505" t="s">
        <v>4166</v>
      </c>
      <c r="E505">
        <v>0.38</v>
      </c>
      <c r="F505">
        <v>22</v>
      </c>
      <c r="H505" t="s">
        <v>938</v>
      </c>
      <c r="I505" t="s">
        <v>4821</v>
      </c>
    </row>
    <row r="506" spans="1:9">
      <c r="A506" t="s">
        <v>4284</v>
      </c>
      <c r="B506" t="s">
        <v>4847</v>
      </c>
      <c r="C506">
        <v>1</v>
      </c>
      <c r="D506" t="s">
        <v>4166</v>
      </c>
      <c r="E506">
        <v>1.5</v>
      </c>
      <c r="F506">
        <v>0.88</v>
      </c>
      <c r="H506" t="s">
        <v>938</v>
      </c>
      <c r="I506" t="s">
        <v>4821</v>
      </c>
    </row>
    <row r="507" spans="1:9">
      <c r="A507" t="s">
        <v>4284</v>
      </c>
      <c r="B507" t="s">
        <v>4848</v>
      </c>
      <c r="C507">
        <v>1</v>
      </c>
      <c r="D507" t="s">
        <v>4166</v>
      </c>
      <c r="E507">
        <v>0.75</v>
      </c>
      <c r="F507">
        <v>8</v>
      </c>
      <c r="G507" t="s">
        <v>4849</v>
      </c>
      <c r="H507" t="s">
        <v>938</v>
      </c>
      <c r="I507" t="s">
        <v>4821</v>
      </c>
    </row>
    <row r="508" spans="1:9">
      <c r="A508" t="s">
        <v>4284</v>
      </c>
      <c r="B508" t="s">
        <v>4850</v>
      </c>
      <c r="C508">
        <v>1</v>
      </c>
      <c r="D508" t="s">
        <v>4166</v>
      </c>
      <c r="E508">
        <v>1</v>
      </c>
      <c r="F508">
        <v>2.2000000000000002</v>
      </c>
      <c r="H508" t="s">
        <v>938</v>
      </c>
      <c r="I508" t="s">
        <v>4821</v>
      </c>
    </row>
    <row r="509" spans="1:9">
      <c r="A509" t="s">
        <v>4284</v>
      </c>
      <c r="B509" t="s">
        <v>4851</v>
      </c>
      <c r="C509">
        <v>1</v>
      </c>
      <c r="D509" t="s">
        <v>4166</v>
      </c>
      <c r="E509">
        <v>1</v>
      </c>
      <c r="F509">
        <v>1.75</v>
      </c>
      <c r="H509" t="s">
        <v>938</v>
      </c>
      <c r="I509" t="s">
        <v>4821</v>
      </c>
    </row>
    <row r="510" spans="1:9">
      <c r="A510" t="s">
        <v>4284</v>
      </c>
      <c r="B510" t="s">
        <v>4852</v>
      </c>
      <c r="C510">
        <v>1</v>
      </c>
      <c r="D510" t="s">
        <v>4166</v>
      </c>
      <c r="E510">
        <v>0.5</v>
      </c>
      <c r="F510">
        <v>0.2</v>
      </c>
      <c r="H510" t="s">
        <v>938</v>
      </c>
      <c r="I510" t="s">
        <v>4821</v>
      </c>
    </row>
    <row r="511" spans="1:9">
      <c r="A511" t="s">
        <v>4284</v>
      </c>
      <c r="B511" t="s">
        <v>4853</v>
      </c>
      <c r="C511">
        <v>1</v>
      </c>
      <c r="D511" t="s">
        <v>4166</v>
      </c>
      <c r="E511">
        <v>0.25</v>
      </c>
      <c r="F511">
        <v>0.25</v>
      </c>
      <c r="H511" t="s">
        <v>938</v>
      </c>
      <c r="I511" t="s">
        <v>4821</v>
      </c>
    </row>
    <row r="512" spans="1:9">
      <c r="A512" t="s">
        <v>4284</v>
      </c>
      <c r="B512" t="s">
        <v>4854</v>
      </c>
      <c r="C512">
        <v>1</v>
      </c>
      <c r="D512" t="s">
        <v>4166</v>
      </c>
      <c r="E512">
        <v>0.36</v>
      </c>
      <c r="F512">
        <v>0.88</v>
      </c>
      <c r="H512" t="s">
        <v>938</v>
      </c>
      <c r="I512" t="s">
        <v>4821</v>
      </c>
    </row>
    <row r="513" spans="1:9">
      <c r="A513" t="s">
        <v>4284</v>
      </c>
      <c r="B513" t="s">
        <v>4855</v>
      </c>
      <c r="C513">
        <v>1</v>
      </c>
      <c r="D513" t="s">
        <v>4166</v>
      </c>
      <c r="E513">
        <v>0.75</v>
      </c>
      <c r="F513">
        <v>8.8000000000000007</v>
      </c>
      <c r="H513" t="s">
        <v>938</v>
      </c>
      <c r="I513" t="s">
        <v>4821</v>
      </c>
    </row>
    <row r="514" spans="1:9">
      <c r="A514" t="s">
        <v>4284</v>
      </c>
      <c r="B514" t="s">
        <v>4856</v>
      </c>
      <c r="C514">
        <v>1</v>
      </c>
      <c r="D514" t="s">
        <v>4166</v>
      </c>
      <c r="E514">
        <v>1.25</v>
      </c>
      <c r="F514">
        <v>22</v>
      </c>
      <c r="G514" t="s">
        <v>4849</v>
      </c>
      <c r="H514" t="s">
        <v>938</v>
      </c>
      <c r="I514" t="s">
        <v>4821</v>
      </c>
    </row>
    <row r="515" spans="1:9">
      <c r="A515" t="s">
        <v>4284</v>
      </c>
      <c r="B515" t="s">
        <v>4857</v>
      </c>
      <c r="C515">
        <v>1</v>
      </c>
      <c r="D515" t="s">
        <v>4166</v>
      </c>
      <c r="E515">
        <v>5</v>
      </c>
      <c r="F515">
        <v>9</v>
      </c>
      <c r="G515" t="s">
        <v>4858</v>
      </c>
      <c r="H515" t="s">
        <v>938</v>
      </c>
      <c r="I515" t="s">
        <v>4821</v>
      </c>
    </row>
    <row r="516" spans="1:9">
      <c r="A516" t="s">
        <v>4284</v>
      </c>
      <c r="B516" t="s">
        <v>4859</v>
      </c>
      <c r="C516">
        <v>1</v>
      </c>
      <c r="D516" t="s">
        <v>4166</v>
      </c>
      <c r="E516">
        <v>1.25</v>
      </c>
      <c r="F516">
        <v>3.5</v>
      </c>
      <c r="G516" t="s">
        <v>4858</v>
      </c>
      <c r="H516" t="s">
        <v>938</v>
      </c>
      <c r="I516" t="s">
        <v>4821</v>
      </c>
    </row>
    <row r="517" spans="1:9">
      <c r="A517" t="s">
        <v>4284</v>
      </c>
      <c r="B517" t="s">
        <v>4860</v>
      </c>
      <c r="C517">
        <v>1</v>
      </c>
      <c r="D517" t="s">
        <v>4166</v>
      </c>
      <c r="E517">
        <v>2</v>
      </c>
      <c r="F517">
        <v>3.6</v>
      </c>
      <c r="G517" t="s">
        <v>4858</v>
      </c>
      <c r="H517" t="s">
        <v>938</v>
      </c>
      <c r="I517" t="s">
        <v>4821</v>
      </c>
    </row>
    <row r="518" spans="1:9">
      <c r="A518" t="s">
        <v>4284</v>
      </c>
      <c r="B518" t="s">
        <v>4861</v>
      </c>
      <c r="C518">
        <v>1</v>
      </c>
      <c r="D518" t="s">
        <v>4166</v>
      </c>
      <c r="E518">
        <v>4</v>
      </c>
      <c r="F518">
        <v>9.4</v>
      </c>
      <c r="G518" t="s">
        <v>4858</v>
      </c>
      <c r="H518" t="s">
        <v>938</v>
      </c>
      <c r="I518" t="s">
        <v>4821</v>
      </c>
    </row>
    <row r="519" spans="1:9">
      <c r="A519" t="s">
        <v>4284</v>
      </c>
      <c r="B519" t="s">
        <v>4862</v>
      </c>
      <c r="C519">
        <v>1</v>
      </c>
      <c r="D519" t="s">
        <v>4166</v>
      </c>
      <c r="E519">
        <v>0.25</v>
      </c>
      <c r="F519">
        <v>0.88</v>
      </c>
      <c r="H519" t="s">
        <v>938</v>
      </c>
      <c r="I519" t="s">
        <v>4821</v>
      </c>
    </row>
    <row r="520" spans="1:9">
      <c r="A520" t="s">
        <v>4284</v>
      </c>
      <c r="B520" t="s">
        <v>4863</v>
      </c>
      <c r="C520">
        <v>1</v>
      </c>
      <c r="D520" t="s">
        <v>4166</v>
      </c>
      <c r="E520">
        <v>1.5</v>
      </c>
      <c r="F520">
        <v>5</v>
      </c>
      <c r="G520" t="s">
        <v>4858</v>
      </c>
      <c r="H520" t="s">
        <v>938</v>
      </c>
      <c r="I520" t="s">
        <v>4821</v>
      </c>
    </row>
    <row r="521" spans="1:9">
      <c r="A521" t="s">
        <v>4284</v>
      </c>
      <c r="B521" t="s">
        <v>4864</v>
      </c>
      <c r="C521">
        <v>1</v>
      </c>
      <c r="D521" t="s">
        <v>4166</v>
      </c>
      <c r="E521">
        <v>0.25</v>
      </c>
      <c r="F521">
        <v>0.51300000000000001</v>
      </c>
      <c r="H521" t="s">
        <v>938</v>
      </c>
      <c r="I521" t="s">
        <v>4821</v>
      </c>
    </row>
    <row r="522" spans="1:9">
      <c r="A522" t="s">
        <v>4519</v>
      </c>
      <c r="B522" t="s">
        <v>4865</v>
      </c>
      <c r="C522">
        <v>1</v>
      </c>
      <c r="D522" t="s">
        <v>4166</v>
      </c>
      <c r="E522">
        <v>1</v>
      </c>
      <c r="F522">
        <v>0.8</v>
      </c>
      <c r="H522" t="s">
        <v>938</v>
      </c>
      <c r="I522" t="s">
        <v>4866</v>
      </c>
    </row>
    <row r="523" spans="1:9">
      <c r="A523" t="s">
        <v>4519</v>
      </c>
      <c r="B523" t="s">
        <v>4867</v>
      </c>
      <c r="C523">
        <v>1</v>
      </c>
      <c r="D523" t="s">
        <v>4166</v>
      </c>
      <c r="E523">
        <v>0.3</v>
      </c>
      <c r="F523">
        <v>1.32</v>
      </c>
      <c r="H523" t="s">
        <v>938</v>
      </c>
      <c r="I523" t="s">
        <v>4866</v>
      </c>
    </row>
    <row r="524" spans="1:9">
      <c r="A524" t="s">
        <v>4519</v>
      </c>
      <c r="B524" t="s">
        <v>4868</v>
      </c>
      <c r="C524">
        <v>1</v>
      </c>
      <c r="D524" t="s">
        <v>4166</v>
      </c>
      <c r="E524">
        <v>0.06</v>
      </c>
      <c r="F524">
        <v>0.44</v>
      </c>
      <c r="H524" t="s">
        <v>938</v>
      </c>
      <c r="I524" t="s">
        <v>4866</v>
      </c>
    </row>
    <row r="525" spans="1:9">
      <c r="A525" t="s">
        <v>4519</v>
      </c>
      <c r="B525" t="s">
        <v>4869</v>
      </c>
      <c r="C525">
        <v>1</v>
      </c>
      <c r="D525" t="s">
        <v>4166</v>
      </c>
      <c r="E525">
        <v>0.75</v>
      </c>
      <c r="F525">
        <v>0.98</v>
      </c>
      <c r="H525" t="s">
        <v>938</v>
      </c>
      <c r="I525" t="s">
        <v>4866</v>
      </c>
    </row>
    <row r="526" spans="1:9">
      <c r="A526" t="s">
        <v>4519</v>
      </c>
      <c r="B526" t="s">
        <v>4870</v>
      </c>
      <c r="C526">
        <v>1</v>
      </c>
      <c r="D526" t="s">
        <v>4166</v>
      </c>
      <c r="E526">
        <v>1</v>
      </c>
      <c r="F526">
        <v>1.76</v>
      </c>
      <c r="H526" t="s">
        <v>938</v>
      </c>
      <c r="I526" t="s">
        <v>4866</v>
      </c>
    </row>
    <row r="527" spans="1:9">
      <c r="A527" t="s">
        <v>4519</v>
      </c>
      <c r="B527" t="s">
        <v>4871</v>
      </c>
      <c r="C527">
        <v>1</v>
      </c>
      <c r="D527" t="s">
        <v>4166</v>
      </c>
      <c r="E527">
        <v>5</v>
      </c>
      <c r="F527">
        <v>66</v>
      </c>
      <c r="H527" t="s">
        <v>938</v>
      </c>
      <c r="I527" t="s">
        <v>4866</v>
      </c>
    </row>
    <row r="528" spans="1:9">
      <c r="A528" t="s">
        <v>4519</v>
      </c>
      <c r="B528" t="s">
        <v>4872</v>
      </c>
      <c r="C528">
        <v>1</v>
      </c>
      <c r="D528" t="s">
        <v>4166</v>
      </c>
      <c r="E528">
        <v>0.1</v>
      </c>
      <c r="F528">
        <v>0.45</v>
      </c>
      <c r="H528" t="s">
        <v>938</v>
      </c>
      <c r="I528" t="s">
        <v>4866</v>
      </c>
    </row>
    <row r="529" spans="1:9">
      <c r="A529" t="s">
        <v>4519</v>
      </c>
      <c r="B529" t="s">
        <v>4873</v>
      </c>
      <c r="C529">
        <v>1</v>
      </c>
      <c r="D529" t="s">
        <v>4166</v>
      </c>
      <c r="E529">
        <v>0.1</v>
      </c>
      <c r="F529">
        <v>2.1999999999999999E-2</v>
      </c>
      <c r="H529" t="s">
        <v>938</v>
      </c>
      <c r="I529" t="s">
        <v>4866</v>
      </c>
    </row>
    <row r="530" spans="1:9">
      <c r="A530" t="s">
        <v>4519</v>
      </c>
      <c r="B530" t="s">
        <v>4874</v>
      </c>
      <c r="C530">
        <v>1</v>
      </c>
      <c r="D530" t="s">
        <v>4166</v>
      </c>
      <c r="E530">
        <v>0.3</v>
      </c>
      <c r="F530">
        <v>1.76</v>
      </c>
      <c r="H530" t="s">
        <v>938</v>
      </c>
      <c r="I530" t="s">
        <v>4866</v>
      </c>
    </row>
    <row r="531" spans="1:9">
      <c r="A531" t="s">
        <v>4557</v>
      </c>
      <c r="B531" t="s">
        <v>4875</v>
      </c>
      <c r="C531">
        <v>1</v>
      </c>
      <c r="D531" t="s">
        <v>4166</v>
      </c>
      <c r="E531">
        <v>0.5</v>
      </c>
      <c r="F531">
        <v>2.5</v>
      </c>
      <c r="H531" t="s">
        <v>938</v>
      </c>
      <c r="I531" t="s">
        <v>4866</v>
      </c>
    </row>
    <row r="532" spans="1:9">
      <c r="A532" t="s">
        <v>4557</v>
      </c>
      <c r="B532" t="s">
        <v>4876</v>
      </c>
      <c r="C532">
        <v>1</v>
      </c>
      <c r="D532" t="s">
        <v>4166</v>
      </c>
      <c r="E532">
        <v>0.5</v>
      </c>
      <c r="F532">
        <v>41</v>
      </c>
      <c r="H532" t="s">
        <v>938</v>
      </c>
      <c r="I532" t="s">
        <v>4866</v>
      </c>
    </row>
    <row r="533" spans="1:9">
      <c r="A533" t="s">
        <v>4557</v>
      </c>
      <c r="B533" t="s">
        <v>4877</v>
      </c>
      <c r="C533">
        <v>1</v>
      </c>
      <c r="D533" t="s">
        <v>4166</v>
      </c>
      <c r="E533">
        <v>0.15</v>
      </c>
      <c r="F533">
        <v>0.2</v>
      </c>
      <c r="H533" t="s">
        <v>938</v>
      </c>
      <c r="I533" t="s">
        <v>4866</v>
      </c>
    </row>
    <row r="534" spans="1:9">
      <c r="A534" t="s">
        <v>4557</v>
      </c>
      <c r="B534" t="s">
        <v>4878</v>
      </c>
      <c r="C534">
        <v>1</v>
      </c>
      <c r="D534" t="s">
        <v>4166</v>
      </c>
      <c r="E534">
        <v>0.15</v>
      </c>
      <c r="F534">
        <v>2.5</v>
      </c>
      <c r="H534" t="s">
        <v>938</v>
      </c>
      <c r="I534" t="s">
        <v>4866</v>
      </c>
    </row>
    <row r="535" spans="1:9">
      <c r="A535" t="s">
        <v>4262</v>
      </c>
      <c r="B535" t="s">
        <v>4879</v>
      </c>
      <c r="C535">
        <v>1</v>
      </c>
      <c r="D535" t="s">
        <v>4166</v>
      </c>
      <c r="E535">
        <v>6</v>
      </c>
      <c r="F535">
        <v>17.600000000000001</v>
      </c>
      <c r="H535" t="s">
        <v>938</v>
      </c>
      <c r="I535" t="s">
        <v>4866</v>
      </c>
    </row>
    <row r="536" spans="1:9">
      <c r="A536" t="s">
        <v>4262</v>
      </c>
      <c r="B536" t="s">
        <v>4880</v>
      </c>
      <c r="C536">
        <v>1</v>
      </c>
      <c r="D536" t="s">
        <v>4166</v>
      </c>
      <c r="E536">
        <v>15</v>
      </c>
      <c r="F536">
        <v>35.200000000000003</v>
      </c>
      <c r="H536" t="s">
        <v>938</v>
      </c>
      <c r="I536" t="s">
        <v>4866</v>
      </c>
    </row>
    <row r="537" spans="1:9">
      <c r="A537" t="s">
        <v>4262</v>
      </c>
      <c r="B537" t="s">
        <v>4881</v>
      </c>
      <c r="C537">
        <v>1</v>
      </c>
      <c r="D537" t="s">
        <v>4166</v>
      </c>
      <c r="E537">
        <v>20</v>
      </c>
      <c r="F537">
        <v>52.8</v>
      </c>
      <c r="H537" t="s">
        <v>938</v>
      </c>
      <c r="I537" t="s">
        <v>4866</v>
      </c>
    </row>
    <row r="538" spans="1:9">
      <c r="A538" t="s">
        <v>4262</v>
      </c>
      <c r="B538" t="s">
        <v>4882</v>
      </c>
      <c r="C538">
        <v>1</v>
      </c>
      <c r="D538" t="s">
        <v>4166</v>
      </c>
      <c r="E538">
        <v>25</v>
      </c>
      <c r="F538">
        <v>22</v>
      </c>
      <c r="H538" t="s">
        <v>938</v>
      </c>
      <c r="I538" t="s">
        <v>4866</v>
      </c>
    </row>
    <row r="539" spans="1:9">
      <c r="A539" t="s">
        <v>4262</v>
      </c>
      <c r="B539" t="s">
        <v>4883</v>
      </c>
      <c r="C539">
        <v>1</v>
      </c>
      <c r="D539" t="s">
        <v>4166</v>
      </c>
      <c r="E539">
        <v>11.3</v>
      </c>
      <c r="F539">
        <v>25.8</v>
      </c>
      <c r="H539" t="s">
        <v>938</v>
      </c>
      <c r="I539" t="s">
        <v>4866</v>
      </c>
    </row>
    <row r="540" spans="1:9">
      <c r="A540" t="s">
        <v>4262</v>
      </c>
      <c r="B540" t="s">
        <v>4871</v>
      </c>
      <c r="C540">
        <v>1</v>
      </c>
      <c r="D540" t="s">
        <v>4166</v>
      </c>
      <c r="E540">
        <v>5</v>
      </c>
      <c r="F540">
        <v>13.2</v>
      </c>
      <c r="H540" t="s">
        <v>938</v>
      </c>
      <c r="I540" t="s">
        <v>4866</v>
      </c>
    </row>
    <row r="541" spans="1:9">
      <c r="A541" t="s">
        <v>4262</v>
      </c>
      <c r="B541" t="s">
        <v>4884</v>
      </c>
      <c r="C541">
        <v>1</v>
      </c>
      <c r="D541" t="s">
        <v>4166</v>
      </c>
      <c r="E541">
        <v>14.5</v>
      </c>
      <c r="F541">
        <v>440</v>
      </c>
      <c r="H541" t="s">
        <v>938</v>
      </c>
      <c r="I541" t="s">
        <v>4866</v>
      </c>
    </row>
    <row r="542" spans="1:9">
      <c r="A542" t="s">
        <v>4262</v>
      </c>
      <c r="B542" t="s">
        <v>4885</v>
      </c>
      <c r="C542">
        <v>1</v>
      </c>
      <c r="D542" t="s">
        <v>4166</v>
      </c>
      <c r="E542">
        <v>6</v>
      </c>
      <c r="F542">
        <v>39.6</v>
      </c>
      <c r="H542" t="s">
        <v>938</v>
      </c>
      <c r="I542" t="s">
        <v>4866</v>
      </c>
    </row>
    <row r="543" spans="1:9">
      <c r="A543" t="s">
        <v>4262</v>
      </c>
      <c r="B543" t="s">
        <v>4886</v>
      </c>
      <c r="C543">
        <v>1</v>
      </c>
      <c r="D543" t="s">
        <v>4503</v>
      </c>
      <c r="E543">
        <v>2</v>
      </c>
      <c r="F543">
        <v>4.7</v>
      </c>
      <c r="H543" t="s">
        <v>938</v>
      </c>
      <c r="I543" t="s">
        <v>4866</v>
      </c>
    </row>
    <row r="544" spans="1:9">
      <c r="A544" t="s">
        <v>4284</v>
      </c>
      <c r="B544" t="s">
        <v>4887</v>
      </c>
      <c r="C544">
        <v>1</v>
      </c>
      <c r="D544" t="s">
        <v>4166</v>
      </c>
      <c r="E544">
        <v>32.5</v>
      </c>
      <c r="F544">
        <v>110</v>
      </c>
      <c r="H544" t="s">
        <v>938</v>
      </c>
      <c r="I544" t="s">
        <v>4866</v>
      </c>
    </row>
    <row r="545" spans="1:9">
      <c r="A545" t="s">
        <v>4284</v>
      </c>
      <c r="B545" t="s">
        <v>4888</v>
      </c>
      <c r="C545">
        <v>1</v>
      </c>
      <c r="D545" t="s">
        <v>4166</v>
      </c>
      <c r="E545">
        <v>18.8</v>
      </c>
      <c r="F545">
        <v>28</v>
      </c>
      <c r="H545" t="s">
        <v>938</v>
      </c>
      <c r="I545" t="s">
        <v>4866</v>
      </c>
    </row>
    <row r="546" spans="1:9">
      <c r="A546" t="s">
        <v>4284</v>
      </c>
      <c r="B546" t="s">
        <v>4889</v>
      </c>
      <c r="C546">
        <v>1</v>
      </c>
      <c r="D546" t="s">
        <v>4166</v>
      </c>
      <c r="E546">
        <v>30</v>
      </c>
      <c r="F546">
        <v>36</v>
      </c>
      <c r="H546" t="s">
        <v>938</v>
      </c>
      <c r="I546" t="s">
        <v>4866</v>
      </c>
    </row>
    <row r="547" spans="1:9">
      <c r="A547" t="s">
        <v>4284</v>
      </c>
      <c r="B547" t="s">
        <v>4890</v>
      </c>
      <c r="C547">
        <v>1</v>
      </c>
      <c r="D547" t="s">
        <v>4166</v>
      </c>
      <c r="E547">
        <v>15</v>
      </c>
      <c r="F547">
        <v>22</v>
      </c>
      <c r="H547" t="s">
        <v>938</v>
      </c>
      <c r="I547" t="s">
        <v>4866</v>
      </c>
    </row>
    <row r="548" spans="1:9">
      <c r="A548" t="s">
        <v>4284</v>
      </c>
      <c r="B548" t="s">
        <v>4891</v>
      </c>
      <c r="C548">
        <v>1</v>
      </c>
      <c r="D548" t="s">
        <v>4503</v>
      </c>
      <c r="E548">
        <v>5</v>
      </c>
      <c r="F548">
        <v>9.1</v>
      </c>
      <c r="G548" t="s">
        <v>4892</v>
      </c>
      <c r="H548" t="s">
        <v>938</v>
      </c>
      <c r="I548" t="s">
        <v>4866</v>
      </c>
    </row>
    <row r="549" spans="1:9">
      <c r="A549" t="s">
        <v>4284</v>
      </c>
      <c r="B549" t="s">
        <v>4893</v>
      </c>
      <c r="C549">
        <v>1</v>
      </c>
      <c r="D549" t="s">
        <v>4503</v>
      </c>
      <c r="E549">
        <v>20</v>
      </c>
      <c r="F549">
        <v>4.5</v>
      </c>
      <c r="G549" t="s">
        <v>4894</v>
      </c>
      <c r="H549" t="s">
        <v>938</v>
      </c>
      <c r="I549" t="s">
        <v>4866</v>
      </c>
    </row>
    <row r="550" spans="1:9">
      <c r="A550" t="s">
        <v>4284</v>
      </c>
      <c r="B550" t="s">
        <v>4895</v>
      </c>
      <c r="C550">
        <v>1</v>
      </c>
      <c r="D550" t="s">
        <v>4503</v>
      </c>
      <c r="E550">
        <v>1.5</v>
      </c>
      <c r="F550">
        <v>8.8000000000000007</v>
      </c>
      <c r="H550" t="s">
        <v>938</v>
      </c>
      <c r="I550" t="s">
        <v>4866</v>
      </c>
    </row>
    <row r="551" spans="1:9">
      <c r="A551" t="s">
        <v>4557</v>
      </c>
      <c r="B551" t="s">
        <v>4896</v>
      </c>
      <c r="C551">
        <v>1</v>
      </c>
      <c r="D551" t="s">
        <v>4166</v>
      </c>
      <c r="E551">
        <v>0.75</v>
      </c>
      <c r="F551">
        <v>0.15</v>
      </c>
      <c r="H551" t="s">
        <v>938</v>
      </c>
      <c r="I551" t="s">
        <v>4897</v>
      </c>
    </row>
    <row r="552" spans="1:9">
      <c r="A552" t="s">
        <v>4557</v>
      </c>
      <c r="B552" t="s">
        <v>4898</v>
      </c>
      <c r="C552">
        <v>1</v>
      </c>
      <c r="D552" t="s">
        <v>4166</v>
      </c>
      <c r="E552">
        <v>0.75</v>
      </c>
      <c r="F552">
        <v>1</v>
      </c>
      <c r="H552" t="s">
        <v>938</v>
      </c>
      <c r="I552" t="s">
        <v>4897</v>
      </c>
    </row>
    <row r="553" spans="1:9">
      <c r="A553" t="s">
        <v>4557</v>
      </c>
      <c r="B553" t="s">
        <v>4899</v>
      </c>
      <c r="C553">
        <v>1</v>
      </c>
      <c r="D553" t="s">
        <v>4503</v>
      </c>
      <c r="E553">
        <v>1</v>
      </c>
      <c r="F553">
        <v>1</v>
      </c>
      <c r="H553" t="s">
        <v>938</v>
      </c>
      <c r="I553" t="s">
        <v>4897</v>
      </c>
    </row>
    <row r="554" spans="1:9">
      <c r="A554" t="s">
        <v>4557</v>
      </c>
      <c r="B554" t="s">
        <v>4900</v>
      </c>
      <c r="C554">
        <v>1</v>
      </c>
      <c r="D554" t="s">
        <v>4503</v>
      </c>
      <c r="E554">
        <v>1</v>
      </c>
      <c r="F554">
        <v>50</v>
      </c>
      <c r="H554" t="s">
        <v>938</v>
      </c>
      <c r="I554" t="s">
        <v>4897</v>
      </c>
    </row>
    <row r="555" spans="1:9">
      <c r="A555" t="s">
        <v>4557</v>
      </c>
      <c r="B555" t="s">
        <v>4901</v>
      </c>
      <c r="C555">
        <v>1</v>
      </c>
      <c r="D555" t="s">
        <v>4503</v>
      </c>
      <c r="E555">
        <v>1</v>
      </c>
      <c r="F555">
        <v>1.6</v>
      </c>
      <c r="H555" t="s">
        <v>938</v>
      </c>
      <c r="I555" t="s">
        <v>4897</v>
      </c>
    </row>
    <row r="556" spans="1:9">
      <c r="A556" t="s">
        <v>4557</v>
      </c>
      <c r="B556" t="s">
        <v>4902</v>
      </c>
      <c r="C556">
        <v>1</v>
      </c>
      <c r="D556" t="s">
        <v>4503</v>
      </c>
      <c r="E556">
        <v>1</v>
      </c>
      <c r="F556">
        <v>10</v>
      </c>
      <c r="H556" t="s">
        <v>938</v>
      </c>
      <c r="I556" t="s">
        <v>4897</v>
      </c>
    </row>
    <row r="557" spans="1:9">
      <c r="A557" t="s">
        <v>4557</v>
      </c>
      <c r="B557" t="s">
        <v>4903</v>
      </c>
      <c r="C557">
        <v>1</v>
      </c>
      <c r="D557" t="s">
        <v>4166</v>
      </c>
      <c r="E557">
        <v>1.8</v>
      </c>
      <c r="F557">
        <v>3.9</v>
      </c>
      <c r="H557" t="s">
        <v>938</v>
      </c>
      <c r="I557" t="s">
        <v>4897</v>
      </c>
    </row>
    <row r="558" spans="1:9">
      <c r="A558" t="s">
        <v>4557</v>
      </c>
      <c r="B558" t="s">
        <v>4904</v>
      </c>
      <c r="C558">
        <v>1</v>
      </c>
      <c r="D558" t="s">
        <v>4166</v>
      </c>
      <c r="E558">
        <v>1.8</v>
      </c>
      <c r="F558">
        <v>12</v>
      </c>
      <c r="H558" t="s">
        <v>938</v>
      </c>
      <c r="I558" t="s">
        <v>4897</v>
      </c>
    </row>
    <row r="559" spans="1:9">
      <c r="A559" t="s">
        <v>4557</v>
      </c>
      <c r="B559" t="s">
        <v>4905</v>
      </c>
      <c r="C559">
        <v>1</v>
      </c>
      <c r="D559" t="s">
        <v>4166</v>
      </c>
      <c r="E559">
        <v>2.5</v>
      </c>
      <c r="F559">
        <v>7</v>
      </c>
      <c r="H559" t="s">
        <v>938</v>
      </c>
      <c r="I559" t="s">
        <v>4897</v>
      </c>
    </row>
    <row r="560" spans="1:9">
      <c r="A560" t="s">
        <v>4557</v>
      </c>
      <c r="B560" t="s">
        <v>4906</v>
      </c>
      <c r="C560">
        <v>1</v>
      </c>
      <c r="D560" t="s">
        <v>4166</v>
      </c>
      <c r="E560">
        <v>2.5</v>
      </c>
      <c r="F560">
        <v>25</v>
      </c>
      <c r="H560" t="s">
        <v>938</v>
      </c>
      <c r="I560" t="s">
        <v>4897</v>
      </c>
    </row>
    <row r="561" spans="1:9">
      <c r="A561" t="s">
        <v>4557</v>
      </c>
      <c r="B561" t="s">
        <v>4907</v>
      </c>
      <c r="C561">
        <v>1</v>
      </c>
      <c r="D561" t="s">
        <v>4166</v>
      </c>
      <c r="E561">
        <v>2.5</v>
      </c>
      <c r="F561">
        <v>12</v>
      </c>
      <c r="H561" t="s">
        <v>938</v>
      </c>
      <c r="I561" t="s">
        <v>4897</v>
      </c>
    </row>
    <row r="562" spans="1:9">
      <c r="A562" t="s">
        <v>4557</v>
      </c>
      <c r="B562" t="s">
        <v>4908</v>
      </c>
      <c r="C562">
        <v>1</v>
      </c>
      <c r="D562" t="s">
        <v>4166</v>
      </c>
      <c r="E562">
        <v>2.5</v>
      </c>
      <c r="F562">
        <v>28</v>
      </c>
      <c r="H562" t="s">
        <v>938</v>
      </c>
      <c r="I562" t="s">
        <v>4897</v>
      </c>
    </row>
    <row r="563" spans="1:9">
      <c r="A563" t="s">
        <v>4397</v>
      </c>
      <c r="B563" t="s">
        <v>4909</v>
      </c>
      <c r="C563">
        <v>1</v>
      </c>
      <c r="D563" t="s">
        <v>4166</v>
      </c>
      <c r="E563">
        <v>1</v>
      </c>
      <c r="F563">
        <v>2.5</v>
      </c>
      <c r="H563" t="s">
        <v>938</v>
      </c>
      <c r="I563" t="s">
        <v>4397</v>
      </c>
    </row>
    <row r="564" spans="1:9">
      <c r="A564" t="s">
        <v>4397</v>
      </c>
      <c r="B564" t="s">
        <v>4910</v>
      </c>
      <c r="C564">
        <v>1</v>
      </c>
      <c r="D564" t="s">
        <v>4166</v>
      </c>
      <c r="E564">
        <v>0.5</v>
      </c>
      <c r="F564">
        <v>5</v>
      </c>
      <c r="H564" t="s">
        <v>938</v>
      </c>
      <c r="I564" t="s">
        <v>4397</v>
      </c>
    </row>
    <row r="565" spans="1:9">
      <c r="A565" t="s">
        <v>4397</v>
      </c>
      <c r="B565" t="s">
        <v>4911</v>
      </c>
      <c r="C565">
        <v>1</v>
      </c>
      <c r="D565" t="s">
        <v>4166</v>
      </c>
      <c r="E565">
        <v>0.4</v>
      </c>
      <c r="F565">
        <v>2.2000000000000002</v>
      </c>
      <c r="H565" t="s">
        <v>938</v>
      </c>
      <c r="I565" t="s">
        <v>4397</v>
      </c>
    </row>
    <row r="566" spans="1:9">
      <c r="A566" t="s">
        <v>4397</v>
      </c>
      <c r="B566" t="s">
        <v>4912</v>
      </c>
      <c r="C566">
        <v>1</v>
      </c>
      <c r="D566" t="s">
        <v>4166</v>
      </c>
      <c r="E566">
        <v>0.5</v>
      </c>
      <c r="F566">
        <v>4.4000000000000004</v>
      </c>
      <c r="H566" t="s">
        <v>938</v>
      </c>
      <c r="I566" t="s">
        <v>4397</v>
      </c>
    </row>
    <row r="567" spans="1:9">
      <c r="A567" t="s">
        <v>4397</v>
      </c>
      <c r="B567" t="s">
        <v>4913</v>
      </c>
      <c r="C567">
        <v>1</v>
      </c>
      <c r="D567" t="s">
        <v>4166</v>
      </c>
      <c r="E567">
        <v>0.5</v>
      </c>
      <c r="F567">
        <v>5</v>
      </c>
      <c r="H567" t="s">
        <v>938</v>
      </c>
      <c r="I567" t="s">
        <v>4397</v>
      </c>
    </row>
    <row r="568" spans="1:9">
      <c r="A568" t="s">
        <v>4397</v>
      </c>
      <c r="B568" t="s">
        <v>4914</v>
      </c>
      <c r="C568">
        <v>1</v>
      </c>
      <c r="D568" t="s">
        <v>4166</v>
      </c>
      <c r="E568">
        <v>1</v>
      </c>
      <c r="F568">
        <v>6.6</v>
      </c>
      <c r="H568" t="s">
        <v>938</v>
      </c>
      <c r="I568" t="s">
        <v>4397</v>
      </c>
    </row>
    <row r="569" spans="1:9">
      <c r="A569" t="s">
        <v>4397</v>
      </c>
      <c r="B569" t="s">
        <v>4915</v>
      </c>
      <c r="C569">
        <v>1</v>
      </c>
      <c r="D569" t="s">
        <v>4166</v>
      </c>
      <c r="E569">
        <v>2</v>
      </c>
      <c r="F569">
        <v>17.600000000000001</v>
      </c>
      <c r="H569" t="s">
        <v>938</v>
      </c>
      <c r="I569" t="s">
        <v>4397</v>
      </c>
    </row>
    <row r="570" spans="1:9">
      <c r="A570" t="s">
        <v>4397</v>
      </c>
      <c r="B570" t="s">
        <v>4916</v>
      </c>
      <c r="C570">
        <v>1</v>
      </c>
      <c r="D570" t="s">
        <v>4166</v>
      </c>
      <c r="E570">
        <v>0.5</v>
      </c>
      <c r="F570">
        <v>5</v>
      </c>
      <c r="H570" t="s">
        <v>938</v>
      </c>
      <c r="I570" t="s">
        <v>4397</v>
      </c>
    </row>
    <row r="571" spans="1:9">
      <c r="A571" t="s">
        <v>4397</v>
      </c>
      <c r="B571" t="s">
        <v>4917</v>
      </c>
      <c r="C571">
        <v>1</v>
      </c>
      <c r="D571" t="s">
        <v>4166</v>
      </c>
      <c r="E571">
        <v>0.75</v>
      </c>
      <c r="F571">
        <v>6.6</v>
      </c>
      <c r="H571" t="s">
        <v>938</v>
      </c>
      <c r="I571" t="s">
        <v>4397</v>
      </c>
    </row>
    <row r="572" spans="1:9">
      <c r="A572" t="s">
        <v>4397</v>
      </c>
      <c r="B572" t="s">
        <v>4918</v>
      </c>
      <c r="C572">
        <v>1</v>
      </c>
      <c r="D572" t="s">
        <v>4166</v>
      </c>
      <c r="E572">
        <v>0.9</v>
      </c>
      <c r="F572">
        <v>7.92</v>
      </c>
      <c r="H572" t="s">
        <v>938</v>
      </c>
      <c r="I572" t="s">
        <v>4397</v>
      </c>
    </row>
    <row r="573" spans="1:9">
      <c r="A573" t="s">
        <v>4397</v>
      </c>
      <c r="B573" t="s">
        <v>4919</v>
      </c>
      <c r="C573">
        <v>1</v>
      </c>
      <c r="D573" t="s">
        <v>4166</v>
      </c>
      <c r="E573">
        <v>0.3</v>
      </c>
      <c r="F573">
        <v>2</v>
      </c>
      <c r="H573" t="s">
        <v>938</v>
      </c>
      <c r="I573" t="s">
        <v>4397</v>
      </c>
    </row>
    <row r="574" spans="1:9">
      <c r="A574" t="s">
        <v>4397</v>
      </c>
      <c r="B574" t="s">
        <v>4920</v>
      </c>
      <c r="C574">
        <v>1</v>
      </c>
      <c r="D574" t="s">
        <v>4166</v>
      </c>
      <c r="E574">
        <v>0.3</v>
      </c>
      <c r="F574">
        <v>3</v>
      </c>
      <c r="H574" t="s">
        <v>938</v>
      </c>
      <c r="I574" t="s">
        <v>4397</v>
      </c>
    </row>
    <row r="575" spans="1:9">
      <c r="A575" t="s">
        <v>4397</v>
      </c>
      <c r="B575" t="s">
        <v>4921</v>
      </c>
      <c r="C575">
        <v>1</v>
      </c>
      <c r="D575" t="s">
        <v>4166</v>
      </c>
      <c r="E575">
        <v>0.2</v>
      </c>
      <c r="F575">
        <v>1.2</v>
      </c>
      <c r="H575" t="s">
        <v>938</v>
      </c>
      <c r="I575" t="s">
        <v>4397</v>
      </c>
    </row>
    <row r="576" spans="1:9">
      <c r="A576" t="s">
        <v>4397</v>
      </c>
      <c r="B576" t="s">
        <v>4922</v>
      </c>
      <c r="C576">
        <v>1</v>
      </c>
      <c r="D576" t="s">
        <v>4166</v>
      </c>
      <c r="E576">
        <v>0.25</v>
      </c>
      <c r="F576">
        <v>3.52</v>
      </c>
      <c r="H576" t="s">
        <v>938</v>
      </c>
      <c r="I576" t="s">
        <v>4397</v>
      </c>
    </row>
    <row r="577" spans="1:9">
      <c r="A577" t="s">
        <v>4397</v>
      </c>
      <c r="B577" t="s">
        <v>4923</v>
      </c>
      <c r="C577">
        <v>1</v>
      </c>
      <c r="D577" t="s">
        <v>4166</v>
      </c>
      <c r="E577">
        <v>1.5</v>
      </c>
      <c r="F577">
        <v>6.6</v>
      </c>
      <c r="H577" t="s">
        <v>938</v>
      </c>
      <c r="I577" t="s">
        <v>4397</v>
      </c>
    </row>
    <row r="578" spans="1:9">
      <c r="A578" t="s">
        <v>4924</v>
      </c>
      <c r="B578" t="s">
        <v>4925</v>
      </c>
      <c r="C578">
        <v>1</v>
      </c>
      <c r="D578" t="s">
        <v>4166</v>
      </c>
      <c r="E578" t="s">
        <v>4167</v>
      </c>
      <c r="F578">
        <v>450000</v>
      </c>
      <c r="H578" t="s">
        <v>951</v>
      </c>
      <c r="I578" t="s">
        <v>4926</v>
      </c>
    </row>
    <row r="579" spans="1:9">
      <c r="A579" t="s">
        <v>4924</v>
      </c>
      <c r="B579" t="s">
        <v>4927</v>
      </c>
      <c r="C579">
        <v>1</v>
      </c>
      <c r="D579" t="s">
        <v>4166</v>
      </c>
      <c r="E579" t="s">
        <v>4167</v>
      </c>
      <c r="F579">
        <v>2000000</v>
      </c>
      <c r="H579" t="s">
        <v>951</v>
      </c>
      <c r="I579" t="s">
        <v>4926</v>
      </c>
    </row>
    <row r="580" spans="1:9">
      <c r="A580" t="s">
        <v>4924</v>
      </c>
      <c r="B580" t="s">
        <v>4928</v>
      </c>
      <c r="C580">
        <v>1</v>
      </c>
      <c r="D580" t="s">
        <v>4166</v>
      </c>
      <c r="E580" t="s">
        <v>4167</v>
      </c>
      <c r="F580">
        <v>1600000</v>
      </c>
      <c r="H580" t="s">
        <v>951</v>
      </c>
      <c r="I580" t="s">
        <v>4929</v>
      </c>
    </row>
    <row r="581" spans="1:9">
      <c r="A581" t="s">
        <v>4924</v>
      </c>
      <c r="B581" t="s">
        <v>4930</v>
      </c>
      <c r="C581">
        <v>1</v>
      </c>
      <c r="D581" t="s">
        <v>4166</v>
      </c>
      <c r="E581" t="s">
        <v>4167</v>
      </c>
      <c r="F581">
        <v>400000</v>
      </c>
      <c r="H581" t="s">
        <v>951</v>
      </c>
      <c r="I581" t="s">
        <v>4929</v>
      </c>
    </row>
    <row r="582" spans="1:9">
      <c r="A582" t="s">
        <v>4924</v>
      </c>
      <c r="B582" t="s">
        <v>4931</v>
      </c>
      <c r="C582">
        <v>1</v>
      </c>
      <c r="D582" t="s">
        <v>4166</v>
      </c>
      <c r="E582" t="s">
        <v>4167</v>
      </c>
      <c r="F582">
        <v>800000</v>
      </c>
      <c r="H582" t="s">
        <v>951</v>
      </c>
      <c r="I582" t="s">
        <v>4929</v>
      </c>
    </row>
    <row r="583" spans="1:9">
      <c r="A583" t="s">
        <v>4268</v>
      </c>
      <c r="B583" t="s">
        <v>4932</v>
      </c>
      <c r="C583">
        <v>1</v>
      </c>
      <c r="D583" t="s">
        <v>4166</v>
      </c>
      <c r="E583">
        <v>6</v>
      </c>
      <c r="F583">
        <v>120</v>
      </c>
      <c r="H583" t="s">
        <v>956</v>
      </c>
      <c r="I583" t="s">
        <v>4933</v>
      </c>
    </row>
    <row r="584" spans="1:9">
      <c r="A584" t="s">
        <v>4268</v>
      </c>
      <c r="B584" t="s">
        <v>4934</v>
      </c>
      <c r="C584">
        <v>1</v>
      </c>
      <c r="D584" t="s">
        <v>4166</v>
      </c>
      <c r="E584">
        <v>10</v>
      </c>
      <c r="F584">
        <v>22</v>
      </c>
      <c r="H584" t="s">
        <v>956</v>
      </c>
      <c r="I584" t="s">
        <v>4933</v>
      </c>
    </row>
    <row r="585" spans="1:9">
      <c r="A585" t="s">
        <v>4268</v>
      </c>
      <c r="B585" t="s">
        <v>4935</v>
      </c>
      <c r="C585">
        <v>1</v>
      </c>
      <c r="D585" t="s">
        <v>4166</v>
      </c>
      <c r="E585">
        <v>5</v>
      </c>
      <c r="F585">
        <v>8.75</v>
      </c>
      <c r="H585" t="s">
        <v>956</v>
      </c>
      <c r="I585" t="s">
        <v>4933</v>
      </c>
    </row>
    <row r="586" spans="1:9">
      <c r="A586" t="s">
        <v>4249</v>
      </c>
      <c r="B586" t="s">
        <v>4936</v>
      </c>
      <c r="C586">
        <v>1</v>
      </c>
      <c r="D586" t="s">
        <v>4166</v>
      </c>
      <c r="E586">
        <v>3</v>
      </c>
      <c r="F586">
        <v>8800</v>
      </c>
      <c r="H586" t="s">
        <v>956</v>
      </c>
      <c r="I586" t="s">
        <v>4937</v>
      </c>
    </row>
    <row r="587" spans="1:9">
      <c r="A587" t="s">
        <v>4249</v>
      </c>
      <c r="B587" t="s">
        <v>4938</v>
      </c>
      <c r="C587">
        <v>1</v>
      </c>
      <c r="D587" t="s">
        <v>4166</v>
      </c>
      <c r="E587">
        <v>4</v>
      </c>
      <c r="F587">
        <v>26400</v>
      </c>
      <c r="H587" t="s">
        <v>956</v>
      </c>
      <c r="I587" t="s">
        <v>4937</v>
      </c>
    </row>
    <row r="588" spans="1:9">
      <c r="A588" t="s">
        <v>4738</v>
      </c>
      <c r="B588" t="s">
        <v>4939</v>
      </c>
      <c r="C588">
        <v>1</v>
      </c>
      <c r="D588" t="s">
        <v>4166</v>
      </c>
      <c r="E588">
        <v>0.2</v>
      </c>
      <c r="F588">
        <v>35</v>
      </c>
      <c r="H588" t="s">
        <v>956</v>
      </c>
      <c r="I588" t="s">
        <v>4940</v>
      </c>
    </row>
    <row r="589" spans="1:9">
      <c r="A589" t="s">
        <v>4264</v>
      </c>
      <c r="B589" t="s">
        <v>4941</v>
      </c>
      <c r="C589">
        <v>1</v>
      </c>
      <c r="D589" t="s">
        <v>4166</v>
      </c>
      <c r="E589">
        <v>0.5</v>
      </c>
      <c r="F589">
        <v>2500</v>
      </c>
      <c r="H589" t="s">
        <v>956</v>
      </c>
      <c r="I589" t="s">
        <v>4940</v>
      </c>
    </row>
    <row r="590" spans="1:9">
      <c r="A590" t="s">
        <v>4284</v>
      </c>
      <c r="B590" t="s">
        <v>4942</v>
      </c>
      <c r="C590">
        <v>1</v>
      </c>
      <c r="D590" t="s">
        <v>4310</v>
      </c>
      <c r="E590" t="s">
        <v>4167</v>
      </c>
      <c r="F590">
        <v>30</v>
      </c>
      <c r="H590" t="s">
        <v>963</v>
      </c>
      <c r="I590" t="s">
        <v>4943</v>
      </c>
    </row>
    <row r="591" spans="1:9">
      <c r="A591" t="s">
        <v>4347</v>
      </c>
      <c r="B591" t="s">
        <v>4944</v>
      </c>
      <c r="C591">
        <v>1</v>
      </c>
      <c r="D591" t="s">
        <v>4349</v>
      </c>
      <c r="E591">
        <v>1</v>
      </c>
      <c r="F591">
        <v>1000</v>
      </c>
      <c r="H591" t="s">
        <v>966</v>
      </c>
      <c r="I591" t="s">
        <v>4945</v>
      </c>
    </row>
    <row r="592" spans="1:9">
      <c r="A592" t="s">
        <v>4347</v>
      </c>
      <c r="B592" t="s">
        <v>4946</v>
      </c>
      <c r="C592">
        <v>1</v>
      </c>
      <c r="D592" t="s">
        <v>4349</v>
      </c>
      <c r="E592">
        <v>1</v>
      </c>
      <c r="F592">
        <v>22</v>
      </c>
      <c r="H592" t="s">
        <v>966</v>
      </c>
      <c r="I592" t="s">
        <v>4945</v>
      </c>
    </row>
    <row r="593" spans="1:9">
      <c r="A593" t="s">
        <v>4347</v>
      </c>
      <c r="B593" t="s">
        <v>4947</v>
      </c>
      <c r="C593">
        <v>1</v>
      </c>
      <c r="D593" t="s">
        <v>4247</v>
      </c>
      <c r="E593">
        <v>1</v>
      </c>
      <c r="F593">
        <v>27</v>
      </c>
      <c r="H593" t="s">
        <v>966</v>
      </c>
      <c r="I593" t="s">
        <v>4945</v>
      </c>
    </row>
    <row r="594" spans="1:9">
      <c r="A594" t="s">
        <v>4347</v>
      </c>
      <c r="B594" t="s">
        <v>4948</v>
      </c>
      <c r="C594">
        <v>1</v>
      </c>
      <c r="D594" t="s">
        <v>4349</v>
      </c>
      <c r="E594">
        <v>1</v>
      </c>
      <c r="F594">
        <v>1250</v>
      </c>
      <c r="H594" t="s">
        <v>966</v>
      </c>
      <c r="I594" t="s">
        <v>4945</v>
      </c>
    </row>
    <row r="595" spans="1:9">
      <c r="A595" t="s">
        <v>4347</v>
      </c>
      <c r="B595" t="s">
        <v>4949</v>
      </c>
      <c r="C595">
        <v>1</v>
      </c>
      <c r="D595" t="s">
        <v>4247</v>
      </c>
      <c r="E595">
        <v>1</v>
      </c>
      <c r="F595">
        <v>1500</v>
      </c>
      <c r="H595" t="s">
        <v>966</v>
      </c>
      <c r="I595" t="s">
        <v>4945</v>
      </c>
    </row>
    <row r="596" spans="1:9">
      <c r="A596" t="s">
        <v>4347</v>
      </c>
      <c r="B596" t="s">
        <v>4950</v>
      </c>
      <c r="C596">
        <v>1</v>
      </c>
      <c r="D596" t="s">
        <v>4349</v>
      </c>
      <c r="E596">
        <v>1</v>
      </c>
      <c r="F596">
        <v>1500</v>
      </c>
      <c r="H596" t="s">
        <v>966</v>
      </c>
      <c r="I596" t="s">
        <v>4945</v>
      </c>
    </row>
    <row r="597" spans="1:9">
      <c r="A597" t="s">
        <v>4347</v>
      </c>
      <c r="B597" t="s">
        <v>4951</v>
      </c>
      <c r="C597">
        <v>1</v>
      </c>
      <c r="D597" t="s">
        <v>4247</v>
      </c>
      <c r="E597">
        <v>1</v>
      </c>
      <c r="F597">
        <v>1800</v>
      </c>
      <c r="H597" t="s">
        <v>966</v>
      </c>
      <c r="I597" t="s">
        <v>4945</v>
      </c>
    </row>
    <row r="598" spans="1:9">
      <c r="A598" t="s">
        <v>4347</v>
      </c>
      <c r="B598" t="s">
        <v>4952</v>
      </c>
      <c r="C598">
        <v>1</v>
      </c>
      <c r="D598" t="s">
        <v>4349</v>
      </c>
      <c r="E598">
        <v>1</v>
      </c>
      <c r="F598">
        <v>10000</v>
      </c>
      <c r="H598" t="s">
        <v>966</v>
      </c>
      <c r="I598" t="s">
        <v>4945</v>
      </c>
    </row>
    <row r="599" spans="1:9">
      <c r="A599" t="s">
        <v>4347</v>
      </c>
      <c r="B599" t="s">
        <v>4953</v>
      </c>
      <c r="C599">
        <v>1</v>
      </c>
      <c r="D599" t="s">
        <v>4349</v>
      </c>
      <c r="E599">
        <v>1</v>
      </c>
      <c r="F599">
        <v>1500</v>
      </c>
      <c r="H599" t="s">
        <v>966</v>
      </c>
      <c r="I599" t="s">
        <v>4945</v>
      </c>
    </row>
    <row r="600" spans="1:9">
      <c r="A600" t="s">
        <v>4347</v>
      </c>
      <c r="B600" t="s">
        <v>4954</v>
      </c>
      <c r="C600">
        <v>1</v>
      </c>
      <c r="D600" t="s">
        <v>4349</v>
      </c>
      <c r="E600">
        <v>1</v>
      </c>
      <c r="F600">
        <v>100</v>
      </c>
      <c r="H600" t="s">
        <v>966</v>
      </c>
      <c r="I600" t="s">
        <v>4945</v>
      </c>
    </row>
    <row r="601" spans="1:9">
      <c r="A601" t="s">
        <v>4347</v>
      </c>
      <c r="B601" t="s">
        <v>4955</v>
      </c>
      <c r="C601">
        <v>1</v>
      </c>
      <c r="D601" t="s">
        <v>4247</v>
      </c>
      <c r="E601">
        <v>1</v>
      </c>
      <c r="F601">
        <v>120</v>
      </c>
      <c r="H601" t="s">
        <v>966</v>
      </c>
      <c r="I601" t="s">
        <v>4945</v>
      </c>
    </row>
    <row r="602" spans="1:9">
      <c r="A602" t="s">
        <v>4347</v>
      </c>
      <c r="B602" t="s">
        <v>4956</v>
      </c>
      <c r="C602">
        <v>1</v>
      </c>
      <c r="D602" t="s">
        <v>4349</v>
      </c>
      <c r="E602">
        <v>1</v>
      </c>
      <c r="F602">
        <v>25</v>
      </c>
      <c r="H602" t="s">
        <v>966</v>
      </c>
      <c r="I602" t="s">
        <v>4957</v>
      </c>
    </row>
    <row r="603" spans="1:9">
      <c r="A603" t="s">
        <v>4347</v>
      </c>
      <c r="B603" t="s">
        <v>4958</v>
      </c>
      <c r="C603">
        <v>1</v>
      </c>
      <c r="D603" t="s">
        <v>4247</v>
      </c>
      <c r="E603">
        <v>1</v>
      </c>
      <c r="F603">
        <v>30</v>
      </c>
      <c r="H603" t="s">
        <v>966</v>
      </c>
      <c r="I603" t="s">
        <v>4957</v>
      </c>
    </row>
    <row r="604" spans="1:9">
      <c r="A604" t="s">
        <v>4347</v>
      </c>
      <c r="B604" t="s">
        <v>4959</v>
      </c>
      <c r="C604">
        <v>1</v>
      </c>
      <c r="D604" t="s">
        <v>4349</v>
      </c>
      <c r="E604">
        <v>1</v>
      </c>
      <c r="F604">
        <v>250</v>
      </c>
      <c r="H604" t="s">
        <v>966</v>
      </c>
      <c r="I604" t="s">
        <v>4957</v>
      </c>
    </row>
    <row r="605" spans="1:9">
      <c r="A605" t="s">
        <v>4347</v>
      </c>
      <c r="B605" t="s">
        <v>4960</v>
      </c>
      <c r="C605">
        <v>1</v>
      </c>
      <c r="D605" t="s">
        <v>4247</v>
      </c>
      <c r="E605">
        <v>1</v>
      </c>
      <c r="F605">
        <v>300</v>
      </c>
      <c r="H605" t="s">
        <v>966</v>
      </c>
      <c r="I605" t="s">
        <v>4957</v>
      </c>
    </row>
    <row r="606" spans="1:9">
      <c r="A606" t="s">
        <v>4347</v>
      </c>
      <c r="B606" t="s">
        <v>4961</v>
      </c>
      <c r="C606">
        <v>1</v>
      </c>
      <c r="D606" t="s">
        <v>4349</v>
      </c>
      <c r="E606">
        <v>1</v>
      </c>
      <c r="F606">
        <v>32</v>
      </c>
      <c r="H606" t="s">
        <v>966</v>
      </c>
      <c r="I606" t="s">
        <v>4957</v>
      </c>
    </row>
    <row r="607" spans="1:9">
      <c r="A607" t="s">
        <v>4347</v>
      </c>
      <c r="B607" t="s">
        <v>4962</v>
      </c>
      <c r="C607">
        <v>1</v>
      </c>
      <c r="D607" t="s">
        <v>4247</v>
      </c>
      <c r="E607">
        <v>1</v>
      </c>
      <c r="F607">
        <v>39</v>
      </c>
      <c r="H607" t="s">
        <v>966</v>
      </c>
      <c r="I607" t="s">
        <v>4957</v>
      </c>
    </row>
    <row r="608" spans="1:9">
      <c r="A608" t="s">
        <v>4347</v>
      </c>
      <c r="B608" t="s">
        <v>4963</v>
      </c>
      <c r="C608">
        <v>1</v>
      </c>
      <c r="D608" t="s">
        <v>4349</v>
      </c>
      <c r="E608">
        <v>1</v>
      </c>
      <c r="F608">
        <v>175</v>
      </c>
      <c r="H608" t="s">
        <v>966</v>
      </c>
      <c r="I608" t="s">
        <v>4957</v>
      </c>
    </row>
    <row r="609" spans="1:9">
      <c r="A609" t="s">
        <v>4347</v>
      </c>
      <c r="B609" t="s">
        <v>4964</v>
      </c>
      <c r="C609">
        <v>1</v>
      </c>
      <c r="D609" t="s">
        <v>4247</v>
      </c>
      <c r="E609">
        <v>1</v>
      </c>
      <c r="F609">
        <v>210</v>
      </c>
      <c r="H609" t="s">
        <v>966</v>
      </c>
      <c r="I609" t="s">
        <v>4957</v>
      </c>
    </row>
    <row r="610" spans="1:9">
      <c r="A610" t="s">
        <v>4347</v>
      </c>
      <c r="B610" t="s">
        <v>4965</v>
      </c>
      <c r="C610">
        <v>1</v>
      </c>
      <c r="D610" t="s">
        <v>4349</v>
      </c>
      <c r="E610">
        <v>1</v>
      </c>
      <c r="F610">
        <v>125</v>
      </c>
      <c r="H610" t="s">
        <v>966</v>
      </c>
      <c r="I610" t="s">
        <v>4957</v>
      </c>
    </row>
    <row r="611" spans="1:9">
      <c r="A611" t="s">
        <v>4347</v>
      </c>
      <c r="B611" t="s">
        <v>4966</v>
      </c>
      <c r="C611">
        <v>1</v>
      </c>
      <c r="D611" t="s">
        <v>4247</v>
      </c>
      <c r="E611">
        <v>1</v>
      </c>
      <c r="F611">
        <v>150</v>
      </c>
      <c r="H611" t="s">
        <v>966</v>
      </c>
      <c r="I611" t="s">
        <v>4957</v>
      </c>
    </row>
    <row r="612" spans="1:9">
      <c r="A612" t="s">
        <v>4347</v>
      </c>
      <c r="B612" t="s">
        <v>4967</v>
      </c>
      <c r="C612">
        <v>1</v>
      </c>
      <c r="D612" t="s">
        <v>4349</v>
      </c>
      <c r="E612">
        <v>1</v>
      </c>
      <c r="F612">
        <v>250000</v>
      </c>
      <c r="H612" t="s">
        <v>966</v>
      </c>
      <c r="I612" t="s">
        <v>4968</v>
      </c>
    </row>
    <row r="613" spans="1:9">
      <c r="A613" t="s">
        <v>4347</v>
      </c>
      <c r="B613" t="s">
        <v>4969</v>
      </c>
      <c r="C613">
        <v>1</v>
      </c>
      <c r="D613" t="s">
        <v>4247</v>
      </c>
      <c r="E613">
        <v>1</v>
      </c>
      <c r="F613">
        <v>300000</v>
      </c>
      <c r="H613" t="s">
        <v>966</v>
      </c>
      <c r="I613" t="s">
        <v>4968</v>
      </c>
    </row>
    <row r="614" spans="1:9">
      <c r="A614" t="s">
        <v>4347</v>
      </c>
      <c r="B614" t="s">
        <v>4970</v>
      </c>
      <c r="C614">
        <v>1</v>
      </c>
      <c r="D614" t="s">
        <v>4349</v>
      </c>
      <c r="E614">
        <v>1</v>
      </c>
      <c r="F614">
        <v>12</v>
      </c>
      <c r="H614" t="s">
        <v>966</v>
      </c>
      <c r="I614" t="s">
        <v>4968</v>
      </c>
    </row>
    <row r="615" spans="1:9">
      <c r="A615" t="s">
        <v>4347</v>
      </c>
      <c r="B615" t="s">
        <v>4971</v>
      </c>
      <c r="C615">
        <v>1</v>
      </c>
      <c r="D615" t="s">
        <v>4349</v>
      </c>
      <c r="E615">
        <v>1</v>
      </c>
      <c r="F615">
        <v>50</v>
      </c>
      <c r="H615" t="s">
        <v>966</v>
      </c>
      <c r="I615" t="s">
        <v>4968</v>
      </c>
    </row>
    <row r="616" spans="1:9">
      <c r="A616" t="s">
        <v>4347</v>
      </c>
      <c r="B616" t="s">
        <v>4972</v>
      </c>
      <c r="C616">
        <v>1</v>
      </c>
      <c r="D616" t="s">
        <v>4247</v>
      </c>
      <c r="E616">
        <v>1</v>
      </c>
      <c r="F616">
        <v>60</v>
      </c>
      <c r="H616" t="s">
        <v>966</v>
      </c>
      <c r="I616" t="s">
        <v>4968</v>
      </c>
    </row>
    <row r="617" spans="1:9">
      <c r="A617" t="s">
        <v>4347</v>
      </c>
      <c r="B617" t="s">
        <v>4973</v>
      </c>
      <c r="C617">
        <v>1</v>
      </c>
      <c r="D617" t="s">
        <v>4349</v>
      </c>
      <c r="E617">
        <v>1</v>
      </c>
      <c r="F617">
        <v>15</v>
      </c>
      <c r="H617" t="s">
        <v>966</v>
      </c>
      <c r="I617" t="s">
        <v>4968</v>
      </c>
    </row>
    <row r="618" spans="1:9">
      <c r="A618" t="s">
        <v>4286</v>
      </c>
      <c r="B618" t="s">
        <v>4974</v>
      </c>
      <c r="C618">
        <v>1</v>
      </c>
      <c r="D618" t="s">
        <v>4245</v>
      </c>
      <c r="E618">
        <v>0.1</v>
      </c>
      <c r="F618">
        <v>0.1</v>
      </c>
      <c r="H618" t="s">
        <v>973</v>
      </c>
      <c r="I618" t="s">
        <v>4975</v>
      </c>
    </row>
    <row r="619" spans="1:9">
      <c r="A619" t="s">
        <v>4976</v>
      </c>
      <c r="B619" t="s">
        <v>4977</v>
      </c>
      <c r="C619">
        <v>1</v>
      </c>
      <c r="D619" t="s">
        <v>4247</v>
      </c>
      <c r="E619">
        <v>2E-3</v>
      </c>
      <c r="F619">
        <v>3.5</v>
      </c>
      <c r="H619" t="s">
        <v>973</v>
      </c>
      <c r="I619" t="s">
        <v>4978</v>
      </c>
    </row>
    <row r="620" spans="1:9">
      <c r="A620" t="s">
        <v>4976</v>
      </c>
      <c r="B620" t="s">
        <v>4979</v>
      </c>
      <c r="C620">
        <v>1</v>
      </c>
      <c r="D620" t="s">
        <v>4247</v>
      </c>
      <c r="E620">
        <v>2E-3</v>
      </c>
      <c r="F620">
        <v>88</v>
      </c>
      <c r="H620" t="s">
        <v>973</v>
      </c>
      <c r="I620" t="s">
        <v>4978</v>
      </c>
    </row>
    <row r="621" spans="1:9">
      <c r="A621" t="s">
        <v>4976</v>
      </c>
      <c r="B621" t="s">
        <v>4980</v>
      </c>
      <c r="C621">
        <v>1</v>
      </c>
      <c r="D621" t="s">
        <v>4247</v>
      </c>
      <c r="E621">
        <v>2E-3</v>
      </c>
      <c r="F621">
        <v>44</v>
      </c>
      <c r="H621" t="s">
        <v>973</v>
      </c>
      <c r="I621" t="s">
        <v>4978</v>
      </c>
    </row>
    <row r="622" spans="1:9">
      <c r="A622" t="s">
        <v>4976</v>
      </c>
      <c r="B622" t="s">
        <v>4981</v>
      </c>
      <c r="C622">
        <v>1</v>
      </c>
      <c r="D622" t="s">
        <v>4247</v>
      </c>
      <c r="E622">
        <v>2E-3</v>
      </c>
      <c r="F622">
        <v>132</v>
      </c>
      <c r="H622" t="s">
        <v>973</v>
      </c>
      <c r="I622" t="s">
        <v>4978</v>
      </c>
    </row>
    <row r="623" spans="1:9">
      <c r="A623" t="s">
        <v>4976</v>
      </c>
      <c r="B623" t="s">
        <v>4982</v>
      </c>
      <c r="C623">
        <v>1</v>
      </c>
      <c r="D623" t="s">
        <v>4247</v>
      </c>
      <c r="E623">
        <v>2E-3</v>
      </c>
      <c r="F623">
        <v>80</v>
      </c>
      <c r="H623" t="s">
        <v>973</v>
      </c>
      <c r="I623" t="s">
        <v>4978</v>
      </c>
    </row>
    <row r="624" spans="1:9">
      <c r="A624" t="s">
        <v>4976</v>
      </c>
      <c r="B624" t="s">
        <v>4983</v>
      </c>
      <c r="C624">
        <v>1</v>
      </c>
      <c r="D624" t="s">
        <v>4247</v>
      </c>
      <c r="E624">
        <v>2E-3</v>
      </c>
      <c r="F624">
        <v>30</v>
      </c>
      <c r="H624" t="s">
        <v>973</v>
      </c>
      <c r="I624" t="s">
        <v>4978</v>
      </c>
    </row>
    <row r="625" spans="1:9">
      <c r="A625" t="s">
        <v>4976</v>
      </c>
      <c r="B625" t="s">
        <v>4984</v>
      </c>
      <c r="C625">
        <v>1</v>
      </c>
      <c r="D625" t="s">
        <v>4247</v>
      </c>
      <c r="E625">
        <v>2E-3</v>
      </c>
      <c r="F625">
        <v>132</v>
      </c>
      <c r="H625" t="s">
        <v>973</v>
      </c>
      <c r="I625" t="s">
        <v>4978</v>
      </c>
    </row>
    <row r="626" spans="1:9">
      <c r="A626" t="s">
        <v>4976</v>
      </c>
      <c r="B626" t="s">
        <v>4985</v>
      </c>
      <c r="C626">
        <v>1</v>
      </c>
      <c r="D626" t="s">
        <v>4247</v>
      </c>
      <c r="E626">
        <v>2E-3</v>
      </c>
      <c r="F626">
        <v>9</v>
      </c>
      <c r="H626" t="s">
        <v>973</v>
      </c>
      <c r="I626" t="s">
        <v>4978</v>
      </c>
    </row>
    <row r="627" spans="1:9">
      <c r="A627" t="s">
        <v>4976</v>
      </c>
      <c r="B627" t="s">
        <v>4986</v>
      </c>
      <c r="C627">
        <v>1</v>
      </c>
      <c r="D627" t="s">
        <v>4247</v>
      </c>
      <c r="E627">
        <v>2E-3</v>
      </c>
      <c r="F627">
        <v>35</v>
      </c>
      <c r="H627" t="s">
        <v>973</v>
      </c>
      <c r="I627" t="s">
        <v>4978</v>
      </c>
    </row>
    <row r="628" spans="1:9">
      <c r="A628" t="s">
        <v>4976</v>
      </c>
      <c r="B628" t="s">
        <v>4987</v>
      </c>
      <c r="C628">
        <v>1</v>
      </c>
      <c r="D628" t="s">
        <v>4247</v>
      </c>
      <c r="E628">
        <v>2E-3</v>
      </c>
      <c r="F628">
        <v>26</v>
      </c>
      <c r="H628" t="s">
        <v>973</v>
      </c>
      <c r="I628" t="s">
        <v>4978</v>
      </c>
    </row>
    <row r="629" spans="1:9">
      <c r="A629" t="s">
        <v>4976</v>
      </c>
      <c r="B629" t="s">
        <v>4988</v>
      </c>
      <c r="C629">
        <v>1</v>
      </c>
      <c r="D629" t="s">
        <v>4247</v>
      </c>
      <c r="E629">
        <v>2E-3</v>
      </c>
      <c r="F629">
        <v>12</v>
      </c>
      <c r="H629" t="s">
        <v>973</v>
      </c>
      <c r="I629" t="s">
        <v>4978</v>
      </c>
    </row>
    <row r="630" spans="1:9">
      <c r="A630" t="s">
        <v>4976</v>
      </c>
      <c r="B630" t="s">
        <v>4989</v>
      </c>
      <c r="C630">
        <v>1</v>
      </c>
      <c r="D630" t="s">
        <v>4247</v>
      </c>
      <c r="E630">
        <v>2E-3</v>
      </c>
      <c r="F630">
        <v>52</v>
      </c>
      <c r="H630" t="s">
        <v>973</v>
      </c>
      <c r="I630" t="s">
        <v>4978</v>
      </c>
    </row>
    <row r="631" spans="1:9">
      <c r="A631" t="s">
        <v>4976</v>
      </c>
      <c r="B631" t="s">
        <v>4990</v>
      </c>
      <c r="C631">
        <v>1</v>
      </c>
      <c r="D631" t="s">
        <v>4247</v>
      </c>
      <c r="E631">
        <v>2E-3</v>
      </c>
      <c r="F631">
        <v>48</v>
      </c>
      <c r="H631" t="s">
        <v>973</v>
      </c>
      <c r="I631" t="s">
        <v>4978</v>
      </c>
    </row>
    <row r="632" spans="1:9">
      <c r="A632" t="s">
        <v>4976</v>
      </c>
      <c r="B632" t="s">
        <v>4991</v>
      </c>
      <c r="C632">
        <v>1</v>
      </c>
      <c r="D632" t="s">
        <v>4247</v>
      </c>
      <c r="E632">
        <v>2E-3</v>
      </c>
      <c r="F632">
        <v>79</v>
      </c>
      <c r="H632" t="s">
        <v>973</v>
      </c>
      <c r="I632" t="s">
        <v>4978</v>
      </c>
    </row>
    <row r="633" spans="1:9">
      <c r="A633" t="s">
        <v>4976</v>
      </c>
      <c r="B633" t="s">
        <v>4992</v>
      </c>
      <c r="C633">
        <v>1</v>
      </c>
      <c r="D633" t="s">
        <v>4247</v>
      </c>
      <c r="E633">
        <v>2E-3</v>
      </c>
      <c r="F633">
        <v>176</v>
      </c>
      <c r="H633" t="s">
        <v>973</v>
      </c>
      <c r="I633" t="s">
        <v>4978</v>
      </c>
    </row>
    <row r="634" spans="1:9">
      <c r="A634" t="s">
        <v>4976</v>
      </c>
      <c r="B634" t="s">
        <v>4993</v>
      </c>
      <c r="C634">
        <v>1</v>
      </c>
      <c r="D634" t="s">
        <v>4247</v>
      </c>
      <c r="E634">
        <v>2E-3</v>
      </c>
      <c r="F634">
        <v>44</v>
      </c>
      <c r="H634" t="s">
        <v>973</v>
      </c>
      <c r="I634" t="s">
        <v>4978</v>
      </c>
    </row>
    <row r="635" spans="1:9">
      <c r="A635" t="s">
        <v>4976</v>
      </c>
      <c r="B635" t="s">
        <v>4994</v>
      </c>
      <c r="C635">
        <v>1</v>
      </c>
      <c r="D635" t="s">
        <v>4247</v>
      </c>
      <c r="E635">
        <v>2E-3</v>
      </c>
      <c r="F635">
        <v>57</v>
      </c>
      <c r="H635" t="s">
        <v>973</v>
      </c>
      <c r="I635" t="s">
        <v>4978</v>
      </c>
    </row>
    <row r="636" spans="1:9">
      <c r="A636" t="s">
        <v>4976</v>
      </c>
      <c r="B636" t="s">
        <v>4995</v>
      </c>
      <c r="C636">
        <v>1</v>
      </c>
      <c r="D636" t="s">
        <v>4247</v>
      </c>
      <c r="E636">
        <v>2E-3</v>
      </c>
      <c r="F636">
        <v>85</v>
      </c>
      <c r="H636" t="s">
        <v>973</v>
      </c>
      <c r="I636" t="s">
        <v>4978</v>
      </c>
    </row>
    <row r="637" spans="1:9">
      <c r="A637" t="s">
        <v>4976</v>
      </c>
      <c r="B637" t="s">
        <v>4996</v>
      </c>
      <c r="C637">
        <v>1</v>
      </c>
      <c r="D637" t="s">
        <v>4247</v>
      </c>
      <c r="E637">
        <v>2E-3</v>
      </c>
      <c r="F637">
        <v>79</v>
      </c>
      <c r="H637" t="s">
        <v>973</v>
      </c>
      <c r="I637" t="s">
        <v>4978</v>
      </c>
    </row>
    <row r="638" spans="1:9">
      <c r="A638" t="s">
        <v>4976</v>
      </c>
      <c r="B638" t="s">
        <v>4997</v>
      </c>
      <c r="C638">
        <v>1</v>
      </c>
      <c r="D638" t="s">
        <v>4247</v>
      </c>
      <c r="E638">
        <v>2E-3</v>
      </c>
      <c r="F638">
        <v>3.5</v>
      </c>
      <c r="H638" t="s">
        <v>973</v>
      </c>
      <c r="I638" t="s">
        <v>4978</v>
      </c>
    </row>
    <row r="639" spans="1:9">
      <c r="A639" t="s">
        <v>4976</v>
      </c>
      <c r="B639" t="s">
        <v>4998</v>
      </c>
      <c r="C639">
        <v>1</v>
      </c>
      <c r="D639" t="s">
        <v>4247</v>
      </c>
      <c r="E639">
        <v>2E-3</v>
      </c>
      <c r="F639">
        <v>352</v>
      </c>
      <c r="H639" t="s">
        <v>973</v>
      </c>
      <c r="I639" t="s">
        <v>4978</v>
      </c>
    </row>
    <row r="640" spans="1:9">
      <c r="A640" t="s">
        <v>4976</v>
      </c>
      <c r="B640" t="s">
        <v>4999</v>
      </c>
      <c r="C640">
        <v>1</v>
      </c>
      <c r="D640" t="s">
        <v>4247</v>
      </c>
      <c r="E640">
        <v>2E-3</v>
      </c>
      <c r="F640">
        <v>220</v>
      </c>
      <c r="H640" t="s">
        <v>973</v>
      </c>
      <c r="I640" t="s">
        <v>4978</v>
      </c>
    </row>
    <row r="641" spans="1:9">
      <c r="A641" t="s">
        <v>4976</v>
      </c>
      <c r="B641" t="s">
        <v>5000</v>
      </c>
      <c r="C641">
        <v>1</v>
      </c>
      <c r="D641" t="s">
        <v>4247</v>
      </c>
      <c r="E641">
        <v>2E-3</v>
      </c>
      <c r="F641">
        <v>40</v>
      </c>
      <c r="H641" t="s">
        <v>973</v>
      </c>
      <c r="I641" t="s">
        <v>4978</v>
      </c>
    </row>
    <row r="642" spans="1:9">
      <c r="A642" t="s">
        <v>4976</v>
      </c>
      <c r="B642" t="s">
        <v>5001</v>
      </c>
      <c r="C642">
        <v>1</v>
      </c>
      <c r="D642" t="s">
        <v>4247</v>
      </c>
      <c r="E642">
        <v>2E-3</v>
      </c>
      <c r="F642">
        <v>176</v>
      </c>
      <c r="H642" t="s">
        <v>973</v>
      </c>
      <c r="I642" t="s">
        <v>4978</v>
      </c>
    </row>
    <row r="643" spans="1:9">
      <c r="A643" t="s">
        <v>4976</v>
      </c>
      <c r="B643" t="s">
        <v>5002</v>
      </c>
      <c r="C643">
        <v>1</v>
      </c>
      <c r="D643" t="s">
        <v>4247</v>
      </c>
      <c r="E643">
        <v>2E-3</v>
      </c>
      <c r="F643">
        <v>3</v>
      </c>
      <c r="H643" t="s">
        <v>973</v>
      </c>
      <c r="I643" t="s">
        <v>4978</v>
      </c>
    </row>
    <row r="644" spans="1:9">
      <c r="A644" t="s">
        <v>4976</v>
      </c>
      <c r="B644" t="s">
        <v>5003</v>
      </c>
      <c r="C644">
        <v>1</v>
      </c>
      <c r="D644" t="s">
        <v>4247</v>
      </c>
      <c r="E644">
        <v>2E-3</v>
      </c>
      <c r="F644">
        <v>66</v>
      </c>
      <c r="H644" t="s">
        <v>973</v>
      </c>
      <c r="I644" t="s">
        <v>4978</v>
      </c>
    </row>
    <row r="645" spans="1:9">
      <c r="A645" t="s">
        <v>4976</v>
      </c>
      <c r="B645" t="s">
        <v>5004</v>
      </c>
      <c r="C645">
        <v>1</v>
      </c>
      <c r="D645" t="s">
        <v>4247</v>
      </c>
      <c r="E645">
        <v>2E-3</v>
      </c>
      <c r="F645">
        <v>22</v>
      </c>
      <c r="H645" t="s">
        <v>973</v>
      </c>
      <c r="I645" t="s">
        <v>4978</v>
      </c>
    </row>
    <row r="646" spans="1:9">
      <c r="A646" t="s">
        <v>4976</v>
      </c>
      <c r="B646" t="s">
        <v>5005</v>
      </c>
      <c r="C646">
        <v>1</v>
      </c>
      <c r="D646" t="s">
        <v>4247</v>
      </c>
      <c r="E646">
        <v>2E-3</v>
      </c>
      <c r="F646">
        <v>52</v>
      </c>
      <c r="H646" t="s">
        <v>973</v>
      </c>
      <c r="I646" t="s">
        <v>4978</v>
      </c>
    </row>
    <row r="647" spans="1:9">
      <c r="A647" t="s">
        <v>4976</v>
      </c>
      <c r="B647" t="s">
        <v>5006</v>
      </c>
      <c r="C647">
        <v>1</v>
      </c>
      <c r="D647" t="s">
        <v>4247</v>
      </c>
      <c r="E647">
        <v>2E-3</v>
      </c>
      <c r="F647">
        <v>31</v>
      </c>
      <c r="H647" t="s">
        <v>973</v>
      </c>
      <c r="I647" t="s">
        <v>4978</v>
      </c>
    </row>
    <row r="648" spans="1:9">
      <c r="A648" t="s">
        <v>4976</v>
      </c>
      <c r="B648" t="s">
        <v>5007</v>
      </c>
      <c r="C648">
        <v>1</v>
      </c>
      <c r="D648" t="s">
        <v>4247</v>
      </c>
      <c r="E648">
        <v>2E-3</v>
      </c>
      <c r="F648">
        <v>2.5</v>
      </c>
      <c r="H648" t="s">
        <v>973</v>
      </c>
      <c r="I648" t="s">
        <v>4978</v>
      </c>
    </row>
    <row r="649" spans="1:9">
      <c r="A649" t="s">
        <v>4976</v>
      </c>
      <c r="B649" t="s">
        <v>5008</v>
      </c>
      <c r="C649">
        <v>1</v>
      </c>
      <c r="D649" t="s">
        <v>4247</v>
      </c>
      <c r="E649">
        <v>2E-3</v>
      </c>
      <c r="F649">
        <v>154</v>
      </c>
      <c r="H649" t="s">
        <v>973</v>
      </c>
      <c r="I649" t="s">
        <v>4978</v>
      </c>
    </row>
    <row r="650" spans="1:9">
      <c r="A650" t="s">
        <v>4976</v>
      </c>
      <c r="B650" t="s">
        <v>5009</v>
      </c>
      <c r="C650">
        <v>1</v>
      </c>
      <c r="D650" t="s">
        <v>4247</v>
      </c>
      <c r="E650">
        <v>2E-3</v>
      </c>
      <c r="F650">
        <v>1.8</v>
      </c>
      <c r="H650" t="s">
        <v>973</v>
      </c>
      <c r="I650" t="s">
        <v>4978</v>
      </c>
    </row>
    <row r="651" spans="1:9">
      <c r="A651" t="s">
        <v>4976</v>
      </c>
      <c r="B651" t="s">
        <v>5010</v>
      </c>
      <c r="C651">
        <v>1</v>
      </c>
      <c r="D651" t="s">
        <v>4247</v>
      </c>
      <c r="E651">
        <v>2E-3</v>
      </c>
      <c r="F651">
        <v>40</v>
      </c>
      <c r="H651" t="s">
        <v>973</v>
      </c>
      <c r="I651" t="s">
        <v>4978</v>
      </c>
    </row>
    <row r="652" spans="1:9">
      <c r="A652" t="s">
        <v>4976</v>
      </c>
      <c r="B652" t="s">
        <v>5011</v>
      </c>
      <c r="C652">
        <v>1</v>
      </c>
      <c r="D652" t="s">
        <v>4247</v>
      </c>
      <c r="E652">
        <v>2E-3</v>
      </c>
      <c r="F652">
        <v>3</v>
      </c>
      <c r="H652" t="s">
        <v>973</v>
      </c>
      <c r="I652" t="s">
        <v>4978</v>
      </c>
    </row>
    <row r="653" spans="1:9">
      <c r="A653" t="s">
        <v>4976</v>
      </c>
      <c r="B653" t="s">
        <v>5012</v>
      </c>
      <c r="C653">
        <v>1</v>
      </c>
      <c r="D653" t="s">
        <v>4247</v>
      </c>
      <c r="E653">
        <v>2E-3</v>
      </c>
      <c r="F653">
        <v>35</v>
      </c>
      <c r="H653" t="s">
        <v>973</v>
      </c>
      <c r="I653" t="s">
        <v>4978</v>
      </c>
    </row>
    <row r="654" spans="1:9">
      <c r="A654" t="s">
        <v>4976</v>
      </c>
      <c r="B654" t="s">
        <v>5013</v>
      </c>
      <c r="C654">
        <v>1</v>
      </c>
      <c r="D654" t="s">
        <v>4247</v>
      </c>
      <c r="E654">
        <v>2E-3</v>
      </c>
      <c r="F654">
        <v>440</v>
      </c>
      <c r="H654" t="s">
        <v>973</v>
      </c>
      <c r="I654" t="s">
        <v>4978</v>
      </c>
    </row>
    <row r="655" spans="1:9">
      <c r="A655" t="s">
        <v>4976</v>
      </c>
      <c r="B655" t="s">
        <v>5014</v>
      </c>
      <c r="C655">
        <v>1</v>
      </c>
      <c r="D655" t="s">
        <v>4247</v>
      </c>
      <c r="E655">
        <v>2E-3</v>
      </c>
      <c r="F655">
        <v>55</v>
      </c>
      <c r="H655" t="s">
        <v>973</v>
      </c>
      <c r="I655" t="s">
        <v>4978</v>
      </c>
    </row>
    <row r="656" spans="1:9">
      <c r="A656" t="s">
        <v>4976</v>
      </c>
      <c r="B656" t="s">
        <v>5015</v>
      </c>
      <c r="C656">
        <v>1</v>
      </c>
      <c r="D656" t="s">
        <v>4247</v>
      </c>
      <c r="E656">
        <v>2E-3</v>
      </c>
      <c r="F656">
        <v>25</v>
      </c>
      <c r="H656" t="s">
        <v>973</v>
      </c>
      <c r="I656" t="s">
        <v>4978</v>
      </c>
    </row>
    <row r="657" spans="1:9">
      <c r="A657" t="s">
        <v>4235</v>
      </c>
      <c r="B657" t="s">
        <v>5016</v>
      </c>
      <c r="C657">
        <v>1</v>
      </c>
      <c r="D657" t="s">
        <v>4256</v>
      </c>
      <c r="E657">
        <v>0.5</v>
      </c>
      <c r="F657">
        <v>13</v>
      </c>
      <c r="H657" t="s">
        <v>973</v>
      </c>
      <c r="I657" t="s">
        <v>4252</v>
      </c>
    </row>
    <row r="658" spans="1:9">
      <c r="A658" t="s">
        <v>4286</v>
      </c>
      <c r="B658" t="s">
        <v>5017</v>
      </c>
      <c r="C658">
        <v>1</v>
      </c>
      <c r="D658" t="s">
        <v>4247</v>
      </c>
      <c r="E658">
        <v>0.1</v>
      </c>
      <c r="F658">
        <v>0.5</v>
      </c>
      <c r="H658" t="s">
        <v>973</v>
      </c>
      <c r="I658" t="s">
        <v>4976</v>
      </c>
    </row>
    <row r="659" spans="1:9">
      <c r="A659" t="s">
        <v>4286</v>
      </c>
      <c r="B659" t="s">
        <v>5018</v>
      </c>
      <c r="C659">
        <v>1</v>
      </c>
      <c r="D659" t="s">
        <v>4240</v>
      </c>
      <c r="E659">
        <v>0.5</v>
      </c>
      <c r="F659">
        <v>0.1</v>
      </c>
      <c r="H659" t="s">
        <v>973</v>
      </c>
      <c r="I659" t="s">
        <v>4976</v>
      </c>
    </row>
    <row r="660" spans="1:9">
      <c r="A660" t="s">
        <v>4284</v>
      </c>
      <c r="B660" t="s">
        <v>5019</v>
      </c>
      <c r="C660">
        <v>1</v>
      </c>
      <c r="D660" t="s">
        <v>4166</v>
      </c>
      <c r="E660">
        <v>0.13</v>
      </c>
      <c r="F660">
        <v>4</v>
      </c>
      <c r="G660" t="s">
        <v>5020</v>
      </c>
      <c r="H660" t="s">
        <v>973</v>
      </c>
      <c r="I660" t="s">
        <v>4976</v>
      </c>
    </row>
    <row r="661" spans="1:9">
      <c r="A661" t="s">
        <v>4284</v>
      </c>
      <c r="B661" t="s">
        <v>5021</v>
      </c>
      <c r="C661">
        <v>1</v>
      </c>
      <c r="D661" t="s">
        <v>4240</v>
      </c>
      <c r="E661">
        <v>0.5</v>
      </c>
      <c r="F661">
        <v>0.5</v>
      </c>
      <c r="H661" t="s">
        <v>973</v>
      </c>
      <c r="I661" t="s">
        <v>5022</v>
      </c>
    </row>
    <row r="662" spans="1:9">
      <c r="A662" t="s">
        <v>4243</v>
      </c>
      <c r="B662" t="s">
        <v>5023</v>
      </c>
      <c r="C662">
        <v>1</v>
      </c>
      <c r="D662" t="s">
        <v>4256</v>
      </c>
      <c r="E662">
        <v>0.25</v>
      </c>
      <c r="F662">
        <v>4.5999999999999996</v>
      </c>
      <c r="H662" t="s">
        <v>973</v>
      </c>
      <c r="I662" t="s">
        <v>5024</v>
      </c>
    </row>
    <row r="663" spans="1:9">
      <c r="A663" t="s">
        <v>4243</v>
      </c>
      <c r="B663" t="s">
        <v>5025</v>
      </c>
      <c r="C663">
        <v>1</v>
      </c>
      <c r="D663" t="s">
        <v>4240</v>
      </c>
      <c r="E663">
        <v>0.2</v>
      </c>
      <c r="F663">
        <v>0.4</v>
      </c>
      <c r="H663" t="s">
        <v>973</v>
      </c>
      <c r="I663" t="s">
        <v>5024</v>
      </c>
    </row>
    <row r="664" spans="1:9">
      <c r="A664" t="s">
        <v>4286</v>
      </c>
      <c r="B664" t="s">
        <v>5026</v>
      </c>
      <c r="C664">
        <v>1</v>
      </c>
      <c r="D664" t="s">
        <v>4256</v>
      </c>
      <c r="E664">
        <v>0.25</v>
      </c>
      <c r="F664">
        <v>50</v>
      </c>
      <c r="H664" t="s">
        <v>973</v>
      </c>
      <c r="I664" t="s">
        <v>5027</v>
      </c>
    </row>
    <row r="665" spans="1:9">
      <c r="A665" t="s">
        <v>4286</v>
      </c>
      <c r="B665" t="s">
        <v>5028</v>
      </c>
      <c r="C665">
        <v>1</v>
      </c>
      <c r="D665" t="s">
        <v>4245</v>
      </c>
      <c r="E665">
        <v>0.1</v>
      </c>
      <c r="F665">
        <v>0.1</v>
      </c>
      <c r="H665" t="s">
        <v>973</v>
      </c>
      <c r="I665" t="s">
        <v>5029</v>
      </c>
    </row>
    <row r="666" spans="1:9">
      <c r="A666" t="s">
        <v>4286</v>
      </c>
      <c r="B666" t="s">
        <v>5030</v>
      </c>
      <c r="C666">
        <v>1</v>
      </c>
      <c r="D666" t="s">
        <v>4245</v>
      </c>
      <c r="E666">
        <v>0.05</v>
      </c>
      <c r="F666">
        <v>2.5</v>
      </c>
      <c r="H666" t="s">
        <v>973</v>
      </c>
      <c r="I666" t="s">
        <v>5029</v>
      </c>
    </row>
    <row r="667" spans="1:9">
      <c r="A667" t="s">
        <v>4286</v>
      </c>
      <c r="B667" t="s">
        <v>5031</v>
      </c>
      <c r="C667">
        <v>1</v>
      </c>
      <c r="D667" t="s">
        <v>4240</v>
      </c>
      <c r="E667">
        <v>0.5</v>
      </c>
      <c r="F667">
        <v>0.25</v>
      </c>
      <c r="H667" t="s">
        <v>973</v>
      </c>
      <c r="I667" t="s">
        <v>5029</v>
      </c>
    </row>
    <row r="668" spans="1:9">
      <c r="A668" t="s">
        <v>4235</v>
      </c>
      <c r="B668" t="s">
        <v>5032</v>
      </c>
      <c r="C668">
        <v>1</v>
      </c>
      <c r="D668" t="s">
        <v>4277</v>
      </c>
      <c r="E668">
        <v>0.2</v>
      </c>
      <c r="F668">
        <v>80</v>
      </c>
      <c r="G668" t="s">
        <v>5033</v>
      </c>
      <c r="H668" t="s">
        <v>4277</v>
      </c>
      <c r="I668" t="s">
        <v>4277</v>
      </c>
    </row>
    <row r="669" spans="1:9">
      <c r="A669" t="s">
        <v>4284</v>
      </c>
      <c r="B669" t="s">
        <v>5034</v>
      </c>
      <c r="C669">
        <v>1</v>
      </c>
      <c r="D669" t="s">
        <v>4166</v>
      </c>
      <c r="E669">
        <v>1.5</v>
      </c>
      <c r="F669">
        <v>13.2</v>
      </c>
      <c r="H669" t="s">
        <v>276</v>
      </c>
      <c r="I669" t="s">
        <v>5035</v>
      </c>
    </row>
    <row r="670" spans="1:9">
      <c r="A670" t="s">
        <v>4262</v>
      </c>
      <c r="B670" t="s">
        <v>5036</v>
      </c>
      <c r="C670">
        <v>1</v>
      </c>
      <c r="D670" t="s">
        <v>4166</v>
      </c>
      <c r="E670">
        <v>50</v>
      </c>
      <c r="F670">
        <v>220000</v>
      </c>
      <c r="H670" t="s">
        <v>276</v>
      </c>
      <c r="I670" t="s">
        <v>5037</v>
      </c>
    </row>
    <row r="671" spans="1:9">
      <c r="A671" t="s">
        <v>4243</v>
      </c>
      <c r="B671" t="s">
        <v>5038</v>
      </c>
      <c r="C671">
        <v>1</v>
      </c>
      <c r="D671" t="s">
        <v>4166</v>
      </c>
      <c r="E671">
        <v>0.4</v>
      </c>
      <c r="F671">
        <v>1.32</v>
      </c>
      <c r="H671" t="s">
        <v>987</v>
      </c>
      <c r="I671" t="s">
        <v>5039</v>
      </c>
    </row>
    <row r="672" spans="1:9">
      <c r="A672" t="s">
        <v>4243</v>
      </c>
      <c r="B672" t="s">
        <v>5040</v>
      </c>
      <c r="C672">
        <v>1</v>
      </c>
      <c r="D672" t="s">
        <v>4166</v>
      </c>
      <c r="E672">
        <v>0.5</v>
      </c>
      <c r="F672">
        <v>2.2000000000000002</v>
      </c>
      <c r="H672" t="s">
        <v>987</v>
      </c>
      <c r="I672" t="s">
        <v>5039</v>
      </c>
    </row>
    <row r="673" spans="1:9">
      <c r="A673" t="s">
        <v>4243</v>
      </c>
      <c r="B673" t="s">
        <v>5041</v>
      </c>
      <c r="C673">
        <v>1</v>
      </c>
      <c r="D673" t="s">
        <v>4166</v>
      </c>
      <c r="E673">
        <v>0.75</v>
      </c>
      <c r="F673">
        <v>5.28</v>
      </c>
      <c r="H673" t="s">
        <v>987</v>
      </c>
      <c r="I673" t="s">
        <v>5039</v>
      </c>
    </row>
    <row r="674" spans="1:9">
      <c r="A674" t="s">
        <v>4243</v>
      </c>
      <c r="B674" t="s">
        <v>5042</v>
      </c>
      <c r="C674">
        <v>1</v>
      </c>
      <c r="D674" t="s">
        <v>4166</v>
      </c>
      <c r="E674">
        <v>0.25</v>
      </c>
      <c r="F674">
        <v>3.1</v>
      </c>
      <c r="H674" t="s">
        <v>987</v>
      </c>
      <c r="I674" t="s">
        <v>5039</v>
      </c>
    </row>
    <row r="675" spans="1:9">
      <c r="A675" t="s">
        <v>4449</v>
      </c>
      <c r="B675" t="s">
        <v>5043</v>
      </c>
      <c r="C675">
        <v>1</v>
      </c>
      <c r="D675" t="s">
        <v>4166</v>
      </c>
      <c r="E675">
        <v>0.4</v>
      </c>
      <c r="F675">
        <v>2.2000000000000002</v>
      </c>
      <c r="H675" t="s">
        <v>987</v>
      </c>
      <c r="I675" t="s">
        <v>5039</v>
      </c>
    </row>
    <row r="676" spans="1:9">
      <c r="A676" t="s">
        <v>4249</v>
      </c>
      <c r="B676" t="s">
        <v>5044</v>
      </c>
      <c r="C676">
        <v>1</v>
      </c>
      <c r="D676" t="s">
        <v>4357</v>
      </c>
      <c r="E676">
        <v>0.4</v>
      </c>
      <c r="F676">
        <v>8</v>
      </c>
      <c r="H676" t="s">
        <v>987</v>
      </c>
      <c r="I676" t="s">
        <v>5039</v>
      </c>
    </row>
    <row r="677" spans="1:9">
      <c r="A677" t="s">
        <v>4249</v>
      </c>
      <c r="B677" t="s">
        <v>5045</v>
      </c>
      <c r="C677">
        <v>1</v>
      </c>
      <c r="D677" t="s">
        <v>4166</v>
      </c>
      <c r="E677">
        <v>0.2</v>
      </c>
      <c r="F677">
        <v>1.3</v>
      </c>
      <c r="H677" t="s">
        <v>987</v>
      </c>
      <c r="I677" t="s">
        <v>5039</v>
      </c>
    </row>
    <row r="678" spans="1:9">
      <c r="A678" t="s">
        <v>4249</v>
      </c>
      <c r="B678" t="s">
        <v>5046</v>
      </c>
      <c r="C678">
        <v>1</v>
      </c>
      <c r="D678" t="s">
        <v>4166</v>
      </c>
      <c r="E678">
        <v>0.1</v>
      </c>
      <c r="F678">
        <v>6.6</v>
      </c>
      <c r="H678" t="s">
        <v>987</v>
      </c>
      <c r="I678" t="s">
        <v>5039</v>
      </c>
    </row>
    <row r="679" spans="1:9">
      <c r="A679" t="s">
        <v>4249</v>
      </c>
      <c r="B679" t="s">
        <v>5047</v>
      </c>
      <c r="C679">
        <v>1</v>
      </c>
      <c r="D679" t="s">
        <v>4357</v>
      </c>
      <c r="E679">
        <v>0.05</v>
      </c>
      <c r="F679">
        <v>0.88</v>
      </c>
      <c r="H679" t="s">
        <v>987</v>
      </c>
      <c r="I679" t="s">
        <v>5039</v>
      </c>
    </row>
    <row r="680" spans="1:9">
      <c r="A680" t="s">
        <v>4284</v>
      </c>
      <c r="B680" t="s">
        <v>5048</v>
      </c>
      <c r="C680">
        <v>1</v>
      </c>
      <c r="D680" t="s">
        <v>4166</v>
      </c>
      <c r="E680">
        <v>5</v>
      </c>
      <c r="F680">
        <v>17.600000000000001</v>
      </c>
      <c r="H680" t="s">
        <v>987</v>
      </c>
      <c r="I680" t="s">
        <v>5039</v>
      </c>
    </row>
    <row r="681" spans="1:9">
      <c r="A681" t="s">
        <v>4284</v>
      </c>
      <c r="B681" t="s">
        <v>5049</v>
      </c>
      <c r="C681">
        <v>1</v>
      </c>
      <c r="D681" t="s">
        <v>4166</v>
      </c>
      <c r="E681">
        <v>2</v>
      </c>
      <c r="F681">
        <v>6.6</v>
      </c>
      <c r="H681" t="s">
        <v>987</v>
      </c>
      <c r="I681" t="s">
        <v>5039</v>
      </c>
    </row>
    <row r="682" spans="1:9">
      <c r="A682" t="s">
        <v>4268</v>
      </c>
      <c r="B682" t="s">
        <v>5050</v>
      </c>
      <c r="C682">
        <v>1</v>
      </c>
      <c r="D682" t="s">
        <v>4357</v>
      </c>
      <c r="E682">
        <v>0.37</v>
      </c>
      <c r="F682">
        <v>52.8</v>
      </c>
      <c r="H682" t="s">
        <v>987</v>
      </c>
      <c r="I682" t="s">
        <v>5039</v>
      </c>
    </row>
    <row r="683" spans="1:9">
      <c r="A683" t="s">
        <v>4264</v>
      </c>
      <c r="B683" t="s">
        <v>5051</v>
      </c>
      <c r="C683">
        <v>1</v>
      </c>
      <c r="D683" t="s">
        <v>4166</v>
      </c>
      <c r="E683">
        <v>1</v>
      </c>
      <c r="F683">
        <v>5</v>
      </c>
      <c r="H683" t="s">
        <v>987</v>
      </c>
      <c r="I683" t="s">
        <v>5039</v>
      </c>
    </row>
    <row r="684" spans="1:9">
      <c r="A684" t="s">
        <v>4243</v>
      </c>
      <c r="B684" t="s">
        <v>5052</v>
      </c>
      <c r="C684">
        <v>1</v>
      </c>
      <c r="D684" t="s">
        <v>4357</v>
      </c>
      <c r="E684">
        <v>0.1</v>
      </c>
      <c r="F684">
        <v>2.7E-2</v>
      </c>
      <c r="H684" t="s">
        <v>987</v>
      </c>
      <c r="I684" t="s">
        <v>5053</v>
      </c>
    </row>
    <row r="685" spans="1:9">
      <c r="A685" t="s">
        <v>4449</v>
      </c>
      <c r="B685" t="s">
        <v>5054</v>
      </c>
      <c r="C685">
        <v>1</v>
      </c>
      <c r="D685" t="s">
        <v>4166</v>
      </c>
      <c r="E685">
        <v>1.25</v>
      </c>
      <c r="F685">
        <v>3.52</v>
      </c>
      <c r="H685" t="s">
        <v>987</v>
      </c>
      <c r="I685" t="s">
        <v>5053</v>
      </c>
    </row>
    <row r="686" spans="1:9">
      <c r="A686" t="s">
        <v>4449</v>
      </c>
      <c r="B686" t="s">
        <v>5055</v>
      </c>
      <c r="C686">
        <v>1</v>
      </c>
      <c r="D686" t="s">
        <v>4166</v>
      </c>
      <c r="E686">
        <v>4</v>
      </c>
      <c r="F686">
        <v>8.8000000000000007</v>
      </c>
      <c r="H686" t="s">
        <v>987</v>
      </c>
      <c r="I686" t="s">
        <v>5053</v>
      </c>
    </row>
    <row r="687" spans="1:9">
      <c r="A687" t="s">
        <v>4449</v>
      </c>
      <c r="B687" t="s">
        <v>5056</v>
      </c>
      <c r="C687">
        <v>1</v>
      </c>
      <c r="D687" t="s">
        <v>4166</v>
      </c>
      <c r="E687">
        <v>1</v>
      </c>
      <c r="F687">
        <v>1.76</v>
      </c>
      <c r="H687" t="s">
        <v>987</v>
      </c>
      <c r="I687" t="s">
        <v>5053</v>
      </c>
    </row>
    <row r="688" spans="1:9">
      <c r="A688" t="s">
        <v>4449</v>
      </c>
      <c r="B688" t="s">
        <v>5057</v>
      </c>
      <c r="C688">
        <v>1</v>
      </c>
      <c r="D688" t="s">
        <v>4166</v>
      </c>
      <c r="E688">
        <v>2</v>
      </c>
      <c r="F688">
        <v>2.52</v>
      </c>
      <c r="H688" t="s">
        <v>987</v>
      </c>
      <c r="I688" t="s">
        <v>5053</v>
      </c>
    </row>
    <row r="689" spans="1:9">
      <c r="A689" t="s">
        <v>4449</v>
      </c>
      <c r="B689" t="s">
        <v>5058</v>
      </c>
      <c r="C689">
        <v>1</v>
      </c>
      <c r="D689" t="s">
        <v>4166</v>
      </c>
      <c r="E689">
        <v>0.5</v>
      </c>
      <c r="F689">
        <v>0.88</v>
      </c>
      <c r="H689" t="s">
        <v>987</v>
      </c>
      <c r="I689" t="s">
        <v>5053</v>
      </c>
    </row>
    <row r="690" spans="1:9">
      <c r="A690" t="s">
        <v>4449</v>
      </c>
      <c r="B690" t="s">
        <v>5059</v>
      </c>
      <c r="C690">
        <v>1</v>
      </c>
      <c r="D690" t="s">
        <v>4166</v>
      </c>
      <c r="E690">
        <v>3</v>
      </c>
      <c r="F690">
        <v>4.5</v>
      </c>
      <c r="H690" t="s">
        <v>987</v>
      </c>
      <c r="I690" t="s">
        <v>5053</v>
      </c>
    </row>
    <row r="691" spans="1:9">
      <c r="A691" t="s">
        <v>4449</v>
      </c>
      <c r="B691" t="s">
        <v>5060</v>
      </c>
      <c r="C691">
        <v>1</v>
      </c>
      <c r="D691" t="s">
        <v>4166</v>
      </c>
      <c r="E691">
        <v>2</v>
      </c>
      <c r="F691">
        <v>3.52</v>
      </c>
      <c r="H691" t="s">
        <v>987</v>
      </c>
      <c r="I691" t="s">
        <v>5053</v>
      </c>
    </row>
    <row r="692" spans="1:9">
      <c r="A692" t="s">
        <v>4259</v>
      </c>
      <c r="B692" t="s">
        <v>5061</v>
      </c>
      <c r="C692">
        <v>1</v>
      </c>
      <c r="D692" t="s">
        <v>4166</v>
      </c>
      <c r="E692">
        <v>0.05</v>
      </c>
      <c r="F692">
        <v>7.5</v>
      </c>
      <c r="H692" t="s">
        <v>987</v>
      </c>
      <c r="I692" t="s">
        <v>5053</v>
      </c>
    </row>
    <row r="693" spans="1:9">
      <c r="A693" t="s">
        <v>4471</v>
      </c>
      <c r="B693" t="s">
        <v>5062</v>
      </c>
      <c r="C693">
        <v>1</v>
      </c>
      <c r="D693" t="s">
        <v>4166</v>
      </c>
      <c r="E693">
        <v>10</v>
      </c>
      <c r="F693">
        <v>17</v>
      </c>
      <c r="H693" t="s">
        <v>987</v>
      </c>
      <c r="I693" t="s">
        <v>5053</v>
      </c>
    </row>
    <row r="694" spans="1:9">
      <c r="A694" t="s">
        <v>4471</v>
      </c>
      <c r="B694" t="s">
        <v>5063</v>
      </c>
      <c r="C694">
        <v>1</v>
      </c>
      <c r="D694" t="s">
        <v>4166</v>
      </c>
      <c r="E694">
        <v>1.5</v>
      </c>
      <c r="F694">
        <v>0.3</v>
      </c>
      <c r="H694" t="s">
        <v>987</v>
      </c>
      <c r="I694" t="s">
        <v>5053</v>
      </c>
    </row>
    <row r="695" spans="1:9">
      <c r="A695" t="s">
        <v>4471</v>
      </c>
      <c r="B695" t="s">
        <v>5064</v>
      </c>
      <c r="C695">
        <v>1</v>
      </c>
      <c r="D695" t="s">
        <v>4166</v>
      </c>
      <c r="E695">
        <v>150</v>
      </c>
      <c r="F695">
        <v>180</v>
      </c>
      <c r="H695" t="s">
        <v>987</v>
      </c>
      <c r="I695" t="s">
        <v>5053</v>
      </c>
    </row>
    <row r="696" spans="1:9">
      <c r="A696" t="s">
        <v>4471</v>
      </c>
      <c r="B696" t="s">
        <v>5065</v>
      </c>
      <c r="C696">
        <v>1</v>
      </c>
      <c r="D696" t="s">
        <v>4166</v>
      </c>
      <c r="E696">
        <v>100</v>
      </c>
      <c r="F696">
        <v>110</v>
      </c>
      <c r="H696" t="s">
        <v>987</v>
      </c>
      <c r="I696" t="s">
        <v>5053</v>
      </c>
    </row>
    <row r="697" spans="1:9">
      <c r="A697" t="s">
        <v>4471</v>
      </c>
      <c r="B697" t="s">
        <v>5066</v>
      </c>
      <c r="C697">
        <v>1</v>
      </c>
      <c r="D697" t="s">
        <v>4166</v>
      </c>
      <c r="E697">
        <v>1000</v>
      </c>
      <c r="F697">
        <v>4400</v>
      </c>
      <c r="H697" t="s">
        <v>987</v>
      </c>
      <c r="I697" t="s">
        <v>5053</v>
      </c>
    </row>
    <row r="698" spans="1:9">
      <c r="A698" t="s">
        <v>4527</v>
      </c>
      <c r="B698" t="s">
        <v>5067</v>
      </c>
      <c r="C698">
        <v>1</v>
      </c>
      <c r="D698" t="s">
        <v>4503</v>
      </c>
      <c r="E698">
        <v>2</v>
      </c>
      <c r="F698">
        <v>1.3</v>
      </c>
      <c r="H698" t="s">
        <v>987</v>
      </c>
      <c r="I698" t="s">
        <v>5053</v>
      </c>
    </row>
    <row r="699" spans="1:9">
      <c r="A699" t="s">
        <v>4262</v>
      </c>
      <c r="B699" t="s">
        <v>5068</v>
      </c>
      <c r="C699">
        <v>1</v>
      </c>
      <c r="D699" t="s">
        <v>4503</v>
      </c>
      <c r="E699">
        <v>0.25</v>
      </c>
      <c r="F699">
        <v>2.6</v>
      </c>
      <c r="H699" t="s">
        <v>987</v>
      </c>
      <c r="I699" t="s">
        <v>5053</v>
      </c>
    </row>
    <row r="700" spans="1:9">
      <c r="A700" t="s">
        <v>4262</v>
      </c>
      <c r="B700" t="s">
        <v>5069</v>
      </c>
      <c r="C700">
        <v>1</v>
      </c>
      <c r="D700" t="s">
        <v>4503</v>
      </c>
      <c r="E700">
        <v>0.25</v>
      </c>
      <c r="F700">
        <v>2.7</v>
      </c>
      <c r="H700" t="s">
        <v>987</v>
      </c>
      <c r="I700" t="s">
        <v>5053</v>
      </c>
    </row>
    <row r="701" spans="1:9">
      <c r="A701" t="s">
        <v>4840</v>
      </c>
      <c r="B701" t="s">
        <v>5070</v>
      </c>
      <c r="C701">
        <v>1</v>
      </c>
      <c r="D701" t="s">
        <v>5071</v>
      </c>
      <c r="E701">
        <v>2.5</v>
      </c>
      <c r="F701">
        <v>140</v>
      </c>
      <c r="H701" t="s">
        <v>987</v>
      </c>
      <c r="I701" t="s">
        <v>5053</v>
      </c>
    </row>
    <row r="702" spans="1:9">
      <c r="A702" t="s">
        <v>4840</v>
      </c>
      <c r="B702" t="s">
        <v>5072</v>
      </c>
      <c r="C702">
        <v>1</v>
      </c>
      <c r="D702" t="s">
        <v>5071</v>
      </c>
      <c r="E702">
        <v>10</v>
      </c>
      <c r="F702">
        <v>553</v>
      </c>
      <c r="H702" t="s">
        <v>987</v>
      </c>
      <c r="I702" t="s">
        <v>5053</v>
      </c>
    </row>
    <row r="703" spans="1:9">
      <c r="A703" t="s">
        <v>4284</v>
      </c>
      <c r="B703" t="s">
        <v>5073</v>
      </c>
      <c r="C703">
        <v>1</v>
      </c>
      <c r="D703" t="s">
        <v>4357</v>
      </c>
      <c r="E703">
        <v>3</v>
      </c>
      <c r="F703">
        <v>36</v>
      </c>
      <c r="H703" t="s">
        <v>987</v>
      </c>
      <c r="I703" t="s">
        <v>5053</v>
      </c>
    </row>
    <row r="704" spans="1:9">
      <c r="A704" t="s">
        <v>4284</v>
      </c>
      <c r="B704" t="s">
        <v>5074</v>
      </c>
      <c r="C704">
        <v>1</v>
      </c>
      <c r="D704" t="s">
        <v>4357</v>
      </c>
      <c r="E704">
        <v>2.5</v>
      </c>
      <c r="F704">
        <v>8</v>
      </c>
      <c r="H704" t="s">
        <v>987</v>
      </c>
      <c r="I704" t="s">
        <v>5053</v>
      </c>
    </row>
    <row r="705" spans="1:9">
      <c r="A705" t="s">
        <v>4284</v>
      </c>
      <c r="B705" t="s">
        <v>5075</v>
      </c>
      <c r="C705">
        <v>1</v>
      </c>
      <c r="D705" t="s">
        <v>4166</v>
      </c>
      <c r="E705">
        <v>0.75</v>
      </c>
      <c r="F705">
        <v>0.88</v>
      </c>
      <c r="H705" t="s">
        <v>987</v>
      </c>
      <c r="I705" t="s">
        <v>5053</v>
      </c>
    </row>
    <row r="706" spans="1:9">
      <c r="A706" t="s">
        <v>4268</v>
      </c>
      <c r="B706" t="s">
        <v>5076</v>
      </c>
      <c r="C706">
        <v>1</v>
      </c>
      <c r="D706" t="s">
        <v>4245</v>
      </c>
      <c r="E706">
        <v>0.75</v>
      </c>
      <c r="F706">
        <v>4</v>
      </c>
      <c r="H706" t="s">
        <v>987</v>
      </c>
      <c r="I706" t="s">
        <v>5053</v>
      </c>
    </row>
    <row r="707" spans="1:9">
      <c r="A707" t="s">
        <v>4268</v>
      </c>
      <c r="B707" t="s">
        <v>5077</v>
      </c>
      <c r="C707">
        <v>1</v>
      </c>
      <c r="D707" t="s">
        <v>4166</v>
      </c>
      <c r="E707">
        <v>0.02</v>
      </c>
      <c r="F707">
        <v>4.4000000000000004</v>
      </c>
      <c r="H707" t="s">
        <v>987</v>
      </c>
      <c r="I707" t="s">
        <v>5053</v>
      </c>
    </row>
    <row r="708" spans="1:9">
      <c r="A708" t="s">
        <v>4268</v>
      </c>
      <c r="B708" t="s">
        <v>5078</v>
      </c>
      <c r="C708">
        <v>1</v>
      </c>
      <c r="D708" t="s">
        <v>4357</v>
      </c>
      <c r="E708">
        <v>0.02</v>
      </c>
      <c r="F708">
        <v>9.0000000000000011E-3</v>
      </c>
      <c r="H708" t="s">
        <v>987</v>
      </c>
      <c r="I708" t="s">
        <v>5053</v>
      </c>
    </row>
    <row r="709" spans="1:9">
      <c r="A709" t="s">
        <v>4268</v>
      </c>
      <c r="B709" t="s">
        <v>5079</v>
      </c>
      <c r="C709">
        <v>1</v>
      </c>
      <c r="D709" t="s">
        <v>4166</v>
      </c>
      <c r="E709">
        <v>2.5</v>
      </c>
      <c r="F709">
        <v>30</v>
      </c>
      <c r="H709" t="s">
        <v>987</v>
      </c>
      <c r="I709" t="s">
        <v>5053</v>
      </c>
    </row>
    <row r="710" spans="1:9">
      <c r="A710" t="s">
        <v>4268</v>
      </c>
      <c r="B710" t="s">
        <v>5080</v>
      </c>
      <c r="C710">
        <v>1</v>
      </c>
      <c r="D710" t="s">
        <v>4166</v>
      </c>
      <c r="E710">
        <v>4</v>
      </c>
      <c r="F710">
        <v>35</v>
      </c>
      <c r="H710" t="s">
        <v>987</v>
      </c>
      <c r="I710" t="s">
        <v>5053</v>
      </c>
    </row>
    <row r="711" spans="1:9">
      <c r="A711" t="s">
        <v>4268</v>
      </c>
      <c r="B711" t="s">
        <v>5081</v>
      </c>
      <c r="C711">
        <v>1</v>
      </c>
      <c r="D711" t="s">
        <v>4166</v>
      </c>
      <c r="E711">
        <v>1</v>
      </c>
      <c r="F711">
        <v>27</v>
      </c>
      <c r="H711" t="s">
        <v>987</v>
      </c>
      <c r="I711" t="s">
        <v>5053</v>
      </c>
    </row>
    <row r="712" spans="1:9">
      <c r="A712" t="s">
        <v>4268</v>
      </c>
      <c r="B712" t="s">
        <v>5081</v>
      </c>
      <c r="C712">
        <v>1</v>
      </c>
      <c r="D712" t="s">
        <v>4166</v>
      </c>
      <c r="E712">
        <v>1.75</v>
      </c>
      <c r="F712">
        <v>30</v>
      </c>
      <c r="H712" t="s">
        <v>987</v>
      </c>
      <c r="I712" t="s">
        <v>5053</v>
      </c>
    </row>
    <row r="713" spans="1:9">
      <c r="A713" t="s">
        <v>4268</v>
      </c>
      <c r="B713" t="s">
        <v>5082</v>
      </c>
      <c r="C713">
        <v>1</v>
      </c>
      <c r="D713" t="s">
        <v>4166</v>
      </c>
      <c r="E713">
        <v>1.5</v>
      </c>
      <c r="F713">
        <v>28</v>
      </c>
      <c r="H713" t="s">
        <v>987</v>
      </c>
      <c r="I713" t="s">
        <v>5053</v>
      </c>
    </row>
    <row r="714" spans="1:9">
      <c r="A714" t="s">
        <v>4268</v>
      </c>
      <c r="B714" t="s">
        <v>5083</v>
      </c>
      <c r="C714">
        <v>1</v>
      </c>
      <c r="D714" t="s">
        <v>4166</v>
      </c>
      <c r="E714">
        <v>0.5</v>
      </c>
      <c r="F714">
        <v>20</v>
      </c>
      <c r="H714" t="s">
        <v>987</v>
      </c>
      <c r="I714" t="s">
        <v>5053</v>
      </c>
    </row>
    <row r="715" spans="1:9">
      <c r="A715" t="s">
        <v>4268</v>
      </c>
      <c r="B715" t="s">
        <v>5084</v>
      </c>
      <c r="C715">
        <v>1</v>
      </c>
      <c r="D715" t="s">
        <v>4166</v>
      </c>
      <c r="E715">
        <v>2.25</v>
      </c>
      <c r="F715">
        <v>30</v>
      </c>
      <c r="H715" t="s">
        <v>987</v>
      </c>
      <c r="I715" t="s">
        <v>5053</v>
      </c>
    </row>
    <row r="716" spans="1:9">
      <c r="A716" t="s">
        <v>4268</v>
      </c>
      <c r="B716" t="s">
        <v>5085</v>
      </c>
      <c r="C716">
        <v>1</v>
      </c>
      <c r="D716" t="s">
        <v>4166</v>
      </c>
      <c r="E716">
        <v>2.5</v>
      </c>
      <c r="F716">
        <v>50</v>
      </c>
      <c r="H716" t="s">
        <v>987</v>
      </c>
      <c r="I716" t="s">
        <v>5053</v>
      </c>
    </row>
    <row r="717" spans="1:9">
      <c r="A717" t="s">
        <v>4268</v>
      </c>
      <c r="B717" t="s">
        <v>5086</v>
      </c>
      <c r="C717">
        <v>1</v>
      </c>
      <c r="D717" t="s">
        <v>4166</v>
      </c>
      <c r="E717">
        <v>3</v>
      </c>
      <c r="F717">
        <v>7</v>
      </c>
      <c r="H717" t="s">
        <v>987</v>
      </c>
      <c r="I717" t="s">
        <v>5053</v>
      </c>
    </row>
    <row r="718" spans="1:9">
      <c r="A718" t="s">
        <v>4268</v>
      </c>
      <c r="B718" t="s">
        <v>5087</v>
      </c>
      <c r="C718">
        <v>1</v>
      </c>
      <c r="D718" t="s">
        <v>4166</v>
      </c>
      <c r="E718">
        <v>0.38</v>
      </c>
      <c r="F718">
        <v>3.5</v>
      </c>
      <c r="H718" t="s">
        <v>987</v>
      </c>
      <c r="I718" t="s">
        <v>5053</v>
      </c>
    </row>
    <row r="719" spans="1:9">
      <c r="A719" t="s">
        <v>4268</v>
      </c>
      <c r="B719" t="s">
        <v>5088</v>
      </c>
      <c r="C719">
        <v>1</v>
      </c>
      <c r="D719" t="s">
        <v>4166</v>
      </c>
      <c r="E719">
        <v>0.4</v>
      </c>
      <c r="F719">
        <v>11</v>
      </c>
      <c r="H719" t="s">
        <v>987</v>
      </c>
      <c r="I719" t="s">
        <v>5053</v>
      </c>
    </row>
    <row r="720" spans="1:9">
      <c r="A720" t="s">
        <v>4268</v>
      </c>
      <c r="B720" t="s">
        <v>5089</v>
      </c>
      <c r="C720">
        <v>1</v>
      </c>
      <c r="D720" t="s">
        <v>4166</v>
      </c>
      <c r="E720">
        <v>0.75</v>
      </c>
      <c r="F720">
        <v>6.6</v>
      </c>
      <c r="H720" t="s">
        <v>987</v>
      </c>
      <c r="I720" t="s">
        <v>5053</v>
      </c>
    </row>
    <row r="721" spans="1:9">
      <c r="A721" t="s">
        <v>4268</v>
      </c>
      <c r="B721" t="s">
        <v>5090</v>
      </c>
      <c r="C721">
        <v>1</v>
      </c>
      <c r="D721" t="s">
        <v>4166</v>
      </c>
      <c r="E721">
        <v>1.5</v>
      </c>
      <c r="F721">
        <v>5</v>
      </c>
      <c r="H721" t="s">
        <v>987</v>
      </c>
      <c r="I721" t="s">
        <v>5053</v>
      </c>
    </row>
    <row r="722" spans="1:9">
      <c r="A722" t="s">
        <v>4268</v>
      </c>
      <c r="B722" t="s">
        <v>5091</v>
      </c>
      <c r="C722">
        <v>1</v>
      </c>
      <c r="D722" t="s">
        <v>4166</v>
      </c>
      <c r="E722">
        <v>5</v>
      </c>
      <c r="F722">
        <v>15</v>
      </c>
      <c r="H722" t="s">
        <v>987</v>
      </c>
      <c r="I722" t="s">
        <v>5053</v>
      </c>
    </row>
    <row r="723" spans="1:9">
      <c r="A723" t="s">
        <v>4268</v>
      </c>
      <c r="B723" t="s">
        <v>5092</v>
      </c>
      <c r="C723">
        <v>1</v>
      </c>
      <c r="D723" t="s">
        <v>4245</v>
      </c>
      <c r="E723">
        <v>1.25</v>
      </c>
      <c r="F723">
        <v>2.2000000000000002</v>
      </c>
      <c r="H723" t="s">
        <v>987</v>
      </c>
      <c r="I723" t="s">
        <v>5053</v>
      </c>
    </row>
    <row r="724" spans="1:9">
      <c r="A724" t="s">
        <v>4268</v>
      </c>
      <c r="B724" t="s">
        <v>5093</v>
      </c>
      <c r="C724">
        <v>1</v>
      </c>
      <c r="D724" t="s">
        <v>4357</v>
      </c>
      <c r="E724">
        <v>0.75</v>
      </c>
      <c r="F724">
        <v>4.4000000000000004</v>
      </c>
      <c r="H724" t="s">
        <v>987</v>
      </c>
      <c r="I724" t="s">
        <v>5053</v>
      </c>
    </row>
    <row r="725" spans="1:9">
      <c r="A725" t="s">
        <v>4268</v>
      </c>
      <c r="B725" t="s">
        <v>5094</v>
      </c>
      <c r="C725">
        <v>1</v>
      </c>
      <c r="D725" t="s">
        <v>4166</v>
      </c>
      <c r="E725">
        <v>0.5</v>
      </c>
      <c r="F725">
        <v>20</v>
      </c>
      <c r="H725" t="s">
        <v>987</v>
      </c>
      <c r="I725" t="s">
        <v>5053</v>
      </c>
    </row>
    <row r="726" spans="1:9">
      <c r="A726" t="s">
        <v>4268</v>
      </c>
      <c r="B726" t="s">
        <v>5095</v>
      </c>
      <c r="C726">
        <v>1</v>
      </c>
      <c r="D726" t="s">
        <v>4166</v>
      </c>
      <c r="E726">
        <v>6.25</v>
      </c>
      <c r="F726">
        <v>90</v>
      </c>
      <c r="H726" t="s">
        <v>987</v>
      </c>
      <c r="I726" t="s">
        <v>5053</v>
      </c>
    </row>
    <row r="727" spans="1:9">
      <c r="A727" t="s">
        <v>4268</v>
      </c>
      <c r="B727" t="s">
        <v>5096</v>
      </c>
      <c r="C727">
        <v>1</v>
      </c>
      <c r="D727" t="s">
        <v>4166</v>
      </c>
      <c r="E727">
        <v>1.25</v>
      </c>
      <c r="F727">
        <v>5.2</v>
      </c>
      <c r="H727" t="s">
        <v>987</v>
      </c>
      <c r="I727" t="s">
        <v>5053</v>
      </c>
    </row>
    <row r="728" spans="1:9">
      <c r="A728" t="s">
        <v>4268</v>
      </c>
      <c r="B728" t="s">
        <v>5097</v>
      </c>
      <c r="C728">
        <v>1</v>
      </c>
      <c r="D728" t="s">
        <v>4245</v>
      </c>
      <c r="E728">
        <v>2</v>
      </c>
      <c r="F728">
        <v>1.7</v>
      </c>
      <c r="H728" t="s">
        <v>987</v>
      </c>
      <c r="I728" t="s">
        <v>5053</v>
      </c>
    </row>
    <row r="729" spans="1:9">
      <c r="A729" t="s">
        <v>4268</v>
      </c>
      <c r="B729" t="s">
        <v>5098</v>
      </c>
      <c r="C729">
        <v>1</v>
      </c>
      <c r="D729" t="s">
        <v>4357</v>
      </c>
      <c r="E729">
        <v>1</v>
      </c>
      <c r="F729">
        <v>5</v>
      </c>
      <c r="H729" t="s">
        <v>987</v>
      </c>
      <c r="I729" t="s">
        <v>5053</v>
      </c>
    </row>
    <row r="730" spans="1:9">
      <c r="A730" t="s">
        <v>4268</v>
      </c>
      <c r="B730" t="s">
        <v>5099</v>
      </c>
      <c r="C730">
        <v>1</v>
      </c>
      <c r="D730" t="s">
        <v>4166</v>
      </c>
      <c r="E730">
        <v>0.25</v>
      </c>
      <c r="F730">
        <v>1</v>
      </c>
      <c r="H730" t="s">
        <v>987</v>
      </c>
      <c r="I730" t="s">
        <v>5053</v>
      </c>
    </row>
    <row r="731" spans="1:9">
      <c r="A731" t="s">
        <v>4268</v>
      </c>
      <c r="B731" t="s">
        <v>5100</v>
      </c>
      <c r="C731">
        <v>1</v>
      </c>
      <c r="D731" t="s">
        <v>4166</v>
      </c>
      <c r="E731">
        <v>1.5</v>
      </c>
      <c r="F731">
        <v>8.8000000000000007</v>
      </c>
      <c r="H731" t="s">
        <v>987</v>
      </c>
      <c r="I731" t="s">
        <v>5053</v>
      </c>
    </row>
    <row r="732" spans="1:9">
      <c r="A732" t="s">
        <v>4268</v>
      </c>
      <c r="B732" t="s">
        <v>5101</v>
      </c>
      <c r="C732">
        <v>1</v>
      </c>
      <c r="D732" t="s">
        <v>4166</v>
      </c>
      <c r="E732">
        <v>2</v>
      </c>
      <c r="F732">
        <v>7</v>
      </c>
      <c r="H732" t="s">
        <v>987</v>
      </c>
      <c r="I732" t="s">
        <v>5053</v>
      </c>
    </row>
    <row r="733" spans="1:9">
      <c r="A733" t="s">
        <v>4268</v>
      </c>
      <c r="B733" t="s">
        <v>5102</v>
      </c>
      <c r="C733">
        <v>1</v>
      </c>
      <c r="D733" t="s">
        <v>4166</v>
      </c>
      <c r="E733">
        <v>0.4</v>
      </c>
      <c r="F733">
        <v>13.2</v>
      </c>
      <c r="H733" t="s">
        <v>987</v>
      </c>
      <c r="I733" t="s">
        <v>5053</v>
      </c>
    </row>
    <row r="734" spans="1:9">
      <c r="A734" t="s">
        <v>4268</v>
      </c>
      <c r="B734" t="s">
        <v>5103</v>
      </c>
      <c r="C734">
        <v>1</v>
      </c>
      <c r="D734" t="s">
        <v>4166</v>
      </c>
      <c r="E734">
        <v>1</v>
      </c>
      <c r="F734">
        <v>3.5</v>
      </c>
      <c r="H734" t="s">
        <v>987</v>
      </c>
      <c r="I734" t="s">
        <v>5053</v>
      </c>
    </row>
    <row r="735" spans="1:9">
      <c r="A735" t="s">
        <v>4268</v>
      </c>
      <c r="B735" t="s">
        <v>5104</v>
      </c>
      <c r="C735">
        <v>1</v>
      </c>
      <c r="D735" t="s">
        <v>4166</v>
      </c>
      <c r="E735">
        <v>0.05</v>
      </c>
      <c r="F735">
        <v>0.46</v>
      </c>
      <c r="H735" t="s">
        <v>987</v>
      </c>
      <c r="I735" t="s">
        <v>5053</v>
      </c>
    </row>
    <row r="736" spans="1:9">
      <c r="A736" t="s">
        <v>4268</v>
      </c>
      <c r="B736" t="s">
        <v>5105</v>
      </c>
      <c r="C736">
        <v>1</v>
      </c>
      <c r="D736" t="s">
        <v>4166</v>
      </c>
      <c r="E736">
        <v>2.5</v>
      </c>
      <c r="F736">
        <v>30</v>
      </c>
      <c r="H736" t="s">
        <v>987</v>
      </c>
      <c r="I736" t="s">
        <v>5053</v>
      </c>
    </row>
    <row r="737" spans="1:9">
      <c r="A737" t="s">
        <v>4268</v>
      </c>
      <c r="B737" t="s">
        <v>5106</v>
      </c>
      <c r="C737">
        <v>1</v>
      </c>
      <c r="D737" t="s">
        <v>4166</v>
      </c>
      <c r="E737">
        <v>0.75</v>
      </c>
      <c r="F737">
        <v>20</v>
      </c>
      <c r="H737" t="s">
        <v>987</v>
      </c>
      <c r="I737" t="s">
        <v>5053</v>
      </c>
    </row>
    <row r="738" spans="1:9">
      <c r="A738" t="s">
        <v>4268</v>
      </c>
      <c r="B738" t="s">
        <v>5107</v>
      </c>
      <c r="C738">
        <v>1</v>
      </c>
      <c r="D738" t="s">
        <v>4166</v>
      </c>
      <c r="E738">
        <v>2</v>
      </c>
      <c r="F738">
        <v>10</v>
      </c>
      <c r="H738" t="s">
        <v>987</v>
      </c>
      <c r="I738" t="s">
        <v>5053</v>
      </c>
    </row>
    <row r="739" spans="1:9">
      <c r="A739" t="s">
        <v>4268</v>
      </c>
      <c r="B739" t="s">
        <v>5108</v>
      </c>
      <c r="C739">
        <v>1</v>
      </c>
      <c r="D739" t="s">
        <v>4166</v>
      </c>
      <c r="E739">
        <v>0.5</v>
      </c>
      <c r="F739">
        <v>5.3</v>
      </c>
      <c r="H739" t="s">
        <v>987</v>
      </c>
      <c r="I739" t="s">
        <v>5053</v>
      </c>
    </row>
    <row r="740" spans="1:9">
      <c r="A740" t="s">
        <v>4268</v>
      </c>
      <c r="B740" t="s">
        <v>5109</v>
      </c>
      <c r="C740">
        <v>1</v>
      </c>
      <c r="D740" t="s">
        <v>4166</v>
      </c>
      <c r="E740">
        <v>0.5</v>
      </c>
      <c r="F740">
        <v>20</v>
      </c>
      <c r="H740" t="s">
        <v>987</v>
      </c>
      <c r="I740" t="s">
        <v>5053</v>
      </c>
    </row>
    <row r="741" spans="1:9">
      <c r="A741" t="s">
        <v>4268</v>
      </c>
      <c r="B741" t="s">
        <v>5110</v>
      </c>
      <c r="C741">
        <v>1</v>
      </c>
      <c r="D741" t="s">
        <v>4166</v>
      </c>
      <c r="E741">
        <v>2.25</v>
      </c>
      <c r="F741">
        <v>22</v>
      </c>
      <c r="H741" t="s">
        <v>987</v>
      </c>
      <c r="I741" t="s">
        <v>5053</v>
      </c>
    </row>
    <row r="742" spans="1:9">
      <c r="A742" t="s">
        <v>4284</v>
      </c>
      <c r="B742" t="s">
        <v>5111</v>
      </c>
      <c r="C742">
        <v>1</v>
      </c>
      <c r="D742" t="s">
        <v>5112</v>
      </c>
      <c r="E742" t="s">
        <v>4167</v>
      </c>
      <c r="F742">
        <v>0.125</v>
      </c>
      <c r="H742" t="s">
        <v>987</v>
      </c>
      <c r="I742" t="s">
        <v>5113</v>
      </c>
    </row>
    <row r="743" spans="1:9">
      <c r="A743" t="s">
        <v>4284</v>
      </c>
      <c r="B743" t="s">
        <v>5114</v>
      </c>
      <c r="C743">
        <v>1</v>
      </c>
      <c r="D743" t="s">
        <v>5112</v>
      </c>
      <c r="E743" t="s">
        <v>4167</v>
      </c>
      <c r="F743">
        <v>0.42</v>
      </c>
      <c r="H743" t="s">
        <v>987</v>
      </c>
      <c r="I743" t="s">
        <v>5113</v>
      </c>
    </row>
    <row r="744" spans="1:9">
      <c r="A744" t="s">
        <v>4284</v>
      </c>
      <c r="B744" t="s">
        <v>5115</v>
      </c>
      <c r="C744">
        <v>1</v>
      </c>
      <c r="D744" t="s">
        <v>4166</v>
      </c>
      <c r="E744">
        <v>1</v>
      </c>
      <c r="F744">
        <v>58</v>
      </c>
      <c r="H744" t="s">
        <v>987</v>
      </c>
      <c r="I744" t="s">
        <v>5113</v>
      </c>
    </row>
    <row r="745" spans="1:9">
      <c r="A745" t="s">
        <v>4284</v>
      </c>
      <c r="B745" t="s">
        <v>5116</v>
      </c>
      <c r="C745">
        <v>1</v>
      </c>
      <c r="D745" t="s">
        <v>4166</v>
      </c>
      <c r="E745">
        <v>0.5</v>
      </c>
      <c r="F745">
        <v>1</v>
      </c>
      <c r="H745" t="s">
        <v>987</v>
      </c>
      <c r="I745" t="s">
        <v>5113</v>
      </c>
    </row>
    <row r="746" spans="1:9">
      <c r="A746" t="s">
        <v>4259</v>
      </c>
      <c r="B746" t="s">
        <v>5117</v>
      </c>
      <c r="C746">
        <v>1</v>
      </c>
      <c r="D746" t="s">
        <v>4166</v>
      </c>
      <c r="E746">
        <v>0.05</v>
      </c>
      <c r="F746">
        <v>2.5000000000000001E-2</v>
      </c>
      <c r="H746" t="s">
        <v>994</v>
      </c>
      <c r="I746" t="s">
        <v>5118</v>
      </c>
    </row>
    <row r="747" spans="1:9">
      <c r="A747" t="s">
        <v>4527</v>
      </c>
      <c r="B747" t="s">
        <v>5119</v>
      </c>
      <c r="C747">
        <v>1</v>
      </c>
      <c r="D747" t="s">
        <v>4166</v>
      </c>
      <c r="E747">
        <v>1.5</v>
      </c>
      <c r="F747">
        <v>0.82000000000000006</v>
      </c>
      <c r="H747" t="s">
        <v>994</v>
      </c>
      <c r="I747" t="s">
        <v>5118</v>
      </c>
    </row>
    <row r="748" spans="1:9">
      <c r="A748" t="s">
        <v>4527</v>
      </c>
      <c r="B748" t="s">
        <v>5120</v>
      </c>
      <c r="C748">
        <v>1</v>
      </c>
      <c r="D748" t="s">
        <v>4166</v>
      </c>
      <c r="E748">
        <v>2</v>
      </c>
      <c r="F748">
        <v>5.7</v>
      </c>
      <c r="H748" t="s">
        <v>994</v>
      </c>
      <c r="I748" t="s">
        <v>5118</v>
      </c>
    </row>
    <row r="749" spans="1:9">
      <c r="A749" t="s">
        <v>4527</v>
      </c>
      <c r="B749" t="s">
        <v>5121</v>
      </c>
      <c r="C749">
        <v>1</v>
      </c>
      <c r="D749" t="s">
        <v>4166</v>
      </c>
      <c r="E749">
        <v>2</v>
      </c>
      <c r="F749">
        <v>6</v>
      </c>
      <c r="H749" t="s">
        <v>994</v>
      </c>
      <c r="I749" t="s">
        <v>5118</v>
      </c>
    </row>
    <row r="750" spans="1:9">
      <c r="A750" t="s">
        <v>4527</v>
      </c>
      <c r="B750" t="s">
        <v>5122</v>
      </c>
      <c r="C750">
        <v>1</v>
      </c>
      <c r="D750" t="s">
        <v>4166</v>
      </c>
      <c r="E750">
        <v>15</v>
      </c>
      <c r="F750">
        <v>10</v>
      </c>
      <c r="H750" t="s">
        <v>994</v>
      </c>
      <c r="I750" t="s">
        <v>5118</v>
      </c>
    </row>
    <row r="751" spans="1:9">
      <c r="A751" t="s">
        <v>4527</v>
      </c>
      <c r="B751" t="s">
        <v>5123</v>
      </c>
      <c r="C751">
        <v>1</v>
      </c>
      <c r="D751" t="s">
        <v>4166</v>
      </c>
      <c r="E751">
        <v>22.5</v>
      </c>
      <c r="F751">
        <v>15</v>
      </c>
      <c r="H751" t="s">
        <v>994</v>
      </c>
      <c r="I751" t="s">
        <v>5118</v>
      </c>
    </row>
    <row r="752" spans="1:9">
      <c r="A752" t="s">
        <v>4527</v>
      </c>
      <c r="B752" t="s">
        <v>5124</v>
      </c>
      <c r="C752">
        <v>1</v>
      </c>
      <c r="D752" t="s">
        <v>4166</v>
      </c>
      <c r="E752">
        <v>2</v>
      </c>
      <c r="F752">
        <v>3.5</v>
      </c>
      <c r="H752" t="s">
        <v>994</v>
      </c>
      <c r="I752" t="s">
        <v>5118</v>
      </c>
    </row>
    <row r="753" spans="1:9">
      <c r="A753" t="s">
        <v>4262</v>
      </c>
      <c r="B753" t="s">
        <v>5125</v>
      </c>
      <c r="C753">
        <v>1</v>
      </c>
      <c r="D753" t="s">
        <v>4166</v>
      </c>
      <c r="E753">
        <v>1.5</v>
      </c>
      <c r="F753">
        <v>0.88</v>
      </c>
      <c r="H753" t="s">
        <v>994</v>
      </c>
      <c r="I753" t="s">
        <v>5118</v>
      </c>
    </row>
    <row r="754" spans="1:9">
      <c r="A754" t="s">
        <v>4262</v>
      </c>
      <c r="B754" t="s">
        <v>5126</v>
      </c>
      <c r="C754">
        <v>1</v>
      </c>
      <c r="D754" t="s">
        <v>4166</v>
      </c>
      <c r="E754">
        <v>1</v>
      </c>
      <c r="F754">
        <v>2.2000000000000002</v>
      </c>
      <c r="H754" t="s">
        <v>994</v>
      </c>
      <c r="I754" t="s">
        <v>5118</v>
      </c>
    </row>
    <row r="755" spans="1:9">
      <c r="A755" t="s">
        <v>4262</v>
      </c>
      <c r="B755" t="s">
        <v>5127</v>
      </c>
      <c r="C755">
        <v>1</v>
      </c>
      <c r="D755" t="s">
        <v>4166</v>
      </c>
      <c r="E755">
        <v>12.5</v>
      </c>
      <c r="F755">
        <v>93</v>
      </c>
      <c r="H755" t="s">
        <v>994</v>
      </c>
      <c r="I755" t="s">
        <v>5118</v>
      </c>
    </row>
    <row r="756" spans="1:9">
      <c r="A756" t="s">
        <v>4284</v>
      </c>
      <c r="B756" t="s">
        <v>5126</v>
      </c>
      <c r="C756">
        <v>1</v>
      </c>
      <c r="D756" t="s">
        <v>4166</v>
      </c>
      <c r="E756">
        <v>1</v>
      </c>
      <c r="F756">
        <v>2.2000000000000002</v>
      </c>
      <c r="H756" t="s">
        <v>994</v>
      </c>
      <c r="I756" t="s">
        <v>5118</v>
      </c>
    </row>
    <row r="757" spans="1:9">
      <c r="A757" t="s">
        <v>4284</v>
      </c>
      <c r="B757" t="s">
        <v>5128</v>
      </c>
      <c r="C757">
        <v>1</v>
      </c>
      <c r="D757" t="s">
        <v>4166</v>
      </c>
      <c r="E757">
        <v>5</v>
      </c>
      <c r="F757">
        <v>1.25</v>
      </c>
      <c r="H757" t="s">
        <v>994</v>
      </c>
      <c r="I757" t="s">
        <v>5118</v>
      </c>
    </row>
    <row r="758" spans="1:9">
      <c r="A758" t="s">
        <v>4738</v>
      </c>
      <c r="B758" t="s">
        <v>5129</v>
      </c>
      <c r="C758">
        <v>1</v>
      </c>
      <c r="D758" t="s">
        <v>4166</v>
      </c>
      <c r="E758">
        <v>1.5</v>
      </c>
      <c r="F758">
        <v>6.6</v>
      </c>
      <c r="H758" t="s">
        <v>994</v>
      </c>
      <c r="I758" t="s">
        <v>5130</v>
      </c>
    </row>
    <row r="759" spans="1:9">
      <c r="A759" t="s">
        <v>4738</v>
      </c>
      <c r="B759" t="s">
        <v>5131</v>
      </c>
      <c r="C759">
        <v>1</v>
      </c>
      <c r="D759" t="s">
        <v>4166</v>
      </c>
      <c r="E759">
        <v>0.2</v>
      </c>
      <c r="F759">
        <v>1.3</v>
      </c>
      <c r="H759" t="s">
        <v>994</v>
      </c>
      <c r="I759" t="s">
        <v>5130</v>
      </c>
    </row>
    <row r="760" spans="1:9">
      <c r="A760" t="s">
        <v>4557</v>
      </c>
      <c r="B760" t="s">
        <v>5132</v>
      </c>
      <c r="C760">
        <v>1</v>
      </c>
      <c r="D760" t="s">
        <v>4166</v>
      </c>
      <c r="E760">
        <v>0.25</v>
      </c>
      <c r="F760">
        <v>1.76</v>
      </c>
      <c r="H760" t="s">
        <v>994</v>
      </c>
      <c r="I760" t="s">
        <v>4806</v>
      </c>
    </row>
    <row r="761" spans="1:9">
      <c r="A761" t="s">
        <v>4557</v>
      </c>
      <c r="B761" t="s">
        <v>5133</v>
      </c>
      <c r="C761">
        <v>1</v>
      </c>
      <c r="D761" t="s">
        <v>4166</v>
      </c>
      <c r="E761">
        <v>0.25</v>
      </c>
      <c r="F761">
        <v>50</v>
      </c>
      <c r="H761" t="s">
        <v>994</v>
      </c>
      <c r="I761" t="s">
        <v>4806</v>
      </c>
    </row>
    <row r="762" spans="1:9">
      <c r="A762" t="s">
        <v>4557</v>
      </c>
      <c r="B762" t="s">
        <v>5134</v>
      </c>
      <c r="C762">
        <v>1</v>
      </c>
      <c r="D762" t="s">
        <v>4166</v>
      </c>
      <c r="E762">
        <v>0.1</v>
      </c>
      <c r="F762">
        <v>7.4999999999999997E-2</v>
      </c>
      <c r="H762" t="s">
        <v>994</v>
      </c>
      <c r="I762" t="s">
        <v>4806</v>
      </c>
    </row>
    <row r="763" spans="1:9">
      <c r="A763" t="s">
        <v>4557</v>
      </c>
      <c r="B763" t="s">
        <v>5135</v>
      </c>
      <c r="C763">
        <v>1</v>
      </c>
      <c r="D763" t="s">
        <v>4166</v>
      </c>
      <c r="E763">
        <v>0.08</v>
      </c>
      <c r="F763">
        <v>0.13</v>
      </c>
      <c r="H763" t="s">
        <v>994</v>
      </c>
      <c r="I763" t="s">
        <v>5136</v>
      </c>
    </row>
    <row r="764" spans="1:9">
      <c r="A764" t="s">
        <v>4557</v>
      </c>
      <c r="B764" t="s">
        <v>5137</v>
      </c>
      <c r="C764">
        <v>1</v>
      </c>
      <c r="D764" t="s">
        <v>4166</v>
      </c>
      <c r="E764">
        <v>0.08</v>
      </c>
      <c r="F764">
        <v>2.5</v>
      </c>
      <c r="H764" t="s">
        <v>994</v>
      </c>
      <c r="I764" t="s">
        <v>5136</v>
      </c>
    </row>
    <row r="765" spans="1:9">
      <c r="A765" t="s">
        <v>4557</v>
      </c>
      <c r="B765" t="s">
        <v>5138</v>
      </c>
      <c r="C765">
        <v>1</v>
      </c>
      <c r="D765" t="s">
        <v>4166</v>
      </c>
      <c r="E765">
        <v>0.25</v>
      </c>
      <c r="F765">
        <v>1.1999999999999999E-3</v>
      </c>
      <c r="H765" t="s">
        <v>994</v>
      </c>
      <c r="I765" t="s">
        <v>5136</v>
      </c>
    </row>
    <row r="766" spans="1:9">
      <c r="A766" t="s">
        <v>4557</v>
      </c>
      <c r="B766" t="s">
        <v>5139</v>
      </c>
      <c r="C766">
        <v>1</v>
      </c>
      <c r="D766" t="s">
        <v>4166</v>
      </c>
      <c r="E766">
        <v>0.25</v>
      </c>
      <c r="F766">
        <v>70</v>
      </c>
      <c r="H766" t="s">
        <v>994</v>
      </c>
      <c r="I766" t="s">
        <v>5136</v>
      </c>
    </row>
    <row r="767" spans="1:9">
      <c r="A767" t="s">
        <v>4557</v>
      </c>
      <c r="B767" t="s">
        <v>5140</v>
      </c>
      <c r="C767">
        <v>1</v>
      </c>
      <c r="D767" t="s">
        <v>4166</v>
      </c>
      <c r="E767">
        <v>0.1</v>
      </c>
      <c r="F767">
        <v>0.42</v>
      </c>
      <c r="H767" t="s">
        <v>994</v>
      </c>
      <c r="I767" t="s">
        <v>5136</v>
      </c>
    </row>
    <row r="768" spans="1:9">
      <c r="A768" t="s">
        <v>4557</v>
      </c>
      <c r="B768" t="s">
        <v>5141</v>
      </c>
      <c r="C768">
        <v>1</v>
      </c>
      <c r="D768" t="s">
        <v>4166</v>
      </c>
      <c r="E768">
        <v>0.1</v>
      </c>
      <c r="F768">
        <v>3.5</v>
      </c>
      <c r="H768" t="s">
        <v>994</v>
      </c>
      <c r="I768" t="s">
        <v>5136</v>
      </c>
    </row>
    <row r="769" spans="1:9">
      <c r="A769" t="s">
        <v>4557</v>
      </c>
      <c r="B769" t="s">
        <v>5142</v>
      </c>
      <c r="C769">
        <v>1</v>
      </c>
      <c r="D769" t="s">
        <v>4166</v>
      </c>
      <c r="E769">
        <v>0.25</v>
      </c>
      <c r="F769">
        <v>50</v>
      </c>
      <c r="H769" t="s">
        <v>994</v>
      </c>
      <c r="I769" t="s">
        <v>5136</v>
      </c>
    </row>
    <row r="770" spans="1:9">
      <c r="A770" t="s">
        <v>4557</v>
      </c>
      <c r="B770" t="s">
        <v>5143</v>
      </c>
      <c r="C770">
        <v>1</v>
      </c>
      <c r="D770" t="s">
        <v>4166</v>
      </c>
      <c r="E770">
        <v>0.25</v>
      </c>
      <c r="F770">
        <v>22</v>
      </c>
      <c r="H770" t="s">
        <v>994</v>
      </c>
      <c r="I770" t="s">
        <v>5136</v>
      </c>
    </row>
    <row r="771" spans="1:9">
      <c r="A771" t="s">
        <v>4557</v>
      </c>
      <c r="B771" t="s">
        <v>5144</v>
      </c>
      <c r="C771">
        <v>1</v>
      </c>
      <c r="D771" t="s">
        <v>4166</v>
      </c>
      <c r="E771">
        <v>0.12</v>
      </c>
      <c r="F771">
        <v>2</v>
      </c>
      <c r="H771" t="s">
        <v>994</v>
      </c>
      <c r="I771" t="s">
        <v>5136</v>
      </c>
    </row>
    <row r="772" spans="1:9">
      <c r="A772" t="s">
        <v>4557</v>
      </c>
      <c r="B772" t="s">
        <v>5145</v>
      </c>
      <c r="C772">
        <v>1</v>
      </c>
      <c r="D772" t="s">
        <v>4166</v>
      </c>
      <c r="E772">
        <v>0.12</v>
      </c>
      <c r="F772">
        <v>13</v>
      </c>
      <c r="H772" t="s">
        <v>994</v>
      </c>
      <c r="I772" t="s">
        <v>5136</v>
      </c>
    </row>
    <row r="773" spans="1:9">
      <c r="A773" t="s">
        <v>4557</v>
      </c>
      <c r="B773" t="s">
        <v>5146</v>
      </c>
      <c r="C773">
        <v>1</v>
      </c>
      <c r="D773" t="s">
        <v>4166</v>
      </c>
      <c r="E773">
        <v>0.75</v>
      </c>
      <c r="F773">
        <v>2</v>
      </c>
      <c r="H773" t="s">
        <v>994</v>
      </c>
      <c r="I773" t="s">
        <v>5136</v>
      </c>
    </row>
    <row r="774" spans="1:9">
      <c r="A774" t="s">
        <v>4557</v>
      </c>
      <c r="B774" t="s">
        <v>5147</v>
      </c>
      <c r="C774">
        <v>1</v>
      </c>
      <c r="D774" t="s">
        <v>4166</v>
      </c>
      <c r="E774">
        <v>0.75</v>
      </c>
      <c r="F774">
        <v>20</v>
      </c>
      <c r="H774" t="s">
        <v>994</v>
      </c>
      <c r="I774" t="s">
        <v>5136</v>
      </c>
    </row>
    <row r="775" spans="1:9">
      <c r="A775" t="s">
        <v>4557</v>
      </c>
      <c r="B775" t="s">
        <v>5148</v>
      </c>
      <c r="C775">
        <v>1</v>
      </c>
      <c r="D775" t="s">
        <v>4166</v>
      </c>
      <c r="E775">
        <v>0.08</v>
      </c>
      <c r="F775">
        <v>7.4999999999999997E-2</v>
      </c>
      <c r="H775" t="s">
        <v>994</v>
      </c>
      <c r="I775" t="s">
        <v>5136</v>
      </c>
    </row>
    <row r="776" spans="1:9">
      <c r="A776" t="s">
        <v>4557</v>
      </c>
      <c r="B776" t="s">
        <v>5149</v>
      </c>
      <c r="C776">
        <v>1</v>
      </c>
      <c r="D776" t="s">
        <v>4166</v>
      </c>
      <c r="E776">
        <v>0.1</v>
      </c>
      <c r="F776">
        <v>0.05</v>
      </c>
      <c r="H776" t="s">
        <v>994</v>
      </c>
      <c r="I776" t="s">
        <v>5136</v>
      </c>
    </row>
    <row r="777" spans="1:9">
      <c r="A777" t="s">
        <v>4557</v>
      </c>
      <c r="B777" t="s">
        <v>5150</v>
      </c>
      <c r="C777">
        <v>1</v>
      </c>
      <c r="D777" t="s">
        <v>4166</v>
      </c>
      <c r="E777">
        <v>0.1</v>
      </c>
      <c r="F777">
        <v>1</v>
      </c>
      <c r="H777" t="s">
        <v>994</v>
      </c>
      <c r="I777" t="s">
        <v>5136</v>
      </c>
    </row>
    <row r="778" spans="1:9">
      <c r="A778" t="s">
        <v>4557</v>
      </c>
      <c r="B778" t="s">
        <v>5151</v>
      </c>
      <c r="C778">
        <v>1</v>
      </c>
      <c r="D778" t="s">
        <v>4166</v>
      </c>
      <c r="E778">
        <v>0.05</v>
      </c>
      <c r="F778">
        <v>0.12</v>
      </c>
      <c r="H778" t="s">
        <v>994</v>
      </c>
      <c r="I778" t="s">
        <v>5136</v>
      </c>
    </row>
    <row r="779" spans="1:9">
      <c r="A779" t="s">
        <v>4557</v>
      </c>
      <c r="B779" t="s">
        <v>5152</v>
      </c>
      <c r="C779">
        <v>1</v>
      </c>
      <c r="D779" t="s">
        <v>4166</v>
      </c>
      <c r="E779">
        <v>0.05</v>
      </c>
      <c r="F779">
        <v>2</v>
      </c>
      <c r="H779" t="s">
        <v>994</v>
      </c>
      <c r="I779" t="s">
        <v>5136</v>
      </c>
    </row>
    <row r="780" spans="1:9">
      <c r="A780" t="s">
        <v>4557</v>
      </c>
      <c r="B780" t="s">
        <v>5153</v>
      </c>
      <c r="C780">
        <v>1</v>
      </c>
      <c r="D780" t="s">
        <v>4166</v>
      </c>
      <c r="E780">
        <v>2</v>
      </c>
      <c r="F780">
        <v>3.5</v>
      </c>
      <c r="H780" t="s">
        <v>994</v>
      </c>
      <c r="I780" t="s">
        <v>4809</v>
      </c>
    </row>
    <row r="781" spans="1:9">
      <c r="A781" t="s">
        <v>4557</v>
      </c>
      <c r="B781" t="s">
        <v>5154</v>
      </c>
      <c r="C781">
        <v>1</v>
      </c>
      <c r="D781" t="s">
        <v>4166</v>
      </c>
      <c r="E781">
        <v>2</v>
      </c>
      <c r="F781">
        <v>52.8</v>
      </c>
      <c r="H781" t="s">
        <v>994</v>
      </c>
      <c r="I781" t="s">
        <v>4809</v>
      </c>
    </row>
    <row r="782" spans="1:9">
      <c r="A782" t="s">
        <v>4557</v>
      </c>
      <c r="B782" t="s">
        <v>5155</v>
      </c>
      <c r="C782">
        <v>1</v>
      </c>
      <c r="D782" t="s">
        <v>4166</v>
      </c>
      <c r="E782">
        <v>0.38</v>
      </c>
      <c r="F782">
        <v>1.3</v>
      </c>
      <c r="H782" t="s">
        <v>994</v>
      </c>
      <c r="I782" t="s">
        <v>4809</v>
      </c>
    </row>
    <row r="783" spans="1:9">
      <c r="A783" t="s">
        <v>4557</v>
      </c>
      <c r="B783" t="s">
        <v>5156</v>
      </c>
      <c r="C783">
        <v>1</v>
      </c>
      <c r="D783" t="s">
        <v>4166</v>
      </c>
      <c r="E783">
        <v>0.38</v>
      </c>
      <c r="F783">
        <v>13.2</v>
      </c>
      <c r="H783" t="s">
        <v>994</v>
      </c>
      <c r="I783" t="s">
        <v>4809</v>
      </c>
    </row>
    <row r="784" spans="1:9">
      <c r="A784" t="s">
        <v>4557</v>
      </c>
      <c r="B784" t="s">
        <v>5157</v>
      </c>
      <c r="C784">
        <v>1</v>
      </c>
      <c r="D784" t="s">
        <v>4166</v>
      </c>
      <c r="E784">
        <v>0.6</v>
      </c>
      <c r="F784">
        <v>0.5</v>
      </c>
      <c r="H784" t="s">
        <v>994</v>
      </c>
      <c r="I784" t="s">
        <v>4809</v>
      </c>
    </row>
    <row r="785" spans="1:9">
      <c r="A785" t="s">
        <v>4557</v>
      </c>
      <c r="B785" t="s">
        <v>5158</v>
      </c>
      <c r="C785">
        <v>1</v>
      </c>
      <c r="D785" t="s">
        <v>4166</v>
      </c>
      <c r="E785">
        <v>0.6</v>
      </c>
      <c r="F785">
        <v>1</v>
      </c>
      <c r="H785" t="s">
        <v>994</v>
      </c>
      <c r="I785" t="s">
        <v>4809</v>
      </c>
    </row>
    <row r="786" spans="1:9">
      <c r="A786" t="s">
        <v>4557</v>
      </c>
      <c r="B786" t="s">
        <v>5159</v>
      </c>
      <c r="C786">
        <v>1</v>
      </c>
      <c r="D786" t="s">
        <v>4166</v>
      </c>
      <c r="E786">
        <v>0.75</v>
      </c>
      <c r="F786">
        <v>0.4</v>
      </c>
      <c r="H786" t="s">
        <v>994</v>
      </c>
      <c r="I786" t="s">
        <v>4809</v>
      </c>
    </row>
    <row r="787" spans="1:9">
      <c r="A787" t="s">
        <v>4557</v>
      </c>
      <c r="B787" t="s">
        <v>5160</v>
      </c>
      <c r="C787">
        <v>1</v>
      </c>
      <c r="D787" t="s">
        <v>4166</v>
      </c>
      <c r="E787">
        <v>0.75</v>
      </c>
      <c r="F787">
        <v>2</v>
      </c>
      <c r="H787" t="s">
        <v>994</v>
      </c>
      <c r="I787" t="s">
        <v>4809</v>
      </c>
    </row>
    <row r="788" spans="1:9">
      <c r="A788" t="s">
        <v>4557</v>
      </c>
      <c r="B788" t="s">
        <v>5161</v>
      </c>
      <c r="C788">
        <v>1</v>
      </c>
      <c r="D788" t="s">
        <v>4166</v>
      </c>
      <c r="E788">
        <v>1.25</v>
      </c>
      <c r="F788">
        <v>1</v>
      </c>
      <c r="H788" t="s">
        <v>994</v>
      </c>
      <c r="I788" t="s">
        <v>4809</v>
      </c>
    </row>
    <row r="789" spans="1:9">
      <c r="A789" t="s">
        <v>4557</v>
      </c>
      <c r="B789" t="s">
        <v>5162</v>
      </c>
      <c r="C789">
        <v>1</v>
      </c>
      <c r="D789" t="s">
        <v>4166</v>
      </c>
      <c r="E789">
        <v>1.25</v>
      </c>
      <c r="F789">
        <v>90</v>
      </c>
      <c r="H789" t="s">
        <v>994</v>
      </c>
      <c r="I789" t="s">
        <v>4809</v>
      </c>
    </row>
    <row r="790" spans="1:9">
      <c r="A790" t="s">
        <v>4557</v>
      </c>
      <c r="B790" t="s">
        <v>5163</v>
      </c>
      <c r="C790">
        <v>1</v>
      </c>
      <c r="D790" t="s">
        <v>4166</v>
      </c>
      <c r="E790">
        <v>1.25</v>
      </c>
      <c r="F790">
        <v>0.8</v>
      </c>
      <c r="H790" t="s">
        <v>994</v>
      </c>
      <c r="I790" t="s">
        <v>4809</v>
      </c>
    </row>
    <row r="791" spans="1:9">
      <c r="A791" t="s">
        <v>4557</v>
      </c>
      <c r="B791" t="s">
        <v>5164</v>
      </c>
      <c r="C791">
        <v>1</v>
      </c>
      <c r="D791" t="s">
        <v>4166</v>
      </c>
      <c r="E791">
        <v>1.25</v>
      </c>
      <c r="F791">
        <v>3.5</v>
      </c>
      <c r="H791" t="s">
        <v>994</v>
      </c>
      <c r="I791" t="s">
        <v>4809</v>
      </c>
    </row>
    <row r="792" spans="1:9">
      <c r="A792" t="s">
        <v>4557</v>
      </c>
      <c r="B792" t="s">
        <v>5165</v>
      </c>
      <c r="C792">
        <v>1</v>
      </c>
      <c r="D792" t="s">
        <v>4166</v>
      </c>
      <c r="E792">
        <v>0.2</v>
      </c>
      <c r="F792">
        <v>1</v>
      </c>
      <c r="H792" t="s">
        <v>994</v>
      </c>
      <c r="I792" t="s">
        <v>4809</v>
      </c>
    </row>
    <row r="793" spans="1:9">
      <c r="A793" t="s">
        <v>4557</v>
      </c>
      <c r="B793" t="s">
        <v>5166</v>
      </c>
      <c r="C793">
        <v>1</v>
      </c>
      <c r="D793" t="s">
        <v>4166</v>
      </c>
      <c r="E793">
        <v>0.2</v>
      </c>
      <c r="F793">
        <v>10</v>
      </c>
      <c r="H793" t="s">
        <v>994</v>
      </c>
      <c r="I793" t="s">
        <v>4809</v>
      </c>
    </row>
    <row r="794" spans="1:9">
      <c r="A794" t="s">
        <v>4557</v>
      </c>
      <c r="B794" t="s">
        <v>5167</v>
      </c>
      <c r="C794">
        <v>1</v>
      </c>
      <c r="D794" t="s">
        <v>4166</v>
      </c>
      <c r="E794">
        <v>0.03</v>
      </c>
      <c r="F794">
        <v>0.1</v>
      </c>
      <c r="H794" t="s">
        <v>994</v>
      </c>
      <c r="I794" t="s">
        <v>4809</v>
      </c>
    </row>
    <row r="795" spans="1:9">
      <c r="A795" t="s">
        <v>4557</v>
      </c>
      <c r="B795" t="s">
        <v>5168</v>
      </c>
      <c r="C795">
        <v>1</v>
      </c>
      <c r="D795" t="s">
        <v>4166</v>
      </c>
      <c r="E795">
        <v>0.03</v>
      </c>
      <c r="F795">
        <v>5</v>
      </c>
      <c r="H795" t="s">
        <v>994</v>
      </c>
      <c r="I795" t="s">
        <v>4809</v>
      </c>
    </row>
    <row r="796" spans="1:9">
      <c r="A796" t="s">
        <v>4557</v>
      </c>
      <c r="B796" t="s">
        <v>5169</v>
      </c>
      <c r="C796">
        <v>1</v>
      </c>
      <c r="D796" t="s">
        <v>4166</v>
      </c>
      <c r="E796">
        <v>0.25</v>
      </c>
      <c r="F796">
        <v>0.2</v>
      </c>
      <c r="H796" t="s">
        <v>994</v>
      </c>
      <c r="I796" t="s">
        <v>4809</v>
      </c>
    </row>
    <row r="797" spans="1:9">
      <c r="A797" t="s">
        <v>4557</v>
      </c>
      <c r="B797" t="s">
        <v>5170</v>
      </c>
      <c r="C797">
        <v>1</v>
      </c>
      <c r="D797" t="s">
        <v>4166</v>
      </c>
      <c r="E797">
        <v>0.25</v>
      </c>
      <c r="F797">
        <v>3.5</v>
      </c>
      <c r="H797" t="s">
        <v>994</v>
      </c>
      <c r="I797" t="s">
        <v>4809</v>
      </c>
    </row>
    <row r="798" spans="1:9">
      <c r="A798" t="s">
        <v>4557</v>
      </c>
      <c r="B798" t="s">
        <v>5171</v>
      </c>
      <c r="C798">
        <v>1</v>
      </c>
      <c r="D798" t="s">
        <v>4166</v>
      </c>
      <c r="E798">
        <v>0.88</v>
      </c>
      <c r="F798">
        <v>1</v>
      </c>
      <c r="H798" t="s">
        <v>994</v>
      </c>
      <c r="I798" t="s">
        <v>4809</v>
      </c>
    </row>
    <row r="799" spans="1:9">
      <c r="A799" t="s">
        <v>4557</v>
      </c>
      <c r="B799" t="s">
        <v>5172</v>
      </c>
      <c r="C799">
        <v>1</v>
      </c>
      <c r="D799" t="s">
        <v>4166</v>
      </c>
      <c r="E799">
        <v>0.88</v>
      </c>
      <c r="F799">
        <v>10</v>
      </c>
      <c r="H799" t="s">
        <v>994</v>
      </c>
      <c r="I799" t="s">
        <v>4809</v>
      </c>
    </row>
    <row r="800" spans="1:9">
      <c r="A800" t="s">
        <v>4557</v>
      </c>
      <c r="B800" t="s">
        <v>5173</v>
      </c>
      <c r="C800">
        <v>1</v>
      </c>
      <c r="D800" t="s">
        <v>4166</v>
      </c>
      <c r="E800">
        <v>1.5</v>
      </c>
      <c r="F800">
        <v>1.8E-3</v>
      </c>
      <c r="H800" t="s">
        <v>994</v>
      </c>
      <c r="I800" t="s">
        <v>4809</v>
      </c>
    </row>
    <row r="801" spans="1:9">
      <c r="A801" t="s">
        <v>4557</v>
      </c>
      <c r="B801" t="s">
        <v>5174</v>
      </c>
      <c r="C801">
        <v>1</v>
      </c>
      <c r="D801" t="s">
        <v>4166</v>
      </c>
      <c r="E801">
        <v>1.5</v>
      </c>
      <c r="F801">
        <v>13.1</v>
      </c>
      <c r="H801" t="s">
        <v>994</v>
      </c>
      <c r="I801" t="s">
        <v>4809</v>
      </c>
    </row>
    <row r="802" spans="1:9">
      <c r="A802" t="s">
        <v>4557</v>
      </c>
      <c r="B802" t="s">
        <v>5175</v>
      </c>
      <c r="C802">
        <v>1</v>
      </c>
      <c r="D802" t="s">
        <v>4166</v>
      </c>
      <c r="E802">
        <v>0.75</v>
      </c>
      <c r="F802">
        <v>0.81</v>
      </c>
      <c r="H802" t="s">
        <v>994</v>
      </c>
      <c r="I802" t="s">
        <v>4809</v>
      </c>
    </row>
    <row r="803" spans="1:9">
      <c r="A803" t="s">
        <v>4557</v>
      </c>
      <c r="B803" t="s">
        <v>5176</v>
      </c>
      <c r="C803">
        <v>1</v>
      </c>
      <c r="D803" t="s">
        <v>4166</v>
      </c>
      <c r="E803">
        <v>0.75</v>
      </c>
      <c r="F803">
        <v>50</v>
      </c>
      <c r="H803" t="s">
        <v>994</v>
      </c>
      <c r="I803" t="s">
        <v>4809</v>
      </c>
    </row>
    <row r="804" spans="1:9">
      <c r="A804" t="s">
        <v>4557</v>
      </c>
      <c r="B804" t="s">
        <v>5177</v>
      </c>
      <c r="C804">
        <v>1</v>
      </c>
      <c r="D804" t="s">
        <v>4166</v>
      </c>
      <c r="E804">
        <v>1.5</v>
      </c>
      <c r="F804">
        <v>2.5</v>
      </c>
      <c r="H804" t="s">
        <v>994</v>
      </c>
      <c r="I804" t="s">
        <v>4809</v>
      </c>
    </row>
    <row r="805" spans="1:9">
      <c r="A805" t="s">
        <v>4557</v>
      </c>
      <c r="B805" t="s">
        <v>5178</v>
      </c>
      <c r="C805">
        <v>1</v>
      </c>
      <c r="D805" t="s">
        <v>4166</v>
      </c>
      <c r="E805">
        <v>1</v>
      </c>
      <c r="F805">
        <v>0.9</v>
      </c>
      <c r="H805" t="s">
        <v>994</v>
      </c>
      <c r="I805" t="s">
        <v>4809</v>
      </c>
    </row>
    <row r="806" spans="1:9">
      <c r="A806" t="s">
        <v>4557</v>
      </c>
      <c r="B806" t="s">
        <v>5179</v>
      </c>
      <c r="C806">
        <v>1</v>
      </c>
      <c r="D806" t="s">
        <v>4166</v>
      </c>
      <c r="E806">
        <v>1</v>
      </c>
      <c r="F806">
        <v>55</v>
      </c>
      <c r="H806" t="s">
        <v>994</v>
      </c>
      <c r="I806" t="s">
        <v>4809</v>
      </c>
    </row>
    <row r="807" spans="1:9">
      <c r="A807" t="s">
        <v>4557</v>
      </c>
      <c r="B807" t="s">
        <v>5180</v>
      </c>
      <c r="C807">
        <v>1</v>
      </c>
      <c r="D807" t="s">
        <v>4166</v>
      </c>
      <c r="E807">
        <v>0.75</v>
      </c>
      <c r="F807">
        <v>1.76</v>
      </c>
      <c r="H807" t="s">
        <v>994</v>
      </c>
      <c r="I807" t="s">
        <v>4809</v>
      </c>
    </row>
    <row r="808" spans="1:9">
      <c r="A808" t="s">
        <v>4557</v>
      </c>
      <c r="B808" t="s">
        <v>5181</v>
      </c>
      <c r="C808">
        <v>1</v>
      </c>
      <c r="D808" t="s">
        <v>4166</v>
      </c>
      <c r="E808">
        <v>0.75</v>
      </c>
      <c r="F808">
        <v>35.200000000000003</v>
      </c>
      <c r="H808" t="s">
        <v>994</v>
      </c>
      <c r="I808" t="s">
        <v>4809</v>
      </c>
    </row>
    <row r="809" spans="1:9">
      <c r="A809" t="s">
        <v>4557</v>
      </c>
      <c r="B809" t="s">
        <v>5182</v>
      </c>
      <c r="C809">
        <v>1</v>
      </c>
      <c r="D809" t="s">
        <v>4166</v>
      </c>
      <c r="E809">
        <v>1</v>
      </c>
      <c r="F809">
        <v>0.5</v>
      </c>
      <c r="H809" t="s">
        <v>994</v>
      </c>
      <c r="I809" t="s">
        <v>4809</v>
      </c>
    </row>
    <row r="810" spans="1:9">
      <c r="A810" t="s">
        <v>4557</v>
      </c>
      <c r="B810" t="s">
        <v>5183</v>
      </c>
      <c r="C810">
        <v>1</v>
      </c>
      <c r="D810" t="s">
        <v>4166</v>
      </c>
      <c r="E810">
        <v>1</v>
      </c>
      <c r="F810">
        <v>26</v>
      </c>
      <c r="H810" t="s">
        <v>994</v>
      </c>
      <c r="I810" t="s">
        <v>4809</v>
      </c>
    </row>
    <row r="811" spans="1:9">
      <c r="A811" t="s">
        <v>4557</v>
      </c>
      <c r="B811" t="s">
        <v>5184</v>
      </c>
      <c r="C811">
        <v>1</v>
      </c>
      <c r="D811" t="s">
        <v>4166</v>
      </c>
      <c r="E811">
        <v>1.25</v>
      </c>
      <c r="F811">
        <v>0.45</v>
      </c>
      <c r="H811" t="s">
        <v>994</v>
      </c>
      <c r="I811" t="s">
        <v>4809</v>
      </c>
    </row>
    <row r="812" spans="1:9">
      <c r="A812" t="s">
        <v>4557</v>
      </c>
      <c r="B812" t="s">
        <v>5185</v>
      </c>
      <c r="C812">
        <v>1</v>
      </c>
      <c r="D812" t="s">
        <v>4166</v>
      </c>
      <c r="E812">
        <v>1.25</v>
      </c>
      <c r="F812">
        <v>26</v>
      </c>
      <c r="H812" t="s">
        <v>994</v>
      </c>
      <c r="I812" t="s">
        <v>4809</v>
      </c>
    </row>
    <row r="813" spans="1:9">
      <c r="A813" t="s">
        <v>4557</v>
      </c>
      <c r="B813" t="s">
        <v>5186</v>
      </c>
      <c r="C813">
        <v>1</v>
      </c>
      <c r="D813" t="s">
        <v>4166</v>
      </c>
      <c r="E813">
        <v>2</v>
      </c>
      <c r="F813">
        <v>0.9</v>
      </c>
      <c r="H813" t="s">
        <v>994</v>
      </c>
      <c r="I813" t="s">
        <v>4809</v>
      </c>
    </row>
    <row r="814" spans="1:9">
      <c r="A814" t="s">
        <v>4557</v>
      </c>
      <c r="B814" t="s">
        <v>5187</v>
      </c>
      <c r="C814">
        <v>1</v>
      </c>
      <c r="D814" t="s">
        <v>4166</v>
      </c>
      <c r="E814">
        <v>2</v>
      </c>
      <c r="F814">
        <v>3.5</v>
      </c>
      <c r="H814" t="s">
        <v>994</v>
      </c>
      <c r="I814" t="s">
        <v>4809</v>
      </c>
    </row>
    <row r="815" spans="1:9">
      <c r="A815" t="s">
        <v>4557</v>
      </c>
      <c r="B815" t="s">
        <v>5188</v>
      </c>
      <c r="C815">
        <v>1</v>
      </c>
      <c r="D815" t="s">
        <v>4166</v>
      </c>
      <c r="E815">
        <v>0.75</v>
      </c>
      <c r="F815">
        <v>2.1</v>
      </c>
      <c r="H815" t="s">
        <v>994</v>
      </c>
      <c r="I815" t="s">
        <v>4809</v>
      </c>
    </row>
    <row r="816" spans="1:9">
      <c r="A816" t="s">
        <v>4557</v>
      </c>
      <c r="B816" t="s">
        <v>5189</v>
      </c>
      <c r="C816">
        <v>1</v>
      </c>
      <c r="D816" t="s">
        <v>4166</v>
      </c>
      <c r="E816">
        <v>0.75</v>
      </c>
      <c r="F816">
        <v>50</v>
      </c>
      <c r="H816" t="s">
        <v>994</v>
      </c>
      <c r="I816" t="s">
        <v>4809</v>
      </c>
    </row>
    <row r="817" spans="1:9">
      <c r="A817" t="s">
        <v>4557</v>
      </c>
      <c r="B817" t="s">
        <v>5190</v>
      </c>
      <c r="C817">
        <v>1</v>
      </c>
      <c r="D817" t="s">
        <v>4166</v>
      </c>
      <c r="E817">
        <v>3</v>
      </c>
      <c r="F817">
        <v>150</v>
      </c>
      <c r="H817" t="s">
        <v>994</v>
      </c>
      <c r="I817" t="s">
        <v>4809</v>
      </c>
    </row>
    <row r="818" spans="1:9">
      <c r="A818" t="s">
        <v>4557</v>
      </c>
      <c r="B818" t="s">
        <v>5191</v>
      </c>
      <c r="C818">
        <v>1</v>
      </c>
      <c r="D818" t="s">
        <v>4166</v>
      </c>
      <c r="E818">
        <v>3</v>
      </c>
      <c r="F818">
        <v>53</v>
      </c>
      <c r="H818" t="s">
        <v>994</v>
      </c>
      <c r="I818" t="s">
        <v>4809</v>
      </c>
    </row>
    <row r="819" spans="1:9">
      <c r="A819" t="s">
        <v>4557</v>
      </c>
      <c r="B819" t="s">
        <v>5192</v>
      </c>
      <c r="C819">
        <v>1</v>
      </c>
      <c r="D819" t="s">
        <v>4166</v>
      </c>
      <c r="E819">
        <v>2</v>
      </c>
      <c r="F819">
        <v>3.5</v>
      </c>
      <c r="H819" t="s">
        <v>994</v>
      </c>
      <c r="I819" t="s">
        <v>4809</v>
      </c>
    </row>
    <row r="820" spans="1:9">
      <c r="A820" t="s">
        <v>4557</v>
      </c>
      <c r="B820" t="s">
        <v>5193</v>
      </c>
      <c r="C820">
        <v>1</v>
      </c>
      <c r="D820" t="s">
        <v>4166</v>
      </c>
      <c r="E820">
        <v>2</v>
      </c>
      <c r="F820">
        <v>35</v>
      </c>
      <c r="H820" t="s">
        <v>994</v>
      </c>
      <c r="I820" t="s">
        <v>4809</v>
      </c>
    </row>
    <row r="821" spans="1:9">
      <c r="A821" t="s">
        <v>4557</v>
      </c>
      <c r="B821" t="s">
        <v>5194</v>
      </c>
      <c r="C821">
        <v>1</v>
      </c>
      <c r="D821" t="s">
        <v>4166</v>
      </c>
      <c r="E821">
        <v>1.5</v>
      </c>
      <c r="F821">
        <v>1.4</v>
      </c>
      <c r="H821" t="s">
        <v>994</v>
      </c>
      <c r="I821" t="s">
        <v>4809</v>
      </c>
    </row>
    <row r="822" spans="1:9">
      <c r="A822" t="s">
        <v>4557</v>
      </c>
      <c r="B822" t="s">
        <v>5195</v>
      </c>
      <c r="C822">
        <v>1</v>
      </c>
      <c r="D822" t="s">
        <v>4166</v>
      </c>
      <c r="E822">
        <v>1.5</v>
      </c>
      <c r="F822">
        <v>13</v>
      </c>
      <c r="H822" t="s">
        <v>994</v>
      </c>
      <c r="I822" t="s">
        <v>4809</v>
      </c>
    </row>
    <row r="823" spans="1:9">
      <c r="A823" t="s">
        <v>4557</v>
      </c>
      <c r="B823" t="s">
        <v>5196</v>
      </c>
      <c r="C823">
        <v>1</v>
      </c>
      <c r="D823" t="s">
        <v>4166</v>
      </c>
      <c r="E823">
        <v>0.75</v>
      </c>
      <c r="F823">
        <v>1.86</v>
      </c>
      <c r="H823" t="s">
        <v>994</v>
      </c>
      <c r="I823" t="s">
        <v>4809</v>
      </c>
    </row>
    <row r="824" spans="1:9">
      <c r="A824" t="s">
        <v>4557</v>
      </c>
      <c r="B824" t="s">
        <v>5197</v>
      </c>
      <c r="C824">
        <v>1</v>
      </c>
      <c r="D824" t="s">
        <v>4166</v>
      </c>
      <c r="E824">
        <v>0.75</v>
      </c>
      <c r="F824">
        <v>85</v>
      </c>
      <c r="H824" t="s">
        <v>994</v>
      </c>
      <c r="I824" t="s">
        <v>4809</v>
      </c>
    </row>
    <row r="825" spans="1:9">
      <c r="A825" t="s">
        <v>4557</v>
      </c>
      <c r="B825" t="s">
        <v>5198</v>
      </c>
      <c r="C825">
        <v>1</v>
      </c>
      <c r="D825" t="s">
        <v>4166</v>
      </c>
      <c r="E825">
        <v>0.6</v>
      </c>
      <c r="F825">
        <v>1.5</v>
      </c>
      <c r="H825" t="s">
        <v>994</v>
      </c>
      <c r="I825" t="s">
        <v>4809</v>
      </c>
    </row>
    <row r="826" spans="1:9">
      <c r="A826" t="s">
        <v>4557</v>
      </c>
      <c r="B826" t="s">
        <v>5199</v>
      </c>
      <c r="C826">
        <v>1</v>
      </c>
      <c r="D826" t="s">
        <v>4166</v>
      </c>
      <c r="E826">
        <v>0.6</v>
      </c>
      <c r="F826">
        <v>20</v>
      </c>
      <c r="H826" t="s">
        <v>994</v>
      </c>
      <c r="I826" t="s">
        <v>4809</v>
      </c>
    </row>
    <row r="827" spans="1:9">
      <c r="A827" t="s">
        <v>4557</v>
      </c>
      <c r="B827" t="s">
        <v>5200</v>
      </c>
      <c r="C827">
        <v>1</v>
      </c>
      <c r="D827" t="s">
        <v>4166</v>
      </c>
      <c r="E827">
        <v>1.25</v>
      </c>
      <c r="F827">
        <v>2.5</v>
      </c>
      <c r="H827" t="s">
        <v>994</v>
      </c>
      <c r="I827" t="s">
        <v>4809</v>
      </c>
    </row>
    <row r="828" spans="1:9">
      <c r="A828" t="s">
        <v>4557</v>
      </c>
      <c r="B828" t="s">
        <v>5201</v>
      </c>
      <c r="C828">
        <v>1</v>
      </c>
      <c r="D828" t="s">
        <v>4166</v>
      </c>
      <c r="E828">
        <v>1.25</v>
      </c>
      <c r="F828">
        <v>27</v>
      </c>
      <c r="H828" t="s">
        <v>994</v>
      </c>
      <c r="I828" t="s">
        <v>4809</v>
      </c>
    </row>
    <row r="829" spans="1:9">
      <c r="A829" t="s">
        <v>4557</v>
      </c>
      <c r="B829" t="s">
        <v>5202</v>
      </c>
      <c r="C829">
        <v>1</v>
      </c>
      <c r="D829" t="s">
        <v>4166</v>
      </c>
      <c r="E829">
        <v>0.8</v>
      </c>
      <c r="F829">
        <v>0.35</v>
      </c>
      <c r="H829" t="s">
        <v>994</v>
      </c>
      <c r="I829" t="s">
        <v>4809</v>
      </c>
    </row>
    <row r="830" spans="1:9">
      <c r="A830" t="s">
        <v>4557</v>
      </c>
      <c r="B830" t="s">
        <v>5203</v>
      </c>
      <c r="C830">
        <v>1</v>
      </c>
      <c r="D830" t="s">
        <v>4166</v>
      </c>
      <c r="E830">
        <v>0.8</v>
      </c>
      <c r="F830">
        <v>17</v>
      </c>
      <c r="H830" t="s">
        <v>994</v>
      </c>
      <c r="I830" t="s">
        <v>4809</v>
      </c>
    </row>
    <row r="831" spans="1:9">
      <c r="A831" t="s">
        <v>4557</v>
      </c>
      <c r="B831" t="s">
        <v>5204</v>
      </c>
      <c r="C831">
        <v>1</v>
      </c>
      <c r="D831" t="s">
        <v>4166</v>
      </c>
      <c r="E831">
        <v>1.1000000000000001</v>
      </c>
      <c r="F831">
        <v>0.45</v>
      </c>
      <c r="H831" t="s">
        <v>994</v>
      </c>
      <c r="I831" t="s">
        <v>4809</v>
      </c>
    </row>
    <row r="832" spans="1:9">
      <c r="A832" t="s">
        <v>4557</v>
      </c>
      <c r="B832" t="s">
        <v>5205</v>
      </c>
      <c r="C832">
        <v>1</v>
      </c>
      <c r="D832" t="s">
        <v>4166</v>
      </c>
      <c r="E832">
        <v>1.1000000000000001</v>
      </c>
      <c r="F832">
        <v>18</v>
      </c>
      <c r="H832" t="s">
        <v>994</v>
      </c>
      <c r="I832" t="s">
        <v>4809</v>
      </c>
    </row>
    <row r="833" spans="1:9">
      <c r="A833" t="s">
        <v>4557</v>
      </c>
      <c r="B833" t="s">
        <v>5206</v>
      </c>
      <c r="C833">
        <v>1</v>
      </c>
      <c r="D833" t="s">
        <v>4166</v>
      </c>
      <c r="E833">
        <v>0.05</v>
      </c>
      <c r="F833">
        <v>1</v>
      </c>
      <c r="H833" t="s">
        <v>994</v>
      </c>
      <c r="I833" t="s">
        <v>4809</v>
      </c>
    </row>
    <row r="834" spans="1:9">
      <c r="A834" t="s">
        <v>4557</v>
      </c>
      <c r="B834" t="s">
        <v>5207</v>
      </c>
      <c r="C834">
        <v>1</v>
      </c>
      <c r="D834" t="s">
        <v>4166</v>
      </c>
      <c r="E834">
        <v>0.05</v>
      </c>
      <c r="F834">
        <v>43</v>
      </c>
      <c r="H834" t="s">
        <v>994</v>
      </c>
      <c r="I834" t="s">
        <v>4809</v>
      </c>
    </row>
    <row r="835" spans="1:9">
      <c r="A835" t="s">
        <v>4557</v>
      </c>
      <c r="B835" t="s">
        <v>5208</v>
      </c>
      <c r="C835">
        <v>1</v>
      </c>
      <c r="D835" t="s">
        <v>4166</v>
      </c>
      <c r="E835">
        <v>0.5</v>
      </c>
      <c r="F835">
        <v>0.8</v>
      </c>
      <c r="H835" t="s">
        <v>994</v>
      </c>
      <c r="I835" t="s">
        <v>4809</v>
      </c>
    </row>
    <row r="836" spans="1:9">
      <c r="A836" t="s">
        <v>4557</v>
      </c>
      <c r="B836" t="s">
        <v>5209</v>
      </c>
      <c r="C836">
        <v>1</v>
      </c>
      <c r="D836" t="s">
        <v>4166</v>
      </c>
      <c r="E836">
        <v>0.5</v>
      </c>
      <c r="F836">
        <v>46</v>
      </c>
      <c r="H836" t="s">
        <v>994</v>
      </c>
      <c r="I836" t="s">
        <v>4809</v>
      </c>
    </row>
    <row r="837" spans="1:9">
      <c r="A837" t="s">
        <v>4557</v>
      </c>
      <c r="B837" t="s">
        <v>5210</v>
      </c>
      <c r="C837">
        <v>1</v>
      </c>
      <c r="D837" t="s">
        <v>4166</v>
      </c>
      <c r="E837">
        <v>1.5</v>
      </c>
      <c r="F837">
        <v>2</v>
      </c>
      <c r="H837" t="s">
        <v>994</v>
      </c>
      <c r="I837" t="s">
        <v>4809</v>
      </c>
    </row>
    <row r="838" spans="1:9">
      <c r="A838" t="s">
        <v>4557</v>
      </c>
      <c r="B838" t="s">
        <v>5211</v>
      </c>
      <c r="C838">
        <v>1</v>
      </c>
      <c r="D838" t="s">
        <v>4166</v>
      </c>
      <c r="E838">
        <v>1.5</v>
      </c>
      <c r="F838">
        <v>16</v>
      </c>
      <c r="H838" t="s">
        <v>994</v>
      </c>
      <c r="I838" t="s">
        <v>4809</v>
      </c>
    </row>
    <row r="839" spans="1:9">
      <c r="A839" t="s">
        <v>4557</v>
      </c>
      <c r="B839" t="s">
        <v>5212</v>
      </c>
      <c r="C839">
        <v>1</v>
      </c>
      <c r="D839" t="s">
        <v>4166</v>
      </c>
      <c r="E839">
        <v>0.75</v>
      </c>
      <c r="F839">
        <v>0.87</v>
      </c>
      <c r="H839" t="s">
        <v>994</v>
      </c>
      <c r="I839" t="s">
        <v>4809</v>
      </c>
    </row>
    <row r="840" spans="1:9">
      <c r="A840" t="s">
        <v>4557</v>
      </c>
      <c r="B840" t="s">
        <v>5213</v>
      </c>
      <c r="C840">
        <v>1</v>
      </c>
      <c r="D840" t="s">
        <v>4166</v>
      </c>
      <c r="E840">
        <v>0.75</v>
      </c>
      <c r="F840">
        <v>53</v>
      </c>
      <c r="H840" t="s">
        <v>994</v>
      </c>
      <c r="I840" t="s">
        <v>4809</v>
      </c>
    </row>
    <row r="841" spans="1:9">
      <c r="A841" t="s">
        <v>4557</v>
      </c>
      <c r="B841" t="s">
        <v>5214</v>
      </c>
      <c r="C841">
        <v>1</v>
      </c>
      <c r="D841" t="s">
        <v>4166</v>
      </c>
      <c r="E841">
        <v>1</v>
      </c>
      <c r="F841">
        <v>2.2999999999999998</v>
      </c>
      <c r="H841" t="s">
        <v>994</v>
      </c>
      <c r="I841" t="s">
        <v>4809</v>
      </c>
    </row>
    <row r="842" spans="1:9">
      <c r="A842" t="s">
        <v>4557</v>
      </c>
      <c r="B842" t="s">
        <v>5215</v>
      </c>
      <c r="C842">
        <v>1</v>
      </c>
      <c r="D842" t="s">
        <v>4166</v>
      </c>
      <c r="E842">
        <v>1</v>
      </c>
      <c r="F842">
        <v>11</v>
      </c>
      <c r="H842" t="s">
        <v>994</v>
      </c>
      <c r="I842" t="s">
        <v>4809</v>
      </c>
    </row>
    <row r="843" spans="1:9">
      <c r="A843" t="s">
        <v>4557</v>
      </c>
      <c r="B843" t="s">
        <v>5216</v>
      </c>
      <c r="C843">
        <v>1</v>
      </c>
      <c r="D843" t="s">
        <v>4166</v>
      </c>
      <c r="E843">
        <v>1.25</v>
      </c>
      <c r="F843">
        <v>2.5</v>
      </c>
      <c r="H843" t="s">
        <v>994</v>
      </c>
      <c r="I843" t="s">
        <v>4809</v>
      </c>
    </row>
    <row r="844" spans="1:9">
      <c r="A844" t="s">
        <v>4557</v>
      </c>
      <c r="B844" t="s">
        <v>5217</v>
      </c>
      <c r="C844">
        <v>1</v>
      </c>
      <c r="D844" t="s">
        <v>4166</v>
      </c>
      <c r="E844">
        <v>1.25</v>
      </c>
      <c r="F844">
        <v>7.5</v>
      </c>
      <c r="H844" t="s">
        <v>994</v>
      </c>
      <c r="I844" t="s">
        <v>4809</v>
      </c>
    </row>
    <row r="845" spans="1:9">
      <c r="A845" t="s">
        <v>4557</v>
      </c>
      <c r="B845" t="s">
        <v>5218</v>
      </c>
      <c r="C845">
        <v>1</v>
      </c>
      <c r="D845" t="s">
        <v>4166</v>
      </c>
      <c r="E845">
        <v>0.25</v>
      </c>
      <c r="F845">
        <v>1.3</v>
      </c>
      <c r="H845" t="s">
        <v>994</v>
      </c>
      <c r="I845" t="s">
        <v>4809</v>
      </c>
    </row>
    <row r="846" spans="1:9">
      <c r="A846" t="s">
        <v>4557</v>
      </c>
      <c r="B846" t="s">
        <v>5219</v>
      </c>
      <c r="C846">
        <v>1</v>
      </c>
      <c r="D846" t="s">
        <v>4166</v>
      </c>
      <c r="E846">
        <v>0.25</v>
      </c>
      <c r="F846">
        <v>4.0999999999999996</v>
      </c>
      <c r="H846" t="s">
        <v>994</v>
      </c>
      <c r="I846" t="s">
        <v>4809</v>
      </c>
    </row>
    <row r="847" spans="1:9">
      <c r="A847" t="s">
        <v>4557</v>
      </c>
      <c r="B847" t="s">
        <v>5220</v>
      </c>
      <c r="C847">
        <v>1</v>
      </c>
      <c r="D847" t="s">
        <v>4166</v>
      </c>
      <c r="E847">
        <v>0.25</v>
      </c>
      <c r="F847">
        <v>2.6</v>
      </c>
      <c r="H847" t="s">
        <v>994</v>
      </c>
      <c r="I847" t="s">
        <v>5221</v>
      </c>
    </row>
    <row r="848" spans="1:9">
      <c r="A848" t="s">
        <v>4557</v>
      </c>
      <c r="B848" t="s">
        <v>5222</v>
      </c>
      <c r="C848">
        <v>1</v>
      </c>
      <c r="D848" t="s">
        <v>4166</v>
      </c>
      <c r="E848">
        <v>0.25</v>
      </c>
      <c r="F848">
        <v>52.8</v>
      </c>
      <c r="H848" t="s">
        <v>994</v>
      </c>
      <c r="I848" t="s">
        <v>5221</v>
      </c>
    </row>
    <row r="849" spans="1:9">
      <c r="A849" t="s">
        <v>4557</v>
      </c>
      <c r="B849" t="s">
        <v>5223</v>
      </c>
      <c r="C849">
        <v>1</v>
      </c>
      <c r="D849" t="s">
        <v>4166</v>
      </c>
      <c r="E849">
        <v>0.13</v>
      </c>
      <c r="F849">
        <v>5</v>
      </c>
      <c r="H849" t="s">
        <v>994</v>
      </c>
      <c r="I849" t="s">
        <v>5221</v>
      </c>
    </row>
    <row r="850" spans="1:9">
      <c r="A850" t="s">
        <v>4557</v>
      </c>
      <c r="B850" t="s">
        <v>5224</v>
      </c>
      <c r="C850">
        <v>1</v>
      </c>
      <c r="D850" t="s">
        <v>4166</v>
      </c>
      <c r="E850">
        <v>0.13</v>
      </c>
      <c r="F850">
        <v>36</v>
      </c>
      <c r="H850" t="s">
        <v>994</v>
      </c>
      <c r="I850" t="s">
        <v>5221</v>
      </c>
    </row>
    <row r="851" spans="1:9">
      <c r="A851" t="s">
        <v>4557</v>
      </c>
      <c r="B851" t="s">
        <v>5225</v>
      </c>
      <c r="C851">
        <v>1</v>
      </c>
      <c r="D851" t="s">
        <v>4166</v>
      </c>
      <c r="E851">
        <v>0.12</v>
      </c>
      <c r="F851">
        <v>5.3</v>
      </c>
      <c r="H851" t="s">
        <v>994</v>
      </c>
      <c r="I851" t="s">
        <v>5221</v>
      </c>
    </row>
    <row r="852" spans="1:9">
      <c r="A852" t="s">
        <v>4557</v>
      </c>
      <c r="B852" t="s">
        <v>5226</v>
      </c>
      <c r="C852">
        <v>1</v>
      </c>
      <c r="D852" t="s">
        <v>4166</v>
      </c>
      <c r="E852">
        <v>0.12</v>
      </c>
      <c r="F852">
        <v>35</v>
      </c>
      <c r="H852" t="s">
        <v>994</v>
      </c>
      <c r="I852" t="s">
        <v>5221</v>
      </c>
    </row>
    <row r="853" spans="1:9">
      <c r="A853" t="s">
        <v>4557</v>
      </c>
      <c r="B853" t="s">
        <v>5227</v>
      </c>
      <c r="C853">
        <v>1</v>
      </c>
      <c r="D853" t="s">
        <v>4166</v>
      </c>
      <c r="E853">
        <v>0.5</v>
      </c>
      <c r="F853">
        <v>5</v>
      </c>
      <c r="H853" t="s">
        <v>994</v>
      </c>
      <c r="I853" t="s">
        <v>5221</v>
      </c>
    </row>
    <row r="854" spans="1:9">
      <c r="A854" t="s">
        <v>4557</v>
      </c>
      <c r="B854" t="s">
        <v>5228</v>
      </c>
      <c r="C854">
        <v>1</v>
      </c>
      <c r="D854" t="s">
        <v>4166</v>
      </c>
      <c r="E854">
        <v>0.5</v>
      </c>
      <c r="F854">
        <v>66</v>
      </c>
      <c r="H854" t="s">
        <v>994</v>
      </c>
      <c r="I854" t="s">
        <v>5221</v>
      </c>
    </row>
    <row r="855" spans="1:9">
      <c r="A855" t="s">
        <v>4557</v>
      </c>
      <c r="B855" t="s">
        <v>5229</v>
      </c>
      <c r="C855">
        <v>1</v>
      </c>
      <c r="D855" t="s">
        <v>4166</v>
      </c>
      <c r="E855">
        <v>0.5</v>
      </c>
      <c r="F855">
        <v>132</v>
      </c>
      <c r="H855" t="s">
        <v>994</v>
      </c>
      <c r="I855" t="s">
        <v>5221</v>
      </c>
    </row>
    <row r="856" spans="1:9">
      <c r="A856" t="s">
        <v>4557</v>
      </c>
      <c r="B856" t="s">
        <v>5230</v>
      </c>
      <c r="C856">
        <v>1</v>
      </c>
      <c r="D856" t="s">
        <v>4166</v>
      </c>
      <c r="E856">
        <v>0.5</v>
      </c>
      <c r="F856">
        <v>53</v>
      </c>
      <c r="H856" t="s">
        <v>994</v>
      </c>
      <c r="I856" t="s">
        <v>5221</v>
      </c>
    </row>
    <row r="857" spans="1:9">
      <c r="A857" t="s">
        <v>4557</v>
      </c>
      <c r="B857" t="s">
        <v>5231</v>
      </c>
      <c r="C857">
        <v>1</v>
      </c>
      <c r="D857" t="s">
        <v>4166</v>
      </c>
      <c r="E857">
        <v>5</v>
      </c>
      <c r="F857">
        <v>350</v>
      </c>
      <c r="H857" t="s">
        <v>994</v>
      </c>
      <c r="I857" t="s">
        <v>5221</v>
      </c>
    </row>
    <row r="858" spans="1:9">
      <c r="A858" t="s">
        <v>4557</v>
      </c>
      <c r="B858" t="s">
        <v>5232</v>
      </c>
      <c r="C858">
        <v>1</v>
      </c>
      <c r="D858" t="s">
        <v>4166</v>
      </c>
      <c r="E858">
        <v>5</v>
      </c>
      <c r="F858">
        <v>130</v>
      </c>
      <c r="H858" t="s">
        <v>994</v>
      </c>
      <c r="I858" t="s">
        <v>5221</v>
      </c>
    </row>
    <row r="859" spans="1:9">
      <c r="A859" t="s">
        <v>4557</v>
      </c>
      <c r="B859" t="s">
        <v>5233</v>
      </c>
      <c r="C859">
        <v>1</v>
      </c>
      <c r="D859" t="s">
        <v>4166</v>
      </c>
      <c r="E859">
        <v>0.3</v>
      </c>
      <c r="F859">
        <v>50</v>
      </c>
      <c r="H859" t="s">
        <v>994</v>
      </c>
      <c r="I859" t="s">
        <v>5221</v>
      </c>
    </row>
    <row r="860" spans="1:9">
      <c r="A860" t="s">
        <v>4557</v>
      </c>
      <c r="B860" t="s">
        <v>5234</v>
      </c>
      <c r="C860">
        <v>1</v>
      </c>
      <c r="D860" t="s">
        <v>4166</v>
      </c>
      <c r="E860">
        <v>0.3</v>
      </c>
      <c r="F860">
        <v>30.8</v>
      </c>
      <c r="H860" t="s">
        <v>994</v>
      </c>
      <c r="I860" t="s">
        <v>5221</v>
      </c>
    </row>
    <row r="861" spans="1:9">
      <c r="A861" t="s">
        <v>4557</v>
      </c>
      <c r="B861" t="s">
        <v>5235</v>
      </c>
      <c r="C861">
        <v>1</v>
      </c>
      <c r="D861" t="s">
        <v>4166</v>
      </c>
      <c r="E861">
        <v>0.1</v>
      </c>
      <c r="F861">
        <v>2.5</v>
      </c>
      <c r="H861" t="s">
        <v>994</v>
      </c>
      <c r="I861" t="s">
        <v>5221</v>
      </c>
    </row>
    <row r="862" spans="1:9">
      <c r="A862" t="s">
        <v>4557</v>
      </c>
      <c r="B862" t="s">
        <v>5236</v>
      </c>
      <c r="C862">
        <v>1</v>
      </c>
      <c r="D862" t="s">
        <v>4166</v>
      </c>
      <c r="E862">
        <v>0.1</v>
      </c>
      <c r="F862">
        <v>27</v>
      </c>
      <c r="H862" t="s">
        <v>994</v>
      </c>
      <c r="I862" t="s">
        <v>5221</v>
      </c>
    </row>
    <row r="863" spans="1:9">
      <c r="A863" t="s">
        <v>4557</v>
      </c>
      <c r="B863" t="s">
        <v>5237</v>
      </c>
      <c r="C863">
        <v>1</v>
      </c>
      <c r="D863" t="s">
        <v>4166</v>
      </c>
      <c r="E863">
        <v>0.02</v>
      </c>
      <c r="F863">
        <v>3.52</v>
      </c>
      <c r="H863" t="s">
        <v>994</v>
      </c>
      <c r="I863" t="s">
        <v>5221</v>
      </c>
    </row>
    <row r="864" spans="1:9">
      <c r="A864" t="s">
        <v>4557</v>
      </c>
      <c r="B864" t="s">
        <v>5238</v>
      </c>
      <c r="C864">
        <v>1</v>
      </c>
      <c r="D864" t="s">
        <v>4166</v>
      </c>
      <c r="E864">
        <v>0.02</v>
      </c>
      <c r="F864">
        <v>20</v>
      </c>
      <c r="H864" t="s">
        <v>994</v>
      </c>
      <c r="I864" t="s">
        <v>5221</v>
      </c>
    </row>
    <row r="865" spans="1:9">
      <c r="A865" t="s">
        <v>4557</v>
      </c>
      <c r="B865" t="s">
        <v>5239</v>
      </c>
      <c r="C865">
        <v>1</v>
      </c>
      <c r="D865" t="s">
        <v>4166</v>
      </c>
      <c r="E865">
        <v>0.05</v>
      </c>
      <c r="F865">
        <v>5</v>
      </c>
      <c r="H865" t="s">
        <v>994</v>
      </c>
      <c r="I865" t="s">
        <v>5221</v>
      </c>
    </row>
    <row r="866" spans="1:9">
      <c r="A866" t="s">
        <v>4557</v>
      </c>
      <c r="B866" t="s">
        <v>5240</v>
      </c>
      <c r="C866">
        <v>1</v>
      </c>
      <c r="D866" t="s">
        <v>4166</v>
      </c>
      <c r="E866">
        <v>0.05</v>
      </c>
      <c r="F866">
        <v>28</v>
      </c>
      <c r="H866" t="s">
        <v>994</v>
      </c>
      <c r="I866" t="s">
        <v>5221</v>
      </c>
    </row>
    <row r="867" spans="1:9">
      <c r="A867" t="s">
        <v>4557</v>
      </c>
      <c r="B867" t="s">
        <v>5241</v>
      </c>
      <c r="C867">
        <v>1</v>
      </c>
      <c r="D867" t="s">
        <v>4166</v>
      </c>
      <c r="E867">
        <v>0.75</v>
      </c>
      <c r="F867">
        <v>13.5</v>
      </c>
      <c r="H867" t="s">
        <v>994</v>
      </c>
      <c r="I867" t="s">
        <v>5221</v>
      </c>
    </row>
    <row r="868" spans="1:9">
      <c r="A868" t="s">
        <v>4557</v>
      </c>
      <c r="B868" t="s">
        <v>5242</v>
      </c>
      <c r="C868">
        <v>1</v>
      </c>
      <c r="D868" t="s">
        <v>4166</v>
      </c>
      <c r="E868">
        <v>0.75</v>
      </c>
      <c r="F868">
        <v>67</v>
      </c>
      <c r="H868" t="s">
        <v>994</v>
      </c>
      <c r="I868" t="s">
        <v>5221</v>
      </c>
    </row>
    <row r="869" spans="1:9">
      <c r="A869" t="s">
        <v>4557</v>
      </c>
      <c r="B869" t="s">
        <v>5243</v>
      </c>
      <c r="C869">
        <v>1</v>
      </c>
      <c r="D869" t="s">
        <v>4166</v>
      </c>
      <c r="E869">
        <v>0.25</v>
      </c>
      <c r="F869">
        <v>4</v>
      </c>
      <c r="H869" t="s">
        <v>994</v>
      </c>
      <c r="I869" t="s">
        <v>5221</v>
      </c>
    </row>
    <row r="870" spans="1:9">
      <c r="A870" t="s">
        <v>4557</v>
      </c>
      <c r="B870" t="s">
        <v>5244</v>
      </c>
      <c r="C870">
        <v>1</v>
      </c>
      <c r="D870" t="s">
        <v>4166</v>
      </c>
      <c r="E870">
        <v>0.25</v>
      </c>
      <c r="F870">
        <v>8.5</v>
      </c>
      <c r="H870" t="s">
        <v>994</v>
      </c>
      <c r="I870" t="s">
        <v>5221</v>
      </c>
    </row>
    <row r="871" spans="1:9">
      <c r="A871" t="s">
        <v>4284</v>
      </c>
      <c r="B871" t="s">
        <v>5245</v>
      </c>
      <c r="C871">
        <v>1</v>
      </c>
      <c r="D871" t="s">
        <v>4166</v>
      </c>
      <c r="E871">
        <v>0.5</v>
      </c>
      <c r="F871">
        <v>3.5</v>
      </c>
      <c r="G871" t="s">
        <v>5246</v>
      </c>
      <c r="H871" t="s">
        <v>994</v>
      </c>
      <c r="I871" t="s">
        <v>5221</v>
      </c>
    </row>
    <row r="872" spans="1:9">
      <c r="A872" t="s">
        <v>4284</v>
      </c>
      <c r="B872" t="s">
        <v>5247</v>
      </c>
      <c r="C872">
        <v>1</v>
      </c>
      <c r="D872" t="s">
        <v>4166</v>
      </c>
      <c r="E872">
        <v>0.2</v>
      </c>
      <c r="F872">
        <v>2.2000000000000002</v>
      </c>
      <c r="H872" t="s">
        <v>994</v>
      </c>
      <c r="I872" t="s">
        <v>5221</v>
      </c>
    </row>
    <row r="873" spans="1:9">
      <c r="A873" t="s">
        <v>4557</v>
      </c>
      <c r="B873" t="s">
        <v>5248</v>
      </c>
      <c r="C873">
        <v>1</v>
      </c>
      <c r="D873" t="s">
        <v>4166</v>
      </c>
      <c r="E873">
        <v>1</v>
      </c>
      <c r="F873">
        <v>220</v>
      </c>
      <c r="H873" t="s">
        <v>994</v>
      </c>
      <c r="I873" t="s">
        <v>5249</v>
      </c>
    </row>
    <row r="874" spans="1:9">
      <c r="A874" t="s">
        <v>4557</v>
      </c>
      <c r="B874" t="s">
        <v>5250</v>
      </c>
      <c r="C874">
        <v>1</v>
      </c>
      <c r="D874" t="s">
        <v>4166</v>
      </c>
      <c r="E874">
        <v>1</v>
      </c>
      <c r="F874">
        <v>1100</v>
      </c>
      <c r="H874" t="s">
        <v>994</v>
      </c>
      <c r="I874" t="s">
        <v>5249</v>
      </c>
    </row>
    <row r="875" spans="1:9">
      <c r="A875" t="s">
        <v>4557</v>
      </c>
      <c r="B875" t="s">
        <v>5251</v>
      </c>
      <c r="C875">
        <v>1</v>
      </c>
      <c r="D875" t="s">
        <v>4166</v>
      </c>
      <c r="E875">
        <v>3</v>
      </c>
      <c r="F875">
        <v>17.600000000000001</v>
      </c>
      <c r="H875" t="s">
        <v>994</v>
      </c>
      <c r="I875" t="s">
        <v>5249</v>
      </c>
    </row>
    <row r="876" spans="1:9">
      <c r="A876" t="s">
        <v>4519</v>
      </c>
      <c r="B876" t="s">
        <v>5252</v>
      </c>
      <c r="C876">
        <v>1</v>
      </c>
      <c r="D876" t="s">
        <v>4166</v>
      </c>
      <c r="E876">
        <v>0.4</v>
      </c>
      <c r="F876">
        <v>1.7999999999999999E-2</v>
      </c>
      <c r="H876" t="s">
        <v>994</v>
      </c>
      <c r="I876" t="s">
        <v>5253</v>
      </c>
    </row>
    <row r="877" spans="1:9">
      <c r="A877" t="s">
        <v>4519</v>
      </c>
      <c r="B877" t="s">
        <v>5254</v>
      </c>
      <c r="C877">
        <v>1</v>
      </c>
      <c r="D877" t="s">
        <v>4166</v>
      </c>
      <c r="E877">
        <v>0.03</v>
      </c>
      <c r="F877">
        <v>5.0000000000000001E-3</v>
      </c>
      <c r="H877" t="s">
        <v>994</v>
      </c>
      <c r="I877" t="s">
        <v>5253</v>
      </c>
    </row>
    <row r="878" spans="1:9">
      <c r="A878" t="s">
        <v>4519</v>
      </c>
      <c r="B878" t="s">
        <v>5255</v>
      </c>
      <c r="C878">
        <v>1</v>
      </c>
      <c r="D878" t="s">
        <v>4166</v>
      </c>
      <c r="E878">
        <v>0.4</v>
      </c>
      <c r="F878">
        <v>3.5999999999999997E-2</v>
      </c>
      <c r="H878" t="s">
        <v>994</v>
      </c>
      <c r="I878" t="s">
        <v>5253</v>
      </c>
    </row>
    <row r="879" spans="1:9">
      <c r="A879" t="s">
        <v>4519</v>
      </c>
      <c r="B879" t="s">
        <v>5256</v>
      </c>
      <c r="C879">
        <v>1</v>
      </c>
      <c r="D879" t="s">
        <v>4166</v>
      </c>
      <c r="E879">
        <v>1</v>
      </c>
      <c r="F879">
        <v>0.11</v>
      </c>
      <c r="H879" t="s">
        <v>994</v>
      </c>
      <c r="I879" t="s">
        <v>5253</v>
      </c>
    </row>
    <row r="880" spans="1:9">
      <c r="A880" t="s">
        <v>4449</v>
      </c>
      <c r="B880" t="s">
        <v>5257</v>
      </c>
      <c r="C880">
        <v>1</v>
      </c>
      <c r="D880" t="s">
        <v>4166</v>
      </c>
      <c r="E880">
        <v>0.2</v>
      </c>
      <c r="F880">
        <v>2.1999999999999999E-2</v>
      </c>
      <c r="H880" t="s">
        <v>994</v>
      </c>
      <c r="I880" t="s">
        <v>5253</v>
      </c>
    </row>
    <row r="881" spans="1:9">
      <c r="A881" t="s">
        <v>4284</v>
      </c>
      <c r="B881" t="s">
        <v>5258</v>
      </c>
      <c r="C881">
        <v>1</v>
      </c>
      <c r="D881" t="s">
        <v>4166</v>
      </c>
      <c r="E881">
        <v>0.25</v>
      </c>
      <c r="F881">
        <v>0.15</v>
      </c>
      <c r="H881" t="s">
        <v>994</v>
      </c>
      <c r="I881" t="s">
        <v>5253</v>
      </c>
    </row>
    <row r="882" spans="1:9">
      <c r="A882" t="s">
        <v>4397</v>
      </c>
      <c r="B882" t="s">
        <v>5259</v>
      </c>
      <c r="C882">
        <v>1</v>
      </c>
      <c r="D882" t="s">
        <v>4166</v>
      </c>
      <c r="E882">
        <v>0.5</v>
      </c>
      <c r="F882">
        <v>0.89</v>
      </c>
      <c r="H882" t="s">
        <v>994</v>
      </c>
      <c r="I882" t="s">
        <v>5253</v>
      </c>
    </row>
    <row r="883" spans="1:9">
      <c r="A883" t="s">
        <v>4471</v>
      </c>
      <c r="B883" t="s">
        <v>5260</v>
      </c>
      <c r="C883">
        <v>1</v>
      </c>
      <c r="D883" t="s">
        <v>4166</v>
      </c>
      <c r="E883">
        <v>4</v>
      </c>
      <c r="F883">
        <v>9</v>
      </c>
      <c r="H883" t="s">
        <v>994</v>
      </c>
      <c r="I883" t="s">
        <v>5261</v>
      </c>
    </row>
    <row r="884" spans="1:9">
      <c r="A884" t="s">
        <v>4471</v>
      </c>
      <c r="B884" t="s">
        <v>5262</v>
      </c>
      <c r="C884">
        <v>1</v>
      </c>
      <c r="D884" t="s">
        <v>4166</v>
      </c>
      <c r="E884">
        <v>4.5</v>
      </c>
      <c r="F884">
        <v>27</v>
      </c>
      <c r="H884" t="s">
        <v>994</v>
      </c>
      <c r="I884" t="s">
        <v>5261</v>
      </c>
    </row>
    <row r="885" spans="1:9">
      <c r="A885" t="s">
        <v>4557</v>
      </c>
      <c r="B885" t="s">
        <v>5263</v>
      </c>
      <c r="C885">
        <v>1</v>
      </c>
      <c r="D885" t="s">
        <v>4166</v>
      </c>
      <c r="E885">
        <v>0.37</v>
      </c>
      <c r="F885">
        <v>0.5</v>
      </c>
      <c r="H885" t="s">
        <v>994</v>
      </c>
      <c r="I885" t="s">
        <v>5264</v>
      </c>
    </row>
    <row r="886" spans="1:9">
      <c r="A886" t="s">
        <v>4557</v>
      </c>
      <c r="B886" t="s">
        <v>5265</v>
      </c>
      <c r="C886">
        <v>1</v>
      </c>
      <c r="D886" t="s">
        <v>4166</v>
      </c>
      <c r="E886">
        <v>0.37</v>
      </c>
      <c r="F886">
        <v>3.52</v>
      </c>
      <c r="H886" t="s">
        <v>994</v>
      </c>
      <c r="I886" t="s">
        <v>5264</v>
      </c>
    </row>
    <row r="887" spans="1:9">
      <c r="A887" t="s">
        <v>4557</v>
      </c>
      <c r="B887" t="s">
        <v>5266</v>
      </c>
      <c r="C887">
        <v>1</v>
      </c>
      <c r="D887" t="s">
        <v>4166</v>
      </c>
      <c r="E887">
        <v>0.62</v>
      </c>
      <c r="F887">
        <v>0.85</v>
      </c>
      <c r="H887" t="s">
        <v>994</v>
      </c>
      <c r="I887" t="s">
        <v>5264</v>
      </c>
    </row>
    <row r="888" spans="1:9">
      <c r="A888" t="s">
        <v>4557</v>
      </c>
      <c r="B888" t="s">
        <v>5267</v>
      </c>
      <c r="C888">
        <v>1</v>
      </c>
      <c r="D888" t="s">
        <v>4166</v>
      </c>
      <c r="E888">
        <v>0.62</v>
      </c>
      <c r="F888">
        <v>80</v>
      </c>
      <c r="H888" t="s">
        <v>994</v>
      </c>
      <c r="I888" t="s">
        <v>5264</v>
      </c>
    </row>
    <row r="889" spans="1:9">
      <c r="A889" t="s">
        <v>4557</v>
      </c>
      <c r="B889" t="s">
        <v>5268</v>
      </c>
      <c r="C889">
        <v>1</v>
      </c>
      <c r="D889" t="s">
        <v>4166</v>
      </c>
      <c r="E889">
        <v>0.1</v>
      </c>
      <c r="F889">
        <v>0.05</v>
      </c>
      <c r="H889" t="s">
        <v>994</v>
      </c>
      <c r="I889" t="s">
        <v>5264</v>
      </c>
    </row>
    <row r="890" spans="1:9">
      <c r="A890" t="s">
        <v>4557</v>
      </c>
      <c r="B890" t="s">
        <v>5269</v>
      </c>
      <c r="C890">
        <v>1</v>
      </c>
      <c r="D890" t="s">
        <v>4166</v>
      </c>
      <c r="E890">
        <v>0.1</v>
      </c>
      <c r="F890">
        <v>0.9</v>
      </c>
      <c r="H890" t="s">
        <v>994</v>
      </c>
      <c r="I890" t="s">
        <v>5264</v>
      </c>
    </row>
    <row r="891" spans="1:9">
      <c r="A891" t="s">
        <v>4557</v>
      </c>
      <c r="B891" t="s">
        <v>5270</v>
      </c>
      <c r="C891">
        <v>1</v>
      </c>
      <c r="D891" t="s">
        <v>4166</v>
      </c>
      <c r="E891">
        <v>0.1</v>
      </c>
      <c r="F891">
        <v>7.4999999999999997E-2</v>
      </c>
      <c r="H891" t="s">
        <v>994</v>
      </c>
      <c r="I891" t="s">
        <v>5264</v>
      </c>
    </row>
    <row r="892" spans="1:9">
      <c r="A892" t="s">
        <v>4557</v>
      </c>
      <c r="B892" t="s">
        <v>5271</v>
      </c>
      <c r="C892">
        <v>1</v>
      </c>
      <c r="D892" t="s">
        <v>4166</v>
      </c>
      <c r="E892">
        <v>0.1</v>
      </c>
      <c r="F892">
        <v>1.1000000000000001</v>
      </c>
      <c r="H892" t="s">
        <v>994</v>
      </c>
      <c r="I892" t="s">
        <v>5264</v>
      </c>
    </row>
    <row r="893" spans="1:9">
      <c r="A893" t="s">
        <v>4557</v>
      </c>
      <c r="B893" t="s">
        <v>5272</v>
      </c>
      <c r="C893">
        <v>1</v>
      </c>
      <c r="D893" t="s">
        <v>4166</v>
      </c>
      <c r="E893">
        <v>0.2</v>
      </c>
      <c r="F893">
        <v>2.5000000000000001E-2</v>
      </c>
      <c r="H893" t="s">
        <v>994</v>
      </c>
      <c r="I893" t="s">
        <v>5264</v>
      </c>
    </row>
    <row r="894" spans="1:9">
      <c r="A894" t="s">
        <v>4557</v>
      </c>
      <c r="B894" t="s">
        <v>5273</v>
      </c>
      <c r="C894">
        <v>1</v>
      </c>
      <c r="D894" t="s">
        <v>4166</v>
      </c>
      <c r="E894">
        <v>0.5</v>
      </c>
      <c r="F894">
        <v>0.35</v>
      </c>
      <c r="H894" t="s">
        <v>994</v>
      </c>
      <c r="I894" t="s">
        <v>5264</v>
      </c>
    </row>
    <row r="895" spans="1:9">
      <c r="A895" t="s">
        <v>4557</v>
      </c>
      <c r="B895" t="s">
        <v>5274</v>
      </c>
      <c r="C895">
        <v>1</v>
      </c>
      <c r="D895" t="s">
        <v>4166</v>
      </c>
      <c r="E895">
        <v>0.5</v>
      </c>
      <c r="F895">
        <v>90</v>
      </c>
      <c r="H895" t="s">
        <v>994</v>
      </c>
      <c r="I895" t="s">
        <v>5264</v>
      </c>
    </row>
    <row r="896" spans="1:9">
      <c r="A896" t="s">
        <v>4557</v>
      </c>
      <c r="B896" t="s">
        <v>5275</v>
      </c>
      <c r="C896">
        <v>1</v>
      </c>
      <c r="D896" t="s">
        <v>4166</v>
      </c>
      <c r="E896">
        <v>1</v>
      </c>
      <c r="F896">
        <v>1.6</v>
      </c>
      <c r="H896" t="s">
        <v>994</v>
      </c>
      <c r="I896" t="s">
        <v>5264</v>
      </c>
    </row>
    <row r="897" spans="1:9">
      <c r="A897" t="s">
        <v>4557</v>
      </c>
      <c r="B897" t="s">
        <v>5276</v>
      </c>
      <c r="C897">
        <v>1</v>
      </c>
      <c r="D897" t="s">
        <v>4166</v>
      </c>
      <c r="E897">
        <v>1</v>
      </c>
      <c r="F897">
        <v>43</v>
      </c>
      <c r="H897" t="s">
        <v>994</v>
      </c>
      <c r="I897" t="s">
        <v>5264</v>
      </c>
    </row>
    <row r="898" spans="1:9">
      <c r="A898" t="s">
        <v>4471</v>
      </c>
      <c r="B898" t="s">
        <v>5277</v>
      </c>
      <c r="C898">
        <v>1</v>
      </c>
      <c r="D898" t="s">
        <v>4166</v>
      </c>
      <c r="E898">
        <v>10</v>
      </c>
      <c r="F898">
        <v>8</v>
      </c>
      <c r="H898" t="s">
        <v>994</v>
      </c>
      <c r="I898" t="s">
        <v>5278</v>
      </c>
    </row>
    <row r="899" spans="1:9">
      <c r="A899" t="s">
        <v>4262</v>
      </c>
      <c r="B899" t="s">
        <v>5279</v>
      </c>
      <c r="C899">
        <v>1</v>
      </c>
      <c r="D899" t="s">
        <v>4166</v>
      </c>
      <c r="E899">
        <v>4</v>
      </c>
      <c r="F899">
        <v>17.600000000000001</v>
      </c>
      <c r="H899" t="s">
        <v>994</v>
      </c>
      <c r="I899" t="s">
        <v>5278</v>
      </c>
    </row>
    <row r="900" spans="1:9">
      <c r="A900" t="s">
        <v>4517</v>
      </c>
      <c r="B900" t="s">
        <v>5280</v>
      </c>
      <c r="C900">
        <v>1</v>
      </c>
      <c r="D900" t="s">
        <v>4166</v>
      </c>
      <c r="E900">
        <v>0.25</v>
      </c>
      <c r="F900">
        <v>2.5000000000000001E-2</v>
      </c>
      <c r="H900" t="s">
        <v>994</v>
      </c>
      <c r="I900" t="s">
        <v>5278</v>
      </c>
    </row>
    <row r="901" spans="1:9">
      <c r="A901" t="s">
        <v>4519</v>
      </c>
      <c r="B901" t="s">
        <v>5281</v>
      </c>
      <c r="C901">
        <v>1</v>
      </c>
      <c r="D901" t="s">
        <v>4166</v>
      </c>
      <c r="E901">
        <v>1</v>
      </c>
      <c r="F901">
        <v>0.44</v>
      </c>
      <c r="H901" t="s">
        <v>1015</v>
      </c>
      <c r="I901" t="s">
        <v>5282</v>
      </c>
    </row>
    <row r="902" spans="1:9">
      <c r="A902" t="s">
        <v>4840</v>
      </c>
      <c r="B902" t="s">
        <v>5283</v>
      </c>
      <c r="C902">
        <v>1</v>
      </c>
      <c r="D902" t="s">
        <v>4166</v>
      </c>
      <c r="E902">
        <v>2</v>
      </c>
      <c r="F902">
        <v>8</v>
      </c>
      <c r="H902" t="s">
        <v>1015</v>
      </c>
      <c r="I902" t="s">
        <v>5282</v>
      </c>
    </row>
    <row r="903" spans="1:9">
      <c r="A903" t="s">
        <v>4840</v>
      </c>
      <c r="B903" t="s">
        <v>5284</v>
      </c>
      <c r="C903">
        <v>1</v>
      </c>
      <c r="D903" t="s">
        <v>4166</v>
      </c>
      <c r="E903">
        <v>0.88</v>
      </c>
      <c r="F903">
        <v>3</v>
      </c>
      <c r="H903" t="s">
        <v>1015</v>
      </c>
      <c r="I903" t="s">
        <v>5282</v>
      </c>
    </row>
    <row r="904" spans="1:9">
      <c r="A904" t="s">
        <v>4840</v>
      </c>
      <c r="B904" t="s">
        <v>5285</v>
      </c>
      <c r="C904">
        <v>1</v>
      </c>
      <c r="D904" t="s">
        <v>4166</v>
      </c>
      <c r="E904">
        <v>1.5</v>
      </c>
      <c r="F904">
        <v>8.8000000000000007</v>
      </c>
      <c r="H904" t="s">
        <v>1015</v>
      </c>
      <c r="I904" t="s">
        <v>5282</v>
      </c>
    </row>
    <row r="905" spans="1:9">
      <c r="A905" t="s">
        <v>4840</v>
      </c>
      <c r="B905" t="s">
        <v>5286</v>
      </c>
      <c r="C905">
        <v>1</v>
      </c>
      <c r="D905" t="s">
        <v>5071</v>
      </c>
      <c r="E905">
        <v>1.75</v>
      </c>
      <c r="F905">
        <v>5.3</v>
      </c>
      <c r="H905" t="s">
        <v>1015</v>
      </c>
      <c r="I905" t="s">
        <v>5287</v>
      </c>
    </row>
    <row r="906" spans="1:9">
      <c r="A906" t="s">
        <v>4840</v>
      </c>
      <c r="B906" t="s">
        <v>5288</v>
      </c>
      <c r="C906">
        <v>1</v>
      </c>
      <c r="D906" t="s">
        <v>5071</v>
      </c>
      <c r="E906">
        <v>0.25</v>
      </c>
      <c r="F906">
        <v>0.44</v>
      </c>
      <c r="H906" t="s">
        <v>1015</v>
      </c>
      <c r="I906" t="s">
        <v>5287</v>
      </c>
    </row>
    <row r="907" spans="1:9">
      <c r="A907" t="s">
        <v>4840</v>
      </c>
      <c r="B907" t="s">
        <v>5289</v>
      </c>
      <c r="C907">
        <v>1</v>
      </c>
      <c r="D907" t="s">
        <v>5071</v>
      </c>
      <c r="E907">
        <v>0.25</v>
      </c>
      <c r="F907">
        <v>0.44</v>
      </c>
      <c r="H907" t="s">
        <v>1015</v>
      </c>
      <c r="I907" t="s">
        <v>5287</v>
      </c>
    </row>
    <row r="908" spans="1:9">
      <c r="A908" t="s">
        <v>4840</v>
      </c>
      <c r="B908" t="s">
        <v>5290</v>
      </c>
      <c r="C908">
        <v>1</v>
      </c>
      <c r="D908" t="s">
        <v>5071</v>
      </c>
      <c r="E908">
        <v>1.3</v>
      </c>
      <c r="F908">
        <v>3</v>
      </c>
      <c r="H908" t="s">
        <v>1015</v>
      </c>
      <c r="I908" t="s">
        <v>5287</v>
      </c>
    </row>
    <row r="909" spans="1:9">
      <c r="A909" t="s">
        <v>4840</v>
      </c>
      <c r="B909" t="s">
        <v>5291</v>
      </c>
      <c r="C909">
        <v>1</v>
      </c>
      <c r="D909" t="s">
        <v>5071</v>
      </c>
      <c r="E909">
        <v>1.1000000000000001</v>
      </c>
      <c r="F909">
        <v>1.8</v>
      </c>
      <c r="H909" t="s">
        <v>1015</v>
      </c>
      <c r="I909" t="s">
        <v>5287</v>
      </c>
    </row>
    <row r="910" spans="1:9">
      <c r="A910" t="s">
        <v>4840</v>
      </c>
      <c r="B910" t="s">
        <v>5292</v>
      </c>
      <c r="C910">
        <v>1</v>
      </c>
      <c r="D910" t="s">
        <v>5071</v>
      </c>
      <c r="E910">
        <v>1.25</v>
      </c>
      <c r="F910">
        <v>4.4000000000000004</v>
      </c>
      <c r="H910" t="s">
        <v>1015</v>
      </c>
      <c r="I910" t="s">
        <v>5287</v>
      </c>
    </row>
    <row r="911" spans="1:9">
      <c r="A911" t="s">
        <v>4840</v>
      </c>
      <c r="B911" t="s">
        <v>5293</v>
      </c>
      <c r="C911">
        <v>1</v>
      </c>
      <c r="D911" t="s">
        <v>5071</v>
      </c>
      <c r="E911">
        <v>0.3</v>
      </c>
      <c r="F911">
        <v>1.3</v>
      </c>
      <c r="H911" t="s">
        <v>1015</v>
      </c>
      <c r="I911" t="s">
        <v>5287</v>
      </c>
    </row>
    <row r="912" spans="1:9">
      <c r="A912" t="s">
        <v>4840</v>
      </c>
      <c r="B912" t="s">
        <v>5294</v>
      </c>
      <c r="C912">
        <v>1</v>
      </c>
      <c r="D912" t="s">
        <v>5071</v>
      </c>
      <c r="E912">
        <v>0.6</v>
      </c>
      <c r="F912">
        <v>52.8</v>
      </c>
      <c r="H912" t="s">
        <v>1015</v>
      </c>
      <c r="I912" t="s">
        <v>5287</v>
      </c>
    </row>
    <row r="913" spans="1:9">
      <c r="A913" t="s">
        <v>4840</v>
      </c>
      <c r="B913" t="s">
        <v>5295</v>
      </c>
      <c r="C913">
        <v>1</v>
      </c>
      <c r="D913" t="s">
        <v>5071</v>
      </c>
      <c r="E913">
        <v>10</v>
      </c>
      <c r="F913">
        <v>4</v>
      </c>
      <c r="H913" t="s">
        <v>1015</v>
      </c>
      <c r="I913" t="s">
        <v>5287</v>
      </c>
    </row>
    <row r="914" spans="1:9">
      <c r="A914" t="s">
        <v>4284</v>
      </c>
      <c r="B914" t="s">
        <v>5296</v>
      </c>
      <c r="C914">
        <v>1</v>
      </c>
      <c r="D914" t="s">
        <v>4166</v>
      </c>
      <c r="E914">
        <v>0.5</v>
      </c>
      <c r="F914">
        <v>0.44</v>
      </c>
      <c r="H914" t="s">
        <v>1015</v>
      </c>
      <c r="I914" t="s">
        <v>5287</v>
      </c>
    </row>
    <row r="915" spans="1:9">
      <c r="A915" t="s">
        <v>4449</v>
      </c>
      <c r="B915" t="s">
        <v>5297</v>
      </c>
      <c r="C915">
        <v>1</v>
      </c>
      <c r="D915" t="s">
        <v>4357</v>
      </c>
      <c r="E915">
        <v>5</v>
      </c>
      <c r="F915">
        <v>52.8</v>
      </c>
      <c r="H915" t="s">
        <v>1020</v>
      </c>
      <c r="I915" t="s">
        <v>5298</v>
      </c>
    </row>
    <row r="916" spans="1:9">
      <c r="A916" t="s">
        <v>4449</v>
      </c>
      <c r="B916" t="s">
        <v>5299</v>
      </c>
      <c r="C916">
        <v>1</v>
      </c>
      <c r="D916" t="s">
        <v>4166</v>
      </c>
      <c r="E916">
        <v>0.25</v>
      </c>
      <c r="F916">
        <v>6.6</v>
      </c>
      <c r="H916" t="s">
        <v>1020</v>
      </c>
      <c r="I916" t="s">
        <v>5298</v>
      </c>
    </row>
    <row r="917" spans="1:9">
      <c r="A917" t="s">
        <v>4449</v>
      </c>
      <c r="B917" t="s">
        <v>5300</v>
      </c>
      <c r="C917">
        <v>1</v>
      </c>
      <c r="D917" t="s">
        <v>4166</v>
      </c>
      <c r="E917">
        <v>0.18</v>
      </c>
      <c r="F917">
        <v>6.6</v>
      </c>
      <c r="H917" t="s">
        <v>1020</v>
      </c>
      <c r="I917" t="s">
        <v>5298</v>
      </c>
    </row>
    <row r="918" spans="1:9">
      <c r="A918" t="s">
        <v>4449</v>
      </c>
      <c r="B918" t="s">
        <v>5301</v>
      </c>
      <c r="C918">
        <v>1</v>
      </c>
      <c r="D918" t="s">
        <v>4166</v>
      </c>
      <c r="E918">
        <v>1.5</v>
      </c>
      <c r="F918">
        <v>5.28</v>
      </c>
      <c r="H918" t="s">
        <v>1020</v>
      </c>
      <c r="I918" t="s">
        <v>5298</v>
      </c>
    </row>
    <row r="919" spans="1:9">
      <c r="A919" t="s">
        <v>4449</v>
      </c>
      <c r="B919" t="s">
        <v>5302</v>
      </c>
      <c r="C919">
        <v>1</v>
      </c>
      <c r="D919" t="s">
        <v>4166</v>
      </c>
      <c r="E919">
        <v>0.1</v>
      </c>
      <c r="F919">
        <v>2.1999999999999999E-2</v>
      </c>
      <c r="H919" t="s">
        <v>1020</v>
      </c>
      <c r="I919" t="s">
        <v>5303</v>
      </c>
    </row>
    <row r="920" spans="1:9">
      <c r="A920" t="s">
        <v>4449</v>
      </c>
      <c r="B920" t="s">
        <v>5304</v>
      </c>
      <c r="C920">
        <v>1</v>
      </c>
      <c r="D920" t="s">
        <v>4166</v>
      </c>
      <c r="E920">
        <v>0.5</v>
      </c>
      <c r="F920">
        <v>0.88</v>
      </c>
      <c r="H920" t="s">
        <v>1020</v>
      </c>
      <c r="I920" t="s">
        <v>5303</v>
      </c>
    </row>
    <row r="921" spans="1:9">
      <c r="A921" t="s">
        <v>4449</v>
      </c>
      <c r="B921" t="s">
        <v>5305</v>
      </c>
      <c r="C921">
        <v>1</v>
      </c>
      <c r="D921" t="s">
        <v>4166</v>
      </c>
      <c r="E921">
        <v>0.75</v>
      </c>
      <c r="F921">
        <v>0.88</v>
      </c>
      <c r="H921" t="s">
        <v>1020</v>
      </c>
      <c r="I921" t="s">
        <v>5303</v>
      </c>
    </row>
    <row r="922" spans="1:9">
      <c r="A922" t="s">
        <v>4449</v>
      </c>
      <c r="B922" t="s">
        <v>5306</v>
      </c>
      <c r="C922">
        <v>1</v>
      </c>
      <c r="D922" t="s">
        <v>4166</v>
      </c>
      <c r="E922">
        <v>0.15</v>
      </c>
      <c r="F922">
        <v>2.1999999999999999E-2</v>
      </c>
      <c r="H922" t="s">
        <v>1020</v>
      </c>
      <c r="I922" t="s">
        <v>5303</v>
      </c>
    </row>
    <row r="923" spans="1:9">
      <c r="A923" t="s">
        <v>4455</v>
      </c>
      <c r="B923" t="s">
        <v>5307</v>
      </c>
      <c r="C923">
        <v>1</v>
      </c>
      <c r="D923" t="s">
        <v>4166</v>
      </c>
      <c r="E923">
        <v>0.13</v>
      </c>
      <c r="F923">
        <v>0.44</v>
      </c>
      <c r="H923" t="s">
        <v>1020</v>
      </c>
      <c r="I923" t="s">
        <v>5303</v>
      </c>
    </row>
    <row r="924" spans="1:9">
      <c r="A924" t="s">
        <v>4286</v>
      </c>
      <c r="B924" t="s">
        <v>5308</v>
      </c>
      <c r="C924">
        <v>1</v>
      </c>
      <c r="D924" t="s">
        <v>4245</v>
      </c>
      <c r="E924">
        <v>0.5</v>
      </c>
      <c r="F924">
        <v>4.4999999999999998E-2</v>
      </c>
      <c r="H924" t="s">
        <v>1025</v>
      </c>
      <c r="I924" t="s">
        <v>5309</v>
      </c>
    </row>
    <row r="925" spans="1:9">
      <c r="A925" t="s">
        <v>4286</v>
      </c>
      <c r="B925" t="s">
        <v>5310</v>
      </c>
      <c r="C925">
        <v>1</v>
      </c>
      <c r="D925" t="s">
        <v>4166</v>
      </c>
      <c r="E925">
        <v>5</v>
      </c>
      <c r="F925">
        <v>1.75</v>
      </c>
      <c r="H925" t="s">
        <v>1025</v>
      </c>
      <c r="I925" t="s">
        <v>5309</v>
      </c>
    </row>
    <row r="926" spans="1:9">
      <c r="A926" t="s">
        <v>4286</v>
      </c>
      <c r="B926" t="s">
        <v>5311</v>
      </c>
      <c r="C926">
        <v>1</v>
      </c>
      <c r="D926" t="s">
        <v>4166</v>
      </c>
      <c r="E926">
        <v>3</v>
      </c>
      <c r="F926">
        <v>0.75</v>
      </c>
      <c r="H926" t="s">
        <v>1025</v>
      </c>
      <c r="I926" t="s">
        <v>5309</v>
      </c>
    </row>
    <row r="927" spans="1:9">
      <c r="A927" t="s">
        <v>4249</v>
      </c>
      <c r="B927" t="s">
        <v>5312</v>
      </c>
      <c r="C927">
        <v>1</v>
      </c>
      <c r="D927" t="s">
        <v>4245</v>
      </c>
      <c r="E927">
        <v>0.02</v>
      </c>
      <c r="F927">
        <v>1.8</v>
      </c>
      <c r="H927" t="s">
        <v>1025</v>
      </c>
      <c r="I927" t="s">
        <v>5309</v>
      </c>
    </row>
    <row r="928" spans="1:9">
      <c r="A928" t="s">
        <v>4243</v>
      </c>
      <c r="B928" t="s">
        <v>5313</v>
      </c>
      <c r="C928">
        <v>1</v>
      </c>
      <c r="D928" t="s">
        <v>4166</v>
      </c>
      <c r="E928">
        <v>0.05</v>
      </c>
      <c r="F928">
        <v>1.4E-2</v>
      </c>
      <c r="H928" t="s">
        <v>1025</v>
      </c>
      <c r="I928" t="s">
        <v>5314</v>
      </c>
    </row>
    <row r="929" spans="1:9">
      <c r="A929" t="s">
        <v>4286</v>
      </c>
      <c r="B929" t="s">
        <v>5315</v>
      </c>
      <c r="C929">
        <v>1</v>
      </c>
      <c r="D929" t="s">
        <v>4256</v>
      </c>
      <c r="E929">
        <v>0.5</v>
      </c>
      <c r="F929">
        <v>1</v>
      </c>
      <c r="H929" t="s">
        <v>1025</v>
      </c>
      <c r="I929" t="s">
        <v>5314</v>
      </c>
    </row>
    <row r="930" spans="1:9">
      <c r="A930" t="s">
        <v>4449</v>
      </c>
      <c r="B930" t="s">
        <v>5316</v>
      </c>
      <c r="C930">
        <v>1</v>
      </c>
      <c r="D930" t="s">
        <v>4166</v>
      </c>
      <c r="E930">
        <v>0.5</v>
      </c>
      <c r="F930">
        <v>4.4000000000000004</v>
      </c>
      <c r="H930" t="s">
        <v>1025</v>
      </c>
      <c r="I930" t="s">
        <v>5317</v>
      </c>
    </row>
    <row r="931" spans="1:9">
      <c r="A931" t="s">
        <v>4286</v>
      </c>
      <c r="B931" t="s">
        <v>5318</v>
      </c>
      <c r="C931">
        <v>1</v>
      </c>
      <c r="D931" t="s">
        <v>4308</v>
      </c>
      <c r="E931">
        <v>0.5</v>
      </c>
      <c r="F931">
        <v>0.2</v>
      </c>
      <c r="H931" t="s">
        <v>1025</v>
      </c>
      <c r="I931" t="s">
        <v>5317</v>
      </c>
    </row>
    <row r="932" spans="1:9">
      <c r="A932" t="s">
        <v>4286</v>
      </c>
      <c r="B932" t="s">
        <v>5319</v>
      </c>
      <c r="C932">
        <v>1</v>
      </c>
      <c r="D932" t="s">
        <v>4308</v>
      </c>
      <c r="E932">
        <v>0.5</v>
      </c>
      <c r="F932">
        <v>0.15</v>
      </c>
      <c r="H932" t="s">
        <v>1025</v>
      </c>
      <c r="I932" t="s">
        <v>5317</v>
      </c>
    </row>
    <row r="933" spans="1:9">
      <c r="A933" t="s">
        <v>4286</v>
      </c>
      <c r="B933" t="s">
        <v>5320</v>
      </c>
      <c r="C933">
        <v>1</v>
      </c>
      <c r="D933" t="s">
        <v>4308</v>
      </c>
      <c r="E933">
        <v>0.5</v>
      </c>
      <c r="F933">
        <v>0.35</v>
      </c>
      <c r="H933" t="s">
        <v>1025</v>
      </c>
      <c r="I933" t="s">
        <v>5317</v>
      </c>
    </row>
    <row r="934" spans="1:9">
      <c r="A934" t="s">
        <v>4286</v>
      </c>
      <c r="B934" t="s">
        <v>5321</v>
      </c>
      <c r="C934">
        <v>1</v>
      </c>
      <c r="D934" t="s">
        <v>4308</v>
      </c>
      <c r="E934">
        <v>0.5</v>
      </c>
      <c r="F934">
        <v>0.1</v>
      </c>
      <c r="H934" t="s">
        <v>1025</v>
      </c>
      <c r="I934" t="s">
        <v>5317</v>
      </c>
    </row>
    <row r="935" spans="1:9">
      <c r="A935" t="s">
        <v>4286</v>
      </c>
      <c r="B935" t="s">
        <v>5322</v>
      </c>
      <c r="C935">
        <v>1</v>
      </c>
      <c r="D935" t="s">
        <v>4308</v>
      </c>
      <c r="E935">
        <v>0.5</v>
      </c>
      <c r="F935">
        <v>0.2</v>
      </c>
      <c r="H935" t="s">
        <v>1025</v>
      </c>
      <c r="I935" t="s">
        <v>5317</v>
      </c>
    </row>
    <row r="936" spans="1:9">
      <c r="A936" t="s">
        <v>4286</v>
      </c>
      <c r="B936" t="s">
        <v>5323</v>
      </c>
      <c r="C936">
        <v>1</v>
      </c>
      <c r="D936" t="s">
        <v>4308</v>
      </c>
      <c r="E936">
        <v>0.5</v>
      </c>
      <c r="F936">
        <v>0.1</v>
      </c>
      <c r="H936" t="s">
        <v>1025</v>
      </c>
      <c r="I936" t="s">
        <v>5317</v>
      </c>
    </row>
    <row r="937" spans="1:9">
      <c r="A937" t="s">
        <v>4286</v>
      </c>
      <c r="B937" t="s">
        <v>5324</v>
      </c>
      <c r="C937">
        <v>1</v>
      </c>
      <c r="D937" t="s">
        <v>4166</v>
      </c>
      <c r="E937">
        <v>0.5</v>
      </c>
      <c r="F937">
        <v>0.5</v>
      </c>
      <c r="H937" t="s">
        <v>1025</v>
      </c>
      <c r="I937" t="s">
        <v>5317</v>
      </c>
    </row>
    <row r="938" spans="1:9">
      <c r="A938" t="s">
        <v>4286</v>
      </c>
      <c r="B938" t="s">
        <v>5325</v>
      </c>
      <c r="C938">
        <v>1</v>
      </c>
      <c r="D938" t="s">
        <v>4308</v>
      </c>
      <c r="E938">
        <v>0.5</v>
      </c>
      <c r="F938">
        <v>0.15</v>
      </c>
      <c r="H938" t="s">
        <v>1025</v>
      </c>
      <c r="I938" t="s">
        <v>5317</v>
      </c>
    </row>
    <row r="939" spans="1:9">
      <c r="A939" t="s">
        <v>4284</v>
      </c>
      <c r="B939" t="s">
        <v>5326</v>
      </c>
      <c r="C939">
        <v>1</v>
      </c>
      <c r="D939" t="s">
        <v>4166</v>
      </c>
      <c r="E939">
        <v>0.5</v>
      </c>
      <c r="F939">
        <v>0.05</v>
      </c>
      <c r="H939" t="s">
        <v>1025</v>
      </c>
      <c r="I939" t="s">
        <v>5317</v>
      </c>
    </row>
    <row r="940" spans="1:9">
      <c r="A940" t="s">
        <v>4286</v>
      </c>
      <c r="B940" t="s">
        <v>5327</v>
      </c>
      <c r="C940">
        <v>1</v>
      </c>
      <c r="D940" t="s">
        <v>4256</v>
      </c>
      <c r="E940">
        <v>0.5</v>
      </c>
      <c r="F940">
        <v>0.05</v>
      </c>
      <c r="H940" t="s">
        <v>1025</v>
      </c>
      <c r="I940" t="s">
        <v>5328</v>
      </c>
    </row>
    <row r="941" spans="1:9">
      <c r="A941" t="s">
        <v>4286</v>
      </c>
      <c r="B941" t="s">
        <v>5329</v>
      </c>
      <c r="C941">
        <v>1</v>
      </c>
      <c r="D941" t="s">
        <v>4288</v>
      </c>
      <c r="E941">
        <v>0.5</v>
      </c>
      <c r="F941">
        <v>7.4999999999999997E-2</v>
      </c>
      <c r="H941" t="s">
        <v>1025</v>
      </c>
      <c r="I941" t="s">
        <v>5328</v>
      </c>
    </row>
    <row r="942" spans="1:9">
      <c r="A942" t="s">
        <v>4286</v>
      </c>
      <c r="B942" t="s">
        <v>5330</v>
      </c>
      <c r="C942">
        <v>1</v>
      </c>
      <c r="D942" t="s">
        <v>4288</v>
      </c>
      <c r="E942">
        <v>0.5</v>
      </c>
      <c r="F942">
        <v>1</v>
      </c>
      <c r="H942" t="s">
        <v>1025</v>
      </c>
      <c r="I942" t="s">
        <v>5328</v>
      </c>
    </row>
    <row r="943" spans="1:9">
      <c r="A943" t="s">
        <v>4286</v>
      </c>
      <c r="B943" t="s">
        <v>5331</v>
      </c>
      <c r="C943">
        <v>1</v>
      </c>
      <c r="D943" t="s">
        <v>4288</v>
      </c>
      <c r="E943">
        <v>0.5</v>
      </c>
      <c r="F943">
        <v>0.1</v>
      </c>
      <c r="H943" t="s">
        <v>1025</v>
      </c>
      <c r="I943" t="s">
        <v>5328</v>
      </c>
    </row>
    <row r="944" spans="1:9">
      <c r="A944" t="s">
        <v>4286</v>
      </c>
      <c r="B944" t="s">
        <v>5332</v>
      </c>
      <c r="C944">
        <v>1</v>
      </c>
      <c r="D944" t="s">
        <v>4288</v>
      </c>
      <c r="E944">
        <v>0.5</v>
      </c>
      <c r="F944">
        <v>7.4999999999999997E-2</v>
      </c>
      <c r="H944" t="s">
        <v>1025</v>
      </c>
      <c r="I944" t="s">
        <v>5328</v>
      </c>
    </row>
    <row r="945" spans="1:9">
      <c r="A945" t="s">
        <v>4286</v>
      </c>
      <c r="B945" t="s">
        <v>5333</v>
      </c>
      <c r="C945">
        <v>1</v>
      </c>
      <c r="D945" t="s">
        <v>4242</v>
      </c>
      <c r="E945">
        <v>0.5</v>
      </c>
      <c r="F945">
        <v>1.4999999999999999E-2</v>
      </c>
      <c r="H945" t="s">
        <v>1025</v>
      </c>
      <c r="I945" t="s">
        <v>5328</v>
      </c>
    </row>
    <row r="946" spans="1:9">
      <c r="A946" t="s">
        <v>4243</v>
      </c>
      <c r="B946" t="s">
        <v>5334</v>
      </c>
      <c r="C946">
        <v>1</v>
      </c>
      <c r="D946" t="s">
        <v>4166</v>
      </c>
      <c r="E946">
        <v>0.05</v>
      </c>
      <c r="F946">
        <v>3.0000000000000001E-3</v>
      </c>
      <c r="H946" t="s">
        <v>1025</v>
      </c>
      <c r="I946" t="s">
        <v>5335</v>
      </c>
    </row>
    <row r="947" spans="1:9">
      <c r="A947" t="s">
        <v>4243</v>
      </c>
      <c r="B947" t="s">
        <v>5336</v>
      </c>
      <c r="C947">
        <v>1</v>
      </c>
      <c r="D947" t="s">
        <v>4166</v>
      </c>
      <c r="E947">
        <v>0.1</v>
      </c>
      <c r="F947">
        <v>6.0000000000000001E-3</v>
      </c>
      <c r="H947" t="s">
        <v>1025</v>
      </c>
      <c r="I947" t="s">
        <v>5335</v>
      </c>
    </row>
    <row r="948" spans="1:9">
      <c r="A948" t="s">
        <v>4243</v>
      </c>
      <c r="B948" t="s">
        <v>5337</v>
      </c>
      <c r="C948">
        <v>1</v>
      </c>
      <c r="D948" t="s">
        <v>4242</v>
      </c>
      <c r="E948">
        <v>0.25</v>
      </c>
      <c r="F948">
        <v>2.1999999999999999E-2</v>
      </c>
      <c r="H948" t="s">
        <v>1025</v>
      </c>
      <c r="I948" t="s">
        <v>5335</v>
      </c>
    </row>
    <row r="949" spans="1:9">
      <c r="A949" t="s">
        <v>4404</v>
      </c>
      <c r="B949" t="s">
        <v>5338</v>
      </c>
      <c r="C949">
        <v>1</v>
      </c>
      <c r="D949" t="s">
        <v>4256</v>
      </c>
      <c r="E949">
        <v>2</v>
      </c>
      <c r="F949">
        <v>2.6</v>
      </c>
      <c r="H949" t="s">
        <v>1025</v>
      </c>
      <c r="I949" t="s">
        <v>5335</v>
      </c>
    </row>
    <row r="950" spans="1:9">
      <c r="A950" t="s">
        <v>4634</v>
      </c>
      <c r="B950" t="s">
        <v>5339</v>
      </c>
      <c r="C950">
        <v>1</v>
      </c>
      <c r="D950" t="s">
        <v>4636</v>
      </c>
      <c r="E950" t="s">
        <v>4167</v>
      </c>
      <c r="F950">
        <v>7</v>
      </c>
      <c r="H950" t="s">
        <v>1025</v>
      </c>
      <c r="I950" t="s">
        <v>5340</v>
      </c>
    </row>
    <row r="951" spans="1:9">
      <c r="A951" t="s">
        <v>4634</v>
      </c>
      <c r="B951" t="s">
        <v>5341</v>
      </c>
      <c r="C951">
        <v>1</v>
      </c>
      <c r="D951" t="s">
        <v>4636</v>
      </c>
      <c r="E951" t="s">
        <v>4167</v>
      </c>
      <c r="F951">
        <v>4.2</v>
      </c>
      <c r="H951" t="s">
        <v>1025</v>
      </c>
      <c r="I951" t="s">
        <v>5340</v>
      </c>
    </row>
    <row r="952" spans="1:9">
      <c r="A952" t="s">
        <v>4634</v>
      </c>
      <c r="B952" t="s">
        <v>5342</v>
      </c>
      <c r="C952">
        <v>1</v>
      </c>
      <c r="D952" t="s">
        <v>4636</v>
      </c>
      <c r="E952" t="s">
        <v>4167</v>
      </c>
      <c r="F952">
        <v>1.2</v>
      </c>
      <c r="H952" t="s">
        <v>1025</v>
      </c>
      <c r="I952" t="s">
        <v>5340</v>
      </c>
    </row>
    <row r="953" spans="1:9">
      <c r="A953" t="s">
        <v>4634</v>
      </c>
      <c r="B953" t="s">
        <v>5343</v>
      </c>
      <c r="C953">
        <v>1</v>
      </c>
      <c r="D953" t="s">
        <v>4636</v>
      </c>
      <c r="E953" t="s">
        <v>4167</v>
      </c>
      <c r="F953">
        <v>2.6</v>
      </c>
      <c r="H953" t="s">
        <v>1025</v>
      </c>
      <c r="I953" t="s">
        <v>5340</v>
      </c>
    </row>
    <row r="954" spans="1:9">
      <c r="A954" t="s">
        <v>4259</v>
      </c>
      <c r="B954" t="s">
        <v>5344</v>
      </c>
      <c r="C954">
        <v>1</v>
      </c>
      <c r="D954" t="s">
        <v>4166</v>
      </c>
      <c r="E954">
        <v>0.25</v>
      </c>
      <c r="F954">
        <v>2.5</v>
      </c>
      <c r="H954" t="s">
        <v>1038</v>
      </c>
      <c r="I954" t="s">
        <v>1795</v>
      </c>
    </row>
    <row r="955" spans="1:9">
      <c r="A955" t="s">
        <v>4634</v>
      </c>
      <c r="B955" t="s">
        <v>5345</v>
      </c>
      <c r="C955">
        <v>1</v>
      </c>
      <c r="D955" t="s">
        <v>4636</v>
      </c>
      <c r="E955" t="s">
        <v>4167</v>
      </c>
      <c r="F955">
        <v>35.6</v>
      </c>
      <c r="H955" t="s">
        <v>1040</v>
      </c>
      <c r="I955" t="s">
        <v>5221</v>
      </c>
    </row>
    <row r="956" spans="1:9">
      <c r="A956" t="s">
        <v>4634</v>
      </c>
      <c r="B956" t="s">
        <v>5346</v>
      </c>
      <c r="C956">
        <v>1</v>
      </c>
      <c r="D956" t="s">
        <v>4636</v>
      </c>
      <c r="E956" t="s">
        <v>4167</v>
      </c>
      <c r="F956">
        <v>66</v>
      </c>
      <c r="H956" t="s">
        <v>1040</v>
      </c>
      <c r="I956" t="s">
        <v>5221</v>
      </c>
    </row>
    <row r="957" spans="1:9">
      <c r="A957" t="s">
        <v>4634</v>
      </c>
      <c r="B957" t="s">
        <v>5347</v>
      </c>
      <c r="C957">
        <v>1</v>
      </c>
      <c r="D957" t="s">
        <v>4636</v>
      </c>
      <c r="E957" t="s">
        <v>4167</v>
      </c>
      <c r="F957">
        <v>22.3</v>
      </c>
      <c r="H957" t="s">
        <v>1040</v>
      </c>
      <c r="I957" t="s">
        <v>5221</v>
      </c>
    </row>
    <row r="958" spans="1:9">
      <c r="A958" t="s">
        <v>4634</v>
      </c>
      <c r="B958" t="s">
        <v>5348</v>
      </c>
      <c r="C958">
        <v>1</v>
      </c>
      <c r="D958" t="s">
        <v>4636</v>
      </c>
      <c r="E958" t="s">
        <v>4167</v>
      </c>
      <c r="F958">
        <v>35</v>
      </c>
      <c r="H958" t="s">
        <v>1040</v>
      </c>
      <c r="I958" t="s">
        <v>5221</v>
      </c>
    </row>
    <row r="959" spans="1:9">
      <c r="A959" t="s">
        <v>4634</v>
      </c>
      <c r="B959" t="s">
        <v>5349</v>
      </c>
      <c r="C959">
        <v>1</v>
      </c>
      <c r="D959" t="s">
        <v>4166</v>
      </c>
      <c r="E959">
        <v>0.25</v>
      </c>
      <c r="F959">
        <v>4</v>
      </c>
      <c r="H959" t="s">
        <v>1040</v>
      </c>
      <c r="I959" t="s">
        <v>5221</v>
      </c>
    </row>
    <row r="960" spans="1:9">
      <c r="A960" t="s">
        <v>4634</v>
      </c>
      <c r="B960" t="s">
        <v>5350</v>
      </c>
      <c r="C960">
        <v>1</v>
      </c>
      <c r="D960" t="s">
        <v>4166</v>
      </c>
      <c r="E960">
        <v>0.25</v>
      </c>
      <c r="F960">
        <v>31</v>
      </c>
      <c r="H960" t="s">
        <v>1040</v>
      </c>
      <c r="I960" t="s">
        <v>5221</v>
      </c>
    </row>
    <row r="961" spans="1:9">
      <c r="A961" t="s">
        <v>4634</v>
      </c>
      <c r="B961" t="s">
        <v>5351</v>
      </c>
      <c r="C961">
        <v>0.5</v>
      </c>
      <c r="D961" t="s">
        <v>4636</v>
      </c>
      <c r="E961" t="s">
        <v>4167</v>
      </c>
      <c r="F961">
        <v>5</v>
      </c>
      <c r="H961" t="s">
        <v>1040</v>
      </c>
      <c r="I961" t="s">
        <v>5221</v>
      </c>
    </row>
    <row r="962" spans="1:9">
      <c r="A962" t="s">
        <v>4634</v>
      </c>
      <c r="B962" t="s">
        <v>5352</v>
      </c>
      <c r="C962">
        <v>1</v>
      </c>
      <c r="D962" t="s">
        <v>4636</v>
      </c>
      <c r="E962" t="s">
        <v>4167</v>
      </c>
      <c r="F962">
        <v>40</v>
      </c>
      <c r="H962" t="s">
        <v>1040</v>
      </c>
      <c r="I962" t="s">
        <v>5221</v>
      </c>
    </row>
    <row r="963" spans="1:9">
      <c r="A963" t="s">
        <v>4634</v>
      </c>
      <c r="B963" t="s">
        <v>5353</v>
      </c>
      <c r="C963">
        <v>1</v>
      </c>
      <c r="D963" t="s">
        <v>4636</v>
      </c>
      <c r="E963" t="s">
        <v>4167</v>
      </c>
      <c r="F963">
        <v>3</v>
      </c>
      <c r="H963" t="s">
        <v>1040</v>
      </c>
      <c r="I963" t="s">
        <v>5354</v>
      </c>
    </row>
    <row r="964" spans="1:9">
      <c r="A964" t="s">
        <v>4634</v>
      </c>
      <c r="B964" t="s">
        <v>5355</v>
      </c>
      <c r="C964">
        <v>7.5</v>
      </c>
      <c r="D964" t="s">
        <v>4636</v>
      </c>
      <c r="E964">
        <v>7.5</v>
      </c>
      <c r="F964">
        <v>52.8</v>
      </c>
      <c r="H964" t="s">
        <v>1040</v>
      </c>
      <c r="I964" t="s">
        <v>5354</v>
      </c>
    </row>
    <row r="965" spans="1:9">
      <c r="A965" t="s">
        <v>4634</v>
      </c>
      <c r="B965" t="s">
        <v>5355</v>
      </c>
      <c r="C965">
        <v>1</v>
      </c>
      <c r="D965" t="s">
        <v>4636</v>
      </c>
      <c r="E965" t="s">
        <v>4167</v>
      </c>
      <c r="F965">
        <v>7.9</v>
      </c>
      <c r="H965" t="s">
        <v>1040</v>
      </c>
      <c r="I965" t="s">
        <v>5354</v>
      </c>
    </row>
    <row r="966" spans="1:9">
      <c r="A966" t="s">
        <v>4634</v>
      </c>
      <c r="B966" t="s">
        <v>5356</v>
      </c>
      <c r="C966">
        <v>1</v>
      </c>
      <c r="D966" t="s">
        <v>4636</v>
      </c>
      <c r="E966" t="s">
        <v>4167</v>
      </c>
      <c r="F966">
        <v>5</v>
      </c>
      <c r="H966" t="s">
        <v>1040</v>
      </c>
      <c r="I966" t="s">
        <v>5357</v>
      </c>
    </row>
    <row r="967" spans="1:9">
      <c r="A967" t="s">
        <v>4634</v>
      </c>
      <c r="B967" t="s">
        <v>5358</v>
      </c>
      <c r="C967">
        <v>1</v>
      </c>
      <c r="D967" t="s">
        <v>4636</v>
      </c>
      <c r="E967" t="s">
        <v>4167</v>
      </c>
      <c r="F967">
        <v>8.9</v>
      </c>
      <c r="H967" t="s">
        <v>1040</v>
      </c>
      <c r="I967" t="s">
        <v>5357</v>
      </c>
    </row>
    <row r="968" spans="1:9">
      <c r="A968" t="s">
        <v>4634</v>
      </c>
      <c r="B968" t="s">
        <v>5359</v>
      </c>
      <c r="C968">
        <v>1</v>
      </c>
      <c r="D968" t="s">
        <v>4636</v>
      </c>
      <c r="E968" t="s">
        <v>4167</v>
      </c>
      <c r="F968">
        <v>1.7</v>
      </c>
      <c r="H968" t="s">
        <v>1040</v>
      </c>
      <c r="I968" t="s">
        <v>5357</v>
      </c>
    </row>
    <row r="969" spans="1:9">
      <c r="A969" t="s">
        <v>4634</v>
      </c>
      <c r="B969" t="s">
        <v>5360</v>
      </c>
      <c r="C969">
        <v>1</v>
      </c>
      <c r="D969" t="s">
        <v>4636</v>
      </c>
      <c r="E969" t="s">
        <v>4167</v>
      </c>
      <c r="F969">
        <v>3.9</v>
      </c>
      <c r="H969" t="s">
        <v>1040</v>
      </c>
      <c r="I969" t="s">
        <v>5357</v>
      </c>
    </row>
    <row r="970" spans="1:9">
      <c r="A970" t="s">
        <v>4634</v>
      </c>
      <c r="B970" t="s">
        <v>5361</v>
      </c>
      <c r="C970">
        <v>1</v>
      </c>
      <c r="D970" t="s">
        <v>4636</v>
      </c>
      <c r="E970" t="s">
        <v>4167</v>
      </c>
      <c r="F970">
        <v>2.1</v>
      </c>
      <c r="H970" t="s">
        <v>1040</v>
      </c>
      <c r="I970" t="s">
        <v>5357</v>
      </c>
    </row>
    <row r="971" spans="1:9">
      <c r="A971" t="s">
        <v>4634</v>
      </c>
      <c r="B971" t="s">
        <v>5362</v>
      </c>
      <c r="C971">
        <v>1</v>
      </c>
      <c r="D971" t="s">
        <v>4636</v>
      </c>
      <c r="E971" t="s">
        <v>4167</v>
      </c>
      <c r="F971">
        <v>2.6</v>
      </c>
      <c r="H971" t="s">
        <v>1040</v>
      </c>
      <c r="I971" t="s">
        <v>5357</v>
      </c>
    </row>
    <row r="972" spans="1:9">
      <c r="A972" t="s">
        <v>4393</v>
      </c>
      <c r="B972" t="s">
        <v>5363</v>
      </c>
      <c r="C972">
        <v>100</v>
      </c>
      <c r="D972" t="s">
        <v>4395</v>
      </c>
      <c r="E972" t="s">
        <v>4167</v>
      </c>
      <c r="F972" t="s">
        <v>4168</v>
      </c>
      <c r="H972" t="s">
        <v>4167</v>
      </c>
      <c r="I972" t="s">
        <v>4167</v>
      </c>
    </row>
    <row r="973" spans="1:9">
      <c r="A973" t="s">
        <v>4393</v>
      </c>
      <c r="B973" t="s">
        <v>5364</v>
      </c>
      <c r="C973">
        <v>100</v>
      </c>
      <c r="D973" t="s">
        <v>4395</v>
      </c>
      <c r="E973" t="s">
        <v>4167</v>
      </c>
      <c r="F973" t="s">
        <v>4168</v>
      </c>
      <c r="H973" t="s">
        <v>4167</v>
      </c>
      <c r="I973" t="s">
        <v>4167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9"/>
  <sheetViews>
    <sheetView workbookViewId="0"/>
  </sheetViews>
  <sheetFormatPr baseColWidth="10" defaultColWidth="9.140625" defaultRowHeight="15"/>
  <cols>
    <col min="3" max="3" width="21.85546875" style="9" customWidth="1"/>
    <col min="10" max="10" width="39.5703125" style="9" customWidth="1"/>
    <col min="12" max="12" width="9.140625" style="9" customWidth="1"/>
  </cols>
  <sheetData>
    <row r="1" spans="1:16">
      <c r="A1" s="40" t="s">
        <v>1</v>
      </c>
      <c r="B1" s="41" t="s">
        <v>5365</v>
      </c>
      <c r="C1" s="41" t="s">
        <v>4158</v>
      </c>
      <c r="D1" s="42" t="s">
        <v>5366</v>
      </c>
      <c r="E1" s="42" t="s">
        <v>5367</v>
      </c>
      <c r="F1" s="41" t="s">
        <v>5368</v>
      </c>
      <c r="G1" s="41" t="s">
        <v>5369</v>
      </c>
      <c r="H1" s="41" t="s">
        <v>5370</v>
      </c>
      <c r="I1" s="41" t="s">
        <v>5371</v>
      </c>
      <c r="J1" s="41" t="s">
        <v>15</v>
      </c>
      <c r="K1" s="41" t="s">
        <v>5372</v>
      </c>
      <c r="L1" s="41" t="s">
        <v>5373</v>
      </c>
      <c r="M1" s="41" t="s">
        <v>5374</v>
      </c>
      <c r="N1" s="43" t="s">
        <v>5375</v>
      </c>
      <c r="O1" s="43" t="s">
        <v>5376</v>
      </c>
      <c r="P1" s="41" t="s">
        <v>5377</v>
      </c>
    </row>
    <row r="2" spans="1:16">
      <c r="A2" s="40" t="s">
        <v>5378</v>
      </c>
      <c r="B2" s="44" t="s">
        <v>5379</v>
      </c>
      <c r="C2" s="45" t="s">
        <v>5380</v>
      </c>
      <c r="D2" s="46">
        <v>5</v>
      </c>
      <c r="E2" s="46" t="s">
        <v>5381</v>
      </c>
      <c r="F2" s="44" t="s">
        <v>5382</v>
      </c>
      <c r="G2" s="44" t="s">
        <v>5383</v>
      </c>
      <c r="H2" s="44" t="s">
        <v>5383</v>
      </c>
      <c r="I2" s="44" t="s">
        <v>5384</v>
      </c>
      <c r="J2" s="44" t="s">
        <v>5385</v>
      </c>
      <c r="K2" s="46">
        <v>3</v>
      </c>
      <c r="L2" s="54">
        <v>0</v>
      </c>
      <c r="M2">
        <v>1</v>
      </c>
      <c r="N2" s="48">
        <v>0.25</v>
      </c>
      <c r="O2" s="48">
        <f t="shared" ref="O2:O33" si="0">N2*(K2+L2)</f>
        <v>0.75</v>
      </c>
      <c r="P2" s="40">
        <v>4</v>
      </c>
    </row>
    <row r="3" spans="1:16">
      <c r="A3" s="40" t="s">
        <v>5378</v>
      </c>
      <c r="B3" s="44" t="s">
        <v>5379</v>
      </c>
      <c r="C3" s="45" t="s">
        <v>5386</v>
      </c>
      <c r="D3" s="46">
        <v>15</v>
      </c>
      <c r="E3" s="46" t="s">
        <v>5381</v>
      </c>
      <c r="F3" s="44" t="s">
        <v>5382</v>
      </c>
      <c r="G3" s="44" t="s">
        <v>5383</v>
      </c>
      <c r="H3" s="44" t="s">
        <v>5383</v>
      </c>
      <c r="I3" s="44" t="s">
        <v>5384</v>
      </c>
      <c r="J3" s="44" t="s">
        <v>5387</v>
      </c>
      <c r="K3" s="46">
        <v>4</v>
      </c>
      <c r="L3" s="54">
        <v>0</v>
      </c>
      <c r="M3">
        <v>2</v>
      </c>
      <c r="N3" s="48">
        <v>0.5</v>
      </c>
      <c r="O3" s="48">
        <f t="shared" si="0"/>
        <v>2</v>
      </c>
      <c r="P3" s="40">
        <v>6</v>
      </c>
    </row>
    <row r="4" spans="1:16">
      <c r="A4" s="40" t="s">
        <v>5378</v>
      </c>
      <c r="B4" s="44" t="s">
        <v>5379</v>
      </c>
      <c r="C4" s="45" t="s">
        <v>5388</v>
      </c>
      <c r="D4" s="46">
        <v>30</v>
      </c>
      <c r="E4" s="46" t="s">
        <v>5381</v>
      </c>
      <c r="F4" s="44" t="s">
        <v>5382</v>
      </c>
      <c r="G4" s="44" t="s">
        <v>5383</v>
      </c>
      <c r="H4" s="44" t="s">
        <v>5383</v>
      </c>
      <c r="I4" s="44" t="s">
        <v>5384</v>
      </c>
      <c r="J4" s="44" t="s">
        <v>5389</v>
      </c>
      <c r="K4" s="46">
        <v>5</v>
      </c>
      <c r="L4" s="54">
        <v>0</v>
      </c>
      <c r="M4">
        <v>3</v>
      </c>
      <c r="N4" s="48">
        <v>1</v>
      </c>
      <c r="O4" s="48">
        <f t="shared" si="0"/>
        <v>5</v>
      </c>
      <c r="P4" s="40">
        <v>10</v>
      </c>
    </row>
    <row r="5" spans="1:16">
      <c r="A5" s="40" t="s">
        <v>5378</v>
      </c>
      <c r="B5" s="44" t="s">
        <v>5379</v>
      </c>
      <c r="C5" s="50" t="s">
        <v>5390</v>
      </c>
      <c r="D5" s="46">
        <v>15</v>
      </c>
      <c r="E5" s="46" t="s">
        <v>5381</v>
      </c>
      <c r="F5" s="44" t="s">
        <v>5382</v>
      </c>
      <c r="G5" s="44" t="s">
        <v>5383</v>
      </c>
      <c r="H5" s="44" t="s">
        <v>5383</v>
      </c>
      <c r="I5" s="44" t="s">
        <v>5391</v>
      </c>
      <c r="J5" s="44" t="s">
        <v>5392</v>
      </c>
      <c r="K5" s="46">
        <v>4</v>
      </c>
      <c r="L5" s="54">
        <v>0</v>
      </c>
      <c r="M5">
        <v>5</v>
      </c>
      <c r="N5" s="48">
        <v>50</v>
      </c>
      <c r="O5" s="48">
        <f t="shared" si="0"/>
        <v>200</v>
      </c>
      <c r="P5" s="40">
        <v>30</v>
      </c>
    </row>
    <row r="6" spans="1:16">
      <c r="A6" s="40" t="s">
        <v>5378</v>
      </c>
      <c r="B6" s="44" t="s">
        <v>5379</v>
      </c>
      <c r="C6" s="45" t="s">
        <v>5393</v>
      </c>
      <c r="D6" s="46">
        <v>30</v>
      </c>
      <c r="E6" s="46" t="s">
        <v>5381</v>
      </c>
      <c r="F6" s="44" t="s">
        <v>5382</v>
      </c>
      <c r="G6" s="44" t="s">
        <v>5383</v>
      </c>
      <c r="H6" s="44" t="s">
        <v>5383</v>
      </c>
      <c r="I6" s="44" t="s">
        <v>5391</v>
      </c>
      <c r="J6" s="44" t="s">
        <v>5394</v>
      </c>
      <c r="K6" s="46">
        <v>5</v>
      </c>
      <c r="L6" s="54">
        <v>0</v>
      </c>
      <c r="M6">
        <v>6</v>
      </c>
      <c r="N6" s="48">
        <v>150</v>
      </c>
      <c r="O6" s="48">
        <f t="shared" si="0"/>
        <v>750</v>
      </c>
      <c r="P6" s="40">
        <v>48</v>
      </c>
    </row>
    <row r="7" spans="1:16">
      <c r="A7" s="40" t="s">
        <v>5378</v>
      </c>
      <c r="B7" s="44" t="s">
        <v>5379</v>
      </c>
      <c r="C7" s="45" t="s">
        <v>5395</v>
      </c>
      <c r="D7" s="46">
        <v>5</v>
      </c>
      <c r="E7" s="46" t="s">
        <v>5381</v>
      </c>
      <c r="F7" s="44" t="s">
        <v>5382</v>
      </c>
      <c r="G7" s="44" t="s">
        <v>5383</v>
      </c>
      <c r="H7" s="44" t="s">
        <v>5383</v>
      </c>
      <c r="I7" s="44" t="s">
        <v>5391</v>
      </c>
      <c r="J7" s="44" t="s">
        <v>5396</v>
      </c>
      <c r="K7" s="46">
        <v>3</v>
      </c>
      <c r="L7" s="54">
        <v>0</v>
      </c>
      <c r="M7">
        <v>4</v>
      </c>
      <c r="N7" s="48">
        <v>25</v>
      </c>
      <c r="O7" s="48">
        <f t="shared" si="0"/>
        <v>75</v>
      </c>
      <c r="P7" s="40">
        <v>18</v>
      </c>
    </row>
    <row r="8" spans="1:16">
      <c r="A8" s="40" t="s">
        <v>5378</v>
      </c>
      <c r="B8" s="44" t="s">
        <v>5379</v>
      </c>
      <c r="C8" s="45" t="s">
        <v>5397</v>
      </c>
      <c r="D8" s="46">
        <v>5</v>
      </c>
      <c r="E8" s="46" t="s">
        <v>5381</v>
      </c>
      <c r="F8" s="44" t="s">
        <v>5382</v>
      </c>
      <c r="G8" s="44" t="s">
        <v>5398</v>
      </c>
      <c r="H8" s="44" t="s">
        <v>5399</v>
      </c>
      <c r="I8" s="44" t="s">
        <v>5400</v>
      </c>
      <c r="J8" s="44" t="s">
        <v>5401</v>
      </c>
      <c r="K8" s="46">
        <v>2</v>
      </c>
      <c r="L8" s="54">
        <v>0</v>
      </c>
      <c r="M8">
        <v>2</v>
      </c>
      <c r="N8" s="48">
        <v>1</v>
      </c>
      <c r="O8" s="48">
        <f t="shared" si="0"/>
        <v>2</v>
      </c>
      <c r="P8" s="40">
        <v>12</v>
      </c>
    </row>
    <row r="9" spans="1:16">
      <c r="A9" s="40" t="s">
        <v>5378</v>
      </c>
      <c r="B9" s="44" t="s">
        <v>5379</v>
      </c>
      <c r="C9" s="45" t="s">
        <v>5402</v>
      </c>
      <c r="D9" s="46">
        <v>15</v>
      </c>
      <c r="E9" s="46" t="s">
        <v>5381</v>
      </c>
      <c r="F9" s="44" t="s">
        <v>5382</v>
      </c>
      <c r="G9" s="44" t="s">
        <v>5398</v>
      </c>
      <c r="H9" s="44" t="s">
        <v>5399</v>
      </c>
      <c r="I9" s="44" t="s">
        <v>5400</v>
      </c>
      <c r="J9" s="44" t="s">
        <v>5401</v>
      </c>
      <c r="K9" s="46">
        <v>3</v>
      </c>
      <c r="L9" s="54">
        <v>0</v>
      </c>
      <c r="M9">
        <v>3</v>
      </c>
      <c r="N9" s="48">
        <v>2</v>
      </c>
      <c r="O9" s="48">
        <f t="shared" si="0"/>
        <v>6</v>
      </c>
      <c r="P9" s="40">
        <v>18</v>
      </c>
    </row>
    <row r="10" spans="1:16">
      <c r="A10" s="40" t="s">
        <v>5378</v>
      </c>
      <c r="B10" s="44" t="s">
        <v>5379</v>
      </c>
      <c r="C10" s="45" t="s">
        <v>5403</v>
      </c>
      <c r="D10" s="46">
        <v>30</v>
      </c>
      <c r="E10" s="46" t="s">
        <v>5381</v>
      </c>
      <c r="F10" s="44" t="s">
        <v>5382</v>
      </c>
      <c r="G10" s="44" t="s">
        <v>5398</v>
      </c>
      <c r="H10" s="44" t="s">
        <v>5399</v>
      </c>
      <c r="I10" s="44" t="s">
        <v>5400</v>
      </c>
      <c r="J10" s="44" t="s">
        <v>5401</v>
      </c>
      <c r="K10" s="46">
        <v>4</v>
      </c>
      <c r="L10" s="54">
        <v>0</v>
      </c>
      <c r="M10">
        <v>4</v>
      </c>
      <c r="N10" s="48">
        <v>4</v>
      </c>
      <c r="O10" s="48">
        <f t="shared" si="0"/>
        <v>16</v>
      </c>
      <c r="P10" s="40">
        <v>30</v>
      </c>
    </row>
    <row r="11" spans="1:16">
      <c r="A11" s="40" t="s">
        <v>5378</v>
      </c>
      <c r="B11" s="44" t="s">
        <v>5379</v>
      </c>
      <c r="C11" s="45" t="s">
        <v>5404</v>
      </c>
      <c r="D11" s="46">
        <v>5</v>
      </c>
      <c r="E11" s="46" t="s">
        <v>5381</v>
      </c>
      <c r="F11" s="44" t="s">
        <v>5382</v>
      </c>
      <c r="G11" s="44" t="s">
        <v>5398</v>
      </c>
      <c r="H11" s="44" t="s">
        <v>5399</v>
      </c>
      <c r="I11" s="44" t="s">
        <v>5400</v>
      </c>
      <c r="J11" s="44" t="s">
        <v>5405</v>
      </c>
      <c r="K11" s="46">
        <v>2</v>
      </c>
      <c r="L11" s="54">
        <v>0</v>
      </c>
      <c r="M11">
        <v>2</v>
      </c>
      <c r="N11" s="48">
        <v>1</v>
      </c>
      <c r="O11" s="48">
        <f t="shared" si="0"/>
        <v>2</v>
      </c>
      <c r="P11" s="40">
        <v>12</v>
      </c>
    </row>
    <row r="12" spans="1:16">
      <c r="A12" s="40" t="s">
        <v>5378</v>
      </c>
      <c r="B12" s="44" t="s">
        <v>5379</v>
      </c>
      <c r="C12" s="45" t="s">
        <v>5406</v>
      </c>
      <c r="D12" s="46">
        <v>15</v>
      </c>
      <c r="E12" s="46" t="s">
        <v>5381</v>
      </c>
      <c r="F12" s="44" t="s">
        <v>5382</v>
      </c>
      <c r="G12" s="44" t="s">
        <v>5398</v>
      </c>
      <c r="H12" s="44" t="s">
        <v>5399</v>
      </c>
      <c r="I12" s="44" t="s">
        <v>5400</v>
      </c>
      <c r="J12" s="44" t="s">
        <v>5405</v>
      </c>
      <c r="K12" s="46">
        <v>3</v>
      </c>
      <c r="L12" s="54">
        <v>0</v>
      </c>
      <c r="M12">
        <v>3</v>
      </c>
      <c r="N12" s="48">
        <v>2</v>
      </c>
      <c r="O12" s="48">
        <f t="shared" si="0"/>
        <v>6</v>
      </c>
      <c r="P12" s="40">
        <v>18</v>
      </c>
    </row>
    <row r="13" spans="1:16">
      <c r="A13" s="40" t="s">
        <v>5378</v>
      </c>
      <c r="B13" s="44" t="s">
        <v>5379</v>
      </c>
      <c r="C13" s="45" t="s">
        <v>5407</v>
      </c>
      <c r="D13" s="46">
        <v>30</v>
      </c>
      <c r="E13" s="46" t="s">
        <v>5381</v>
      </c>
      <c r="F13" s="44" t="s">
        <v>5382</v>
      </c>
      <c r="G13" s="44" t="s">
        <v>5398</v>
      </c>
      <c r="H13" s="44" t="s">
        <v>5399</v>
      </c>
      <c r="I13" s="44" t="s">
        <v>5400</v>
      </c>
      <c r="J13" s="44" t="s">
        <v>5405</v>
      </c>
      <c r="K13" s="46">
        <v>4</v>
      </c>
      <c r="L13" s="54">
        <v>0</v>
      </c>
      <c r="M13">
        <v>4</v>
      </c>
      <c r="N13" s="48">
        <v>4</v>
      </c>
      <c r="O13" s="48">
        <f t="shared" si="0"/>
        <v>16</v>
      </c>
      <c r="P13" s="40">
        <v>30</v>
      </c>
    </row>
    <row r="14" spans="1:16">
      <c r="A14" s="40" t="s">
        <v>5378</v>
      </c>
      <c r="B14" s="44" t="s">
        <v>5379</v>
      </c>
      <c r="C14" s="45" t="s">
        <v>5408</v>
      </c>
      <c r="D14" s="46">
        <v>5</v>
      </c>
      <c r="E14" s="46" t="s">
        <v>5381</v>
      </c>
      <c r="F14" s="44" t="s">
        <v>5409</v>
      </c>
      <c r="G14" s="44" t="s">
        <v>5398</v>
      </c>
      <c r="H14" s="44" t="s">
        <v>5410</v>
      </c>
      <c r="I14" s="44" t="s">
        <v>5400</v>
      </c>
      <c r="J14" s="44" t="s">
        <v>5411</v>
      </c>
      <c r="K14" s="46">
        <v>2</v>
      </c>
      <c r="L14" s="54">
        <v>0</v>
      </c>
      <c r="M14">
        <v>2</v>
      </c>
      <c r="N14" s="48">
        <v>0.5</v>
      </c>
      <c r="O14" s="48">
        <f t="shared" si="0"/>
        <v>1</v>
      </c>
      <c r="P14" s="40">
        <v>12</v>
      </c>
    </row>
    <row r="15" spans="1:16">
      <c r="A15" s="40" t="s">
        <v>5378</v>
      </c>
      <c r="B15" s="44" t="s">
        <v>5379</v>
      </c>
      <c r="C15" s="45" t="s">
        <v>5412</v>
      </c>
      <c r="D15" s="46">
        <v>15</v>
      </c>
      <c r="E15" s="46" t="s">
        <v>5381</v>
      </c>
      <c r="F15" s="44" t="s">
        <v>5409</v>
      </c>
      <c r="G15" s="44" t="s">
        <v>5398</v>
      </c>
      <c r="H15" s="44" t="s">
        <v>5410</v>
      </c>
      <c r="I15" s="44" t="s">
        <v>5400</v>
      </c>
      <c r="J15" s="44" t="s">
        <v>5411</v>
      </c>
      <c r="K15" s="46">
        <v>3</v>
      </c>
      <c r="L15" s="54">
        <v>0</v>
      </c>
      <c r="M15">
        <v>3</v>
      </c>
      <c r="N15" s="48">
        <v>1</v>
      </c>
      <c r="O15" s="48">
        <f t="shared" si="0"/>
        <v>3</v>
      </c>
      <c r="P15" s="40">
        <v>18</v>
      </c>
    </row>
    <row r="16" spans="1:16">
      <c r="A16" s="40" t="s">
        <v>5378</v>
      </c>
      <c r="B16" s="44" t="s">
        <v>5379</v>
      </c>
      <c r="C16" s="45" t="s">
        <v>5413</v>
      </c>
      <c r="D16" s="46">
        <v>30</v>
      </c>
      <c r="E16" s="46" t="s">
        <v>5381</v>
      </c>
      <c r="F16" s="44" t="s">
        <v>5409</v>
      </c>
      <c r="G16" s="44" t="s">
        <v>5398</v>
      </c>
      <c r="H16" s="44" t="s">
        <v>5410</v>
      </c>
      <c r="I16" s="44" t="s">
        <v>5400</v>
      </c>
      <c r="J16" s="44" t="s">
        <v>5411</v>
      </c>
      <c r="K16" s="46">
        <v>4</v>
      </c>
      <c r="L16" s="54">
        <v>0</v>
      </c>
      <c r="M16">
        <v>4</v>
      </c>
      <c r="N16" s="48">
        <v>3</v>
      </c>
      <c r="O16" s="48">
        <f t="shared" si="0"/>
        <v>12</v>
      </c>
      <c r="P16" s="40">
        <v>30</v>
      </c>
    </row>
    <row r="17" spans="1:16">
      <c r="A17" s="40" t="s">
        <v>5378</v>
      </c>
      <c r="B17" s="44" t="s">
        <v>5379</v>
      </c>
      <c r="C17" s="45" t="s">
        <v>5414</v>
      </c>
      <c r="D17" s="46">
        <v>5</v>
      </c>
      <c r="E17" s="46" t="s">
        <v>5381</v>
      </c>
      <c r="F17" s="44" t="s">
        <v>5382</v>
      </c>
      <c r="G17" s="44" t="s">
        <v>5398</v>
      </c>
      <c r="H17" s="44" t="s">
        <v>5399</v>
      </c>
      <c r="I17" s="44" t="s">
        <v>5400</v>
      </c>
      <c r="J17" s="44" t="s">
        <v>5415</v>
      </c>
      <c r="K17" s="46">
        <v>2</v>
      </c>
      <c r="L17" s="54">
        <v>0</v>
      </c>
      <c r="M17">
        <v>2</v>
      </c>
      <c r="N17" s="48">
        <v>1</v>
      </c>
      <c r="O17" s="48">
        <f t="shared" si="0"/>
        <v>2</v>
      </c>
      <c r="P17" s="40">
        <v>12</v>
      </c>
    </row>
    <row r="18" spans="1:16">
      <c r="A18" s="40" t="s">
        <v>5378</v>
      </c>
      <c r="B18" s="44" t="s">
        <v>5379</v>
      </c>
      <c r="C18" s="50" t="s">
        <v>5416</v>
      </c>
      <c r="D18" s="46">
        <v>15</v>
      </c>
      <c r="E18" s="46" t="s">
        <v>5381</v>
      </c>
      <c r="F18" s="44" t="s">
        <v>5382</v>
      </c>
      <c r="G18" s="44" t="s">
        <v>5398</v>
      </c>
      <c r="H18" s="44" t="s">
        <v>5399</v>
      </c>
      <c r="I18" s="44" t="s">
        <v>5400</v>
      </c>
      <c r="J18" s="44" t="s">
        <v>5417</v>
      </c>
      <c r="K18" s="46">
        <v>3</v>
      </c>
      <c r="L18" s="54">
        <v>0</v>
      </c>
      <c r="M18">
        <v>3</v>
      </c>
      <c r="N18" s="48">
        <v>2</v>
      </c>
      <c r="O18" s="48">
        <f t="shared" si="0"/>
        <v>6</v>
      </c>
      <c r="P18" s="40">
        <v>18</v>
      </c>
    </row>
    <row r="19" spans="1:16">
      <c r="A19" s="40" t="s">
        <v>5378</v>
      </c>
      <c r="B19" s="44" t="s">
        <v>5379</v>
      </c>
      <c r="C19" s="45" t="s">
        <v>5418</v>
      </c>
      <c r="D19" s="46">
        <v>30</v>
      </c>
      <c r="E19" s="46" t="s">
        <v>5381</v>
      </c>
      <c r="F19" s="44" t="s">
        <v>5382</v>
      </c>
      <c r="G19" s="44" t="s">
        <v>5398</v>
      </c>
      <c r="H19" s="44" t="s">
        <v>5399</v>
      </c>
      <c r="I19" s="44" t="s">
        <v>5400</v>
      </c>
      <c r="J19" s="44" t="s">
        <v>5419</v>
      </c>
      <c r="K19" s="46">
        <v>4</v>
      </c>
      <c r="L19" s="54">
        <v>0</v>
      </c>
      <c r="M19">
        <v>4</v>
      </c>
      <c r="N19" s="48">
        <v>4</v>
      </c>
      <c r="O19" s="48">
        <f t="shared" si="0"/>
        <v>16</v>
      </c>
      <c r="P19" s="40">
        <v>30</v>
      </c>
    </row>
    <row r="20" spans="1:16">
      <c r="A20" s="40" t="s">
        <v>5378</v>
      </c>
      <c r="B20" s="44" t="s">
        <v>5379</v>
      </c>
      <c r="C20" s="45" t="s">
        <v>5420</v>
      </c>
      <c r="D20" s="46">
        <v>5</v>
      </c>
      <c r="E20" s="46" t="s">
        <v>5381</v>
      </c>
      <c r="F20" s="44" t="s">
        <v>5382</v>
      </c>
      <c r="G20" s="44" t="s">
        <v>5398</v>
      </c>
      <c r="H20" s="44" t="s">
        <v>5399</v>
      </c>
      <c r="I20" s="44" t="s">
        <v>5400</v>
      </c>
      <c r="J20" s="44" t="s">
        <v>5421</v>
      </c>
      <c r="K20" s="46">
        <v>2</v>
      </c>
      <c r="L20" s="54">
        <v>0</v>
      </c>
      <c r="M20">
        <v>2</v>
      </c>
      <c r="N20" s="48">
        <v>1</v>
      </c>
      <c r="O20" s="48">
        <f t="shared" si="0"/>
        <v>2</v>
      </c>
      <c r="P20" s="40">
        <v>18</v>
      </c>
    </row>
    <row r="21" spans="1:16">
      <c r="A21" s="40" t="s">
        <v>5378</v>
      </c>
      <c r="B21" s="44" t="s">
        <v>5379</v>
      </c>
      <c r="C21" s="45" t="s">
        <v>5422</v>
      </c>
      <c r="D21" s="46">
        <v>15</v>
      </c>
      <c r="E21" s="46" t="s">
        <v>5381</v>
      </c>
      <c r="F21" s="44" t="s">
        <v>5382</v>
      </c>
      <c r="G21" s="44" t="s">
        <v>5398</v>
      </c>
      <c r="H21" s="44" t="s">
        <v>5399</v>
      </c>
      <c r="I21" s="44" t="s">
        <v>5400</v>
      </c>
      <c r="J21" s="44" t="s">
        <v>5421</v>
      </c>
      <c r="K21" s="46">
        <v>3</v>
      </c>
      <c r="L21" s="54">
        <v>0</v>
      </c>
      <c r="M21">
        <v>3</v>
      </c>
      <c r="N21" s="48">
        <v>2</v>
      </c>
      <c r="O21" s="48">
        <f t="shared" si="0"/>
        <v>6</v>
      </c>
      <c r="P21" s="40">
        <v>27</v>
      </c>
    </row>
    <row r="22" spans="1:16">
      <c r="A22" s="40" t="s">
        <v>5378</v>
      </c>
      <c r="B22" s="44" t="s">
        <v>5379</v>
      </c>
      <c r="C22" s="45" t="s">
        <v>5423</v>
      </c>
      <c r="D22" s="46">
        <v>30</v>
      </c>
      <c r="E22" s="46" t="s">
        <v>5381</v>
      </c>
      <c r="F22" s="44" t="s">
        <v>5382</v>
      </c>
      <c r="G22" s="44" t="s">
        <v>5398</v>
      </c>
      <c r="H22" s="44" t="s">
        <v>5399</v>
      </c>
      <c r="I22" s="44" t="s">
        <v>5400</v>
      </c>
      <c r="J22" s="44" t="s">
        <v>5421</v>
      </c>
      <c r="K22" s="46">
        <v>4</v>
      </c>
      <c r="L22" s="54">
        <v>0</v>
      </c>
      <c r="M22">
        <v>4</v>
      </c>
      <c r="N22" s="48">
        <v>4</v>
      </c>
      <c r="O22" s="48">
        <f t="shared" si="0"/>
        <v>16</v>
      </c>
      <c r="P22" s="40">
        <v>45</v>
      </c>
    </row>
    <row r="23" spans="1:16">
      <c r="A23" s="40" t="s">
        <v>5378</v>
      </c>
      <c r="B23" s="44" t="s">
        <v>5379</v>
      </c>
      <c r="C23" s="45" t="s">
        <v>5424</v>
      </c>
      <c r="D23" s="46">
        <v>5</v>
      </c>
      <c r="E23" s="46" t="s">
        <v>5381</v>
      </c>
      <c r="F23" s="44" t="s">
        <v>5382</v>
      </c>
      <c r="G23" s="44" t="s">
        <v>5383</v>
      </c>
      <c r="H23" s="44" t="s">
        <v>5383</v>
      </c>
      <c r="I23" s="44" t="s">
        <v>5400</v>
      </c>
      <c r="J23" s="44" t="s">
        <v>5425</v>
      </c>
      <c r="K23" s="46">
        <v>3</v>
      </c>
      <c r="L23" s="54">
        <v>0</v>
      </c>
      <c r="M23">
        <v>4</v>
      </c>
      <c r="N23" s="48">
        <v>50</v>
      </c>
      <c r="O23" s="48">
        <f t="shared" si="0"/>
        <v>150</v>
      </c>
      <c r="P23" s="40">
        <v>12</v>
      </c>
    </row>
    <row r="24" spans="1:16">
      <c r="A24" s="40" t="s">
        <v>5378</v>
      </c>
      <c r="B24" s="44" t="s">
        <v>5379</v>
      </c>
      <c r="C24" s="45" t="s">
        <v>5426</v>
      </c>
      <c r="D24" s="46">
        <v>15</v>
      </c>
      <c r="E24" s="46" t="s">
        <v>5381</v>
      </c>
      <c r="F24" s="44" t="s">
        <v>5382</v>
      </c>
      <c r="G24" s="44" t="s">
        <v>5383</v>
      </c>
      <c r="H24" s="44" t="s">
        <v>5383</v>
      </c>
      <c r="I24" s="44" t="s">
        <v>5400</v>
      </c>
      <c r="J24" s="44" t="s">
        <v>5427</v>
      </c>
      <c r="K24" s="46">
        <v>4</v>
      </c>
      <c r="L24" s="54">
        <v>0</v>
      </c>
      <c r="M24">
        <v>5</v>
      </c>
      <c r="N24" s="48">
        <v>150</v>
      </c>
      <c r="O24" s="48">
        <f t="shared" si="0"/>
        <v>600</v>
      </c>
      <c r="P24" s="40">
        <v>18</v>
      </c>
    </row>
    <row r="25" spans="1:16">
      <c r="A25" s="40" t="s">
        <v>5378</v>
      </c>
      <c r="B25" s="44" t="s">
        <v>5379</v>
      </c>
      <c r="C25" s="45" t="s">
        <v>5428</v>
      </c>
      <c r="D25" s="46">
        <v>30</v>
      </c>
      <c r="E25" s="46" t="s">
        <v>5381</v>
      </c>
      <c r="F25" s="44" t="s">
        <v>5382</v>
      </c>
      <c r="G25" s="44" t="s">
        <v>5383</v>
      </c>
      <c r="H25" s="44" t="s">
        <v>5383</v>
      </c>
      <c r="I25" s="44" t="s">
        <v>5400</v>
      </c>
      <c r="J25" s="44" t="s">
        <v>5429</v>
      </c>
      <c r="K25" s="46">
        <v>5</v>
      </c>
      <c r="L25" s="54">
        <v>0</v>
      </c>
      <c r="M25">
        <v>6</v>
      </c>
      <c r="N25" s="48">
        <v>500</v>
      </c>
      <c r="O25" s="48">
        <f t="shared" si="0"/>
        <v>2500</v>
      </c>
      <c r="P25" s="40">
        <v>30</v>
      </c>
    </row>
    <row r="26" spans="1:16">
      <c r="A26" s="40" t="s">
        <v>5378</v>
      </c>
      <c r="B26" s="44" t="s">
        <v>5379</v>
      </c>
      <c r="C26" s="50" t="s">
        <v>5430</v>
      </c>
      <c r="D26" s="46">
        <v>5</v>
      </c>
      <c r="E26" s="46" t="s">
        <v>5381</v>
      </c>
      <c r="F26" s="44" t="s">
        <v>5382</v>
      </c>
      <c r="G26" s="44" t="s">
        <v>5398</v>
      </c>
      <c r="H26" s="44" t="s">
        <v>5410</v>
      </c>
      <c r="I26" s="44" t="s">
        <v>5400</v>
      </c>
      <c r="J26" s="44" t="s">
        <v>5431</v>
      </c>
      <c r="K26" s="46">
        <v>2</v>
      </c>
      <c r="L26" s="54">
        <v>0</v>
      </c>
      <c r="M26">
        <v>2</v>
      </c>
      <c r="N26" s="48">
        <v>0.5</v>
      </c>
      <c r="O26" s="48">
        <f t="shared" si="0"/>
        <v>1</v>
      </c>
      <c r="P26" s="40">
        <v>12</v>
      </c>
    </row>
    <row r="27" spans="1:16">
      <c r="A27" s="40" t="s">
        <v>5378</v>
      </c>
      <c r="B27" s="44" t="s">
        <v>5379</v>
      </c>
      <c r="C27" s="50" t="s">
        <v>5432</v>
      </c>
      <c r="D27" s="46">
        <v>15</v>
      </c>
      <c r="E27" s="46" t="s">
        <v>5381</v>
      </c>
      <c r="F27" s="44" t="s">
        <v>5382</v>
      </c>
      <c r="G27" s="44" t="s">
        <v>5398</v>
      </c>
      <c r="H27" s="44" t="s">
        <v>5410</v>
      </c>
      <c r="I27" s="44" t="s">
        <v>5400</v>
      </c>
      <c r="J27" s="44" t="s">
        <v>5433</v>
      </c>
      <c r="K27" s="46">
        <v>3</v>
      </c>
      <c r="L27" s="54">
        <v>0</v>
      </c>
      <c r="M27">
        <v>3</v>
      </c>
      <c r="N27" s="48">
        <v>1</v>
      </c>
      <c r="O27" s="48">
        <f t="shared" si="0"/>
        <v>3</v>
      </c>
      <c r="P27" s="40">
        <v>18</v>
      </c>
    </row>
    <row r="28" spans="1:16">
      <c r="A28" s="40" t="s">
        <v>5378</v>
      </c>
      <c r="B28" s="44" t="s">
        <v>5379</v>
      </c>
      <c r="C28" s="50" t="s">
        <v>5434</v>
      </c>
      <c r="D28" s="46">
        <v>30</v>
      </c>
      <c r="E28" s="46" t="s">
        <v>5381</v>
      </c>
      <c r="F28" s="44" t="s">
        <v>5382</v>
      </c>
      <c r="G28" s="44" t="s">
        <v>5398</v>
      </c>
      <c r="H28" s="44" t="s">
        <v>5410</v>
      </c>
      <c r="I28" s="44" t="s">
        <v>5400</v>
      </c>
      <c r="J28" s="44" t="s">
        <v>5435</v>
      </c>
      <c r="K28" s="46">
        <v>4</v>
      </c>
      <c r="L28" s="54">
        <v>0</v>
      </c>
      <c r="M28">
        <v>4</v>
      </c>
      <c r="N28" s="48">
        <v>3</v>
      </c>
      <c r="O28" s="48">
        <f t="shared" si="0"/>
        <v>12</v>
      </c>
      <c r="P28" s="40">
        <v>30</v>
      </c>
    </row>
    <row r="29" spans="1:16">
      <c r="A29" s="40" t="s">
        <v>5378</v>
      </c>
      <c r="B29" s="44" t="s">
        <v>5379</v>
      </c>
      <c r="C29" s="45" t="s">
        <v>5436</v>
      </c>
      <c r="D29" s="46">
        <v>5</v>
      </c>
      <c r="E29" s="46" t="s">
        <v>5437</v>
      </c>
      <c r="F29" s="44" t="s">
        <v>5438</v>
      </c>
      <c r="G29" s="44" t="s">
        <v>5439</v>
      </c>
      <c r="H29" s="44" t="s">
        <v>5440</v>
      </c>
      <c r="I29" s="44" t="s">
        <v>5441</v>
      </c>
      <c r="J29" s="44" t="s">
        <v>5442</v>
      </c>
      <c r="K29" s="46">
        <v>4</v>
      </c>
      <c r="L29" s="54">
        <v>0</v>
      </c>
      <c r="M29">
        <v>4</v>
      </c>
      <c r="N29" s="48">
        <v>20</v>
      </c>
      <c r="O29" s="48">
        <f t="shared" si="0"/>
        <v>80</v>
      </c>
      <c r="P29" s="40">
        <v>12</v>
      </c>
    </row>
    <row r="30" spans="1:16">
      <c r="A30" s="40" t="s">
        <v>5378</v>
      </c>
      <c r="B30" s="44" t="s">
        <v>5379</v>
      </c>
      <c r="C30" s="45" t="s">
        <v>5443</v>
      </c>
      <c r="D30" s="46">
        <v>15</v>
      </c>
      <c r="E30" s="46" t="s">
        <v>5437</v>
      </c>
      <c r="F30" s="44" t="s">
        <v>5438</v>
      </c>
      <c r="G30" s="44" t="s">
        <v>5439</v>
      </c>
      <c r="H30" s="44" t="s">
        <v>5440</v>
      </c>
      <c r="I30" s="44" t="s">
        <v>5441</v>
      </c>
      <c r="J30" s="44" t="s">
        <v>5444</v>
      </c>
      <c r="K30" s="46">
        <v>5</v>
      </c>
      <c r="L30" s="54">
        <v>0</v>
      </c>
      <c r="M30">
        <v>5</v>
      </c>
      <c r="N30" s="48">
        <v>40</v>
      </c>
      <c r="O30" s="48">
        <f t="shared" si="0"/>
        <v>200</v>
      </c>
      <c r="P30" s="40">
        <v>18</v>
      </c>
    </row>
    <row r="31" spans="1:16">
      <c r="A31" s="40" t="s">
        <v>5378</v>
      </c>
      <c r="B31" s="44" t="s">
        <v>5379</v>
      </c>
      <c r="C31" s="45" t="s">
        <v>5445</v>
      </c>
      <c r="D31" s="46">
        <v>30</v>
      </c>
      <c r="E31" s="46" t="s">
        <v>5437</v>
      </c>
      <c r="F31" s="44" t="s">
        <v>5438</v>
      </c>
      <c r="G31" s="44" t="s">
        <v>5439</v>
      </c>
      <c r="H31" s="44" t="s">
        <v>5440</v>
      </c>
      <c r="I31" s="44" t="s">
        <v>5441</v>
      </c>
      <c r="J31" s="44" t="s">
        <v>5446</v>
      </c>
      <c r="K31" s="46">
        <v>6</v>
      </c>
      <c r="L31" s="54">
        <v>0</v>
      </c>
      <c r="M31">
        <v>6</v>
      </c>
      <c r="N31" s="48">
        <v>60</v>
      </c>
      <c r="O31" s="48">
        <f t="shared" si="0"/>
        <v>360</v>
      </c>
      <c r="P31" s="40">
        <v>30</v>
      </c>
    </row>
    <row r="32" spans="1:16">
      <c r="A32" s="40" t="s">
        <v>5378</v>
      </c>
      <c r="B32" s="44" t="s">
        <v>5379</v>
      </c>
      <c r="C32" s="45" t="s">
        <v>5447</v>
      </c>
      <c r="D32" s="46">
        <v>5</v>
      </c>
      <c r="E32" s="46" t="s">
        <v>5381</v>
      </c>
      <c r="F32" s="44" t="s">
        <v>5382</v>
      </c>
      <c r="G32" s="44" t="s">
        <v>5398</v>
      </c>
      <c r="H32" s="44" t="s">
        <v>5448</v>
      </c>
      <c r="I32" s="44" t="s">
        <v>5449</v>
      </c>
      <c r="J32" s="51" t="s">
        <v>5450</v>
      </c>
      <c r="K32" s="46">
        <v>1</v>
      </c>
      <c r="L32" s="54">
        <v>0</v>
      </c>
      <c r="M32">
        <v>1</v>
      </c>
      <c r="N32" s="48">
        <v>2</v>
      </c>
      <c r="O32" s="48">
        <f t="shared" si="0"/>
        <v>2</v>
      </c>
      <c r="P32" s="40">
        <v>18</v>
      </c>
    </row>
    <row r="33" spans="1:16">
      <c r="A33" s="40" t="s">
        <v>5378</v>
      </c>
      <c r="B33" s="44" t="s">
        <v>5379</v>
      </c>
      <c r="C33" s="45" t="s">
        <v>5451</v>
      </c>
      <c r="D33" s="46">
        <v>15</v>
      </c>
      <c r="E33" s="46" t="s">
        <v>5381</v>
      </c>
      <c r="F33" s="44" t="s">
        <v>5382</v>
      </c>
      <c r="G33" s="44" t="s">
        <v>5398</v>
      </c>
      <c r="H33" s="44" t="s">
        <v>5452</v>
      </c>
      <c r="I33" s="44" t="s">
        <v>5449</v>
      </c>
      <c r="J33" s="51" t="s">
        <v>5453</v>
      </c>
      <c r="K33" s="46">
        <v>2</v>
      </c>
      <c r="L33" s="54">
        <v>0</v>
      </c>
      <c r="M33">
        <v>2</v>
      </c>
      <c r="N33" s="48">
        <v>4</v>
      </c>
      <c r="O33" s="48">
        <f t="shared" si="0"/>
        <v>8</v>
      </c>
      <c r="P33" s="40">
        <v>30</v>
      </c>
    </row>
    <row r="34" spans="1:16">
      <c r="A34" s="40" t="s">
        <v>5378</v>
      </c>
      <c r="B34" s="44" t="s">
        <v>5379</v>
      </c>
      <c r="C34" s="45" t="s">
        <v>5454</v>
      </c>
      <c r="D34" s="46">
        <v>30</v>
      </c>
      <c r="E34" s="46" t="s">
        <v>5381</v>
      </c>
      <c r="F34" s="44" t="s">
        <v>5382</v>
      </c>
      <c r="G34" s="44" t="s">
        <v>5398</v>
      </c>
      <c r="H34" s="44" t="s">
        <v>5455</v>
      </c>
      <c r="I34" s="44" t="s">
        <v>5449</v>
      </c>
      <c r="J34" s="51" t="s">
        <v>5456</v>
      </c>
      <c r="K34" s="46">
        <v>4</v>
      </c>
      <c r="L34" s="54">
        <v>0</v>
      </c>
      <c r="M34">
        <v>4</v>
      </c>
      <c r="N34" s="48">
        <v>7</v>
      </c>
      <c r="O34" s="48">
        <f t="shared" ref="O34:O65" si="1">N34*(K34+L34)</f>
        <v>28</v>
      </c>
      <c r="P34" s="40">
        <v>48</v>
      </c>
    </row>
    <row r="35" spans="1:16">
      <c r="A35" s="40" t="s">
        <v>5378</v>
      </c>
      <c r="B35" s="44" t="s">
        <v>5457</v>
      </c>
      <c r="C35" s="45" t="s">
        <v>5458</v>
      </c>
      <c r="D35" s="46">
        <v>5</v>
      </c>
      <c r="E35" s="46" t="s">
        <v>5381</v>
      </c>
      <c r="F35" s="44" t="s">
        <v>5409</v>
      </c>
      <c r="G35" s="44" t="s">
        <v>5383</v>
      </c>
      <c r="H35" s="44" t="s">
        <v>5383</v>
      </c>
      <c r="I35" s="44" t="s">
        <v>5459</v>
      </c>
      <c r="J35" s="44" t="s">
        <v>5460</v>
      </c>
      <c r="K35" s="46">
        <v>3</v>
      </c>
      <c r="L35" s="54">
        <v>0</v>
      </c>
      <c r="M35">
        <v>4</v>
      </c>
      <c r="N35" s="48">
        <v>50</v>
      </c>
      <c r="O35" s="48">
        <f t="shared" si="1"/>
        <v>150</v>
      </c>
      <c r="P35" s="40">
        <v>24</v>
      </c>
    </row>
    <row r="36" spans="1:16">
      <c r="A36" s="40" t="s">
        <v>5378</v>
      </c>
      <c r="B36" s="44" t="s">
        <v>5457</v>
      </c>
      <c r="C36" s="45" t="s">
        <v>5461</v>
      </c>
      <c r="D36" s="46">
        <v>15</v>
      </c>
      <c r="E36" s="46" t="s">
        <v>5381</v>
      </c>
      <c r="F36" s="44" t="s">
        <v>5409</v>
      </c>
      <c r="G36" s="44" t="s">
        <v>5383</v>
      </c>
      <c r="H36" s="44" t="s">
        <v>5383</v>
      </c>
      <c r="I36" s="44" t="s">
        <v>5459</v>
      </c>
      <c r="J36" s="44" t="s">
        <v>5462</v>
      </c>
      <c r="K36" s="46">
        <v>4</v>
      </c>
      <c r="L36" s="54">
        <v>0</v>
      </c>
      <c r="M36">
        <v>5</v>
      </c>
      <c r="N36" s="48">
        <v>150</v>
      </c>
      <c r="O36" s="48">
        <f t="shared" si="1"/>
        <v>600</v>
      </c>
      <c r="P36" s="40">
        <v>36</v>
      </c>
    </row>
    <row r="37" spans="1:16">
      <c r="A37" s="40" t="s">
        <v>5378</v>
      </c>
      <c r="B37" s="44" t="s">
        <v>5457</v>
      </c>
      <c r="C37" s="45" t="s">
        <v>5463</v>
      </c>
      <c r="D37" s="46">
        <v>30</v>
      </c>
      <c r="E37" s="46" t="s">
        <v>5381</v>
      </c>
      <c r="F37" s="44" t="s">
        <v>5409</v>
      </c>
      <c r="G37" s="44" t="s">
        <v>5383</v>
      </c>
      <c r="H37" s="44" t="s">
        <v>5383</v>
      </c>
      <c r="I37" s="44" t="s">
        <v>5459</v>
      </c>
      <c r="J37" s="44" t="s">
        <v>5464</v>
      </c>
      <c r="K37" s="46">
        <v>5</v>
      </c>
      <c r="L37" s="54">
        <v>0</v>
      </c>
      <c r="M37">
        <v>6</v>
      </c>
      <c r="N37" s="48">
        <v>500</v>
      </c>
      <c r="O37" s="48">
        <f t="shared" si="1"/>
        <v>2500</v>
      </c>
      <c r="P37" s="40">
        <v>60</v>
      </c>
    </row>
    <row r="38" spans="1:16">
      <c r="A38" s="40" t="s">
        <v>5378</v>
      </c>
      <c r="B38" s="44" t="s">
        <v>5379</v>
      </c>
      <c r="C38" s="45" t="s">
        <v>5465</v>
      </c>
      <c r="D38" s="46">
        <v>15</v>
      </c>
      <c r="E38" s="46" t="s">
        <v>5437</v>
      </c>
      <c r="F38" s="44" t="s">
        <v>5466</v>
      </c>
      <c r="G38" s="44" t="s">
        <v>5398</v>
      </c>
      <c r="H38" s="44" t="s">
        <v>5398</v>
      </c>
      <c r="I38" s="44" t="s">
        <v>5459</v>
      </c>
      <c r="J38" s="44" t="s">
        <v>5467</v>
      </c>
      <c r="K38" s="46">
        <v>5</v>
      </c>
      <c r="L38" s="54">
        <v>0</v>
      </c>
      <c r="M38">
        <v>3</v>
      </c>
      <c r="N38" s="48">
        <v>10</v>
      </c>
      <c r="O38" s="48">
        <f t="shared" si="1"/>
        <v>50</v>
      </c>
      <c r="P38" s="40">
        <v>18</v>
      </c>
    </row>
    <row r="39" spans="1:16">
      <c r="A39" s="40" t="s">
        <v>5378</v>
      </c>
      <c r="B39" s="44" t="s">
        <v>5379</v>
      </c>
      <c r="C39" s="45" t="s">
        <v>5468</v>
      </c>
      <c r="D39" s="46">
        <v>30</v>
      </c>
      <c r="E39" s="46" t="s">
        <v>5381</v>
      </c>
      <c r="F39" s="44" t="s">
        <v>5409</v>
      </c>
      <c r="G39" s="44" t="s">
        <v>5398</v>
      </c>
      <c r="H39" s="44" t="s">
        <v>5398</v>
      </c>
      <c r="I39" s="44" t="s">
        <v>5459</v>
      </c>
      <c r="J39" s="44" t="s">
        <v>5467</v>
      </c>
      <c r="K39" s="46">
        <v>2</v>
      </c>
      <c r="L39" s="54">
        <v>0</v>
      </c>
      <c r="M39">
        <v>3</v>
      </c>
      <c r="N39" s="48">
        <v>1</v>
      </c>
      <c r="O39" s="48">
        <f t="shared" si="1"/>
        <v>2</v>
      </c>
      <c r="P39" s="40">
        <v>15</v>
      </c>
    </row>
    <row r="40" spans="1:16">
      <c r="A40" s="40" t="s">
        <v>5378</v>
      </c>
      <c r="B40" s="44" t="s">
        <v>5379</v>
      </c>
      <c r="C40" s="45" t="s">
        <v>5469</v>
      </c>
      <c r="D40" s="46">
        <v>30</v>
      </c>
      <c r="E40" s="46" t="s">
        <v>5437</v>
      </c>
      <c r="F40" s="44" t="s">
        <v>5466</v>
      </c>
      <c r="G40" s="44" t="s">
        <v>5398</v>
      </c>
      <c r="H40" s="44" t="s">
        <v>5398</v>
      </c>
      <c r="I40" s="44" t="s">
        <v>5459</v>
      </c>
      <c r="J40" s="44" t="s">
        <v>5470</v>
      </c>
      <c r="K40" s="46">
        <v>6</v>
      </c>
      <c r="L40" s="54">
        <v>0</v>
      </c>
      <c r="M40">
        <v>4</v>
      </c>
      <c r="N40" s="48">
        <v>20</v>
      </c>
      <c r="O40" s="48">
        <f t="shared" si="1"/>
        <v>120</v>
      </c>
      <c r="P40" s="40">
        <v>30</v>
      </c>
    </row>
    <row r="41" spans="1:16">
      <c r="A41" s="40" t="s">
        <v>5378</v>
      </c>
      <c r="B41" s="44" t="s">
        <v>5379</v>
      </c>
      <c r="C41" s="45" t="s">
        <v>5471</v>
      </c>
      <c r="D41" s="46">
        <v>40</v>
      </c>
      <c r="E41" s="46" t="s">
        <v>5381</v>
      </c>
      <c r="F41" s="44" t="s">
        <v>5409</v>
      </c>
      <c r="G41" s="44" t="s">
        <v>5398</v>
      </c>
      <c r="H41" s="44" t="s">
        <v>5398</v>
      </c>
      <c r="I41" s="44" t="s">
        <v>5459</v>
      </c>
      <c r="J41" s="44" t="s">
        <v>5470</v>
      </c>
      <c r="K41" s="46">
        <v>3</v>
      </c>
      <c r="L41" s="54">
        <v>0</v>
      </c>
      <c r="M41">
        <v>5</v>
      </c>
      <c r="N41" s="48">
        <v>5</v>
      </c>
      <c r="O41" s="48">
        <f t="shared" si="1"/>
        <v>15</v>
      </c>
      <c r="P41" s="40">
        <v>24</v>
      </c>
    </row>
    <row r="42" spans="1:16">
      <c r="A42" s="40" t="s">
        <v>5378</v>
      </c>
      <c r="B42" s="44" t="s">
        <v>5379</v>
      </c>
      <c r="C42" s="45" t="s">
        <v>5472</v>
      </c>
      <c r="D42" s="46">
        <v>40</v>
      </c>
      <c r="E42" s="46" t="s">
        <v>5437</v>
      </c>
      <c r="F42" s="44" t="s">
        <v>5466</v>
      </c>
      <c r="G42" s="44" t="s">
        <v>5398</v>
      </c>
      <c r="H42" s="44" t="s">
        <v>5398</v>
      </c>
      <c r="I42" s="44" t="s">
        <v>5459</v>
      </c>
      <c r="J42" s="44" t="s">
        <v>5473</v>
      </c>
      <c r="K42" s="46">
        <v>7</v>
      </c>
      <c r="L42" s="54">
        <v>0</v>
      </c>
      <c r="M42">
        <v>5</v>
      </c>
      <c r="N42" s="48">
        <v>30</v>
      </c>
      <c r="O42" s="48">
        <f t="shared" si="1"/>
        <v>210</v>
      </c>
      <c r="P42" s="40">
        <v>48</v>
      </c>
    </row>
    <row r="43" spans="1:16">
      <c r="A43" s="40" t="s">
        <v>5378</v>
      </c>
      <c r="B43" s="44" t="s">
        <v>5379</v>
      </c>
      <c r="C43" s="45" t="s">
        <v>5474</v>
      </c>
      <c r="D43" s="46">
        <v>5</v>
      </c>
      <c r="E43" s="46" t="s">
        <v>5381</v>
      </c>
      <c r="F43" s="44" t="s">
        <v>5409</v>
      </c>
      <c r="G43" s="44" t="s">
        <v>5398</v>
      </c>
      <c r="H43" s="44" t="s">
        <v>5398</v>
      </c>
      <c r="I43" s="44" t="s">
        <v>5459</v>
      </c>
      <c r="J43" s="44" t="s">
        <v>5475</v>
      </c>
      <c r="K43" s="46">
        <v>1</v>
      </c>
      <c r="L43" s="54">
        <v>0</v>
      </c>
      <c r="M43">
        <v>1</v>
      </c>
      <c r="N43" s="48">
        <v>0.25</v>
      </c>
      <c r="O43" s="48">
        <f t="shared" si="1"/>
        <v>0.25</v>
      </c>
      <c r="P43" s="40">
        <v>6</v>
      </c>
    </row>
    <row r="44" spans="1:16">
      <c r="A44" s="40" t="s">
        <v>5378</v>
      </c>
      <c r="B44" s="44" t="s">
        <v>5379</v>
      </c>
      <c r="C44" s="45" t="s">
        <v>5476</v>
      </c>
      <c r="D44" s="46">
        <v>5</v>
      </c>
      <c r="E44" s="46" t="s">
        <v>5437</v>
      </c>
      <c r="F44" s="44" t="s">
        <v>5466</v>
      </c>
      <c r="G44" s="44" t="s">
        <v>5398</v>
      </c>
      <c r="H44" s="44" t="s">
        <v>5398</v>
      </c>
      <c r="I44" s="44" t="s">
        <v>5459</v>
      </c>
      <c r="J44" s="44" t="s">
        <v>5477</v>
      </c>
      <c r="K44" s="46">
        <v>4</v>
      </c>
      <c r="L44" s="54">
        <v>0</v>
      </c>
      <c r="M44">
        <v>2</v>
      </c>
      <c r="N44" s="48">
        <v>5</v>
      </c>
      <c r="O44" s="48">
        <f t="shared" si="1"/>
        <v>20</v>
      </c>
      <c r="P44" s="40">
        <v>12</v>
      </c>
    </row>
    <row r="45" spans="1:16">
      <c r="A45" s="40" t="s">
        <v>5378</v>
      </c>
      <c r="B45" s="44" t="s">
        <v>5379</v>
      </c>
      <c r="C45" s="45" t="s">
        <v>5478</v>
      </c>
      <c r="D45" s="46">
        <v>15</v>
      </c>
      <c r="E45" s="46" t="s">
        <v>5381</v>
      </c>
      <c r="F45" s="44" t="s">
        <v>5409</v>
      </c>
      <c r="G45" s="44" t="s">
        <v>5398</v>
      </c>
      <c r="H45" s="44" t="s">
        <v>5398</v>
      </c>
      <c r="I45" s="44" t="s">
        <v>5459</v>
      </c>
      <c r="J45" s="44" t="s">
        <v>5477</v>
      </c>
      <c r="K45" s="46">
        <v>1</v>
      </c>
      <c r="L45" s="54">
        <v>0</v>
      </c>
      <c r="M45">
        <v>2</v>
      </c>
      <c r="N45" s="48">
        <v>0.5</v>
      </c>
      <c r="O45" s="48">
        <f t="shared" si="1"/>
        <v>0.5</v>
      </c>
      <c r="P45" s="40">
        <v>9</v>
      </c>
    </row>
    <row r="46" spans="1:16">
      <c r="A46" s="40" t="s">
        <v>5378</v>
      </c>
      <c r="B46" s="44" t="s">
        <v>5379</v>
      </c>
      <c r="C46" s="45" t="s">
        <v>5479</v>
      </c>
      <c r="D46" s="46">
        <v>15</v>
      </c>
      <c r="E46" s="46" t="s">
        <v>5381</v>
      </c>
      <c r="F46" s="44" t="s">
        <v>5382</v>
      </c>
      <c r="G46" s="44" t="s">
        <v>5398</v>
      </c>
      <c r="H46" s="44" t="s">
        <v>5398</v>
      </c>
      <c r="I46" s="44" t="s">
        <v>5459</v>
      </c>
      <c r="J46" s="44" t="s">
        <v>5480</v>
      </c>
      <c r="K46" s="46">
        <v>3</v>
      </c>
      <c r="L46" s="54">
        <v>0</v>
      </c>
      <c r="M46">
        <v>3</v>
      </c>
      <c r="N46" s="48">
        <v>1</v>
      </c>
      <c r="O46" s="48">
        <f t="shared" si="1"/>
        <v>3</v>
      </c>
      <c r="P46" s="40">
        <v>9</v>
      </c>
    </row>
    <row r="47" spans="1:16">
      <c r="A47" s="40" t="s">
        <v>5378</v>
      </c>
      <c r="B47" s="44" t="s">
        <v>5379</v>
      </c>
      <c r="C47" s="45" t="s">
        <v>5481</v>
      </c>
      <c r="D47" s="46">
        <v>30</v>
      </c>
      <c r="E47" s="46" t="s">
        <v>5381</v>
      </c>
      <c r="F47" s="44" t="s">
        <v>5382</v>
      </c>
      <c r="G47" s="44" t="s">
        <v>5398</v>
      </c>
      <c r="H47" s="44" t="s">
        <v>5398</v>
      </c>
      <c r="I47" s="44" t="s">
        <v>5459</v>
      </c>
      <c r="J47" s="44" t="s">
        <v>5482</v>
      </c>
      <c r="K47" s="46">
        <v>4</v>
      </c>
      <c r="L47" s="54">
        <v>0</v>
      </c>
      <c r="M47">
        <v>4</v>
      </c>
      <c r="N47" s="48">
        <v>3</v>
      </c>
      <c r="O47" s="48">
        <f t="shared" si="1"/>
        <v>12</v>
      </c>
      <c r="P47" s="40">
        <v>15</v>
      </c>
    </row>
    <row r="48" spans="1:16">
      <c r="A48" s="40" t="s">
        <v>5378</v>
      </c>
      <c r="B48" s="44" t="s">
        <v>5379</v>
      </c>
      <c r="C48" s="45" t="s">
        <v>5483</v>
      </c>
      <c r="D48" s="46">
        <v>5</v>
      </c>
      <c r="E48" s="46" t="s">
        <v>5381</v>
      </c>
      <c r="F48" s="44" t="s">
        <v>5382</v>
      </c>
      <c r="G48" s="44" t="s">
        <v>5398</v>
      </c>
      <c r="H48" s="44" t="s">
        <v>5398</v>
      </c>
      <c r="I48" s="44" t="s">
        <v>5459</v>
      </c>
      <c r="J48" s="44" t="s">
        <v>5484</v>
      </c>
      <c r="K48" s="46">
        <v>2</v>
      </c>
      <c r="L48" s="54">
        <v>0</v>
      </c>
      <c r="M48">
        <v>2</v>
      </c>
      <c r="N48" s="48">
        <v>0.5</v>
      </c>
      <c r="O48" s="48">
        <f t="shared" si="1"/>
        <v>1</v>
      </c>
      <c r="P48" s="40">
        <v>6</v>
      </c>
    </row>
    <row r="49" spans="1:16">
      <c r="A49" s="40" t="s">
        <v>5485</v>
      </c>
      <c r="B49" s="44" t="s">
        <v>5379</v>
      </c>
      <c r="C49" s="45" t="s">
        <v>5486</v>
      </c>
      <c r="D49" s="46">
        <v>65</v>
      </c>
      <c r="E49" s="46" t="s">
        <v>5381</v>
      </c>
      <c r="F49" s="44" t="s">
        <v>5438</v>
      </c>
      <c r="G49" s="44" t="s">
        <v>5487</v>
      </c>
      <c r="H49" s="44" t="s">
        <v>5488</v>
      </c>
      <c r="I49" s="44" t="s">
        <v>5459</v>
      </c>
      <c r="J49" s="44" t="s">
        <v>5489</v>
      </c>
      <c r="K49" s="46">
        <v>1</v>
      </c>
      <c r="L49" s="54">
        <v>0</v>
      </c>
      <c r="M49">
        <v>1</v>
      </c>
      <c r="N49" s="48">
        <v>5</v>
      </c>
      <c r="O49" s="48">
        <f t="shared" si="1"/>
        <v>5</v>
      </c>
      <c r="P49" s="40">
        <v>6</v>
      </c>
    </row>
    <row r="50" spans="1:16">
      <c r="A50" s="40" t="s">
        <v>5485</v>
      </c>
      <c r="B50" s="44" t="s">
        <v>5457</v>
      </c>
      <c r="C50" s="45" t="s">
        <v>5490</v>
      </c>
      <c r="D50" s="46">
        <v>75</v>
      </c>
      <c r="E50" s="46" t="s">
        <v>5381</v>
      </c>
      <c r="F50" s="44" t="s">
        <v>5438</v>
      </c>
      <c r="G50" s="44" t="s">
        <v>5383</v>
      </c>
      <c r="H50" s="44" t="s">
        <v>5383</v>
      </c>
      <c r="I50" s="44" t="s">
        <v>5459</v>
      </c>
      <c r="J50" s="44" t="s">
        <v>5491</v>
      </c>
      <c r="K50" s="46">
        <v>1</v>
      </c>
      <c r="L50" s="54">
        <v>0</v>
      </c>
      <c r="M50">
        <v>3</v>
      </c>
      <c r="N50" s="48">
        <v>25</v>
      </c>
      <c r="O50" s="48">
        <f t="shared" si="1"/>
        <v>25</v>
      </c>
      <c r="P50" s="40">
        <v>24</v>
      </c>
    </row>
    <row r="51" spans="1:16">
      <c r="A51" s="40" t="s">
        <v>5485</v>
      </c>
      <c r="B51" s="44" t="s">
        <v>5457</v>
      </c>
      <c r="C51" s="45" t="s">
        <v>5492</v>
      </c>
      <c r="D51" s="46">
        <v>85</v>
      </c>
      <c r="E51" s="46" t="s">
        <v>5381</v>
      </c>
      <c r="F51" s="44" t="s">
        <v>5438</v>
      </c>
      <c r="G51" s="44" t="s">
        <v>5383</v>
      </c>
      <c r="H51" s="44" t="s">
        <v>5383</v>
      </c>
      <c r="I51" s="44" t="s">
        <v>5459</v>
      </c>
      <c r="J51" s="44" t="s">
        <v>5493</v>
      </c>
      <c r="K51" s="46">
        <v>1</v>
      </c>
      <c r="L51" s="54">
        <v>0</v>
      </c>
      <c r="M51">
        <v>4</v>
      </c>
      <c r="N51" s="48">
        <v>250</v>
      </c>
      <c r="O51" s="48">
        <f t="shared" si="1"/>
        <v>250</v>
      </c>
      <c r="P51" s="40">
        <v>48</v>
      </c>
    </row>
    <row r="52" spans="1:16">
      <c r="A52" s="40" t="s">
        <v>5485</v>
      </c>
      <c r="B52" s="44" t="s">
        <v>5379</v>
      </c>
      <c r="C52" s="45" t="s">
        <v>5494</v>
      </c>
      <c r="D52" s="46">
        <v>30</v>
      </c>
      <c r="E52" s="46" t="s">
        <v>5381</v>
      </c>
      <c r="F52" s="44" t="s">
        <v>5438</v>
      </c>
      <c r="G52" s="44" t="s">
        <v>5495</v>
      </c>
      <c r="H52" s="44" t="s">
        <v>5496</v>
      </c>
      <c r="I52" s="44" t="s">
        <v>5497</v>
      </c>
      <c r="J52" s="44" t="s">
        <v>5498</v>
      </c>
      <c r="K52" s="46">
        <v>1</v>
      </c>
      <c r="L52" s="54">
        <v>0</v>
      </c>
      <c r="M52">
        <v>1</v>
      </c>
      <c r="N52" s="48">
        <v>2.5</v>
      </c>
      <c r="O52" s="48">
        <f t="shared" si="1"/>
        <v>2.5</v>
      </c>
      <c r="P52" s="40">
        <v>6</v>
      </c>
    </row>
    <row r="53" spans="1:16">
      <c r="A53" s="40" t="s">
        <v>5485</v>
      </c>
      <c r="B53" s="44" t="s">
        <v>5379</v>
      </c>
      <c r="C53" s="45" t="s">
        <v>5499</v>
      </c>
      <c r="D53" s="46">
        <v>40</v>
      </c>
      <c r="E53" s="46" t="s">
        <v>5381</v>
      </c>
      <c r="F53" s="44" t="s">
        <v>5438</v>
      </c>
      <c r="G53" s="44" t="s">
        <v>5495</v>
      </c>
      <c r="H53" s="44" t="s">
        <v>5496</v>
      </c>
      <c r="I53" s="44" t="s">
        <v>5497</v>
      </c>
      <c r="J53" s="44" t="s">
        <v>5500</v>
      </c>
      <c r="K53" s="46">
        <v>1</v>
      </c>
      <c r="L53" s="54">
        <v>0</v>
      </c>
      <c r="M53">
        <v>1</v>
      </c>
      <c r="N53" s="48">
        <v>10</v>
      </c>
      <c r="O53" s="48">
        <f t="shared" si="1"/>
        <v>10</v>
      </c>
      <c r="P53" s="40">
        <v>9</v>
      </c>
    </row>
    <row r="54" spans="1:16">
      <c r="A54" s="40" t="s">
        <v>5485</v>
      </c>
      <c r="B54" s="44" t="s">
        <v>5379</v>
      </c>
      <c r="C54" s="45" t="s">
        <v>5501</v>
      </c>
      <c r="D54" s="46">
        <v>50</v>
      </c>
      <c r="E54" s="46" t="s">
        <v>5381</v>
      </c>
      <c r="F54" s="44" t="s">
        <v>5438</v>
      </c>
      <c r="G54" s="44" t="s">
        <v>5495</v>
      </c>
      <c r="H54" s="44" t="s">
        <v>5496</v>
      </c>
      <c r="I54" s="44" t="s">
        <v>5497</v>
      </c>
      <c r="J54" s="44" t="s">
        <v>5502</v>
      </c>
      <c r="K54" s="46">
        <v>1</v>
      </c>
      <c r="L54" s="54">
        <v>0</v>
      </c>
      <c r="M54">
        <v>1</v>
      </c>
      <c r="N54" s="48">
        <v>40</v>
      </c>
      <c r="O54" s="48">
        <f t="shared" si="1"/>
        <v>40</v>
      </c>
      <c r="P54" s="40">
        <v>15</v>
      </c>
    </row>
    <row r="55" spans="1:16">
      <c r="A55" s="40" t="s">
        <v>5485</v>
      </c>
      <c r="B55" s="44" t="s">
        <v>5457</v>
      </c>
      <c r="C55" s="45" t="s">
        <v>5503</v>
      </c>
      <c r="D55" s="46">
        <v>30</v>
      </c>
      <c r="E55" s="46" t="s">
        <v>5381</v>
      </c>
      <c r="F55" s="44" t="s">
        <v>5466</v>
      </c>
      <c r="G55" s="44" t="s">
        <v>5504</v>
      </c>
      <c r="H55" s="44" t="s">
        <v>5495</v>
      </c>
      <c r="I55" s="44" t="s">
        <v>5459</v>
      </c>
      <c r="J55" s="44" t="s">
        <v>5505</v>
      </c>
      <c r="K55" s="46">
        <v>1</v>
      </c>
      <c r="L55" s="54">
        <v>0</v>
      </c>
      <c r="M55">
        <v>2</v>
      </c>
      <c r="N55" s="48">
        <v>5</v>
      </c>
      <c r="O55" s="48">
        <f t="shared" si="1"/>
        <v>5</v>
      </c>
      <c r="P55" s="40">
        <v>12</v>
      </c>
    </row>
    <row r="56" spans="1:16">
      <c r="A56" s="40" t="s">
        <v>5485</v>
      </c>
      <c r="B56" s="44" t="s">
        <v>5457</v>
      </c>
      <c r="C56" s="45" t="s">
        <v>5506</v>
      </c>
      <c r="D56" s="46">
        <v>40</v>
      </c>
      <c r="E56" s="46" t="s">
        <v>5381</v>
      </c>
      <c r="F56" s="44" t="s">
        <v>5466</v>
      </c>
      <c r="G56" s="44" t="s">
        <v>5504</v>
      </c>
      <c r="H56" s="44" t="s">
        <v>5495</v>
      </c>
      <c r="I56" s="44" t="s">
        <v>5459</v>
      </c>
      <c r="J56" s="44" t="s">
        <v>5507</v>
      </c>
      <c r="K56" s="46">
        <v>1</v>
      </c>
      <c r="L56" s="54">
        <v>0</v>
      </c>
      <c r="M56">
        <v>3</v>
      </c>
      <c r="N56" s="48">
        <v>20</v>
      </c>
      <c r="O56" s="48">
        <f t="shared" si="1"/>
        <v>20</v>
      </c>
      <c r="P56" s="40">
        <v>18</v>
      </c>
    </row>
    <row r="57" spans="1:16">
      <c r="A57" s="40" t="s">
        <v>5485</v>
      </c>
      <c r="B57" s="44" t="s">
        <v>5457</v>
      </c>
      <c r="C57" s="45" t="s">
        <v>5508</v>
      </c>
      <c r="D57" s="46">
        <v>50</v>
      </c>
      <c r="E57" s="46" t="s">
        <v>5381</v>
      </c>
      <c r="F57" s="44" t="s">
        <v>5466</v>
      </c>
      <c r="G57" s="44" t="s">
        <v>5504</v>
      </c>
      <c r="H57" s="44" t="s">
        <v>5495</v>
      </c>
      <c r="I57" s="44" t="s">
        <v>5459</v>
      </c>
      <c r="J57" s="44" t="s">
        <v>5509</v>
      </c>
      <c r="K57" s="46">
        <v>1</v>
      </c>
      <c r="L57" s="54">
        <v>0</v>
      </c>
      <c r="M57">
        <v>4</v>
      </c>
      <c r="N57" s="48">
        <v>125</v>
      </c>
      <c r="O57" s="48">
        <f t="shared" si="1"/>
        <v>125</v>
      </c>
      <c r="P57" s="40">
        <v>30</v>
      </c>
    </row>
    <row r="58" spans="1:16">
      <c r="A58" s="40" t="s">
        <v>5485</v>
      </c>
      <c r="B58" s="44" t="s">
        <v>5457</v>
      </c>
      <c r="C58" s="45" t="s">
        <v>5510</v>
      </c>
      <c r="D58" s="46">
        <v>55</v>
      </c>
      <c r="E58" s="46" t="s">
        <v>5381</v>
      </c>
      <c r="F58" s="44" t="s">
        <v>5438</v>
      </c>
      <c r="G58" s="44" t="s">
        <v>5504</v>
      </c>
      <c r="H58" s="44" t="s">
        <v>5511</v>
      </c>
      <c r="I58" s="44" t="s">
        <v>5459</v>
      </c>
      <c r="J58" s="44" t="s">
        <v>5512</v>
      </c>
      <c r="K58" s="46">
        <v>1</v>
      </c>
      <c r="L58" s="54">
        <v>0</v>
      </c>
      <c r="M58">
        <v>3</v>
      </c>
      <c r="N58" s="48">
        <v>250</v>
      </c>
      <c r="O58" s="48">
        <f t="shared" si="1"/>
        <v>250</v>
      </c>
      <c r="P58" s="40">
        <v>24</v>
      </c>
    </row>
    <row r="59" spans="1:16">
      <c r="A59" s="40" t="s">
        <v>5485</v>
      </c>
      <c r="B59" s="44" t="s">
        <v>5457</v>
      </c>
      <c r="C59" s="45" t="s">
        <v>5513</v>
      </c>
      <c r="D59" s="46">
        <v>65</v>
      </c>
      <c r="E59" s="46" t="s">
        <v>5381</v>
      </c>
      <c r="F59" s="44" t="s">
        <v>5438</v>
      </c>
      <c r="G59" s="44" t="s">
        <v>5504</v>
      </c>
      <c r="H59" s="44" t="s">
        <v>5511</v>
      </c>
      <c r="I59" s="44" t="s">
        <v>5459</v>
      </c>
      <c r="J59" s="44" t="s">
        <v>5514</v>
      </c>
      <c r="K59" s="46">
        <v>1</v>
      </c>
      <c r="L59" s="54">
        <v>0</v>
      </c>
      <c r="M59">
        <v>6</v>
      </c>
      <c r="N59" s="48">
        <v>2500</v>
      </c>
      <c r="O59" s="48">
        <f t="shared" si="1"/>
        <v>2500</v>
      </c>
      <c r="P59" s="40">
        <v>48</v>
      </c>
    </row>
    <row r="60" spans="1:16">
      <c r="A60" s="40" t="s">
        <v>5485</v>
      </c>
      <c r="B60" s="44" t="s">
        <v>5457</v>
      </c>
      <c r="C60" s="45" t="s">
        <v>5515</v>
      </c>
      <c r="D60" s="46">
        <v>80</v>
      </c>
      <c r="E60" s="46" t="s">
        <v>5381</v>
      </c>
      <c r="F60" s="44" t="s">
        <v>5438</v>
      </c>
      <c r="G60" s="44" t="s">
        <v>5516</v>
      </c>
      <c r="H60" s="44" t="s">
        <v>5517</v>
      </c>
      <c r="I60" s="44" t="s">
        <v>5459</v>
      </c>
      <c r="J60" s="44" t="s">
        <v>5518</v>
      </c>
      <c r="K60" s="46">
        <v>2</v>
      </c>
      <c r="L60" s="54">
        <v>0</v>
      </c>
      <c r="M60">
        <v>7</v>
      </c>
      <c r="N60" s="48">
        <v>1500</v>
      </c>
      <c r="O60" s="48">
        <f t="shared" si="1"/>
        <v>3000</v>
      </c>
      <c r="P60" s="40">
        <v>150</v>
      </c>
    </row>
    <row r="61" spans="1:16">
      <c r="A61" s="40" t="s">
        <v>5485</v>
      </c>
      <c r="B61" s="44" t="s">
        <v>5457</v>
      </c>
      <c r="C61" s="45" t="s">
        <v>5519</v>
      </c>
      <c r="D61" s="46">
        <v>90</v>
      </c>
      <c r="E61" s="46" t="s">
        <v>5381</v>
      </c>
      <c r="F61" s="44" t="s">
        <v>5438</v>
      </c>
      <c r="G61" s="44" t="s">
        <v>5516</v>
      </c>
      <c r="H61" s="44" t="s">
        <v>5517</v>
      </c>
      <c r="I61" s="44" t="s">
        <v>5459</v>
      </c>
      <c r="J61" s="44" t="s">
        <v>5520</v>
      </c>
      <c r="K61" s="46">
        <v>3</v>
      </c>
      <c r="L61" s="54">
        <v>0</v>
      </c>
      <c r="M61">
        <v>7</v>
      </c>
      <c r="N61" s="48">
        <v>2000</v>
      </c>
      <c r="O61" s="48">
        <f t="shared" si="1"/>
        <v>6000</v>
      </c>
      <c r="P61" s="40">
        <v>240</v>
      </c>
    </row>
    <row r="62" spans="1:16">
      <c r="A62" s="40" t="s">
        <v>5485</v>
      </c>
      <c r="B62" s="44" t="s">
        <v>5457</v>
      </c>
      <c r="C62" s="45" t="s">
        <v>5521</v>
      </c>
      <c r="D62" s="46">
        <v>60</v>
      </c>
      <c r="E62" s="46" t="s">
        <v>5381</v>
      </c>
      <c r="F62" s="44" t="s">
        <v>5438</v>
      </c>
      <c r="G62" s="44" t="s">
        <v>5516</v>
      </c>
      <c r="H62" s="44" t="s">
        <v>5517</v>
      </c>
      <c r="I62" s="44" t="s">
        <v>5459</v>
      </c>
      <c r="J62" s="44" t="s">
        <v>5522</v>
      </c>
      <c r="K62" s="46">
        <v>1</v>
      </c>
      <c r="L62" s="54">
        <v>0</v>
      </c>
      <c r="M62">
        <v>5</v>
      </c>
      <c r="N62" s="48">
        <v>500</v>
      </c>
      <c r="O62" s="48">
        <f t="shared" si="1"/>
        <v>500</v>
      </c>
      <c r="P62" s="40">
        <v>60</v>
      </c>
    </row>
    <row r="63" spans="1:16">
      <c r="A63" s="40" t="s">
        <v>5485</v>
      </c>
      <c r="B63" s="44" t="s">
        <v>5457</v>
      </c>
      <c r="C63" s="45" t="s">
        <v>5523</v>
      </c>
      <c r="D63" s="46">
        <v>70</v>
      </c>
      <c r="E63" s="46" t="s">
        <v>5381</v>
      </c>
      <c r="F63" s="44" t="s">
        <v>5438</v>
      </c>
      <c r="G63" s="44" t="s">
        <v>5516</v>
      </c>
      <c r="H63" s="44" t="s">
        <v>5517</v>
      </c>
      <c r="I63" s="44" t="s">
        <v>5459</v>
      </c>
      <c r="J63" s="44" t="s">
        <v>5524</v>
      </c>
      <c r="K63" s="46">
        <v>1</v>
      </c>
      <c r="L63" s="54">
        <v>0</v>
      </c>
      <c r="M63">
        <v>6</v>
      </c>
      <c r="N63" s="48">
        <v>1000</v>
      </c>
      <c r="O63" s="48">
        <f t="shared" si="1"/>
        <v>1000</v>
      </c>
      <c r="P63" s="40">
        <v>90</v>
      </c>
    </row>
    <row r="64" spans="1:16">
      <c r="A64" s="40" t="s">
        <v>5485</v>
      </c>
      <c r="B64" s="44" t="s">
        <v>5379</v>
      </c>
      <c r="C64" s="45" t="s">
        <v>5525</v>
      </c>
      <c r="D64" s="46">
        <v>65</v>
      </c>
      <c r="E64" s="46" t="s">
        <v>5381</v>
      </c>
      <c r="F64" s="44" t="s">
        <v>5438</v>
      </c>
      <c r="G64" s="44" t="s">
        <v>5504</v>
      </c>
      <c r="H64" s="44" t="s">
        <v>5487</v>
      </c>
      <c r="I64" s="44" t="s">
        <v>5526</v>
      </c>
      <c r="J64" s="44" t="s">
        <v>5527</v>
      </c>
      <c r="K64" s="46">
        <v>1</v>
      </c>
      <c r="L64" s="54">
        <v>0</v>
      </c>
      <c r="M64">
        <v>1</v>
      </c>
      <c r="N64" s="48">
        <v>25</v>
      </c>
      <c r="O64" s="48">
        <f t="shared" si="1"/>
        <v>25</v>
      </c>
      <c r="P64" s="40">
        <v>10</v>
      </c>
    </row>
    <row r="65" spans="1:16">
      <c r="A65" s="40" t="s">
        <v>5485</v>
      </c>
      <c r="B65" s="44" t="s">
        <v>5379</v>
      </c>
      <c r="C65" s="45" t="s">
        <v>5528</v>
      </c>
      <c r="D65" s="46">
        <v>75</v>
      </c>
      <c r="E65" s="46" t="s">
        <v>5381</v>
      </c>
      <c r="F65" s="44" t="s">
        <v>5438</v>
      </c>
      <c r="G65" s="44" t="s">
        <v>5504</v>
      </c>
      <c r="H65" s="44" t="s">
        <v>5487</v>
      </c>
      <c r="I65" s="44" t="s">
        <v>5526</v>
      </c>
      <c r="J65" s="44" t="s">
        <v>5529</v>
      </c>
      <c r="K65" s="46">
        <v>1</v>
      </c>
      <c r="L65" s="54">
        <v>0</v>
      </c>
      <c r="M65">
        <v>3</v>
      </c>
      <c r="N65" s="48">
        <v>50</v>
      </c>
      <c r="O65" s="48">
        <f t="shared" si="1"/>
        <v>50</v>
      </c>
      <c r="P65" s="40">
        <v>15</v>
      </c>
    </row>
    <row r="66" spans="1:16">
      <c r="A66" s="40" t="s">
        <v>5485</v>
      </c>
      <c r="B66" s="44" t="s">
        <v>5379</v>
      </c>
      <c r="C66" s="45" t="s">
        <v>5530</v>
      </c>
      <c r="D66" s="46">
        <v>85</v>
      </c>
      <c r="E66" s="46" t="s">
        <v>5381</v>
      </c>
      <c r="F66" s="44" t="s">
        <v>5438</v>
      </c>
      <c r="G66" s="44" t="s">
        <v>5504</v>
      </c>
      <c r="H66" s="44" t="s">
        <v>5487</v>
      </c>
      <c r="I66" s="44" t="s">
        <v>5526</v>
      </c>
      <c r="J66" s="44" t="s">
        <v>5531</v>
      </c>
      <c r="K66" s="46">
        <v>1</v>
      </c>
      <c r="L66" s="54">
        <v>0</v>
      </c>
      <c r="M66">
        <v>5</v>
      </c>
      <c r="N66" s="48">
        <v>100</v>
      </c>
      <c r="O66" s="48">
        <f t="shared" ref="O66:O97" si="2">N66*(K66+L66)</f>
        <v>100</v>
      </c>
      <c r="P66" s="40">
        <v>25</v>
      </c>
    </row>
    <row r="67" spans="1:16">
      <c r="A67" s="40" t="s">
        <v>5485</v>
      </c>
      <c r="B67" s="44" t="s">
        <v>5457</v>
      </c>
      <c r="C67" s="45" t="s">
        <v>5532</v>
      </c>
      <c r="D67" s="46">
        <v>35</v>
      </c>
      <c r="E67" s="46" t="s">
        <v>5381</v>
      </c>
      <c r="F67" s="44" t="s">
        <v>5438</v>
      </c>
      <c r="G67" s="44" t="s">
        <v>5383</v>
      </c>
      <c r="H67" s="44" t="s">
        <v>5383</v>
      </c>
      <c r="I67" s="44" t="s">
        <v>5391</v>
      </c>
      <c r="J67" s="44" t="s">
        <v>5533</v>
      </c>
      <c r="K67" s="46">
        <v>1</v>
      </c>
      <c r="L67" s="54">
        <v>0</v>
      </c>
      <c r="M67">
        <v>2</v>
      </c>
      <c r="N67" s="48">
        <v>5</v>
      </c>
      <c r="O67" s="48">
        <f t="shared" si="2"/>
        <v>5</v>
      </c>
      <c r="P67" s="40">
        <v>18</v>
      </c>
    </row>
    <row r="68" spans="1:16">
      <c r="A68" s="40" t="s">
        <v>5485</v>
      </c>
      <c r="B68" s="44" t="s">
        <v>5457</v>
      </c>
      <c r="C68" s="45" t="s">
        <v>5534</v>
      </c>
      <c r="D68" s="46">
        <v>45</v>
      </c>
      <c r="E68" s="46" t="s">
        <v>5381</v>
      </c>
      <c r="F68" s="44" t="s">
        <v>5438</v>
      </c>
      <c r="G68" s="44" t="s">
        <v>5383</v>
      </c>
      <c r="H68" s="44" t="s">
        <v>5383</v>
      </c>
      <c r="I68" s="44" t="s">
        <v>5535</v>
      </c>
      <c r="J68" s="44" t="s">
        <v>5536</v>
      </c>
      <c r="K68" s="46">
        <v>1</v>
      </c>
      <c r="L68" s="54">
        <v>0</v>
      </c>
      <c r="M68">
        <v>3</v>
      </c>
      <c r="N68" s="48">
        <v>20</v>
      </c>
      <c r="O68" s="48">
        <f t="shared" si="2"/>
        <v>20</v>
      </c>
      <c r="P68" s="40">
        <v>27</v>
      </c>
    </row>
    <row r="69" spans="1:16">
      <c r="A69" s="40" t="s">
        <v>5485</v>
      </c>
      <c r="B69" s="44" t="s">
        <v>5457</v>
      </c>
      <c r="C69" s="45" t="s">
        <v>5537</v>
      </c>
      <c r="D69" s="46">
        <v>55</v>
      </c>
      <c r="E69" s="46" t="s">
        <v>5381</v>
      </c>
      <c r="F69" s="44" t="s">
        <v>5438</v>
      </c>
      <c r="G69" s="44" t="s">
        <v>5383</v>
      </c>
      <c r="H69" s="44" t="s">
        <v>5383</v>
      </c>
      <c r="I69" s="44" t="s">
        <v>5538</v>
      </c>
      <c r="J69" s="44" t="s">
        <v>5539</v>
      </c>
      <c r="K69" s="46">
        <v>1</v>
      </c>
      <c r="L69" s="54">
        <v>0</v>
      </c>
      <c r="M69">
        <v>4</v>
      </c>
      <c r="N69" s="48">
        <v>50</v>
      </c>
      <c r="O69" s="48">
        <f t="shared" si="2"/>
        <v>50</v>
      </c>
      <c r="P69" s="40">
        <v>45</v>
      </c>
    </row>
    <row r="70" spans="1:16">
      <c r="A70" s="40" t="s">
        <v>5485</v>
      </c>
      <c r="B70" s="44" t="s">
        <v>5457</v>
      </c>
      <c r="C70" s="45" t="s">
        <v>5540</v>
      </c>
      <c r="D70" s="46">
        <v>40</v>
      </c>
      <c r="E70" s="46" t="s">
        <v>5381</v>
      </c>
      <c r="F70" s="44" t="s">
        <v>5438</v>
      </c>
      <c r="G70" s="44" t="s">
        <v>5383</v>
      </c>
      <c r="H70" s="44" t="s">
        <v>5383</v>
      </c>
      <c r="I70" s="44" t="s">
        <v>5459</v>
      </c>
      <c r="J70" s="44" t="s">
        <v>5541</v>
      </c>
      <c r="K70" s="46">
        <v>1</v>
      </c>
      <c r="L70" s="54">
        <v>0</v>
      </c>
      <c r="M70">
        <v>3</v>
      </c>
      <c r="N70" s="48">
        <v>100</v>
      </c>
      <c r="O70" s="48">
        <f t="shared" si="2"/>
        <v>100</v>
      </c>
      <c r="P70" s="40">
        <v>30</v>
      </c>
    </row>
    <row r="71" spans="1:16">
      <c r="A71" s="40" t="s">
        <v>5485</v>
      </c>
      <c r="B71" s="44" t="s">
        <v>5457</v>
      </c>
      <c r="C71" s="45" t="s">
        <v>5542</v>
      </c>
      <c r="D71" s="46">
        <v>45</v>
      </c>
      <c r="E71" s="46" t="s">
        <v>5381</v>
      </c>
      <c r="F71" s="44" t="s">
        <v>5438</v>
      </c>
      <c r="G71" s="44" t="s">
        <v>5383</v>
      </c>
      <c r="H71" s="44" t="s">
        <v>5383</v>
      </c>
      <c r="I71" s="44" t="s">
        <v>5459</v>
      </c>
      <c r="J71" s="44" t="s">
        <v>5543</v>
      </c>
      <c r="K71" s="46">
        <v>1</v>
      </c>
      <c r="L71" s="54">
        <v>0</v>
      </c>
      <c r="M71">
        <v>4</v>
      </c>
      <c r="N71" s="48">
        <v>250</v>
      </c>
      <c r="O71" s="48">
        <f t="shared" si="2"/>
        <v>250</v>
      </c>
      <c r="P71" s="40">
        <v>45</v>
      </c>
    </row>
    <row r="72" spans="1:16">
      <c r="A72" s="40" t="s">
        <v>5485</v>
      </c>
      <c r="B72" s="44" t="s">
        <v>5457</v>
      </c>
      <c r="C72" s="45" t="s">
        <v>5544</v>
      </c>
      <c r="D72" s="46">
        <v>50</v>
      </c>
      <c r="E72" s="46" t="s">
        <v>5381</v>
      </c>
      <c r="F72" s="44" t="s">
        <v>5438</v>
      </c>
      <c r="G72" s="44" t="s">
        <v>5383</v>
      </c>
      <c r="H72" s="44" t="s">
        <v>5383</v>
      </c>
      <c r="I72" s="44" t="s">
        <v>5459</v>
      </c>
      <c r="J72" s="44" t="s">
        <v>5545</v>
      </c>
      <c r="K72" s="46">
        <v>1</v>
      </c>
      <c r="L72" s="54">
        <v>0</v>
      </c>
      <c r="M72">
        <v>5</v>
      </c>
      <c r="N72" s="48">
        <v>750</v>
      </c>
      <c r="O72" s="48">
        <f t="shared" si="2"/>
        <v>750</v>
      </c>
      <c r="P72" s="40">
        <v>75</v>
      </c>
    </row>
    <row r="73" spans="1:16">
      <c r="A73" s="40" t="s">
        <v>5485</v>
      </c>
      <c r="B73" s="44" t="s">
        <v>5457</v>
      </c>
      <c r="C73" s="45" t="s">
        <v>5546</v>
      </c>
      <c r="D73" s="46">
        <v>35</v>
      </c>
      <c r="E73" s="46" t="s">
        <v>5381</v>
      </c>
      <c r="F73" s="44" t="s">
        <v>5438</v>
      </c>
      <c r="G73" s="44" t="s">
        <v>5383</v>
      </c>
      <c r="H73" s="44" t="s">
        <v>5383</v>
      </c>
      <c r="I73" s="44" t="s">
        <v>5459</v>
      </c>
      <c r="J73" s="44" t="s">
        <v>5547</v>
      </c>
      <c r="K73" s="46">
        <v>1</v>
      </c>
      <c r="L73" s="54">
        <v>0</v>
      </c>
      <c r="M73">
        <v>2</v>
      </c>
      <c r="N73" s="48">
        <v>12.5</v>
      </c>
      <c r="O73" s="48">
        <f t="shared" si="2"/>
        <v>12.5</v>
      </c>
      <c r="P73" s="40">
        <v>24</v>
      </c>
    </row>
    <row r="74" spans="1:16">
      <c r="A74" s="40" t="s">
        <v>5485</v>
      </c>
      <c r="B74" s="44" t="s">
        <v>5457</v>
      </c>
      <c r="C74" s="45" t="s">
        <v>5548</v>
      </c>
      <c r="D74" s="46">
        <v>45</v>
      </c>
      <c r="E74" s="46" t="s">
        <v>5381</v>
      </c>
      <c r="F74" s="44" t="s">
        <v>5438</v>
      </c>
      <c r="G74" s="44" t="s">
        <v>5383</v>
      </c>
      <c r="H74" s="44" t="s">
        <v>5383</v>
      </c>
      <c r="I74" s="44" t="s">
        <v>5459</v>
      </c>
      <c r="J74" s="44" t="s">
        <v>5549</v>
      </c>
      <c r="K74" s="46">
        <v>1</v>
      </c>
      <c r="L74" s="54">
        <v>0</v>
      </c>
      <c r="M74">
        <v>3</v>
      </c>
      <c r="N74" s="48">
        <v>50</v>
      </c>
      <c r="O74" s="48">
        <f t="shared" si="2"/>
        <v>50</v>
      </c>
      <c r="P74" s="40">
        <v>36</v>
      </c>
    </row>
    <row r="75" spans="1:16">
      <c r="A75" s="40" t="s">
        <v>5485</v>
      </c>
      <c r="B75" s="44" t="s">
        <v>5457</v>
      </c>
      <c r="C75" s="45" t="s">
        <v>5550</v>
      </c>
      <c r="D75" s="46">
        <v>55</v>
      </c>
      <c r="E75" s="46" t="s">
        <v>5381</v>
      </c>
      <c r="F75" s="44" t="s">
        <v>5438</v>
      </c>
      <c r="G75" s="44" t="s">
        <v>5383</v>
      </c>
      <c r="H75" s="44" t="s">
        <v>5383</v>
      </c>
      <c r="I75" s="44" t="s">
        <v>5459</v>
      </c>
      <c r="J75" s="44" t="s">
        <v>5551</v>
      </c>
      <c r="K75" s="46">
        <v>1</v>
      </c>
      <c r="L75" s="54">
        <v>0</v>
      </c>
      <c r="M75">
        <v>4</v>
      </c>
      <c r="N75" s="48">
        <v>200</v>
      </c>
      <c r="O75" s="48">
        <f t="shared" si="2"/>
        <v>200</v>
      </c>
      <c r="P75" s="40">
        <v>60</v>
      </c>
    </row>
    <row r="76" spans="1:16">
      <c r="A76" s="40" t="s">
        <v>5485</v>
      </c>
      <c r="B76" s="44" t="s">
        <v>5457</v>
      </c>
      <c r="C76" s="45" t="s">
        <v>5552</v>
      </c>
      <c r="D76" s="46">
        <v>40</v>
      </c>
      <c r="E76" s="46" t="s">
        <v>5381</v>
      </c>
      <c r="F76" s="44" t="s">
        <v>5438</v>
      </c>
      <c r="G76" s="44" t="s">
        <v>5383</v>
      </c>
      <c r="H76" s="44" t="s">
        <v>5383</v>
      </c>
      <c r="I76" s="44" t="s">
        <v>5459</v>
      </c>
      <c r="J76" s="44" t="s">
        <v>5553</v>
      </c>
      <c r="K76" s="46">
        <v>1</v>
      </c>
      <c r="L76" s="54">
        <v>0</v>
      </c>
      <c r="M76">
        <v>3</v>
      </c>
      <c r="N76" s="48">
        <v>50</v>
      </c>
      <c r="O76" s="48">
        <f t="shared" si="2"/>
        <v>50</v>
      </c>
      <c r="P76" s="40">
        <v>24</v>
      </c>
    </row>
    <row r="77" spans="1:16">
      <c r="A77" s="40" t="s">
        <v>5485</v>
      </c>
      <c r="B77" s="44" t="s">
        <v>5457</v>
      </c>
      <c r="C77" s="45" t="s">
        <v>5554</v>
      </c>
      <c r="D77" s="46">
        <v>50</v>
      </c>
      <c r="E77" s="46" t="s">
        <v>5381</v>
      </c>
      <c r="F77" s="44" t="s">
        <v>5438</v>
      </c>
      <c r="G77" s="44" t="s">
        <v>5383</v>
      </c>
      <c r="H77" s="44" t="s">
        <v>5383</v>
      </c>
      <c r="I77" s="44" t="s">
        <v>5459</v>
      </c>
      <c r="J77" s="44" t="s">
        <v>5555</v>
      </c>
      <c r="K77" s="46">
        <v>1</v>
      </c>
      <c r="L77" s="54">
        <v>0</v>
      </c>
      <c r="M77">
        <v>4</v>
      </c>
      <c r="N77" s="48">
        <v>150</v>
      </c>
      <c r="O77" s="48">
        <f t="shared" si="2"/>
        <v>150</v>
      </c>
      <c r="P77" s="40">
        <v>36</v>
      </c>
    </row>
    <row r="78" spans="1:16">
      <c r="A78" s="40" t="s">
        <v>5485</v>
      </c>
      <c r="B78" s="44" t="s">
        <v>5457</v>
      </c>
      <c r="C78" s="45" t="s">
        <v>5556</v>
      </c>
      <c r="D78" s="46">
        <v>60</v>
      </c>
      <c r="E78" s="46" t="s">
        <v>5381</v>
      </c>
      <c r="F78" s="44" t="s">
        <v>5438</v>
      </c>
      <c r="G78" s="44" t="s">
        <v>5383</v>
      </c>
      <c r="H78" s="44" t="s">
        <v>5383</v>
      </c>
      <c r="I78" s="44" t="s">
        <v>5459</v>
      </c>
      <c r="J78" s="44" t="s">
        <v>5557</v>
      </c>
      <c r="K78" s="46">
        <v>1</v>
      </c>
      <c r="L78" s="54">
        <v>0</v>
      </c>
      <c r="M78">
        <v>5</v>
      </c>
      <c r="N78" s="48">
        <v>500</v>
      </c>
      <c r="O78" s="48">
        <f t="shared" si="2"/>
        <v>500</v>
      </c>
      <c r="P78" s="40">
        <v>60</v>
      </c>
    </row>
    <row r="79" spans="1:16">
      <c r="A79" s="40" t="s">
        <v>5558</v>
      </c>
      <c r="B79" s="44" t="s">
        <v>5457</v>
      </c>
      <c r="C79" s="45" t="s">
        <v>5559</v>
      </c>
      <c r="D79" s="46">
        <v>55</v>
      </c>
      <c r="E79" s="46" t="s">
        <v>5381</v>
      </c>
      <c r="F79" s="44" t="s">
        <v>5438</v>
      </c>
      <c r="G79" s="44" t="s">
        <v>5383</v>
      </c>
      <c r="H79" s="44" t="s">
        <v>5383</v>
      </c>
      <c r="I79" s="44" t="s">
        <v>5400</v>
      </c>
      <c r="J79" s="44" t="s">
        <v>5560</v>
      </c>
      <c r="K79" s="46">
        <v>3</v>
      </c>
      <c r="L79" s="54">
        <v>0</v>
      </c>
      <c r="M79">
        <v>5</v>
      </c>
      <c r="N79" s="48">
        <v>83.35</v>
      </c>
      <c r="O79" s="48">
        <f t="shared" si="2"/>
        <v>250.04999999999998</v>
      </c>
      <c r="P79" s="40">
        <v>36</v>
      </c>
    </row>
    <row r="80" spans="1:16">
      <c r="A80" s="40" t="s">
        <v>5558</v>
      </c>
      <c r="B80" s="44" t="s">
        <v>5457</v>
      </c>
      <c r="C80" s="45" t="s">
        <v>5561</v>
      </c>
      <c r="D80" s="46">
        <v>65</v>
      </c>
      <c r="E80" s="46" t="s">
        <v>5381</v>
      </c>
      <c r="F80" s="44" t="s">
        <v>5438</v>
      </c>
      <c r="G80" s="44" t="s">
        <v>5383</v>
      </c>
      <c r="H80" s="44" t="s">
        <v>5383</v>
      </c>
      <c r="I80" s="44" t="s">
        <v>5400</v>
      </c>
      <c r="J80" s="44" t="s">
        <v>5562</v>
      </c>
      <c r="K80" s="46">
        <v>4</v>
      </c>
      <c r="L80" s="54">
        <v>0</v>
      </c>
      <c r="M80">
        <v>6</v>
      </c>
      <c r="N80" s="48">
        <v>175</v>
      </c>
      <c r="O80" s="48">
        <f t="shared" si="2"/>
        <v>700</v>
      </c>
      <c r="P80" s="40">
        <v>54</v>
      </c>
    </row>
    <row r="81" spans="1:16">
      <c r="A81" s="40" t="s">
        <v>5558</v>
      </c>
      <c r="B81" s="44" t="s">
        <v>5457</v>
      </c>
      <c r="C81" s="45" t="s">
        <v>5563</v>
      </c>
      <c r="D81" s="46">
        <v>75</v>
      </c>
      <c r="E81" s="46" t="s">
        <v>5381</v>
      </c>
      <c r="F81" s="44" t="s">
        <v>5438</v>
      </c>
      <c r="G81" s="44" t="s">
        <v>5383</v>
      </c>
      <c r="H81" s="44" t="s">
        <v>5383</v>
      </c>
      <c r="I81" s="44" t="s">
        <v>5400</v>
      </c>
      <c r="J81" s="44" t="s">
        <v>5564</v>
      </c>
      <c r="K81" s="46">
        <v>4</v>
      </c>
      <c r="L81" s="54">
        <v>0</v>
      </c>
      <c r="M81">
        <v>7</v>
      </c>
      <c r="N81" s="48">
        <v>500</v>
      </c>
      <c r="O81" s="48">
        <f t="shared" si="2"/>
        <v>2000</v>
      </c>
      <c r="P81" s="49">
        <v>90</v>
      </c>
    </row>
    <row r="82" spans="1:16">
      <c r="A82" s="40" t="s">
        <v>5558</v>
      </c>
      <c r="B82" s="44" t="s">
        <v>5457</v>
      </c>
      <c r="C82" s="45" t="s">
        <v>5565</v>
      </c>
      <c r="D82" s="46">
        <v>45</v>
      </c>
      <c r="E82" s="46" t="s">
        <v>5381</v>
      </c>
      <c r="F82" s="44" t="s">
        <v>5438</v>
      </c>
      <c r="G82" s="44" t="s">
        <v>5383</v>
      </c>
      <c r="H82" s="44" t="s">
        <v>5383</v>
      </c>
      <c r="I82" s="44" t="s">
        <v>5400</v>
      </c>
      <c r="J82" s="44" t="s">
        <v>5566</v>
      </c>
      <c r="K82" s="46">
        <v>2</v>
      </c>
      <c r="L82" s="54">
        <v>0</v>
      </c>
      <c r="M82">
        <v>3</v>
      </c>
      <c r="N82" s="48">
        <v>50</v>
      </c>
      <c r="O82" s="48">
        <f t="shared" si="2"/>
        <v>100</v>
      </c>
      <c r="P82" s="40">
        <v>30</v>
      </c>
    </row>
    <row r="83" spans="1:16">
      <c r="A83" s="40" t="s">
        <v>5558</v>
      </c>
      <c r="B83" s="44" t="s">
        <v>5457</v>
      </c>
      <c r="C83" s="45" t="s">
        <v>5567</v>
      </c>
      <c r="D83" s="46">
        <v>55</v>
      </c>
      <c r="E83" s="46" t="s">
        <v>5381</v>
      </c>
      <c r="F83" s="44" t="s">
        <v>5438</v>
      </c>
      <c r="G83" s="44" t="s">
        <v>5383</v>
      </c>
      <c r="H83" s="44" t="s">
        <v>5383</v>
      </c>
      <c r="I83" s="44" t="s">
        <v>5400</v>
      </c>
      <c r="J83" s="44" t="s">
        <v>5568</v>
      </c>
      <c r="K83" s="46">
        <v>2</v>
      </c>
      <c r="L83" s="54">
        <v>0</v>
      </c>
      <c r="M83">
        <v>4</v>
      </c>
      <c r="N83" s="48">
        <v>125</v>
      </c>
      <c r="O83" s="48">
        <f t="shared" si="2"/>
        <v>250</v>
      </c>
      <c r="P83" s="40">
        <v>45</v>
      </c>
    </row>
    <row r="84" spans="1:16">
      <c r="A84" s="40" t="s">
        <v>5558</v>
      </c>
      <c r="B84" s="44" t="s">
        <v>5457</v>
      </c>
      <c r="C84" s="45" t="s">
        <v>5569</v>
      </c>
      <c r="D84" s="46">
        <v>65</v>
      </c>
      <c r="E84" s="46" t="s">
        <v>5381</v>
      </c>
      <c r="F84" s="44" t="s">
        <v>5438</v>
      </c>
      <c r="G84" s="44" t="s">
        <v>5383</v>
      </c>
      <c r="H84" s="44" t="s">
        <v>5383</v>
      </c>
      <c r="I84" s="44" t="s">
        <v>5400</v>
      </c>
      <c r="J84" s="44" t="s">
        <v>5570</v>
      </c>
      <c r="K84" s="46">
        <v>2</v>
      </c>
      <c r="L84" s="54">
        <v>0</v>
      </c>
      <c r="M84">
        <v>5</v>
      </c>
      <c r="N84" s="48">
        <v>300</v>
      </c>
      <c r="O84" s="48">
        <f t="shared" si="2"/>
        <v>600</v>
      </c>
      <c r="P84" s="40">
        <v>75</v>
      </c>
    </row>
    <row r="85" spans="1:16">
      <c r="A85" s="40" t="s">
        <v>5558</v>
      </c>
      <c r="B85" s="44" t="s">
        <v>5457</v>
      </c>
      <c r="C85" s="45" t="s">
        <v>5571</v>
      </c>
      <c r="D85" s="46">
        <v>65</v>
      </c>
      <c r="E85" s="46" t="s">
        <v>5381</v>
      </c>
      <c r="F85" s="44" t="s">
        <v>5438</v>
      </c>
      <c r="G85" s="44" t="s">
        <v>5504</v>
      </c>
      <c r="H85" s="44" t="s">
        <v>5572</v>
      </c>
      <c r="I85" s="44" t="s">
        <v>5400</v>
      </c>
      <c r="J85" s="44" t="s">
        <v>5573</v>
      </c>
      <c r="K85" s="46">
        <v>2</v>
      </c>
      <c r="L85" s="54">
        <v>0</v>
      </c>
      <c r="M85">
        <v>7</v>
      </c>
      <c r="N85" s="47">
        <v>5000</v>
      </c>
      <c r="O85" s="48">
        <f t="shared" si="2"/>
        <v>10000</v>
      </c>
      <c r="P85" s="40">
        <v>60</v>
      </c>
    </row>
    <row r="86" spans="1:16">
      <c r="A86" s="40" t="s">
        <v>5558</v>
      </c>
      <c r="B86" s="44" t="s">
        <v>5457</v>
      </c>
      <c r="C86" s="45" t="s">
        <v>5574</v>
      </c>
      <c r="D86" s="46">
        <v>45</v>
      </c>
      <c r="E86" s="46" t="s">
        <v>5381</v>
      </c>
      <c r="F86" s="44" t="s">
        <v>5438</v>
      </c>
      <c r="G86" s="44" t="s">
        <v>5504</v>
      </c>
      <c r="H86" s="44" t="s">
        <v>5572</v>
      </c>
      <c r="I86" s="44" t="s">
        <v>5400</v>
      </c>
      <c r="J86" s="44" t="s">
        <v>5575</v>
      </c>
      <c r="K86" s="46">
        <v>2</v>
      </c>
      <c r="L86" s="54">
        <v>0</v>
      </c>
      <c r="M86">
        <v>3</v>
      </c>
      <c r="N86" s="48">
        <v>100</v>
      </c>
      <c r="O86" s="48">
        <f t="shared" si="2"/>
        <v>200</v>
      </c>
      <c r="P86" s="40">
        <v>18</v>
      </c>
    </row>
    <row r="87" spans="1:16">
      <c r="A87" s="40" t="s">
        <v>5558</v>
      </c>
      <c r="B87" s="44" t="s">
        <v>5457</v>
      </c>
      <c r="C87" s="45" t="s">
        <v>5576</v>
      </c>
      <c r="D87" s="46">
        <v>55</v>
      </c>
      <c r="E87" s="46" t="s">
        <v>5381</v>
      </c>
      <c r="F87" s="44" t="s">
        <v>5438</v>
      </c>
      <c r="G87" s="44" t="s">
        <v>5504</v>
      </c>
      <c r="H87" s="44" t="s">
        <v>5572</v>
      </c>
      <c r="I87" s="44" t="s">
        <v>5400</v>
      </c>
      <c r="J87" s="44" t="s">
        <v>5577</v>
      </c>
      <c r="K87" s="46">
        <v>2</v>
      </c>
      <c r="L87" s="54">
        <v>0</v>
      </c>
      <c r="M87">
        <v>4</v>
      </c>
      <c r="N87" s="48">
        <v>350</v>
      </c>
      <c r="O87" s="48">
        <f t="shared" si="2"/>
        <v>700</v>
      </c>
      <c r="P87" s="40">
        <v>30</v>
      </c>
    </row>
    <row r="88" spans="1:16">
      <c r="A88" s="40" t="s">
        <v>5558</v>
      </c>
      <c r="B88" s="44" t="s">
        <v>5457</v>
      </c>
      <c r="C88" s="45" t="s">
        <v>5578</v>
      </c>
      <c r="D88" s="46">
        <v>45</v>
      </c>
      <c r="E88" s="46" t="s">
        <v>5381</v>
      </c>
      <c r="F88" s="44" t="s">
        <v>5438</v>
      </c>
      <c r="G88" s="44" t="s">
        <v>5383</v>
      </c>
      <c r="H88" s="44" t="s">
        <v>5383</v>
      </c>
      <c r="I88" s="44" t="s">
        <v>5400</v>
      </c>
      <c r="J88" s="51" t="s">
        <v>5579</v>
      </c>
      <c r="K88" s="46">
        <v>2</v>
      </c>
      <c r="L88" s="54">
        <v>0</v>
      </c>
      <c r="M88">
        <v>4</v>
      </c>
      <c r="N88" s="48">
        <v>33</v>
      </c>
      <c r="O88" s="48">
        <f t="shared" si="2"/>
        <v>66</v>
      </c>
      <c r="P88" s="40">
        <v>30</v>
      </c>
    </row>
    <row r="89" spans="1:16">
      <c r="A89" s="40" t="s">
        <v>5558</v>
      </c>
      <c r="B89" s="44" t="s">
        <v>5457</v>
      </c>
      <c r="C89" s="45" t="s">
        <v>5580</v>
      </c>
      <c r="D89" s="46">
        <v>55</v>
      </c>
      <c r="E89" s="46" t="s">
        <v>5381</v>
      </c>
      <c r="F89" s="44" t="s">
        <v>5438</v>
      </c>
      <c r="G89" s="44" t="s">
        <v>5383</v>
      </c>
      <c r="H89" s="44" t="s">
        <v>5383</v>
      </c>
      <c r="I89" s="44" t="s">
        <v>5400</v>
      </c>
      <c r="J89" s="51" t="s">
        <v>5581</v>
      </c>
      <c r="K89" s="46">
        <v>2</v>
      </c>
      <c r="L89" s="54">
        <v>0</v>
      </c>
      <c r="M89">
        <v>5</v>
      </c>
      <c r="N89" s="48">
        <v>75</v>
      </c>
      <c r="O89" s="48">
        <f t="shared" si="2"/>
        <v>150</v>
      </c>
      <c r="P89" s="40">
        <v>45</v>
      </c>
    </row>
    <row r="90" spans="1:16">
      <c r="A90" s="40" t="s">
        <v>5558</v>
      </c>
      <c r="B90" s="44" t="s">
        <v>5457</v>
      </c>
      <c r="C90" s="45" t="s">
        <v>5582</v>
      </c>
      <c r="D90" s="46">
        <v>65</v>
      </c>
      <c r="E90" s="46" t="s">
        <v>5381</v>
      </c>
      <c r="F90" s="44" t="s">
        <v>5438</v>
      </c>
      <c r="G90" s="44" t="s">
        <v>5383</v>
      </c>
      <c r="H90" s="44" t="s">
        <v>5383</v>
      </c>
      <c r="I90" s="44" t="s">
        <v>5400</v>
      </c>
      <c r="J90" s="51" t="s">
        <v>5583</v>
      </c>
      <c r="K90" s="46">
        <v>3</v>
      </c>
      <c r="L90" s="54">
        <v>0</v>
      </c>
      <c r="M90">
        <v>7</v>
      </c>
      <c r="N90" s="48">
        <v>200</v>
      </c>
      <c r="O90" s="48">
        <f t="shared" si="2"/>
        <v>600</v>
      </c>
      <c r="P90" s="40">
        <v>75</v>
      </c>
    </row>
    <row r="91" spans="1:16">
      <c r="A91" s="40" t="s">
        <v>5558</v>
      </c>
      <c r="B91" s="44" t="s">
        <v>5457</v>
      </c>
      <c r="C91" s="45" t="s">
        <v>5584</v>
      </c>
      <c r="D91" s="46">
        <v>45</v>
      </c>
      <c r="E91" s="46" t="s">
        <v>5381</v>
      </c>
      <c r="F91" s="44" t="s">
        <v>5438</v>
      </c>
      <c r="G91" s="44" t="s">
        <v>5383</v>
      </c>
      <c r="H91" s="44" t="s">
        <v>5383</v>
      </c>
      <c r="I91" s="44" t="s">
        <v>5400</v>
      </c>
      <c r="J91" s="44" t="s">
        <v>5585</v>
      </c>
      <c r="K91" s="46">
        <v>2</v>
      </c>
      <c r="L91" s="54">
        <v>0</v>
      </c>
      <c r="M91">
        <v>4</v>
      </c>
      <c r="N91" s="48">
        <v>32.5</v>
      </c>
      <c r="O91" s="48">
        <f t="shared" si="2"/>
        <v>65</v>
      </c>
      <c r="P91" s="40">
        <v>30</v>
      </c>
    </row>
    <row r="92" spans="1:16">
      <c r="A92" s="40" t="s">
        <v>5558</v>
      </c>
      <c r="B92" s="44" t="s">
        <v>5457</v>
      </c>
      <c r="C92" s="45" t="s">
        <v>5586</v>
      </c>
      <c r="D92" s="46">
        <v>55</v>
      </c>
      <c r="E92" s="46" t="s">
        <v>5381</v>
      </c>
      <c r="F92" s="44" t="s">
        <v>5438</v>
      </c>
      <c r="G92" s="44" t="s">
        <v>5383</v>
      </c>
      <c r="H92" s="44" t="s">
        <v>5383</v>
      </c>
      <c r="I92" s="44" t="s">
        <v>5400</v>
      </c>
      <c r="J92" s="44" t="s">
        <v>5587</v>
      </c>
      <c r="K92" s="46">
        <v>2</v>
      </c>
      <c r="L92" s="54">
        <v>0</v>
      </c>
      <c r="M92">
        <v>5</v>
      </c>
      <c r="N92" s="48">
        <v>75</v>
      </c>
      <c r="O92" s="48">
        <f t="shared" si="2"/>
        <v>150</v>
      </c>
      <c r="P92" s="40">
        <v>45</v>
      </c>
    </row>
    <row r="93" spans="1:16">
      <c r="A93" s="40" t="s">
        <v>5558</v>
      </c>
      <c r="B93" s="44" t="s">
        <v>5457</v>
      </c>
      <c r="C93" s="45" t="s">
        <v>5588</v>
      </c>
      <c r="D93" s="46">
        <v>65</v>
      </c>
      <c r="E93" s="46" t="s">
        <v>5381</v>
      </c>
      <c r="F93" s="44" t="s">
        <v>5438</v>
      </c>
      <c r="G93" s="44" t="s">
        <v>5383</v>
      </c>
      <c r="H93" s="44" t="s">
        <v>5383</v>
      </c>
      <c r="I93" s="44" t="s">
        <v>5400</v>
      </c>
      <c r="J93" s="44" t="s">
        <v>5589</v>
      </c>
      <c r="K93" s="46">
        <v>3</v>
      </c>
      <c r="L93" s="54">
        <v>0</v>
      </c>
      <c r="M93">
        <v>7</v>
      </c>
      <c r="N93" s="48">
        <v>200</v>
      </c>
      <c r="O93" s="48">
        <f t="shared" si="2"/>
        <v>600</v>
      </c>
      <c r="P93" s="40">
        <v>75</v>
      </c>
    </row>
    <row r="94" spans="1:16">
      <c r="A94" s="40" t="s">
        <v>5558</v>
      </c>
      <c r="B94" s="44" t="s">
        <v>5457</v>
      </c>
      <c r="C94" s="45" t="s">
        <v>5590</v>
      </c>
      <c r="D94" s="46">
        <v>65</v>
      </c>
      <c r="E94" s="46" t="s">
        <v>5381</v>
      </c>
      <c r="F94" s="44" t="s">
        <v>5438</v>
      </c>
      <c r="G94" s="44" t="s">
        <v>5383</v>
      </c>
      <c r="H94" s="44" t="s">
        <v>5383</v>
      </c>
      <c r="I94" s="44" t="s">
        <v>5400</v>
      </c>
      <c r="J94" s="53" t="s">
        <v>5591</v>
      </c>
      <c r="K94" s="46">
        <v>3</v>
      </c>
      <c r="L94" s="54">
        <v>0</v>
      </c>
      <c r="M94">
        <v>7</v>
      </c>
      <c r="N94" s="48">
        <v>259</v>
      </c>
      <c r="O94" s="48">
        <f t="shared" si="2"/>
        <v>777</v>
      </c>
      <c r="P94" s="40">
        <v>75</v>
      </c>
    </row>
    <row r="95" spans="1:16">
      <c r="A95" s="40" t="s">
        <v>5558</v>
      </c>
      <c r="B95" s="44" t="s">
        <v>5457</v>
      </c>
      <c r="C95" s="45" t="s">
        <v>5592</v>
      </c>
      <c r="D95" s="46">
        <v>45</v>
      </c>
      <c r="E95" s="46" t="s">
        <v>5381</v>
      </c>
      <c r="F95" s="44" t="s">
        <v>5438</v>
      </c>
      <c r="G95" s="44" t="s">
        <v>5383</v>
      </c>
      <c r="H95" s="44" t="s">
        <v>5383</v>
      </c>
      <c r="I95" s="44" t="s">
        <v>5400</v>
      </c>
      <c r="J95" s="44" t="s">
        <v>5593</v>
      </c>
      <c r="K95" s="46">
        <v>2</v>
      </c>
      <c r="L95" s="54">
        <v>0</v>
      </c>
      <c r="M95">
        <v>4</v>
      </c>
      <c r="N95" s="48">
        <v>37.5</v>
      </c>
      <c r="O95" s="48">
        <f t="shared" si="2"/>
        <v>75</v>
      </c>
      <c r="P95" s="40">
        <v>30</v>
      </c>
    </row>
    <row r="96" spans="1:16">
      <c r="A96" s="40" t="s">
        <v>5558</v>
      </c>
      <c r="B96" s="44" t="s">
        <v>5457</v>
      </c>
      <c r="C96" s="45" t="s">
        <v>5594</v>
      </c>
      <c r="D96" s="46">
        <v>55</v>
      </c>
      <c r="E96" s="46" t="s">
        <v>5381</v>
      </c>
      <c r="F96" s="44" t="s">
        <v>5438</v>
      </c>
      <c r="G96" s="44" t="s">
        <v>5383</v>
      </c>
      <c r="H96" s="44" t="s">
        <v>5383</v>
      </c>
      <c r="I96" s="44" t="s">
        <v>5400</v>
      </c>
      <c r="J96" s="44" t="s">
        <v>5595</v>
      </c>
      <c r="K96" s="46">
        <v>2</v>
      </c>
      <c r="L96" s="54">
        <v>0</v>
      </c>
      <c r="M96">
        <v>5</v>
      </c>
      <c r="N96" s="48">
        <v>90</v>
      </c>
      <c r="O96" s="48">
        <f t="shared" si="2"/>
        <v>180</v>
      </c>
      <c r="P96" s="40">
        <v>45</v>
      </c>
    </row>
    <row r="97" spans="1:16">
      <c r="A97" s="40" t="s">
        <v>5558</v>
      </c>
      <c r="B97" s="44" t="s">
        <v>5379</v>
      </c>
      <c r="C97" s="45" t="s">
        <v>5596</v>
      </c>
      <c r="D97" s="46">
        <v>45</v>
      </c>
      <c r="E97" s="46" t="s">
        <v>5381</v>
      </c>
      <c r="F97" s="44" t="s">
        <v>5438</v>
      </c>
      <c r="G97" s="44" t="s">
        <v>5597</v>
      </c>
      <c r="H97" s="44" t="s">
        <v>5441</v>
      </c>
      <c r="I97" s="44" t="s">
        <v>5400</v>
      </c>
      <c r="J97" s="44" t="s">
        <v>5598</v>
      </c>
      <c r="K97" s="46">
        <v>2</v>
      </c>
      <c r="L97" s="54">
        <v>0</v>
      </c>
      <c r="M97">
        <v>4</v>
      </c>
      <c r="N97" s="48">
        <v>31</v>
      </c>
      <c r="O97" s="48">
        <f t="shared" si="2"/>
        <v>62</v>
      </c>
      <c r="P97" s="40">
        <v>10</v>
      </c>
    </row>
    <row r="98" spans="1:16">
      <c r="A98" s="40" t="s">
        <v>5558</v>
      </c>
      <c r="B98" s="44" t="s">
        <v>5379</v>
      </c>
      <c r="C98" s="45" t="s">
        <v>5599</v>
      </c>
      <c r="D98" s="46">
        <v>55</v>
      </c>
      <c r="E98" s="46" t="s">
        <v>5381</v>
      </c>
      <c r="F98" s="44" t="s">
        <v>5438</v>
      </c>
      <c r="G98" s="44" t="s">
        <v>5597</v>
      </c>
      <c r="H98" s="44" t="s">
        <v>5441</v>
      </c>
      <c r="I98" s="44" t="s">
        <v>5400</v>
      </c>
      <c r="J98" s="44" t="s">
        <v>5600</v>
      </c>
      <c r="K98" s="46">
        <v>2</v>
      </c>
      <c r="L98" s="54">
        <v>0</v>
      </c>
      <c r="M98">
        <v>5</v>
      </c>
      <c r="N98" s="48">
        <v>75</v>
      </c>
      <c r="O98" s="48">
        <f t="shared" ref="O98:O119" si="3">N98*(K98+L98)</f>
        <v>150</v>
      </c>
      <c r="P98" s="40">
        <v>15</v>
      </c>
    </row>
    <row r="99" spans="1:16">
      <c r="A99" s="40" t="s">
        <v>5558</v>
      </c>
      <c r="B99" s="44" t="s">
        <v>5379</v>
      </c>
      <c r="C99" s="45" t="s">
        <v>5601</v>
      </c>
      <c r="D99" s="46">
        <v>65</v>
      </c>
      <c r="E99" s="46" t="s">
        <v>5381</v>
      </c>
      <c r="F99" s="44" t="s">
        <v>5438</v>
      </c>
      <c r="G99" s="44" t="s">
        <v>5597</v>
      </c>
      <c r="H99" s="44" t="s">
        <v>5441</v>
      </c>
      <c r="I99" s="44" t="s">
        <v>5400</v>
      </c>
      <c r="J99" s="44" t="s">
        <v>5602</v>
      </c>
      <c r="K99" s="46">
        <v>2</v>
      </c>
      <c r="L99" s="54">
        <v>0</v>
      </c>
      <c r="M99">
        <v>6</v>
      </c>
      <c r="N99" s="48">
        <v>250</v>
      </c>
      <c r="O99" s="48">
        <f t="shared" si="3"/>
        <v>500</v>
      </c>
      <c r="P99" s="40">
        <v>25</v>
      </c>
    </row>
    <row r="100" spans="1:16">
      <c r="A100" s="40" t="s">
        <v>5558</v>
      </c>
      <c r="B100" s="44" t="s">
        <v>5457</v>
      </c>
      <c r="C100" s="45" t="s">
        <v>5603</v>
      </c>
      <c r="D100" s="46">
        <v>35</v>
      </c>
      <c r="E100" s="46" t="s">
        <v>5381</v>
      </c>
      <c r="F100" s="44" t="s">
        <v>5438</v>
      </c>
      <c r="G100" s="44" t="s">
        <v>5504</v>
      </c>
      <c r="H100" s="44" t="s">
        <v>5572</v>
      </c>
      <c r="I100" s="44" t="s">
        <v>5400</v>
      </c>
      <c r="J100" s="44" t="s">
        <v>5604</v>
      </c>
      <c r="K100" s="46">
        <v>2</v>
      </c>
      <c r="L100" s="54">
        <v>0</v>
      </c>
      <c r="M100">
        <v>2</v>
      </c>
      <c r="N100" s="48">
        <v>25</v>
      </c>
      <c r="O100" s="48">
        <f t="shared" si="3"/>
        <v>50</v>
      </c>
      <c r="P100" s="40">
        <v>12</v>
      </c>
    </row>
    <row r="101" spans="1:16">
      <c r="A101" s="40" t="s">
        <v>4275</v>
      </c>
      <c r="B101" s="44" t="s">
        <v>5457</v>
      </c>
      <c r="C101" s="45" t="s">
        <v>5605</v>
      </c>
      <c r="D101" s="46">
        <v>65</v>
      </c>
      <c r="E101" s="46" t="s">
        <v>5381</v>
      </c>
      <c r="F101" s="44" t="s">
        <v>5606</v>
      </c>
      <c r="G101" s="44" t="s">
        <v>5383</v>
      </c>
      <c r="H101" s="44" t="s">
        <v>5383</v>
      </c>
      <c r="I101" s="44" t="s">
        <v>5607</v>
      </c>
      <c r="J101" s="44" t="s">
        <v>5608</v>
      </c>
      <c r="K101" s="46">
        <v>2</v>
      </c>
      <c r="L101" s="54">
        <v>0</v>
      </c>
      <c r="M101">
        <v>7</v>
      </c>
      <c r="N101" s="48">
        <v>80</v>
      </c>
      <c r="O101" s="48">
        <f t="shared" si="3"/>
        <v>160</v>
      </c>
      <c r="P101" s="40">
        <v>36</v>
      </c>
    </row>
    <row r="102" spans="1:16">
      <c r="A102" s="40" t="s">
        <v>4275</v>
      </c>
      <c r="B102" s="44" t="s">
        <v>5379</v>
      </c>
      <c r="C102" s="45" t="s">
        <v>5609</v>
      </c>
      <c r="D102" s="46">
        <v>30</v>
      </c>
      <c r="E102" s="46" t="s">
        <v>5381</v>
      </c>
      <c r="F102" s="44" t="s">
        <v>5606</v>
      </c>
      <c r="G102" s="44" t="s">
        <v>5504</v>
      </c>
      <c r="H102" s="44" t="s">
        <v>5610</v>
      </c>
      <c r="I102" s="44" t="s">
        <v>5611</v>
      </c>
      <c r="J102" s="44" t="s">
        <v>5612</v>
      </c>
      <c r="K102" s="46">
        <v>1</v>
      </c>
      <c r="L102" s="54">
        <v>0</v>
      </c>
      <c r="M102">
        <v>4</v>
      </c>
      <c r="N102" s="48">
        <v>5</v>
      </c>
      <c r="O102" s="48">
        <f t="shared" si="3"/>
        <v>5</v>
      </c>
      <c r="P102" s="40">
        <v>6</v>
      </c>
    </row>
    <row r="103" spans="1:16">
      <c r="A103" s="40" t="s">
        <v>4275</v>
      </c>
      <c r="B103" s="44" t="s">
        <v>5379</v>
      </c>
      <c r="C103" s="45" t="s">
        <v>5613</v>
      </c>
      <c r="D103" s="46">
        <v>40</v>
      </c>
      <c r="E103" s="46" t="s">
        <v>5381</v>
      </c>
      <c r="F103" s="44" t="s">
        <v>5606</v>
      </c>
      <c r="G103" s="44" t="s">
        <v>5504</v>
      </c>
      <c r="H103" s="44" t="s">
        <v>5610</v>
      </c>
      <c r="I103" s="44" t="s">
        <v>5449</v>
      </c>
      <c r="J103" s="44" t="s">
        <v>5614</v>
      </c>
      <c r="K103" s="46">
        <v>1</v>
      </c>
      <c r="L103" s="54">
        <v>0</v>
      </c>
      <c r="M103">
        <v>5</v>
      </c>
      <c r="N103" s="48">
        <v>10</v>
      </c>
      <c r="O103" s="48">
        <f t="shared" si="3"/>
        <v>10</v>
      </c>
      <c r="P103" s="40">
        <v>12</v>
      </c>
    </row>
    <row r="104" spans="1:16">
      <c r="A104" s="40" t="s">
        <v>4275</v>
      </c>
      <c r="B104" s="44" t="s">
        <v>5379</v>
      </c>
      <c r="C104" s="45" t="s">
        <v>5615</v>
      </c>
      <c r="D104" s="46">
        <v>50</v>
      </c>
      <c r="E104" s="46" t="s">
        <v>5381</v>
      </c>
      <c r="F104" s="44" t="s">
        <v>5606</v>
      </c>
      <c r="G104" s="44" t="s">
        <v>5504</v>
      </c>
      <c r="H104" s="44" t="s">
        <v>5610</v>
      </c>
      <c r="I104" s="44" t="s">
        <v>5616</v>
      </c>
      <c r="J104" s="44" t="s">
        <v>5617</v>
      </c>
      <c r="K104" s="46">
        <v>1</v>
      </c>
      <c r="L104" s="54">
        <v>0</v>
      </c>
      <c r="M104">
        <v>6</v>
      </c>
      <c r="N104" s="48">
        <v>25</v>
      </c>
      <c r="O104" s="48">
        <f t="shared" si="3"/>
        <v>25</v>
      </c>
      <c r="P104" s="40">
        <v>18</v>
      </c>
    </row>
    <row r="105" spans="1:16">
      <c r="A105" s="40" t="s">
        <v>4275</v>
      </c>
      <c r="B105" s="44" t="s">
        <v>5379</v>
      </c>
      <c r="C105" s="45" t="s">
        <v>5618</v>
      </c>
      <c r="D105" s="46">
        <v>60</v>
      </c>
      <c r="E105" s="46" t="s">
        <v>5381</v>
      </c>
      <c r="F105" s="44" t="s">
        <v>5606</v>
      </c>
      <c r="G105" s="44" t="s">
        <v>5504</v>
      </c>
      <c r="H105" s="44" t="s">
        <v>5610</v>
      </c>
      <c r="I105" s="44" t="s">
        <v>5384</v>
      </c>
      <c r="J105" s="44" t="s">
        <v>5619</v>
      </c>
      <c r="K105" s="46">
        <v>1</v>
      </c>
      <c r="L105" s="54">
        <v>0</v>
      </c>
      <c r="M105">
        <v>7</v>
      </c>
      <c r="N105" s="48">
        <v>60</v>
      </c>
      <c r="O105" s="48">
        <f t="shared" si="3"/>
        <v>60</v>
      </c>
      <c r="P105" s="40">
        <v>24</v>
      </c>
    </row>
    <row r="106" spans="1:16">
      <c r="A106" s="40" t="s">
        <v>5620</v>
      </c>
      <c r="B106" s="44" t="s">
        <v>5457</v>
      </c>
      <c r="C106" s="45" t="s">
        <v>5621</v>
      </c>
      <c r="D106" s="46">
        <v>40</v>
      </c>
      <c r="E106" s="46" t="s">
        <v>5381</v>
      </c>
      <c r="F106" s="44" t="s">
        <v>5438</v>
      </c>
      <c r="G106" s="44" t="s">
        <v>5504</v>
      </c>
      <c r="H106" s="44" t="s">
        <v>5572</v>
      </c>
      <c r="I106" s="44" t="s">
        <v>5622</v>
      </c>
      <c r="J106" s="44" t="s">
        <v>5623</v>
      </c>
      <c r="K106" s="46">
        <v>3</v>
      </c>
      <c r="L106" s="54">
        <v>0</v>
      </c>
      <c r="M106">
        <v>5</v>
      </c>
      <c r="N106" s="52">
        <v>100</v>
      </c>
      <c r="O106" s="48">
        <f t="shared" si="3"/>
        <v>300</v>
      </c>
      <c r="P106" s="40">
        <v>45</v>
      </c>
    </row>
    <row r="107" spans="1:16">
      <c r="A107" s="40" t="s">
        <v>5620</v>
      </c>
      <c r="B107" s="44" t="s">
        <v>5457</v>
      </c>
      <c r="C107" s="45" t="s">
        <v>5624</v>
      </c>
      <c r="D107" s="46">
        <v>50</v>
      </c>
      <c r="E107" s="46" t="s">
        <v>5381</v>
      </c>
      <c r="F107" s="44" t="s">
        <v>5438</v>
      </c>
      <c r="G107" s="44" t="s">
        <v>5504</v>
      </c>
      <c r="H107" s="44" t="s">
        <v>5572</v>
      </c>
      <c r="I107" s="44" t="s">
        <v>5625</v>
      </c>
      <c r="J107" s="44" t="s">
        <v>5626</v>
      </c>
      <c r="K107" s="46">
        <v>3</v>
      </c>
      <c r="L107" s="54">
        <v>0</v>
      </c>
      <c r="M107">
        <v>6</v>
      </c>
      <c r="N107" s="52">
        <v>250</v>
      </c>
      <c r="O107" s="48">
        <f t="shared" si="3"/>
        <v>750</v>
      </c>
      <c r="P107" s="40">
        <v>75</v>
      </c>
    </row>
    <row r="108" spans="1:16">
      <c r="A108" s="40" t="s">
        <v>5620</v>
      </c>
      <c r="B108" s="44" t="s">
        <v>5457</v>
      </c>
      <c r="C108" s="45" t="s">
        <v>5627</v>
      </c>
      <c r="D108" s="46">
        <v>30</v>
      </c>
      <c r="E108" s="46" t="s">
        <v>5381</v>
      </c>
      <c r="F108" s="44" t="s">
        <v>5438</v>
      </c>
      <c r="G108" s="44" t="s">
        <v>5504</v>
      </c>
      <c r="H108" s="44" t="s">
        <v>5572</v>
      </c>
      <c r="I108" s="44" t="s">
        <v>5628</v>
      </c>
      <c r="J108" s="44" t="s">
        <v>5629</v>
      </c>
      <c r="K108" s="46">
        <v>3</v>
      </c>
      <c r="L108" s="54">
        <v>0</v>
      </c>
      <c r="M108">
        <v>4</v>
      </c>
      <c r="N108" s="52">
        <v>50</v>
      </c>
      <c r="O108" s="48">
        <f t="shared" si="3"/>
        <v>150</v>
      </c>
      <c r="P108" s="40">
        <v>30</v>
      </c>
    </row>
    <row r="109" spans="1:16">
      <c r="A109" s="40" t="s">
        <v>5620</v>
      </c>
      <c r="B109" s="44" t="s">
        <v>5457</v>
      </c>
      <c r="C109" s="45" t="s">
        <v>5630</v>
      </c>
      <c r="D109" s="46">
        <v>45</v>
      </c>
      <c r="E109" s="46" t="s">
        <v>5381</v>
      </c>
      <c r="F109" s="44" t="s">
        <v>5438</v>
      </c>
      <c r="G109" s="44" t="s">
        <v>5383</v>
      </c>
      <c r="H109" s="44" t="s">
        <v>5383</v>
      </c>
      <c r="I109" s="44" t="s">
        <v>5449</v>
      </c>
      <c r="J109" s="44" t="s">
        <v>5631</v>
      </c>
      <c r="K109" s="46">
        <v>1</v>
      </c>
      <c r="L109" s="54">
        <v>0</v>
      </c>
      <c r="M109">
        <v>4</v>
      </c>
      <c r="N109" s="48">
        <v>100</v>
      </c>
      <c r="O109" s="48">
        <f t="shared" si="3"/>
        <v>100</v>
      </c>
      <c r="P109" s="40">
        <v>36</v>
      </c>
    </row>
    <row r="110" spans="1:16">
      <c r="A110" s="40" t="s">
        <v>5620</v>
      </c>
      <c r="B110" s="44" t="s">
        <v>5457</v>
      </c>
      <c r="C110" s="45" t="s">
        <v>366</v>
      </c>
      <c r="D110" s="46">
        <v>60</v>
      </c>
      <c r="E110" s="46" t="s">
        <v>5381</v>
      </c>
      <c r="F110" s="44" t="s">
        <v>5438</v>
      </c>
      <c r="G110" s="44" t="s">
        <v>5383</v>
      </c>
      <c r="H110" s="44" t="s">
        <v>5383</v>
      </c>
      <c r="I110" s="44" t="s">
        <v>5632</v>
      </c>
      <c r="J110" s="51" t="s">
        <v>5633</v>
      </c>
      <c r="K110" s="46">
        <v>1</v>
      </c>
      <c r="L110" s="54">
        <v>0</v>
      </c>
      <c r="M110">
        <v>4</v>
      </c>
      <c r="N110" s="48">
        <v>150</v>
      </c>
      <c r="O110" s="48">
        <f t="shared" si="3"/>
        <v>150</v>
      </c>
      <c r="P110" s="40">
        <v>48</v>
      </c>
    </row>
    <row r="111" spans="1:16">
      <c r="A111" s="40" t="s">
        <v>5620</v>
      </c>
      <c r="B111" s="44" t="s">
        <v>5457</v>
      </c>
      <c r="C111" s="45" t="s">
        <v>5634</v>
      </c>
      <c r="D111" s="46">
        <v>60</v>
      </c>
      <c r="E111" s="46" t="s">
        <v>5381</v>
      </c>
      <c r="F111" s="44" t="s">
        <v>5438</v>
      </c>
      <c r="G111" s="44" t="s">
        <v>5383</v>
      </c>
      <c r="H111" s="44" t="s">
        <v>5383</v>
      </c>
      <c r="I111" s="44" t="s">
        <v>5632</v>
      </c>
      <c r="J111" s="44" t="s">
        <v>5635</v>
      </c>
      <c r="K111" s="46">
        <v>1</v>
      </c>
      <c r="L111" s="54">
        <v>0</v>
      </c>
      <c r="M111">
        <v>4</v>
      </c>
      <c r="N111" s="48">
        <v>150</v>
      </c>
      <c r="O111" s="48">
        <f t="shared" si="3"/>
        <v>150</v>
      </c>
      <c r="P111" s="40">
        <v>48</v>
      </c>
    </row>
    <row r="112" spans="1:16">
      <c r="A112" s="40" t="s">
        <v>5620</v>
      </c>
      <c r="B112" s="44" t="s">
        <v>5457</v>
      </c>
      <c r="C112" s="45" t="s">
        <v>5636</v>
      </c>
      <c r="D112" s="46">
        <v>60</v>
      </c>
      <c r="E112" s="46" t="s">
        <v>5381</v>
      </c>
      <c r="F112" s="44" t="s">
        <v>5438</v>
      </c>
      <c r="G112" s="44" t="s">
        <v>5383</v>
      </c>
      <c r="H112" s="44" t="s">
        <v>5383</v>
      </c>
      <c r="I112" s="44" t="s">
        <v>5632</v>
      </c>
      <c r="J112" s="44" t="s">
        <v>5637</v>
      </c>
      <c r="K112" s="46">
        <v>1</v>
      </c>
      <c r="L112" s="54">
        <v>0</v>
      </c>
      <c r="M112">
        <v>4</v>
      </c>
      <c r="N112" s="48">
        <v>150</v>
      </c>
      <c r="O112" s="48">
        <f t="shared" si="3"/>
        <v>150</v>
      </c>
      <c r="P112" s="40">
        <v>48</v>
      </c>
    </row>
    <row r="113" spans="1:16">
      <c r="A113" s="40" t="s">
        <v>5620</v>
      </c>
      <c r="B113" s="44" t="s">
        <v>5457</v>
      </c>
      <c r="C113" s="45" t="s">
        <v>5638</v>
      </c>
      <c r="D113" s="46">
        <v>40</v>
      </c>
      <c r="E113" s="46" t="s">
        <v>5381</v>
      </c>
      <c r="F113" s="44" t="s">
        <v>5438</v>
      </c>
      <c r="G113" s="44" t="s">
        <v>5383</v>
      </c>
      <c r="H113" s="44" t="s">
        <v>5383</v>
      </c>
      <c r="I113" s="44" t="s">
        <v>5639</v>
      </c>
      <c r="J113" s="44" t="s">
        <v>5640</v>
      </c>
      <c r="K113" s="46">
        <v>1</v>
      </c>
      <c r="L113" s="54">
        <v>0</v>
      </c>
      <c r="M113">
        <v>4</v>
      </c>
      <c r="N113" s="48">
        <v>125</v>
      </c>
      <c r="O113" s="48">
        <f t="shared" si="3"/>
        <v>125</v>
      </c>
      <c r="P113" s="40">
        <v>60</v>
      </c>
    </row>
    <row r="114" spans="1:16">
      <c r="A114" s="40" t="s">
        <v>5620</v>
      </c>
      <c r="B114" s="44" t="s">
        <v>5457</v>
      </c>
      <c r="C114" s="45" t="s">
        <v>5641</v>
      </c>
      <c r="D114" s="46">
        <v>20</v>
      </c>
      <c r="E114" s="46" t="s">
        <v>5381</v>
      </c>
      <c r="F114" s="44" t="s">
        <v>5438</v>
      </c>
      <c r="G114" s="44" t="s">
        <v>5383</v>
      </c>
      <c r="H114" s="44" t="s">
        <v>5383</v>
      </c>
      <c r="I114" s="44" t="s">
        <v>5642</v>
      </c>
      <c r="J114" s="51" t="s">
        <v>5643</v>
      </c>
      <c r="K114" s="46">
        <v>1</v>
      </c>
      <c r="L114" s="54">
        <v>0</v>
      </c>
      <c r="M114">
        <v>3</v>
      </c>
      <c r="N114" s="52">
        <v>50</v>
      </c>
      <c r="O114" s="48">
        <f t="shared" si="3"/>
        <v>50</v>
      </c>
      <c r="P114" s="40">
        <v>24</v>
      </c>
    </row>
    <row r="115" spans="1:16">
      <c r="A115" s="40" t="s">
        <v>5620</v>
      </c>
      <c r="B115" s="44" t="s">
        <v>5457</v>
      </c>
      <c r="C115" s="45" t="s">
        <v>5644</v>
      </c>
      <c r="D115" s="46">
        <v>30</v>
      </c>
      <c r="E115" s="46" t="s">
        <v>5381</v>
      </c>
      <c r="F115" s="44" t="s">
        <v>5438</v>
      </c>
      <c r="G115" s="44" t="s">
        <v>5383</v>
      </c>
      <c r="H115" s="44" t="s">
        <v>5383</v>
      </c>
      <c r="I115" s="44" t="s">
        <v>5645</v>
      </c>
      <c r="J115" s="44" t="s">
        <v>5646</v>
      </c>
      <c r="K115" s="46">
        <v>1</v>
      </c>
      <c r="L115" s="54">
        <v>0</v>
      </c>
      <c r="M115">
        <v>3</v>
      </c>
      <c r="N115" s="48">
        <v>75</v>
      </c>
      <c r="O115" s="48">
        <f t="shared" si="3"/>
        <v>75</v>
      </c>
      <c r="P115" s="40">
        <v>36</v>
      </c>
    </row>
    <row r="116" spans="1:16">
      <c r="A116" s="40" t="s">
        <v>5620</v>
      </c>
      <c r="B116" s="44" t="s">
        <v>5457</v>
      </c>
      <c r="C116" s="45" t="s">
        <v>5647</v>
      </c>
      <c r="D116" s="46">
        <v>65</v>
      </c>
      <c r="E116" s="46" t="s">
        <v>5381</v>
      </c>
      <c r="F116" s="44" t="s">
        <v>5438</v>
      </c>
      <c r="G116" s="44" t="s">
        <v>5504</v>
      </c>
      <c r="H116" s="44" t="s">
        <v>5516</v>
      </c>
      <c r="I116" s="44" t="s">
        <v>5496</v>
      </c>
      <c r="J116" s="44" t="s">
        <v>5648</v>
      </c>
      <c r="K116" s="46">
        <v>4</v>
      </c>
      <c r="L116" s="54">
        <v>0</v>
      </c>
      <c r="M116">
        <v>7</v>
      </c>
      <c r="N116" s="48">
        <v>190</v>
      </c>
      <c r="O116" s="48">
        <f t="shared" si="3"/>
        <v>760</v>
      </c>
      <c r="P116" s="40">
        <v>72</v>
      </c>
    </row>
    <row r="117" spans="1:16">
      <c r="A117" s="40" t="s">
        <v>5620</v>
      </c>
      <c r="B117" s="44" t="s">
        <v>5457</v>
      </c>
      <c r="C117" s="45" t="s">
        <v>5649</v>
      </c>
      <c r="D117" s="46">
        <v>75</v>
      </c>
      <c r="E117" s="46" t="s">
        <v>5381</v>
      </c>
      <c r="F117" s="44" t="s">
        <v>5438</v>
      </c>
      <c r="G117" s="44" t="s">
        <v>5504</v>
      </c>
      <c r="H117" s="44" t="s">
        <v>5516</v>
      </c>
      <c r="I117" s="44" t="s">
        <v>5511</v>
      </c>
      <c r="J117" s="44" t="s">
        <v>5650</v>
      </c>
      <c r="K117" s="46">
        <v>4</v>
      </c>
      <c r="L117" s="54">
        <v>0</v>
      </c>
      <c r="M117">
        <v>7</v>
      </c>
      <c r="N117" s="48">
        <v>625</v>
      </c>
      <c r="O117" s="48">
        <f t="shared" si="3"/>
        <v>2500</v>
      </c>
      <c r="P117" s="40">
        <v>120</v>
      </c>
    </row>
    <row r="118" spans="1:16">
      <c r="A118" s="40" t="s">
        <v>5620</v>
      </c>
      <c r="B118" s="44" t="s">
        <v>5457</v>
      </c>
      <c r="C118" s="45" t="s">
        <v>5651</v>
      </c>
      <c r="D118" s="46">
        <v>55</v>
      </c>
      <c r="E118" s="46" t="s">
        <v>5381</v>
      </c>
      <c r="F118" s="44" t="s">
        <v>5438</v>
      </c>
      <c r="G118" s="44" t="s">
        <v>5504</v>
      </c>
      <c r="H118" s="44" t="s">
        <v>5516</v>
      </c>
      <c r="I118" s="44" t="s">
        <v>5597</v>
      </c>
      <c r="J118" s="44" t="s">
        <v>5652</v>
      </c>
      <c r="K118" s="46">
        <v>4</v>
      </c>
      <c r="L118" s="54">
        <v>0</v>
      </c>
      <c r="M118">
        <v>6</v>
      </c>
      <c r="N118" s="48">
        <v>65</v>
      </c>
      <c r="O118" s="48">
        <f t="shared" si="3"/>
        <v>260</v>
      </c>
      <c r="P118" s="40">
        <v>48</v>
      </c>
    </row>
    <row r="119" spans="1:16">
      <c r="A119" s="40" t="s">
        <v>5620</v>
      </c>
      <c r="B119" s="44" t="s">
        <v>5379</v>
      </c>
      <c r="C119" s="45" t="s">
        <v>5653</v>
      </c>
      <c r="D119" s="46">
        <v>75</v>
      </c>
      <c r="E119" s="46" t="s">
        <v>5437</v>
      </c>
      <c r="F119" s="44" t="s">
        <v>5466</v>
      </c>
      <c r="G119" s="44" t="s">
        <v>5572</v>
      </c>
      <c r="H119" s="44" t="s">
        <v>5654</v>
      </c>
      <c r="I119" s="44" t="s">
        <v>5611</v>
      </c>
      <c r="J119" s="44" t="s">
        <v>5655</v>
      </c>
      <c r="K119" s="46">
        <v>2</v>
      </c>
      <c r="L119" s="54">
        <v>0</v>
      </c>
      <c r="M119">
        <v>5</v>
      </c>
      <c r="N119" s="48">
        <v>25</v>
      </c>
      <c r="O119" s="48">
        <f t="shared" si="3"/>
        <v>50</v>
      </c>
      <c r="P119" s="40">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1"/>
  <sheetViews>
    <sheetView workbookViewId="0"/>
  </sheetViews>
  <sheetFormatPr baseColWidth="10" defaultColWidth="9.140625" defaultRowHeight="15"/>
  <sheetData>
    <row r="1" spans="1:9">
      <c r="B1" t="s">
        <v>5656</v>
      </c>
      <c r="C1" t="s">
        <v>5657</v>
      </c>
      <c r="D1" t="s">
        <v>5658</v>
      </c>
      <c r="E1" t="s">
        <v>5659</v>
      </c>
      <c r="F1" t="s">
        <v>5660</v>
      </c>
      <c r="G1" t="s">
        <v>5661</v>
      </c>
      <c r="H1" t="s">
        <v>5662</v>
      </c>
      <c r="I1" t="s">
        <v>585</v>
      </c>
    </row>
    <row r="2" spans="1:9">
      <c r="A2" t="s">
        <v>5663</v>
      </c>
      <c r="B2" t="s">
        <v>5664</v>
      </c>
      <c r="C2" t="s">
        <v>5665</v>
      </c>
      <c r="D2" t="s">
        <v>5666</v>
      </c>
      <c r="E2">
        <v>3</v>
      </c>
      <c r="F2">
        <v>1</v>
      </c>
      <c r="G2">
        <v>227</v>
      </c>
      <c r="H2">
        <v>3</v>
      </c>
      <c r="I2">
        <v>2</v>
      </c>
    </row>
    <row r="3" spans="1:9">
      <c r="A3" t="s">
        <v>5667</v>
      </c>
      <c r="B3" t="s">
        <v>5668</v>
      </c>
      <c r="C3" t="s">
        <v>5665</v>
      </c>
      <c r="D3" t="s">
        <v>5666</v>
      </c>
      <c r="E3">
        <v>4</v>
      </c>
      <c r="F3">
        <v>2</v>
      </c>
      <c r="G3">
        <v>274</v>
      </c>
      <c r="H3">
        <v>3</v>
      </c>
      <c r="I3">
        <v>2</v>
      </c>
    </row>
    <row r="4" spans="1:9">
      <c r="A4" t="s">
        <v>5669</v>
      </c>
      <c r="B4" t="s">
        <v>5670</v>
      </c>
      <c r="C4" t="s">
        <v>5665</v>
      </c>
      <c r="D4" t="s">
        <v>5666</v>
      </c>
      <c r="E4">
        <v>6</v>
      </c>
      <c r="F4">
        <v>3</v>
      </c>
      <c r="G4">
        <v>1830</v>
      </c>
      <c r="H4">
        <v>3</v>
      </c>
      <c r="I4">
        <v>2</v>
      </c>
    </row>
    <row r="5" spans="1:9">
      <c r="A5" t="s">
        <v>5671</v>
      </c>
      <c r="B5" t="s">
        <v>5672</v>
      </c>
      <c r="C5" t="s">
        <v>5665</v>
      </c>
      <c r="D5" t="s">
        <v>5666</v>
      </c>
      <c r="E5">
        <v>6</v>
      </c>
      <c r="F5">
        <v>4</v>
      </c>
      <c r="G5">
        <v>562</v>
      </c>
      <c r="H5">
        <v>3</v>
      </c>
      <c r="I5">
        <v>2</v>
      </c>
    </row>
    <row r="6" spans="1:9">
      <c r="A6" t="s">
        <v>5673</v>
      </c>
      <c r="B6" t="s">
        <v>5674</v>
      </c>
      <c r="E6">
        <v>0</v>
      </c>
      <c r="F6">
        <v>0</v>
      </c>
      <c r="G6">
        <v>0</v>
      </c>
      <c r="H6">
        <v>0</v>
      </c>
      <c r="I6">
        <v>0</v>
      </c>
    </row>
    <row r="7" spans="1:9">
      <c r="C7" t="s">
        <v>5656</v>
      </c>
      <c r="D7" t="s">
        <v>5675</v>
      </c>
      <c r="E7">
        <v>19</v>
      </c>
      <c r="F7">
        <v>10</v>
      </c>
      <c r="G7">
        <v>2893</v>
      </c>
    </row>
    <row r="8" spans="1:9">
      <c r="B8" t="s">
        <v>5676</v>
      </c>
      <c r="C8" t="s">
        <v>5657</v>
      </c>
      <c r="D8" t="s">
        <v>5658</v>
      </c>
      <c r="E8" t="s">
        <v>5659</v>
      </c>
      <c r="F8" t="s">
        <v>5660</v>
      </c>
      <c r="G8" t="s">
        <v>5661</v>
      </c>
      <c r="H8" t="s">
        <v>5662</v>
      </c>
      <c r="I8" t="s">
        <v>585</v>
      </c>
    </row>
    <row r="9" spans="1:9">
      <c r="A9" t="s">
        <v>5663</v>
      </c>
      <c r="B9" t="s">
        <v>5664</v>
      </c>
      <c r="C9" t="s">
        <v>5677</v>
      </c>
      <c r="D9" t="s">
        <v>5678</v>
      </c>
      <c r="E9">
        <v>4</v>
      </c>
      <c r="F9">
        <v>1</v>
      </c>
      <c r="G9">
        <v>387</v>
      </c>
      <c r="H9">
        <v>5</v>
      </c>
      <c r="I9">
        <v>3</v>
      </c>
    </row>
    <row r="10" spans="1:9">
      <c r="A10" t="s">
        <v>5667</v>
      </c>
      <c r="B10" t="s">
        <v>5668</v>
      </c>
      <c r="C10" t="s">
        <v>5679</v>
      </c>
      <c r="D10" t="s">
        <v>5666</v>
      </c>
      <c r="E10">
        <v>3</v>
      </c>
      <c r="F10">
        <v>2</v>
      </c>
      <c r="G10">
        <v>38</v>
      </c>
      <c r="H10">
        <v>3</v>
      </c>
      <c r="I10">
        <v>2</v>
      </c>
    </row>
    <row r="11" spans="1:9">
      <c r="A11" t="s">
        <v>5669</v>
      </c>
      <c r="B11" t="s">
        <v>5680</v>
      </c>
      <c r="C11" t="s">
        <v>5679</v>
      </c>
      <c r="D11" t="s">
        <v>5666</v>
      </c>
      <c r="E11">
        <v>4</v>
      </c>
      <c r="F11">
        <v>3</v>
      </c>
      <c r="G11">
        <v>372</v>
      </c>
      <c r="H11">
        <v>3</v>
      </c>
      <c r="I11">
        <v>2</v>
      </c>
    </row>
    <row r="12" spans="1:9">
      <c r="A12" t="s">
        <v>5671</v>
      </c>
      <c r="B12" t="s">
        <v>5681</v>
      </c>
      <c r="C12" t="s">
        <v>5682</v>
      </c>
      <c r="D12" t="s">
        <v>5678</v>
      </c>
      <c r="E12">
        <v>14</v>
      </c>
      <c r="F12">
        <v>7</v>
      </c>
      <c r="G12">
        <v>6495</v>
      </c>
      <c r="H12">
        <v>7</v>
      </c>
      <c r="I12">
        <v>7</v>
      </c>
    </row>
    <row r="13" spans="1:9">
      <c r="A13" t="s">
        <v>5673</v>
      </c>
      <c r="B13" t="s">
        <v>5674</v>
      </c>
      <c r="E13">
        <v>0</v>
      </c>
      <c r="F13">
        <v>0</v>
      </c>
      <c r="G13">
        <v>0</v>
      </c>
      <c r="H13">
        <v>0</v>
      </c>
      <c r="I13">
        <v>0</v>
      </c>
    </row>
    <row r="14" spans="1:9">
      <c r="C14" t="s">
        <v>5676</v>
      </c>
      <c r="D14" t="s">
        <v>5675</v>
      </c>
      <c r="E14">
        <v>25</v>
      </c>
      <c r="F14">
        <v>13</v>
      </c>
      <c r="G14">
        <v>7292</v>
      </c>
    </row>
    <row r="15" spans="1:9">
      <c r="B15" t="s">
        <v>5683</v>
      </c>
      <c r="C15" t="s">
        <v>5657</v>
      </c>
      <c r="D15" t="s">
        <v>5658</v>
      </c>
      <c r="E15" t="s">
        <v>5659</v>
      </c>
      <c r="F15" t="s">
        <v>5660</v>
      </c>
      <c r="G15" t="s">
        <v>5661</v>
      </c>
      <c r="H15" t="s">
        <v>5662</v>
      </c>
      <c r="I15" t="s">
        <v>585</v>
      </c>
    </row>
    <row r="16" spans="1:9">
      <c r="A16" t="s">
        <v>5663</v>
      </c>
      <c r="B16" t="s">
        <v>5664</v>
      </c>
      <c r="C16" t="s">
        <v>5679</v>
      </c>
      <c r="D16" t="s">
        <v>5666</v>
      </c>
      <c r="E16">
        <v>2</v>
      </c>
      <c r="F16">
        <v>1</v>
      </c>
      <c r="G16">
        <v>50</v>
      </c>
      <c r="H16">
        <v>3</v>
      </c>
      <c r="I16">
        <v>2</v>
      </c>
    </row>
    <row r="17" spans="1:9">
      <c r="A17" t="s">
        <v>5667</v>
      </c>
      <c r="B17" t="s">
        <v>5668</v>
      </c>
      <c r="C17" t="s">
        <v>5679</v>
      </c>
      <c r="D17" t="s">
        <v>5666</v>
      </c>
      <c r="E17">
        <v>3</v>
      </c>
      <c r="F17">
        <v>2</v>
      </c>
      <c r="G17">
        <v>38</v>
      </c>
      <c r="H17">
        <v>3</v>
      </c>
      <c r="I17">
        <v>2</v>
      </c>
    </row>
    <row r="18" spans="1:9">
      <c r="A18" t="s">
        <v>5669</v>
      </c>
      <c r="B18" t="s">
        <v>5680</v>
      </c>
      <c r="C18" t="s">
        <v>5679</v>
      </c>
      <c r="D18" t="s">
        <v>5666</v>
      </c>
      <c r="E18">
        <v>4</v>
      </c>
      <c r="F18">
        <v>3</v>
      </c>
      <c r="G18">
        <v>372</v>
      </c>
      <c r="H18">
        <v>3</v>
      </c>
      <c r="I18">
        <v>2</v>
      </c>
    </row>
    <row r="19" spans="1:9">
      <c r="A19" t="s">
        <v>5671</v>
      </c>
      <c r="B19" t="s">
        <v>5672</v>
      </c>
      <c r="C19" t="s">
        <v>5679</v>
      </c>
      <c r="D19" t="s">
        <v>5666</v>
      </c>
      <c r="E19">
        <v>5</v>
      </c>
      <c r="F19">
        <v>4</v>
      </c>
      <c r="G19">
        <v>208</v>
      </c>
      <c r="H19">
        <v>3</v>
      </c>
      <c r="I19">
        <v>2</v>
      </c>
    </row>
    <row r="20" spans="1:9">
      <c r="A20" t="s">
        <v>5673</v>
      </c>
      <c r="B20" t="s">
        <v>5674</v>
      </c>
      <c r="E20">
        <v>0</v>
      </c>
      <c r="F20">
        <v>0</v>
      </c>
      <c r="G20">
        <v>0</v>
      </c>
      <c r="H20">
        <v>0</v>
      </c>
      <c r="I20">
        <v>0</v>
      </c>
    </row>
    <row r="21" spans="1:9">
      <c r="C21" t="s">
        <v>5683</v>
      </c>
      <c r="D21" t="s">
        <v>5675</v>
      </c>
      <c r="E21">
        <v>14</v>
      </c>
      <c r="F21">
        <v>10</v>
      </c>
      <c r="G21">
        <v>668</v>
      </c>
    </row>
    <row r="22" spans="1:9">
      <c r="B22" t="s">
        <v>5684</v>
      </c>
      <c r="C22" t="s">
        <v>5657</v>
      </c>
      <c r="D22" t="s">
        <v>5658</v>
      </c>
      <c r="E22" t="s">
        <v>5659</v>
      </c>
      <c r="F22" t="s">
        <v>5660</v>
      </c>
      <c r="G22" t="s">
        <v>5661</v>
      </c>
      <c r="H22" t="s">
        <v>5662</v>
      </c>
      <c r="I22" t="s">
        <v>585</v>
      </c>
    </row>
    <row r="23" spans="1:9">
      <c r="A23" t="s">
        <v>5663</v>
      </c>
      <c r="B23" t="s">
        <v>5664</v>
      </c>
      <c r="C23" t="s">
        <v>5679</v>
      </c>
      <c r="D23" t="s">
        <v>5666</v>
      </c>
      <c r="E23">
        <v>2</v>
      </c>
      <c r="F23">
        <v>1</v>
      </c>
      <c r="G23">
        <v>50</v>
      </c>
      <c r="H23">
        <v>3</v>
      </c>
      <c r="I23">
        <v>2</v>
      </c>
    </row>
    <row r="24" spans="1:9">
      <c r="A24" t="s">
        <v>5667</v>
      </c>
      <c r="B24" t="s">
        <v>5668</v>
      </c>
      <c r="C24" t="s">
        <v>5679</v>
      </c>
      <c r="D24" t="s">
        <v>5666</v>
      </c>
      <c r="E24">
        <v>3</v>
      </c>
      <c r="F24">
        <v>2</v>
      </c>
      <c r="G24">
        <v>38</v>
      </c>
      <c r="H24">
        <v>3</v>
      </c>
      <c r="I24">
        <v>2</v>
      </c>
    </row>
    <row r="25" spans="1:9">
      <c r="A25" t="s">
        <v>5669</v>
      </c>
      <c r="B25" t="s">
        <v>5680</v>
      </c>
      <c r="C25" t="s">
        <v>5679</v>
      </c>
      <c r="D25" t="s">
        <v>5666</v>
      </c>
      <c r="E25">
        <v>4</v>
      </c>
      <c r="F25">
        <v>3</v>
      </c>
      <c r="G25">
        <v>372</v>
      </c>
      <c r="H25">
        <v>3</v>
      </c>
      <c r="I25">
        <v>2</v>
      </c>
    </row>
    <row r="26" spans="1:9">
      <c r="A26" t="s">
        <v>5671</v>
      </c>
      <c r="B26" t="s">
        <v>5672</v>
      </c>
      <c r="C26" t="s">
        <v>5679</v>
      </c>
      <c r="D26" t="s">
        <v>5666</v>
      </c>
      <c r="E26">
        <v>5</v>
      </c>
      <c r="F26">
        <v>4</v>
      </c>
      <c r="G26">
        <v>208</v>
      </c>
      <c r="H26">
        <v>3</v>
      </c>
      <c r="I26">
        <v>2</v>
      </c>
    </row>
    <row r="27" spans="1:9">
      <c r="A27" t="s">
        <v>5673</v>
      </c>
      <c r="B27" t="s">
        <v>5674</v>
      </c>
      <c r="E27">
        <v>0</v>
      </c>
      <c r="F27">
        <v>0</v>
      </c>
      <c r="G27">
        <v>0</v>
      </c>
      <c r="H27">
        <v>0</v>
      </c>
      <c r="I27">
        <v>0</v>
      </c>
    </row>
    <row r="28" spans="1:9">
      <c r="C28" t="s">
        <v>5684</v>
      </c>
      <c r="D28" t="s">
        <v>5675</v>
      </c>
      <c r="E28">
        <v>14</v>
      </c>
      <c r="F28">
        <v>10</v>
      </c>
      <c r="G28">
        <v>668</v>
      </c>
    </row>
    <row r="29" spans="1:9">
      <c r="F29" t="s">
        <v>5660</v>
      </c>
      <c r="G29" t="s">
        <v>5661</v>
      </c>
    </row>
    <row r="30" spans="1:9">
      <c r="C30" t="s">
        <v>5685</v>
      </c>
      <c r="D30" t="s">
        <v>5675</v>
      </c>
      <c r="F30">
        <v>43</v>
      </c>
      <c r="G30">
        <v>11521</v>
      </c>
    </row>
    <row r="31" spans="1:9">
      <c r="A31" t="s">
        <v>5686</v>
      </c>
    </row>
    <row r="32" spans="1:9">
      <c r="A32" t="s">
        <v>5687</v>
      </c>
    </row>
    <row r="33" spans="1:9">
      <c r="A33" t="s">
        <v>5688</v>
      </c>
    </row>
    <row r="34" spans="1:9">
      <c r="A34" t="s">
        <v>5689</v>
      </c>
    </row>
    <row r="35" spans="1:9">
      <c r="A35" t="s">
        <v>5690</v>
      </c>
    </row>
    <row r="36" spans="1:9">
      <c r="A36" t="s">
        <v>5685</v>
      </c>
      <c r="B36" t="s">
        <v>5691</v>
      </c>
      <c r="C36" t="s">
        <v>5659</v>
      </c>
      <c r="D36" t="s">
        <v>5660</v>
      </c>
      <c r="F36" t="s">
        <v>5692</v>
      </c>
      <c r="G36" t="s">
        <v>5693</v>
      </c>
      <c r="H36" t="s">
        <v>5694</v>
      </c>
      <c r="I36" t="s">
        <v>5695</v>
      </c>
    </row>
    <row r="37" spans="1:9">
      <c r="A37" t="s">
        <v>5674</v>
      </c>
    </row>
    <row r="38" spans="1:9">
      <c r="A38" t="s">
        <v>5696</v>
      </c>
      <c r="B38">
        <v>1</v>
      </c>
      <c r="C38">
        <v>1</v>
      </c>
      <c r="D38">
        <v>1</v>
      </c>
      <c r="F38">
        <v>1</v>
      </c>
      <c r="G38">
        <v>1</v>
      </c>
      <c r="H38">
        <v>16</v>
      </c>
      <c r="I38">
        <v>1</v>
      </c>
    </row>
    <row r="39" spans="1:9">
      <c r="A39" t="s">
        <v>5664</v>
      </c>
      <c r="B39">
        <v>1</v>
      </c>
      <c r="C39">
        <v>2</v>
      </c>
      <c r="D39">
        <v>2</v>
      </c>
      <c r="F39">
        <v>1</v>
      </c>
      <c r="G39">
        <v>1</v>
      </c>
      <c r="H39">
        <v>32</v>
      </c>
      <c r="I39">
        <v>1</v>
      </c>
    </row>
    <row r="40" spans="1:9">
      <c r="A40" t="s">
        <v>5697</v>
      </c>
      <c r="B40">
        <v>1</v>
      </c>
      <c r="C40">
        <v>3</v>
      </c>
      <c r="D40">
        <v>3</v>
      </c>
      <c r="F40">
        <v>1</v>
      </c>
      <c r="G40">
        <v>1</v>
      </c>
      <c r="H40">
        <v>48</v>
      </c>
      <c r="I40">
        <v>1</v>
      </c>
    </row>
    <row r="41" spans="1:9">
      <c r="A41" t="s">
        <v>5674</v>
      </c>
      <c r="B41">
        <v>1</v>
      </c>
      <c r="F41">
        <v>1</v>
      </c>
    </row>
    <row r="42" spans="1:9">
      <c r="A42" t="s">
        <v>5668</v>
      </c>
      <c r="B42">
        <v>2</v>
      </c>
      <c r="C42">
        <v>3</v>
      </c>
      <c r="D42">
        <v>3</v>
      </c>
      <c r="F42">
        <v>1</v>
      </c>
      <c r="G42">
        <v>1</v>
      </c>
      <c r="H42">
        <v>14</v>
      </c>
      <c r="I42">
        <v>2</v>
      </c>
    </row>
    <row r="43" spans="1:9">
      <c r="A43" t="s">
        <v>5698</v>
      </c>
      <c r="B43">
        <v>2</v>
      </c>
      <c r="C43">
        <v>4</v>
      </c>
      <c r="D43">
        <v>4</v>
      </c>
      <c r="F43">
        <v>1</v>
      </c>
      <c r="G43">
        <v>1</v>
      </c>
      <c r="H43">
        <v>28</v>
      </c>
      <c r="I43">
        <v>2</v>
      </c>
    </row>
    <row r="44" spans="1:9">
      <c r="A44" t="s">
        <v>5699</v>
      </c>
      <c r="B44">
        <v>2</v>
      </c>
      <c r="C44">
        <v>5</v>
      </c>
      <c r="D44">
        <v>5</v>
      </c>
      <c r="F44">
        <v>1</v>
      </c>
      <c r="G44">
        <v>1</v>
      </c>
      <c r="H44">
        <v>48</v>
      </c>
      <c r="I44">
        <v>2</v>
      </c>
    </row>
    <row r="45" spans="1:9">
      <c r="A45" t="s">
        <v>5674</v>
      </c>
      <c r="B45">
        <v>2</v>
      </c>
      <c r="F45">
        <v>1</v>
      </c>
    </row>
    <row r="46" spans="1:9">
      <c r="A46" t="s">
        <v>5680</v>
      </c>
      <c r="B46">
        <v>3</v>
      </c>
      <c r="C46">
        <v>4</v>
      </c>
      <c r="D46">
        <v>4</v>
      </c>
      <c r="F46">
        <v>1</v>
      </c>
      <c r="G46">
        <v>1</v>
      </c>
      <c r="H46">
        <v>300</v>
      </c>
      <c r="I46">
        <v>10</v>
      </c>
    </row>
    <row r="47" spans="1:9">
      <c r="A47" t="s">
        <v>5670</v>
      </c>
      <c r="B47">
        <v>3</v>
      </c>
      <c r="C47">
        <v>5</v>
      </c>
      <c r="D47">
        <v>4</v>
      </c>
      <c r="F47">
        <v>2</v>
      </c>
      <c r="G47">
        <v>1</v>
      </c>
      <c r="H47">
        <v>1050</v>
      </c>
      <c r="I47">
        <v>10</v>
      </c>
    </row>
    <row r="48" spans="1:9">
      <c r="A48" t="s">
        <v>5700</v>
      </c>
      <c r="B48">
        <v>3</v>
      </c>
      <c r="C48">
        <v>6</v>
      </c>
      <c r="D48">
        <v>5</v>
      </c>
      <c r="F48">
        <v>1</v>
      </c>
      <c r="G48">
        <v>1</v>
      </c>
      <c r="H48">
        <v>480</v>
      </c>
      <c r="I48">
        <v>15</v>
      </c>
    </row>
    <row r="49" spans="1:9">
      <c r="A49" t="s">
        <v>5701</v>
      </c>
      <c r="B49">
        <v>3</v>
      </c>
      <c r="C49">
        <v>7</v>
      </c>
      <c r="D49">
        <v>5</v>
      </c>
      <c r="F49">
        <v>5</v>
      </c>
      <c r="G49">
        <v>3</v>
      </c>
      <c r="H49">
        <v>1500</v>
      </c>
      <c r="I49">
        <v>10</v>
      </c>
    </row>
    <row r="50" spans="1:9">
      <c r="A50" t="s">
        <v>5702</v>
      </c>
      <c r="B50">
        <v>3</v>
      </c>
      <c r="C50">
        <v>8</v>
      </c>
      <c r="D50">
        <v>6</v>
      </c>
      <c r="F50">
        <v>2</v>
      </c>
      <c r="G50">
        <v>1</v>
      </c>
      <c r="H50">
        <v>1680</v>
      </c>
      <c r="I50">
        <v>15</v>
      </c>
    </row>
    <row r="51" spans="1:9">
      <c r="A51" t="s">
        <v>5703</v>
      </c>
      <c r="B51">
        <v>3</v>
      </c>
      <c r="C51">
        <v>9</v>
      </c>
      <c r="D51">
        <v>6</v>
      </c>
      <c r="F51">
        <v>6</v>
      </c>
      <c r="G51">
        <v>4</v>
      </c>
      <c r="H51">
        <v>2400</v>
      </c>
      <c r="I51">
        <v>15</v>
      </c>
    </row>
    <row r="52" spans="1:9">
      <c r="A52" t="s">
        <v>5674</v>
      </c>
      <c r="B52">
        <v>3</v>
      </c>
      <c r="F52">
        <v>1</v>
      </c>
    </row>
    <row r="53" spans="1:9">
      <c r="A53" t="s">
        <v>5704</v>
      </c>
      <c r="B53">
        <v>4</v>
      </c>
      <c r="C53">
        <v>4</v>
      </c>
      <c r="D53">
        <v>4</v>
      </c>
      <c r="F53">
        <v>2</v>
      </c>
      <c r="G53">
        <v>2</v>
      </c>
      <c r="H53">
        <v>130</v>
      </c>
      <c r="I53">
        <v>3</v>
      </c>
    </row>
    <row r="54" spans="1:9">
      <c r="A54" t="s">
        <v>5672</v>
      </c>
      <c r="B54">
        <v>4</v>
      </c>
      <c r="C54">
        <v>5</v>
      </c>
      <c r="D54">
        <v>5</v>
      </c>
      <c r="F54">
        <v>2</v>
      </c>
      <c r="G54">
        <v>2</v>
      </c>
      <c r="H54">
        <v>172</v>
      </c>
      <c r="I54">
        <v>4</v>
      </c>
    </row>
    <row r="55" spans="1:9">
      <c r="A55" t="s">
        <v>5705</v>
      </c>
      <c r="B55">
        <v>4</v>
      </c>
      <c r="C55">
        <v>6</v>
      </c>
      <c r="D55">
        <v>6</v>
      </c>
      <c r="F55">
        <v>1</v>
      </c>
      <c r="G55">
        <v>1</v>
      </c>
      <c r="H55">
        <v>607</v>
      </c>
      <c r="I55">
        <v>7</v>
      </c>
    </row>
    <row r="56" spans="1:9">
      <c r="A56" t="s">
        <v>5706</v>
      </c>
      <c r="B56">
        <v>4</v>
      </c>
      <c r="C56">
        <v>7</v>
      </c>
      <c r="D56">
        <v>7</v>
      </c>
      <c r="F56">
        <v>2</v>
      </c>
      <c r="G56">
        <v>1</v>
      </c>
      <c r="H56">
        <v>2107</v>
      </c>
      <c r="I56">
        <v>7</v>
      </c>
    </row>
    <row r="57" spans="1:9">
      <c r="A57" t="s">
        <v>5707</v>
      </c>
      <c r="B57">
        <v>4</v>
      </c>
      <c r="C57">
        <v>8</v>
      </c>
      <c r="D57">
        <v>8</v>
      </c>
      <c r="F57">
        <v>1</v>
      </c>
      <c r="G57">
        <v>1</v>
      </c>
      <c r="H57">
        <v>907</v>
      </c>
      <c r="I57">
        <v>10</v>
      </c>
    </row>
    <row r="58" spans="1:9">
      <c r="A58" t="s">
        <v>5708</v>
      </c>
      <c r="B58">
        <v>4</v>
      </c>
      <c r="C58">
        <v>9</v>
      </c>
      <c r="D58">
        <v>8</v>
      </c>
      <c r="F58">
        <v>2</v>
      </c>
      <c r="G58">
        <v>1</v>
      </c>
      <c r="H58">
        <v>3157</v>
      </c>
      <c r="I58">
        <v>10</v>
      </c>
    </row>
    <row r="59" spans="1:9">
      <c r="A59" t="s">
        <v>5709</v>
      </c>
      <c r="B59">
        <v>4</v>
      </c>
      <c r="C59">
        <v>10</v>
      </c>
      <c r="D59">
        <v>8</v>
      </c>
      <c r="F59">
        <v>5</v>
      </c>
      <c r="G59">
        <v>3</v>
      </c>
      <c r="H59">
        <v>3007</v>
      </c>
      <c r="I59">
        <v>7</v>
      </c>
    </row>
    <row r="60" spans="1:9">
      <c r="A60" t="s">
        <v>5681</v>
      </c>
      <c r="B60">
        <v>4</v>
      </c>
      <c r="C60">
        <v>12</v>
      </c>
      <c r="D60">
        <v>10</v>
      </c>
      <c r="F60">
        <v>6</v>
      </c>
      <c r="G60">
        <v>4</v>
      </c>
      <c r="H60">
        <v>4507</v>
      </c>
      <c r="I60">
        <v>10</v>
      </c>
    </row>
    <row r="61" spans="1:9">
      <c r="A61" t="s">
        <v>5674</v>
      </c>
      <c r="B61">
        <v>5</v>
      </c>
      <c r="F6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
  <sheetViews>
    <sheetView workbookViewId="0"/>
  </sheetViews>
  <sheetFormatPr baseColWidth="10" defaultColWidth="9.140625" defaultRowHeight="15"/>
  <sheetData>
    <row r="1" spans="1:13">
      <c r="A1" t="s">
        <v>5710</v>
      </c>
      <c r="B1" t="s">
        <v>5711</v>
      </c>
      <c r="C1" t="s">
        <v>5712</v>
      </c>
      <c r="D1" t="s">
        <v>5713</v>
      </c>
      <c r="E1" t="s">
        <v>5714</v>
      </c>
      <c r="F1" t="s">
        <v>5715</v>
      </c>
      <c r="G1" t="s">
        <v>5716</v>
      </c>
      <c r="H1" t="s">
        <v>5661</v>
      </c>
      <c r="I1" t="s">
        <v>5717</v>
      </c>
      <c r="J1" t="s">
        <v>5718</v>
      </c>
      <c r="L1" t="s">
        <v>5719</v>
      </c>
      <c r="M1" t="s">
        <v>5720</v>
      </c>
    </row>
    <row r="2" spans="1:13">
      <c r="A2" t="s">
        <v>5721</v>
      </c>
      <c r="F2">
        <v>1</v>
      </c>
      <c r="G2">
        <v>1</v>
      </c>
      <c r="H2">
        <v>50</v>
      </c>
      <c r="K2" t="s">
        <v>5722</v>
      </c>
      <c r="M2">
        <v>10</v>
      </c>
    </row>
    <row r="3" spans="1:13">
      <c r="A3" t="s">
        <v>5723</v>
      </c>
      <c r="B3">
        <v>1</v>
      </c>
      <c r="D3">
        <v>1</v>
      </c>
      <c r="E3">
        <v>-0.5</v>
      </c>
      <c r="F3">
        <v>0.9</v>
      </c>
      <c r="G3">
        <v>0.9</v>
      </c>
      <c r="H3">
        <v>125</v>
      </c>
      <c r="I3">
        <v>1</v>
      </c>
      <c r="J3">
        <v>1</v>
      </c>
      <c r="K3" t="s">
        <v>5724</v>
      </c>
      <c r="M3">
        <v>12</v>
      </c>
    </row>
    <row r="4" spans="1:13">
      <c r="A4" t="s">
        <v>5725</v>
      </c>
      <c r="B4">
        <v>1</v>
      </c>
      <c r="D4">
        <v>1</v>
      </c>
      <c r="E4">
        <v>-0.5</v>
      </c>
      <c r="F4">
        <v>0.9</v>
      </c>
      <c r="G4">
        <v>0.9</v>
      </c>
      <c r="H4">
        <v>175</v>
      </c>
      <c r="I4">
        <v>2</v>
      </c>
      <c r="J4">
        <v>2</v>
      </c>
      <c r="K4" t="s">
        <v>5724</v>
      </c>
      <c r="M4">
        <v>18</v>
      </c>
    </row>
    <row r="5" spans="1:13">
      <c r="A5" t="s">
        <v>5726</v>
      </c>
      <c r="B5">
        <v>2</v>
      </c>
      <c r="D5">
        <v>1</v>
      </c>
      <c r="E5">
        <v>-0.5</v>
      </c>
      <c r="F5">
        <v>0.8</v>
      </c>
      <c r="G5">
        <v>0.8</v>
      </c>
      <c r="H5">
        <v>250</v>
      </c>
      <c r="I5">
        <v>3</v>
      </c>
      <c r="J5">
        <v>3</v>
      </c>
      <c r="K5" t="s">
        <v>5724</v>
      </c>
      <c r="M5">
        <v>30</v>
      </c>
    </row>
    <row r="6" spans="1:13">
      <c r="A6" t="s">
        <v>5727</v>
      </c>
      <c r="B6">
        <v>-1</v>
      </c>
      <c r="D6">
        <v>2</v>
      </c>
      <c r="E6">
        <v>-2</v>
      </c>
      <c r="F6">
        <v>0.5</v>
      </c>
      <c r="G6">
        <v>0.5</v>
      </c>
      <c r="H6">
        <v>1250</v>
      </c>
      <c r="I6">
        <v>0</v>
      </c>
      <c r="J6">
        <v>2</v>
      </c>
      <c r="K6" t="s">
        <v>5724</v>
      </c>
      <c r="M6">
        <v>20</v>
      </c>
    </row>
    <row r="7" spans="1:13">
      <c r="A7" t="s">
        <v>5728</v>
      </c>
      <c r="B7">
        <v>-1</v>
      </c>
      <c r="C7">
        <v>1</v>
      </c>
      <c r="D7">
        <v>2</v>
      </c>
      <c r="E7">
        <v>-1</v>
      </c>
      <c r="F7">
        <v>0.5</v>
      </c>
      <c r="G7">
        <v>0.5</v>
      </c>
      <c r="H7">
        <v>1500</v>
      </c>
      <c r="I7">
        <v>0</v>
      </c>
      <c r="J7">
        <v>0</v>
      </c>
      <c r="K7" t="s">
        <v>1102</v>
      </c>
      <c r="M7">
        <v>5</v>
      </c>
    </row>
    <row r="8" spans="1:13">
      <c r="A8" t="s">
        <v>5729</v>
      </c>
      <c r="B8">
        <v>0</v>
      </c>
      <c r="C8">
        <v>-1</v>
      </c>
      <c r="F8">
        <v>1</v>
      </c>
      <c r="G8">
        <v>1</v>
      </c>
      <c r="H8">
        <v>1500</v>
      </c>
      <c r="I8">
        <v>-1</v>
      </c>
      <c r="J8">
        <v>-1</v>
      </c>
      <c r="K8" t="s">
        <v>5724</v>
      </c>
      <c r="M8">
        <v>8</v>
      </c>
    </row>
    <row r="9" spans="1:13">
      <c r="A9" t="s">
        <v>5730</v>
      </c>
      <c r="B9">
        <v>0</v>
      </c>
      <c r="C9">
        <v>-1</v>
      </c>
      <c r="D9">
        <v>-1</v>
      </c>
      <c r="E9">
        <v>-1</v>
      </c>
      <c r="F9">
        <v>1.2</v>
      </c>
      <c r="G9">
        <v>1.2</v>
      </c>
      <c r="H9">
        <v>1500</v>
      </c>
      <c r="I9">
        <v>-1</v>
      </c>
      <c r="J9">
        <v>-1</v>
      </c>
      <c r="K9" t="s">
        <v>5724</v>
      </c>
      <c r="M9">
        <v>7</v>
      </c>
    </row>
    <row r="10" spans="1:13">
      <c r="A10" t="s">
        <v>5731</v>
      </c>
      <c r="B10">
        <v>3</v>
      </c>
      <c r="D10">
        <v>1</v>
      </c>
      <c r="E10">
        <v>-0.5</v>
      </c>
      <c r="F10">
        <v>0.8</v>
      </c>
      <c r="G10">
        <v>0.8</v>
      </c>
      <c r="H10">
        <v>88</v>
      </c>
      <c r="I10">
        <v>3</v>
      </c>
      <c r="J10">
        <v>3</v>
      </c>
      <c r="K10" t="s">
        <v>1418</v>
      </c>
      <c r="L10" t="s">
        <v>5732</v>
      </c>
      <c r="M10">
        <v>12</v>
      </c>
    </row>
    <row r="11" spans="1:13">
      <c r="A11" t="s">
        <v>5733</v>
      </c>
      <c r="B11">
        <v>3</v>
      </c>
      <c r="D11">
        <v>1</v>
      </c>
      <c r="E11">
        <v>-0.5</v>
      </c>
      <c r="F11">
        <v>0.8</v>
      </c>
      <c r="G11">
        <v>0.8</v>
      </c>
      <c r="H11">
        <v>250000</v>
      </c>
      <c r="I11">
        <v>3</v>
      </c>
      <c r="J11">
        <v>6</v>
      </c>
      <c r="K11" t="s">
        <v>5724</v>
      </c>
      <c r="M11">
        <v>120</v>
      </c>
    </row>
    <row r="12" spans="1:13">
      <c r="A12" t="s">
        <v>5734</v>
      </c>
      <c r="B12">
        <v>-3</v>
      </c>
      <c r="C12">
        <v>2</v>
      </c>
      <c r="D12">
        <v>2</v>
      </c>
      <c r="E12">
        <v>-1.5</v>
      </c>
      <c r="F12">
        <v>0.5</v>
      </c>
      <c r="G12">
        <v>0.5</v>
      </c>
      <c r="H12">
        <v>0.1</v>
      </c>
      <c r="I12">
        <v>-11</v>
      </c>
      <c r="J12">
        <v>-7</v>
      </c>
      <c r="K12" t="s">
        <v>5724</v>
      </c>
      <c r="M12">
        <v>0</v>
      </c>
    </row>
    <row r="13" spans="1:13">
      <c r="A13" t="s">
        <v>5735</v>
      </c>
      <c r="B13">
        <v>0</v>
      </c>
      <c r="C13">
        <v>1</v>
      </c>
      <c r="D13">
        <v>2</v>
      </c>
      <c r="E13">
        <v>-1</v>
      </c>
      <c r="F13">
        <v>0.5</v>
      </c>
      <c r="G13">
        <v>0.5</v>
      </c>
      <c r="H13">
        <v>0.1</v>
      </c>
      <c r="I13">
        <v>-4</v>
      </c>
      <c r="J13">
        <v>-5</v>
      </c>
      <c r="K13" t="s">
        <v>5724</v>
      </c>
      <c r="M13">
        <v>2</v>
      </c>
    </row>
    <row r="14" spans="1:13">
      <c r="A14" t="s">
        <v>5736</v>
      </c>
      <c r="B14">
        <v>0</v>
      </c>
      <c r="C14">
        <v>-3</v>
      </c>
      <c r="D14">
        <v>-2</v>
      </c>
      <c r="E14">
        <v>1</v>
      </c>
      <c r="F14">
        <v>1.3</v>
      </c>
      <c r="G14">
        <v>1.3</v>
      </c>
      <c r="H14">
        <v>0.1</v>
      </c>
      <c r="I14">
        <v>-2</v>
      </c>
      <c r="J14">
        <v>-3</v>
      </c>
      <c r="K14" t="s">
        <v>5724</v>
      </c>
      <c r="M14">
        <v>5</v>
      </c>
    </row>
    <row r="15" spans="1:13">
      <c r="A15" t="s">
        <v>5737</v>
      </c>
      <c r="B15">
        <v>0</v>
      </c>
      <c r="C15">
        <v>-2</v>
      </c>
      <c r="D15">
        <v>-1</v>
      </c>
      <c r="E15">
        <v>1</v>
      </c>
      <c r="F15">
        <v>1.1000000000000001</v>
      </c>
      <c r="G15">
        <v>1.1000000000000001</v>
      </c>
      <c r="H15">
        <v>0.25</v>
      </c>
      <c r="I15">
        <v>-2</v>
      </c>
      <c r="J15">
        <v>-2</v>
      </c>
      <c r="K15" t="s">
        <v>1094</v>
      </c>
      <c r="M15">
        <v>4</v>
      </c>
    </row>
    <row r="16" spans="1:13">
      <c r="A16" t="s">
        <v>5738</v>
      </c>
      <c r="B16">
        <v>0</v>
      </c>
      <c r="E16">
        <v>0</v>
      </c>
      <c r="F16">
        <v>1</v>
      </c>
      <c r="G16">
        <v>1</v>
      </c>
      <c r="H16">
        <v>0.3</v>
      </c>
      <c r="K16" t="s">
        <v>5724</v>
      </c>
      <c r="M16">
        <v>5</v>
      </c>
    </row>
    <row r="17" spans="1:13">
      <c r="A17" t="s">
        <v>5739</v>
      </c>
      <c r="B17">
        <v>-2</v>
      </c>
      <c r="C17">
        <v>1</v>
      </c>
      <c r="D17">
        <v>2</v>
      </c>
      <c r="E17">
        <v>-1</v>
      </c>
      <c r="F17">
        <v>0.7</v>
      </c>
      <c r="G17">
        <v>0.7</v>
      </c>
      <c r="H17">
        <v>3</v>
      </c>
      <c r="I17">
        <v>-7</v>
      </c>
      <c r="J17">
        <v>-5</v>
      </c>
      <c r="K17" t="s">
        <v>5724</v>
      </c>
      <c r="L17" t="s">
        <v>5740</v>
      </c>
      <c r="M17">
        <v>3</v>
      </c>
    </row>
    <row r="18" spans="1:13">
      <c r="A18" t="s">
        <v>5741</v>
      </c>
      <c r="B18">
        <v>-1</v>
      </c>
      <c r="C18">
        <v>-3</v>
      </c>
      <c r="D18">
        <v>-2</v>
      </c>
      <c r="E18">
        <v>-1</v>
      </c>
      <c r="F18">
        <v>1.1000000000000001</v>
      </c>
      <c r="G18">
        <v>1.1000000000000001</v>
      </c>
      <c r="H18">
        <v>3</v>
      </c>
      <c r="I18">
        <v>-4</v>
      </c>
      <c r="J18">
        <v>-5</v>
      </c>
      <c r="K18" t="s">
        <v>1094</v>
      </c>
      <c r="M18">
        <v>5</v>
      </c>
    </row>
    <row r="19" spans="1:13">
      <c r="A19" t="s">
        <v>5742</v>
      </c>
      <c r="B19">
        <v>0</v>
      </c>
      <c r="C19">
        <v>-1</v>
      </c>
      <c r="D19">
        <v>2</v>
      </c>
      <c r="E19">
        <v>-1</v>
      </c>
      <c r="F19">
        <v>0.5</v>
      </c>
      <c r="G19">
        <v>0.5</v>
      </c>
      <c r="H19">
        <v>20</v>
      </c>
      <c r="I19">
        <v>-2</v>
      </c>
      <c r="K19" t="s">
        <v>5724</v>
      </c>
      <c r="M19">
        <v>3</v>
      </c>
    </row>
    <row r="20" spans="1:13">
      <c r="A20" t="s">
        <v>5743</v>
      </c>
      <c r="B20">
        <v>-1</v>
      </c>
      <c r="C20">
        <v>-1</v>
      </c>
      <c r="E20">
        <v>0.5</v>
      </c>
      <c r="F20">
        <v>1.1000000000000001</v>
      </c>
      <c r="G20">
        <v>1.1000000000000001</v>
      </c>
      <c r="H20">
        <v>25</v>
      </c>
      <c r="I20">
        <v>-2</v>
      </c>
      <c r="J20">
        <v>-2</v>
      </c>
      <c r="K20" t="s">
        <v>5724</v>
      </c>
      <c r="M20">
        <v>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
  <sheetViews>
    <sheetView workbookViewId="0"/>
  </sheetViews>
  <sheetFormatPr baseColWidth="10" defaultColWidth="9.140625" defaultRowHeight="15"/>
  <sheetData>
    <row r="1" spans="1:14">
      <c r="A1" t="s">
        <v>5658</v>
      </c>
      <c r="B1" t="s">
        <v>5711</v>
      </c>
      <c r="C1" t="s">
        <v>5712</v>
      </c>
      <c r="D1" t="s">
        <v>5713</v>
      </c>
      <c r="E1" t="s">
        <v>5714</v>
      </c>
      <c r="F1" t="s">
        <v>5744</v>
      </c>
      <c r="G1" t="s">
        <v>5745</v>
      </c>
      <c r="H1" t="s">
        <v>5661</v>
      </c>
      <c r="I1" t="s">
        <v>5746</v>
      </c>
      <c r="J1" t="s">
        <v>5747</v>
      </c>
      <c r="K1" t="s">
        <v>4147</v>
      </c>
      <c r="L1" t="s">
        <v>5719</v>
      </c>
      <c r="N1" t="s">
        <v>5695</v>
      </c>
    </row>
    <row r="2" spans="1:14">
      <c r="A2" t="s">
        <v>5748</v>
      </c>
      <c r="H2">
        <v>1</v>
      </c>
      <c r="K2" t="s">
        <v>5722</v>
      </c>
      <c r="M2">
        <v>0</v>
      </c>
      <c r="N2">
        <v>0</v>
      </c>
    </row>
    <row r="3" spans="1:14">
      <c r="A3" t="s">
        <v>5666</v>
      </c>
      <c r="C3">
        <v>1</v>
      </c>
      <c r="D3">
        <v>1</v>
      </c>
      <c r="G3">
        <v>-2</v>
      </c>
      <c r="H3">
        <v>2</v>
      </c>
      <c r="K3" t="s">
        <v>5724</v>
      </c>
      <c r="M3">
        <v>6</v>
      </c>
      <c r="N3">
        <v>1</v>
      </c>
    </row>
    <row r="4" spans="1:14">
      <c r="A4" t="s">
        <v>5749</v>
      </c>
      <c r="C4">
        <v>2</v>
      </c>
      <c r="D4">
        <v>2</v>
      </c>
      <c r="G4">
        <v>-4</v>
      </c>
      <c r="H4">
        <v>5</v>
      </c>
      <c r="K4" t="s">
        <v>5724</v>
      </c>
      <c r="M4">
        <v>12</v>
      </c>
      <c r="N4">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6"/>
  <sheetViews>
    <sheetView workbookViewId="0"/>
  </sheetViews>
  <sheetFormatPr baseColWidth="10" defaultColWidth="9.140625" defaultRowHeight="15"/>
  <sheetData>
    <row r="1" spans="1:14">
      <c r="A1" t="s">
        <v>5750</v>
      </c>
      <c r="B1" t="s">
        <v>5711</v>
      </c>
      <c r="C1" t="s">
        <v>5712</v>
      </c>
      <c r="D1" t="s">
        <v>5713</v>
      </c>
      <c r="E1" t="s">
        <v>5714</v>
      </c>
      <c r="F1" t="s">
        <v>5744</v>
      </c>
      <c r="G1" t="s">
        <v>5745</v>
      </c>
      <c r="H1" t="s">
        <v>5751</v>
      </c>
      <c r="I1" t="s">
        <v>5746</v>
      </c>
      <c r="J1" t="s">
        <v>5747</v>
      </c>
      <c r="K1" t="s">
        <v>4147</v>
      </c>
      <c r="L1" t="s">
        <v>5719</v>
      </c>
    </row>
    <row r="2" spans="1:14">
      <c r="A2" t="s">
        <v>5722</v>
      </c>
      <c r="M2">
        <v>0</v>
      </c>
    </row>
    <row r="3" spans="1:14">
      <c r="A3" t="s">
        <v>5752</v>
      </c>
      <c r="C3">
        <v>-1</v>
      </c>
      <c r="D3">
        <v>-1</v>
      </c>
      <c r="G3">
        <v>2</v>
      </c>
      <c r="H3">
        <v>37.5</v>
      </c>
      <c r="J3">
        <v>2</v>
      </c>
      <c r="K3" t="s">
        <v>5724</v>
      </c>
      <c r="M3">
        <v>10</v>
      </c>
      <c r="N3">
        <v>0.5</v>
      </c>
    </row>
    <row r="4" spans="1:14">
      <c r="A4" t="s">
        <v>5753</v>
      </c>
      <c r="C4">
        <v>-2</v>
      </c>
      <c r="D4">
        <v>-2</v>
      </c>
      <c r="G4">
        <v>3</v>
      </c>
      <c r="H4">
        <v>275</v>
      </c>
      <c r="J4">
        <v>3</v>
      </c>
      <c r="K4" t="s">
        <v>5724</v>
      </c>
      <c r="M4">
        <v>10</v>
      </c>
      <c r="N4">
        <v>0.5</v>
      </c>
    </row>
    <row r="5" spans="1:14">
      <c r="A5" t="s">
        <v>5754</v>
      </c>
      <c r="C5">
        <v>-1</v>
      </c>
      <c r="D5">
        <v>-1</v>
      </c>
      <c r="G5">
        <v>2</v>
      </c>
      <c r="H5">
        <v>93.75</v>
      </c>
      <c r="J5">
        <v>3</v>
      </c>
      <c r="K5" t="s">
        <v>5724</v>
      </c>
      <c r="M5">
        <v>12</v>
      </c>
      <c r="N5">
        <v>0.5</v>
      </c>
    </row>
    <row r="6" spans="1:14">
      <c r="A6" t="s">
        <v>5755</v>
      </c>
      <c r="C6">
        <v>-2</v>
      </c>
      <c r="D6">
        <v>-2</v>
      </c>
      <c r="G6">
        <v>3</v>
      </c>
      <c r="H6">
        <v>687.5</v>
      </c>
      <c r="J6">
        <v>4</v>
      </c>
      <c r="K6" t="s">
        <v>5724</v>
      </c>
      <c r="M6">
        <v>12</v>
      </c>
      <c r="N6">
        <v>0.5</v>
      </c>
    </row>
    <row r="7" spans="1:14">
      <c r="A7" t="s">
        <v>5725</v>
      </c>
      <c r="C7">
        <v>-1</v>
      </c>
      <c r="D7">
        <v>-1</v>
      </c>
      <c r="G7">
        <v>2</v>
      </c>
      <c r="H7">
        <v>131.25</v>
      </c>
      <c r="J7">
        <v>4</v>
      </c>
      <c r="K7" t="s">
        <v>5724</v>
      </c>
      <c r="M7">
        <v>18</v>
      </c>
      <c r="N7">
        <v>0.5</v>
      </c>
    </row>
    <row r="8" spans="1:14">
      <c r="A8" t="s">
        <v>5756</v>
      </c>
      <c r="C8">
        <v>-2</v>
      </c>
      <c r="D8">
        <v>-2</v>
      </c>
      <c r="G8">
        <v>3</v>
      </c>
      <c r="H8">
        <v>962.5</v>
      </c>
      <c r="J8">
        <v>5</v>
      </c>
      <c r="K8" t="s">
        <v>5724</v>
      </c>
      <c r="M8">
        <v>18</v>
      </c>
      <c r="N8">
        <v>0.5</v>
      </c>
    </row>
    <row r="9" spans="1:14">
      <c r="A9" t="s">
        <v>5757</v>
      </c>
      <c r="C9">
        <v>-1</v>
      </c>
      <c r="D9">
        <v>-1</v>
      </c>
      <c r="G9">
        <v>2</v>
      </c>
      <c r="H9">
        <v>187.5</v>
      </c>
      <c r="J9">
        <v>5</v>
      </c>
      <c r="K9" t="s">
        <v>5724</v>
      </c>
      <c r="M9">
        <v>30</v>
      </c>
      <c r="N9">
        <v>0.5</v>
      </c>
    </row>
    <row r="10" spans="1:14">
      <c r="A10" t="s">
        <v>5758</v>
      </c>
      <c r="C10">
        <v>-2</v>
      </c>
      <c r="D10">
        <v>-2</v>
      </c>
      <c r="G10">
        <v>3</v>
      </c>
      <c r="H10">
        <v>1375</v>
      </c>
      <c r="J10">
        <v>6</v>
      </c>
      <c r="K10" t="s">
        <v>5724</v>
      </c>
      <c r="M10">
        <v>30</v>
      </c>
      <c r="N10">
        <v>0.5</v>
      </c>
    </row>
    <row r="11" spans="1:14">
      <c r="A11" t="s">
        <v>5759</v>
      </c>
      <c r="C11">
        <v>0</v>
      </c>
      <c r="D11">
        <v>-1</v>
      </c>
      <c r="G11">
        <v>1</v>
      </c>
      <c r="H11">
        <v>1875</v>
      </c>
      <c r="J11">
        <v>2</v>
      </c>
      <c r="K11" t="s">
        <v>5724</v>
      </c>
      <c r="M11">
        <v>20</v>
      </c>
      <c r="N11">
        <v>0.5</v>
      </c>
    </row>
    <row r="12" spans="1:14">
      <c r="A12" t="s">
        <v>5760</v>
      </c>
      <c r="C12">
        <v>-1</v>
      </c>
      <c r="D12">
        <v>-1</v>
      </c>
      <c r="G12">
        <v>1</v>
      </c>
      <c r="H12">
        <v>13750</v>
      </c>
      <c r="J12">
        <v>3</v>
      </c>
      <c r="K12" t="s">
        <v>5724</v>
      </c>
      <c r="M12">
        <v>20</v>
      </c>
      <c r="N12">
        <v>0.5</v>
      </c>
    </row>
    <row r="13" spans="1:14">
      <c r="A13" t="s">
        <v>5761</v>
      </c>
      <c r="C13">
        <v>-1</v>
      </c>
      <c r="D13">
        <v>-1</v>
      </c>
      <c r="G13">
        <v>2</v>
      </c>
      <c r="H13">
        <v>187500</v>
      </c>
      <c r="J13">
        <v>6</v>
      </c>
      <c r="K13" t="s">
        <v>5724</v>
      </c>
      <c r="M13">
        <v>120</v>
      </c>
      <c r="N13">
        <v>0.5</v>
      </c>
    </row>
    <row r="14" spans="1:14">
      <c r="A14" t="s">
        <v>5762</v>
      </c>
      <c r="C14">
        <v>-2</v>
      </c>
      <c r="D14">
        <v>-2</v>
      </c>
      <c r="G14">
        <v>3</v>
      </c>
      <c r="H14">
        <v>137500</v>
      </c>
      <c r="J14">
        <v>7</v>
      </c>
      <c r="K14" t="s">
        <v>5724</v>
      </c>
      <c r="M14">
        <v>120</v>
      </c>
      <c r="N14">
        <v>0.5</v>
      </c>
    </row>
    <row r="15" spans="1:14">
      <c r="A15" t="s">
        <v>5763</v>
      </c>
      <c r="C15">
        <v>-1</v>
      </c>
      <c r="D15">
        <v>-1</v>
      </c>
      <c r="G15">
        <v>2</v>
      </c>
      <c r="H15">
        <v>18.75</v>
      </c>
      <c r="J15">
        <v>1</v>
      </c>
      <c r="K15" t="s">
        <v>5724</v>
      </c>
      <c r="M15">
        <v>5</v>
      </c>
      <c r="N15">
        <v>0.5</v>
      </c>
    </row>
    <row r="16" spans="1:14">
      <c r="A16" t="s">
        <v>5764</v>
      </c>
      <c r="C16">
        <v>-2</v>
      </c>
      <c r="D16">
        <v>-2</v>
      </c>
      <c r="G16">
        <v>3</v>
      </c>
      <c r="H16">
        <v>137.5</v>
      </c>
      <c r="J16">
        <v>2</v>
      </c>
      <c r="K16" t="s">
        <v>5724</v>
      </c>
      <c r="M16">
        <v>5</v>
      </c>
      <c r="N16">
        <v>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
  <sheetViews>
    <sheetView workbookViewId="0"/>
  </sheetViews>
  <sheetFormatPr baseColWidth="10" defaultColWidth="9.140625" defaultRowHeight="15"/>
  <sheetData>
    <row r="1" spans="1:13">
      <c r="A1" t="s">
        <v>5765</v>
      </c>
      <c r="B1" t="s">
        <v>5711</v>
      </c>
      <c r="C1" t="s">
        <v>5712</v>
      </c>
      <c r="D1" t="s">
        <v>5713</v>
      </c>
      <c r="E1" t="s">
        <v>5714</v>
      </c>
      <c r="F1" t="s">
        <v>5744</v>
      </c>
      <c r="G1" t="s">
        <v>5745</v>
      </c>
      <c r="H1" t="s">
        <v>5661</v>
      </c>
      <c r="I1" t="s">
        <v>5746</v>
      </c>
      <c r="J1" t="s">
        <v>5747</v>
      </c>
      <c r="K1" t="s">
        <v>4147</v>
      </c>
      <c r="L1" t="s">
        <v>5719</v>
      </c>
    </row>
    <row r="2" spans="1:13">
      <c r="A2" t="s">
        <v>5766</v>
      </c>
      <c r="H2">
        <v>1.5</v>
      </c>
      <c r="I2">
        <v>-3</v>
      </c>
      <c r="J2">
        <v>-6</v>
      </c>
      <c r="K2" t="s">
        <v>5724</v>
      </c>
      <c r="M2">
        <v>-6</v>
      </c>
    </row>
    <row r="3" spans="1:13">
      <c r="A3" t="s">
        <v>5767</v>
      </c>
      <c r="H3">
        <v>2</v>
      </c>
      <c r="I3">
        <v>-2</v>
      </c>
      <c r="J3">
        <v>-3</v>
      </c>
      <c r="K3" t="s">
        <v>4190</v>
      </c>
      <c r="M3">
        <v>-4</v>
      </c>
    </row>
    <row r="4" spans="1:13">
      <c r="A4" t="s">
        <v>5768</v>
      </c>
      <c r="H4">
        <v>4</v>
      </c>
      <c r="I4">
        <v>-1</v>
      </c>
      <c r="J4">
        <v>-1</v>
      </c>
      <c r="K4" t="s">
        <v>5724</v>
      </c>
      <c r="M4">
        <v>-3</v>
      </c>
    </row>
    <row r="5" spans="1:13">
      <c r="A5" t="s">
        <v>5679</v>
      </c>
      <c r="H5">
        <v>6</v>
      </c>
      <c r="K5" t="s">
        <v>5722</v>
      </c>
      <c r="M5">
        <v>0</v>
      </c>
    </row>
    <row r="6" spans="1:13">
      <c r="A6" t="s">
        <v>5769</v>
      </c>
      <c r="H6">
        <v>65</v>
      </c>
      <c r="I6">
        <v>1</v>
      </c>
      <c r="J6">
        <v>1</v>
      </c>
      <c r="K6" t="s">
        <v>5724</v>
      </c>
      <c r="M6">
        <v>6</v>
      </c>
    </row>
    <row r="7" spans="1:13">
      <c r="A7" t="s">
        <v>5677</v>
      </c>
      <c r="H7">
        <v>71</v>
      </c>
      <c r="I7">
        <v>2</v>
      </c>
      <c r="J7">
        <v>2</v>
      </c>
      <c r="K7" t="s">
        <v>5724</v>
      </c>
      <c r="M7">
        <v>12</v>
      </c>
    </row>
    <row r="8" spans="1:13">
      <c r="A8" t="s">
        <v>5770</v>
      </c>
      <c r="H8">
        <v>142</v>
      </c>
      <c r="I8">
        <v>3</v>
      </c>
      <c r="J8">
        <v>3</v>
      </c>
      <c r="K8" t="s">
        <v>5724</v>
      </c>
      <c r="M8">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242"/>
  <sheetViews>
    <sheetView workbookViewId="0"/>
  </sheetViews>
  <sheetFormatPr baseColWidth="10" defaultColWidth="9.140625" defaultRowHeight="15"/>
  <sheetData>
    <row r="1" spans="1:26">
      <c r="A1" t="s">
        <v>5771</v>
      </c>
      <c r="B1" t="s">
        <v>4163</v>
      </c>
      <c r="C1" t="s">
        <v>5710</v>
      </c>
      <c r="D1" t="s">
        <v>1776</v>
      </c>
      <c r="E1" t="s">
        <v>5772</v>
      </c>
      <c r="F1" t="s">
        <v>5773</v>
      </c>
      <c r="G1" t="s">
        <v>5774</v>
      </c>
      <c r="H1" t="s">
        <v>5775</v>
      </c>
      <c r="I1" t="s">
        <v>5776</v>
      </c>
      <c r="J1" t="s">
        <v>5777</v>
      </c>
      <c r="K1" t="s">
        <v>5778</v>
      </c>
      <c r="L1" t="s">
        <v>5779</v>
      </c>
      <c r="M1" t="s">
        <v>5780</v>
      </c>
      <c r="N1" t="s">
        <v>5781</v>
      </c>
      <c r="O1" t="s">
        <v>5782</v>
      </c>
      <c r="P1" t="s">
        <v>5783</v>
      </c>
      <c r="Q1" t="s">
        <v>5784</v>
      </c>
      <c r="R1" t="s">
        <v>5785</v>
      </c>
      <c r="S1" t="s">
        <v>5786</v>
      </c>
      <c r="T1" t="s">
        <v>5787</v>
      </c>
      <c r="U1" t="s">
        <v>5788</v>
      </c>
      <c r="V1" t="s">
        <v>5789</v>
      </c>
      <c r="W1" t="s">
        <v>4147</v>
      </c>
      <c r="X1" t="s">
        <v>5790</v>
      </c>
      <c r="Y1" t="s">
        <v>5791</v>
      </c>
      <c r="Z1" t="s">
        <v>5792</v>
      </c>
    </row>
    <row r="2" spans="1:26">
      <c r="A2" t="s">
        <v>1801</v>
      </c>
      <c r="B2" t="s">
        <v>5793</v>
      </c>
      <c r="C2" t="s">
        <v>5793</v>
      </c>
      <c r="D2">
        <v>5</v>
      </c>
      <c r="E2">
        <v>3</v>
      </c>
      <c r="F2" t="s">
        <v>5794</v>
      </c>
      <c r="G2" t="s">
        <v>5795</v>
      </c>
      <c r="H2">
        <v>3</v>
      </c>
      <c r="I2">
        <v>-6</v>
      </c>
      <c r="J2">
        <v>0</v>
      </c>
      <c r="K2">
        <v>-2</v>
      </c>
      <c r="L2">
        <v>-4</v>
      </c>
      <c r="M2">
        <v>8</v>
      </c>
      <c r="O2">
        <v>0.5</v>
      </c>
      <c r="P2">
        <v>0</v>
      </c>
      <c r="Q2" t="s">
        <v>5796</v>
      </c>
      <c r="R2">
        <v>12</v>
      </c>
      <c r="S2">
        <v>14</v>
      </c>
      <c r="T2">
        <v>10</v>
      </c>
      <c r="U2">
        <v>0.7</v>
      </c>
      <c r="V2">
        <v>3</v>
      </c>
    </row>
    <row r="3" spans="1:26">
      <c r="A3" t="s">
        <v>1799</v>
      </c>
      <c r="B3" t="s">
        <v>5797</v>
      </c>
      <c r="C3" t="s">
        <v>5793</v>
      </c>
      <c r="D3">
        <v>5</v>
      </c>
      <c r="E3">
        <v>3</v>
      </c>
      <c r="F3" t="s">
        <v>5794</v>
      </c>
      <c r="G3" t="s">
        <v>5795</v>
      </c>
      <c r="H3">
        <v>3</v>
      </c>
      <c r="I3">
        <v>-6</v>
      </c>
      <c r="J3">
        <v>0</v>
      </c>
      <c r="K3">
        <v>-2</v>
      </c>
      <c r="L3">
        <v>-4</v>
      </c>
      <c r="M3">
        <v>8</v>
      </c>
      <c r="O3">
        <v>0.5</v>
      </c>
      <c r="P3">
        <v>0</v>
      </c>
      <c r="Q3" t="s">
        <v>5796</v>
      </c>
      <c r="R3">
        <v>12</v>
      </c>
      <c r="S3">
        <v>14</v>
      </c>
      <c r="T3">
        <v>10</v>
      </c>
      <c r="U3">
        <v>0.7</v>
      </c>
      <c r="V3">
        <v>3</v>
      </c>
    </row>
    <row r="4" spans="1:26">
      <c r="A4" t="s">
        <v>1801</v>
      </c>
      <c r="B4" t="s">
        <v>5793</v>
      </c>
      <c r="C4" t="s">
        <v>5798</v>
      </c>
      <c r="D4">
        <v>5</v>
      </c>
      <c r="E4">
        <v>2.5</v>
      </c>
      <c r="F4" t="s">
        <v>5799</v>
      </c>
      <c r="G4" t="s">
        <v>5800</v>
      </c>
      <c r="H4">
        <v>3</v>
      </c>
      <c r="I4">
        <v>-6</v>
      </c>
      <c r="J4">
        <v>0</v>
      </c>
      <c r="K4">
        <v>-2</v>
      </c>
      <c r="L4">
        <v>-3</v>
      </c>
      <c r="M4">
        <v>7</v>
      </c>
      <c r="O4">
        <v>0.5</v>
      </c>
      <c r="P4">
        <v>0</v>
      </c>
      <c r="Q4" t="s">
        <v>5796</v>
      </c>
      <c r="R4">
        <v>12</v>
      </c>
      <c r="S4">
        <v>13</v>
      </c>
      <c r="T4">
        <v>12</v>
      </c>
      <c r="U4">
        <v>0.6</v>
      </c>
      <c r="V4">
        <v>4</v>
      </c>
    </row>
    <row r="5" spans="1:26">
      <c r="A5" t="s">
        <v>1793</v>
      </c>
      <c r="B5" t="s">
        <v>5801</v>
      </c>
      <c r="C5" t="s">
        <v>5802</v>
      </c>
      <c r="D5">
        <v>7</v>
      </c>
      <c r="E5">
        <v>6</v>
      </c>
      <c r="F5" t="s">
        <v>5803</v>
      </c>
      <c r="H5">
        <v>2</v>
      </c>
      <c r="I5">
        <v>-6</v>
      </c>
      <c r="J5">
        <v>0</v>
      </c>
      <c r="K5">
        <v>-4</v>
      </c>
      <c r="L5">
        <v>-5</v>
      </c>
      <c r="M5">
        <v>17</v>
      </c>
      <c r="N5">
        <v>10</v>
      </c>
      <c r="O5">
        <v>0.72</v>
      </c>
      <c r="P5">
        <v>3</v>
      </c>
      <c r="Q5" t="s">
        <v>5804</v>
      </c>
      <c r="R5">
        <v>17</v>
      </c>
      <c r="S5">
        <v>7</v>
      </c>
      <c r="T5">
        <v>8</v>
      </c>
      <c r="U5">
        <v>1.8</v>
      </c>
      <c r="V5">
        <v>1.5</v>
      </c>
    </row>
    <row r="6" spans="1:26">
      <c r="A6" t="s">
        <v>1799</v>
      </c>
      <c r="B6" t="s">
        <v>5797</v>
      </c>
      <c r="C6" t="s">
        <v>5805</v>
      </c>
      <c r="D6">
        <v>6</v>
      </c>
      <c r="E6">
        <v>3</v>
      </c>
      <c r="F6" t="s">
        <v>5799</v>
      </c>
      <c r="G6" t="s">
        <v>5800</v>
      </c>
      <c r="H6">
        <v>5</v>
      </c>
      <c r="I6">
        <v>-3</v>
      </c>
      <c r="J6">
        <v>0</v>
      </c>
      <c r="K6">
        <v>-3</v>
      </c>
      <c r="L6">
        <v>-5</v>
      </c>
      <c r="M6">
        <v>7</v>
      </c>
      <c r="N6">
        <v>5</v>
      </c>
      <c r="O6">
        <v>0.6</v>
      </c>
      <c r="P6">
        <v>4</v>
      </c>
      <c r="R6">
        <v>9</v>
      </c>
      <c r="S6">
        <v>15</v>
      </c>
      <c r="T6">
        <v>5</v>
      </c>
      <c r="U6">
        <v>0.6</v>
      </c>
      <c r="V6">
        <v>1</v>
      </c>
    </row>
    <row r="7" spans="1:26">
      <c r="A7" t="s">
        <v>1797</v>
      </c>
      <c r="B7" t="s">
        <v>5806</v>
      </c>
      <c r="C7" t="s">
        <v>5807</v>
      </c>
      <c r="D7">
        <v>21</v>
      </c>
      <c r="E7">
        <v>3</v>
      </c>
      <c r="F7" t="s">
        <v>5799</v>
      </c>
      <c r="G7" t="s">
        <v>5800</v>
      </c>
      <c r="H7">
        <v>5</v>
      </c>
      <c r="I7">
        <v>-4</v>
      </c>
      <c r="J7">
        <v>0</v>
      </c>
      <c r="K7">
        <v>-5</v>
      </c>
      <c r="L7">
        <v>-5</v>
      </c>
      <c r="M7" t="s">
        <v>5808</v>
      </c>
      <c r="N7" t="s">
        <v>5809</v>
      </c>
      <c r="O7">
        <v>2</v>
      </c>
      <c r="P7">
        <v>4</v>
      </c>
      <c r="R7">
        <v>3</v>
      </c>
      <c r="S7">
        <v>8</v>
      </c>
      <c r="T7">
        <v>5</v>
      </c>
      <c r="U7">
        <v>0.6</v>
      </c>
      <c r="V7">
        <v>1</v>
      </c>
    </row>
    <row r="8" spans="1:26">
      <c r="A8" t="s">
        <v>1793</v>
      </c>
      <c r="B8" t="s">
        <v>5810</v>
      </c>
      <c r="C8" t="s">
        <v>5811</v>
      </c>
      <c r="D8">
        <v>14</v>
      </c>
      <c r="E8">
        <v>8</v>
      </c>
      <c r="F8" t="s">
        <v>5803</v>
      </c>
      <c r="G8" t="s">
        <v>5812</v>
      </c>
      <c r="H8">
        <v>1.5</v>
      </c>
      <c r="I8">
        <v>-16</v>
      </c>
      <c r="J8">
        <v>0</v>
      </c>
      <c r="K8">
        <v>-7</v>
      </c>
      <c r="L8">
        <v>-7</v>
      </c>
      <c r="M8">
        <v>36</v>
      </c>
      <c r="N8">
        <v>20</v>
      </c>
      <c r="O8">
        <v>1.4</v>
      </c>
      <c r="P8" t="s">
        <v>5813</v>
      </c>
      <c r="Q8" t="s">
        <v>5804</v>
      </c>
      <c r="R8">
        <v>23</v>
      </c>
      <c r="S8">
        <v>8</v>
      </c>
      <c r="T8">
        <v>24</v>
      </c>
      <c r="U8">
        <v>3.5</v>
      </c>
      <c r="V8">
        <v>2.5</v>
      </c>
    </row>
    <row r="9" spans="1:26">
      <c r="A9" t="s">
        <v>1795</v>
      </c>
      <c r="B9" t="s">
        <v>5814</v>
      </c>
      <c r="C9" t="s">
        <v>5815</v>
      </c>
      <c r="D9">
        <v>11</v>
      </c>
      <c r="E9">
        <v>6</v>
      </c>
      <c r="F9" t="s">
        <v>5794</v>
      </c>
      <c r="G9" t="s">
        <v>5816</v>
      </c>
      <c r="H9">
        <v>2</v>
      </c>
      <c r="I9">
        <v>-5</v>
      </c>
      <c r="J9">
        <v>0</v>
      </c>
      <c r="K9">
        <v>-5</v>
      </c>
      <c r="L9">
        <v>-5</v>
      </c>
      <c r="M9">
        <v>16</v>
      </c>
      <c r="N9">
        <v>12</v>
      </c>
      <c r="O9">
        <v>1.1000000000000001</v>
      </c>
      <c r="P9" t="s">
        <v>5813</v>
      </c>
      <c r="R9">
        <v>14</v>
      </c>
      <c r="S9">
        <v>15</v>
      </c>
      <c r="T9">
        <v>16</v>
      </c>
      <c r="U9">
        <v>1.5</v>
      </c>
      <c r="V9">
        <v>4</v>
      </c>
    </row>
    <row r="10" spans="1:26">
      <c r="A10" t="s">
        <v>1795</v>
      </c>
      <c r="B10" t="s">
        <v>5817</v>
      </c>
      <c r="C10" t="s">
        <v>5815</v>
      </c>
      <c r="D10">
        <v>11</v>
      </c>
      <c r="E10">
        <v>6</v>
      </c>
      <c r="F10" t="s">
        <v>5794</v>
      </c>
      <c r="G10" t="s">
        <v>5816</v>
      </c>
      <c r="H10">
        <v>2</v>
      </c>
      <c r="I10">
        <v>-5</v>
      </c>
      <c r="J10">
        <v>0</v>
      </c>
      <c r="K10">
        <v>-5</v>
      </c>
      <c r="L10">
        <v>-5</v>
      </c>
      <c r="M10">
        <v>16</v>
      </c>
      <c r="N10">
        <v>12</v>
      </c>
      <c r="O10">
        <v>1.1000000000000001</v>
      </c>
      <c r="P10" t="s">
        <v>5813</v>
      </c>
      <c r="R10">
        <v>14</v>
      </c>
      <c r="S10">
        <v>15</v>
      </c>
      <c r="T10">
        <v>16</v>
      </c>
      <c r="U10">
        <v>1.5</v>
      </c>
      <c r="V10">
        <v>4</v>
      </c>
    </row>
    <row r="11" spans="1:26">
      <c r="A11" t="s">
        <v>1795</v>
      </c>
      <c r="B11" t="s">
        <v>5814</v>
      </c>
      <c r="C11" t="s">
        <v>5818</v>
      </c>
      <c r="D11">
        <v>13</v>
      </c>
      <c r="E11">
        <v>6</v>
      </c>
      <c r="F11" t="s">
        <v>5819</v>
      </c>
      <c r="G11" t="s">
        <v>5820</v>
      </c>
      <c r="H11">
        <v>2</v>
      </c>
      <c r="I11">
        <v>-8</v>
      </c>
      <c r="J11">
        <v>0</v>
      </c>
      <c r="K11">
        <v>-5</v>
      </c>
      <c r="L11">
        <v>-4</v>
      </c>
      <c r="M11">
        <v>20</v>
      </c>
      <c r="N11">
        <v>13</v>
      </c>
      <c r="O11">
        <v>1.3</v>
      </c>
      <c r="P11" t="s">
        <v>5813</v>
      </c>
      <c r="R11">
        <v>14</v>
      </c>
      <c r="S11">
        <v>15</v>
      </c>
      <c r="T11">
        <v>19</v>
      </c>
      <c r="U11">
        <v>2</v>
      </c>
      <c r="V11">
        <v>4</v>
      </c>
    </row>
    <row r="12" spans="1:26">
      <c r="A12" t="s">
        <v>1795</v>
      </c>
      <c r="B12" t="s">
        <v>5817</v>
      </c>
      <c r="C12" t="s">
        <v>5818</v>
      </c>
      <c r="D12">
        <v>13</v>
      </c>
      <c r="E12">
        <v>6</v>
      </c>
      <c r="F12" t="s">
        <v>5819</v>
      </c>
      <c r="G12" t="s">
        <v>5820</v>
      </c>
      <c r="H12">
        <v>2</v>
      </c>
      <c r="I12">
        <v>-8</v>
      </c>
      <c r="J12">
        <v>0</v>
      </c>
      <c r="K12">
        <v>-5</v>
      </c>
      <c r="L12">
        <v>-4</v>
      </c>
      <c r="M12">
        <v>20</v>
      </c>
      <c r="N12">
        <v>13</v>
      </c>
      <c r="O12">
        <v>1.3</v>
      </c>
      <c r="P12" t="s">
        <v>5813</v>
      </c>
      <c r="R12">
        <v>14</v>
      </c>
      <c r="S12">
        <v>15</v>
      </c>
      <c r="T12">
        <v>19</v>
      </c>
      <c r="U12">
        <v>2</v>
      </c>
      <c r="V12">
        <v>4</v>
      </c>
    </row>
    <row r="13" spans="1:26">
      <c r="A13" t="s">
        <v>1795</v>
      </c>
      <c r="B13" t="s">
        <v>5817</v>
      </c>
      <c r="C13" t="s">
        <v>5821</v>
      </c>
      <c r="D13">
        <v>11</v>
      </c>
      <c r="E13">
        <v>5.5</v>
      </c>
      <c r="F13" t="s">
        <v>5794</v>
      </c>
      <c r="G13" t="s">
        <v>5794</v>
      </c>
      <c r="H13">
        <v>2</v>
      </c>
      <c r="I13">
        <v>-8</v>
      </c>
      <c r="J13">
        <v>0</v>
      </c>
      <c r="K13">
        <v>-3</v>
      </c>
      <c r="L13">
        <v>-3</v>
      </c>
      <c r="M13">
        <v>15</v>
      </c>
      <c r="N13">
        <v>9</v>
      </c>
      <c r="O13">
        <v>1.1599999999999999</v>
      </c>
      <c r="P13" t="s">
        <v>5813</v>
      </c>
      <c r="Q13" t="s">
        <v>5796</v>
      </c>
      <c r="R13">
        <v>14</v>
      </c>
      <c r="S13">
        <v>14</v>
      </c>
      <c r="T13">
        <v>24</v>
      </c>
      <c r="U13">
        <v>3</v>
      </c>
      <c r="V13">
        <v>8</v>
      </c>
    </row>
    <row r="14" spans="1:26">
      <c r="A14" t="s">
        <v>1797</v>
      </c>
      <c r="B14" t="s">
        <v>5822</v>
      </c>
      <c r="C14" t="s">
        <v>5823</v>
      </c>
      <c r="D14">
        <v>10</v>
      </c>
      <c r="E14">
        <v>4</v>
      </c>
      <c r="F14" t="s">
        <v>5799</v>
      </c>
      <c r="G14" t="s">
        <v>5795</v>
      </c>
      <c r="H14">
        <v>2</v>
      </c>
      <c r="I14">
        <v>-8</v>
      </c>
      <c r="J14">
        <v>0</v>
      </c>
      <c r="K14">
        <v>-3</v>
      </c>
      <c r="L14">
        <v>-4</v>
      </c>
      <c r="M14">
        <v>13</v>
      </c>
      <c r="N14">
        <v>8</v>
      </c>
      <c r="O14">
        <v>1</v>
      </c>
      <c r="P14">
        <v>0</v>
      </c>
      <c r="R14">
        <v>14</v>
      </c>
      <c r="S14">
        <v>14</v>
      </c>
      <c r="T14">
        <v>20</v>
      </c>
      <c r="U14">
        <v>2</v>
      </c>
      <c r="V14">
        <v>8</v>
      </c>
    </row>
    <row r="15" spans="1:26">
      <c r="A15" t="s">
        <v>1795</v>
      </c>
      <c r="B15" t="s">
        <v>5817</v>
      </c>
      <c r="C15" t="s">
        <v>5823</v>
      </c>
      <c r="D15">
        <v>10</v>
      </c>
      <c r="E15">
        <v>4</v>
      </c>
      <c r="F15" t="s">
        <v>5799</v>
      </c>
      <c r="G15" t="s">
        <v>5795</v>
      </c>
      <c r="H15">
        <v>2</v>
      </c>
      <c r="I15">
        <v>-8</v>
      </c>
      <c r="J15">
        <v>0</v>
      </c>
      <c r="K15">
        <v>-3</v>
      </c>
      <c r="L15">
        <v>-4</v>
      </c>
      <c r="M15">
        <v>13</v>
      </c>
      <c r="N15">
        <v>8</v>
      </c>
      <c r="O15">
        <v>1</v>
      </c>
      <c r="P15">
        <v>0</v>
      </c>
      <c r="R15">
        <v>14</v>
      </c>
      <c r="S15">
        <v>14</v>
      </c>
      <c r="T15">
        <v>20</v>
      </c>
      <c r="U15">
        <v>2</v>
      </c>
      <c r="V15">
        <v>8</v>
      </c>
    </row>
    <row r="16" spans="1:26">
      <c r="A16" t="s">
        <v>1793</v>
      </c>
      <c r="B16" t="s">
        <v>5801</v>
      </c>
      <c r="C16" t="s">
        <v>5081</v>
      </c>
      <c r="D16">
        <v>4</v>
      </c>
      <c r="E16">
        <v>5</v>
      </c>
      <c r="F16" t="s">
        <v>5803</v>
      </c>
      <c r="H16">
        <v>3</v>
      </c>
      <c r="I16">
        <v>-5</v>
      </c>
      <c r="J16">
        <v>0</v>
      </c>
      <c r="K16">
        <v>-5</v>
      </c>
      <c r="L16">
        <v>-5</v>
      </c>
      <c r="M16">
        <v>12</v>
      </c>
      <c r="N16">
        <v>8</v>
      </c>
      <c r="O16">
        <v>0.4</v>
      </c>
      <c r="P16">
        <v>6</v>
      </c>
      <c r="Q16" t="s">
        <v>5804</v>
      </c>
      <c r="R16">
        <v>16</v>
      </c>
      <c r="S16">
        <v>7</v>
      </c>
      <c r="T16">
        <v>6</v>
      </c>
      <c r="U16">
        <v>0.6</v>
      </c>
      <c r="V16">
        <v>1</v>
      </c>
    </row>
    <row r="17" spans="1:22">
      <c r="A17" t="s">
        <v>1793</v>
      </c>
      <c r="B17" t="s">
        <v>5810</v>
      </c>
      <c r="C17" t="s">
        <v>5824</v>
      </c>
      <c r="D17">
        <v>13</v>
      </c>
      <c r="E17">
        <v>6.5</v>
      </c>
      <c r="F17" t="s">
        <v>5803</v>
      </c>
      <c r="G17" t="s">
        <v>5795</v>
      </c>
      <c r="H17">
        <v>2</v>
      </c>
      <c r="I17">
        <v>-8</v>
      </c>
      <c r="J17">
        <v>0</v>
      </c>
      <c r="K17">
        <v>-6</v>
      </c>
      <c r="L17">
        <v>-5</v>
      </c>
      <c r="M17">
        <v>24</v>
      </c>
      <c r="N17">
        <v>14</v>
      </c>
      <c r="O17">
        <v>1.4</v>
      </c>
      <c r="P17" t="s">
        <v>5813</v>
      </c>
      <c r="Q17" t="s">
        <v>5804</v>
      </c>
      <c r="R17">
        <v>18</v>
      </c>
      <c r="S17">
        <v>7</v>
      </c>
      <c r="T17">
        <v>18</v>
      </c>
      <c r="U17">
        <v>2</v>
      </c>
      <c r="V17">
        <v>2</v>
      </c>
    </row>
    <row r="18" spans="1:22">
      <c r="A18" t="s">
        <v>1797</v>
      </c>
      <c r="B18" t="s">
        <v>5825</v>
      </c>
      <c r="C18" t="s">
        <v>5824</v>
      </c>
      <c r="D18">
        <v>13</v>
      </c>
      <c r="E18">
        <v>6.5</v>
      </c>
      <c r="F18" t="s">
        <v>5803</v>
      </c>
      <c r="G18" t="s">
        <v>5795</v>
      </c>
      <c r="H18">
        <v>2</v>
      </c>
      <c r="I18">
        <v>-8</v>
      </c>
      <c r="J18">
        <v>0</v>
      </c>
      <c r="K18">
        <v>-6</v>
      </c>
      <c r="L18">
        <v>-5</v>
      </c>
      <c r="M18">
        <v>24</v>
      </c>
      <c r="N18">
        <v>14</v>
      </c>
      <c r="O18">
        <v>1.4</v>
      </c>
      <c r="P18" t="s">
        <v>5813</v>
      </c>
      <c r="Q18" t="s">
        <v>5804</v>
      </c>
      <c r="R18">
        <v>18</v>
      </c>
      <c r="S18">
        <v>7</v>
      </c>
      <c r="T18">
        <v>18</v>
      </c>
      <c r="U18">
        <v>2</v>
      </c>
      <c r="V18">
        <v>2</v>
      </c>
    </row>
    <row r="19" spans="1:22">
      <c r="A19" t="s">
        <v>1795</v>
      </c>
      <c r="B19" t="s">
        <v>5814</v>
      </c>
      <c r="C19" t="s">
        <v>5826</v>
      </c>
      <c r="D19">
        <v>9</v>
      </c>
      <c r="E19">
        <v>6</v>
      </c>
      <c r="F19" t="s">
        <v>5794</v>
      </c>
      <c r="G19" t="s">
        <v>5794</v>
      </c>
      <c r="H19">
        <v>3</v>
      </c>
      <c r="I19">
        <v>-4</v>
      </c>
      <c r="J19">
        <v>0</v>
      </c>
      <c r="K19">
        <v>-4</v>
      </c>
      <c r="L19">
        <v>-4</v>
      </c>
      <c r="M19">
        <v>14</v>
      </c>
      <c r="N19">
        <v>10</v>
      </c>
      <c r="O19">
        <v>0.9</v>
      </c>
      <c r="P19">
        <v>2</v>
      </c>
      <c r="R19">
        <v>16</v>
      </c>
      <c r="S19">
        <v>15</v>
      </c>
      <c r="T19">
        <v>14</v>
      </c>
      <c r="U19">
        <v>1</v>
      </c>
      <c r="V19">
        <v>4</v>
      </c>
    </row>
    <row r="20" spans="1:22">
      <c r="A20" t="s">
        <v>1795</v>
      </c>
      <c r="B20" t="s">
        <v>5817</v>
      </c>
      <c r="C20" t="s">
        <v>5827</v>
      </c>
      <c r="D20">
        <v>16</v>
      </c>
      <c r="E20">
        <v>7.5</v>
      </c>
      <c r="F20" t="s">
        <v>5819</v>
      </c>
      <c r="G20" t="s">
        <v>5799</v>
      </c>
      <c r="H20">
        <v>1.5</v>
      </c>
      <c r="I20">
        <v>-11</v>
      </c>
      <c r="J20">
        <v>0</v>
      </c>
      <c r="K20">
        <v>-7</v>
      </c>
      <c r="L20">
        <v>-6</v>
      </c>
      <c r="M20">
        <v>28</v>
      </c>
      <c r="N20">
        <v>16</v>
      </c>
      <c r="O20">
        <v>1.6</v>
      </c>
      <c r="P20" t="s">
        <v>5813</v>
      </c>
      <c r="R20">
        <v>17</v>
      </c>
      <c r="S20">
        <v>13</v>
      </c>
      <c r="T20">
        <v>24</v>
      </c>
      <c r="U20">
        <v>2.5</v>
      </c>
      <c r="V20">
        <v>5</v>
      </c>
    </row>
    <row r="21" spans="1:22">
      <c r="A21" t="s">
        <v>1795</v>
      </c>
      <c r="B21" t="s">
        <v>5817</v>
      </c>
      <c r="C21" t="s">
        <v>5828</v>
      </c>
      <c r="D21">
        <v>14</v>
      </c>
      <c r="E21">
        <v>6.5</v>
      </c>
      <c r="F21" t="s">
        <v>5829</v>
      </c>
      <c r="H21">
        <v>2</v>
      </c>
      <c r="I21">
        <v>-8</v>
      </c>
      <c r="J21">
        <v>0</v>
      </c>
      <c r="K21">
        <v>-4</v>
      </c>
      <c r="L21">
        <v>-4</v>
      </c>
      <c r="M21">
        <v>22</v>
      </c>
      <c r="N21">
        <v>13</v>
      </c>
      <c r="O21">
        <v>1.35</v>
      </c>
      <c r="P21" t="s">
        <v>5813</v>
      </c>
      <c r="R21">
        <v>16</v>
      </c>
      <c r="S21">
        <v>14</v>
      </c>
      <c r="T21">
        <v>25</v>
      </c>
      <c r="U21">
        <v>1.2</v>
      </c>
      <c r="V21">
        <v>5</v>
      </c>
    </row>
    <row r="22" spans="1:22">
      <c r="A22" t="s">
        <v>1799</v>
      </c>
      <c r="B22" t="s">
        <v>5797</v>
      </c>
      <c r="C22" t="s">
        <v>5830</v>
      </c>
      <c r="D22">
        <v>13</v>
      </c>
      <c r="E22">
        <v>3.5</v>
      </c>
      <c r="F22" t="s">
        <v>5819</v>
      </c>
      <c r="H22">
        <v>7</v>
      </c>
      <c r="I22">
        <v>-2</v>
      </c>
      <c r="J22">
        <v>0</v>
      </c>
      <c r="K22">
        <v>-2</v>
      </c>
      <c r="L22">
        <v>0</v>
      </c>
      <c r="M22">
        <v>9</v>
      </c>
      <c r="N22">
        <v>6</v>
      </c>
      <c r="O22">
        <v>1.2</v>
      </c>
      <c r="P22">
        <v>1</v>
      </c>
      <c r="R22">
        <v>7</v>
      </c>
      <c r="S22">
        <v>14</v>
      </c>
      <c r="T22">
        <v>18</v>
      </c>
      <c r="U22">
        <v>0.75</v>
      </c>
      <c r="V22">
        <v>4</v>
      </c>
    </row>
    <row r="23" spans="1:22">
      <c r="A23" t="s">
        <v>1799</v>
      </c>
      <c r="B23" t="s">
        <v>5831</v>
      </c>
      <c r="C23" t="s">
        <v>5832</v>
      </c>
      <c r="D23">
        <v>3</v>
      </c>
      <c r="E23">
        <v>2</v>
      </c>
      <c r="F23" t="s">
        <v>5819</v>
      </c>
      <c r="H23">
        <v>5</v>
      </c>
      <c r="I23">
        <v>-3</v>
      </c>
      <c r="J23">
        <v>0</v>
      </c>
      <c r="K23">
        <v>-1</v>
      </c>
      <c r="L23">
        <v>-6</v>
      </c>
      <c r="M23">
        <v>6</v>
      </c>
      <c r="N23">
        <v>4</v>
      </c>
      <c r="O23">
        <v>0.3</v>
      </c>
      <c r="P23">
        <v>8</v>
      </c>
      <c r="R23">
        <v>12</v>
      </c>
      <c r="S23">
        <v>17</v>
      </c>
      <c r="T23">
        <v>5</v>
      </c>
      <c r="U23">
        <v>0.3</v>
      </c>
      <c r="V23">
        <v>1</v>
      </c>
    </row>
    <row r="24" spans="1:22">
      <c r="A24" t="s">
        <v>1799</v>
      </c>
      <c r="B24" t="s">
        <v>5831</v>
      </c>
      <c r="C24" t="s">
        <v>5833</v>
      </c>
      <c r="D24">
        <v>3</v>
      </c>
      <c r="E24">
        <v>1</v>
      </c>
      <c r="F24" t="s">
        <v>5819</v>
      </c>
      <c r="H24">
        <v>6</v>
      </c>
      <c r="I24">
        <v>-3</v>
      </c>
      <c r="J24">
        <v>0</v>
      </c>
      <c r="K24">
        <v>-1</v>
      </c>
      <c r="L24">
        <v>-6</v>
      </c>
      <c r="M24">
        <v>6</v>
      </c>
      <c r="N24">
        <v>4</v>
      </c>
      <c r="O24">
        <v>0.3</v>
      </c>
      <c r="P24">
        <v>8</v>
      </c>
      <c r="Q24" t="s">
        <v>5834</v>
      </c>
      <c r="R24">
        <v>12</v>
      </c>
      <c r="S24">
        <v>15</v>
      </c>
      <c r="T24">
        <v>7</v>
      </c>
      <c r="U24">
        <v>0.4</v>
      </c>
      <c r="V24">
        <v>2</v>
      </c>
    </row>
    <row r="25" spans="1:22">
      <c r="A25" t="s">
        <v>1799</v>
      </c>
      <c r="B25" t="s">
        <v>5831</v>
      </c>
      <c r="C25" t="s">
        <v>5835</v>
      </c>
      <c r="D25">
        <v>3</v>
      </c>
      <c r="E25">
        <v>2</v>
      </c>
      <c r="F25" t="s">
        <v>5819</v>
      </c>
      <c r="H25">
        <v>4</v>
      </c>
      <c r="I25">
        <v>-4</v>
      </c>
      <c r="J25">
        <v>0</v>
      </c>
      <c r="K25">
        <v>-2</v>
      </c>
      <c r="L25">
        <v>-5</v>
      </c>
      <c r="M25">
        <v>7</v>
      </c>
      <c r="N25">
        <v>5</v>
      </c>
      <c r="O25">
        <v>0.3</v>
      </c>
      <c r="P25">
        <v>7</v>
      </c>
      <c r="R25">
        <v>12</v>
      </c>
      <c r="S25">
        <v>18</v>
      </c>
      <c r="T25">
        <v>5</v>
      </c>
      <c r="U25">
        <v>0.4</v>
      </c>
      <c r="V25">
        <v>1</v>
      </c>
    </row>
    <row r="26" spans="1:22">
      <c r="A26" t="s">
        <v>1799</v>
      </c>
      <c r="B26" t="s">
        <v>5831</v>
      </c>
      <c r="C26" t="s">
        <v>5836</v>
      </c>
      <c r="D26">
        <v>3</v>
      </c>
      <c r="E26">
        <v>3</v>
      </c>
      <c r="F26" t="s">
        <v>5803</v>
      </c>
      <c r="H26">
        <v>3</v>
      </c>
      <c r="I26">
        <v>-7</v>
      </c>
      <c r="J26">
        <v>0</v>
      </c>
      <c r="K26">
        <v>-2</v>
      </c>
      <c r="L26">
        <v>-5</v>
      </c>
      <c r="M26">
        <v>10</v>
      </c>
      <c r="N26">
        <v>8</v>
      </c>
      <c r="O26">
        <v>0.35</v>
      </c>
      <c r="P26">
        <v>4</v>
      </c>
      <c r="R26">
        <v>13</v>
      </c>
      <c r="S26">
        <v>18</v>
      </c>
      <c r="T26">
        <v>15</v>
      </c>
      <c r="U26">
        <v>0.5</v>
      </c>
      <c r="V26">
        <v>4</v>
      </c>
    </row>
    <row r="27" spans="1:22">
      <c r="A27" t="s">
        <v>1793</v>
      </c>
      <c r="B27" t="s">
        <v>5801</v>
      </c>
      <c r="C27" t="s">
        <v>5837</v>
      </c>
      <c r="D27">
        <v>8</v>
      </c>
      <c r="E27">
        <v>6</v>
      </c>
      <c r="F27" t="s">
        <v>5803</v>
      </c>
      <c r="H27">
        <v>3</v>
      </c>
      <c r="I27">
        <v>-4</v>
      </c>
      <c r="J27">
        <v>0</v>
      </c>
      <c r="K27">
        <v>-5</v>
      </c>
      <c r="L27">
        <v>-6</v>
      </c>
      <c r="M27">
        <v>20</v>
      </c>
      <c r="N27">
        <v>14</v>
      </c>
      <c r="O27">
        <v>0.8</v>
      </c>
      <c r="P27">
        <v>0</v>
      </c>
      <c r="Q27" t="s">
        <v>5804</v>
      </c>
      <c r="R27">
        <v>17</v>
      </c>
      <c r="S27">
        <v>8</v>
      </c>
      <c r="T27">
        <v>15</v>
      </c>
      <c r="U27">
        <v>2.2000000000000002</v>
      </c>
      <c r="V27">
        <v>2.5</v>
      </c>
    </row>
    <row r="28" spans="1:22">
      <c r="A28" t="s">
        <v>1793</v>
      </c>
      <c r="B28" t="s">
        <v>5801</v>
      </c>
      <c r="C28" t="s">
        <v>5838</v>
      </c>
      <c r="D28">
        <v>9</v>
      </c>
      <c r="E28">
        <v>7.5</v>
      </c>
      <c r="F28" t="s">
        <v>5803</v>
      </c>
      <c r="G28" t="s">
        <v>5819</v>
      </c>
      <c r="H28">
        <v>2</v>
      </c>
      <c r="I28">
        <v>-12</v>
      </c>
      <c r="J28">
        <v>0</v>
      </c>
      <c r="K28">
        <v>-7</v>
      </c>
      <c r="L28">
        <v>-6</v>
      </c>
      <c r="M28">
        <v>28</v>
      </c>
      <c r="N28">
        <v>16</v>
      </c>
      <c r="O28">
        <v>0.9</v>
      </c>
      <c r="P28" t="s">
        <v>5813</v>
      </c>
      <c r="Q28" t="s">
        <v>5804</v>
      </c>
      <c r="R28">
        <v>22</v>
      </c>
      <c r="S28">
        <v>8</v>
      </c>
      <c r="T28">
        <v>19</v>
      </c>
      <c r="U28">
        <v>2.5</v>
      </c>
      <c r="V28">
        <v>3</v>
      </c>
    </row>
    <row r="29" spans="1:22">
      <c r="A29" t="s">
        <v>1793</v>
      </c>
      <c r="B29" t="s">
        <v>5801</v>
      </c>
      <c r="C29" t="s">
        <v>5839</v>
      </c>
      <c r="D29">
        <v>5</v>
      </c>
      <c r="E29">
        <v>6</v>
      </c>
      <c r="F29" t="s">
        <v>5803</v>
      </c>
      <c r="G29" t="s">
        <v>5840</v>
      </c>
      <c r="H29">
        <v>3</v>
      </c>
      <c r="I29">
        <v>-11</v>
      </c>
      <c r="J29">
        <v>0</v>
      </c>
      <c r="K29">
        <v>-5</v>
      </c>
      <c r="L29">
        <v>-4</v>
      </c>
      <c r="M29">
        <v>18</v>
      </c>
      <c r="N29">
        <v>12</v>
      </c>
      <c r="O29">
        <v>0.55000000000000004</v>
      </c>
      <c r="P29">
        <v>3</v>
      </c>
      <c r="Q29" t="s">
        <v>5804</v>
      </c>
      <c r="R29">
        <v>18</v>
      </c>
      <c r="S29">
        <v>8</v>
      </c>
      <c r="T29">
        <v>19</v>
      </c>
      <c r="U29">
        <v>1.5</v>
      </c>
      <c r="V29">
        <v>3</v>
      </c>
    </row>
    <row r="30" spans="1:22">
      <c r="A30" t="s">
        <v>1797</v>
      </c>
      <c r="B30" t="s">
        <v>5825</v>
      </c>
      <c r="C30" t="s">
        <v>5841</v>
      </c>
      <c r="D30">
        <v>18</v>
      </c>
      <c r="E30">
        <v>7</v>
      </c>
      <c r="F30" t="s">
        <v>5803</v>
      </c>
      <c r="G30" t="s">
        <v>5800</v>
      </c>
      <c r="H30">
        <v>2</v>
      </c>
      <c r="I30">
        <v>-9</v>
      </c>
      <c r="J30">
        <v>0</v>
      </c>
      <c r="K30">
        <v>-6</v>
      </c>
      <c r="L30">
        <v>-6</v>
      </c>
      <c r="M30">
        <v>36</v>
      </c>
      <c r="N30">
        <v>16</v>
      </c>
      <c r="O30">
        <v>1.8</v>
      </c>
      <c r="P30" t="s">
        <v>5813</v>
      </c>
      <c r="Q30" t="s">
        <v>5804</v>
      </c>
      <c r="R30">
        <v>17</v>
      </c>
      <c r="S30">
        <v>7</v>
      </c>
      <c r="T30">
        <v>19</v>
      </c>
      <c r="U30">
        <v>3</v>
      </c>
      <c r="V30">
        <v>5</v>
      </c>
    </row>
    <row r="31" spans="1:22">
      <c r="A31" t="s">
        <v>1797</v>
      </c>
      <c r="B31" t="s">
        <v>5822</v>
      </c>
      <c r="C31" t="s">
        <v>5842</v>
      </c>
      <c r="D31">
        <v>10</v>
      </c>
      <c r="E31">
        <v>6</v>
      </c>
      <c r="F31" t="s">
        <v>5819</v>
      </c>
      <c r="G31" t="s">
        <v>5816</v>
      </c>
      <c r="H31">
        <v>3</v>
      </c>
      <c r="I31">
        <v>-7</v>
      </c>
      <c r="J31">
        <v>0</v>
      </c>
      <c r="K31">
        <v>-4</v>
      </c>
      <c r="L31">
        <v>-4</v>
      </c>
      <c r="M31">
        <v>46</v>
      </c>
      <c r="N31">
        <v>18</v>
      </c>
      <c r="O31">
        <v>1.8</v>
      </c>
      <c r="P31" t="s">
        <v>5813</v>
      </c>
      <c r="Q31" t="s">
        <v>5804</v>
      </c>
      <c r="R31">
        <v>16</v>
      </c>
      <c r="S31">
        <v>7</v>
      </c>
      <c r="T31">
        <v>16</v>
      </c>
      <c r="U31">
        <v>3</v>
      </c>
      <c r="V31">
        <v>5</v>
      </c>
    </row>
    <row r="32" spans="1:22">
      <c r="A32" t="s">
        <v>1797</v>
      </c>
      <c r="B32" t="s">
        <v>5825</v>
      </c>
      <c r="C32" t="s">
        <v>5843</v>
      </c>
      <c r="D32">
        <v>10</v>
      </c>
      <c r="E32">
        <v>5</v>
      </c>
      <c r="F32" t="s">
        <v>5819</v>
      </c>
      <c r="G32" t="s">
        <v>5795</v>
      </c>
      <c r="H32">
        <v>4</v>
      </c>
      <c r="I32">
        <v>-6</v>
      </c>
      <c r="J32">
        <v>0</v>
      </c>
      <c r="K32">
        <v>-5</v>
      </c>
      <c r="L32">
        <v>-5</v>
      </c>
      <c r="M32">
        <v>33</v>
      </c>
      <c r="N32">
        <v>11</v>
      </c>
      <c r="O32">
        <v>1.8</v>
      </c>
      <c r="P32" t="s">
        <v>5813</v>
      </c>
      <c r="Q32" t="s">
        <v>5844</v>
      </c>
      <c r="R32">
        <v>12</v>
      </c>
      <c r="S32">
        <v>6</v>
      </c>
      <c r="T32">
        <v>12</v>
      </c>
      <c r="U32">
        <v>1</v>
      </c>
      <c r="V32">
        <v>1</v>
      </c>
    </row>
    <row r="33" spans="1:26">
      <c r="A33" t="s">
        <v>1795</v>
      </c>
      <c r="B33" t="s">
        <v>5817</v>
      </c>
      <c r="C33" t="s">
        <v>5843</v>
      </c>
      <c r="D33">
        <v>10</v>
      </c>
      <c r="E33">
        <v>5</v>
      </c>
      <c r="F33" t="s">
        <v>5819</v>
      </c>
      <c r="G33" t="s">
        <v>5795</v>
      </c>
      <c r="H33">
        <v>4</v>
      </c>
      <c r="I33">
        <v>-6</v>
      </c>
      <c r="J33">
        <v>0</v>
      </c>
      <c r="K33">
        <v>-5</v>
      </c>
      <c r="L33">
        <v>-5</v>
      </c>
      <c r="M33">
        <v>33</v>
      </c>
      <c r="N33">
        <v>11</v>
      </c>
      <c r="O33">
        <v>1.8</v>
      </c>
      <c r="P33" t="s">
        <v>5813</v>
      </c>
      <c r="Q33" t="s">
        <v>5844</v>
      </c>
      <c r="R33">
        <v>12</v>
      </c>
      <c r="S33">
        <v>6</v>
      </c>
      <c r="T33">
        <v>12</v>
      </c>
      <c r="U33">
        <v>1</v>
      </c>
      <c r="V33">
        <v>1</v>
      </c>
    </row>
    <row r="34" spans="1:26">
      <c r="A34" t="s">
        <v>1793</v>
      </c>
      <c r="B34" t="s">
        <v>5810</v>
      </c>
      <c r="C34" t="s">
        <v>5845</v>
      </c>
      <c r="D34">
        <v>16</v>
      </c>
      <c r="E34">
        <v>8</v>
      </c>
      <c r="F34" t="s">
        <v>5819</v>
      </c>
      <c r="G34" t="s">
        <v>5799</v>
      </c>
      <c r="H34">
        <v>1.5</v>
      </c>
      <c r="I34">
        <v>-11</v>
      </c>
      <c r="J34">
        <v>2</v>
      </c>
      <c r="K34">
        <v>-6</v>
      </c>
      <c r="L34">
        <v>-7</v>
      </c>
      <c r="M34">
        <v>35</v>
      </c>
      <c r="N34">
        <v>20</v>
      </c>
      <c r="O34">
        <v>1.8</v>
      </c>
      <c r="P34" t="s">
        <v>5813</v>
      </c>
      <c r="Q34" t="s">
        <v>5804</v>
      </c>
      <c r="R34">
        <v>14</v>
      </c>
      <c r="S34">
        <v>11</v>
      </c>
      <c r="T34">
        <v>1</v>
      </c>
      <c r="U34">
        <v>0.25</v>
      </c>
      <c r="V34">
        <v>1</v>
      </c>
    </row>
    <row r="35" spans="1:26">
      <c r="A35" t="s">
        <v>1801</v>
      </c>
      <c r="B35" t="s">
        <v>5846</v>
      </c>
      <c r="C35" t="s">
        <v>5847</v>
      </c>
      <c r="D35">
        <v>28</v>
      </c>
      <c r="E35">
        <v>0</v>
      </c>
      <c r="F35" t="s">
        <v>5800</v>
      </c>
      <c r="G35" t="s">
        <v>5800</v>
      </c>
      <c r="H35">
        <v>5</v>
      </c>
      <c r="I35">
        <v>-1</v>
      </c>
      <c r="J35">
        <v>0</v>
      </c>
      <c r="K35">
        <v>-7</v>
      </c>
      <c r="L35">
        <v>-15</v>
      </c>
      <c r="M35">
        <v>10</v>
      </c>
      <c r="N35">
        <v>7</v>
      </c>
      <c r="O35">
        <v>3</v>
      </c>
      <c r="P35">
        <v>6</v>
      </c>
      <c r="R35">
        <v>1</v>
      </c>
      <c r="S35">
        <v>7</v>
      </c>
      <c r="T35">
        <v>7</v>
      </c>
      <c r="U35">
        <v>0.1</v>
      </c>
      <c r="V35">
        <v>0.5</v>
      </c>
    </row>
    <row r="36" spans="1:26">
      <c r="A36" t="s">
        <v>1801</v>
      </c>
      <c r="B36" t="s">
        <v>5848</v>
      </c>
      <c r="C36" t="s">
        <v>5849</v>
      </c>
      <c r="E36">
        <v>11</v>
      </c>
      <c r="F36" t="s">
        <v>5850</v>
      </c>
      <c r="H36">
        <v>3</v>
      </c>
      <c r="I36">
        <v>-5</v>
      </c>
      <c r="J36">
        <v>0</v>
      </c>
      <c r="K36">
        <v>-7</v>
      </c>
      <c r="L36">
        <v>9</v>
      </c>
      <c r="M36">
        <v>19</v>
      </c>
      <c r="P36" t="s">
        <v>5813</v>
      </c>
      <c r="R36">
        <v>15</v>
      </c>
      <c r="S36">
        <v>13</v>
      </c>
      <c r="T36">
        <v>15</v>
      </c>
      <c r="Y36">
        <v>17</v>
      </c>
      <c r="Z36">
        <v>600</v>
      </c>
    </row>
    <row r="37" spans="1:26">
      <c r="A37" t="s">
        <v>1801</v>
      </c>
      <c r="B37" t="s">
        <v>5793</v>
      </c>
      <c r="C37" t="s">
        <v>5851</v>
      </c>
      <c r="D37">
        <v>4</v>
      </c>
      <c r="E37">
        <v>3</v>
      </c>
      <c r="F37" t="s">
        <v>5816</v>
      </c>
      <c r="G37" t="s">
        <v>5795</v>
      </c>
      <c r="H37">
        <v>3</v>
      </c>
      <c r="I37">
        <v>-5</v>
      </c>
      <c r="J37">
        <v>0</v>
      </c>
      <c r="K37">
        <v>-3</v>
      </c>
      <c r="L37">
        <v>-6</v>
      </c>
      <c r="M37">
        <v>8</v>
      </c>
      <c r="O37">
        <v>0.4</v>
      </c>
      <c r="P37">
        <v>0</v>
      </c>
      <c r="R37">
        <v>7</v>
      </c>
      <c r="S37">
        <v>11</v>
      </c>
      <c r="T37">
        <v>8</v>
      </c>
      <c r="U37">
        <v>0.4</v>
      </c>
      <c r="V37">
        <v>1</v>
      </c>
    </row>
    <row r="38" spans="1:26">
      <c r="A38" t="s">
        <v>1801</v>
      </c>
      <c r="B38" t="s">
        <v>5848</v>
      </c>
      <c r="C38" t="s">
        <v>5852</v>
      </c>
      <c r="E38">
        <v>8</v>
      </c>
      <c r="F38" t="s">
        <v>5816</v>
      </c>
      <c r="G38" t="s">
        <v>5795</v>
      </c>
      <c r="H38">
        <v>3</v>
      </c>
      <c r="I38">
        <v>-5</v>
      </c>
      <c r="J38">
        <v>0</v>
      </c>
      <c r="K38">
        <v>-6</v>
      </c>
      <c r="L38">
        <v>7</v>
      </c>
      <c r="M38">
        <v>17</v>
      </c>
      <c r="P38" t="s">
        <v>5813</v>
      </c>
      <c r="R38">
        <v>15</v>
      </c>
      <c r="S38">
        <v>15</v>
      </c>
      <c r="T38">
        <v>15</v>
      </c>
      <c r="Y38">
        <v>16</v>
      </c>
      <c r="Z38">
        <v>400</v>
      </c>
    </row>
    <row r="39" spans="1:26">
      <c r="A39" t="s">
        <v>1801</v>
      </c>
      <c r="B39" t="s">
        <v>5848</v>
      </c>
      <c r="C39" t="s">
        <v>5853</v>
      </c>
      <c r="E39">
        <v>6</v>
      </c>
      <c r="F39" t="s">
        <v>5816</v>
      </c>
      <c r="G39" t="s">
        <v>5795</v>
      </c>
      <c r="H39">
        <v>3</v>
      </c>
      <c r="I39">
        <v>-5</v>
      </c>
      <c r="J39">
        <v>0</v>
      </c>
      <c r="K39">
        <v>-5</v>
      </c>
      <c r="L39">
        <v>6</v>
      </c>
      <c r="M39">
        <v>15</v>
      </c>
      <c r="P39" t="s">
        <v>5813</v>
      </c>
      <c r="R39">
        <v>15</v>
      </c>
      <c r="S39">
        <v>15</v>
      </c>
      <c r="T39">
        <v>15</v>
      </c>
      <c r="Y39">
        <v>15</v>
      </c>
      <c r="Z39">
        <v>300</v>
      </c>
    </row>
    <row r="40" spans="1:26">
      <c r="A40" t="s">
        <v>1797</v>
      </c>
      <c r="B40" t="s">
        <v>5806</v>
      </c>
      <c r="C40" t="s">
        <v>5854</v>
      </c>
      <c r="D40">
        <v>18</v>
      </c>
      <c r="E40">
        <v>5</v>
      </c>
      <c r="F40" t="s">
        <v>5799</v>
      </c>
      <c r="G40" t="s">
        <v>5816</v>
      </c>
      <c r="H40">
        <v>3</v>
      </c>
      <c r="I40">
        <v>-6</v>
      </c>
      <c r="J40">
        <v>0</v>
      </c>
      <c r="K40">
        <v>-5</v>
      </c>
      <c r="L40">
        <v>-3</v>
      </c>
      <c r="M40">
        <v>22</v>
      </c>
      <c r="N40">
        <v>12</v>
      </c>
      <c r="O40">
        <v>1.8</v>
      </c>
      <c r="P40" t="s">
        <v>5813</v>
      </c>
      <c r="Q40" t="s">
        <v>5804</v>
      </c>
      <c r="R40">
        <v>7</v>
      </c>
      <c r="S40">
        <v>7</v>
      </c>
      <c r="T40">
        <v>5</v>
      </c>
      <c r="U40">
        <v>1</v>
      </c>
      <c r="V40">
        <v>1.5</v>
      </c>
    </row>
    <row r="41" spans="1:26">
      <c r="A41" t="s">
        <v>1793</v>
      </c>
      <c r="B41" t="s">
        <v>5855</v>
      </c>
      <c r="C41" t="s">
        <v>5856</v>
      </c>
      <c r="D41">
        <v>16</v>
      </c>
      <c r="E41">
        <v>4.5</v>
      </c>
      <c r="F41" t="s">
        <v>5794</v>
      </c>
      <c r="G41" t="s">
        <v>5795</v>
      </c>
      <c r="H41">
        <v>3</v>
      </c>
      <c r="I41">
        <v>-3</v>
      </c>
      <c r="J41">
        <v>0</v>
      </c>
      <c r="K41">
        <v>-6</v>
      </c>
      <c r="L41">
        <v>-7</v>
      </c>
      <c r="M41">
        <v>30</v>
      </c>
      <c r="N41">
        <v>10</v>
      </c>
      <c r="O41">
        <v>1.6</v>
      </c>
      <c r="P41" t="s">
        <v>5813</v>
      </c>
      <c r="Q41" t="s">
        <v>5804</v>
      </c>
      <c r="R41">
        <v>3</v>
      </c>
      <c r="S41">
        <v>6</v>
      </c>
      <c r="T41">
        <v>4</v>
      </c>
      <c r="U41">
        <v>0.2</v>
      </c>
      <c r="V41">
        <v>1</v>
      </c>
    </row>
    <row r="42" spans="1:26">
      <c r="A42" t="s">
        <v>1795</v>
      </c>
      <c r="B42" t="s">
        <v>5814</v>
      </c>
      <c r="C42" t="s">
        <v>5857</v>
      </c>
      <c r="D42">
        <v>12</v>
      </c>
      <c r="E42">
        <v>6</v>
      </c>
      <c r="F42" t="s">
        <v>5799</v>
      </c>
      <c r="G42" t="s">
        <v>5820</v>
      </c>
      <c r="H42">
        <v>2</v>
      </c>
      <c r="I42">
        <v>-8</v>
      </c>
      <c r="J42">
        <v>0</v>
      </c>
      <c r="K42">
        <v>-5</v>
      </c>
      <c r="L42">
        <v>-3</v>
      </c>
      <c r="M42">
        <v>15</v>
      </c>
      <c r="N42">
        <v>11</v>
      </c>
      <c r="O42">
        <v>1.2</v>
      </c>
      <c r="P42">
        <v>0</v>
      </c>
      <c r="R42">
        <v>15</v>
      </c>
      <c r="S42">
        <v>14</v>
      </c>
      <c r="T42">
        <v>19</v>
      </c>
      <c r="U42">
        <v>1.5</v>
      </c>
      <c r="V42">
        <v>4</v>
      </c>
    </row>
    <row r="43" spans="1:26">
      <c r="A43" t="s">
        <v>1795</v>
      </c>
      <c r="B43" t="s">
        <v>5817</v>
      </c>
      <c r="C43" t="s">
        <v>5857</v>
      </c>
      <c r="D43">
        <v>12</v>
      </c>
      <c r="E43">
        <v>6</v>
      </c>
      <c r="F43" t="s">
        <v>5799</v>
      </c>
      <c r="G43" t="s">
        <v>5820</v>
      </c>
      <c r="H43">
        <v>2</v>
      </c>
      <c r="I43">
        <v>-8</v>
      </c>
      <c r="J43">
        <v>0</v>
      </c>
      <c r="K43">
        <v>-5</v>
      </c>
      <c r="L43">
        <v>-3</v>
      </c>
      <c r="M43">
        <v>15</v>
      </c>
      <c r="N43">
        <v>11</v>
      </c>
      <c r="O43">
        <v>1.2</v>
      </c>
      <c r="P43">
        <v>0</v>
      </c>
      <c r="R43">
        <v>15</v>
      </c>
      <c r="S43">
        <v>14</v>
      </c>
      <c r="T43">
        <v>19</v>
      </c>
      <c r="U43">
        <v>1.5</v>
      </c>
      <c r="V43">
        <v>4</v>
      </c>
    </row>
    <row r="44" spans="1:26">
      <c r="A44" t="s">
        <v>1801</v>
      </c>
      <c r="B44" t="s">
        <v>5858</v>
      </c>
      <c r="C44" t="s">
        <v>5859</v>
      </c>
      <c r="D44">
        <v>0</v>
      </c>
      <c r="E44">
        <v>0</v>
      </c>
      <c r="F44" t="s">
        <v>5795</v>
      </c>
      <c r="G44" t="s">
        <v>5800</v>
      </c>
      <c r="H44">
        <v>3</v>
      </c>
      <c r="I44">
        <v>-5</v>
      </c>
      <c r="J44">
        <v>0</v>
      </c>
      <c r="K44">
        <v>-3</v>
      </c>
      <c r="L44">
        <v>-11</v>
      </c>
      <c r="M44">
        <v>5</v>
      </c>
      <c r="O44">
        <v>0.02</v>
      </c>
      <c r="P44">
        <v>5</v>
      </c>
      <c r="R44">
        <v>5</v>
      </c>
      <c r="S44">
        <v>30</v>
      </c>
      <c r="T44" t="s">
        <v>5860</v>
      </c>
      <c r="U44" t="s">
        <v>5861</v>
      </c>
      <c r="V44" t="s">
        <v>5861</v>
      </c>
    </row>
    <row r="45" spans="1:26">
      <c r="A45" t="s">
        <v>1793</v>
      </c>
      <c r="B45" t="s">
        <v>5855</v>
      </c>
      <c r="C45" t="s">
        <v>5862</v>
      </c>
      <c r="D45">
        <v>14</v>
      </c>
      <c r="E45">
        <v>8</v>
      </c>
      <c r="F45" t="s">
        <v>5799</v>
      </c>
      <c r="G45" t="s">
        <v>5799</v>
      </c>
      <c r="H45">
        <v>1.5</v>
      </c>
      <c r="I45">
        <v>-10</v>
      </c>
      <c r="J45">
        <v>0</v>
      </c>
      <c r="K45">
        <v>-6</v>
      </c>
      <c r="L45">
        <v>-7</v>
      </c>
      <c r="M45">
        <v>32</v>
      </c>
      <c r="N45">
        <v>18</v>
      </c>
      <c r="O45">
        <v>1.5</v>
      </c>
      <c r="P45" t="s">
        <v>5813</v>
      </c>
      <c r="Q45" t="s">
        <v>5804</v>
      </c>
      <c r="R45">
        <v>14</v>
      </c>
      <c r="S45">
        <v>11</v>
      </c>
      <c r="T45">
        <v>4</v>
      </c>
      <c r="U45">
        <v>1</v>
      </c>
      <c r="V45">
        <v>1</v>
      </c>
    </row>
    <row r="46" spans="1:26">
      <c r="A46" t="s">
        <v>1793</v>
      </c>
      <c r="B46" t="s">
        <v>5855</v>
      </c>
      <c r="C46" t="s">
        <v>5863</v>
      </c>
      <c r="D46">
        <v>7</v>
      </c>
      <c r="E46">
        <v>3</v>
      </c>
      <c r="F46" t="s">
        <v>5795</v>
      </c>
      <c r="G46" t="s">
        <v>5795</v>
      </c>
      <c r="H46">
        <v>3</v>
      </c>
      <c r="I46">
        <v>-4</v>
      </c>
      <c r="J46">
        <v>0</v>
      </c>
      <c r="K46">
        <v>-4</v>
      </c>
      <c r="L46">
        <v>-4</v>
      </c>
      <c r="M46">
        <v>9</v>
      </c>
      <c r="N46">
        <v>6</v>
      </c>
      <c r="O46">
        <v>0.7</v>
      </c>
      <c r="P46">
        <v>4</v>
      </c>
      <c r="Q46" t="s">
        <v>5804</v>
      </c>
      <c r="R46">
        <v>7</v>
      </c>
      <c r="S46">
        <v>6</v>
      </c>
      <c r="T46">
        <v>4</v>
      </c>
      <c r="U46">
        <v>1</v>
      </c>
      <c r="V46">
        <v>1</v>
      </c>
    </row>
    <row r="47" spans="1:26">
      <c r="A47" t="s">
        <v>1793</v>
      </c>
      <c r="B47" t="s">
        <v>5855</v>
      </c>
      <c r="C47" t="s">
        <v>5864</v>
      </c>
      <c r="D47">
        <v>14</v>
      </c>
      <c r="E47">
        <v>6</v>
      </c>
      <c r="F47" t="s">
        <v>5794</v>
      </c>
      <c r="G47" t="s">
        <v>5794</v>
      </c>
      <c r="H47">
        <v>2</v>
      </c>
      <c r="I47">
        <v>-7</v>
      </c>
      <c r="J47">
        <v>0</v>
      </c>
      <c r="K47">
        <v>-6</v>
      </c>
      <c r="L47">
        <v>-6</v>
      </c>
      <c r="M47">
        <v>26</v>
      </c>
      <c r="N47">
        <v>16</v>
      </c>
      <c r="O47">
        <v>1.4</v>
      </c>
      <c r="P47" t="s">
        <v>5813</v>
      </c>
      <c r="Q47" t="s">
        <v>5804</v>
      </c>
      <c r="R47">
        <v>12</v>
      </c>
      <c r="S47">
        <v>8</v>
      </c>
      <c r="T47">
        <v>4</v>
      </c>
      <c r="U47">
        <v>1.5</v>
      </c>
      <c r="V47">
        <v>1.5</v>
      </c>
    </row>
    <row r="48" spans="1:26">
      <c r="A48" t="s">
        <v>1793</v>
      </c>
      <c r="B48" t="s">
        <v>5855</v>
      </c>
      <c r="C48" t="s">
        <v>5865</v>
      </c>
      <c r="D48">
        <v>7</v>
      </c>
      <c r="E48">
        <v>4</v>
      </c>
      <c r="F48" t="s">
        <v>5795</v>
      </c>
      <c r="G48" t="s">
        <v>5795</v>
      </c>
      <c r="H48">
        <v>3</v>
      </c>
      <c r="I48">
        <v>-4</v>
      </c>
      <c r="J48">
        <v>0</v>
      </c>
      <c r="K48">
        <v>-4</v>
      </c>
      <c r="L48">
        <v>-4</v>
      </c>
      <c r="M48">
        <v>11</v>
      </c>
      <c r="N48">
        <v>8</v>
      </c>
      <c r="O48">
        <v>0.7</v>
      </c>
      <c r="P48">
        <v>4</v>
      </c>
      <c r="R48">
        <v>7</v>
      </c>
      <c r="S48">
        <v>10</v>
      </c>
      <c r="T48">
        <v>0</v>
      </c>
      <c r="U48">
        <v>0.7</v>
      </c>
      <c r="V48">
        <v>0.1</v>
      </c>
    </row>
    <row r="49" spans="1:26">
      <c r="A49" t="s">
        <v>1793</v>
      </c>
      <c r="B49" t="s">
        <v>5801</v>
      </c>
      <c r="C49" t="s">
        <v>5866</v>
      </c>
      <c r="D49">
        <v>7</v>
      </c>
      <c r="E49">
        <v>4</v>
      </c>
      <c r="F49" t="s">
        <v>5812</v>
      </c>
      <c r="G49" t="s">
        <v>5795</v>
      </c>
      <c r="H49">
        <v>4</v>
      </c>
      <c r="I49">
        <v>-6</v>
      </c>
      <c r="J49">
        <v>0</v>
      </c>
      <c r="K49">
        <v>-4</v>
      </c>
      <c r="L49">
        <v>-4</v>
      </c>
      <c r="M49">
        <v>10</v>
      </c>
      <c r="N49">
        <v>7</v>
      </c>
      <c r="O49">
        <v>0.76</v>
      </c>
      <c r="P49">
        <v>3</v>
      </c>
      <c r="Q49" t="s">
        <v>5804</v>
      </c>
      <c r="R49">
        <v>16</v>
      </c>
      <c r="S49">
        <v>7</v>
      </c>
      <c r="T49">
        <v>7</v>
      </c>
      <c r="U49">
        <v>0.65</v>
      </c>
      <c r="V49">
        <v>1</v>
      </c>
    </row>
    <row r="50" spans="1:26">
      <c r="A50" t="s">
        <v>1793</v>
      </c>
      <c r="B50" t="s">
        <v>5867</v>
      </c>
      <c r="C50" t="s">
        <v>5868</v>
      </c>
      <c r="D50">
        <v>10</v>
      </c>
      <c r="E50">
        <v>5</v>
      </c>
      <c r="F50" t="s">
        <v>5816</v>
      </c>
      <c r="G50" t="s">
        <v>5800</v>
      </c>
      <c r="H50">
        <v>4</v>
      </c>
      <c r="I50">
        <v>-5</v>
      </c>
      <c r="J50">
        <v>0</v>
      </c>
      <c r="K50">
        <v>-8</v>
      </c>
      <c r="L50">
        <v>-15</v>
      </c>
      <c r="M50">
        <v>13</v>
      </c>
      <c r="N50">
        <v>10</v>
      </c>
      <c r="O50">
        <v>1.5</v>
      </c>
      <c r="P50">
        <v>0</v>
      </c>
      <c r="R50">
        <v>2</v>
      </c>
      <c r="S50">
        <v>4</v>
      </c>
      <c r="T50">
        <v>5</v>
      </c>
      <c r="U50">
        <v>2</v>
      </c>
      <c r="V50">
        <v>0.5</v>
      </c>
    </row>
    <row r="51" spans="1:26">
      <c r="A51" t="s">
        <v>1793</v>
      </c>
      <c r="B51" t="s">
        <v>5801</v>
      </c>
      <c r="C51" t="s">
        <v>5869</v>
      </c>
      <c r="D51">
        <v>2</v>
      </c>
      <c r="E51">
        <v>5</v>
      </c>
      <c r="F51" t="s">
        <v>5816</v>
      </c>
      <c r="G51" t="s">
        <v>5800</v>
      </c>
      <c r="H51">
        <v>4</v>
      </c>
      <c r="I51">
        <v>-5</v>
      </c>
      <c r="J51">
        <v>0</v>
      </c>
      <c r="K51">
        <v>-5</v>
      </c>
      <c r="L51">
        <v>-8</v>
      </c>
      <c r="M51">
        <v>11</v>
      </c>
      <c r="N51">
        <v>8</v>
      </c>
      <c r="O51">
        <v>0.2</v>
      </c>
      <c r="P51">
        <v>0</v>
      </c>
      <c r="R51">
        <v>7</v>
      </c>
      <c r="S51">
        <v>10</v>
      </c>
      <c r="T51">
        <v>5</v>
      </c>
      <c r="U51">
        <v>2</v>
      </c>
      <c r="V51">
        <v>0.5</v>
      </c>
    </row>
    <row r="52" spans="1:26">
      <c r="A52" t="s">
        <v>1801</v>
      </c>
      <c r="B52" t="s">
        <v>5099</v>
      </c>
      <c r="C52" t="s">
        <v>5869</v>
      </c>
      <c r="D52">
        <v>2</v>
      </c>
      <c r="E52">
        <v>5</v>
      </c>
      <c r="F52" t="s">
        <v>5816</v>
      </c>
      <c r="G52" t="s">
        <v>5800</v>
      </c>
      <c r="H52">
        <v>4</v>
      </c>
      <c r="I52">
        <v>-5</v>
      </c>
      <c r="J52">
        <v>0</v>
      </c>
      <c r="K52">
        <v>-5</v>
      </c>
      <c r="L52">
        <v>-8</v>
      </c>
      <c r="M52">
        <v>11</v>
      </c>
      <c r="N52">
        <v>8</v>
      </c>
      <c r="O52">
        <v>0.2</v>
      </c>
      <c r="P52">
        <v>0</v>
      </c>
      <c r="R52">
        <v>7</v>
      </c>
      <c r="S52">
        <v>10</v>
      </c>
      <c r="T52">
        <v>5</v>
      </c>
      <c r="U52">
        <v>2</v>
      </c>
      <c r="V52">
        <v>0.5</v>
      </c>
    </row>
    <row r="53" spans="1:26">
      <c r="A53" t="s">
        <v>1795</v>
      </c>
      <c r="B53" t="s">
        <v>5870</v>
      </c>
      <c r="C53" t="s">
        <v>5871</v>
      </c>
      <c r="D53">
        <v>8</v>
      </c>
      <c r="E53">
        <v>4</v>
      </c>
      <c r="F53" t="s">
        <v>5816</v>
      </c>
      <c r="G53" t="s">
        <v>5816</v>
      </c>
      <c r="H53">
        <v>3</v>
      </c>
      <c r="I53">
        <v>-4</v>
      </c>
      <c r="J53">
        <v>0</v>
      </c>
      <c r="K53">
        <v>-2</v>
      </c>
      <c r="L53">
        <v>-3</v>
      </c>
      <c r="M53">
        <v>9</v>
      </c>
      <c r="N53">
        <v>6</v>
      </c>
      <c r="O53">
        <v>0.8</v>
      </c>
      <c r="P53">
        <v>4</v>
      </c>
      <c r="R53">
        <v>14</v>
      </c>
      <c r="S53">
        <v>14</v>
      </c>
      <c r="T53">
        <v>12</v>
      </c>
      <c r="U53">
        <v>0.8</v>
      </c>
      <c r="V53">
        <v>3</v>
      </c>
    </row>
    <row r="54" spans="1:26">
      <c r="A54" t="s">
        <v>1795</v>
      </c>
      <c r="B54" t="s">
        <v>5814</v>
      </c>
      <c r="C54" t="s">
        <v>5871</v>
      </c>
      <c r="D54">
        <v>8</v>
      </c>
      <c r="E54">
        <v>4</v>
      </c>
      <c r="F54" t="s">
        <v>5816</v>
      </c>
      <c r="G54" t="s">
        <v>5816</v>
      </c>
      <c r="H54">
        <v>3</v>
      </c>
      <c r="I54">
        <v>-4</v>
      </c>
      <c r="J54">
        <v>0</v>
      </c>
      <c r="K54">
        <v>-2</v>
      </c>
      <c r="L54">
        <v>-3</v>
      </c>
      <c r="M54">
        <v>9</v>
      </c>
      <c r="N54">
        <v>6</v>
      </c>
      <c r="O54">
        <v>0.8</v>
      </c>
      <c r="P54">
        <v>4</v>
      </c>
      <c r="R54">
        <v>14</v>
      </c>
      <c r="S54">
        <v>14</v>
      </c>
      <c r="T54">
        <v>12</v>
      </c>
      <c r="U54">
        <v>0.8</v>
      </c>
      <c r="V54">
        <v>3</v>
      </c>
    </row>
    <row r="55" spans="1:26">
      <c r="A55" t="s">
        <v>1801</v>
      </c>
      <c r="B55" t="s">
        <v>5848</v>
      </c>
      <c r="C55" t="s">
        <v>5872</v>
      </c>
      <c r="E55">
        <v>4</v>
      </c>
      <c r="F55" t="s">
        <v>5816</v>
      </c>
      <c r="G55" t="s">
        <v>5800</v>
      </c>
      <c r="H55">
        <v>2</v>
      </c>
      <c r="I55">
        <v>-8</v>
      </c>
      <c r="K55">
        <v>-2</v>
      </c>
      <c r="L55">
        <v>2</v>
      </c>
      <c r="M55">
        <v>13</v>
      </c>
      <c r="P55" t="s">
        <v>5813</v>
      </c>
      <c r="Q55" t="s">
        <v>5873</v>
      </c>
      <c r="R55">
        <v>14</v>
      </c>
      <c r="S55">
        <v>16</v>
      </c>
      <c r="T55">
        <v>15</v>
      </c>
      <c r="Y55">
        <v>12</v>
      </c>
      <c r="Z55">
        <v>100</v>
      </c>
    </row>
    <row r="56" spans="1:26">
      <c r="A56" t="s">
        <v>1795</v>
      </c>
      <c r="B56" t="s">
        <v>5817</v>
      </c>
      <c r="C56" t="s">
        <v>5874</v>
      </c>
      <c r="D56">
        <v>17</v>
      </c>
      <c r="E56">
        <v>8</v>
      </c>
      <c r="F56" t="s">
        <v>5875</v>
      </c>
      <c r="H56">
        <v>1.5</v>
      </c>
      <c r="I56">
        <v>-12</v>
      </c>
      <c r="J56">
        <v>0</v>
      </c>
      <c r="K56">
        <v>-7</v>
      </c>
      <c r="L56">
        <v>-7</v>
      </c>
      <c r="M56">
        <v>36</v>
      </c>
      <c r="N56">
        <v>18</v>
      </c>
      <c r="O56">
        <v>1.8</v>
      </c>
      <c r="P56" t="s">
        <v>5813</v>
      </c>
      <c r="R56">
        <v>17</v>
      </c>
      <c r="S56">
        <v>13</v>
      </c>
      <c r="T56">
        <v>28</v>
      </c>
      <c r="U56">
        <v>2.5</v>
      </c>
      <c r="V56">
        <v>8</v>
      </c>
    </row>
    <row r="57" spans="1:26">
      <c r="A57" t="s">
        <v>1793</v>
      </c>
      <c r="B57" t="s">
        <v>5801</v>
      </c>
      <c r="C57" t="s">
        <v>5876</v>
      </c>
      <c r="D57">
        <v>4</v>
      </c>
      <c r="E57">
        <v>3.5</v>
      </c>
      <c r="F57" t="s">
        <v>5803</v>
      </c>
      <c r="H57">
        <v>4</v>
      </c>
      <c r="I57">
        <v>-5</v>
      </c>
      <c r="J57">
        <v>0</v>
      </c>
      <c r="K57">
        <v>-6</v>
      </c>
      <c r="L57">
        <v>-6</v>
      </c>
      <c r="M57">
        <v>7</v>
      </c>
      <c r="N57">
        <v>3</v>
      </c>
      <c r="O57">
        <v>0.4</v>
      </c>
      <c r="P57">
        <v>6</v>
      </c>
      <c r="Q57" t="s">
        <v>5804</v>
      </c>
      <c r="R57">
        <v>13</v>
      </c>
      <c r="S57">
        <v>6</v>
      </c>
      <c r="T57">
        <v>5</v>
      </c>
      <c r="U57">
        <v>0.6</v>
      </c>
      <c r="V57">
        <v>0.5</v>
      </c>
    </row>
    <row r="58" spans="1:26">
      <c r="A58" t="s">
        <v>1799</v>
      </c>
      <c r="B58" t="s">
        <v>5797</v>
      </c>
      <c r="C58" t="s">
        <v>5877</v>
      </c>
      <c r="D58">
        <v>13</v>
      </c>
      <c r="E58">
        <v>2</v>
      </c>
      <c r="F58" t="s">
        <v>5816</v>
      </c>
      <c r="G58" t="s">
        <v>5800</v>
      </c>
      <c r="H58">
        <v>20</v>
      </c>
      <c r="I58">
        <v>-1</v>
      </c>
      <c r="J58">
        <v>0</v>
      </c>
      <c r="K58">
        <v>-1</v>
      </c>
      <c r="L58">
        <v>1</v>
      </c>
      <c r="M58">
        <v>6</v>
      </c>
      <c r="O58">
        <v>1.1000000000000001</v>
      </c>
      <c r="P58">
        <v>2</v>
      </c>
      <c r="Q58" t="s">
        <v>5796</v>
      </c>
      <c r="R58">
        <v>0</v>
      </c>
      <c r="S58">
        <v>20</v>
      </c>
      <c r="T58">
        <v>18</v>
      </c>
      <c r="U58">
        <v>0.7</v>
      </c>
      <c r="V58">
        <v>4</v>
      </c>
    </row>
    <row r="59" spans="1:26">
      <c r="A59" t="s">
        <v>1799</v>
      </c>
      <c r="B59" t="s">
        <v>5797</v>
      </c>
      <c r="C59" t="s">
        <v>5878</v>
      </c>
      <c r="D59">
        <v>8</v>
      </c>
      <c r="E59">
        <v>4</v>
      </c>
      <c r="F59" t="s">
        <v>5799</v>
      </c>
      <c r="G59" t="s">
        <v>5800</v>
      </c>
      <c r="H59">
        <v>4</v>
      </c>
      <c r="I59">
        <v>-4</v>
      </c>
      <c r="J59">
        <v>0</v>
      </c>
      <c r="K59">
        <v>-3</v>
      </c>
      <c r="L59">
        <v>-4</v>
      </c>
      <c r="M59">
        <v>8</v>
      </c>
      <c r="N59">
        <v>6</v>
      </c>
      <c r="O59">
        <v>0.75</v>
      </c>
      <c r="P59">
        <v>5</v>
      </c>
      <c r="R59">
        <v>15</v>
      </c>
      <c r="S59">
        <v>15</v>
      </c>
      <c r="T59">
        <v>10</v>
      </c>
      <c r="U59">
        <v>0.75</v>
      </c>
      <c r="V59">
        <v>3</v>
      </c>
    </row>
    <row r="60" spans="1:26">
      <c r="A60" t="s">
        <v>1795</v>
      </c>
      <c r="B60" t="s">
        <v>5870</v>
      </c>
      <c r="C60" t="s">
        <v>5878</v>
      </c>
      <c r="D60">
        <v>8</v>
      </c>
      <c r="E60">
        <v>4</v>
      </c>
      <c r="F60" t="s">
        <v>5799</v>
      </c>
      <c r="G60" t="s">
        <v>5800</v>
      </c>
      <c r="H60">
        <v>4</v>
      </c>
      <c r="I60">
        <v>-4</v>
      </c>
      <c r="J60">
        <v>0</v>
      </c>
      <c r="K60">
        <v>-3</v>
      </c>
      <c r="L60">
        <v>-4</v>
      </c>
      <c r="M60">
        <v>8</v>
      </c>
      <c r="N60">
        <v>6</v>
      </c>
      <c r="O60">
        <v>0.75</v>
      </c>
      <c r="P60">
        <v>5</v>
      </c>
      <c r="R60">
        <v>15</v>
      </c>
      <c r="S60">
        <v>15</v>
      </c>
      <c r="T60">
        <v>10</v>
      </c>
      <c r="U60">
        <v>0.75</v>
      </c>
      <c r="V60">
        <v>3</v>
      </c>
    </row>
    <row r="61" spans="1:26">
      <c r="A61" t="s">
        <v>1799</v>
      </c>
      <c r="B61" t="s">
        <v>5797</v>
      </c>
      <c r="C61" t="s">
        <v>5879</v>
      </c>
      <c r="D61">
        <v>7</v>
      </c>
      <c r="E61">
        <v>4</v>
      </c>
      <c r="F61" t="s">
        <v>5799</v>
      </c>
      <c r="G61" t="s">
        <v>5800</v>
      </c>
      <c r="H61">
        <v>4</v>
      </c>
      <c r="I61">
        <v>-4</v>
      </c>
      <c r="J61">
        <v>0</v>
      </c>
      <c r="K61">
        <v>-3</v>
      </c>
      <c r="L61">
        <v>-3</v>
      </c>
      <c r="M61">
        <v>9</v>
      </c>
      <c r="N61">
        <v>6</v>
      </c>
      <c r="O61">
        <v>0.75</v>
      </c>
      <c r="P61">
        <v>3</v>
      </c>
      <c r="R61">
        <v>15</v>
      </c>
      <c r="S61">
        <v>15</v>
      </c>
      <c r="T61">
        <v>11</v>
      </c>
      <c r="U61">
        <v>0.8</v>
      </c>
      <c r="V61">
        <v>3.5</v>
      </c>
    </row>
    <row r="62" spans="1:26">
      <c r="A62" t="s">
        <v>1795</v>
      </c>
      <c r="B62" t="s">
        <v>5870</v>
      </c>
      <c r="C62" t="s">
        <v>5879</v>
      </c>
      <c r="D62">
        <v>7</v>
      </c>
      <c r="E62">
        <v>4</v>
      </c>
      <c r="F62" t="s">
        <v>5799</v>
      </c>
      <c r="G62" t="s">
        <v>5800</v>
      </c>
      <c r="H62">
        <v>4</v>
      </c>
      <c r="I62">
        <v>-4</v>
      </c>
      <c r="J62">
        <v>0</v>
      </c>
      <c r="K62">
        <v>-3</v>
      </c>
      <c r="L62">
        <v>-3</v>
      </c>
      <c r="M62">
        <v>9</v>
      </c>
      <c r="N62">
        <v>6</v>
      </c>
      <c r="O62">
        <v>0.75</v>
      </c>
      <c r="P62">
        <v>3</v>
      </c>
      <c r="R62">
        <v>15</v>
      </c>
      <c r="S62">
        <v>15</v>
      </c>
      <c r="T62">
        <v>11</v>
      </c>
      <c r="U62">
        <v>0.8</v>
      </c>
      <c r="V62">
        <v>3.5</v>
      </c>
    </row>
    <row r="63" spans="1:26">
      <c r="A63" t="s">
        <v>1799</v>
      </c>
      <c r="B63" t="s">
        <v>5797</v>
      </c>
      <c r="C63" t="s">
        <v>5880</v>
      </c>
      <c r="D63">
        <v>4</v>
      </c>
      <c r="E63">
        <v>3</v>
      </c>
      <c r="F63" t="s">
        <v>5799</v>
      </c>
      <c r="G63" t="s">
        <v>5800</v>
      </c>
      <c r="H63">
        <v>4</v>
      </c>
      <c r="I63">
        <v>-4</v>
      </c>
      <c r="J63">
        <v>0</v>
      </c>
      <c r="K63">
        <v>-2</v>
      </c>
      <c r="L63">
        <v>-5</v>
      </c>
      <c r="M63">
        <v>8</v>
      </c>
      <c r="N63">
        <v>5</v>
      </c>
      <c r="O63">
        <v>0.45</v>
      </c>
      <c r="P63">
        <v>6</v>
      </c>
      <c r="R63">
        <v>13</v>
      </c>
      <c r="S63">
        <v>18</v>
      </c>
      <c r="T63">
        <v>9</v>
      </c>
      <c r="U63">
        <v>0.5</v>
      </c>
      <c r="V63">
        <v>3</v>
      </c>
    </row>
    <row r="64" spans="1:26">
      <c r="A64" t="s">
        <v>1795</v>
      </c>
      <c r="B64" t="s">
        <v>5870</v>
      </c>
      <c r="C64" t="s">
        <v>5880</v>
      </c>
      <c r="D64">
        <v>4</v>
      </c>
      <c r="E64">
        <v>3</v>
      </c>
      <c r="F64" t="s">
        <v>5799</v>
      </c>
      <c r="G64" t="s">
        <v>5800</v>
      </c>
      <c r="H64">
        <v>4</v>
      </c>
      <c r="I64">
        <v>-4</v>
      </c>
      <c r="J64">
        <v>0</v>
      </c>
      <c r="K64">
        <v>-2</v>
      </c>
      <c r="L64">
        <v>-5</v>
      </c>
      <c r="M64">
        <v>8</v>
      </c>
      <c r="N64">
        <v>5</v>
      </c>
      <c r="O64">
        <v>0.45</v>
      </c>
      <c r="P64">
        <v>6</v>
      </c>
      <c r="R64">
        <v>13</v>
      </c>
      <c r="S64">
        <v>18</v>
      </c>
      <c r="T64">
        <v>9</v>
      </c>
      <c r="U64">
        <v>0.5</v>
      </c>
      <c r="V64">
        <v>3</v>
      </c>
    </row>
    <row r="65" spans="1:22">
      <c r="A65" t="s">
        <v>1797</v>
      </c>
      <c r="B65" t="s">
        <v>5806</v>
      </c>
      <c r="C65" t="s">
        <v>5881</v>
      </c>
      <c r="D65">
        <v>29</v>
      </c>
      <c r="E65">
        <v>6</v>
      </c>
      <c r="F65" t="s">
        <v>5819</v>
      </c>
      <c r="G65" t="s">
        <v>5820</v>
      </c>
      <c r="H65">
        <v>3</v>
      </c>
      <c r="I65">
        <v>-7</v>
      </c>
      <c r="J65">
        <v>0</v>
      </c>
      <c r="K65">
        <v>-7</v>
      </c>
      <c r="L65">
        <v>-5</v>
      </c>
      <c r="M65">
        <v>26</v>
      </c>
      <c r="N65">
        <v>14</v>
      </c>
      <c r="O65">
        <v>2.7</v>
      </c>
      <c r="P65" t="s">
        <v>5813</v>
      </c>
      <c r="Q65" t="s">
        <v>5804</v>
      </c>
      <c r="R65">
        <v>16</v>
      </c>
      <c r="S65">
        <v>7</v>
      </c>
      <c r="T65">
        <v>16</v>
      </c>
      <c r="U65">
        <v>1.1000000000000001</v>
      </c>
      <c r="V65">
        <v>3.5</v>
      </c>
    </row>
    <row r="66" spans="1:22">
      <c r="A66" t="s">
        <v>1793</v>
      </c>
      <c r="B66" t="s">
        <v>5801</v>
      </c>
      <c r="C66" t="s">
        <v>5882</v>
      </c>
      <c r="D66">
        <v>14</v>
      </c>
      <c r="E66">
        <v>4.5</v>
      </c>
      <c r="F66" t="s">
        <v>5883</v>
      </c>
      <c r="G66" t="s">
        <v>5800</v>
      </c>
      <c r="H66">
        <v>3</v>
      </c>
      <c r="I66">
        <v>-5</v>
      </c>
      <c r="J66">
        <v>2</v>
      </c>
      <c r="K66">
        <v>-7</v>
      </c>
      <c r="L66">
        <v>-7</v>
      </c>
      <c r="M66">
        <v>14</v>
      </c>
      <c r="N66">
        <v>8</v>
      </c>
      <c r="O66">
        <v>1.4</v>
      </c>
      <c r="P66">
        <v>0</v>
      </c>
      <c r="Q66" t="s">
        <v>5804</v>
      </c>
      <c r="R66">
        <v>10</v>
      </c>
      <c r="S66">
        <v>4</v>
      </c>
      <c r="T66">
        <v>3</v>
      </c>
      <c r="U66">
        <v>0.3</v>
      </c>
      <c r="V66">
        <v>0.25</v>
      </c>
    </row>
    <row r="67" spans="1:22">
      <c r="A67" t="s">
        <v>1797</v>
      </c>
      <c r="B67" t="s">
        <v>5822</v>
      </c>
      <c r="C67" t="s">
        <v>5882</v>
      </c>
      <c r="D67">
        <v>14</v>
      </c>
      <c r="E67">
        <v>4.5</v>
      </c>
      <c r="F67" t="s">
        <v>5883</v>
      </c>
      <c r="G67" t="s">
        <v>5800</v>
      </c>
      <c r="H67">
        <v>3</v>
      </c>
      <c r="I67">
        <v>-5</v>
      </c>
      <c r="J67">
        <v>2</v>
      </c>
      <c r="K67">
        <v>-7</v>
      </c>
      <c r="L67">
        <v>-7</v>
      </c>
      <c r="M67">
        <v>14</v>
      </c>
      <c r="N67">
        <v>8</v>
      </c>
      <c r="O67">
        <v>1.4</v>
      </c>
      <c r="P67">
        <v>0</v>
      </c>
      <c r="Q67" t="s">
        <v>5804</v>
      </c>
      <c r="R67">
        <v>10</v>
      </c>
      <c r="S67">
        <v>4</v>
      </c>
      <c r="T67">
        <v>3</v>
      </c>
      <c r="U67">
        <v>0.3</v>
      </c>
      <c r="V67">
        <v>0.25</v>
      </c>
    </row>
    <row r="68" spans="1:22">
      <c r="A68" t="s">
        <v>1799</v>
      </c>
      <c r="B68" t="s">
        <v>5831</v>
      </c>
      <c r="C68" t="s">
        <v>5884</v>
      </c>
      <c r="D68">
        <v>3</v>
      </c>
      <c r="E68">
        <v>2</v>
      </c>
      <c r="F68" t="s">
        <v>5799</v>
      </c>
      <c r="H68">
        <v>5</v>
      </c>
      <c r="I68">
        <v>-2</v>
      </c>
      <c r="J68">
        <v>0</v>
      </c>
      <c r="K68">
        <v>-1</v>
      </c>
      <c r="L68">
        <v>-6</v>
      </c>
      <c r="M68">
        <v>6</v>
      </c>
      <c r="N68">
        <v>4</v>
      </c>
      <c r="O68">
        <v>0.35</v>
      </c>
      <c r="P68">
        <v>6</v>
      </c>
      <c r="R68">
        <v>12</v>
      </c>
      <c r="S68">
        <v>17</v>
      </c>
      <c r="T68">
        <v>7</v>
      </c>
      <c r="U68">
        <v>0.3</v>
      </c>
      <c r="V68">
        <v>1</v>
      </c>
    </row>
    <row r="69" spans="1:22">
      <c r="A69" t="s">
        <v>1793</v>
      </c>
      <c r="B69" t="s">
        <v>5855</v>
      </c>
      <c r="C69" t="s">
        <v>5885</v>
      </c>
      <c r="D69">
        <v>3</v>
      </c>
      <c r="E69">
        <v>5</v>
      </c>
      <c r="F69" t="s">
        <v>5794</v>
      </c>
      <c r="G69" t="s">
        <v>5795</v>
      </c>
      <c r="H69">
        <v>2</v>
      </c>
      <c r="I69">
        <v>-7</v>
      </c>
      <c r="J69">
        <v>0</v>
      </c>
      <c r="K69">
        <v>-5</v>
      </c>
      <c r="L69">
        <v>-8</v>
      </c>
      <c r="M69">
        <v>10</v>
      </c>
      <c r="N69">
        <v>7</v>
      </c>
      <c r="O69">
        <v>0.3</v>
      </c>
      <c r="P69">
        <v>7</v>
      </c>
      <c r="Q69" t="s">
        <v>5804</v>
      </c>
      <c r="R69">
        <v>9</v>
      </c>
      <c r="S69">
        <v>6</v>
      </c>
      <c r="T69">
        <v>4</v>
      </c>
      <c r="U69">
        <v>0.7</v>
      </c>
      <c r="V69">
        <v>0.25</v>
      </c>
    </row>
    <row r="70" spans="1:22">
      <c r="A70" t="s">
        <v>1793</v>
      </c>
      <c r="B70" t="s">
        <v>5855</v>
      </c>
      <c r="C70" t="s">
        <v>5886</v>
      </c>
      <c r="D70">
        <v>2</v>
      </c>
      <c r="E70">
        <v>2.5</v>
      </c>
      <c r="F70" t="s">
        <v>5816</v>
      </c>
      <c r="G70" t="s">
        <v>5800</v>
      </c>
      <c r="H70">
        <v>3</v>
      </c>
      <c r="I70">
        <v>-5</v>
      </c>
      <c r="J70">
        <v>0</v>
      </c>
      <c r="K70">
        <v>-6</v>
      </c>
      <c r="L70">
        <v>-9</v>
      </c>
      <c r="M70">
        <v>6</v>
      </c>
      <c r="O70">
        <v>0.25</v>
      </c>
      <c r="P70">
        <v>8</v>
      </c>
      <c r="Q70" t="s">
        <v>5804</v>
      </c>
      <c r="R70">
        <v>8</v>
      </c>
      <c r="S70">
        <v>5</v>
      </c>
      <c r="T70">
        <v>3</v>
      </c>
      <c r="U70">
        <v>0.4</v>
      </c>
      <c r="V70">
        <v>0.25</v>
      </c>
    </row>
    <row r="71" spans="1:22">
      <c r="A71" t="s">
        <v>1797</v>
      </c>
      <c r="B71" t="s">
        <v>5825</v>
      </c>
      <c r="C71" t="s">
        <v>5887</v>
      </c>
      <c r="D71">
        <v>13</v>
      </c>
      <c r="E71">
        <v>5</v>
      </c>
      <c r="F71" t="s">
        <v>5803</v>
      </c>
      <c r="G71" t="s">
        <v>5795</v>
      </c>
      <c r="H71">
        <v>3</v>
      </c>
      <c r="I71">
        <v>-8</v>
      </c>
      <c r="J71">
        <v>0</v>
      </c>
      <c r="K71">
        <v>-5</v>
      </c>
      <c r="L71">
        <v>-4</v>
      </c>
      <c r="M71">
        <v>25</v>
      </c>
      <c r="N71">
        <v>11</v>
      </c>
      <c r="O71">
        <v>1.2</v>
      </c>
      <c r="P71" t="s">
        <v>5813</v>
      </c>
      <c r="Q71" t="s">
        <v>5804</v>
      </c>
      <c r="R71">
        <v>17</v>
      </c>
      <c r="S71">
        <v>7</v>
      </c>
      <c r="T71">
        <v>16</v>
      </c>
      <c r="U71">
        <v>1.5</v>
      </c>
      <c r="V71">
        <v>4</v>
      </c>
    </row>
    <row r="72" spans="1:22">
      <c r="A72" t="s">
        <v>1795</v>
      </c>
      <c r="B72" t="s">
        <v>5870</v>
      </c>
      <c r="C72" t="s">
        <v>5888</v>
      </c>
      <c r="D72">
        <v>5</v>
      </c>
      <c r="E72">
        <v>2.5</v>
      </c>
      <c r="F72" t="s">
        <v>5795</v>
      </c>
      <c r="G72" t="s">
        <v>5795</v>
      </c>
      <c r="H72">
        <v>4</v>
      </c>
      <c r="I72">
        <v>-2</v>
      </c>
      <c r="J72">
        <v>0</v>
      </c>
      <c r="K72">
        <v>-1</v>
      </c>
      <c r="L72">
        <v>-5</v>
      </c>
      <c r="M72">
        <v>6</v>
      </c>
      <c r="N72">
        <v>4</v>
      </c>
      <c r="O72">
        <v>0.5</v>
      </c>
      <c r="P72">
        <v>6</v>
      </c>
      <c r="R72">
        <v>14</v>
      </c>
      <c r="S72">
        <v>11</v>
      </c>
      <c r="T72">
        <v>10</v>
      </c>
      <c r="U72">
        <v>0.8</v>
      </c>
      <c r="V72">
        <v>3</v>
      </c>
    </row>
    <row r="73" spans="1:22">
      <c r="A73" t="s">
        <v>1797</v>
      </c>
      <c r="B73" t="s">
        <v>5825</v>
      </c>
      <c r="C73" t="s">
        <v>5889</v>
      </c>
      <c r="D73">
        <v>32</v>
      </c>
      <c r="E73">
        <v>6</v>
      </c>
      <c r="F73" t="s">
        <v>5803</v>
      </c>
      <c r="G73" t="s">
        <v>5799</v>
      </c>
      <c r="H73">
        <v>2</v>
      </c>
      <c r="I73">
        <v>-14</v>
      </c>
      <c r="J73">
        <v>0</v>
      </c>
      <c r="K73">
        <v>-8</v>
      </c>
      <c r="L73">
        <v>-7</v>
      </c>
      <c r="M73">
        <v>32</v>
      </c>
      <c r="N73">
        <v>14</v>
      </c>
      <c r="O73">
        <v>3</v>
      </c>
      <c r="P73" t="s">
        <v>5813</v>
      </c>
      <c r="Q73" t="s">
        <v>5804</v>
      </c>
      <c r="R73">
        <v>17</v>
      </c>
      <c r="S73">
        <v>7</v>
      </c>
      <c r="T73">
        <v>16</v>
      </c>
      <c r="U73">
        <v>1.5</v>
      </c>
      <c r="V73">
        <v>4</v>
      </c>
    </row>
    <row r="74" spans="1:22">
      <c r="A74" t="s">
        <v>1797</v>
      </c>
      <c r="B74" t="s">
        <v>5825</v>
      </c>
      <c r="C74" t="s">
        <v>5890</v>
      </c>
      <c r="D74">
        <v>22</v>
      </c>
      <c r="E74">
        <v>5</v>
      </c>
      <c r="F74" t="s">
        <v>5819</v>
      </c>
      <c r="G74" t="s">
        <v>5816</v>
      </c>
      <c r="H74">
        <v>3</v>
      </c>
      <c r="I74">
        <v>-7</v>
      </c>
      <c r="J74">
        <v>0</v>
      </c>
      <c r="K74">
        <v>-5</v>
      </c>
      <c r="L74">
        <v>-5</v>
      </c>
      <c r="M74">
        <v>26</v>
      </c>
      <c r="N74">
        <v>12</v>
      </c>
      <c r="O74">
        <v>2</v>
      </c>
      <c r="P74" t="s">
        <v>5813</v>
      </c>
      <c r="Q74" t="s">
        <v>5804</v>
      </c>
      <c r="R74">
        <v>17</v>
      </c>
      <c r="S74">
        <v>7</v>
      </c>
      <c r="T74">
        <v>16</v>
      </c>
      <c r="U74">
        <v>1.5</v>
      </c>
      <c r="V74">
        <v>4</v>
      </c>
    </row>
    <row r="75" spans="1:22">
      <c r="A75" t="s">
        <v>1799</v>
      </c>
      <c r="B75" t="s">
        <v>5831</v>
      </c>
      <c r="C75" t="s">
        <v>5891</v>
      </c>
      <c r="D75">
        <v>3</v>
      </c>
      <c r="E75">
        <v>2</v>
      </c>
      <c r="F75" t="s">
        <v>5794</v>
      </c>
      <c r="G75" t="s">
        <v>5800</v>
      </c>
      <c r="H75">
        <v>5</v>
      </c>
      <c r="I75">
        <v>-3</v>
      </c>
      <c r="J75">
        <v>0</v>
      </c>
      <c r="K75">
        <v>-1</v>
      </c>
      <c r="L75">
        <v>-5</v>
      </c>
      <c r="M75">
        <v>6</v>
      </c>
      <c r="N75">
        <v>4</v>
      </c>
      <c r="O75">
        <v>0.35</v>
      </c>
      <c r="P75">
        <v>6</v>
      </c>
      <c r="R75">
        <v>13</v>
      </c>
      <c r="S75">
        <v>18</v>
      </c>
      <c r="T75">
        <v>5</v>
      </c>
      <c r="U75">
        <v>0.4</v>
      </c>
      <c r="V75">
        <v>1</v>
      </c>
    </row>
    <row r="76" spans="1:22">
      <c r="A76" t="s">
        <v>1799</v>
      </c>
      <c r="B76" t="s">
        <v>5831</v>
      </c>
      <c r="C76" t="s">
        <v>5892</v>
      </c>
      <c r="D76">
        <v>3</v>
      </c>
      <c r="E76">
        <v>1</v>
      </c>
      <c r="F76" t="s">
        <v>5794</v>
      </c>
      <c r="G76" t="s">
        <v>5800</v>
      </c>
      <c r="H76">
        <v>5</v>
      </c>
      <c r="I76">
        <v>-4</v>
      </c>
      <c r="J76">
        <v>0</v>
      </c>
      <c r="K76">
        <v>-1</v>
      </c>
      <c r="L76">
        <v>-6</v>
      </c>
      <c r="M76">
        <v>5</v>
      </c>
      <c r="N76">
        <v>3</v>
      </c>
      <c r="O76">
        <v>0.25</v>
      </c>
      <c r="P76">
        <v>9</v>
      </c>
      <c r="R76">
        <v>12</v>
      </c>
      <c r="S76">
        <v>18</v>
      </c>
      <c r="T76">
        <v>5</v>
      </c>
      <c r="U76">
        <v>0.25</v>
      </c>
      <c r="V76">
        <v>1</v>
      </c>
    </row>
    <row r="77" spans="1:22">
      <c r="A77" t="s">
        <v>1801</v>
      </c>
      <c r="B77" t="s">
        <v>5099</v>
      </c>
      <c r="C77" t="s">
        <v>5892</v>
      </c>
      <c r="D77">
        <v>3</v>
      </c>
      <c r="E77">
        <v>1</v>
      </c>
      <c r="F77" t="s">
        <v>5794</v>
      </c>
      <c r="G77" t="s">
        <v>5800</v>
      </c>
      <c r="H77">
        <v>5</v>
      </c>
      <c r="I77">
        <v>-4</v>
      </c>
      <c r="J77">
        <v>0</v>
      </c>
      <c r="K77">
        <v>-1</v>
      </c>
      <c r="L77">
        <v>-6</v>
      </c>
      <c r="M77">
        <v>5</v>
      </c>
      <c r="N77">
        <v>3</v>
      </c>
      <c r="O77">
        <v>0.25</v>
      </c>
      <c r="P77">
        <v>9</v>
      </c>
      <c r="R77">
        <v>12</v>
      </c>
      <c r="S77">
        <v>18</v>
      </c>
      <c r="T77">
        <v>5</v>
      </c>
      <c r="U77">
        <v>0.25</v>
      </c>
      <c r="V77">
        <v>1</v>
      </c>
    </row>
    <row r="78" spans="1:22">
      <c r="A78" t="s">
        <v>1799</v>
      </c>
      <c r="B78" t="s">
        <v>5797</v>
      </c>
      <c r="C78" t="s">
        <v>5893</v>
      </c>
      <c r="D78">
        <v>8</v>
      </c>
      <c r="E78">
        <v>4</v>
      </c>
      <c r="F78" t="s">
        <v>5819</v>
      </c>
      <c r="G78" t="s">
        <v>5800</v>
      </c>
      <c r="H78">
        <v>4</v>
      </c>
      <c r="I78">
        <v>-5</v>
      </c>
      <c r="J78">
        <v>0</v>
      </c>
      <c r="K78">
        <v>-2</v>
      </c>
      <c r="L78">
        <v>-3</v>
      </c>
      <c r="M78">
        <v>8</v>
      </c>
      <c r="N78">
        <v>6</v>
      </c>
      <c r="O78">
        <v>0.7</v>
      </c>
      <c r="P78">
        <v>4</v>
      </c>
      <c r="R78">
        <v>14</v>
      </c>
      <c r="S78">
        <v>16</v>
      </c>
      <c r="T78">
        <v>18</v>
      </c>
      <c r="U78">
        <v>0.8</v>
      </c>
      <c r="V78">
        <v>4</v>
      </c>
    </row>
    <row r="79" spans="1:22">
      <c r="A79" t="s">
        <v>1793</v>
      </c>
      <c r="B79" t="s">
        <v>5801</v>
      </c>
      <c r="C79" t="s">
        <v>5894</v>
      </c>
      <c r="D79">
        <v>8</v>
      </c>
      <c r="E79">
        <v>7</v>
      </c>
      <c r="F79" t="s">
        <v>5803</v>
      </c>
      <c r="G79" t="s">
        <v>5800</v>
      </c>
      <c r="H79">
        <v>1.5</v>
      </c>
      <c r="I79">
        <v>-11</v>
      </c>
      <c r="J79">
        <v>0</v>
      </c>
      <c r="K79">
        <v>-5</v>
      </c>
      <c r="L79">
        <v>-5</v>
      </c>
      <c r="M79">
        <v>28</v>
      </c>
      <c r="N79">
        <v>12</v>
      </c>
      <c r="O79">
        <v>0.8</v>
      </c>
      <c r="P79">
        <v>0</v>
      </c>
      <c r="Q79" t="s">
        <v>5804</v>
      </c>
      <c r="R79">
        <v>17</v>
      </c>
      <c r="S79">
        <v>6</v>
      </c>
      <c r="T79">
        <v>8</v>
      </c>
      <c r="U79">
        <v>2</v>
      </c>
      <c r="V79">
        <v>1.5</v>
      </c>
    </row>
    <row r="80" spans="1:22">
      <c r="A80" t="s">
        <v>1799</v>
      </c>
      <c r="B80" t="s">
        <v>5831</v>
      </c>
      <c r="C80" t="s">
        <v>5895</v>
      </c>
      <c r="D80">
        <v>3</v>
      </c>
      <c r="E80">
        <v>0</v>
      </c>
      <c r="F80" t="s">
        <v>5794</v>
      </c>
      <c r="H80">
        <v>6</v>
      </c>
      <c r="I80">
        <v>-2</v>
      </c>
      <c r="J80">
        <v>0</v>
      </c>
      <c r="K80">
        <v>-1</v>
      </c>
      <c r="L80">
        <v>-8</v>
      </c>
      <c r="M80">
        <v>3</v>
      </c>
      <c r="O80">
        <v>0.3</v>
      </c>
      <c r="P80">
        <v>11</v>
      </c>
      <c r="R80">
        <v>11</v>
      </c>
      <c r="S80">
        <v>16</v>
      </c>
      <c r="T80">
        <v>4</v>
      </c>
      <c r="U80">
        <v>0.3</v>
      </c>
      <c r="V80">
        <v>1</v>
      </c>
    </row>
    <row r="81" spans="1:22">
      <c r="A81" t="s">
        <v>1801</v>
      </c>
      <c r="B81" t="s">
        <v>5099</v>
      </c>
      <c r="C81" t="s">
        <v>5895</v>
      </c>
      <c r="D81">
        <v>3</v>
      </c>
      <c r="E81">
        <v>0</v>
      </c>
      <c r="F81" t="s">
        <v>5794</v>
      </c>
      <c r="H81">
        <v>6</v>
      </c>
      <c r="I81">
        <v>-2</v>
      </c>
      <c r="J81">
        <v>0</v>
      </c>
      <c r="K81">
        <v>-1</v>
      </c>
      <c r="L81">
        <v>-8</v>
      </c>
      <c r="M81">
        <v>3</v>
      </c>
      <c r="O81">
        <v>0.3</v>
      </c>
      <c r="P81">
        <v>11</v>
      </c>
      <c r="R81">
        <v>11</v>
      </c>
      <c r="S81">
        <v>16</v>
      </c>
      <c r="T81">
        <v>4</v>
      </c>
      <c r="U81">
        <v>0.3</v>
      </c>
      <c r="V81">
        <v>1</v>
      </c>
    </row>
    <row r="82" spans="1:22">
      <c r="A82" t="s">
        <v>1793</v>
      </c>
      <c r="B82" t="s">
        <v>5810</v>
      </c>
      <c r="C82" t="s">
        <v>5896</v>
      </c>
      <c r="D82">
        <v>28</v>
      </c>
      <c r="E82">
        <v>15</v>
      </c>
      <c r="F82" t="s">
        <v>5897</v>
      </c>
      <c r="G82" t="s">
        <v>5897</v>
      </c>
      <c r="H82">
        <v>1</v>
      </c>
      <c r="I82">
        <v>-36</v>
      </c>
      <c r="J82">
        <v>0</v>
      </c>
      <c r="K82">
        <v>-9</v>
      </c>
      <c r="L82">
        <v>-9</v>
      </c>
      <c r="M82">
        <v>128</v>
      </c>
      <c r="N82">
        <v>64</v>
      </c>
      <c r="O82">
        <v>3</v>
      </c>
      <c r="P82" t="s">
        <v>5813</v>
      </c>
      <c r="Q82" t="s">
        <v>5804</v>
      </c>
      <c r="R82">
        <v>32</v>
      </c>
      <c r="S82">
        <v>32</v>
      </c>
      <c r="T82">
        <v>10</v>
      </c>
      <c r="U82">
        <v>7000</v>
      </c>
      <c r="V82">
        <v>4</v>
      </c>
    </row>
    <row r="83" spans="1:22">
      <c r="A83" t="s">
        <v>1799</v>
      </c>
      <c r="B83" t="s">
        <v>5831</v>
      </c>
      <c r="C83" t="s">
        <v>5898</v>
      </c>
      <c r="D83">
        <v>3</v>
      </c>
      <c r="E83">
        <v>1</v>
      </c>
      <c r="F83" t="s">
        <v>5799</v>
      </c>
      <c r="H83">
        <v>6</v>
      </c>
      <c r="I83">
        <v>-2</v>
      </c>
      <c r="J83">
        <v>0</v>
      </c>
      <c r="K83">
        <v>-1</v>
      </c>
      <c r="L83">
        <v>-7</v>
      </c>
      <c r="M83">
        <v>4</v>
      </c>
      <c r="O83">
        <v>0.28000000000000003</v>
      </c>
      <c r="P83">
        <v>10</v>
      </c>
      <c r="R83">
        <v>11</v>
      </c>
      <c r="S83">
        <v>17</v>
      </c>
      <c r="T83">
        <v>4</v>
      </c>
      <c r="U83">
        <v>0.4</v>
      </c>
      <c r="V83">
        <v>1</v>
      </c>
    </row>
    <row r="84" spans="1:22">
      <c r="A84" t="s">
        <v>1801</v>
      </c>
      <c r="B84" t="s">
        <v>5099</v>
      </c>
      <c r="C84" t="s">
        <v>5898</v>
      </c>
      <c r="D84">
        <v>3</v>
      </c>
      <c r="E84">
        <v>1</v>
      </c>
      <c r="F84" t="s">
        <v>5799</v>
      </c>
      <c r="H84">
        <v>6</v>
      </c>
      <c r="I84">
        <v>-2</v>
      </c>
      <c r="J84">
        <v>0</v>
      </c>
      <c r="K84">
        <v>-1</v>
      </c>
      <c r="L84">
        <v>-7</v>
      </c>
      <c r="M84">
        <v>4</v>
      </c>
      <c r="O84">
        <v>0.28000000000000003</v>
      </c>
      <c r="P84">
        <v>10</v>
      </c>
      <c r="R84">
        <v>11</v>
      </c>
      <c r="S84">
        <v>17</v>
      </c>
      <c r="T84">
        <v>4</v>
      </c>
      <c r="U84">
        <v>0.4</v>
      </c>
      <c r="V84">
        <v>1</v>
      </c>
    </row>
    <row r="85" spans="1:22">
      <c r="A85" t="s">
        <v>1797</v>
      </c>
      <c r="B85" t="s">
        <v>5822</v>
      </c>
      <c r="C85" t="s">
        <v>5899</v>
      </c>
      <c r="D85">
        <v>11</v>
      </c>
      <c r="E85">
        <v>3.5</v>
      </c>
      <c r="F85" t="s">
        <v>5816</v>
      </c>
      <c r="G85" t="s">
        <v>5800</v>
      </c>
      <c r="H85">
        <v>4</v>
      </c>
      <c r="I85">
        <v>-2</v>
      </c>
      <c r="J85">
        <v>0</v>
      </c>
      <c r="K85">
        <v>-2</v>
      </c>
      <c r="L85">
        <v>-2</v>
      </c>
      <c r="M85">
        <v>18</v>
      </c>
      <c r="N85">
        <v>7</v>
      </c>
      <c r="O85">
        <v>1.8</v>
      </c>
      <c r="P85" t="s">
        <v>5813</v>
      </c>
      <c r="Q85" t="s">
        <v>5844</v>
      </c>
      <c r="R85">
        <v>2</v>
      </c>
      <c r="S85">
        <v>7</v>
      </c>
      <c r="T85">
        <v>3</v>
      </c>
      <c r="U85">
        <v>0.5</v>
      </c>
      <c r="V85">
        <v>0.25</v>
      </c>
    </row>
    <row r="86" spans="1:22">
      <c r="A86" t="s">
        <v>1797</v>
      </c>
      <c r="B86" t="s">
        <v>5822</v>
      </c>
      <c r="C86" t="s">
        <v>5900</v>
      </c>
      <c r="D86">
        <v>11</v>
      </c>
      <c r="E86">
        <v>4</v>
      </c>
      <c r="F86" t="s">
        <v>5816</v>
      </c>
      <c r="G86" t="s">
        <v>5795</v>
      </c>
      <c r="H86">
        <v>4</v>
      </c>
      <c r="I86">
        <v>-2</v>
      </c>
      <c r="J86">
        <v>0</v>
      </c>
      <c r="K86">
        <v>-3</v>
      </c>
      <c r="L86">
        <v>-3</v>
      </c>
      <c r="M86">
        <v>22</v>
      </c>
      <c r="N86">
        <v>11</v>
      </c>
      <c r="O86">
        <v>1.8</v>
      </c>
      <c r="P86" t="s">
        <v>5813</v>
      </c>
      <c r="Q86" t="s">
        <v>5844</v>
      </c>
      <c r="R86">
        <v>3</v>
      </c>
      <c r="S86">
        <v>7</v>
      </c>
      <c r="T86">
        <v>4</v>
      </c>
      <c r="U86">
        <v>1</v>
      </c>
      <c r="V86">
        <v>1</v>
      </c>
    </row>
    <row r="87" spans="1:22">
      <c r="A87" t="s">
        <v>1797</v>
      </c>
      <c r="B87" t="s">
        <v>5822</v>
      </c>
      <c r="C87" t="s">
        <v>5901</v>
      </c>
      <c r="D87">
        <v>11</v>
      </c>
      <c r="E87">
        <v>4</v>
      </c>
      <c r="F87" t="s">
        <v>5794</v>
      </c>
      <c r="G87" t="s">
        <v>5800</v>
      </c>
      <c r="H87">
        <v>5</v>
      </c>
      <c r="I87">
        <v>-2</v>
      </c>
      <c r="J87">
        <v>0</v>
      </c>
      <c r="K87">
        <v>-3</v>
      </c>
      <c r="L87">
        <v>-3</v>
      </c>
      <c r="M87">
        <v>20</v>
      </c>
      <c r="N87">
        <v>9</v>
      </c>
      <c r="O87">
        <v>1.8</v>
      </c>
      <c r="P87" t="s">
        <v>5813</v>
      </c>
      <c r="Q87" t="s">
        <v>5844</v>
      </c>
      <c r="R87">
        <v>3</v>
      </c>
      <c r="S87">
        <v>7</v>
      </c>
      <c r="T87">
        <v>3</v>
      </c>
      <c r="U87">
        <v>0.5</v>
      </c>
      <c r="V87">
        <v>1</v>
      </c>
    </row>
    <row r="88" spans="1:22">
      <c r="A88" t="s">
        <v>1797</v>
      </c>
      <c r="B88" t="s">
        <v>5822</v>
      </c>
      <c r="C88" t="s">
        <v>5902</v>
      </c>
      <c r="D88">
        <v>8</v>
      </c>
      <c r="E88">
        <v>3</v>
      </c>
      <c r="F88" t="s">
        <v>5795</v>
      </c>
      <c r="G88" t="s">
        <v>5795</v>
      </c>
      <c r="H88">
        <v>4</v>
      </c>
      <c r="I88">
        <v>-2</v>
      </c>
      <c r="J88">
        <v>0</v>
      </c>
      <c r="K88">
        <v>-2</v>
      </c>
      <c r="L88">
        <v>-1</v>
      </c>
      <c r="M88">
        <v>10</v>
      </c>
      <c r="N88">
        <v>6</v>
      </c>
      <c r="O88">
        <v>1.4</v>
      </c>
      <c r="P88" t="s">
        <v>5813</v>
      </c>
      <c r="Q88" t="s">
        <v>5844</v>
      </c>
      <c r="R88">
        <v>2</v>
      </c>
      <c r="S88">
        <v>7</v>
      </c>
      <c r="T88">
        <v>2</v>
      </c>
      <c r="U88">
        <v>0.5</v>
      </c>
      <c r="V88">
        <v>0.25</v>
      </c>
    </row>
    <row r="89" spans="1:22">
      <c r="A89" t="s">
        <v>1795</v>
      </c>
      <c r="B89" t="s">
        <v>5814</v>
      </c>
      <c r="C89" t="s">
        <v>5903</v>
      </c>
      <c r="D89">
        <v>11</v>
      </c>
      <c r="E89">
        <v>5</v>
      </c>
      <c r="F89" t="s">
        <v>5799</v>
      </c>
      <c r="G89" t="s">
        <v>5816</v>
      </c>
      <c r="H89">
        <v>3</v>
      </c>
      <c r="I89">
        <v>-6</v>
      </c>
      <c r="J89">
        <v>0</v>
      </c>
      <c r="K89">
        <v>-3</v>
      </c>
      <c r="L89">
        <v>-2</v>
      </c>
      <c r="M89">
        <v>11</v>
      </c>
      <c r="N89">
        <v>8</v>
      </c>
      <c r="O89">
        <v>1</v>
      </c>
      <c r="P89">
        <v>2</v>
      </c>
      <c r="R89">
        <v>15</v>
      </c>
      <c r="S89">
        <v>13</v>
      </c>
      <c r="T89">
        <v>19</v>
      </c>
      <c r="U89">
        <v>1</v>
      </c>
      <c r="V89">
        <v>5</v>
      </c>
    </row>
    <row r="90" spans="1:22">
      <c r="A90" t="s">
        <v>1795</v>
      </c>
      <c r="B90" t="s">
        <v>5817</v>
      </c>
      <c r="C90" t="s">
        <v>5903</v>
      </c>
      <c r="D90">
        <v>11</v>
      </c>
      <c r="E90">
        <v>5</v>
      </c>
      <c r="F90" t="s">
        <v>5799</v>
      </c>
      <c r="G90" t="s">
        <v>5816</v>
      </c>
      <c r="H90">
        <v>3</v>
      </c>
      <c r="I90">
        <v>-6</v>
      </c>
      <c r="J90">
        <v>0</v>
      </c>
      <c r="K90">
        <v>-3</v>
      </c>
      <c r="L90">
        <v>-2</v>
      </c>
      <c r="M90">
        <v>11</v>
      </c>
      <c r="N90">
        <v>8</v>
      </c>
      <c r="O90">
        <v>1</v>
      </c>
      <c r="P90">
        <v>2</v>
      </c>
      <c r="R90">
        <v>15</v>
      </c>
      <c r="S90">
        <v>13</v>
      </c>
      <c r="T90">
        <v>19</v>
      </c>
      <c r="U90">
        <v>1</v>
      </c>
      <c r="V90">
        <v>5</v>
      </c>
    </row>
    <row r="91" spans="1:22">
      <c r="A91" t="s">
        <v>1795</v>
      </c>
      <c r="B91" t="s">
        <v>5814</v>
      </c>
      <c r="C91" t="s">
        <v>5904</v>
      </c>
      <c r="D91">
        <v>10</v>
      </c>
      <c r="E91">
        <v>4</v>
      </c>
      <c r="F91" t="s">
        <v>5794</v>
      </c>
      <c r="G91" t="s">
        <v>5795</v>
      </c>
      <c r="H91">
        <v>4</v>
      </c>
      <c r="I91">
        <v>-3</v>
      </c>
      <c r="J91">
        <v>0</v>
      </c>
      <c r="K91">
        <v>-2</v>
      </c>
      <c r="L91">
        <v>-2</v>
      </c>
      <c r="M91">
        <v>9</v>
      </c>
      <c r="N91">
        <v>6</v>
      </c>
      <c r="O91">
        <v>1</v>
      </c>
      <c r="P91">
        <v>1</v>
      </c>
      <c r="R91">
        <v>13</v>
      </c>
      <c r="S91">
        <v>15</v>
      </c>
      <c r="T91">
        <v>16</v>
      </c>
      <c r="U91">
        <v>1</v>
      </c>
      <c r="V91">
        <v>4</v>
      </c>
    </row>
    <row r="92" spans="1:22">
      <c r="A92" t="s">
        <v>1793</v>
      </c>
      <c r="B92" t="s">
        <v>5867</v>
      </c>
      <c r="C92" t="s">
        <v>5905</v>
      </c>
      <c r="D92">
        <v>7</v>
      </c>
      <c r="E92">
        <v>0</v>
      </c>
      <c r="F92" t="s">
        <v>5800</v>
      </c>
      <c r="G92" t="s">
        <v>5800</v>
      </c>
      <c r="H92">
        <v>3</v>
      </c>
      <c r="I92">
        <v>-4</v>
      </c>
      <c r="J92">
        <v>0</v>
      </c>
      <c r="K92">
        <v>-7</v>
      </c>
      <c r="L92">
        <v>-15</v>
      </c>
      <c r="M92">
        <v>10</v>
      </c>
      <c r="N92">
        <v>6</v>
      </c>
      <c r="O92">
        <v>1</v>
      </c>
      <c r="P92">
        <v>6</v>
      </c>
      <c r="R92">
        <v>1</v>
      </c>
      <c r="S92">
        <v>12</v>
      </c>
      <c r="T92">
        <v>6</v>
      </c>
      <c r="U92">
        <v>2</v>
      </c>
      <c r="V92">
        <v>1</v>
      </c>
    </row>
    <row r="93" spans="1:22">
      <c r="A93" t="s">
        <v>1801</v>
      </c>
      <c r="B93" t="s">
        <v>5846</v>
      </c>
      <c r="C93" t="s">
        <v>5906</v>
      </c>
      <c r="D93">
        <v>14</v>
      </c>
      <c r="E93">
        <v>7</v>
      </c>
      <c r="F93" t="s">
        <v>5794</v>
      </c>
      <c r="G93" t="s">
        <v>5795</v>
      </c>
      <c r="H93">
        <v>2</v>
      </c>
      <c r="I93">
        <v>-4</v>
      </c>
      <c r="J93">
        <v>0</v>
      </c>
      <c r="K93">
        <v>-7</v>
      </c>
      <c r="L93">
        <v>-15</v>
      </c>
      <c r="M93">
        <v>14</v>
      </c>
      <c r="N93">
        <v>11</v>
      </c>
      <c r="O93">
        <v>1.5</v>
      </c>
      <c r="P93">
        <v>3</v>
      </c>
      <c r="R93">
        <v>2</v>
      </c>
      <c r="S93">
        <v>7</v>
      </c>
      <c r="T93">
        <v>6</v>
      </c>
      <c r="U93">
        <v>3</v>
      </c>
      <c r="V93">
        <v>1.5</v>
      </c>
    </row>
    <row r="94" spans="1:22">
      <c r="A94" t="s">
        <v>1793</v>
      </c>
      <c r="B94" t="s">
        <v>5855</v>
      </c>
      <c r="C94" t="s">
        <v>5907</v>
      </c>
      <c r="D94">
        <v>9</v>
      </c>
      <c r="E94">
        <v>4</v>
      </c>
      <c r="F94" t="s">
        <v>5795</v>
      </c>
      <c r="G94" t="s">
        <v>5795</v>
      </c>
      <c r="H94">
        <v>3</v>
      </c>
      <c r="I94">
        <v>-4</v>
      </c>
      <c r="J94">
        <v>0</v>
      </c>
      <c r="K94">
        <v>-4</v>
      </c>
      <c r="L94">
        <v>-5</v>
      </c>
      <c r="M94">
        <v>9</v>
      </c>
      <c r="N94">
        <v>7</v>
      </c>
      <c r="O94">
        <v>1</v>
      </c>
      <c r="P94">
        <v>0</v>
      </c>
      <c r="Q94" t="s">
        <v>5804</v>
      </c>
      <c r="R94">
        <v>12</v>
      </c>
      <c r="S94">
        <v>7</v>
      </c>
      <c r="T94">
        <v>3</v>
      </c>
      <c r="U94">
        <v>0.5</v>
      </c>
      <c r="V94">
        <v>0.25</v>
      </c>
    </row>
    <row r="95" spans="1:22">
      <c r="A95" t="s">
        <v>1793</v>
      </c>
      <c r="B95" t="s">
        <v>5810</v>
      </c>
      <c r="C95" t="s">
        <v>5908</v>
      </c>
      <c r="D95">
        <v>15</v>
      </c>
      <c r="E95">
        <v>8</v>
      </c>
      <c r="F95" t="s">
        <v>5829</v>
      </c>
      <c r="H95">
        <v>1.5</v>
      </c>
      <c r="I95">
        <v>-13</v>
      </c>
      <c r="J95">
        <v>0</v>
      </c>
      <c r="K95">
        <v>-6</v>
      </c>
      <c r="L95">
        <v>-7</v>
      </c>
      <c r="M95">
        <v>34</v>
      </c>
      <c r="N95">
        <v>19</v>
      </c>
      <c r="O95">
        <v>1.7</v>
      </c>
      <c r="P95" t="s">
        <v>5813</v>
      </c>
      <c r="Q95" t="s">
        <v>5804</v>
      </c>
      <c r="R95">
        <v>14</v>
      </c>
      <c r="S95">
        <v>11</v>
      </c>
      <c r="T95">
        <v>10</v>
      </c>
      <c r="U95">
        <v>1</v>
      </c>
      <c r="V95">
        <v>0.25</v>
      </c>
    </row>
    <row r="96" spans="1:22">
      <c r="A96" t="s">
        <v>1801</v>
      </c>
      <c r="B96" t="s">
        <v>5793</v>
      </c>
      <c r="C96" t="s">
        <v>5909</v>
      </c>
      <c r="D96">
        <v>2</v>
      </c>
      <c r="E96">
        <v>2</v>
      </c>
      <c r="F96" t="s">
        <v>5794</v>
      </c>
      <c r="G96" t="s">
        <v>5795</v>
      </c>
      <c r="H96">
        <v>3</v>
      </c>
      <c r="I96">
        <v>-6</v>
      </c>
      <c r="J96">
        <v>0</v>
      </c>
      <c r="K96">
        <v>-2</v>
      </c>
      <c r="L96">
        <v>-6</v>
      </c>
      <c r="M96">
        <v>6</v>
      </c>
      <c r="O96">
        <v>0.2</v>
      </c>
      <c r="P96">
        <v>3</v>
      </c>
      <c r="R96">
        <v>7</v>
      </c>
      <c r="S96">
        <v>12</v>
      </c>
      <c r="T96">
        <v>6</v>
      </c>
      <c r="U96">
        <v>0.4</v>
      </c>
      <c r="V96">
        <v>1</v>
      </c>
    </row>
    <row r="97" spans="1:22">
      <c r="A97" t="s">
        <v>1793</v>
      </c>
      <c r="B97" t="s">
        <v>5801</v>
      </c>
      <c r="C97" t="s">
        <v>5910</v>
      </c>
      <c r="D97">
        <v>6</v>
      </c>
      <c r="E97">
        <v>4.5</v>
      </c>
      <c r="F97" t="s">
        <v>5812</v>
      </c>
      <c r="G97" t="s">
        <v>5799</v>
      </c>
      <c r="H97">
        <v>3</v>
      </c>
      <c r="I97">
        <v>-10</v>
      </c>
      <c r="J97">
        <v>0</v>
      </c>
      <c r="K97">
        <v>-3</v>
      </c>
      <c r="L97">
        <v>-4</v>
      </c>
      <c r="M97">
        <v>12</v>
      </c>
      <c r="N97">
        <v>7</v>
      </c>
      <c r="O97">
        <v>0.6</v>
      </c>
      <c r="P97">
        <v>4</v>
      </c>
      <c r="Q97" t="s">
        <v>5804</v>
      </c>
      <c r="R97">
        <v>18</v>
      </c>
      <c r="S97">
        <v>7</v>
      </c>
      <c r="T97">
        <v>10</v>
      </c>
      <c r="U97">
        <v>0.7</v>
      </c>
      <c r="V97">
        <v>4</v>
      </c>
    </row>
    <row r="98" spans="1:22">
      <c r="A98" t="s">
        <v>1793</v>
      </c>
      <c r="B98" t="s">
        <v>5801</v>
      </c>
      <c r="C98" t="s">
        <v>5911</v>
      </c>
      <c r="D98">
        <v>9</v>
      </c>
      <c r="E98">
        <v>6</v>
      </c>
      <c r="F98" t="s">
        <v>5912</v>
      </c>
      <c r="G98" t="s">
        <v>5799</v>
      </c>
      <c r="H98">
        <v>3</v>
      </c>
      <c r="I98">
        <v>-10</v>
      </c>
      <c r="J98">
        <v>0</v>
      </c>
      <c r="K98">
        <v>-5</v>
      </c>
      <c r="L98">
        <v>-4</v>
      </c>
      <c r="M98">
        <v>19</v>
      </c>
      <c r="N98">
        <v>12</v>
      </c>
      <c r="O98">
        <v>0.9</v>
      </c>
      <c r="P98">
        <v>0</v>
      </c>
      <c r="Q98" t="s">
        <v>5804</v>
      </c>
      <c r="R98">
        <v>18</v>
      </c>
      <c r="S98">
        <v>7</v>
      </c>
      <c r="T98">
        <v>8</v>
      </c>
      <c r="U98">
        <v>1.2</v>
      </c>
      <c r="V98">
        <v>4</v>
      </c>
    </row>
    <row r="99" spans="1:22">
      <c r="A99" t="s">
        <v>1793</v>
      </c>
      <c r="B99" t="s">
        <v>5810</v>
      </c>
      <c r="C99" t="s">
        <v>5913</v>
      </c>
      <c r="D99">
        <v>13</v>
      </c>
      <c r="E99">
        <v>7</v>
      </c>
      <c r="F99" t="s">
        <v>5799</v>
      </c>
      <c r="G99" t="s">
        <v>5799</v>
      </c>
      <c r="H99">
        <v>2</v>
      </c>
      <c r="I99">
        <v>-11</v>
      </c>
      <c r="J99">
        <v>0</v>
      </c>
      <c r="K99">
        <v>-7</v>
      </c>
      <c r="L99">
        <v>-7</v>
      </c>
      <c r="M99">
        <v>28</v>
      </c>
      <c r="N99">
        <v>16</v>
      </c>
      <c r="O99">
        <v>1.4</v>
      </c>
      <c r="P99" t="s">
        <v>5813</v>
      </c>
      <c r="Q99" t="s">
        <v>5804</v>
      </c>
      <c r="R99">
        <v>19</v>
      </c>
      <c r="S99">
        <v>9</v>
      </c>
      <c r="T99">
        <v>9</v>
      </c>
      <c r="U99">
        <v>1.4</v>
      </c>
      <c r="V99">
        <v>5</v>
      </c>
    </row>
    <row r="100" spans="1:22">
      <c r="A100" t="s">
        <v>1793</v>
      </c>
      <c r="B100" t="s">
        <v>5810</v>
      </c>
      <c r="C100" t="s">
        <v>5914</v>
      </c>
      <c r="D100">
        <v>13</v>
      </c>
      <c r="E100">
        <v>7</v>
      </c>
      <c r="F100" t="s">
        <v>5897</v>
      </c>
      <c r="H100">
        <v>2</v>
      </c>
      <c r="I100">
        <v>-11</v>
      </c>
      <c r="J100">
        <v>4</v>
      </c>
      <c r="K100">
        <v>-7</v>
      </c>
      <c r="L100">
        <v>-7</v>
      </c>
      <c r="M100">
        <v>28</v>
      </c>
      <c r="N100">
        <v>16</v>
      </c>
      <c r="O100">
        <v>1.4</v>
      </c>
      <c r="P100" t="s">
        <v>5813</v>
      </c>
      <c r="Q100" t="s">
        <v>5804</v>
      </c>
      <c r="R100">
        <v>19</v>
      </c>
      <c r="S100">
        <v>9</v>
      </c>
      <c r="T100">
        <v>9</v>
      </c>
      <c r="U100">
        <v>1.4</v>
      </c>
      <c r="V100">
        <v>5</v>
      </c>
    </row>
    <row r="101" spans="1:22">
      <c r="A101" t="s">
        <v>1797</v>
      </c>
      <c r="B101" t="s">
        <v>5825</v>
      </c>
      <c r="C101" t="s">
        <v>5915</v>
      </c>
      <c r="D101">
        <v>19</v>
      </c>
      <c r="E101">
        <v>6</v>
      </c>
      <c r="F101" t="s">
        <v>5803</v>
      </c>
      <c r="G101" t="s">
        <v>5816</v>
      </c>
      <c r="H101">
        <v>2</v>
      </c>
      <c r="I101">
        <v>-11</v>
      </c>
      <c r="J101">
        <v>0</v>
      </c>
      <c r="K101">
        <v>-7</v>
      </c>
      <c r="L101">
        <v>-7</v>
      </c>
      <c r="M101">
        <v>20</v>
      </c>
      <c r="N101">
        <v>10</v>
      </c>
      <c r="O101">
        <v>2</v>
      </c>
      <c r="P101" t="s">
        <v>5813</v>
      </c>
      <c r="Q101" t="s">
        <v>5804</v>
      </c>
      <c r="R101">
        <v>12</v>
      </c>
      <c r="S101">
        <v>6</v>
      </c>
      <c r="T101">
        <v>14</v>
      </c>
      <c r="U101">
        <v>1.7</v>
      </c>
      <c r="V101">
        <v>1.5</v>
      </c>
    </row>
    <row r="102" spans="1:22">
      <c r="A102" t="s">
        <v>1797</v>
      </c>
      <c r="B102" t="s">
        <v>5822</v>
      </c>
      <c r="C102" t="s">
        <v>5916</v>
      </c>
      <c r="D102">
        <v>14</v>
      </c>
      <c r="E102">
        <v>6</v>
      </c>
      <c r="F102" t="s">
        <v>5819</v>
      </c>
      <c r="G102" t="s">
        <v>5795</v>
      </c>
      <c r="H102">
        <v>2</v>
      </c>
      <c r="I102">
        <v>-11</v>
      </c>
      <c r="J102">
        <v>0</v>
      </c>
      <c r="K102">
        <v>-5</v>
      </c>
      <c r="L102">
        <v>-5</v>
      </c>
      <c r="M102">
        <v>19</v>
      </c>
      <c r="N102">
        <v>9</v>
      </c>
      <c r="O102">
        <v>1.3</v>
      </c>
      <c r="P102" t="s">
        <v>5813</v>
      </c>
      <c r="Q102" t="s">
        <v>5804</v>
      </c>
      <c r="R102">
        <v>11</v>
      </c>
      <c r="S102">
        <v>6</v>
      </c>
      <c r="T102">
        <v>14</v>
      </c>
      <c r="U102">
        <v>1.7</v>
      </c>
      <c r="V102">
        <v>1.5</v>
      </c>
    </row>
    <row r="103" spans="1:22">
      <c r="A103" t="s">
        <v>1793</v>
      </c>
      <c r="B103" t="s">
        <v>5855</v>
      </c>
      <c r="C103" t="s">
        <v>5917</v>
      </c>
      <c r="D103">
        <v>8</v>
      </c>
      <c r="E103">
        <v>5</v>
      </c>
      <c r="F103" t="s">
        <v>5820</v>
      </c>
      <c r="G103" t="s">
        <v>5816</v>
      </c>
      <c r="H103">
        <v>3</v>
      </c>
      <c r="I103">
        <v>-5</v>
      </c>
      <c r="J103">
        <v>4</v>
      </c>
      <c r="K103">
        <v>-4</v>
      </c>
      <c r="L103">
        <v>-4</v>
      </c>
      <c r="M103">
        <v>11</v>
      </c>
      <c r="N103">
        <v>8</v>
      </c>
      <c r="O103">
        <v>0.75</v>
      </c>
      <c r="P103">
        <v>1</v>
      </c>
      <c r="Q103" t="s">
        <v>5804</v>
      </c>
      <c r="R103">
        <v>16</v>
      </c>
      <c r="S103">
        <v>8</v>
      </c>
      <c r="T103">
        <v>15</v>
      </c>
      <c r="U103">
        <v>1.5</v>
      </c>
      <c r="V103">
        <v>3.5</v>
      </c>
    </row>
    <row r="104" spans="1:22">
      <c r="A104" t="s">
        <v>1799</v>
      </c>
      <c r="B104" t="s">
        <v>5831</v>
      </c>
      <c r="C104" t="s">
        <v>5918</v>
      </c>
      <c r="D104">
        <v>5</v>
      </c>
      <c r="E104">
        <v>3.5</v>
      </c>
      <c r="F104" t="s">
        <v>5799</v>
      </c>
      <c r="G104" t="s">
        <v>5795</v>
      </c>
      <c r="H104">
        <v>4</v>
      </c>
      <c r="I104">
        <v>-5</v>
      </c>
      <c r="J104">
        <v>0</v>
      </c>
      <c r="K104">
        <v>-2</v>
      </c>
      <c r="L104">
        <v>-6</v>
      </c>
      <c r="M104">
        <v>7</v>
      </c>
      <c r="N104">
        <v>5</v>
      </c>
      <c r="O104">
        <v>0.5</v>
      </c>
      <c r="P104">
        <v>5</v>
      </c>
      <c r="R104">
        <v>13</v>
      </c>
      <c r="S104">
        <v>18</v>
      </c>
      <c r="T104">
        <v>6</v>
      </c>
      <c r="U104">
        <v>0.4</v>
      </c>
      <c r="V104">
        <v>1</v>
      </c>
    </row>
    <row r="105" spans="1:22">
      <c r="A105" t="s">
        <v>1795</v>
      </c>
      <c r="B105" t="s">
        <v>5870</v>
      </c>
      <c r="C105" t="s">
        <v>5919</v>
      </c>
      <c r="D105">
        <v>6</v>
      </c>
      <c r="E105">
        <v>3.5</v>
      </c>
      <c r="F105" t="s">
        <v>5816</v>
      </c>
      <c r="G105" t="s">
        <v>5816</v>
      </c>
      <c r="H105">
        <v>3</v>
      </c>
      <c r="I105">
        <v>-4</v>
      </c>
      <c r="J105">
        <v>0</v>
      </c>
      <c r="K105">
        <v>-3</v>
      </c>
      <c r="L105">
        <v>-3</v>
      </c>
      <c r="M105">
        <v>9</v>
      </c>
      <c r="N105">
        <v>6</v>
      </c>
      <c r="O105">
        <v>0.6</v>
      </c>
      <c r="P105">
        <v>2</v>
      </c>
      <c r="R105">
        <v>14</v>
      </c>
      <c r="S105">
        <v>15</v>
      </c>
      <c r="T105">
        <v>11</v>
      </c>
      <c r="U105">
        <v>0.6</v>
      </c>
      <c r="V105">
        <v>4</v>
      </c>
    </row>
    <row r="106" spans="1:22">
      <c r="A106" t="s">
        <v>1795</v>
      </c>
      <c r="B106" t="s">
        <v>5814</v>
      </c>
      <c r="C106" t="s">
        <v>5920</v>
      </c>
      <c r="D106">
        <v>8</v>
      </c>
      <c r="E106">
        <v>5</v>
      </c>
      <c r="F106" t="s">
        <v>5794</v>
      </c>
      <c r="G106" t="s">
        <v>5794</v>
      </c>
      <c r="H106">
        <v>2</v>
      </c>
      <c r="I106">
        <v>-6</v>
      </c>
      <c r="J106">
        <v>0</v>
      </c>
      <c r="K106">
        <v>-4</v>
      </c>
      <c r="L106">
        <v>-3</v>
      </c>
      <c r="M106">
        <v>13</v>
      </c>
      <c r="N106">
        <v>9</v>
      </c>
      <c r="O106">
        <v>0.85</v>
      </c>
      <c r="P106">
        <v>0</v>
      </c>
      <c r="R106">
        <v>15</v>
      </c>
      <c r="S106">
        <v>16</v>
      </c>
      <c r="T106">
        <v>13</v>
      </c>
      <c r="U106">
        <v>1</v>
      </c>
      <c r="V106">
        <v>4</v>
      </c>
    </row>
    <row r="107" spans="1:22">
      <c r="A107" t="s">
        <v>1795</v>
      </c>
      <c r="B107" t="s">
        <v>5814</v>
      </c>
      <c r="C107" t="s">
        <v>5921</v>
      </c>
      <c r="D107">
        <v>11</v>
      </c>
      <c r="E107">
        <v>4</v>
      </c>
      <c r="F107" t="s">
        <v>5794</v>
      </c>
      <c r="G107" t="s">
        <v>5795</v>
      </c>
      <c r="H107">
        <v>4</v>
      </c>
      <c r="I107">
        <v>-2</v>
      </c>
      <c r="J107">
        <v>0</v>
      </c>
      <c r="K107">
        <v>-3</v>
      </c>
      <c r="L107">
        <v>-3</v>
      </c>
      <c r="M107">
        <v>10</v>
      </c>
      <c r="N107">
        <v>6</v>
      </c>
      <c r="O107">
        <v>1.05</v>
      </c>
      <c r="P107">
        <v>1</v>
      </c>
      <c r="R107">
        <v>12</v>
      </c>
      <c r="S107">
        <v>14</v>
      </c>
      <c r="T107">
        <v>16</v>
      </c>
      <c r="U107">
        <v>1</v>
      </c>
      <c r="V107">
        <v>4</v>
      </c>
    </row>
    <row r="108" spans="1:22">
      <c r="A108" t="s">
        <v>1801</v>
      </c>
      <c r="B108" t="s">
        <v>5846</v>
      </c>
      <c r="C108" t="s">
        <v>5922</v>
      </c>
      <c r="D108">
        <v>28</v>
      </c>
      <c r="E108">
        <v>4</v>
      </c>
      <c r="F108" t="s">
        <v>5816</v>
      </c>
      <c r="G108" t="s">
        <v>5800</v>
      </c>
      <c r="H108">
        <v>7</v>
      </c>
      <c r="I108">
        <v>-2</v>
      </c>
      <c r="J108">
        <v>0</v>
      </c>
      <c r="K108">
        <v>-6</v>
      </c>
      <c r="L108">
        <v>-15</v>
      </c>
      <c r="M108">
        <v>9</v>
      </c>
      <c r="N108">
        <v>6</v>
      </c>
      <c r="O108">
        <v>3</v>
      </c>
      <c r="P108">
        <v>8</v>
      </c>
      <c r="R108">
        <v>2</v>
      </c>
      <c r="S108">
        <v>7</v>
      </c>
      <c r="T108">
        <v>6</v>
      </c>
      <c r="U108">
        <v>0.2</v>
      </c>
      <c r="V108">
        <v>1</v>
      </c>
    </row>
    <row r="109" spans="1:22">
      <c r="A109" t="s">
        <v>1795</v>
      </c>
      <c r="B109" t="s">
        <v>5870</v>
      </c>
      <c r="C109" t="s">
        <v>5923</v>
      </c>
      <c r="D109">
        <v>7</v>
      </c>
      <c r="E109">
        <v>3.5</v>
      </c>
      <c r="F109" t="s">
        <v>5816</v>
      </c>
      <c r="G109" t="s">
        <v>5795</v>
      </c>
      <c r="H109">
        <v>4</v>
      </c>
      <c r="I109">
        <v>-3</v>
      </c>
      <c r="J109">
        <v>0</v>
      </c>
      <c r="K109">
        <v>-2</v>
      </c>
      <c r="L109">
        <v>-3</v>
      </c>
      <c r="M109">
        <v>7</v>
      </c>
      <c r="N109">
        <v>5</v>
      </c>
      <c r="O109">
        <v>0.65</v>
      </c>
      <c r="P109">
        <v>3</v>
      </c>
      <c r="R109">
        <v>14</v>
      </c>
      <c r="S109">
        <v>15</v>
      </c>
      <c r="T109">
        <v>11</v>
      </c>
      <c r="U109">
        <v>0.6</v>
      </c>
      <c r="V109">
        <v>3</v>
      </c>
    </row>
    <row r="110" spans="1:22">
      <c r="A110" t="s">
        <v>1799</v>
      </c>
      <c r="B110" t="s">
        <v>5797</v>
      </c>
      <c r="C110" t="s">
        <v>5924</v>
      </c>
      <c r="D110">
        <v>7</v>
      </c>
      <c r="E110">
        <v>4.5</v>
      </c>
      <c r="F110" t="s">
        <v>5799</v>
      </c>
      <c r="G110" t="s">
        <v>5795</v>
      </c>
      <c r="H110">
        <v>3</v>
      </c>
      <c r="I110">
        <v>-5</v>
      </c>
      <c r="J110">
        <v>0</v>
      </c>
      <c r="K110">
        <v>-3</v>
      </c>
      <c r="L110">
        <v>-4</v>
      </c>
      <c r="M110">
        <v>9</v>
      </c>
      <c r="N110">
        <v>6</v>
      </c>
      <c r="O110">
        <v>0.75</v>
      </c>
      <c r="P110">
        <v>3</v>
      </c>
      <c r="R110">
        <v>15</v>
      </c>
      <c r="S110">
        <v>15</v>
      </c>
      <c r="T110">
        <v>10</v>
      </c>
      <c r="U110">
        <v>0.75</v>
      </c>
      <c r="V110">
        <v>3</v>
      </c>
    </row>
    <row r="111" spans="1:22">
      <c r="A111" t="s">
        <v>1795</v>
      </c>
      <c r="B111" t="s">
        <v>5870</v>
      </c>
      <c r="C111" t="s">
        <v>5924</v>
      </c>
      <c r="D111">
        <v>7</v>
      </c>
      <c r="E111">
        <v>4.5</v>
      </c>
      <c r="F111" t="s">
        <v>5799</v>
      </c>
      <c r="G111" t="s">
        <v>5795</v>
      </c>
      <c r="H111">
        <v>3</v>
      </c>
      <c r="I111">
        <v>-5</v>
      </c>
      <c r="J111">
        <v>0</v>
      </c>
      <c r="K111">
        <v>-3</v>
      </c>
      <c r="L111">
        <v>-4</v>
      </c>
      <c r="M111">
        <v>9</v>
      </c>
      <c r="N111">
        <v>6</v>
      </c>
      <c r="O111">
        <v>0.75</v>
      </c>
      <c r="P111">
        <v>3</v>
      </c>
      <c r="R111">
        <v>15</v>
      </c>
      <c r="S111">
        <v>15</v>
      </c>
      <c r="T111">
        <v>10</v>
      </c>
      <c r="U111">
        <v>0.75</v>
      </c>
      <c r="V111">
        <v>3</v>
      </c>
    </row>
    <row r="112" spans="1:22">
      <c r="A112" t="s">
        <v>1797</v>
      </c>
      <c r="B112" t="s">
        <v>5806</v>
      </c>
      <c r="C112" t="s">
        <v>5925</v>
      </c>
      <c r="D112">
        <v>13</v>
      </c>
      <c r="E112">
        <v>3</v>
      </c>
      <c r="F112" t="s">
        <v>5799</v>
      </c>
      <c r="G112" t="s">
        <v>5800</v>
      </c>
      <c r="H112">
        <v>4</v>
      </c>
      <c r="I112">
        <v>-4</v>
      </c>
      <c r="J112">
        <v>0</v>
      </c>
      <c r="K112">
        <v>-5</v>
      </c>
      <c r="L112">
        <v>-5</v>
      </c>
      <c r="M112">
        <v>7</v>
      </c>
      <c r="N112">
        <v>4</v>
      </c>
      <c r="O112">
        <v>1.2</v>
      </c>
      <c r="P112">
        <v>0</v>
      </c>
      <c r="Q112" t="s">
        <v>5804</v>
      </c>
      <c r="R112">
        <v>3</v>
      </c>
      <c r="S112">
        <v>7</v>
      </c>
      <c r="T112">
        <v>3</v>
      </c>
      <c r="U112">
        <v>0.5</v>
      </c>
      <c r="V112">
        <v>0.5</v>
      </c>
    </row>
    <row r="113" spans="1:22">
      <c r="A113" t="s">
        <v>1793</v>
      </c>
      <c r="B113" t="s">
        <v>5810</v>
      </c>
      <c r="C113" t="s">
        <v>5926</v>
      </c>
      <c r="D113">
        <v>15</v>
      </c>
      <c r="E113">
        <v>7</v>
      </c>
      <c r="F113" t="s">
        <v>5803</v>
      </c>
      <c r="G113" t="s">
        <v>5820</v>
      </c>
      <c r="H113">
        <v>2</v>
      </c>
      <c r="I113">
        <v>-10</v>
      </c>
      <c r="J113">
        <v>0</v>
      </c>
      <c r="K113">
        <v>-6</v>
      </c>
      <c r="L113">
        <v>-7</v>
      </c>
      <c r="M113">
        <v>26</v>
      </c>
      <c r="N113">
        <v>13</v>
      </c>
      <c r="O113">
        <v>1.65</v>
      </c>
      <c r="P113" t="s">
        <v>5813</v>
      </c>
      <c r="Q113" t="s">
        <v>5804</v>
      </c>
      <c r="R113">
        <v>18</v>
      </c>
      <c r="S113">
        <v>6</v>
      </c>
      <c r="T113">
        <v>8</v>
      </c>
      <c r="U113">
        <v>1.9</v>
      </c>
      <c r="V113">
        <v>1.5</v>
      </c>
    </row>
    <row r="114" spans="1:22">
      <c r="A114" t="s">
        <v>1797</v>
      </c>
      <c r="B114" t="s">
        <v>5825</v>
      </c>
      <c r="C114" t="s">
        <v>5926</v>
      </c>
      <c r="D114">
        <v>15</v>
      </c>
      <c r="E114">
        <v>7</v>
      </c>
      <c r="F114" t="s">
        <v>5803</v>
      </c>
      <c r="G114" t="s">
        <v>5820</v>
      </c>
      <c r="H114">
        <v>2</v>
      </c>
      <c r="I114">
        <v>-10</v>
      </c>
      <c r="J114">
        <v>0</v>
      </c>
      <c r="K114">
        <v>-6</v>
      </c>
      <c r="L114">
        <v>-7</v>
      </c>
      <c r="M114">
        <v>26</v>
      </c>
      <c r="N114">
        <v>13</v>
      </c>
      <c r="O114">
        <v>1.65</v>
      </c>
      <c r="P114" t="s">
        <v>5813</v>
      </c>
      <c r="Q114" t="s">
        <v>5804</v>
      </c>
      <c r="R114">
        <v>18</v>
      </c>
      <c r="S114">
        <v>6</v>
      </c>
      <c r="T114">
        <v>8</v>
      </c>
      <c r="U114">
        <v>1.9</v>
      </c>
      <c r="V114">
        <v>1.5</v>
      </c>
    </row>
    <row r="115" spans="1:22">
      <c r="A115" t="s">
        <v>1793</v>
      </c>
      <c r="B115" t="s">
        <v>5810</v>
      </c>
      <c r="C115" t="s">
        <v>5927</v>
      </c>
      <c r="D115">
        <v>16</v>
      </c>
      <c r="E115">
        <v>7.5</v>
      </c>
      <c r="F115" t="s">
        <v>5803</v>
      </c>
      <c r="G115" t="s">
        <v>5820</v>
      </c>
      <c r="H115">
        <v>2</v>
      </c>
      <c r="I115">
        <v>-10</v>
      </c>
      <c r="J115">
        <v>0</v>
      </c>
      <c r="K115">
        <v>-7</v>
      </c>
      <c r="L115">
        <v>-6</v>
      </c>
      <c r="M115">
        <v>29</v>
      </c>
      <c r="N115">
        <v>16</v>
      </c>
      <c r="O115">
        <v>1.8</v>
      </c>
      <c r="P115" t="s">
        <v>5813</v>
      </c>
      <c r="Q115" t="s">
        <v>5804</v>
      </c>
      <c r="R115">
        <v>19</v>
      </c>
      <c r="S115">
        <v>7</v>
      </c>
      <c r="T115">
        <v>18</v>
      </c>
      <c r="U115">
        <v>2.2000000000000002</v>
      </c>
      <c r="V115">
        <v>2.25</v>
      </c>
    </row>
    <row r="116" spans="1:22">
      <c r="A116" t="s">
        <v>1797</v>
      </c>
      <c r="B116" t="s">
        <v>5825</v>
      </c>
      <c r="C116" t="s">
        <v>5927</v>
      </c>
      <c r="D116">
        <v>16</v>
      </c>
      <c r="E116">
        <v>7.5</v>
      </c>
      <c r="F116" t="s">
        <v>5803</v>
      </c>
      <c r="G116" t="s">
        <v>5820</v>
      </c>
      <c r="H116">
        <v>2</v>
      </c>
      <c r="I116">
        <v>-10</v>
      </c>
      <c r="J116">
        <v>0</v>
      </c>
      <c r="K116">
        <v>-7</v>
      </c>
      <c r="L116">
        <v>-6</v>
      </c>
      <c r="M116">
        <v>29</v>
      </c>
      <c r="N116">
        <v>16</v>
      </c>
      <c r="O116">
        <v>1.8</v>
      </c>
      <c r="P116" t="s">
        <v>5813</v>
      </c>
      <c r="Q116" t="s">
        <v>5804</v>
      </c>
      <c r="R116">
        <v>19</v>
      </c>
      <c r="S116">
        <v>7</v>
      </c>
      <c r="T116">
        <v>18</v>
      </c>
      <c r="U116">
        <v>2.2000000000000002</v>
      </c>
      <c r="V116">
        <v>2.25</v>
      </c>
    </row>
    <row r="117" spans="1:22">
      <c r="A117" t="s">
        <v>1799</v>
      </c>
      <c r="B117" t="s">
        <v>5831</v>
      </c>
      <c r="C117" t="s">
        <v>5928</v>
      </c>
      <c r="D117">
        <v>4</v>
      </c>
      <c r="E117">
        <v>3</v>
      </c>
      <c r="F117" t="s">
        <v>5819</v>
      </c>
      <c r="H117">
        <v>6</v>
      </c>
      <c r="I117">
        <v>-3</v>
      </c>
      <c r="J117">
        <v>0</v>
      </c>
      <c r="K117">
        <v>-1</v>
      </c>
      <c r="L117">
        <v>-5</v>
      </c>
      <c r="M117">
        <v>7</v>
      </c>
      <c r="N117">
        <v>5</v>
      </c>
      <c r="O117">
        <v>0.4</v>
      </c>
      <c r="P117">
        <v>6</v>
      </c>
      <c r="R117">
        <v>14</v>
      </c>
      <c r="S117">
        <v>15</v>
      </c>
      <c r="T117">
        <v>6</v>
      </c>
      <c r="U117">
        <v>0.4</v>
      </c>
      <c r="V117">
        <v>1</v>
      </c>
    </row>
    <row r="118" spans="1:22">
      <c r="A118" t="s">
        <v>1795</v>
      </c>
      <c r="B118" t="s">
        <v>5814</v>
      </c>
      <c r="C118" t="s">
        <v>5929</v>
      </c>
      <c r="D118">
        <v>11</v>
      </c>
      <c r="E118">
        <v>5</v>
      </c>
      <c r="F118" t="s">
        <v>5799</v>
      </c>
      <c r="G118" t="s">
        <v>5816</v>
      </c>
      <c r="H118">
        <v>3</v>
      </c>
      <c r="I118">
        <v>-5</v>
      </c>
      <c r="J118">
        <v>0</v>
      </c>
      <c r="K118">
        <v>-4</v>
      </c>
      <c r="L118">
        <v>-3</v>
      </c>
      <c r="M118">
        <v>12</v>
      </c>
      <c r="N118">
        <v>9</v>
      </c>
      <c r="O118">
        <v>1.1000000000000001</v>
      </c>
      <c r="P118">
        <v>1</v>
      </c>
      <c r="R118">
        <v>15</v>
      </c>
      <c r="S118">
        <v>14</v>
      </c>
      <c r="T118">
        <v>15</v>
      </c>
      <c r="U118">
        <v>1</v>
      </c>
      <c r="V118">
        <v>4</v>
      </c>
    </row>
    <row r="119" spans="1:22">
      <c r="A119" t="s">
        <v>1797</v>
      </c>
      <c r="B119" t="s">
        <v>5930</v>
      </c>
      <c r="C119" t="s">
        <v>5931</v>
      </c>
      <c r="D119">
        <v>27</v>
      </c>
      <c r="E119">
        <v>4</v>
      </c>
      <c r="F119" t="s">
        <v>5819</v>
      </c>
      <c r="G119" t="s">
        <v>5795</v>
      </c>
      <c r="H119">
        <v>4</v>
      </c>
      <c r="I119">
        <v>-6</v>
      </c>
      <c r="J119">
        <v>0</v>
      </c>
      <c r="K119">
        <v>-5</v>
      </c>
      <c r="L119">
        <v>-6</v>
      </c>
      <c r="M119">
        <v>17</v>
      </c>
      <c r="N119">
        <v>11</v>
      </c>
      <c r="O119">
        <v>2.5</v>
      </c>
      <c r="P119" t="s">
        <v>5813</v>
      </c>
      <c r="Q119" t="s">
        <v>5804</v>
      </c>
      <c r="R119">
        <v>5</v>
      </c>
      <c r="S119">
        <v>8</v>
      </c>
      <c r="T119">
        <v>3</v>
      </c>
      <c r="U119">
        <v>1</v>
      </c>
      <c r="V119">
        <v>4</v>
      </c>
    </row>
    <row r="120" spans="1:22">
      <c r="A120" t="s">
        <v>1797</v>
      </c>
      <c r="B120" t="s">
        <v>5930</v>
      </c>
      <c r="C120" t="s">
        <v>5932</v>
      </c>
      <c r="D120">
        <v>32</v>
      </c>
      <c r="E120">
        <v>4</v>
      </c>
      <c r="F120" t="s">
        <v>5819</v>
      </c>
      <c r="G120" t="s">
        <v>5800</v>
      </c>
      <c r="H120">
        <v>4</v>
      </c>
      <c r="I120">
        <v>-6</v>
      </c>
      <c r="J120">
        <v>0</v>
      </c>
      <c r="K120">
        <v>-5</v>
      </c>
      <c r="L120">
        <v>-7</v>
      </c>
      <c r="M120">
        <v>19</v>
      </c>
      <c r="N120">
        <v>12</v>
      </c>
      <c r="O120">
        <v>3</v>
      </c>
      <c r="P120" t="s">
        <v>5813</v>
      </c>
      <c r="Q120" t="s">
        <v>5804</v>
      </c>
      <c r="R120">
        <v>5</v>
      </c>
      <c r="S120">
        <v>9</v>
      </c>
      <c r="T120">
        <v>3</v>
      </c>
      <c r="U120">
        <v>1</v>
      </c>
      <c r="V120">
        <v>4</v>
      </c>
    </row>
    <row r="121" spans="1:22">
      <c r="A121" t="s">
        <v>1793</v>
      </c>
      <c r="B121" t="s">
        <v>5855</v>
      </c>
      <c r="C121" t="s">
        <v>5933</v>
      </c>
      <c r="D121">
        <v>12</v>
      </c>
      <c r="E121">
        <v>4.5</v>
      </c>
      <c r="F121" t="s">
        <v>5816</v>
      </c>
      <c r="G121" t="s">
        <v>5816</v>
      </c>
      <c r="H121">
        <v>4</v>
      </c>
      <c r="I121">
        <v>-5</v>
      </c>
      <c r="J121">
        <v>0</v>
      </c>
      <c r="K121">
        <v>-4</v>
      </c>
      <c r="L121">
        <v>-3</v>
      </c>
      <c r="M121">
        <v>10</v>
      </c>
      <c r="N121">
        <v>8</v>
      </c>
      <c r="O121">
        <v>1.2</v>
      </c>
      <c r="P121">
        <v>1</v>
      </c>
      <c r="Q121" t="s">
        <v>5804</v>
      </c>
      <c r="R121">
        <v>15</v>
      </c>
      <c r="S121">
        <v>7</v>
      </c>
      <c r="T121">
        <v>9</v>
      </c>
      <c r="U121">
        <v>1.4</v>
      </c>
      <c r="V121">
        <v>5</v>
      </c>
    </row>
    <row r="122" spans="1:22">
      <c r="A122" t="s">
        <v>1793</v>
      </c>
      <c r="B122" t="s">
        <v>5855</v>
      </c>
      <c r="C122" t="s">
        <v>5934</v>
      </c>
      <c r="D122">
        <v>12</v>
      </c>
      <c r="E122">
        <v>4.5</v>
      </c>
      <c r="F122" t="s">
        <v>5803</v>
      </c>
      <c r="G122" t="s">
        <v>5816</v>
      </c>
      <c r="H122">
        <v>4</v>
      </c>
      <c r="I122">
        <v>-5</v>
      </c>
      <c r="J122">
        <v>3</v>
      </c>
      <c r="K122">
        <v>-4</v>
      </c>
      <c r="L122">
        <v>-3</v>
      </c>
      <c r="M122">
        <v>10</v>
      </c>
      <c r="N122">
        <v>8</v>
      </c>
      <c r="O122">
        <v>1.2</v>
      </c>
      <c r="P122">
        <v>1</v>
      </c>
      <c r="Q122" t="s">
        <v>5804</v>
      </c>
      <c r="R122">
        <v>15</v>
      </c>
      <c r="S122">
        <v>7</v>
      </c>
      <c r="T122">
        <v>9</v>
      </c>
      <c r="U122">
        <v>1.4</v>
      </c>
      <c r="V122">
        <v>5</v>
      </c>
    </row>
    <row r="123" spans="1:22">
      <c r="A123" t="s">
        <v>1799</v>
      </c>
      <c r="B123" t="s">
        <v>5831</v>
      </c>
      <c r="C123" t="s">
        <v>5935</v>
      </c>
      <c r="D123">
        <v>3</v>
      </c>
      <c r="E123">
        <v>2</v>
      </c>
      <c r="F123" t="s">
        <v>5799</v>
      </c>
      <c r="H123">
        <v>6</v>
      </c>
      <c r="I123">
        <v>-2</v>
      </c>
      <c r="J123">
        <v>0</v>
      </c>
      <c r="K123">
        <v>-2</v>
      </c>
      <c r="L123">
        <v>-4</v>
      </c>
      <c r="M123">
        <v>7</v>
      </c>
      <c r="N123">
        <v>5</v>
      </c>
      <c r="O123">
        <v>0.3</v>
      </c>
      <c r="P123">
        <v>7</v>
      </c>
      <c r="R123">
        <v>12</v>
      </c>
      <c r="S123">
        <v>17</v>
      </c>
      <c r="T123">
        <v>5</v>
      </c>
      <c r="U123">
        <v>0.3</v>
      </c>
      <c r="V123">
        <v>1</v>
      </c>
    </row>
    <row r="124" spans="1:22">
      <c r="A124" t="s">
        <v>1795</v>
      </c>
      <c r="B124" t="s">
        <v>5870</v>
      </c>
      <c r="C124" t="s">
        <v>5936</v>
      </c>
      <c r="D124">
        <v>7</v>
      </c>
      <c r="E124">
        <v>3</v>
      </c>
      <c r="F124" t="s">
        <v>5816</v>
      </c>
      <c r="G124" t="s">
        <v>5795</v>
      </c>
      <c r="H124">
        <v>4</v>
      </c>
      <c r="I124">
        <v>-3</v>
      </c>
      <c r="J124">
        <v>0</v>
      </c>
      <c r="K124">
        <v>-2</v>
      </c>
      <c r="L124">
        <v>-4</v>
      </c>
      <c r="M124">
        <v>8</v>
      </c>
      <c r="N124">
        <v>6</v>
      </c>
      <c r="O124">
        <v>0.65</v>
      </c>
      <c r="P124">
        <v>5</v>
      </c>
      <c r="R124">
        <v>14</v>
      </c>
      <c r="S124">
        <v>12</v>
      </c>
      <c r="T124">
        <v>8</v>
      </c>
      <c r="U124">
        <v>0.8</v>
      </c>
      <c r="V124">
        <v>3</v>
      </c>
    </row>
    <row r="125" spans="1:22">
      <c r="A125" t="s">
        <v>1799</v>
      </c>
      <c r="B125" t="s">
        <v>5797</v>
      </c>
      <c r="C125" t="s">
        <v>5937</v>
      </c>
      <c r="D125">
        <v>10</v>
      </c>
      <c r="E125">
        <v>3</v>
      </c>
      <c r="F125" t="s">
        <v>5799</v>
      </c>
      <c r="G125" t="s">
        <v>5800</v>
      </c>
      <c r="H125">
        <v>6</v>
      </c>
      <c r="I125">
        <v>-4</v>
      </c>
      <c r="J125">
        <v>0</v>
      </c>
      <c r="K125">
        <v>-2</v>
      </c>
      <c r="L125">
        <v>-2</v>
      </c>
      <c r="M125">
        <v>6</v>
      </c>
      <c r="N125">
        <v>4</v>
      </c>
      <c r="O125">
        <v>0.9</v>
      </c>
      <c r="P125">
        <v>3</v>
      </c>
      <c r="R125">
        <v>3</v>
      </c>
      <c r="S125">
        <v>12</v>
      </c>
      <c r="T125">
        <v>17</v>
      </c>
      <c r="U125">
        <v>0.75</v>
      </c>
      <c r="V125">
        <v>4</v>
      </c>
    </row>
    <row r="126" spans="1:22">
      <c r="A126" t="s">
        <v>1799</v>
      </c>
      <c r="B126" t="s">
        <v>5831</v>
      </c>
      <c r="C126" t="s">
        <v>5938</v>
      </c>
      <c r="D126">
        <v>3</v>
      </c>
      <c r="E126">
        <v>0</v>
      </c>
      <c r="F126" t="s">
        <v>5794</v>
      </c>
      <c r="H126">
        <v>7</v>
      </c>
      <c r="I126">
        <v>-2</v>
      </c>
      <c r="J126">
        <v>0</v>
      </c>
      <c r="K126">
        <v>-1</v>
      </c>
      <c r="L126">
        <v>-9</v>
      </c>
      <c r="M126">
        <v>2</v>
      </c>
      <c r="O126">
        <v>0.25</v>
      </c>
      <c r="P126">
        <v>12</v>
      </c>
      <c r="R126">
        <v>10</v>
      </c>
      <c r="S126">
        <v>12</v>
      </c>
      <c r="T126">
        <v>4</v>
      </c>
      <c r="U126">
        <v>0.25</v>
      </c>
      <c r="V126">
        <v>1</v>
      </c>
    </row>
    <row r="127" spans="1:22">
      <c r="A127" t="s">
        <v>1801</v>
      </c>
      <c r="B127" t="s">
        <v>5099</v>
      </c>
      <c r="C127" t="s">
        <v>5938</v>
      </c>
      <c r="D127">
        <v>3</v>
      </c>
      <c r="E127">
        <v>0</v>
      </c>
      <c r="F127" t="s">
        <v>5794</v>
      </c>
      <c r="H127">
        <v>7</v>
      </c>
      <c r="I127">
        <v>-2</v>
      </c>
      <c r="J127">
        <v>0</v>
      </c>
      <c r="K127">
        <v>-1</v>
      </c>
      <c r="L127">
        <v>-9</v>
      </c>
      <c r="M127">
        <v>2</v>
      </c>
      <c r="O127">
        <v>0.25</v>
      </c>
      <c r="P127">
        <v>12</v>
      </c>
      <c r="R127">
        <v>10</v>
      </c>
      <c r="S127">
        <v>12</v>
      </c>
      <c r="T127">
        <v>4</v>
      </c>
      <c r="U127">
        <v>0.25</v>
      </c>
      <c r="V127">
        <v>1</v>
      </c>
    </row>
    <row r="128" spans="1:22">
      <c r="A128" t="s">
        <v>1799</v>
      </c>
      <c r="B128" t="s">
        <v>5831</v>
      </c>
      <c r="C128" t="s">
        <v>5939</v>
      </c>
      <c r="D128">
        <v>2</v>
      </c>
      <c r="E128">
        <v>-1</v>
      </c>
      <c r="F128" t="s">
        <v>5816</v>
      </c>
      <c r="H128">
        <v>8</v>
      </c>
      <c r="I128">
        <v>-2</v>
      </c>
      <c r="J128">
        <v>0</v>
      </c>
      <c r="K128">
        <v>-2</v>
      </c>
      <c r="L128">
        <v>-10</v>
      </c>
      <c r="M128">
        <v>1</v>
      </c>
      <c r="O128">
        <v>0.18</v>
      </c>
      <c r="P128">
        <v>15</v>
      </c>
      <c r="R128">
        <v>9</v>
      </c>
      <c r="S128">
        <v>11</v>
      </c>
      <c r="T128">
        <v>4</v>
      </c>
      <c r="U128">
        <v>0.15</v>
      </c>
      <c r="V128">
        <v>0.5</v>
      </c>
    </row>
    <row r="129" spans="1:22">
      <c r="A129" t="s">
        <v>1801</v>
      </c>
      <c r="B129" t="s">
        <v>5099</v>
      </c>
      <c r="C129" t="s">
        <v>5939</v>
      </c>
      <c r="D129">
        <v>2</v>
      </c>
      <c r="E129">
        <v>-1</v>
      </c>
      <c r="F129" t="s">
        <v>5816</v>
      </c>
      <c r="H129">
        <v>8</v>
      </c>
      <c r="I129">
        <v>-2</v>
      </c>
      <c r="J129">
        <v>0</v>
      </c>
      <c r="K129">
        <v>-2</v>
      </c>
      <c r="L129">
        <v>-10</v>
      </c>
      <c r="M129">
        <v>1</v>
      </c>
      <c r="O129">
        <v>0.18</v>
      </c>
      <c r="P129">
        <v>15</v>
      </c>
      <c r="R129">
        <v>9</v>
      </c>
      <c r="S129">
        <v>11</v>
      </c>
      <c r="T129">
        <v>4</v>
      </c>
      <c r="U129">
        <v>0.15</v>
      </c>
      <c r="V129">
        <v>0.5</v>
      </c>
    </row>
    <row r="130" spans="1:22">
      <c r="A130" t="s">
        <v>1797</v>
      </c>
      <c r="B130" t="s">
        <v>5806</v>
      </c>
      <c r="C130" t="s">
        <v>5940</v>
      </c>
      <c r="D130">
        <v>12</v>
      </c>
      <c r="E130">
        <v>4</v>
      </c>
      <c r="F130" t="s">
        <v>5794</v>
      </c>
      <c r="G130" t="s">
        <v>5795</v>
      </c>
      <c r="H130">
        <v>3</v>
      </c>
      <c r="I130">
        <v>-6</v>
      </c>
      <c r="J130">
        <v>0</v>
      </c>
      <c r="K130">
        <v>-5</v>
      </c>
      <c r="L130">
        <v>-4</v>
      </c>
      <c r="M130">
        <v>16</v>
      </c>
      <c r="N130">
        <v>6</v>
      </c>
      <c r="O130">
        <v>1.28</v>
      </c>
      <c r="P130" t="s">
        <v>5813</v>
      </c>
      <c r="Q130" t="s">
        <v>5804</v>
      </c>
      <c r="R130">
        <v>9</v>
      </c>
      <c r="S130">
        <v>2</v>
      </c>
      <c r="T130">
        <v>5</v>
      </c>
      <c r="U130">
        <v>0.3</v>
      </c>
      <c r="V130">
        <v>0.25</v>
      </c>
    </row>
    <row r="131" spans="1:22">
      <c r="A131" t="s">
        <v>1793</v>
      </c>
      <c r="B131" t="s">
        <v>5855</v>
      </c>
      <c r="C131" t="s">
        <v>5941</v>
      </c>
      <c r="D131">
        <v>9</v>
      </c>
      <c r="E131">
        <v>5</v>
      </c>
      <c r="F131" t="s">
        <v>5816</v>
      </c>
      <c r="G131" t="s">
        <v>5816</v>
      </c>
      <c r="H131">
        <v>2</v>
      </c>
      <c r="I131">
        <v>-5</v>
      </c>
      <c r="J131">
        <v>3</v>
      </c>
      <c r="K131">
        <v>-4</v>
      </c>
      <c r="L131">
        <v>-5</v>
      </c>
      <c r="M131">
        <v>14</v>
      </c>
      <c r="N131">
        <v>10</v>
      </c>
      <c r="O131">
        <v>0.9</v>
      </c>
      <c r="P131">
        <v>0</v>
      </c>
      <c r="Q131" t="s">
        <v>5804</v>
      </c>
      <c r="R131">
        <v>16</v>
      </c>
      <c r="S131">
        <v>8</v>
      </c>
      <c r="T131">
        <v>5</v>
      </c>
      <c r="U131">
        <v>1</v>
      </c>
      <c r="V131">
        <v>3</v>
      </c>
    </row>
    <row r="132" spans="1:22">
      <c r="A132" t="s">
        <v>1793</v>
      </c>
      <c r="B132" t="s">
        <v>5867</v>
      </c>
      <c r="C132" t="s">
        <v>5942</v>
      </c>
      <c r="D132">
        <v>8</v>
      </c>
      <c r="E132">
        <v>5</v>
      </c>
      <c r="F132" t="s">
        <v>5819</v>
      </c>
      <c r="G132" t="s">
        <v>5800</v>
      </c>
      <c r="H132">
        <v>3</v>
      </c>
      <c r="I132">
        <v>-4</v>
      </c>
      <c r="J132">
        <v>0</v>
      </c>
      <c r="K132">
        <v>-6</v>
      </c>
      <c r="L132">
        <v>-7</v>
      </c>
      <c r="M132">
        <v>14</v>
      </c>
      <c r="N132">
        <v>11</v>
      </c>
      <c r="O132">
        <v>1</v>
      </c>
      <c r="P132">
        <v>0</v>
      </c>
      <c r="Q132" t="s">
        <v>5804</v>
      </c>
      <c r="R132">
        <v>10</v>
      </c>
      <c r="S132">
        <v>7</v>
      </c>
      <c r="T132">
        <v>7</v>
      </c>
      <c r="U132">
        <v>1.25</v>
      </c>
      <c r="V132">
        <v>3</v>
      </c>
    </row>
    <row r="133" spans="1:22">
      <c r="A133" t="s">
        <v>1793</v>
      </c>
      <c r="B133" t="s">
        <v>5867</v>
      </c>
      <c r="C133" t="s">
        <v>5943</v>
      </c>
      <c r="D133">
        <v>7</v>
      </c>
      <c r="E133">
        <v>6</v>
      </c>
      <c r="F133" t="s">
        <v>5803</v>
      </c>
      <c r="G133" t="s">
        <v>5800</v>
      </c>
      <c r="H133">
        <v>2</v>
      </c>
      <c r="I133">
        <v>-9</v>
      </c>
      <c r="J133">
        <v>0</v>
      </c>
      <c r="K133">
        <v>-7</v>
      </c>
      <c r="L133">
        <v>-7</v>
      </c>
      <c r="M133">
        <v>17</v>
      </c>
      <c r="N133">
        <v>13</v>
      </c>
      <c r="O133">
        <v>1</v>
      </c>
      <c r="P133">
        <v>0</v>
      </c>
      <c r="Q133" t="s">
        <v>5804</v>
      </c>
      <c r="R133">
        <v>10</v>
      </c>
      <c r="S133">
        <v>7</v>
      </c>
      <c r="T133">
        <v>7</v>
      </c>
      <c r="U133">
        <v>1.25</v>
      </c>
      <c r="V133">
        <v>3</v>
      </c>
    </row>
    <row r="134" spans="1:22">
      <c r="A134" t="s">
        <v>1793</v>
      </c>
      <c r="B134" t="s">
        <v>5855</v>
      </c>
      <c r="C134" t="s">
        <v>5944</v>
      </c>
      <c r="D134">
        <v>10</v>
      </c>
      <c r="E134">
        <v>2</v>
      </c>
      <c r="F134" t="s">
        <v>5816</v>
      </c>
      <c r="G134" t="s">
        <v>5795</v>
      </c>
      <c r="H134">
        <v>6</v>
      </c>
      <c r="I134">
        <v>-4</v>
      </c>
      <c r="J134">
        <v>0</v>
      </c>
      <c r="K134">
        <v>-3</v>
      </c>
      <c r="L134">
        <v>-5</v>
      </c>
      <c r="M134">
        <v>6</v>
      </c>
      <c r="N134">
        <v>4</v>
      </c>
      <c r="O134">
        <v>1</v>
      </c>
      <c r="P134">
        <v>6</v>
      </c>
      <c r="R134">
        <v>5</v>
      </c>
      <c r="S134">
        <v>5</v>
      </c>
      <c r="T134">
        <v>1</v>
      </c>
      <c r="U134">
        <v>0.4</v>
      </c>
      <c r="V134">
        <v>0.25</v>
      </c>
    </row>
    <row r="135" spans="1:22">
      <c r="A135" t="s">
        <v>1797</v>
      </c>
      <c r="B135" t="s">
        <v>5806</v>
      </c>
      <c r="C135" t="s">
        <v>5945</v>
      </c>
      <c r="D135">
        <v>22</v>
      </c>
      <c r="E135">
        <v>4.5</v>
      </c>
      <c r="F135" t="s">
        <v>5799</v>
      </c>
      <c r="G135" t="s">
        <v>5795</v>
      </c>
      <c r="H135">
        <v>3</v>
      </c>
      <c r="I135">
        <v>-5</v>
      </c>
      <c r="J135">
        <v>0</v>
      </c>
      <c r="K135">
        <v>-4</v>
      </c>
      <c r="L135">
        <v>-3</v>
      </c>
      <c r="M135">
        <v>22</v>
      </c>
      <c r="N135">
        <v>11</v>
      </c>
      <c r="O135">
        <v>2.1</v>
      </c>
      <c r="P135" t="s">
        <v>5813</v>
      </c>
      <c r="Q135" t="s">
        <v>5804</v>
      </c>
      <c r="R135">
        <v>15</v>
      </c>
      <c r="S135">
        <v>7</v>
      </c>
      <c r="T135">
        <v>16</v>
      </c>
      <c r="U135">
        <v>1</v>
      </c>
      <c r="V135">
        <v>4</v>
      </c>
    </row>
    <row r="136" spans="1:22">
      <c r="A136" t="s">
        <v>1801</v>
      </c>
      <c r="B136" t="s">
        <v>5846</v>
      </c>
      <c r="C136" t="s">
        <v>5946</v>
      </c>
      <c r="D136">
        <v>13</v>
      </c>
      <c r="E136">
        <v>4</v>
      </c>
      <c r="F136" t="s">
        <v>5800</v>
      </c>
      <c r="G136" t="s">
        <v>5800</v>
      </c>
      <c r="H136">
        <v>4</v>
      </c>
      <c r="I136">
        <v>-4</v>
      </c>
      <c r="J136">
        <v>0</v>
      </c>
      <c r="K136">
        <v>-7</v>
      </c>
      <c r="L136">
        <v>-15</v>
      </c>
      <c r="M136">
        <v>9</v>
      </c>
      <c r="N136">
        <v>6</v>
      </c>
      <c r="O136">
        <v>1.4</v>
      </c>
      <c r="P136">
        <v>6</v>
      </c>
      <c r="R136">
        <v>0</v>
      </c>
      <c r="S136">
        <v>7</v>
      </c>
      <c r="T136">
        <v>6</v>
      </c>
      <c r="U136">
        <v>0.1</v>
      </c>
      <c r="V136">
        <v>2</v>
      </c>
    </row>
    <row r="137" spans="1:22">
      <c r="A137" t="s">
        <v>1801</v>
      </c>
      <c r="B137" t="s">
        <v>5846</v>
      </c>
      <c r="C137" t="s">
        <v>5947</v>
      </c>
      <c r="D137">
        <v>13</v>
      </c>
      <c r="E137">
        <v>4</v>
      </c>
      <c r="F137" t="s">
        <v>5795</v>
      </c>
      <c r="G137" t="s">
        <v>5795</v>
      </c>
      <c r="H137">
        <v>3</v>
      </c>
      <c r="I137">
        <v>-4</v>
      </c>
      <c r="J137">
        <v>0</v>
      </c>
      <c r="K137">
        <v>-8</v>
      </c>
      <c r="L137">
        <v>-15</v>
      </c>
      <c r="M137">
        <v>11</v>
      </c>
      <c r="N137">
        <v>8</v>
      </c>
      <c r="O137">
        <v>1.4</v>
      </c>
      <c r="P137">
        <v>3</v>
      </c>
      <c r="R137">
        <v>2</v>
      </c>
      <c r="S137">
        <v>7</v>
      </c>
      <c r="T137">
        <v>7</v>
      </c>
      <c r="U137">
        <v>0.2</v>
      </c>
      <c r="V137">
        <v>2</v>
      </c>
    </row>
    <row r="138" spans="1:22">
      <c r="A138" t="s">
        <v>1799</v>
      </c>
      <c r="B138" t="s">
        <v>5797</v>
      </c>
      <c r="C138" t="s">
        <v>5948</v>
      </c>
      <c r="D138">
        <v>8</v>
      </c>
      <c r="E138">
        <v>4</v>
      </c>
      <c r="F138" t="s">
        <v>5799</v>
      </c>
      <c r="G138" t="s">
        <v>5800</v>
      </c>
      <c r="H138">
        <v>4</v>
      </c>
      <c r="I138">
        <v>-4</v>
      </c>
      <c r="J138">
        <v>0</v>
      </c>
      <c r="K138">
        <v>-3</v>
      </c>
      <c r="L138">
        <v>-4</v>
      </c>
      <c r="M138">
        <v>10</v>
      </c>
      <c r="N138">
        <v>8</v>
      </c>
      <c r="O138">
        <v>0.75</v>
      </c>
      <c r="P138">
        <v>3</v>
      </c>
      <c r="R138">
        <v>15</v>
      </c>
      <c r="S138">
        <v>13</v>
      </c>
      <c r="T138">
        <v>10</v>
      </c>
      <c r="U138">
        <v>0.75</v>
      </c>
      <c r="V138">
        <v>3.5</v>
      </c>
    </row>
    <row r="139" spans="1:22">
      <c r="A139" t="s">
        <v>1795</v>
      </c>
      <c r="B139" t="s">
        <v>5870</v>
      </c>
      <c r="C139" t="s">
        <v>5948</v>
      </c>
      <c r="D139">
        <v>8</v>
      </c>
      <c r="E139">
        <v>4</v>
      </c>
      <c r="F139" t="s">
        <v>5799</v>
      </c>
      <c r="G139" t="s">
        <v>5800</v>
      </c>
      <c r="H139">
        <v>4</v>
      </c>
      <c r="I139">
        <v>-4</v>
      </c>
      <c r="J139">
        <v>0</v>
      </c>
      <c r="K139">
        <v>-3</v>
      </c>
      <c r="L139">
        <v>-4</v>
      </c>
      <c r="M139">
        <v>10</v>
      </c>
      <c r="N139">
        <v>8</v>
      </c>
      <c r="O139">
        <v>0.75</v>
      </c>
      <c r="P139">
        <v>3</v>
      </c>
      <c r="R139">
        <v>15</v>
      </c>
      <c r="S139">
        <v>13</v>
      </c>
      <c r="T139">
        <v>10</v>
      </c>
      <c r="U139">
        <v>0.75</v>
      </c>
      <c r="V139">
        <v>3.5</v>
      </c>
    </row>
    <row r="140" spans="1:22">
      <c r="A140" t="s">
        <v>1793</v>
      </c>
      <c r="B140" t="s">
        <v>5867</v>
      </c>
      <c r="C140" t="s">
        <v>5949</v>
      </c>
      <c r="D140">
        <v>8</v>
      </c>
      <c r="E140">
        <v>3</v>
      </c>
      <c r="F140" t="s">
        <v>5816</v>
      </c>
      <c r="G140" t="s">
        <v>5800</v>
      </c>
      <c r="H140">
        <v>4</v>
      </c>
      <c r="I140">
        <v>-3</v>
      </c>
      <c r="J140">
        <v>0</v>
      </c>
      <c r="K140">
        <v>-7</v>
      </c>
      <c r="L140">
        <v>-7</v>
      </c>
      <c r="M140">
        <v>7</v>
      </c>
      <c r="N140">
        <v>6</v>
      </c>
      <c r="O140">
        <v>0.75</v>
      </c>
      <c r="P140">
        <v>6</v>
      </c>
      <c r="Q140" t="s">
        <v>5804</v>
      </c>
      <c r="R140">
        <v>10</v>
      </c>
      <c r="S140">
        <v>5</v>
      </c>
      <c r="T140">
        <v>6</v>
      </c>
      <c r="U140">
        <v>0.5</v>
      </c>
      <c r="V140">
        <v>0.25</v>
      </c>
    </row>
    <row r="141" spans="1:22">
      <c r="A141" t="s">
        <v>1793</v>
      </c>
      <c r="B141" t="s">
        <v>5867</v>
      </c>
      <c r="C141" t="s">
        <v>5950</v>
      </c>
      <c r="D141">
        <v>9</v>
      </c>
      <c r="E141">
        <v>4</v>
      </c>
      <c r="F141" t="s">
        <v>5799</v>
      </c>
      <c r="G141" t="s">
        <v>5816</v>
      </c>
      <c r="H141">
        <v>4</v>
      </c>
      <c r="I141">
        <v>-2</v>
      </c>
      <c r="J141">
        <v>0</v>
      </c>
      <c r="K141">
        <v>-8</v>
      </c>
      <c r="L141">
        <v>-7</v>
      </c>
      <c r="M141">
        <v>15</v>
      </c>
      <c r="N141">
        <v>12</v>
      </c>
      <c r="O141">
        <v>1</v>
      </c>
      <c r="P141" t="s">
        <v>5813</v>
      </c>
      <c r="Q141" t="s">
        <v>5804</v>
      </c>
      <c r="R141">
        <v>10</v>
      </c>
      <c r="S141">
        <v>7</v>
      </c>
      <c r="T141">
        <v>9</v>
      </c>
      <c r="U141">
        <v>1.75</v>
      </c>
      <c r="V141">
        <v>4</v>
      </c>
    </row>
    <row r="142" spans="1:22">
      <c r="A142" t="s">
        <v>1793</v>
      </c>
      <c r="B142" t="s">
        <v>5867</v>
      </c>
      <c r="C142" t="s">
        <v>5951</v>
      </c>
      <c r="D142">
        <v>7</v>
      </c>
      <c r="E142">
        <v>6</v>
      </c>
      <c r="F142" t="s">
        <v>5819</v>
      </c>
      <c r="G142" t="s">
        <v>5816</v>
      </c>
      <c r="H142">
        <v>2</v>
      </c>
      <c r="I142">
        <v>-7</v>
      </c>
      <c r="J142">
        <v>0</v>
      </c>
      <c r="K142">
        <v>-8</v>
      </c>
      <c r="L142">
        <v>-8</v>
      </c>
      <c r="M142">
        <v>18</v>
      </c>
      <c r="N142">
        <v>14</v>
      </c>
      <c r="O142">
        <v>1</v>
      </c>
      <c r="P142" t="s">
        <v>5813</v>
      </c>
      <c r="Q142" t="s">
        <v>5804</v>
      </c>
      <c r="R142">
        <v>10</v>
      </c>
      <c r="S142">
        <v>7</v>
      </c>
      <c r="T142">
        <v>9</v>
      </c>
      <c r="U142">
        <v>2</v>
      </c>
      <c r="V142">
        <v>4</v>
      </c>
    </row>
    <row r="143" spans="1:22">
      <c r="A143" t="s">
        <v>1793</v>
      </c>
      <c r="B143" t="s">
        <v>5867</v>
      </c>
      <c r="C143" t="s">
        <v>5952</v>
      </c>
      <c r="D143">
        <v>8</v>
      </c>
      <c r="E143">
        <v>5</v>
      </c>
      <c r="F143" t="s">
        <v>5819</v>
      </c>
      <c r="G143" t="s">
        <v>5795</v>
      </c>
      <c r="H143">
        <v>3</v>
      </c>
      <c r="I143">
        <v>-5</v>
      </c>
      <c r="J143">
        <v>0</v>
      </c>
      <c r="K143">
        <v>-7</v>
      </c>
      <c r="L143">
        <v>-7</v>
      </c>
      <c r="M143">
        <v>14</v>
      </c>
      <c r="N143">
        <v>11</v>
      </c>
      <c r="O143">
        <v>1</v>
      </c>
      <c r="P143" t="s">
        <v>5813</v>
      </c>
      <c r="Q143" t="s">
        <v>5804</v>
      </c>
      <c r="R143">
        <v>10</v>
      </c>
      <c r="S143">
        <v>7</v>
      </c>
      <c r="T143">
        <v>8</v>
      </c>
      <c r="U143">
        <v>1.5</v>
      </c>
      <c r="V143">
        <v>4</v>
      </c>
    </row>
    <row r="144" spans="1:22">
      <c r="A144" t="s">
        <v>1801</v>
      </c>
      <c r="B144" t="s">
        <v>5793</v>
      </c>
      <c r="C144" t="s">
        <v>5953</v>
      </c>
      <c r="D144">
        <v>1</v>
      </c>
      <c r="E144">
        <v>0</v>
      </c>
      <c r="F144" t="s">
        <v>5794</v>
      </c>
      <c r="G144" t="s">
        <v>5800</v>
      </c>
      <c r="H144">
        <v>4</v>
      </c>
      <c r="I144">
        <v>-5</v>
      </c>
      <c r="J144">
        <v>0</v>
      </c>
      <c r="K144">
        <v>-3</v>
      </c>
      <c r="L144">
        <v>-4</v>
      </c>
      <c r="M144">
        <v>8</v>
      </c>
      <c r="O144">
        <v>0.1</v>
      </c>
      <c r="P144">
        <v>0</v>
      </c>
      <c r="R144">
        <v>7</v>
      </c>
      <c r="S144">
        <v>10</v>
      </c>
      <c r="T144">
        <v>18</v>
      </c>
      <c r="U144">
        <v>1</v>
      </c>
      <c r="V144">
        <v>7</v>
      </c>
    </row>
    <row r="145" spans="1:26">
      <c r="A145" t="s">
        <v>1799</v>
      </c>
      <c r="B145" t="s">
        <v>5831</v>
      </c>
      <c r="C145" t="s">
        <v>5953</v>
      </c>
      <c r="D145">
        <v>1</v>
      </c>
      <c r="E145">
        <v>0</v>
      </c>
      <c r="F145" t="s">
        <v>5794</v>
      </c>
      <c r="G145" t="s">
        <v>5800</v>
      </c>
      <c r="H145">
        <v>4</v>
      </c>
      <c r="I145">
        <v>-5</v>
      </c>
      <c r="J145">
        <v>0</v>
      </c>
      <c r="K145">
        <v>-3</v>
      </c>
      <c r="L145">
        <v>-4</v>
      </c>
      <c r="M145">
        <v>8</v>
      </c>
      <c r="O145">
        <v>0.1</v>
      </c>
      <c r="P145">
        <v>0</v>
      </c>
      <c r="R145">
        <v>7</v>
      </c>
      <c r="S145">
        <v>10</v>
      </c>
      <c r="T145">
        <v>18</v>
      </c>
      <c r="U145">
        <v>1</v>
      </c>
      <c r="V145">
        <v>7</v>
      </c>
    </row>
    <row r="146" spans="1:26">
      <c r="A146" t="s">
        <v>1793</v>
      </c>
      <c r="B146" t="s">
        <v>5855</v>
      </c>
      <c r="C146" t="s">
        <v>5954</v>
      </c>
      <c r="D146">
        <v>2</v>
      </c>
      <c r="E146">
        <v>3.5</v>
      </c>
      <c r="F146" t="s">
        <v>5816</v>
      </c>
      <c r="G146" t="s">
        <v>5795</v>
      </c>
      <c r="H146">
        <v>3</v>
      </c>
      <c r="I146">
        <v>-5</v>
      </c>
      <c r="J146">
        <v>0</v>
      </c>
      <c r="K146">
        <v>-6</v>
      </c>
      <c r="L146">
        <v>-8</v>
      </c>
      <c r="M146">
        <v>13</v>
      </c>
      <c r="N146">
        <v>10</v>
      </c>
      <c r="O146">
        <v>0.2</v>
      </c>
      <c r="P146">
        <v>4</v>
      </c>
      <c r="R146">
        <v>5</v>
      </c>
      <c r="S146">
        <v>6</v>
      </c>
      <c r="T146" t="s">
        <v>5860</v>
      </c>
      <c r="U146" t="s">
        <v>5861</v>
      </c>
      <c r="V146" t="s">
        <v>5861</v>
      </c>
    </row>
    <row r="147" spans="1:26">
      <c r="A147" t="s">
        <v>1793</v>
      </c>
      <c r="B147" t="s">
        <v>5867</v>
      </c>
      <c r="C147" t="s">
        <v>5955</v>
      </c>
      <c r="D147">
        <v>18</v>
      </c>
      <c r="E147">
        <v>6</v>
      </c>
      <c r="F147" t="s">
        <v>5794</v>
      </c>
      <c r="G147" t="s">
        <v>5816</v>
      </c>
      <c r="H147">
        <v>1.5</v>
      </c>
      <c r="I147">
        <v>-9</v>
      </c>
      <c r="J147">
        <v>0</v>
      </c>
      <c r="K147">
        <v>-6</v>
      </c>
      <c r="L147">
        <v>-7</v>
      </c>
      <c r="M147">
        <v>40</v>
      </c>
      <c r="N147">
        <v>15</v>
      </c>
      <c r="O147">
        <v>2</v>
      </c>
      <c r="P147" t="s">
        <v>5813</v>
      </c>
      <c r="Q147" t="s">
        <v>5804</v>
      </c>
      <c r="R147">
        <v>10</v>
      </c>
      <c r="S147">
        <v>7</v>
      </c>
      <c r="T147">
        <v>7</v>
      </c>
      <c r="U147">
        <v>2</v>
      </c>
      <c r="V147">
        <v>1.5</v>
      </c>
    </row>
    <row r="148" spans="1:26">
      <c r="A148" t="s">
        <v>1801</v>
      </c>
      <c r="B148" t="s">
        <v>5858</v>
      </c>
      <c r="C148" t="s">
        <v>5956</v>
      </c>
      <c r="D148">
        <v>0</v>
      </c>
      <c r="E148">
        <v>1</v>
      </c>
      <c r="F148" t="s">
        <v>5795</v>
      </c>
      <c r="G148" t="s">
        <v>5800</v>
      </c>
      <c r="H148">
        <v>2</v>
      </c>
      <c r="I148">
        <v>-7</v>
      </c>
      <c r="J148">
        <v>0</v>
      </c>
      <c r="K148">
        <v>-1</v>
      </c>
      <c r="L148">
        <v>-2</v>
      </c>
      <c r="M148">
        <v>6</v>
      </c>
      <c r="O148">
        <v>0.06</v>
      </c>
      <c r="P148">
        <v>3</v>
      </c>
      <c r="Q148" t="s">
        <v>5957</v>
      </c>
      <c r="R148">
        <v>5</v>
      </c>
      <c r="S148">
        <v>30</v>
      </c>
      <c r="T148" t="s">
        <v>5860</v>
      </c>
      <c r="U148" t="s">
        <v>5861</v>
      </c>
      <c r="V148" t="s">
        <v>5861</v>
      </c>
    </row>
    <row r="149" spans="1:26">
      <c r="A149" t="s">
        <v>1801</v>
      </c>
      <c r="B149" t="s">
        <v>5793</v>
      </c>
      <c r="C149" t="s">
        <v>5958</v>
      </c>
      <c r="D149">
        <v>5</v>
      </c>
      <c r="E149">
        <v>2</v>
      </c>
      <c r="F149" t="s">
        <v>5816</v>
      </c>
      <c r="G149" t="s">
        <v>5795</v>
      </c>
      <c r="H149">
        <v>3</v>
      </c>
      <c r="I149">
        <v>-5</v>
      </c>
      <c r="J149">
        <v>0</v>
      </c>
      <c r="K149">
        <v>-3</v>
      </c>
      <c r="L149">
        <v>-3</v>
      </c>
      <c r="M149">
        <v>8</v>
      </c>
      <c r="O149">
        <v>0.5</v>
      </c>
      <c r="P149" t="s">
        <v>5813</v>
      </c>
      <c r="R149">
        <v>10</v>
      </c>
      <c r="S149">
        <v>14</v>
      </c>
      <c r="T149">
        <v>10</v>
      </c>
      <c r="U149">
        <v>0.5</v>
      </c>
      <c r="V149">
        <v>3</v>
      </c>
    </row>
    <row r="150" spans="1:26">
      <c r="A150" t="s">
        <v>1799</v>
      </c>
      <c r="B150" t="s">
        <v>5797</v>
      </c>
      <c r="C150" t="s">
        <v>5958</v>
      </c>
      <c r="D150">
        <v>5</v>
      </c>
      <c r="E150">
        <v>2</v>
      </c>
      <c r="F150" t="s">
        <v>5816</v>
      </c>
      <c r="G150" t="s">
        <v>5795</v>
      </c>
      <c r="H150">
        <v>3</v>
      </c>
      <c r="I150">
        <v>-5</v>
      </c>
      <c r="J150">
        <v>0</v>
      </c>
      <c r="K150">
        <v>-3</v>
      </c>
      <c r="L150">
        <v>-3</v>
      </c>
      <c r="M150">
        <v>8</v>
      </c>
      <c r="O150">
        <v>0.5</v>
      </c>
      <c r="P150" t="s">
        <v>5813</v>
      </c>
      <c r="R150">
        <v>10</v>
      </c>
      <c r="S150">
        <v>14</v>
      </c>
      <c r="T150">
        <v>10</v>
      </c>
      <c r="U150">
        <v>0.5</v>
      </c>
      <c r="V150">
        <v>3</v>
      </c>
    </row>
    <row r="151" spans="1:26">
      <c r="A151" t="s">
        <v>1799</v>
      </c>
      <c r="B151" t="s">
        <v>5831</v>
      </c>
      <c r="C151" t="s">
        <v>5959</v>
      </c>
      <c r="D151">
        <v>2</v>
      </c>
      <c r="E151">
        <v>3</v>
      </c>
      <c r="F151" t="s">
        <v>5799</v>
      </c>
      <c r="G151" t="s">
        <v>5800</v>
      </c>
      <c r="H151">
        <v>3</v>
      </c>
      <c r="I151">
        <v>-5</v>
      </c>
      <c r="J151">
        <v>0</v>
      </c>
      <c r="K151">
        <v>-4</v>
      </c>
      <c r="L151">
        <v>-3</v>
      </c>
      <c r="M151">
        <v>8</v>
      </c>
      <c r="O151">
        <v>0.2</v>
      </c>
      <c r="P151" t="s">
        <v>5813</v>
      </c>
      <c r="R151">
        <v>10</v>
      </c>
      <c r="S151">
        <v>12</v>
      </c>
      <c r="T151">
        <v>8</v>
      </c>
      <c r="U151">
        <v>0.1</v>
      </c>
      <c r="V151">
        <v>1</v>
      </c>
    </row>
    <row r="152" spans="1:26">
      <c r="A152" t="s">
        <v>1801</v>
      </c>
      <c r="B152" t="s">
        <v>5099</v>
      </c>
      <c r="C152" t="s">
        <v>5959</v>
      </c>
      <c r="D152">
        <v>2</v>
      </c>
      <c r="E152">
        <v>3</v>
      </c>
      <c r="F152" t="s">
        <v>5799</v>
      </c>
      <c r="G152" t="s">
        <v>5800</v>
      </c>
      <c r="H152">
        <v>3</v>
      </c>
      <c r="I152">
        <v>-5</v>
      </c>
      <c r="J152">
        <v>0</v>
      </c>
      <c r="K152">
        <v>-4</v>
      </c>
      <c r="L152">
        <v>-3</v>
      </c>
      <c r="M152">
        <v>8</v>
      </c>
      <c r="O152">
        <v>0.2</v>
      </c>
      <c r="P152" t="s">
        <v>5813</v>
      </c>
      <c r="R152">
        <v>10</v>
      </c>
      <c r="S152">
        <v>12</v>
      </c>
      <c r="T152">
        <v>8</v>
      </c>
      <c r="U152">
        <v>0.1</v>
      </c>
      <c r="V152">
        <v>1</v>
      </c>
    </row>
    <row r="153" spans="1:26">
      <c r="A153" t="s">
        <v>1799</v>
      </c>
      <c r="B153" t="s">
        <v>5831</v>
      </c>
      <c r="C153" t="s">
        <v>5960</v>
      </c>
      <c r="D153">
        <v>2</v>
      </c>
      <c r="E153">
        <v>1</v>
      </c>
      <c r="F153" t="s">
        <v>5799</v>
      </c>
      <c r="H153">
        <v>4</v>
      </c>
      <c r="I153">
        <v>-2</v>
      </c>
      <c r="J153">
        <v>0</v>
      </c>
      <c r="K153">
        <v>-3</v>
      </c>
      <c r="L153">
        <v>-3</v>
      </c>
      <c r="M153">
        <v>7</v>
      </c>
      <c r="O153">
        <v>0.2</v>
      </c>
      <c r="P153" t="s">
        <v>5813</v>
      </c>
      <c r="R153">
        <v>4</v>
      </c>
      <c r="S153">
        <v>25</v>
      </c>
      <c r="T153">
        <v>3</v>
      </c>
      <c r="U153">
        <v>0.1</v>
      </c>
      <c r="V153">
        <v>1</v>
      </c>
    </row>
    <row r="154" spans="1:26">
      <c r="A154" t="s">
        <v>1801</v>
      </c>
      <c r="B154" t="s">
        <v>5099</v>
      </c>
      <c r="C154" t="s">
        <v>5960</v>
      </c>
      <c r="D154">
        <v>2</v>
      </c>
      <c r="E154">
        <v>1</v>
      </c>
      <c r="F154" t="s">
        <v>5799</v>
      </c>
      <c r="H154">
        <v>4</v>
      </c>
      <c r="I154">
        <v>-2</v>
      </c>
      <c r="J154">
        <v>0</v>
      </c>
      <c r="K154">
        <v>-3</v>
      </c>
      <c r="L154">
        <v>-3</v>
      </c>
      <c r="M154">
        <v>7</v>
      </c>
      <c r="O154">
        <v>0.2</v>
      </c>
      <c r="P154" t="s">
        <v>5813</v>
      </c>
      <c r="R154">
        <v>4</v>
      </c>
      <c r="S154">
        <v>25</v>
      </c>
      <c r="T154">
        <v>3</v>
      </c>
      <c r="U154">
        <v>0.1</v>
      </c>
      <c r="V154">
        <v>1</v>
      </c>
    </row>
    <row r="155" spans="1:26">
      <c r="A155" t="s">
        <v>1801</v>
      </c>
      <c r="B155" t="s">
        <v>5858</v>
      </c>
      <c r="C155" t="s">
        <v>5961</v>
      </c>
      <c r="D155">
        <v>0</v>
      </c>
      <c r="E155">
        <v>1</v>
      </c>
      <c r="F155" t="s">
        <v>5816</v>
      </c>
      <c r="G155" t="s">
        <v>5800</v>
      </c>
      <c r="H155">
        <v>3</v>
      </c>
      <c r="I155">
        <v>-7</v>
      </c>
      <c r="J155">
        <v>0</v>
      </c>
      <c r="K155">
        <v>-1</v>
      </c>
      <c r="L155">
        <v>-1</v>
      </c>
      <c r="M155">
        <v>5</v>
      </c>
      <c r="O155">
        <v>0.05</v>
      </c>
      <c r="P155">
        <v>4</v>
      </c>
      <c r="R155">
        <v>5</v>
      </c>
      <c r="S155">
        <v>30</v>
      </c>
      <c r="T155" t="s">
        <v>5860</v>
      </c>
      <c r="U155" t="s">
        <v>5861</v>
      </c>
      <c r="V155" t="s">
        <v>5861</v>
      </c>
    </row>
    <row r="156" spans="1:26">
      <c r="A156" t="s">
        <v>1801</v>
      </c>
      <c r="B156" t="s">
        <v>5858</v>
      </c>
      <c r="C156" t="s">
        <v>5962</v>
      </c>
      <c r="D156">
        <v>0</v>
      </c>
      <c r="E156">
        <v>1</v>
      </c>
      <c r="F156" t="s">
        <v>5800</v>
      </c>
      <c r="G156" t="s">
        <v>5800</v>
      </c>
      <c r="H156">
        <v>3</v>
      </c>
      <c r="I156">
        <v>-5</v>
      </c>
      <c r="J156">
        <v>0</v>
      </c>
      <c r="K156">
        <v>-3</v>
      </c>
      <c r="L156">
        <v>-2</v>
      </c>
      <c r="M156">
        <v>5</v>
      </c>
      <c r="O156">
        <v>0.05</v>
      </c>
      <c r="P156">
        <v>0</v>
      </c>
      <c r="Q156" t="s">
        <v>5963</v>
      </c>
      <c r="R156">
        <v>5</v>
      </c>
      <c r="S156">
        <v>30</v>
      </c>
      <c r="T156" t="s">
        <v>5860</v>
      </c>
      <c r="U156" t="s">
        <v>5861</v>
      </c>
      <c r="V156" t="s">
        <v>5861</v>
      </c>
    </row>
    <row r="157" spans="1:26">
      <c r="A157" t="s">
        <v>1799</v>
      </c>
      <c r="B157" t="s">
        <v>5831</v>
      </c>
      <c r="C157" t="s">
        <v>5964</v>
      </c>
      <c r="D157">
        <v>4</v>
      </c>
      <c r="E157">
        <v>3</v>
      </c>
      <c r="F157" t="s">
        <v>5794</v>
      </c>
      <c r="H157">
        <v>5</v>
      </c>
      <c r="I157">
        <v>-2</v>
      </c>
      <c r="J157">
        <v>0</v>
      </c>
      <c r="K157">
        <v>-2</v>
      </c>
      <c r="L157">
        <v>-4</v>
      </c>
      <c r="M157">
        <v>8</v>
      </c>
      <c r="N157">
        <v>6</v>
      </c>
      <c r="O157">
        <v>0.4</v>
      </c>
      <c r="P157">
        <v>3</v>
      </c>
      <c r="R157">
        <v>12</v>
      </c>
      <c r="S157">
        <v>18</v>
      </c>
      <c r="T157">
        <v>5</v>
      </c>
      <c r="U157">
        <v>0.3</v>
      </c>
      <c r="V157">
        <v>1</v>
      </c>
    </row>
    <row r="158" spans="1:26">
      <c r="A158" t="s">
        <v>1801</v>
      </c>
      <c r="B158" t="s">
        <v>5848</v>
      </c>
      <c r="C158" t="s">
        <v>5965</v>
      </c>
      <c r="E158">
        <v>13</v>
      </c>
      <c r="F158" t="s">
        <v>5850</v>
      </c>
      <c r="H158">
        <v>3</v>
      </c>
      <c r="I158">
        <v>-5</v>
      </c>
      <c r="K158">
        <v>-16</v>
      </c>
      <c r="L158">
        <v>5</v>
      </c>
      <c r="M158">
        <v>37</v>
      </c>
      <c r="P158" t="s">
        <v>5813</v>
      </c>
      <c r="Q158" t="s">
        <v>5966</v>
      </c>
      <c r="R158">
        <v>15</v>
      </c>
      <c r="S158">
        <v>16</v>
      </c>
      <c r="T158">
        <v>15</v>
      </c>
      <c r="Y158">
        <v>26</v>
      </c>
      <c r="Z158">
        <v>1200</v>
      </c>
    </row>
    <row r="159" spans="1:26">
      <c r="A159" t="s">
        <v>1801</v>
      </c>
      <c r="B159" t="s">
        <v>5848</v>
      </c>
      <c r="C159" t="s">
        <v>5967</v>
      </c>
      <c r="E159">
        <v>12</v>
      </c>
      <c r="F159" t="s">
        <v>5816</v>
      </c>
      <c r="G159" t="s">
        <v>5795</v>
      </c>
      <c r="H159">
        <v>3</v>
      </c>
      <c r="I159">
        <v>-5</v>
      </c>
      <c r="K159">
        <v>-8</v>
      </c>
      <c r="L159">
        <v>10</v>
      </c>
      <c r="M159">
        <v>21</v>
      </c>
      <c r="P159" t="s">
        <v>5813</v>
      </c>
      <c r="R159">
        <v>15</v>
      </c>
      <c r="S159">
        <v>15</v>
      </c>
      <c r="T159">
        <v>15</v>
      </c>
      <c r="Y159">
        <v>18</v>
      </c>
      <c r="Z159">
        <v>750</v>
      </c>
    </row>
    <row r="160" spans="1:26">
      <c r="A160" t="s">
        <v>1801</v>
      </c>
      <c r="B160" t="s">
        <v>5846</v>
      </c>
      <c r="C160" t="s">
        <v>5968</v>
      </c>
      <c r="D160">
        <v>28</v>
      </c>
      <c r="E160">
        <v>0</v>
      </c>
      <c r="F160" t="s">
        <v>5795</v>
      </c>
      <c r="G160" t="s">
        <v>5795</v>
      </c>
      <c r="H160">
        <v>16</v>
      </c>
      <c r="I160">
        <v>-1</v>
      </c>
      <c r="J160">
        <v>0</v>
      </c>
      <c r="K160">
        <v>-6</v>
      </c>
      <c r="L160">
        <v>-15</v>
      </c>
      <c r="M160">
        <v>7</v>
      </c>
      <c r="N160">
        <v>4</v>
      </c>
      <c r="O160">
        <v>3</v>
      </c>
      <c r="P160">
        <v>9</v>
      </c>
      <c r="R160">
        <v>0</v>
      </c>
      <c r="S160">
        <v>7</v>
      </c>
      <c r="T160">
        <v>5</v>
      </c>
      <c r="U160">
        <v>0.1</v>
      </c>
      <c r="V160">
        <v>0.25</v>
      </c>
    </row>
    <row r="161" spans="1:26">
      <c r="A161" t="s">
        <v>1797</v>
      </c>
      <c r="B161" t="s">
        <v>5930</v>
      </c>
      <c r="C161" t="s">
        <v>5969</v>
      </c>
      <c r="D161">
        <v>34</v>
      </c>
      <c r="E161">
        <v>4</v>
      </c>
      <c r="F161" t="s">
        <v>5799</v>
      </c>
      <c r="G161" t="s">
        <v>5795</v>
      </c>
      <c r="H161">
        <v>2</v>
      </c>
      <c r="I161">
        <v>-9</v>
      </c>
      <c r="J161">
        <v>0</v>
      </c>
      <c r="K161">
        <v>-5</v>
      </c>
      <c r="L161">
        <v>-8</v>
      </c>
      <c r="M161">
        <v>20</v>
      </c>
      <c r="N161">
        <v>13</v>
      </c>
      <c r="O161">
        <v>4.5</v>
      </c>
      <c r="P161" t="s">
        <v>5813</v>
      </c>
      <c r="Q161" t="s">
        <v>5804</v>
      </c>
      <c r="R161">
        <v>5</v>
      </c>
      <c r="S161">
        <v>10</v>
      </c>
      <c r="T161">
        <v>3</v>
      </c>
      <c r="U161">
        <v>1</v>
      </c>
      <c r="V161">
        <v>4</v>
      </c>
    </row>
    <row r="162" spans="1:26">
      <c r="A162" t="s">
        <v>1793</v>
      </c>
      <c r="B162" t="s">
        <v>5855</v>
      </c>
      <c r="C162" t="s">
        <v>5970</v>
      </c>
      <c r="D162">
        <v>3</v>
      </c>
      <c r="E162">
        <v>1</v>
      </c>
      <c r="F162" t="s">
        <v>5816</v>
      </c>
      <c r="G162" t="s">
        <v>5800</v>
      </c>
      <c r="H162">
        <v>6</v>
      </c>
      <c r="I162">
        <v>-4</v>
      </c>
      <c r="J162">
        <v>0</v>
      </c>
      <c r="K162">
        <v>-2</v>
      </c>
      <c r="L162">
        <v>-9</v>
      </c>
      <c r="M162">
        <v>3</v>
      </c>
      <c r="O162">
        <v>0.3</v>
      </c>
      <c r="P162">
        <v>9</v>
      </c>
      <c r="R162">
        <v>3</v>
      </c>
      <c r="S162">
        <v>3</v>
      </c>
      <c r="T162">
        <v>1</v>
      </c>
      <c r="U162">
        <v>0.15</v>
      </c>
      <c r="V162">
        <v>0.25</v>
      </c>
    </row>
    <row r="163" spans="1:26">
      <c r="A163" t="s">
        <v>1801</v>
      </c>
      <c r="B163" t="s">
        <v>5793</v>
      </c>
      <c r="C163" t="s">
        <v>5971</v>
      </c>
      <c r="D163">
        <v>1</v>
      </c>
      <c r="E163">
        <v>3</v>
      </c>
      <c r="F163" t="s">
        <v>5799</v>
      </c>
      <c r="G163" t="s">
        <v>5795</v>
      </c>
      <c r="H163">
        <v>2</v>
      </c>
      <c r="I163">
        <v>-8</v>
      </c>
      <c r="J163">
        <v>0</v>
      </c>
      <c r="K163">
        <v>-3</v>
      </c>
      <c r="L163">
        <v>-6</v>
      </c>
      <c r="M163">
        <v>7</v>
      </c>
      <c r="O163">
        <v>0.1</v>
      </c>
      <c r="P163">
        <v>0</v>
      </c>
      <c r="R163">
        <v>6</v>
      </c>
      <c r="S163">
        <v>13</v>
      </c>
      <c r="T163">
        <v>5</v>
      </c>
      <c r="U163">
        <v>0.2</v>
      </c>
      <c r="V163">
        <v>1</v>
      </c>
    </row>
    <row r="164" spans="1:26">
      <c r="A164" t="s">
        <v>1793</v>
      </c>
      <c r="B164" t="s">
        <v>5855</v>
      </c>
      <c r="C164" t="s">
        <v>5972</v>
      </c>
      <c r="D164">
        <v>11</v>
      </c>
      <c r="E164">
        <v>5</v>
      </c>
      <c r="F164" t="s">
        <v>5816</v>
      </c>
      <c r="G164" t="s">
        <v>5816</v>
      </c>
      <c r="H164">
        <v>3</v>
      </c>
      <c r="I164">
        <v>-5</v>
      </c>
      <c r="J164">
        <v>0</v>
      </c>
      <c r="K164">
        <v>-5</v>
      </c>
      <c r="L164">
        <v>-4</v>
      </c>
      <c r="M164">
        <v>16</v>
      </c>
      <c r="N164">
        <v>11</v>
      </c>
      <c r="O164">
        <v>1.1000000000000001</v>
      </c>
      <c r="P164">
        <v>1</v>
      </c>
      <c r="Q164" t="s">
        <v>5804</v>
      </c>
      <c r="R164">
        <v>16</v>
      </c>
      <c r="S164">
        <v>8</v>
      </c>
      <c r="T164">
        <v>9</v>
      </c>
      <c r="U164">
        <v>1.5</v>
      </c>
      <c r="V164">
        <v>5</v>
      </c>
    </row>
    <row r="165" spans="1:26">
      <c r="A165" t="s">
        <v>1793</v>
      </c>
      <c r="B165" t="s">
        <v>5855</v>
      </c>
      <c r="C165" t="s">
        <v>5973</v>
      </c>
      <c r="D165">
        <v>11</v>
      </c>
      <c r="E165">
        <v>5</v>
      </c>
      <c r="F165" t="s">
        <v>5803</v>
      </c>
      <c r="G165" t="s">
        <v>5816</v>
      </c>
      <c r="H165">
        <v>3</v>
      </c>
      <c r="I165">
        <v>-5</v>
      </c>
      <c r="J165">
        <v>4</v>
      </c>
      <c r="K165">
        <v>-5</v>
      </c>
      <c r="L165">
        <v>-4</v>
      </c>
      <c r="M165">
        <v>16</v>
      </c>
      <c r="N165">
        <v>11</v>
      </c>
      <c r="O165">
        <v>1.1000000000000001</v>
      </c>
      <c r="P165">
        <v>1</v>
      </c>
      <c r="Q165" t="s">
        <v>5804</v>
      </c>
      <c r="R165">
        <v>16</v>
      </c>
      <c r="S165">
        <v>8</v>
      </c>
      <c r="T165">
        <v>9</v>
      </c>
      <c r="U165">
        <v>1.5</v>
      </c>
      <c r="V165">
        <v>5</v>
      </c>
    </row>
    <row r="166" spans="1:26">
      <c r="A166" t="s">
        <v>1799</v>
      </c>
      <c r="B166" t="s">
        <v>5797</v>
      </c>
      <c r="C166" t="s">
        <v>5974</v>
      </c>
      <c r="D166">
        <v>13</v>
      </c>
      <c r="E166">
        <v>4</v>
      </c>
      <c r="F166" t="s">
        <v>5799</v>
      </c>
      <c r="G166" t="s">
        <v>5800</v>
      </c>
      <c r="H166">
        <v>5</v>
      </c>
      <c r="I166">
        <v>-3</v>
      </c>
      <c r="J166">
        <v>0</v>
      </c>
      <c r="K166">
        <v>-3</v>
      </c>
      <c r="L166">
        <v>-1</v>
      </c>
      <c r="M166">
        <v>10</v>
      </c>
      <c r="N166">
        <v>7</v>
      </c>
      <c r="O166">
        <v>1.2</v>
      </c>
      <c r="P166">
        <v>1</v>
      </c>
      <c r="R166">
        <v>9</v>
      </c>
      <c r="S166">
        <v>14</v>
      </c>
      <c r="T166">
        <v>18</v>
      </c>
      <c r="U166">
        <v>0.8</v>
      </c>
      <c r="V166">
        <v>4</v>
      </c>
    </row>
    <row r="167" spans="1:26">
      <c r="A167" t="s">
        <v>1797</v>
      </c>
      <c r="B167" t="s">
        <v>5930</v>
      </c>
      <c r="C167" t="s">
        <v>5975</v>
      </c>
      <c r="D167">
        <v>32</v>
      </c>
      <c r="E167">
        <v>4</v>
      </c>
      <c r="F167" t="s">
        <v>5799</v>
      </c>
      <c r="G167" t="s">
        <v>5800</v>
      </c>
      <c r="H167">
        <v>4</v>
      </c>
      <c r="I167">
        <v>-5</v>
      </c>
      <c r="J167">
        <v>0</v>
      </c>
      <c r="K167">
        <v>-5</v>
      </c>
      <c r="L167">
        <v>-6</v>
      </c>
      <c r="M167">
        <v>20</v>
      </c>
      <c r="N167">
        <v>13</v>
      </c>
      <c r="O167">
        <v>3</v>
      </c>
      <c r="P167" t="s">
        <v>5813</v>
      </c>
      <c r="Q167" t="s">
        <v>5804</v>
      </c>
      <c r="R167">
        <v>5</v>
      </c>
      <c r="S167">
        <v>10</v>
      </c>
      <c r="T167">
        <v>3</v>
      </c>
      <c r="U167">
        <v>1</v>
      </c>
      <c r="V167">
        <v>4</v>
      </c>
    </row>
    <row r="168" spans="1:26">
      <c r="A168" t="s">
        <v>1801</v>
      </c>
      <c r="B168" t="s">
        <v>5848</v>
      </c>
      <c r="C168" t="s">
        <v>5976</v>
      </c>
      <c r="E168">
        <v>8</v>
      </c>
      <c r="F168" t="s">
        <v>5816</v>
      </c>
      <c r="G168" t="s">
        <v>5795</v>
      </c>
      <c r="H168">
        <v>3</v>
      </c>
      <c r="I168">
        <v>-5</v>
      </c>
      <c r="K168">
        <v>-5</v>
      </c>
      <c r="L168">
        <v>6</v>
      </c>
      <c r="M168">
        <v>18</v>
      </c>
      <c r="P168" t="s">
        <v>5813</v>
      </c>
      <c r="R168">
        <v>15</v>
      </c>
      <c r="S168">
        <v>15</v>
      </c>
      <c r="T168">
        <v>15</v>
      </c>
      <c r="Y168">
        <v>15</v>
      </c>
      <c r="Z168">
        <v>350</v>
      </c>
    </row>
    <row r="169" spans="1:26">
      <c r="A169" t="s">
        <v>1801</v>
      </c>
      <c r="B169" t="s">
        <v>5848</v>
      </c>
      <c r="C169" t="s">
        <v>5977</v>
      </c>
      <c r="E169">
        <v>10</v>
      </c>
      <c r="F169" t="s">
        <v>5816</v>
      </c>
      <c r="G169" t="s">
        <v>5795</v>
      </c>
      <c r="H169">
        <v>3</v>
      </c>
      <c r="I169">
        <v>-5</v>
      </c>
      <c r="K169">
        <v>-6</v>
      </c>
      <c r="L169">
        <v>8</v>
      </c>
      <c r="M169">
        <v>19</v>
      </c>
      <c r="P169" t="s">
        <v>5813</v>
      </c>
      <c r="R169">
        <v>15</v>
      </c>
      <c r="S169">
        <v>14</v>
      </c>
      <c r="T169">
        <v>15</v>
      </c>
      <c r="Y169">
        <v>16</v>
      </c>
      <c r="Z169">
        <v>500</v>
      </c>
    </row>
    <row r="170" spans="1:26">
      <c r="A170" t="s">
        <v>1801</v>
      </c>
      <c r="B170" t="s">
        <v>5848</v>
      </c>
      <c r="C170" t="s">
        <v>5978</v>
      </c>
      <c r="E170">
        <v>6</v>
      </c>
      <c r="F170" t="s">
        <v>5816</v>
      </c>
      <c r="G170" t="s">
        <v>5795</v>
      </c>
      <c r="H170">
        <v>3</v>
      </c>
      <c r="I170">
        <v>-5</v>
      </c>
      <c r="K170">
        <v>-3</v>
      </c>
      <c r="L170">
        <v>4</v>
      </c>
      <c r="M170">
        <v>16</v>
      </c>
      <c r="P170" t="s">
        <v>5813</v>
      </c>
      <c r="R170">
        <v>15</v>
      </c>
      <c r="S170">
        <v>15</v>
      </c>
      <c r="T170">
        <v>15</v>
      </c>
      <c r="Y170">
        <v>13</v>
      </c>
      <c r="Z170">
        <v>250</v>
      </c>
    </row>
    <row r="171" spans="1:26">
      <c r="A171" t="s">
        <v>1795</v>
      </c>
      <c r="B171" t="s">
        <v>5817</v>
      </c>
      <c r="C171" t="s">
        <v>5979</v>
      </c>
      <c r="D171">
        <v>14</v>
      </c>
      <c r="E171">
        <v>6.5</v>
      </c>
      <c r="F171" t="s">
        <v>5819</v>
      </c>
      <c r="G171" t="s">
        <v>5799</v>
      </c>
      <c r="H171">
        <v>2</v>
      </c>
      <c r="I171">
        <v>-8</v>
      </c>
      <c r="J171">
        <v>0</v>
      </c>
      <c r="K171">
        <v>-5</v>
      </c>
      <c r="L171">
        <v>-5</v>
      </c>
      <c r="M171">
        <v>23</v>
      </c>
      <c r="N171">
        <v>14</v>
      </c>
      <c r="O171">
        <v>1.4</v>
      </c>
      <c r="P171" t="s">
        <v>5813</v>
      </c>
      <c r="R171">
        <v>16</v>
      </c>
      <c r="S171">
        <v>14</v>
      </c>
      <c r="T171">
        <v>23</v>
      </c>
      <c r="U171">
        <v>1.5</v>
      </c>
      <c r="V171">
        <v>8</v>
      </c>
    </row>
    <row r="172" spans="1:26">
      <c r="A172" t="s">
        <v>1795</v>
      </c>
      <c r="B172" t="s">
        <v>5814</v>
      </c>
      <c r="C172" t="s">
        <v>5980</v>
      </c>
      <c r="D172">
        <v>9</v>
      </c>
      <c r="E172">
        <v>5</v>
      </c>
      <c r="F172" t="s">
        <v>5794</v>
      </c>
      <c r="G172" t="s">
        <v>5816</v>
      </c>
      <c r="H172">
        <v>3</v>
      </c>
      <c r="I172">
        <v>-4</v>
      </c>
      <c r="J172">
        <v>0</v>
      </c>
      <c r="K172">
        <v>-3</v>
      </c>
      <c r="L172">
        <v>-4</v>
      </c>
      <c r="M172">
        <v>11</v>
      </c>
      <c r="N172">
        <v>8</v>
      </c>
      <c r="O172">
        <v>0.95</v>
      </c>
      <c r="P172">
        <v>0</v>
      </c>
      <c r="R172">
        <v>15</v>
      </c>
      <c r="S172">
        <v>15</v>
      </c>
      <c r="T172">
        <v>12</v>
      </c>
      <c r="U172">
        <v>1.2</v>
      </c>
      <c r="V172">
        <v>4</v>
      </c>
    </row>
    <row r="173" spans="1:26">
      <c r="A173" t="s">
        <v>1799</v>
      </c>
      <c r="B173" t="s">
        <v>5831</v>
      </c>
      <c r="C173" t="s">
        <v>5981</v>
      </c>
      <c r="D173">
        <v>4</v>
      </c>
      <c r="E173">
        <v>3.5</v>
      </c>
      <c r="F173" t="s">
        <v>5819</v>
      </c>
      <c r="H173">
        <v>3</v>
      </c>
      <c r="I173">
        <v>-4</v>
      </c>
      <c r="J173">
        <v>0</v>
      </c>
      <c r="K173">
        <v>-2</v>
      </c>
      <c r="L173">
        <v>-5</v>
      </c>
      <c r="M173">
        <v>7</v>
      </c>
      <c r="N173">
        <v>5</v>
      </c>
      <c r="O173">
        <v>0.4</v>
      </c>
      <c r="P173">
        <v>5</v>
      </c>
      <c r="R173">
        <v>14</v>
      </c>
      <c r="S173">
        <v>19</v>
      </c>
      <c r="T173">
        <v>5</v>
      </c>
      <c r="U173">
        <v>0.4</v>
      </c>
      <c r="V173">
        <v>1</v>
      </c>
    </row>
    <row r="174" spans="1:26">
      <c r="A174" t="s">
        <v>1801</v>
      </c>
      <c r="B174" t="s">
        <v>5858</v>
      </c>
      <c r="C174" t="s">
        <v>5982</v>
      </c>
      <c r="D174">
        <v>0</v>
      </c>
      <c r="E174">
        <v>-2</v>
      </c>
      <c r="F174" t="s">
        <v>5795</v>
      </c>
      <c r="G174" t="s">
        <v>5800</v>
      </c>
      <c r="H174">
        <v>3</v>
      </c>
      <c r="I174">
        <v>-5</v>
      </c>
      <c r="J174">
        <v>0</v>
      </c>
      <c r="K174">
        <v>-1</v>
      </c>
      <c r="L174">
        <v>-10</v>
      </c>
      <c r="M174">
        <v>2</v>
      </c>
      <c r="O174">
        <v>0.02</v>
      </c>
      <c r="P174">
        <v>18</v>
      </c>
      <c r="R174">
        <v>9</v>
      </c>
      <c r="S174">
        <v>15</v>
      </c>
      <c r="T174">
        <v>6</v>
      </c>
      <c r="U174">
        <v>0.3</v>
      </c>
      <c r="V174">
        <v>1</v>
      </c>
    </row>
    <row r="175" spans="1:26">
      <c r="A175" t="s">
        <v>1793</v>
      </c>
      <c r="B175" t="s">
        <v>5801</v>
      </c>
      <c r="C175" t="s">
        <v>5983</v>
      </c>
      <c r="D175">
        <v>6</v>
      </c>
      <c r="E175">
        <v>7</v>
      </c>
      <c r="F175" t="s">
        <v>5799</v>
      </c>
      <c r="G175" t="s">
        <v>5816</v>
      </c>
      <c r="H175">
        <v>1.5</v>
      </c>
      <c r="I175">
        <v>-12</v>
      </c>
      <c r="J175">
        <v>0</v>
      </c>
      <c r="K175">
        <v>-4</v>
      </c>
      <c r="L175">
        <v>-8</v>
      </c>
      <c r="M175">
        <v>24</v>
      </c>
      <c r="N175">
        <v>15</v>
      </c>
      <c r="O175">
        <v>0.6</v>
      </c>
      <c r="P175">
        <v>5</v>
      </c>
      <c r="Q175" t="s">
        <v>5804</v>
      </c>
      <c r="R175">
        <v>14</v>
      </c>
      <c r="S175">
        <v>6</v>
      </c>
      <c r="T175">
        <v>4</v>
      </c>
      <c r="U175">
        <v>3</v>
      </c>
      <c r="V175">
        <v>1</v>
      </c>
    </row>
    <row r="176" spans="1:26">
      <c r="A176" t="s">
        <v>1797</v>
      </c>
      <c r="B176" t="s">
        <v>5825</v>
      </c>
      <c r="C176" t="s">
        <v>5984</v>
      </c>
      <c r="D176">
        <v>11</v>
      </c>
      <c r="E176">
        <v>3.5</v>
      </c>
      <c r="F176" t="s">
        <v>5816</v>
      </c>
      <c r="G176" t="s">
        <v>5795</v>
      </c>
      <c r="H176">
        <v>4</v>
      </c>
      <c r="I176">
        <v>-2</v>
      </c>
      <c r="J176">
        <v>0</v>
      </c>
      <c r="K176">
        <v>-4</v>
      </c>
      <c r="L176">
        <v>-5</v>
      </c>
      <c r="M176">
        <v>12</v>
      </c>
      <c r="N176">
        <v>7</v>
      </c>
      <c r="O176">
        <v>1.2</v>
      </c>
      <c r="P176" t="s">
        <v>5813</v>
      </c>
      <c r="Q176" t="s">
        <v>5804</v>
      </c>
      <c r="R176">
        <v>8</v>
      </c>
      <c r="S176">
        <v>6</v>
      </c>
      <c r="T176">
        <v>12</v>
      </c>
      <c r="U176">
        <v>0.7</v>
      </c>
      <c r="V176">
        <v>1</v>
      </c>
    </row>
    <row r="177" spans="1:22">
      <c r="A177" t="s">
        <v>1797</v>
      </c>
      <c r="B177" t="s">
        <v>5825</v>
      </c>
      <c r="C177" t="s">
        <v>5985</v>
      </c>
      <c r="D177">
        <v>10</v>
      </c>
      <c r="E177">
        <v>6</v>
      </c>
      <c r="F177" t="s">
        <v>5799</v>
      </c>
      <c r="G177" t="s">
        <v>5820</v>
      </c>
      <c r="H177">
        <v>4</v>
      </c>
      <c r="I177">
        <v>-4</v>
      </c>
      <c r="J177">
        <v>0</v>
      </c>
      <c r="K177">
        <v>-5</v>
      </c>
      <c r="L177">
        <v>-6</v>
      </c>
      <c r="M177">
        <v>20</v>
      </c>
      <c r="N177">
        <v>10</v>
      </c>
      <c r="O177">
        <v>1.2</v>
      </c>
      <c r="P177" t="s">
        <v>5813</v>
      </c>
      <c r="Q177" t="s">
        <v>5804</v>
      </c>
      <c r="R177">
        <v>9</v>
      </c>
      <c r="S177">
        <v>6</v>
      </c>
      <c r="T177">
        <v>12</v>
      </c>
      <c r="U177">
        <v>1</v>
      </c>
      <c r="V177">
        <v>1</v>
      </c>
    </row>
    <row r="178" spans="1:22">
      <c r="A178" t="s">
        <v>1799</v>
      </c>
      <c r="B178" t="s">
        <v>5831</v>
      </c>
      <c r="C178" t="s">
        <v>5986</v>
      </c>
      <c r="D178">
        <v>3</v>
      </c>
      <c r="E178">
        <v>3</v>
      </c>
      <c r="F178" t="s">
        <v>5819</v>
      </c>
      <c r="H178">
        <v>4</v>
      </c>
      <c r="I178">
        <v>-3</v>
      </c>
      <c r="J178">
        <v>0</v>
      </c>
      <c r="K178">
        <v>-1</v>
      </c>
      <c r="L178">
        <v>-5</v>
      </c>
      <c r="M178">
        <v>7</v>
      </c>
      <c r="N178">
        <v>5</v>
      </c>
      <c r="O178">
        <v>0.35</v>
      </c>
      <c r="P178">
        <v>7</v>
      </c>
      <c r="R178">
        <v>13</v>
      </c>
      <c r="S178">
        <v>17</v>
      </c>
      <c r="T178">
        <v>5</v>
      </c>
      <c r="U178">
        <v>0.4</v>
      </c>
      <c r="V178">
        <v>1</v>
      </c>
    </row>
    <row r="179" spans="1:22">
      <c r="A179" t="s">
        <v>1795</v>
      </c>
      <c r="B179" t="s">
        <v>5817</v>
      </c>
      <c r="C179" t="s">
        <v>5105</v>
      </c>
      <c r="D179">
        <v>16</v>
      </c>
      <c r="E179">
        <v>5</v>
      </c>
      <c r="F179" t="s">
        <v>5803</v>
      </c>
      <c r="G179" t="s">
        <v>5800</v>
      </c>
      <c r="H179">
        <v>3</v>
      </c>
      <c r="I179">
        <v>-9</v>
      </c>
      <c r="J179">
        <v>0</v>
      </c>
      <c r="K179">
        <v>-6</v>
      </c>
      <c r="L179">
        <v>-6</v>
      </c>
      <c r="M179">
        <v>30</v>
      </c>
      <c r="N179">
        <v>8</v>
      </c>
      <c r="O179">
        <v>1.7</v>
      </c>
      <c r="P179" t="s">
        <v>5813</v>
      </c>
      <c r="Q179" t="s">
        <v>5804</v>
      </c>
      <c r="R179">
        <v>10</v>
      </c>
      <c r="S179">
        <v>6</v>
      </c>
      <c r="T179">
        <v>12</v>
      </c>
      <c r="U179">
        <v>0.5</v>
      </c>
      <c r="V179">
        <v>0.5</v>
      </c>
    </row>
    <row r="180" spans="1:22">
      <c r="A180" t="s">
        <v>1799</v>
      </c>
      <c r="B180" t="s">
        <v>5831</v>
      </c>
      <c r="C180" t="s">
        <v>5106</v>
      </c>
      <c r="D180">
        <v>2</v>
      </c>
      <c r="E180">
        <v>2</v>
      </c>
      <c r="F180" t="s">
        <v>5799</v>
      </c>
      <c r="G180" t="s">
        <v>5800</v>
      </c>
      <c r="H180">
        <v>4</v>
      </c>
      <c r="I180">
        <v>-4</v>
      </c>
      <c r="J180">
        <v>0</v>
      </c>
      <c r="K180">
        <v>-4</v>
      </c>
      <c r="L180">
        <v>-7</v>
      </c>
      <c r="M180">
        <v>6</v>
      </c>
      <c r="N180">
        <v>4</v>
      </c>
      <c r="O180">
        <v>0.2</v>
      </c>
      <c r="P180">
        <v>4</v>
      </c>
      <c r="Q180" t="s">
        <v>5987</v>
      </c>
      <c r="R180">
        <v>8</v>
      </c>
      <c r="S180">
        <v>8</v>
      </c>
      <c r="T180">
        <v>8</v>
      </c>
      <c r="U180">
        <v>0.1</v>
      </c>
      <c r="V180">
        <v>1</v>
      </c>
    </row>
    <row r="181" spans="1:22">
      <c r="A181" t="s">
        <v>1801</v>
      </c>
      <c r="B181" t="s">
        <v>5099</v>
      </c>
      <c r="C181" t="s">
        <v>5106</v>
      </c>
      <c r="D181">
        <v>2</v>
      </c>
      <c r="E181">
        <v>2</v>
      </c>
      <c r="F181" t="s">
        <v>5799</v>
      </c>
      <c r="G181" t="s">
        <v>5800</v>
      </c>
      <c r="H181">
        <v>4</v>
      </c>
      <c r="I181">
        <v>-4</v>
      </c>
      <c r="J181">
        <v>0</v>
      </c>
      <c r="K181">
        <v>-4</v>
      </c>
      <c r="L181">
        <v>-7</v>
      </c>
      <c r="M181">
        <v>6</v>
      </c>
      <c r="N181">
        <v>4</v>
      </c>
      <c r="O181">
        <v>0.2</v>
      </c>
      <c r="P181">
        <v>4</v>
      </c>
      <c r="Q181" t="s">
        <v>5987</v>
      </c>
      <c r="R181">
        <v>8</v>
      </c>
      <c r="S181">
        <v>8</v>
      </c>
      <c r="T181">
        <v>8</v>
      </c>
      <c r="U181">
        <v>0.1</v>
      </c>
      <c r="V181">
        <v>1</v>
      </c>
    </row>
    <row r="182" spans="1:22">
      <c r="A182" t="s">
        <v>1793</v>
      </c>
      <c r="B182" t="s">
        <v>5801</v>
      </c>
      <c r="C182" t="s">
        <v>5107</v>
      </c>
      <c r="D182">
        <v>12</v>
      </c>
      <c r="E182">
        <v>5</v>
      </c>
      <c r="F182" t="s">
        <v>5794</v>
      </c>
      <c r="G182" t="s">
        <v>5795</v>
      </c>
      <c r="H182">
        <v>2</v>
      </c>
      <c r="I182">
        <v>-7</v>
      </c>
      <c r="J182">
        <v>0</v>
      </c>
      <c r="K182">
        <v>-7</v>
      </c>
      <c r="L182">
        <v>-7</v>
      </c>
      <c r="M182">
        <v>16</v>
      </c>
      <c r="N182">
        <v>6</v>
      </c>
      <c r="O182">
        <v>1.3</v>
      </c>
      <c r="P182" t="s">
        <v>5813</v>
      </c>
      <c r="Q182" t="s">
        <v>5804</v>
      </c>
      <c r="R182">
        <v>10</v>
      </c>
      <c r="S182">
        <v>2</v>
      </c>
      <c r="T182">
        <v>6</v>
      </c>
      <c r="U182">
        <v>1.5</v>
      </c>
      <c r="V182">
        <v>1</v>
      </c>
    </row>
    <row r="183" spans="1:22">
      <c r="A183" t="s">
        <v>1797</v>
      </c>
      <c r="B183" t="s">
        <v>5806</v>
      </c>
      <c r="C183" t="s">
        <v>5988</v>
      </c>
      <c r="D183">
        <v>20</v>
      </c>
      <c r="E183">
        <v>4</v>
      </c>
      <c r="F183" t="s">
        <v>5799</v>
      </c>
      <c r="G183" t="s">
        <v>5989</v>
      </c>
      <c r="H183">
        <v>4</v>
      </c>
      <c r="I183">
        <v>-5</v>
      </c>
      <c r="J183">
        <v>0</v>
      </c>
      <c r="K183">
        <v>-4</v>
      </c>
      <c r="L183">
        <v>-3</v>
      </c>
      <c r="M183">
        <v>14</v>
      </c>
      <c r="N183">
        <v>9</v>
      </c>
      <c r="O183">
        <v>1.8</v>
      </c>
      <c r="P183" t="s">
        <v>5813</v>
      </c>
      <c r="Q183" t="s">
        <v>5804</v>
      </c>
      <c r="R183">
        <v>3</v>
      </c>
      <c r="S183">
        <v>7</v>
      </c>
      <c r="T183">
        <v>5</v>
      </c>
      <c r="U183">
        <v>0.5</v>
      </c>
      <c r="V183">
        <v>0.5</v>
      </c>
    </row>
    <row r="184" spans="1:22">
      <c r="A184" t="s">
        <v>1797</v>
      </c>
      <c r="B184" t="s">
        <v>5806</v>
      </c>
      <c r="C184" t="s">
        <v>5990</v>
      </c>
      <c r="D184">
        <v>19</v>
      </c>
      <c r="E184">
        <v>4</v>
      </c>
      <c r="F184" t="s">
        <v>5799</v>
      </c>
      <c r="G184" t="s">
        <v>5991</v>
      </c>
      <c r="H184">
        <v>4</v>
      </c>
      <c r="I184">
        <v>-4</v>
      </c>
      <c r="J184">
        <v>0</v>
      </c>
      <c r="K184">
        <v>-5</v>
      </c>
      <c r="L184">
        <v>-3</v>
      </c>
      <c r="M184">
        <v>13</v>
      </c>
      <c r="N184">
        <v>8</v>
      </c>
      <c r="O184">
        <v>1.8</v>
      </c>
      <c r="P184" t="s">
        <v>5813</v>
      </c>
      <c r="Q184" t="s">
        <v>5804</v>
      </c>
      <c r="R184">
        <v>3</v>
      </c>
      <c r="S184">
        <v>7</v>
      </c>
      <c r="T184">
        <v>3</v>
      </c>
      <c r="U184">
        <v>0.5</v>
      </c>
      <c r="V184">
        <v>0.5</v>
      </c>
    </row>
    <row r="185" spans="1:22">
      <c r="A185" t="s">
        <v>1793</v>
      </c>
      <c r="B185" t="s">
        <v>5801</v>
      </c>
      <c r="C185" t="s">
        <v>5992</v>
      </c>
      <c r="D185">
        <v>9</v>
      </c>
      <c r="E185">
        <v>6</v>
      </c>
      <c r="F185" t="s">
        <v>5803</v>
      </c>
      <c r="H185">
        <v>2</v>
      </c>
      <c r="I185">
        <v>-6</v>
      </c>
      <c r="J185">
        <v>0</v>
      </c>
      <c r="K185">
        <v>-7</v>
      </c>
      <c r="L185">
        <v>-7</v>
      </c>
      <c r="M185">
        <v>24</v>
      </c>
      <c r="N185">
        <v>14</v>
      </c>
      <c r="O185">
        <v>0.9</v>
      </c>
      <c r="P185" t="s">
        <v>5813</v>
      </c>
      <c r="Q185" t="s">
        <v>5804</v>
      </c>
      <c r="R185">
        <v>10</v>
      </c>
      <c r="S185">
        <v>4</v>
      </c>
      <c r="T185">
        <v>8</v>
      </c>
      <c r="U185">
        <v>1.5</v>
      </c>
      <c r="V185">
        <v>1</v>
      </c>
    </row>
    <row r="186" spans="1:22">
      <c r="A186" t="s">
        <v>1799</v>
      </c>
      <c r="B186" t="s">
        <v>5831</v>
      </c>
      <c r="C186" t="s">
        <v>5993</v>
      </c>
      <c r="D186">
        <v>2</v>
      </c>
      <c r="E186">
        <v>0</v>
      </c>
      <c r="F186" t="s">
        <v>5799</v>
      </c>
      <c r="H186">
        <v>5</v>
      </c>
      <c r="I186">
        <v>-2</v>
      </c>
      <c r="J186">
        <v>0</v>
      </c>
      <c r="K186">
        <v>-2</v>
      </c>
      <c r="L186">
        <v>-7</v>
      </c>
      <c r="M186">
        <v>5</v>
      </c>
      <c r="O186">
        <v>0.2</v>
      </c>
      <c r="P186">
        <v>14</v>
      </c>
      <c r="R186">
        <v>7</v>
      </c>
      <c r="S186">
        <v>20</v>
      </c>
      <c r="T186">
        <v>3</v>
      </c>
      <c r="U186">
        <v>0.1</v>
      </c>
      <c r="V186">
        <v>1</v>
      </c>
    </row>
    <row r="187" spans="1:22">
      <c r="A187" t="s">
        <v>1801</v>
      </c>
      <c r="B187" t="s">
        <v>5099</v>
      </c>
      <c r="C187" t="s">
        <v>5993</v>
      </c>
      <c r="D187">
        <v>2</v>
      </c>
      <c r="E187">
        <v>0</v>
      </c>
      <c r="F187" t="s">
        <v>5799</v>
      </c>
      <c r="H187">
        <v>5</v>
      </c>
      <c r="I187">
        <v>-2</v>
      </c>
      <c r="J187">
        <v>0</v>
      </c>
      <c r="K187">
        <v>-2</v>
      </c>
      <c r="L187">
        <v>-7</v>
      </c>
      <c r="M187">
        <v>5</v>
      </c>
      <c r="O187">
        <v>0.2</v>
      </c>
      <c r="P187">
        <v>14</v>
      </c>
      <c r="R187">
        <v>7</v>
      </c>
      <c r="S187">
        <v>20</v>
      </c>
      <c r="T187">
        <v>3</v>
      </c>
      <c r="U187">
        <v>0.1</v>
      </c>
      <c r="V187">
        <v>1</v>
      </c>
    </row>
    <row r="188" spans="1:22">
      <c r="A188" t="s">
        <v>1797</v>
      </c>
      <c r="B188" t="s">
        <v>5822</v>
      </c>
      <c r="C188" t="s">
        <v>5994</v>
      </c>
      <c r="D188">
        <v>6</v>
      </c>
      <c r="E188">
        <v>3</v>
      </c>
      <c r="F188" t="s">
        <v>5800</v>
      </c>
      <c r="G188" t="s">
        <v>5800</v>
      </c>
      <c r="H188">
        <v>4</v>
      </c>
      <c r="I188">
        <v>-3</v>
      </c>
      <c r="J188">
        <v>0</v>
      </c>
      <c r="K188">
        <v>-2</v>
      </c>
      <c r="L188">
        <v>-5</v>
      </c>
      <c r="M188">
        <v>8</v>
      </c>
      <c r="N188">
        <v>5</v>
      </c>
      <c r="O188">
        <v>0.6</v>
      </c>
      <c r="P188">
        <v>5</v>
      </c>
      <c r="Q188" t="s">
        <v>5804</v>
      </c>
      <c r="R188">
        <v>3</v>
      </c>
      <c r="S188">
        <v>6</v>
      </c>
      <c r="T188">
        <v>2</v>
      </c>
      <c r="U188">
        <v>0.5</v>
      </c>
      <c r="V188">
        <v>0.25</v>
      </c>
    </row>
    <row r="189" spans="1:22">
      <c r="A189" t="s">
        <v>1793</v>
      </c>
      <c r="B189" t="s">
        <v>5855</v>
      </c>
      <c r="C189" t="s">
        <v>5994</v>
      </c>
      <c r="D189">
        <v>6</v>
      </c>
      <c r="E189">
        <v>3</v>
      </c>
      <c r="F189" t="s">
        <v>5800</v>
      </c>
      <c r="G189" t="s">
        <v>5800</v>
      </c>
      <c r="H189">
        <v>4</v>
      </c>
      <c r="I189">
        <v>-3</v>
      </c>
      <c r="J189">
        <v>0</v>
      </c>
      <c r="K189">
        <v>-2</v>
      </c>
      <c r="L189">
        <v>-5</v>
      </c>
      <c r="M189">
        <v>8</v>
      </c>
      <c r="N189">
        <v>5</v>
      </c>
      <c r="O189">
        <v>0.6</v>
      </c>
      <c r="P189">
        <v>5</v>
      </c>
      <c r="Q189" t="s">
        <v>5804</v>
      </c>
      <c r="R189">
        <v>3</v>
      </c>
      <c r="S189">
        <v>6</v>
      </c>
      <c r="T189">
        <v>3</v>
      </c>
      <c r="U189">
        <v>0.5</v>
      </c>
      <c r="V189">
        <v>0.25</v>
      </c>
    </row>
    <row r="190" spans="1:22">
      <c r="A190" t="s">
        <v>1799</v>
      </c>
      <c r="B190" t="s">
        <v>5831</v>
      </c>
      <c r="C190" t="s">
        <v>5995</v>
      </c>
      <c r="D190">
        <v>3</v>
      </c>
      <c r="E190">
        <v>2</v>
      </c>
      <c r="F190" t="s">
        <v>5799</v>
      </c>
      <c r="H190">
        <v>6</v>
      </c>
      <c r="I190">
        <v>-2</v>
      </c>
      <c r="J190">
        <v>0</v>
      </c>
      <c r="K190">
        <v>-1</v>
      </c>
      <c r="L190">
        <v>-6</v>
      </c>
      <c r="M190">
        <v>5</v>
      </c>
      <c r="N190">
        <v>3</v>
      </c>
      <c r="O190">
        <v>0.3</v>
      </c>
      <c r="P190">
        <v>8</v>
      </c>
      <c r="R190">
        <v>10</v>
      </c>
      <c r="S190">
        <v>14</v>
      </c>
      <c r="T190">
        <v>5</v>
      </c>
      <c r="U190">
        <v>0.3</v>
      </c>
      <c r="V190">
        <v>1</v>
      </c>
    </row>
    <row r="191" spans="1:22">
      <c r="A191" t="s">
        <v>1799</v>
      </c>
      <c r="B191" t="s">
        <v>5831</v>
      </c>
      <c r="C191" t="s">
        <v>5996</v>
      </c>
      <c r="D191">
        <v>1</v>
      </c>
      <c r="E191">
        <v>-1.5</v>
      </c>
      <c r="F191" t="s">
        <v>5816</v>
      </c>
      <c r="H191">
        <v>8</v>
      </c>
      <c r="I191">
        <v>-1</v>
      </c>
      <c r="J191">
        <v>0</v>
      </c>
      <c r="K191">
        <v>-3</v>
      </c>
      <c r="L191">
        <v>-11</v>
      </c>
      <c r="M191">
        <v>1</v>
      </c>
      <c r="O191">
        <v>0.15</v>
      </c>
      <c r="P191">
        <v>16</v>
      </c>
      <c r="R191">
        <v>7</v>
      </c>
      <c r="S191">
        <v>11</v>
      </c>
      <c r="T191">
        <v>4</v>
      </c>
      <c r="U191">
        <v>0.3</v>
      </c>
      <c r="V191">
        <v>1</v>
      </c>
    </row>
    <row r="192" spans="1:22">
      <c r="A192" t="s">
        <v>1797</v>
      </c>
      <c r="B192" t="s">
        <v>5806</v>
      </c>
      <c r="C192" t="s">
        <v>5997</v>
      </c>
      <c r="D192">
        <v>20</v>
      </c>
      <c r="E192">
        <v>5</v>
      </c>
      <c r="F192" t="s">
        <v>5803</v>
      </c>
      <c r="G192" t="s">
        <v>5800</v>
      </c>
      <c r="H192">
        <v>3</v>
      </c>
      <c r="I192">
        <v>-8</v>
      </c>
      <c r="J192">
        <v>0</v>
      </c>
      <c r="K192">
        <v>-5</v>
      </c>
      <c r="L192">
        <v>-4</v>
      </c>
      <c r="M192">
        <v>18</v>
      </c>
      <c r="N192">
        <v>11</v>
      </c>
      <c r="O192">
        <v>1.8</v>
      </c>
      <c r="P192" t="s">
        <v>5813</v>
      </c>
      <c r="Q192" t="s">
        <v>5804</v>
      </c>
      <c r="R192">
        <v>3</v>
      </c>
      <c r="S192">
        <v>7</v>
      </c>
      <c r="T192">
        <v>3</v>
      </c>
      <c r="U192">
        <v>0.5</v>
      </c>
      <c r="V192">
        <v>0.5</v>
      </c>
    </row>
    <row r="193" spans="1:26">
      <c r="A193" t="s">
        <v>1793</v>
      </c>
      <c r="B193" t="s">
        <v>5855</v>
      </c>
      <c r="C193" t="s">
        <v>5998</v>
      </c>
      <c r="D193">
        <v>10</v>
      </c>
      <c r="E193">
        <v>7</v>
      </c>
      <c r="F193" t="s">
        <v>5819</v>
      </c>
      <c r="G193" t="s">
        <v>5820</v>
      </c>
      <c r="H193">
        <v>1.5</v>
      </c>
      <c r="I193">
        <v>-9</v>
      </c>
      <c r="J193">
        <v>0</v>
      </c>
      <c r="K193">
        <v>-6</v>
      </c>
      <c r="L193">
        <v>-7</v>
      </c>
      <c r="M193">
        <v>30</v>
      </c>
      <c r="N193">
        <v>17</v>
      </c>
      <c r="O193">
        <v>1.05</v>
      </c>
      <c r="P193" t="s">
        <v>5813</v>
      </c>
      <c r="Q193" t="s">
        <v>5804</v>
      </c>
      <c r="R193">
        <v>18</v>
      </c>
      <c r="S193">
        <v>8</v>
      </c>
      <c r="T193">
        <v>6</v>
      </c>
      <c r="U193">
        <v>1</v>
      </c>
      <c r="V193">
        <v>3</v>
      </c>
    </row>
    <row r="194" spans="1:26">
      <c r="A194" t="s">
        <v>1793</v>
      </c>
      <c r="B194" t="s">
        <v>5801</v>
      </c>
      <c r="C194" t="s">
        <v>5999</v>
      </c>
      <c r="D194">
        <v>12</v>
      </c>
      <c r="E194">
        <v>5.5</v>
      </c>
      <c r="F194" t="s">
        <v>5803</v>
      </c>
      <c r="H194">
        <v>3</v>
      </c>
      <c r="I194">
        <v>-3</v>
      </c>
      <c r="J194">
        <v>0</v>
      </c>
      <c r="K194">
        <v>-4</v>
      </c>
      <c r="L194">
        <v>-4</v>
      </c>
      <c r="M194">
        <v>17</v>
      </c>
      <c r="N194">
        <v>10</v>
      </c>
      <c r="O194">
        <v>1.2</v>
      </c>
      <c r="P194" t="s">
        <v>5813</v>
      </c>
      <c r="Q194" t="s">
        <v>5804</v>
      </c>
      <c r="R194">
        <v>17</v>
      </c>
      <c r="S194">
        <v>8</v>
      </c>
      <c r="T194">
        <v>12</v>
      </c>
      <c r="U194">
        <v>1</v>
      </c>
      <c r="V194">
        <v>2.5</v>
      </c>
    </row>
    <row r="195" spans="1:26">
      <c r="A195" t="s">
        <v>1793</v>
      </c>
      <c r="B195" t="s">
        <v>5801</v>
      </c>
      <c r="C195" t="s">
        <v>6000</v>
      </c>
      <c r="D195">
        <v>9</v>
      </c>
      <c r="E195">
        <v>5</v>
      </c>
      <c r="F195" t="s">
        <v>5803</v>
      </c>
      <c r="H195">
        <v>4</v>
      </c>
      <c r="I195">
        <v>-3</v>
      </c>
      <c r="J195">
        <v>0</v>
      </c>
      <c r="K195">
        <v>-3</v>
      </c>
      <c r="L195">
        <v>-4</v>
      </c>
      <c r="M195">
        <v>15</v>
      </c>
      <c r="N195">
        <v>9</v>
      </c>
      <c r="O195">
        <v>0.9</v>
      </c>
      <c r="P195">
        <v>0</v>
      </c>
      <c r="Q195" t="s">
        <v>5804</v>
      </c>
      <c r="R195">
        <v>16</v>
      </c>
      <c r="S195">
        <v>7</v>
      </c>
      <c r="T195">
        <v>7</v>
      </c>
      <c r="U195">
        <v>0.85</v>
      </c>
      <c r="V195">
        <v>1</v>
      </c>
    </row>
    <row r="196" spans="1:26">
      <c r="A196" t="s">
        <v>1793</v>
      </c>
      <c r="B196" t="s">
        <v>5801</v>
      </c>
      <c r="C196" t="s">
        <v>6001</v>
      </c>
      <c r="D196">
        <v>12</v>
      </c>
      <c r="E196">
        <v>7</v>
      </c>
      <c r="F196" t="s">
        <v>6002</v>
      </c>
      <c r="G196" t="s">
        <v>5799</v>
      </c>
      <c r="H196">
        <v>2</v>
      </c>
      <c r="I196">
        <v>-14</v>
      </c>
      <c r="J196">
        <v>0</v>
      </c>
      <c r="K196">
        <v>-7</v>
      </c>
      <c r="L196">
        <v>-6</v>
      </c>
      <c r="M196">
        <v>21</v>
      </c>
      <c r="N196">
        <v>14</v>
      </c>
      <c r="O196">
        <v>1.22</v>
      </c>
      <c r="P196" t="s">
        <v>5813</v>
      </c>
      <c r="Q196" t="s">
        <v>5804</v>
      </c>
      <c r="R196">
        <v>20</v>
      </c>
      <c r="S196">
        <v>7</v>
      </c>
      <c r="T196">
        <v>9</v>
      </c>
      <c r="U196">
        <v>1.1000000000000001</v>
      </c>
      <c r="V196">
        <v>2</v>
      </c>
    </row>
    <row r="197" spans="1:26">
      <c r="A197" t="s">
        <v>1793</v>
      </c>
      <c r="B197" t="s">
        <v>5855</v>
      </c>
      <c r="C197" t="s">
        <v>6003</v>
      </c>
      <c r="D197">
        <v>8</v>
      </c>
      <c r="E197">
        <v>5</v>
      </c>
      <c r="F197" t="s">
        <v>5820</v>
      </c>
      <c r="G197" t="s">
        <v>5795</v>
      </c>
      <c r="H197">
        <v>3</v>
      </c>
      <c r="I197">
        <v>-4</v>
      </c>
      <c r="J197">
        <v>4</v>
      </c>
      <c r="K197">
        <v>-4</v>
      </c>
      <c r="L197">
        <v>-4</v>
      </c>
      <c r="M197">
        <v>10</v>
      </c>
      <c r="N197">
        <v>7</v>
      </c>
      <c r="O197">
        <v>0.8</v>
      </c>
      <c r="P197">
        <v>1</v>
      </c>
      <c r="Q197" t="s">
        <v>5804</v>
      </c>
      <c r="R197">
        <v>16</v>
      </c>
      <c r="S197">
        <v>8</v>
      </c>
      <c r="T197">
        <v>12</v>
      </c>
      <c r="U197">
        <v>1.5</v>
      </c>
      <c r="V197">
        <v>3</v>
      </c>
    </row>
    <row r="198" spans="1:26">
      <c r="A198" t="s">
        <v>1793</v>
      </c>
      <c r="B198" t="s">
        <v>5855</v>
      </c>
      <c r="C198" t="s">
        <v>6004</v>
      </c>
      <c r="D198">
        <v>6</v>
      </c>
      <c r="E198">
        <v>4</v>
      </c>
      <c r="F198" t="s">
        <v>6005</v>
      </c>
      <c r="G198" t="s">
        <v>5795</v>
      </c>
      <c r="H198">
        <v>3</v>
      </c>
      <c r="I198">
        <v>-3</v>
      </c>
      <c r="J198">
        <v>3</v>
      </c>
      <c r="K198">
        <v>-3</v>
      </c>
      <c r="L198">
        <v>-4</v>
      </c>
      <c r="M198">
        <v>7</v>
      </c>
      <c r="N198">
        <v>5</v>
      </c>
      <c r="O198">
        <v>0.6</v>
      </c>
      <c r="P198">
        <v>4</v>
      </c>
      <c r="Q198" t="s">
        <v>5804</v>
      </c>
      <c r="R198">
        <v>16</v>
      </c>
      <c r="S198">
        <v>7</v>
      </c>
      <c r="T198">
        <v>12</v>
      </c>
      <c r="U198">
        <v>1.2</v>
      </c>
      <c r="V198">
        <v>3</v>
      </c>
    </row>
    <row r="199" spans="1:26">
      <c r="A199" t="s">
        <v>1793</v>
      </c>
      <c r="B199" t="s">
        <v>5810</v>
      </c>
      <c r="C199" t="s">
        <v>6006</v>
      </c>
      <c r="D199">
        <v>12</v>
      </c>
      <c r="E199">
        <v>6</v>
      </c>
      <c r="F199" t="s">
        <v>5883</v>
      </c>
      <c r="G199" t="s">
        <v>5816</v>
      </c>
      <c r="H199">
        <v>2</v>
      </c>
      <c r="I199">
        <v>-9</v>
      </c>
      <c r="J199">
        <v>2</v>
      </c>
      <c r="K199">
        <v>-6</v>
      </c>
      <c r="L199">
        <v>-6</v>
      </c>
      <c r="M199">
        <v>22</v>
      </c>
      <c r="N199">
        <v>13</v>
      </c>
      <c r="O199">
        <v>1.2</v>
      </c>
      <c r="P199" t="s">
        <v>5813</v>
      </c>
      <c r="Q199" t="s">
        <v>5804</v>
      </c>
      <c r="R199">
        <v>17</v>
      </c>
      <c r="S199">
        <v>8</v>
      </c>
      <c r="T199">
        <v>4</v>
      </c>
      <c r="U199">
        <v>1.5</v>
      </c>
      <c r="V199">
        <v>3</v>
      </c>
    </row>
    <row r="200" spans="1:26">
      <c r="A200" t="s">
        <v>1793</v>
      </c>
      <c r="B200" t="s">
        <v>5855</v>
      </c>
      <c r="C200" t="s">
        <v>6007</v>
      </c>
      <c r="D200">
        <v>8</v>
      </c>
      <c r="E200">
        <v>4</v>
      </c>
      <c r="F200" t="s">
        <v>5816</v>
      </c>
      <c r="G200" t="s">
        <v>5816</v>
      </c>
      <c r="H200">
        <v>3</v>
      </c>
      <c r="I200">
        <v>-4</v>
      </c>
      <c r="J200">
        <v>0</v>
      </c>
      <c r="K200">
        <v>-4</v>
      </c>
      <c r="L200">
        <v>-4</v>
      </c>
      <c r="M200">
        <v>10</v>
      </c>
      <c r="N200">
        <v>7</v>
      </c>
      <c r="O200">
        <v>0.75</v>
      </c>
      <c r="P200">
        <v>2</v>
      </c>
      <c r="Q200" t="s">
        <v>5804</v>
      </c>
      <c r="R200">
        <v>15</v>
      </c>
      <c r="S200">
        <v>7</v>
      </c>
      <c r="T200">
        <v>4</v>
      </c>
      <c r="U200">
        <v>1</v>
      </c>
      <c r="V200">
        <v>1</v>
      </c>
    </row>
    <row r="201" spans="1:26">
      <c r="A201" t="s">
        <v>1801</v>
      </c>
      <c r="B201" t="s">
        <v>5848</v>
      </c>
      <c r="C201" t="s">
        <v>6008</v>
      </c>
      <c r="E201">
        <v>8</v>
      </c>
      <c r="F201" t="s">
        <v>5816</v>
      </c>
      <c r="G201" t="s">
        <v>5795</v>
      </c>
      <c r="H201">
        <v>3</v>
      </c>
      <c r="I201">
        <v>-5</v>
      </c>
      <c r="K201">
        <v>-5</v>
      </c>
      <c r="L201">
        <v>6</v>
      </c>
      <c r="M201">
        <v>15</v>
      </c>
      <c r="R201">
        <v>15</v>
      </c>
      <c r="S201">
        <v>15</v>
      </c>
      <c r="T201">
        <v>15</v>
      </c>
      <c r="Y201">
        <v>15</v>
      </c>
      <c r="Z201">
        <v>375</v>
      </c>
    </row>
    <row r="202" spans="1:26">
      <c r="A202" t="s">
        <v>1793</v>
      </c>
      <c r="B202" t="s">
        <v>5801</v>
      </c>
      <c r="C202" t="s">
        <v>6009</v>
      </c>
      <c r="D202">
        <v>6</v>
      </c>
      <c r="E202">
        <v>3</v>
      </c>
      <c r="F202" t="s">
        <v>5812</v>
      </c>
      <c r="G202" t="s">
        <v>5800</v>
      </c>
      <c r="H202">
        <v>4</v>
      </c>
      <c r="I202">
        <v>-6</v>
      </c>
      <c r="J202">
        <v>0</v>
      </c>
      <c r="K202">
        <v>-3</v>
      </c>
      <c r="L202">
        <v>-4</v>
      </c>
      <c r="M202">
        <v>8</v>
      </c>
      <c r="N202">
        <v>6</v>
      </c>
      <c r="O202">
        <v>0.61</v>
      </c>
      <c r="P202">
        <v>5</v>
      </c>
      <c r="Q202" t="s">
        <v>5804</v>
      </c>
      <c r="R202">
        <v>16</v>
      </c>
      <c r="S202">
        <v>7</v>
      </c>
      <c r="T202">
        <v>7</v>
      </c>
      <c r="U202">
        <v>0.6</v>
      </c>
      <c r="V202">
        <v>1</v>
      </c>
    </row>
    <row r="203" spans="1:26">
      <c r="A203" t="s">
        <v>1801</v>
      </c>
      <c r="B203" t="s">
        <v>5793</v>
      </c>
      <c r="C203" t="s">
        <v>6010</v>
      </c>
      <c r="D203">
        <v>5</v>
      </c>
      <c r="E203">
        <v>2</v>
      </c>
      <c r="F203" t="s">
        <v>5795</v>
      </c>
      <c r="G203" t="s">
        <v>5800</v>
      </c>
      <c r="H203">
        <v>4</v>
      </c>
      <c r="I203">
        <v>-3</v>
      </c>
      <c r="J203">
        <v>0</v>
      </c>
      <c r="K203">
        <v>-2</v>
      </c>
      <c r="L203">
        <v>-3</v>
      </c>
      <c r="M203">
        <v>7</v>
      </c>
      <c r="N203">
        <v>4</v>
      </c>
      <c r="O203">
        <v>0.5</v>
      </c>
      <c r="P203">
        <v>5</v>
      </c>
      <c r="R203">
        <v>7</v>
      </c>
      <c r="S203">
        <v>14</v>
      </c>
      <c r="T203">
        <v>4</v>
      </c>
      <c r="U203">
        <v>0.5</v>
      </c>
      <c r="V203">
        <v>0.5</v>
      </c>
    </row>
    <row r="204" spans="1:26">
      <c r="A204" t="s">
        <v>1793</v>
      </c>
      <c r="B204" t="s">
        <v>5855</v>
      </c>
      <c r="C204" t="s">
        <v>6010</v>
      </c>
      <c r="D204">
        <v>5</v>
      </c>
      <c r="E204">
        <v>2</v>
      </c>
      <c r="F204" t="s">
        <v>5795</v>
      </c>
      <c r="G204" t="s">
        <v>5800</v>
      </c>
      <c r="H204">
        <v>4</v>
      </c>
      <c r="I204">
        <v>-3</v>
      </c>
      <c r="J204">
        <v>0</v>
      </c>
      <c r="K204">
        <v>-2</v>
      </c>
      <c r="L204">
        <v>-3</v>
      </c>
      <c r="M204">
        <v>7</v>
      </c>
      <c r="N204">
        <v>4</v>
      </c>
      <c r="O204">
        <v>0.5</v>
      </c>
      <c r="P204">
        <v>5</v>
      </c>
      <c r="R204">
        <v>7</v>
      </c>
      <c r="S204">
        <v>14</v>
      </c>
      <c r="T204">
        <v>4</v>
      </c>
      <c r="U204">
        <v>0.5</v>
      </c>
      <c r="V204">
        <v>0.5</v>
      </c>
    </row>
    <row r="205" spans="1:26">
      <c r="A205" t="s">
        <v>1801</v>
      </c>
      <c r="B205" t="s">
        <v>5858</v>
      </c>
      <c r="C205" t="s">
        <v>6011</v>
      </c>
      <c r="D205">
        <v>0</v>
      </c>
      <c r="E205">
        <v>0</v>
      </c>
      <c r="F205" t="s">
        <v>5816</v>
      </c>
      <c r="H205">
        <v>3</v>
      </c>
      <c r="I205">
        <v>-3</v>
      </c>
      <c r="J205">
        <v>0</v>
      </c>
      <c r="K205">
        <v>-2</v>
      </c>
      <c r="L205">
        <v>-15</v>
      </c>
      <c r="O205">
        <v>0.1</v>
      </c>
      <c r="P205">
        <v>12</v>
      </c>
      <c r="R205">
        <v>8</v>
      </c>
      <c r="S205">
        <v>18</v>
      </c>
      <c r="T205">
        <v>2</v>
      </c>
    </row>
    <row r="206" spans="1:26">
      <c r="A206" t="s">
        <v>1793</v>
      </c>
      <c r="B206" t="s">
        <v>5855</v>
      </c>
      <c r="C206" t="s">
        <v>6011</v>
      </c>
      <c r="D206">
        <v>0</v>
      </c>
      <c r="E206">
        <v>0</v>
      </c>
      <c r="F206" t="s">
        <v>5816</v>
      </c>
      <c r="H206">
        <v>3</v>
      </c>
      <c r="I206">
        <v>-3</v>
      </c>
      <c r="J206">
        <v>0</v>
      </c>
      <c r="K206">
        <v>-2</v>
      </c>
      <c r="L206">
        <v>-15</v>
      </c>
      <c r="O206">
        <v>0.1</v>
      </c>
      <c r="P206">
        <v>12</v>
      </c>
      <c r="R206">
        <v>8</v>
      </c>
      <c r="S206">
        <v>18</v>
      </c>
      <c r="T206">
        <v>2</v>
      </c>
      <c r="U206">
        <v>0.3</v>
      </c>
      <c r="V206">
        <v>0.1</v>
      </c>
    </row>
    <row r="207" spans="1:26">
      <c r="A207" t="s">
        <v>1793</v>
      </c>
      <c r="B207" t="s">
        <v>5810</v>
      </c>
      <c r="C207" t="s">
        <v>6012</v>
      </c>
      <c r="D207">
        <v>16</v>
      </c>
      <c r="E207">
        <v>9</v>
      </c>
      <c r="F207" t="s">
        <v>6002</v>
      </c>
      <c r="G207" t="s">
        <v>5803</v>
      </c>
      <c r="H207">
        <v>1</v>
      </c>
      <c r="I207">
        <v>-28</v>
      </c>
      <c r="J207">
        <v>0</v>
      </c>
      <c r="K207">
        <v>-7</v>
      </c>
      <c r="L207">
        <v>-7</v>
      </c>
      <c r="M207">
        <v>43</v>
      </c>
      <c r="N207">
        <v>25</v>
      </c>
      <c r="O207">
        <v>1.76</v>
      </c>
      <c r="P207" t="s">
        <v>5813</v>
      </c>
      <c r="Q207" t="s">
        <v>5804</v>
      </c>
      <c r="R207">
        <v>25</v>
      </c>
      <c r="S207">
        <v>9</v>
      </c>
      <c r="T207">
        <v>8</v>
      </c>
      <c r="U207">
        <v>3.5</v>
      </c>
      <c r="V207">
        <v>1.5</v>
      </c>
    </row>
    <row r="208" spans="1:26">
      <c r="A208" t="s">
        <v>1793</v>
      </c>
      <c r="B208" t="s">
        <v>5810</v>
      </c>
      <c r="C208" t="s">
        <v>6013</v>
      </c>
      <c r="D208">
        <v>18</v>
      </c>
      <c r="E208">
        <v>9</v>
      </c>
      <c r="F208" t="s">
        <v>5875</v>
      </c>
      <c r="H208">
        <v>1</v>
      </c>
      <c r="I208">
        <v>-22</v>
      </c>
      <c r="J208">
        <v>0</v>
      </c>
      <c r="K208">
        <v>-7</v>
      </c>
      <c r="L208">
        <v>-7</v>
      </c>
      <c r="M208">
        <v>44</v>
      </c>
      <c r="N208">
        <v>26</v>
      </c>
      <c r="O208">
        <v>2</v>
      </c>
      <c r="P208" t="s">
        <v>5813</v>
      </c>
      <c r="Q208" t="s">
        <v>5804</v>
      </c>
      <c r="R208">
        <v>14</v>
      </c>
      <c r="S208">
        <v>11</v>
      </c>
      <c r="T208">
        <v>4</v>
      </c>
      <c r="U208">
        <v>2</v>
      </c>
      <c r="V208">
        <v>1.5</v>
      </c>
    </row>
    <row r="209" spans="1:26">
      <c r="A209" t="s">
        <v>1799</v>
      </c>
      <c r="B209" t="s">
        <v>5831</v>
      </c>
      <c r="C209" t="s">
        <v>6014</v>
      </c>
      <c r="D209">
        <v>3</v>
      </c>
      <c r="E209">
        <v>2</v>
      </c>
      <c r="F209" t="s">
        <v>5819</v>
      </c>
      <c r="H209">
        <v>4</v>
      </c>
      <c r="I209">
        <v>-4</v>
      </c>
      <c r="J209">
        <v>0</v>
      </c>
      <c r="K209">
        <v>-2</v>
      </c>
      <c r="L209">
        <v>-6</v>
      </c>
      <c r="M209">
        <v>9</v>
      </c>
      <c r="N209">
        <v>7</v>
      </c>
      <c r="O209">
        <v>0.35</v>
      </c>
      <c r="P209">
        <v>5</v>
      </c>
      <c r="Q209" t="s">
        <v>6015</v>
      </c>
      <c r="R209">
        <v>12</v>
      </c>
      <c r="S209">
        <v>15</v>
      </c>
      <c r="T209">
        <v>7</v>
      </c>
      <c r="U209">
        <v>1</v>
      </c>
      <c r="V209">
        <v>5</v>
      </c>
    </row>
    <row r="210" spans="1:26">
      <c r="A210" t="s">
        <v>1801</v>
      </c>
      <c r="B210" t="s">
        <v>5848</v>
      </c>
      <c r="C210" t="s">
        <v>6016</v>
      </c>
      <c r="E210">
        <v>12</v>
      </c>
      <c r="F210" t="s">
        <v>5850</v>
      </c>
      <c r="H210">
        <v>3</v>
      </c>
      <c r="I210">
        <v>-5</v>
      </c>
      <c r="K210">
        <v>-8</v>
      </c>
      <c r="L210">
        <v>10</v>
      </c>
      <c r="M210">
        <v>21</v>
      </c>
      <c r="R210">
        <v>15</v>
      </c>
      <c r="S210">
        <v>15</v>
      </c>
      <c r="T210">
        <v>15</v>
      </c>
      <c r="Y210">
        <v>18</v>
      </c>
      <c r="Z210">
        <v>750</v>
      </c>
    </row>
    <row r="211" spans="1:26">
      <c r="A211" t="s">
        <v>1797</v>
      </c>
      <c r="B211" t="s">
        <v>5930</v>
      </c>
      <c r="C211" t="s">
        <v>6017</v>
      </c>
      <c r="D211">
        <v>32</v>
      </c>
      <c r="E211">
        <v>4</v>
      </c>
      <c r="F211" t="s">
        <v>5816</v>
      </c>
      <c r="G211" t="s">
        <v>5800</v>
      </c>
      <c r="H211">
        <v>3</v>
      </c>
      <c r="I211">
        <v>-6</v>
      </c>
      <c r="J211">
        <v>0</v>
      </c>
      <c r="K211">
        <v>-5</v>
      </c>
      <c r="L211">
        <v>-6</v>
      </c>
      <c r="M211">
        <v>16</v>
      </c>
      <c r="N211">
        <v>10</v>
      </c>
      <c r="O211">
        <v>3</v>
      </c>
      <c r="P211" t="s">
        <v>5813</v>
      </c>
      <c r="Q211" t="s">
        <v>5804</v>
      </c>
      <c r="R211">
        <v>5</v>
      </c>
      <c r="S211">
        <v>3</v>
      </c>
      <c r="T211">
        <v>3</v>
      </c>
      <c r="U211">
        <v>1</v>
      </c>
      <c r="V211">
        <v>4</v>
      </c>
    </row>
    <row r="212" spans="1:26">
      <c r="A212" t="s">
        <v>1801</v>
      </c>
      <c r="B212" t="s">
        <v>5848</v>
      </c>
      <c r="C212" t="s">
        <v>6018</v>
      </c>
      <c r="E212">
        <v>8</v>
      </c>
      <c r="F212" t="s">
        <v>5816</v>
      </c>
      <c r="G212" t="s">
        <v>5795</v>
      </c>
      <c r="H212">
        <v>3</v>
      </c>
      <c r="I212">
        <v>-5</v>
      </c>
      <c r="K212">
        <v>-6</v>
      </c>
      <c r="L212">
        <v>7</v>
      </c>
      <c r="M212">
        <v>17</v>
      </c>
      <c r="Q212" t="s">
        <v>6019</v>
      </c>
      <c r="R212">
        <v>14</v>
      </c>
      <c r="S212">
        <v>14</v>
      </c>
      <c r="T212">
        <v>15</v>
      </c>
      <c r="Y212">
        <v>16</v>
      </c>
      <c r="Z212">
        <v>425</v>
      </c>
    </row>
    <row r="213" spans="1:26">
      <c r="A213" t="s">
        <v>1801</v>
      </c>
      <c r="B213" t="s">
        <v>5858</v>
      </c>
      <c r="C213" t="s">
        <v>6020</v>
      </c>
      <c r="D213">
        <v>0</v>
      </c>
      <c r="E213">
        <v>-2</v>
      </c>
      <c r="F213" t="s">
        <v>5816</v>
      </c>
      <c r="H213">
        <v>3</v>
      </c>
      <c r="I213">
        <v>-5</v>
      </c>
      <c r="J213">
        <v>0</v>
      </c>
      <c r="K213">
        <v>0</v>
      </c>
      <c r="L213">
        <v>0</v>
      </c>
      <c r="M213">
        <v>1</v>
      </c>
      <c r="N213">
        <v>1</v>
      </c>
      <c r="O213">
        <v>0</v>
      </c>
      <c r="P213" t="s">
        <v>5813</v>
      </c>
      <c r="Q213" t="s">
        <v>5796</v>
      </c>
      <c r="R213">
        <v>0</v>
      </c>
      <c r="S213">
        <v>0</v>
      </c>
      <c r="W213" t="s">
        <v>6021</v>
      </c>
      <c r="X213">
        <v>20</v>
      </c>
    </row>
    <row r="214" spans="1:26">
      <c r="A214" t="s">
        <v>1801</v>
      </c>
      <c r="B214" t="s">
        <v>5858</v>
      </c>
      <c r="C214" t="s">
        <v>6022</v>
      </c>
      <c r="D214">
        <v>0</v>
      </c>
      <c r="E214">
        <v>0</v>
      </c>
      <c r="F214" t="s">
        <v>5816</v>
      </c>
      <c r="G214" t="s">
        <v>5800</v>
      </c>
      <c r="H214">
        <v>3</v>
      </c>
      <c r="I214">
        <v>-5</v>
      </c>
      <c r="J214">
        <v>0</v>
      </c>
      <c r="K214">
        <v>-2</v>
      </c>
      <c r="L214">
        <v>-7</v>
      </c>
      <c r="M214">
        <v>9</v>
      </c>
      <c r="O214">
        <v>0.05</v>
      </c>
      <c r="P214">
        <v>14</v>
      </c>
      <c r="R214">
        <v>4</v>
      </c>
      <c r="S214">
        <v>30</v>
      </c>
      <c r="T214">
        <v>16</v>
      </c>
      <c r="U214">
        <v>1</v>
      </c>
      <c r="V214">
        <v>4</v>
      </c>
    </row>
    <row r="215" spans="1:26">
      <c r="A215" t="s">
        <v>1793</v>
      </c>
      <c r="B215" t="s">
        <v>5810</v>
      </c>
      <c r="C215" t="s">
        <v>6023</v>
      </c>
      <c r="D215">
        <v>9</v>
      </c>
      <c r="E215">
        <v>8</v>
      </c>
      <c r="F215" t="s">
        <v>5829</v>
      </c>
      <c r="H215">
        <v>1.5</v>
      </c>
      <c r="I215">
        <v>-13</v>
      </c>
      <c r="J215">
        <v>0</v>
      </c>
      <c r="K215">
        <v>-6</v>
      </c>
      <c r="L215">
        <v>-7</v>
      </c>
      <c r="M215">
        <v>27</v>
      </c>
      <c r="N215">
        <v>16</v>
      </c>
      <c r="O215">
        <v>0.9</v>
      </c>
      <c r="P215">
        <v>0</v>
      </c>
      <c r="Q215" t="s">
        <v>5804</v>
      </c>
      <c r="R215">
        <v>16</v>
      </c>
      <c r="S215">
        <v>7</v>
      </c>
      <c r="T215">
        <v>6</v>
      </c>
      <c r="U215">
        <v>4</v>
      </c>
      <c r="V215">
        <v>1</v>
      </c>
    </row>
    <row r="216" spans="1:26">
      <c r="A216" t="s">
        <v>1799</v>
      </c>
      <c r="B216" t="s">
        <v>5797</v>
      </c>
      <c r="C216" t="s">
        <v>6024</v>
      </c>
      <c r="D216">
        <v>7</v>
      </c>
      <c r="E216">
        <v>4</v>
      </c>
      <c r="F216" t="s">
        <v>5799</v>
      </c>
      <c r="G216" t="s">
        <v>5800</v>
      </c>
      <c r="H216">
        <v>4</v>
      </c>
      <c r="I216">
        <v>-4</v>
      </c>
      <c r="J216">
        <v>0</v>
      </c>
      <c r="K216">
        <v>-3</v>
      </c>
      <c r="L216">
        <v>-4</v>
      </c>
      <c r="M216">
        <v>8</v>
      </c>
      <c r="N216">
        <v>5</v>
      </c>
      <c r="O216">
        <v>0.65</v>
      </c>
      <c r="P216">
        <v>4</v>
      </c>
      <c r="R216">
        <v>15</v>
      </c>
      <c r="S216">
        <v>14</v>
      </c>
      <c r="T216">
        <v>12</v>
      </c>
      <c r="U216">
        <v>0.7</v>
      </c>
      <c r="V216">
        <v>3.5</v>
      </c>
    </row>
    <row r="217" spans="1:26">
      <c r="A217" t="s">
        <v>1795</v>
      </c>
      <c r="B217" t="s">
        <v>5870</v>
      </c>
      <c r="C217" t="s">
        <v>6024</v>
      </c>
      <c r="D217">
        <v>7</v>
      </c>
      <c r="E217">
        <v>4</v>
      </c>
      <c r="F217" t="s">
        <v>5799</v>
      </c>
      <c r="G217" t="s">
        <v>5800</v>
      </c>
      <c r="H217">
        <v>4</v>
      </c>
      <c r="I217">
        <v>-4</v>
      </c>
      <c r="J217">
        <v>0</v>
      </c>
      <c r="K217">
        <v>-3</v>
      </c>
      <c r="L217">
        <v>-4</v>
      </c>
      <c r="M217">
        <v>8</v>
      </c>
      <c r="N217">
        <v>5</v>
      </c>
      <c r="O217">
        <v>0.65</v>
      </c>
      <c r="P217">
        <v>4</v>
      </c>
      <c r="R217">
        <v>15</v>
      </c>
      <c r="S217">
        <v>14</v>
      </c>
      <c r="T217">
        <v>12</v>
      </c>
      <c r="U217">
        <v>0.7</v>
      </c>
      <c r="V217">
        <v>3.5</v>
      </c>
    </row>
    <row r="218" spans="1:26">
      <c r="A218" t="s">
        <v>1799</v>
      </c>
      <c r="B218" t="s">
        <v>5797</v>
      </c>
      <c r="C218" t="s">
        <v>6025</v>
      </c>
      <c r="D218">
        <v>10</v>
      </c>
      <c r="E218">
        <v>3</v>
      </c>
      <c r="F218" t="s">
        <v>5794</v>
      </c>
      <c r="G218" t="s">
        <v>5795</v>
      </c>
      <c r="H218">
        <v>5</v>
      </c>
      <c r="I218">
        <v>-4</v>
      </c>
      <c r="J218">
        <v>0</v>
      </c>
      <c r="K218">
        <v>-3</v>
      </c>
      <c r="L218">
        <v>0</v>
      </c>
      <c r="M218">
        <v>8</v>
      </c>
      <c r="N218">
        <v>5</v>
      </c>
      <c r="O218">
        <v>1</v>
      </c>
      <c r="P218">
        <v>2</v>
      </c>
      <c r="R218">
        <v>5</v>
      </c>
      <c r="S218">
        <v>14</v>
      </c>
      <c r="T218">
        <v>12</v>
      </c>
      <c r="U218">
        <v>0.9</v>
      </c>
      <c r="V218">
        <v>4</v>
      </c>
    </row>
    <row r="219" spans="1:26">
      <c r="A219" t="s">
        <v>1795</v>
      </c>
      <c r="B219" t="s">
        <v>5814</v>
      </c>
      <c r="C219" t="s">
        <v>6025</v>
      </c>
      <c r="D219">
        <v>10</v>
      </c>
      <c r="E219">
        <v>3</v>
      </c>
      <c r="F219" t="s">
        <v>5794</v>
      </c>
      <c r="G219" t="s">
        <v>5795</v>
      </c>
      <c r="H219">
        <v>5</v>
      </c>
      <c r="I219">
        <v>-4</v>
      </c>
      <c r="J219">
        <v>0</v>
      </c>
      <c r="K219">
        <v>-3</v>
      </c>
      <c r="L219">
        <v>0</v>
      </c>
      <c r="M219">
        <v>8</v>
      </c>
      <c r="N219">
        <v>5</v>
      </c>
      <c r="O219">
        <v>1</v>
      </c>
      <c r="P219">
        <v>2</v>
      </c>
      <c r="R219">
        <v>5</v>
      </c>
      <c r="S219">
        <v>14</v>
      </c>
      <c r="T219">
        <v>12</v>
      </c>
      <c r="U219">
        <v>0.9</v>
      </c>
      <c r="V219">
        <v>4</v>
      </c>
    </row>
    <row r="220" spans="1:26">
      <c r="A220" t="s">
        <v>1797</v>
      </c>
      <c r="B220" t="s">
        <v>5806</v>
      </c>
      <c r="C220" t="s">
        <v>6026</v>
      </c>
      <c r="D220">
        <v>19</v>
      </c>
      <c r="E220">
        <v>4</v>
      </c>
      <c r="F220" t="s">
        <v>5799</v>
      </c>
      <c r="G220" t="s">
        <v>5795</v>
      </c>
      <c r="H220">
        <v>5</v>
      </c>
      <c r="I220">
        <v>-5</v>
      </c>
      <c r="J220">
        <v>0</v>
      </c>
      <c r="K220">
        <v>-5</v>
      </c>
      <c r="L220">
        <v>-4</v>
      </c>
      <c r="M220">
        <v>7</v>
      </c>
      <c r="N220">
        <v>5</v>
      </c>
      <c r="O220">
        <v>1.8</v>
      </c>
      <c r="P220" t="s">
        <v>5813</v>
      </c>
      <c r="Q220" t="s">
        <v>5804</v>
      </c>
      <c r="R220">
        <v>3</v>
      </c>
      <c r="S220">
        <v>7</v>
      </c>
      <c r="T220">
        <v>3</v>
      </c>
      <c r="U220">
        <v>0.5</v>
      </c>
      <c r="V220">
        <v>0.5</v>
      </c>
    </row>
    <row r="221" spans="1:26">
      <c r="A221" t="s">
        <v>1799</v>
      </c>
      <c r="B221" t="s">
        <v>5831</v>
      </c>
      <c r="C221" t="s">
        <v>6027</v>
      </c>
      <c r="D221">
        <v>3</v>
      </c>
      <c r="E221">
        <v>1</v>
      </c>
      <c r="F221" t="s">
        <v>5799</v>
      </c>
      <c r="H221">
        <v>7</v>
      </c>
      <c r="I221">
        <v>-2</v>
      </c>
      <c r="J221">
        <v>0</v>
      </c>
      <c r="K221">
        <v>-2</v>
      </c>
      <c r="L221">
        <v>-7</v>
      </c>
      <c r="M221">
        <v>5</v>
      </c>
      <c r="N221">
        <v>3</v>
      </c>
      <c r="O221">
        <v>0.25</v>
      </c>
      <c r="P221">
        <v>8</v>
      </c>
      <c r="R221">
        <v>11</v>
      </c>
      <c r="S221">
        <v>15</v>
      </c>
      <c r="T221">
        <v>10</v>
      </c>
      <c r="U221">
        <v>0.2</v>
      </c>
      <c r="V221">
        <v>2</v>
      </c>
    </row>
    <row r="222" spans="1:26">
      <c r="A222" t="s">
        <v>1801</v>
      </c>
      <c r="B222" t="s">
        <v>5793</v>
      </c>
      <c r="C222" t="s">
        <v>6028</v>
      </c>
      <c r="D222">
        <v>2</v>
      </c>
      <c r="E222">
        <v>2</v>
      </c>
      <c r="F222" t="s">
        <v>5816</v>
      </c>
      <c r="G222" t="s">
        <v>5795</v>
      </c>
      <c r="H222">
        <v>2</v>
      </c>
      <c r="I222">
        <v>-7</v>
      </c>
      <c r="J222">
        <v>0</v>
      </c>
      <c r="K222">
        <v>-2</v>
      </c>
      <c r="L222">
        <v>-6</v>
      </c>
      <c r="M222">
        <v>7</v>
      </c>
      <c r="O222">
        <v>0.2</v>
      </c>
      <c r="P222">
        <v>0</v>
      </c>
      <c r="R222">
        <v>7</v>
      </c>
      <c r="S222">
        <v>12</v>
      </c>
      <c r="T222">
        <v>6</v>
      </c>
      <c r="U222">
        <v>0.2</v>
      </c>
      <c r="V222">
        <v>1</v>
      </c>
    </row>
    <row r="223" spans="1:26">
      <c r="A223" t="s">
        <v>1795</v>
      </c>
      <c r="B223" t="s">
        <v>5817</v>
      </c>
      <c r="C223" t="s">
        <v>6029</v>
      </c>
      <c r="D223">
        <v>12</v>
      </c>
      <c r="E223">
        <v>7</v>
      </c>
      <c r="F223" t="s">
        <v>5829</v>
      </c>
      <c r="H223">
        <v>1.5</v>
      </c>
      <c r="I223">
        <v>-10</v>
      </c>
      <c r="J223">
        <v>0</v>
      </c>
      <c r="K223">
        <v>-5</v>
      </c>
      <c r="L223">
        <v>-5</v>
      </c>
      <c r="M223">
        <v>35</v>
      </c>
      <c r="N223">
        <v>17</v>
      </c>
      <c r="O223">
        <v>1.1499999999999999</v>
      </c>
      <c r="P223" t="s">
        <v>5813</v>
      </c>
      <c r="R223">
        <v>17</v>
      </c>
      <c r="S223">
        <v>15</v>
      </c>
      <c r="T223">
        <v>25</v>
      </c>
      <c r="U223">
        <v>1.5</v>
      </c>
      <c r="V223">
        <v>4</v>
      </c>
    </row>
    <row r="224" spans="1:26">
      <c r="A224" t="s">
        <v>1795</v>
      </c>
      <c r="B224" t="s">
        <v>5817</v>
      </c>
      <c r="C224" t="s">
        <v>6030</v>
      </c>
      <c r="D224">
        <v>13</v>
      </c>
      <c r="E224">
        <v>6</v>
      </c>
      <c r="F224" t="s">
        <v>5799</v>
      </c>
      <c r="G224" t="s">
        <v>5820</v>
      </c>
      <c r="H224">
        <v>2</v>
      </c>
      <c r="I224">
        <v>-7</v>
      </c>
      <c r="J224">
        <v>0</v>
      </c>
      <c r="K224">
        <v>-4</v>
      </c>
      <c r="L224">
        <v>-4</v>
      </c>
      <c r="M224">
        <v>22</v>
      </c>
      <c r="N224">
        <v>14</v>
      </c>
      <c r="O224">
        <v>1.25</v>
      </c>
      <c r="P224" t="s">
        <v>5813</v>
      </c>
      <c r="R224">
        <v>16</v>
      </c>
      <c r="S224">
        <v>14</v>
      </c>
      <c r="T224">
        <v>24</v>
      </c>
      <c r="U224">
        <v>1.5</v>
      </c>
      <c r="V224">
        <v>4</v>
      </c>
    </row>
    <row r="225" spans="1:24">
      <c r="A225" t="s">
        <v>1795</v>
      </c>
      <c r="B225" t="s">
        <v>5817</v>
      </c>
      <c r="C225" t="s">
        <v>6031</v>
      </c>
      <c r="D225">
        <v>15</v>
      </c>
      <c r="E225">
        <v>7</v>
      </c>
      <c r="F225" t="s">
        <v>5819</v>
      </c>
      <c r="G225" t="s">
        <v>5799</v>
      </c>
      <c r="H225">
        <v>1.5</v>
      </c>
      <c r="I225">
        <v>-12</v>
      </c>
      <c r="J225">
        <v>0</v>
      </c>
      <c r="K225">
        <v>-6</v>
      </c>
      <c r="L225">
        <v>-5</v>
      </c>
      <c r="M225">
        <v>25</v>
      </c>
      <c r="N225">
        <v>15</v>
      </c>
      <c r="O225">
        <v>1.5</v>
      </c>
      <c r="P225" t="s">
        <v>5813</v>
      </c>
      <c r="R225">
        <v>16</v>
      </c>
      <c r="S225">
        <v>14</v>
      </c>
      <c r="T225">
        <v>24</v>
      </c>
      <c r="U225">
        <v>3</v>
      </c>
      <c r="V225">
        <v>5</v>
      </c>
    </row>
    <row r="226" spans="1:24">
      <c r="A226" t="s">
        <v>1797</v>
      </c>
      <c r="B226" t="s">
        <v>5822</v>
      </c>
      <c r="C226" t="s">
        <v>6032</v>
      </c>
      <c r="D226">
        <v>10</v>
      </c>
      <c r="E226">
        <v>4</v>
      </c>
      <c r="F226" t="s">
        <v>5794</v>
      </c>
      <c r="G226" t="s">
        <v>5795</v>
      </c>
      <c r="H226">
        <v>4</v>
      </c>
      <c r="I226">
        <v>-3</v>
      </c>
      <c r="J226">
        <v>0</v>
      </c>
      <c r="K226">
        <v>-2</v>
      </c>
      <c r="L226">
        <v>-3</v>
      </c>
      <c r="M226">
        <v>23</v>
      </c>
      <c r="N226">
        <v>12</v>
      </c>
      <c r="O226">
        <v>1.8</v>
      </c>
      <c r="P226" t="s">
        <v>5813</v>
      </c>
      <c r="Q226" t="s">
        <v>5844</v>
      </c>
      <c r="R226">
        <v>14</v>
      </c>
      <c r="S226">
        <v>7</v>
      </c>
      <c r="T226">
        <v>7</v>
      </c>
      <c r="U226">
        <v>1</v>
      </c>
      <c r="V226">
        <v>3</v>
      </c>
    </row>
    <row r="227" spans="1:24">
      <c r="A227" t="s">
        <v>1801</v>
      </c>
      <c r="B227" t="s">
        <v>5858</v>
      </c>
      <c r="C227" t="s">
        <v>6033</v>
      </c>
      <c r="D227">
        <v>0</v>
      </c>
      <c r="E227">
        <v>-2</v>
      </c>
      <c r="F227" t="s">
        <v>5795</v>
      </c>
      <c r="H227">
        <v>3</v>
      </c>
      <c r="I227">
        <v>-4</v>
      </c>
      <c r="J227">
        <v>0</v>
      </c>
      <c r="K227">
        <v>0</v>
      </c>
      <c r="L227">
        <v>0</v>
      </c>
      <c r="M227">
        <v>1</v>
      </c>
      <c r="N227">
        <v>1</v>
      </c>
      <c r="O227">
        <v>0</v>
      </c>
      <c r="P227" t="s">
        <v>5813</v>
      </c>
      <c r="Q227" t="s">
        <v>5796</v>
      </c>
      <c r="R227">
        <v>0</v>
      </c>
      <c r="S227">
        <v>0</v>
      </c>
      <c r="W227" t="s">
        <v>4216</v>
      </c>
      <c r="X227">
        <v>20</v>
      </c>
    </row>
    <row r="228" spans="1:24">
      <c r="A228" t="s">
        <v>1801</v>
      </c>
      <c r="B228" t="s">
        <v>5858</v>
      </c>
      <c r="C228" t="s">
        <v>6034</v>
      </c>
      <c r="D228">
        <v>0</v>
      </c>
      <c r="E228">
        <v>-2</v>
      </c>
      <c r="F228" t="s">
        <v>5794</v>
      </c>
      <c r="H228">
        <v>3</v>
      </c>
      <c r="I228">
        <v>-6</v>
      </c>
      <c r="J228">
        <v>0</v>
      </c>
      <c r="K228">
        <v>0</v>
      </c>
      <c r="L228">
        <v>0</v>
      </c>
      <c r="M228">
        <v>1</v>
      </c>
      <c r="N228">
        <v>1</v>
      </c>
      <c r="O228">
        <v>0</v>
      </c>
      <c r="P228" t="s">
        <v>5813</v>
      </c>
      <c r="Q228" t="s">
        <v>5796</v>
      </c>
      <c r="R228">
        <v>0</v>
      </c>
      <c r="S228">
        <v>0</v>
      </c>
      <c r="W228" t="s">
        <v>4229</v>
      </c>
      <c r="X228">
        <v>20</v>
      </c>
    </row>
    <row r="229" spans="1:24">
      <c r="A229" t="s">
        <v>1801</v>
      </c>
      <c r="B229" t="s">
        <v>5858</v>
      </c>
      <c r="C229" t="s">
        <v>6035</v>
      </c>
      <c r="D229">
        <v>0</v>
      </c>
      <c r="E229">
        <v>-2</v>
      </c>
      <c r="F229" t="s">
        <v>5799</v>
      </c>
      <c r="H229">
        <v>3</v>
      </c>
      <c r="I229">
        <v>-7</v>
      </c>
      <c r="J229">
        <v>0</v>
      </c>
      <c r="K229">
        <v>0</v>
      </c>
      <c r="L229">
        <v>0</v>
      </c>
      <c r="M229">
        <v>1</v>
      </c>
      <c r="N229">
        <v>1</v>
      </c>
      <c r="O229">
        <v>0</v>
      </c>
      <c r="P229" t="s">
        <v>5813</v>
      </c>
      <c r="Q229" t="s">
        <v>5796</v>
      </c>
      <c r="R229">
        <v>0</v>
      </c>
      <c r="S229">
        <v>0</v>
      </c>
      <c r="W229" t="s">
        <v>4222</v>
      </c>
      <c r="X229">
        <v>20</v>
      </c>
    </row>
    <row r="230" spans="1:24">
      <c r="A230" t="s">
        <v>1801</v>
      </c>
      <c r="B230" t="s">
        <v>5858</v>
      </c>
      <c r="C230" t="s">
        <v>6036</v>
      </c>
      <c r="D230">
        <v>0</v>
      </c>
      <c r="E230">
        <v>-2</v>
      </c>
      <c r="F230" t="s">
        <v>5816</v>
      </c>
      <c r="H230">
        <v>3</v>
      </c>
      <c r="I230">
        <v>-5</v>
      </c>
      <c r="J230">
        <v>0</v>
      </c>
      <c r="K230">
        <v>0</v>
      </c>
      <c r="L230">
        <v>0</v>
      </c>
      <c r="M230">
        <v>1</v>
      </c>
      <c r="N230">
        <v>1</v>
      </c>
      <c r="O230">
        <v>0</v>
      </c>
      <c r="P230" t="s">
        <v>5813</v>
      </c>
      <c r="Q230" t="s">
        <v>5796</v>
      </c>
      <c r="R230">
        <v>0</v>
      </c>
      <c r="S230">
        <v>0</v>
      </c>
      <c r="W230" t="s">
        <v>6037</v>
      </c>
      <c r="X230">
        <v>20</v>
      </c>
    </row>
    <row r="231" spans="1:24">
      <c r="A231" t="s">
        <v>1801</v>
      </c>
      <c r="B231" t="s">
        <v>5858</v>
      </c>
      <c r="C231" t="s">
        <v>6038</v>
      </c>
      <c r="D231">
        <v>0</v>
      </c>
      <c r="E231">
        <v>-2</v>
      </c>
      <c r="F231" t="s">
        <v>5794</v>
      </c>
      <c r="H231">
        <v>3</v>
      </c>
      <c r="I231">
        <v>-5</v>
      </c>
      <c r="J231">
        <v>0</v>
      </c>
      <c r="K231">
        <v>0</v>
      </c>
      <c r="L231">
        <v>0</v>
      </c>
      <c r="M231">
        <v>1</v>
      </c>
      <c r="N231">
        <v>1</v>
      </c>
      <c r="O231">
        <v>0</v>
      </c>
      <c r="P231" t="s">
        <v>5813</v>
      </c>
      <c r="Q231" t="s">
        <v>5796</v>
      </c>
      <c r="R231">
        <v>0</v>
      </c>
      <c r="S231">
        <v>0</v>
      </c>
      <c r="W231" t="s">
        <v>6039</v>
      </c>
      <c r="X231">
        <v>20</v>
      </c>
    </row>
    <row r="232" spans="1:24">
      <c r="A232" t="s">
        <v>1801</v>
      </c>
      <c r="B232" t="s">
        <v>6040</v>
      </c>
      <c r="C232" t="s">
        <v>6041</v>
      </c>
      <c r="D232">
        <v>0</v>
      </c>
      <c r="E232">
        <v>-2</v>
      </c>
      <c r="F232" t="s">
        <v>6042</v>
      </c>
      <c r="J232">
        <v>0</v>
      </c>
      <c r="K232">
        <v>0</v>
      </c>
      <c r="L232">
        <v>0</v>
      </c>
      <c r="M232">
        <v>1</v>
      </c>
      <c r="N232">
        <v>1</v>
      </c>
      <c r="O232">
        <v>0</v>
      </c>
      <c r="P232" t="s">
        <v>5813</v>
      </c>
      <c r="Q232" t="s">
        <v>6043</v>
      </c>
      <c r="R232">
        <v>0</v>
      </c>
      <c r="S232">
        <v>0</v>
      </c>
      <c r="W232" t="s">
        <v>4229</v>
      </c>
    </row>
    <row r="233" spans="1:24">
      <c r="A233" t="s">
        <v>1801</v>
      </c>
      <c r="B233" t="s">
        <v>6040</v>
      </c>
      <c r="C233" t="s">
        <v>6044</v>
      </c>
      <c r="D233">
        <v>0</v>
      </c>
      <c r="E233">
        <v>-2</v>
      </c>
      <c r="F233" t="s">
        <v>6045</v>
      </c>
      <c r="H233">
        <v>3</v>
      </c>
      <c r="I233">
        <v>-7</v>
      </c>
      <c r="J233">
        <v>0</v>
      </c>
      <c r="K233">
        <v>0</v>
      </c>
      <c r="L233">
        <v>0</v>
      </c>
      <c r="M233">
        <v>1</v>
      </c>
      <c r="N233">
        <v>1</v>
      </c>
      <c r="O233">
        <v>0</v>
      </c>
      <c r="P233" t="s">
        <v>5813</v>
      </c>
      <c r="Q233" t="s">
        <v>6046</v>
      </c>
      <c r="R233">
        <v>0</v>
      </c>
      <c r="S233">
        <v>0</v>
      </c>
      <c r="W233" t="s">
        <v>4222</v>
      </c>
    </row>
    <row r="234" spans="1:24">
      <c r="A234" t="s">
        <v>1801</v>
      </c>
      <c r="B234" t="s">
        <v>6040</v>
      </c>
      <c r="C234" t="s">
        <v>6047</v>
      </c>
      <c r="D234">
        <v>0</v>
      </c>
      <c r="E234">
        <v>-2</v>
      </c>
      <c r="F234" t="s">
        <v>5819</v>
      </c>
      <c r="H234">
        <v>3</v>
      </c>
      <c r="I234">
        <v>-5</v>
      </c>
      <c r="J234">
        <v>0</v>
      </c>
      <c r="K234">
        <v>0</v>
      </c>
      <c r="L234">
        <v>0</v>
      </c>
      <c r="M234">
        <v>1</v>
      </c>
      <c r="N234">
        <v>1</v>
      </c>
      <c r="O234">
        <v>0</v>
      </c>
      <c r="P234" t="s">
        <v>5813</v>
      </c>
      <c r="Q234" t="s">
        <v>6048</v>
      </c>
      <c r="R234">
        <v>0</v>
      </c>
      <c r="S234">
        <v>0</v>
      </c>
      <c r="W234" t="s">
        <v>6037</v>
      </c>
    </row>
    <row r="235" spans="1:24">
      <c r="A235" t="s">
        <v>1801</v>
      </c>
      <c r="B235" t="s">
        <v>6040</v>
      </c>
      <c r="C235" t="s">
        <v>6049</v>
      </c>
      <c r="D235">
        <v>0</v>
      </c>
      <c r="E235">
        <v>-2</v>
      </c>
      <c r="F235" t="s">
        <v>6045</v>
      </c>
      <c r="J235">
        <v>0</v>
      </c>
      <c r="K235">
        <v>0</v>
      </c>
      <c r="L235">
        <v>0</v>
      </c>
      <c r="M235">
        <v>1</v>
      </c>
      <c r="N235">
        <v>1</v>
      </c>
      <c r="O235">
        <v>0</v>
      </c>
      <c r="P235" t="s">
        <v>5813</v>
      </c>
      <c r="Q235" t="s">
        <v>6050</v>
      </c>
      <c r="R235">
        <v>0</v>
      </c>
      <c r="S235">
        <v>0</v>
      </c>
      <c r="W235" t="s">
        <v>6039</v>
      </c>
    </row>
    <row r="236" spans="1:24">
      <c r="A236" t="s">
        <v>1801</v>
      </c>
      <c r="B236" t="s">
        <v>6051</v>
      </c>
      <c r="C236" t="s">
        <v>6051</v>
      </c>
      <c r="D236">
        <v>0</v>
      </c>
      <c r="F236" t="s">
        <v>6052</v>
      </c>
      <c r="J236">
        <v>0</v>
      </c>
      <c r="K236">
        <v>0</v>
      </c>
      <c r="L236">
        <v>-2</v>
      </c>
      <c r="M236">
        <v>1</v>
      </c>
      <c r="N236">
        <v>1</v>
      </c>
      <c r="O236">
        <v>0</v>
      </c>
      <c r="P236" t="s">
        <v>5813</v>
      </c>
      <c r="Q236" t="s">
        <v>6053</v>
      </c>
      <c r="R236">
        <v>0</v>
      </c>
      <c r="S236">
        <v>0</v>
      </c>
      <c r="W236" t="s">
        <v>6054</v>
      </c>
      <c r="X236" t="s">
        <v>6055</v>
      </c>
    </row>
    <row r="237" spans="1:24">
      <c r="A237" t="s">
        <v>1801</v>
      </c>
      <c r="B237" t="s">
        <v>6056</v>
      </c>
      <c r="C237" t="s">
        <v>6056</v>
      </c>
      <c r="D237">
        <v>0</v>
      </c>
      <c r="F237" t="s">
        <v>6057</v>
      </c>
      <c r="J237">
        <v>0</v>
      </c>
      <c r="K237">
        <v>-2</v>
      </c>
      <c r="L237">
        <v>0</v>
      </c>
      <c r="M237">
        <v>1</v>
      </c>
      <c r="N237">
        <v>1</v>
      </c>
      <c r="O237">
        <v>0</v>
      </c>
      <c r="P237" t="s">
        <v>5813</v>
      </c>
      <c r="Q237" t="s">
        <v>6058</v>
      </c>
      <c r="R237">
        <v>0</v>
      </c>
      <c r="S237">
        <v>0</v>
      </c>
      <c r="W237" t="s">
        <v>4174</v>
      </c>
      <c r="X237" t="s">
        <v>6055</v>
      </c>
    </row>
    <row r="238" spans="1:24">
      <c r="A238" t="s">
        <v>1801</v>
      </c>
      <c r="B238" t="s">
        <v>6059</v>
      </c>
      <c r="C238" t="s">
        <v>6059</v>
      </c>
      <c r="D238">
        <v>0</v>
      </c>
      <c r="F238" t="s">
        <v>5795</v>
      </c>
      <c r="H238">
        <v>3</v>
      </c>
      <c r="I238">
        <v>-4</v>
      </c>
      <c r="J238">
        <v>0</v>
      </c>
      <c r="K238">
        <v>-1</v>
      </c>
      <c r="L238">
        <v>-1</v>
      </c>
      <c r="M238">
        <v>1</v>
      </c>
      <c r="N238">
        <v>1</v>
      </c>
      <c r="O238">
        <v>0</v>
      </c>
      <c r="P238" t="s">
        <v>5813</v>
      </c>
      <c r="Q238" t="s">
        <v>6060</v>
      </c>
      <c r="R238">
        <v>0</v>
      </c>
      <c r="S238">
        <v>0</v>
      </c>
      <c r="W238" t="s">
        <v>4190</v>
      </c>
      <c r="X238" t="s">
        <v>6061</v>
      </c>
    </row>
    <row r="239" spans="1:24">
      <c r="A239" t="s">
        <v>1801</v>
      </c>
      <c r="B239" t="s">
        <v>6062</v>
      </c>
      <c r="C239" t="s">
        <v>6062</v>
      </c>
      <c r="D239">
        <v>0</v>
      </c>
      <c r="F239" t="s">
        <v>5794</v>
      </c>
      <c r="H239">
        <v>3</v>
      </c>
      <c r="I239">
        <v>-7</v>
      </c>
      <c r="J239">
        <v>0</v>
      </c>
      <c r="K239">
        <v>-2</v>
      </c>
      <c r="L239">
        <v>-2</v>
      </c>
      <c r="M239">
        <v>1</v>
      </c>
      <c r="N239">
        <v>1</v>
      </c>
      <c r="O239">
        <v>0</v>
      </c>
      <c r="P239" t="s">
        <v>5813</v>
      </c>
      <c r="Q239" t="s">
        <v>6063</v>
      </c>
      <c r="R239">
        <v>0</v>
      </c>
      <c r="S239">
        <v>0</v>
      </c>
      <c r="W239" t="s">
        <v>6039</v>
      </c>
      <c r="X239" t="s">
        <v>6064</v>
      </c>
    </row>
    <row r="240" spans="1:24">
      <c r="A240" t="s">
        <v>1801</v>
      </c>
      <c r="B240" t="s">
        <v>6065</v>
      </c>
      <c r="C240" t="s">
        <v>6065</v>
      </c>
      <c r="D240">
        <v>0</v>
      </c>
      <c r="F240" t="s">
        <v>5850</v>
      </c>
      <c r="H240">
        <v>2</v>
      </c>
      <c r="I240">
        <v>-9</v>
      </c>
      <c r="J240">
        <v>0</v>
      </c>
      <c r="K240">
        <v>-1</v>
      </c>
      <c r="L240">
        <v>-3</v>
      </c>
      <c r="M240">
        <v>1</v>
      </c>
      <c r="N240">
        <v>1</v>
      </c>
      <c r="O240">
        <v>0</v>
      </c>
      <c r="P240" t="s">
        <v>5813</v>
      </c>
      <c r="Q240" t="s">
        <v>6066</v>
      </c>
      <c r="R240">
        <v>0</v>
      </c>
      <c r="S240">
        <v>0</v>
      </c>
      <c r="W240" t="s">
        <v>4229</v>
      </c>
      <c r="X240" t="s">
        <v>6067</v>
      </c>
    </row>
    <row r="241" spans="1:24">
      <c r="A241" t="s">
        <v>1801</v>
      </c>
      <c r="B241" t="s">
        <v>6068</v>
      </c>
      <c r="C241" t="s">
        <v>6068</v>
      </c>
      <c r="D241">
        <v>0</v>
      </c>
      <c r="F241" t="s">
        <v>6052</v>
      </c>
      <c r="J241">
        <v>0</v>
      </c>
      <c r="M241">
        <v>1</v>
      </c>
      <c r="N241">
        <v>1</v>
      </c>
      <c r="O241">
        <v>0</v>
      </c>
      <c r="P241" t="s">
        <v>5813</v>
      </c>
      <c r="R241">
        <v>0</v>
      </c>
      <c r="S241">
        <v>0</v>
      </c>
      <c r="W241" t="s">
        <v>6069</v>
      </c>
    </row>
    <row r="242" spans="1:24">
      <c r="A242" t="s">
        <v>1801</v>
      </c>
      <c r="B242" t="s">
        <v>6070</v>
      </c>
      <c r="C242" t="s">
        <v>6070</v>
      </c>
      <c r="D242">
        <v>0</v>
      </c>
      <c r="F242" t="s">
        <v>6071</v>
      </c>
      <c r="H242">
        <v>4</v>
      </c>
      <c r="I242">
        <v>-6</v>
      </c>
      <c r="J242">
        <v>0</v>
      </c>
      <c r="K242">
        <v>0</v>
      </c>
      <c r="L242">
        <v>0</v>
      </c>
      <c r="M242">
        <v>1</v>
      </c>
      <c r="N242">
        <v>1</v>
      </c>
      <c r="O242">
        <v>0</v>
      </c>
      <c r="P242" t="s">
        <v>5813</v>
      </c>
      <c r="Q242" t="s">
        <v>6072</v>
      </c>
      <c r="R242">
        <v>0</v>
      </c>
      <c r="S242">
        <v>0</v>
      </c>
      <c r="W242" t="s">
        <v>1418</v>
      </c>
      <c r="X242" t="s">
        <v>6073</v>
      </c>
    </row>
  </sheetData>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7"/>
  <sheetViews>
    <sheetView workbookViewId="0"/>
  </sheetViews>
  <sheetFormatPr baseColWidth="10" defaultColWidth="9.140625" defaultRowHeight="15"/>
  <cols>
    <col min="1" max="1" width="22" style="9" customWidth="1"/>
    <col min="2" max="2" width="38" style="9" customWidth="1"/>
    <col min="3" max="3" width="100" style="9" customWidth="1"/>
    <col min="4" max="4" width="10" style="9" customWidth="1"/>
    <col min="5" max="5" width="14" style="9" customWidth="1"/>
  </cols>
  <sheetData>
    <row r="1" spans="1:5">
      <c r="A1" t="s">
        <v>6074</v>
      </c>
      <c r="B1" t="s">
        <v>6075</v>
      </c>
      <c r="C1" t="s">
        <v>2</v>
      </c>
      <c r="D1" t="s">
        <v>6076</v>
      </c>
      <c r="E1" t="s">
        <v>6077</v>
      </c>
    </row>
    <row r="2" spans="1:5" ht="150" customHeight="1">
      <c r="A2" s="37" t="s">
        <v>6078</v>
      </c>
      <c r="B2" s="37" t="s">
        <v>6079</v>
      </c>
      <c r="C2" s="37" t="s">
        <v>6080</v>
      </c>
      <c r="D2" s="37" t="s">
        <v>6081</v>
      </c>
      <c r="E2" s="37" t="s">
        <v>6082</v>
      </c>
    </row>
    <row r="3" spans="1:5" ht="60" customHeight="1">
      <c r="A3" s="37" t="s">
        <v>6083</v>
      </c>
      <c r="B3" s="37" t="s">
        <v>6084</v>
      </c>
      <c r="C3" s="37" t="s">
        <v>6085</v>
      </c>
      <c r="D3" s="37" t="s">
        <v>6086</v>
      </c>
      <c r="E3" s="37" t="s">
        <v>6082</v>
      </c>
    </row>
    <row r="4" spans="1:5" ht="135" customHeight="1">
      <c r="A4" s="37" t="s">
        <v>6083</v>
      </c>
      <c r="B4" s="37" t="s">
        <v>6087</v>
      </c>
      <c r="C4" s="37" t="s">
        <v>6088</v>
      </c>
      <c r="D4" s="37" t="s">
        <v>6081</v>
      </c>
      <c r="E4" s="37" t="s">
        <v>6082</v>
      </c>
    </row>
    <row r="5" spans="1:5" ht="45" customHeight="1">
      <c r="A5" s="37" t="s">
        <v>6089</v>
      </c>
      <c r="B5" s="37" t="s">
        <v>6090</v>
      </c>
      <c r="C5" s="37" t="s">
        <v>6091</v>
      </c>
      <c r="D5" s="37" t="s">
        <v>6086</v>
      </c>
      <c r="E5" s="37" t="s">
        <v>6082</v>
      </c>
    </row>
    <row r="6" spans="1:5" ht="60" customHeight="1">
      <c r="A6" s="37" t="s">
        <v>6092</v>
      </c>
      <c r="B6" s="37" t="s">
        <v>6093</v>
      </c>
      <c r="C6" s="37" t="s">
        <v>6094</v>
      </c>
      <c r="D6" s="37" t="s">
        <v>6086</v>
      </c>
      <c r="E6" s="37" t="s">
        <v>6082</v>
      </c>
    </row>
    <row r="7" spans="1:5" ht="90" customHeight="1">
      <c r="A7" s="37" t="s">
        <v>6095</v>
      </c>
      <c r="B7" s="37" t="s">
        <v>6096</v>
      </c>
      <c r="C7" s="37" t="s">
        <v>6097</v>
      </c>
      <c r="D7" s="37" t="s">
        <v>6086</v>
      </c>
      <c r="E7" s="37" t="s">
        <v>6082</v>
      </c>
    </row>
    <row r="8" spans="1:5" ht="60" customHeight="1">
      <c r="A8" s="37" t="s">
        <v>6095</v>
      </c>
      <c r="B8" s="37" t="s">
        <v>6098</v>
      </c>
      <c r="C8" s="37" t="s">
        <v>6099</v>
      </c>
      <c r="D8" s="37" t="s">
        <v>6086</v>
      </c>
      <c r="E8" s="37" t="s">
        <v>6082</v>
      </c>
    </row>
    <row r="9" spans="1:5" ht="45" customHeight="1">
      <c r="A9" s="37" t="s">
        <v>6095</v>
      </c>
      <c r="B9" s="37" t="s">
        <v>6100</v>
      </c>
      <c r="C9" s="37" t="s">
        <v>6101</v>
      </c>
      <c r="D9" s="37" t="s">
        <v>6086</v>
      </c>
      <c r="E9" s="37" t="s">
        <v>6082</v>
      </c>
    </row>
    <row r="10" spans="1:5" ht="60" customHeight="1">
      <c r="A10" s="37" t="s">
        <v>6095</v>
      </c>
      <c r="B10" s="37" t="s">
        <v>6102</v>
      </c>
      <c r="C10" s="37" t="s">
        <v>6103</v>
      </c>
      <c r="D10" s="37" t="s">
        <v>6086</v>
      </c>
      <c r="E10" s="37" t="s">
        <v>6082</v>
      </c>
    </row>
    <row r="11" spans="1:5" ht="30" customHeight="1">
      <c r="A11" s="37" t="s">
        <v>6095</v>
      </c>
      <c r="B11" s="37" t="s">
        <v>6104</v>
      </c>
      <c r="C11" s="37" t="s">
        <v>6105</v>
      </c>
      <c r="D11" s="37" t="s">
        <v>6086</v>
      </c>
      <c r="E11" s="37" t="s">
        <v>6082</v>
      </c>
    </row>
    <row r="12" spans="1:5" ht="60" customHeight="1">
      <c r="A12" s="37" t="s">
        <v>6078</v>
      </c>
      <c r="B12" s="37" t="s">
        <v>6106</v>
      </c>
      <c r="C12" s="37" t="s">
        <v>6107</v>
      </c>
      <c r="D12" s="37" t="s">
        <v>6086</v>
      </c>
      <c r="E12" s="37" t="s">
        <v>6082</v>
      </c>
    </row>
    <row r="13" spans="1:5" ht="60" customHeight="1">
      <c r="A13" s="37" t="s">
        <v>6078</v>
      </c>
      <c r="B13" s="37" t="s">
        <v>6108</v>
      </c>
      <c r="C13" s="37" t="s">
        <v>6109</v>
      </c>
      <c r="D13" s="37" t="s">
        <v>6086</v>
      </c>
      <c r="E13" s="37" t="s">
        <v>6082</v>
      </c>
    </row>
    <row r="14" spans="1:5" ht="30" customHeight="1">
      <c r="A14" s="37" t="s">
        <v>6078</v>
      </c>
      <c r="B14" s="37" t="s">
        <v>6110</v>
      </c>
      <c r="C14" s="37" t="s">
        <v>6111</v>
      </c>
      <c r="D14" s="37" t="s">
        <v>6086</v>
      </c>
      <c r="E14" s="37" t="s">
        <v>6082</v>
      </c>
    </row>
    <row r="15" spans="1:5" ht="60" customHeight="1">
      <c r="A15" s="37" t="s">
        <v>6078</v>
      </c>
      <c r="B15" s="37" t="s">
        <v>6112</v>
      </c>
      <c r="C15" s="37" t="s">
        <v>6113</v>
      </c>
      <c r="D15" s="37" t="s">
        <v>6086</v>
      </c>
      <c r="E15" s="37" t="s">
        <v>6082</v>
      </c>
    </row>
    <row r="16" spans="1:5" ht="120" customHeight="1">
      <c r="A16" s="37" t="s">
        <v>6114</v>
      </c>
      <c r="B16" s="37" t="s">
        <v>6115</v>
      </c>
      <c r="C16" s="37" t="s">
        <v>6116</v>
      </c>
      <c r="D16" s="37" t="s">
        <v>6086</v>
      </c>
      <c r="E16" s="37" t="s">
        <v>6082</v>
      </c>
    </row>
    <row r="17" spans="1:5" ht="105" customHeight="1">
      <c r="A17" s="37" t="s">
        <v>6117</v>
      </c>
      <c r="B17" s="37" t="s">
        <v>6118</v>
      </c>
      <c r="C17" s="37" t="s">
        <v>6119</v>
      </c>
      <c r="D17" s="37" t="s">
        <v>6081</v>
      </c>
      <c r="E17" s="37" t="s">
        <v>6082</v>
      </c>
    </row>
    <row r="18" spans="1:5" ht="105" customHeight="1">
      <c r="A18" s="37" t="s">
        <v>6117</v>
      </c>
      <c r="B18" s="37" t="s">
        <v>6120</v>
      </c>
      <c r="C18" s="37" t="s">
        <v>6121</v>
      </c>
      <c r="D18" s="37" t="s">
        <v>6086</v>
      </c>
      <c r="E18" s="37" t="s">
        <v>6082</v>
      </c>
    </row>
    <row r="19" spans="1:5" ht="75" customHeight="1">
      <c r="A19" s="37" t="s">
        <v>6117</v>
      </c>
      <c r="B19" s="37" t="s">
        <v>6122</v>
      </c>
      <c r="C19" s="37" t="s">
        <v>6123</v>
      </c>
      <c r="D19" s="37" t="s">
        <v>6086</v>
      </c>
      <c r="E19" s="37" t="s">
        <v>6082</v>
      </c>
    </row>
    <row r="20" spans="1:5" ht="120" customHeight="1">
      <c r="A20" s="37" t="s">
        <v>6124</v>
      </c>
      <c r="B20" s="37" t="s">
        <v>6125</v>
      </c>
      <c r="C20" s="37" t="s">
        <v>6126</v>
      </c>
      <c r="D20" s="37" t="s">
        <v>4</v>
      </c>
      <c r="E20" s="37" t="s">
        <v>6082</v>
      </c>
    </row>
    <row r="21" spans="1:5" ht="60" customHeight="1">
      <c r="A21" s="37" t="s">
        <v>6083</v>
      </c>
      <c r="B21" s="37" t="s">
        <v>6127</v>
      </c>
      <c r="C21" s="37" t="s">
        <v>6128</v>
      </c>
      <c r="D21" s="37" t="s">
        <v>6086</v>
      </c>
      <c r="E21" s="37" t="s">
        <v>6082</v>
      </c>
    </row>
    <row r="22" spans="1:5" ht="90" customHeight="1">
      <c r="A22" s="37" t="s">
        <v>6083</v>
      </c>
      <c r="B22" s="37" t="s">
        <v>6129</v>
      </c>
      <c r="C22" s="37" t="s">
        <v>6130</v>
      </c>
      <c r="D22" s="37" t="s">
        <v>6086</v>
      </c>
      <c r="E22" s="37" t="s">
        <v>6082</v>
      </c>
    </row>
    <row r="23" spans="1:5" ht="90" customHeight="1">
      <c r="A23" s="37" t="s">
        <v>6131</v>
      </c>
      <c r="B23" s="37" t="s">
        <v>6132</v>
      </c>
      <c r="C23" s="37" t="s">
        <v>6133</v>
      </c>
      <c r="D23" s="37" t="s">
        <v>6086</v>
      </c>
      <c r="E23" s="37" t="s">
        <v>6082</v>
      </c>
    </row>
    <row r="24" spans="1:5" ht="60" customHeight="1">
      <c r="A24" s="37" t="s">
        <v>6131</v>
      </c>
      <c r="B24" s="37" t="s">
        <v>6134</v>
      </c>
      <c r="C24" s="37" t="s">
        <v>6135</v>
      </c>
      <c r="D24" s="37" t="s">
        <v>6086</v>
      </c>
      <c r="E24" s="37" t="s">
        <v>6082</v>
      </c>
    </row>
    <row r="25" spans="1:5" ht="45" customHeight="1">
      <c r="A25" s="37" t="s">
        <v>6131</v>
      </c>
      <c r="B25" s="37" t="s">
        <v>6136</v>
      </c>
      <c r="C25" s="37" t="s">
        <v>6137</v>
      </c>
      <c r="D25" s="37" t="s">
        <v>6081</v>
      </c>
      <c r="E25" s="37" t="s">
        <v>6082</v>
      </c>
    </row>
    <row r="26" spans="1:5" ht="45" customHeight="1">
      <c r="A26" s="37" t="s">
        <v>6131</v>
      </c>
      <c r="B26" s="37" t="s">
        <v>6138</v>
      </c>
      <c r="C26" s="37" t="s">
        <v>6139</v>
      </c>
      <c r="D26" s="37" t="s">
        <v>6086</v>
      </c>
      <c r="E26" s="37" t="s">
        <v>6082</v>
      </c>
    </row>
    <row r="27" spans="1:5" ht="60" customHeight="1">
      <c r="A27" s="37" t="s">
        <v>6131</v>
      </c>
      <c r="B27" s="37" t="s">
        <v>6140</v>
      </c>
      <c r="C27" s="37" t="s">
        <v>6141</v>
      </c>
      <c r="D27" s="37" t="s">
        <v>6086</v>
      </c>
      <c r="E27" s="37" t="s">
        <v>6082</v>
      </c>
    </row>
    <row r="28" spans="1:5" ht="75" customHeight="1">
      <c r="A28" s="37" t="s">
        <v>6142</v>
      </c>
      <c r="B28" s="37" t="s">
        <v>6143</v>
      </c>
      <c r="C28" s="37" t="s">
        <v>6144</v>
      </c>
      <c r="D28" s="37" t="s">
        <v>6086</v>
      </c>
      <c r="E28" s="37" t="s">
        <v>6082</v>
      </c>
    </row>
    <row r="29" spans="1:5" ht="45" customHeight="1">
      <c r="A29" s="37" t="s">
        <v>6142</v>
      </c>
      <c r="B29" s="37" t="s">
        <v>6145</v>
      </c>
      <c r="C29" s="37" t="s">
        <v>6146</v>
      </c>
      <c r="D29" s="37" t="s">
        <v>6086</v>
      </c>
      <c r="E29" s="37" t="s">
        <v>6082</v>
      </c>
    </row>
    <row r="30" spans="1:5" ht="150" customHeight="1">
      <c r="A30" s="37" t="s">
        <v>6147</v>
      </c>
      <c r="B30" s="37" t="s">
        <v>6148</v>
      </c>
      <c r="C30" s="37" t="s">
        <v>6149</v>
      </c>
      <c r="D30" s="37" t="s">
        <v>6086</v>
      </c>
      <c r="E30" s="37" t="s">
        <v>6082</v>
      </c>
    </row>
    <row r="31" spans="1:5" ht="45" customHeight="1">
      <c r="A31" s="37" t="s">
        <v>6150</v>
      </c>
      <c r="B31" s="37" t="s">
        <v>6151</v>
      </c>
      <c r="C31" s="37" t="s">
        <v>6152</v>
      </c>
      <c r="D31" s="37" t="s">
        <v>6086</v>
      </c>
      <c r="E31" s="37" t="s">
        <v>6082</v>
      </c>
    </row>
    <row r="32" spans="1:5" ht="90" customHeight="1">
      <c r="A32" s="37" t="s">
        <v>6153</v>
      </c>
      <c r="B32" s="37" t="s">
        <v>6154</v>
      </c>
      <c r="C32" s="37" t="s">
        <v>6155</v>
      </c>
      <c r="D32" s="37" t="s">
        <v>6086</v>
      </c>
      <c r="E32" s="37" t="s">
        <v>6082</v>
      </c>
    </row>
    <row r="33" spans="1:5" ht="75" customHeight="1">
      <c r="A33" s="37" t="s">
        <v>6156</v>
      </c>
      <c r="B33" s="37" t="s">
        <v>6157</v>
      </c>
      <c r="C33" s="37" t="s">
        <v>6158</v>
      </c>
      <c r="D33" s="37" t="s">
        <v>6086</v>
      </c>
      <c r="E33" s="37" t="s">
        <v>6082</v>
      </c>
    </row>
    <row r="34" spans="1:5">
      <c r="A34" t="s">
        <v>6078</v>
      </c>
      <c r="B34" t="s">
        <v>6159</v>
      </c>
      <c r="C34" t="s">
        <v>6160</v>
      </c>
      <c r="D34" t="s">
        <v>6086</v>
      </c>
      <c r="E34" t="s">
        <v>6161</v>
      </c>
    </row>
    <row r="35" spans="1:5">
      <c r="A35" t="s">
        <v>6162</v>
      </c>
      <c r="B35" t="s">
        <v>6163</v>
      </c>
      <c r="C35" t="s">
        <v>6164</v>
      </c>
      <c r="D35" t="s">
        <v>6086</v>
      </c>
      <c r="E35" t="s">
        <v>6165</v>
      </c>
    </row>
    <row r="36" spans="1:5">
      <c r="A36" t="s">
        <v>6131</v>
      </c>
      <c r="B36" t="s">
        <v>6166</v>
      </c>
      <c r="C36" t="s">
        <v>6167</v>
      </c>
      <c r="D36" t="s">
        <v>6086</v>
      </c>
      <c r="E36" t="s">
        <v>6165</v>
      </c>
    </row>
    <row r="37" spans="1:5">
      <c r="A37" t="s">
        <v>6168</v>
      </c>
      <c r="B37" t="s">
        <v>6169</v>
      </c>
      <c r="C37" t="s">
        <v>6170</v>
      </c>
      <c r="D37" t="s">
        <v>6171</v>
      </c>
      <c r="E37" t="s">
        <v>6165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3"/>
  <sheetViews>
    <sheetView workbookViewId="0"/>
  </sheetViews>
  <sheetFormatPr baseColWidth="10" defaultColWidth="9.140625" defaultRowHeight="15"/>
  <sheetData>
    <row r="1" spans="1:11">
      <c r="A1" t="s">
        <v>6172</v>
      </c>
      <c r="B1" t="s">
        <v>6173</v>
      </c>
      <c r="C1" t="s">
        <v>6174</v>
      </c>
      <c r="D1" t="s">
        <v>6175</v>
      </c>
      <c r="E1" t="s">
        <v>6176</v>
      </c>
      <c r="F1" t="s">
        <v>6177</v>
      </c>
      <c r="G1" t="s">
        <v>6178</v>
      </c>
      <c r="H1" t="s">
        <v>6179</v>
      </c>
      <c r="I1" t="s">
        <v>6180</v>
      </c>
      <c r="J1" t="s">
        <v>6181</v>
      </c>
      <c r="K1" t="s">
        <v>5784</v>
      </c>
    </row>
    <row r="2" spans="1:11">
      <c r="A2" t="s">
        <v>5734</v>
      </c>
      <c r="B2">
        <v>-6</v>
      </c>
      <c r="C2">
        <v>2</v>
      </c>
      <c r="D2">
        <v>2</v>
      </c>
      <c r="E2">
        <v>-1.5</v>
      </c>
      <c r="F2">
        <v>-11</v>
      </c>
      <c r="G2">
        <v>-10</v>
      </c>
      <c r="H2">
        <v>-5</v>
      </c>
      <c r="I2">
        <v>0.5</v>
      </c>
      <c r="J2">
        <v>0.2</v>
      </c>
    </row>
    <row r="3" spans="1:11">
      <c r="A3" t="s">
        <v>6182</v>
      </c>
      <c r="B3">
        <v>-5</v>
      </c>
      <c r="C3">
        <v>1</v>
      </c>
      <c r="D3">
        <v>2</v>
      </c>
      <c r="E3">
        <v>-1</v>
      </c>
      <c r="F3">
        <v>-4</v>
      </c>
      <c r="G3">
        <v>-5</v>
      </c>
      <c r="H3">
        <v>-3</v>
      </c>
      <c r="I3">
        <v>0.7</v>
      </c>
      <c r="J3">
        <v>3</v>
      </c>
    </row>
    <row r="4" spans="1:11">
      <c r="A4" t="s">
        <v>5738</v>
      </c>
      <c r="B4">
        <v>0</v>
      </c>
      <c r="C4">
        <v>3</v>
      </c>
      <c r="D4">
        <v>3</v>
      </c>
      <c r="E4">
        <v>0</v>
      </c>
      <c r="F4">
        <v>-20</v>
      </c>
      <c r="G4">
        <v>-15</v>
      </c>
      <c r="H4">
        <v>-7</v>
      </c>
      <c r="I4">
        <v>0.45</v>
      </c>
      <c r="J4">
        <v>0.1</v>
      </c>
    </row>
    <row r="5" spans="1:11">
      <c r="A5" t="s">
        <v>6183</v>
      </c>
      <c r="B5">
        <v>-6</v>
      </c>
      <c r="C5">
        <v>3</v>
      </c>
      <c r="D5">
        <v>4</v>
      </c>
      <c r="E5">
        <v>-2</v>
      </c>
      <c r="F5">
        <v>-11</v>
      </c>
      <c r="G5">
        <v>-5</v>
      </c>
      <c r="H5">
        <v>3</v>
      </c>
      <c r="I5">
        <v>0.4</v>
      </c>
      <c r="J5">
        <v>6</v>
      </c>
      <c r="K5" t="s">
        <v>6184</v>
      </c>
    </row>
    <row r="6" spans="1:11">
      <c r="A6" t="s">
        <v>5742</v>
      </c>
      <c r="B6">
        <v>0</v>
      </c>
      <c r="C6">
        <v>1</v>
      </c>
      <c r="D6">
        <v>2</v>
      </c>
      <c r="E6">
        <v>-1</v>
      </c>
      <c r="F6">
        <v>-2</v>
      </c>
      <c r="G6">
        <v>0</v>
      </c>
      <c r="H6">
        <v>-4</v>
      </c>
      <c r="I6">
        <v>0.5</v>
      </c>
      <c r="J6">
        <v>3</v>
      </c>
    </row>
    <row r="7" spans="1:11">
      <c r="A7" t="s">
        <v>6185</v>
      </c>
      <c r="B7">
        <v>0</v>
      </c>
      <c r="C7">
        <v>1</v>
      </c>
      <c r="D7">
        <v>2</v>
      </c>
      <c r="E7">
        <v>-1</v>
      </c>
      <c r="F7">
        <v>-2</v>
      </c>
      <c r="G7">
        <v>0</v>
      </c>
      <c r="H7">
        <v>-3</v>
      </c>
      <c r="I7">
        <v>0.5</v>
      </c>
      <c r="J7" t="s">
        <v>6186</v>
      </c>
    </row>
    <row r="8" spans="1:11">
      <c r="A8" t="s">
        <v>5736</v>
      </c>
      <c r="B8">
        <v>0</v>
      </c>
      <c r="C8">
        <v>-3</v>
      </c>
      <c r="D8">
        <v>-2</v>
      </c>
      <c r="E8">
        <v>1</v>
      </c>
      <c r="F8">
        <v>-2</v>
      </c>
      <c r="G8">
        <v>-3</v>
      </c>
      <c r="H8">
        <v>-3</v>
      </c>
      <c r="I8">
        <v>1.3</v>
      </c>
      <c r="J8">
        <v>0.25</v>
      </c>
    </row>
    <row r="9" spans="1:11">
      <c r="A9" t="s">
        <v>6187</v>
      </c>
      <c r="B9">
        <v>0</v>
      </c>
      <c r="C9">
        <v>-2</v>
      </c>
      <c r="D9">
        <v>-1</v>
      </c>
      <c r="E9">
        <v>1</v>
      </c>
      <c r="F9">
        <v>-2</v>
      </c>
      <c r="G9">
        <v>-2</v>
      </c>
      <c r="H9">
        <v>-1</v>
      </c>
      <c r="I9">
        <v>1.1000000000000001</v>
      </c>
      <c r="J9">
        <v>0.5</v>
      </c>
    </row>
    <row r="10" spans="1:11">
      <c r="A10" t="s">
        <v>6188</v>
      </c>
      <c r="B10">
        <v>3</v>
      </c>
      <c r="C10">
        <v>0</v>
      </c>
      <c r="D10">
        <v>1</v>
      </c>
      <c r="E10">
        <v>-0.5</v>
      </c>
      <c r="F10">
        <v>3</v>
      </c>
      <c r="G10">
        <v>3</v>
      </c>
      <c r="H10">
        <v>6</v>
      </c>
      <c r="I10">
        <v>0.8</v>
      </c>
      <c r="J10">
        <v>1.75</v>
      </c>
      <c r="K10" t="s">
        <v>6189</v>
      </c>
    </row>
    <row r="11" spans="1:11">
      <c r="A11" t="s">
        <v>5743</v>
      </c>
      <c r="B11">
        <v>-1</v>
      </c>
      <c r="C11">
        <v>-1</v>
      </c>
      <c r="D11">
        <v>0</v>
      </c>
      <c r="E11">
        <v>0.5</v>
      </c>
      <c r="F11">
        <v>-2</v>
      </c>
      <c r="G11">
        <v>-2</v>
      </c>
      <c r="H11">
        <v>-2</v>
      </c>
      <c r="I11">
        <v>1.1000000000000001</v>
      </c>
      <c r="J11">
        <v>0.5</v>
      </c>
    </row>
    <row r="12" spans="1:11">
      <c r="A12" t="s">
        <v>5721</v>
      </c>
      <c r="B12">
        <v>0</v>
      </c>
      <c r="C12">
        <v>-1</v>
      </c>
      <c r="D12">
        <v>0</v>
      </c>
      <c r="E12">
        <v>0</v>
      </c>
      <c r="F12">
        <v>-1</v>
      </c>
      <c r="G12">
        <v>-1</v>
      </c>
      <c r="H12">
        <v>-1</v>
      </c>
      <c r="I12">
        <v>1.1000000000000001</v>
      </c>
      <c r="J12">
        <v>0.75</v>
      </c>
    </row>
    <row r="13" spans="1:11">
      <c r="A13" t="s">
        <v>6190</v>
      </c>
      <c r="B13">
        <v>0</v>
      </c>
      <c r="C13">
        <v>0</v>
      </c>
      <c r="D13">
        <v>0</v>
      </c>
      <c r="E13">
        <v>0</v>
      </c>
      <c r="F13">
        <v>0</v>
      </c>
      <c r="G13">
        <v>0</v>
      </c>
      <c r="H13">
        <v>0</v>
      </c>
      <c r="I13">
        <v>1</v>
      </c>
      <c r="J13">
        <v>1</v>
      </c>
      <c r="K13" t="s">
        <v>6191</v>
      </c>
    </row>
    <row r="14" spans="1:11">
      <c r="A14" t="s">
        <v>5723</v>
      </c>
      <c r="B14">
        <v>1</v>
      </c>
      <c r="C14">
        <v>0</v>
      </c>
      <c r="D14">
        <v>1</v>
      </c>
      <c r="E14">
        <v>-0.5</v>
      </c>
      <c r="F14">
        <v>1</v>
      </c>
      <c r="G14">
        <v>1</v>
      </c>
      <c r="H14">
        <v>2</v>
      </c>
      <c r="I14">
        <v>0.9</v>
      </c>
      <c r="J14">
        <v>2.5</v>
      </c>
    </row>
    <row r="15" spans="1:11">
      <c r="A15" t="s">
        <v>6192</v>
      </c>
      <c r="B15">
        <v>1</v>
      </c>
      <c r="C15">
        <v>0</v>
      </c>
      <c r="D15">
        <v>1</v>
      </c>
      <c r="E15">
        <v>-0.5</v>
      </c>
      <c r="F15">
        <v>2</v>
      </c>
      <c r="G15">
        <v>2</v>
      </c>
      <c r="H15">
        <v>3</v>
      </c>
      <c r="I15">
        <v>0.9</v>
      </c>
      <c r="J15">
        <v>3.5</v>
      </c>
    </row>
    <row r="16" spans="1:11">
      <c r="A16" t="s">
        <v>5726</v>
      </c>
      <c r="B16">
        <v>2</v>
      </c>
      <c r="C16">
        <v>0</v>
      </c>
      <c r="D16">
        <v>1</v>
      </c>
      <c r="E16">
        <v>-0.5</v>
      </c>
      <c r="F16">
        <v>3</v>
      </c>
      <c r="G16">
        <v>3</v>
      </c>
      <c r="H16">
        <v>5</v>
      </c>
      <c r="I16">
        <v>0.8</v>
      </c>
      <c r="J16">
        <v>5</v>
      </c>
      <c r="K16" t="s">
        <v>6189</v>
      </c>
    </row>
    <row r="17" spans="1:11">
      <c r="A17" t="s">
        <v>5727</v>
      </c>
      <c r="B17">
        <v>-1</v>
      </c>
      <c r="C17">
        <v>1</v>
      </c>
      <c r="D17">
        <v>2</v>
      </c>
      <c r="E17">
        <v>-2</v>
      </c>
      <c r="F17">
        <v>0</v>
      </c>
      <c r="G17">
        <v>2</v>
      </c>
      <c r="H17">
        <v>2</v>
      </c>
      <c r="I17">
        <v>0.5</v>
      </c>
      <c r="J17">
        <v>25</v>
      </c>
    </row>
    <row r="18" spans="1:11">
      <c r="A18" t="s">
        <v>5733</v>
      </c>
      <c r="B18">
        <v>3</v>
      </c>
      <c r="C18">
        <v>0</v>
      </c>
      <c r="D18">
        <v>1</v>
      </c>
      <c r="E18">
        <v>-0.5</v>
      </c>
      <c r="F18">
        <v>3</v>
      </c>
      <c r="G18" t="s">
        <v>6193</v>
      </c>
      <c r="H18">
        <v>7</v>
      </c>
      <c r="I18">
        <v>0.8</v>
      </c>
      <c r="J18">
        <v>5000</v>
      </c>
      <c r="K18" t="s">
        <v>6194</v>
      </c>
    </row>
    <row r="19" spans="1:11">
      <c r="A19" t="s">
        <v>5729</v>
      </c>
      <c r="B19">
        <v>0</v>
      </c>
      <c r="C19">
        <v>-1</v>
      </c>
      <c r="D19">
        <v>0</v>
      </c>
      <c r="E19">
        <v>0</v>
      </c>
      <c r="F19">
        <v>-1</v>
      </c>
      <c r="G19">
        <v>-1</v>
      </c>
      <c r="H19">
        <v>-1</v>
      </c>
      <c r="I19">
        <v>1</v>
      </c>
      <c r="J19">
        <v>3.5</v>
      </c>
    </row>
    <row r="20" spans="1:11">
      <c r="A20" t="s">
        <v>5741</v>
      </c>
      <c r="B20">
        <v>-1</v>
      </c>
      <c r="C20">
        <v>-3</v>
      </c>
      <c r="D20">
        <v>-2</v>
      </c>
      <c r="E20">
        <v>-1</v>
      </c>
      <c r="F20">
        <v>-4</v>
      </c>
      <c r="G20">
        <v>-5</v>
      </c>
      <c r="H20">
        <v>-1</v>
      </c>
      <c r="I20">
        <v>1.1000000000000001</v>
      </c>
      <c r="J20">
        <v>3.5</v>
      </c>
    </row>
    <row r="21" spans="1:11">
      <c r="A21" t="s">
        <v>5730</v>
      </c>
      <c r="B21">
        <v>0</v>
      </c>
      <c r="C21">
        <v>-1</v>
      </c>
      <c r="D21">
        <v>-1</v>
      </c>
      <c r="E21">
        <v>-1</v>
      </c>
      <c r="F21">
        <v>-1</v>
      </c>
      <c r="G21">
        <v>-1</v>
      </c>
      <c r="H21">
        <v>-1</v>
      </c>
      <c r="I21">
        <v>1.2</v>
      </c>
      <c r="J21">
        <v>30</v>
      </c>
    </row>
    <row r="22" spans="1:11">
      <c r="A22" t="s">
        <v>5735</v>
      </c>
      <c r="B22">
        <v>0</v>
      </c>
      <c r="C22">
        <v>1</v>
      </c>
      <c r="D22">
        <v>2</v>
      </c>
      <c r="E22">
        <v>-1</v>
      </c>
      <c r="F22">
        <v>-4</v>
      </c>
      <c r="G22">
        <v>-5</v>
      </c>
      <c r="H22">
        <v>-4</v>
      </c>
      <c r="I22">
        <v>0.5</v>
      </c>
      <c r="J22">
        <v>0.1</v>
      </c>
    </row>
    <row r="23" spans="1:11">
      <c r="A23" t="s">
        <v>5728</v>
      </c>
      <c r="B23">
        <v>-1</v>
      </c>
      <c r="C23">
        <v>1</v>
      </c>
      <c r="D23">
        <v>2</v>
      </c>
      <c r="E23">
        <v>-1</v>
      </c>
      <c r="F23">
        <v>0</v>
      </c>
      <c r="G23">
        <v>0</v>
      </c>
      <c r="H23">
        <v>-1</v>
      </c>
      <c r="I23">
        <v>0.5</v>
      </c>
      <c r="J23">
        <v>1</v>
      </c>
      <c r="K23" t="s">
        <v>6195</v>
      </c>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baseColWidth="10" defaultColWidth="9.140625" defaultRowHeight="15"/>
  <sheetData>
    <row r="1" spans="1:4">
      <c r="A1" t="s">
        <v>5765</v>
      </c>
      <c r="B1" t="s">
        <v>6177</v>
      </c>
      <c r="C1" t="s">
        <v>6178</v>
      </c>
      <c r="D1" t="s">
        <v>6181</v>
      </c>
    </row>
    <row r="2" spans="1:4">
      <c r="A2" t="s">
        <v>6196</v>
      </c>
      <c r="B2">
        <v>-3</v>
      </c>
      <c r="C2">
        <v>-6</v>
      </c>
      <c r="D2">
        <v>0.3</v>
      </c>
    </row>
    <row r="3" spans="1:4">
      <c r="A3" t="s">
        <v>5767</v>
      </c>
      <c r="B3">
        <v>-2</v>
      </c>
      <c r="C3">
        <v>-3</v>
      </c>
      <c r="D3">
        <v>0.5</v>
      </c>
    </row>
    <row r="4" spans="1:4">
      <c r="A4" t="s">
        <v>5768</v>
      </c>
      <c r="B4">
        <v>-1</v>
      </c>
      <c r="C4">
        <v>-1</v>
      </c>
      <c r="D4">
        <v>0.75</v>
      </c>
    </row>
    <row r="5" spans="1:4">
      <c r="A5" t="s">
        <v>5679</v>
      </c>
      <c r="B5">
        <v>0</v>
      </c>
      <c r="C5">
        <v>0</v>
      </c>
      <c r="D5">
        <v>1</v>
      </c>
    </row>
    <row r="6" spans="1:4">
      <c r="A6" t="s">
        <v>5665</v>
      </c>
      <c r="B6">
        <v>1</v>
      </c>
      <c r="C6">
        <v>1</v>
      </c>
      <c r="D6">
        <v>2</v>
      </c>
    </row>
    <row r="7" spans="1:4">
      <c r="A7" t="s">
        <v>5677</v>
      </c>
      <c r="B7">
        <v>2</v>
      </c>
      <c r="C7">
        <v>2</v>
      </c>
      <c r="D7">
        <v>5</v>
      </c>
    </row>
    <row r="8" spans="1:4">
      <c r="A8" t="s">
        <v>5682</v>
      </c>
      <c r="B8">
        <v>3</v>
      </c>
      <c r="C8">
        <v>3</v>
      </c>
      <c r="D8">
        <v>10</v>
      </c>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6"/>
  <sheetViews>
    <sheetView workbookViewId="0"/>
  </sheetViews>
  <sheetFormatPr baseColWidth="10" defaultColWidth="9.140625" defaultRowHeight="15"/>
  <sheetData>
    <row r="1" spans="1:7">
      <c r="A1" t="s">
        <v>6197</v>
      </c>
      <c r="B1" t="s">
        <v>6177</v>
      </c>
      <c r="C1" t="s">
        <v>6178</v>
      </c>
      <c r="D1" t="s">
        <v>6179</v>
      </c>
      <c r="E1" t="s">
        <v>6180</v>
      </c>
      <c r="F1" t="s">
        <v>5661</v>
      </c>
      <c r="G1" t="s">
        <v>5784</v>
      </c>
    </row>
    <row r="2" spans="1:7">
      <c r="A2" t="s">
        <v>6198</v>
      </c>
      <c r="B2">
        <v>0</v>
      </c>
      <c r="C2">
        <v>0</v>
      </c>
      <c r="F2">
        <v>20</v>
      </c>
    </row>
    <row r="3" spans="1:7">
      <c r="A3" t="s">
        <v>6183</v>
      </c>
      <c r="B3">
        <v>0</v>
      </c>
      <c r="C3">
        <v>1</v>
      </c>
      <c r="D3">
        <v>3</v>
      </c>
      <c r="E3">
        <v>1.05</v>
      </c>
      <c r="F3">
        <v>600</v>
      </c>
      <c r="G3" t="s">
        <v>6199</v>
      </c>
    </row>
    <row r="4" spans="1:7">
      <c r="A4" t="s">
        <v>5738</v>
      </c>
      <c r="B4">
        <v>0</v>
      </c>
      <c r="C4">
        <v>2</v>
      </c>
      <c r="D4">
        <v>1</v>
      </c>
      <c r="E4">
        <v>1.1000000000000001</v>
      </c>
      <c r="F4">
        <v>25</v>
      </c>
    </row>
    <row r="5" spans="1:7">
      <c r="A5" t="s">
        <v>6200</v>
      </c>
      <c r="B5">
        <v>1</v>
      </c>
      <c r="C5">
        <v>2</v>
      </c>
      <c r="D5">
        <v>4</v>
      </c>
      <c r="E5">
        <v>1.2</v>
      </c>
      <c r="F5" t="s">
        <v>6186</v>
      </c>
      <c r="G5" t="s">
        <v>6201</v>
      </c>
    </row>
    <row r="6" spans="1:7">
      <c r="A6" t="s">
        <v>6202</v>
      </c>
      <c r="B6">
        <v>2</v>
      </c>
      <c r="C6">
        <v>3</v>
      </c>
      <c r="D6">
        <v>5</v>
      </c>
      <c r="E6">
        <v>1.4</v>
      </c>
      <c r="F6">
        <v>10</v>
      </c>
      <c r="G6" t="s">
        <v>6203</v>
      </c>
    </row>
  </sheetData>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4"/>
  <sheetViews>
    <sheetView workbookViewId="0"/>
  </sheetViews>
  <sheetFormatPr baseColWidth="10" defaultColWidth="9.140625" defaultRowHeight="15"/>
  <sheetData>
    <row r="1" spans="1:7">
      <c r="A1" t="s">
        <v>6172</v>
      </c>
      <c r="B1" t="s">
        <v>6177</v>
      </c>
      <c r="C1" t="s">
        <v>6178</v>
      </c>
      <c r="D1" t="s">
        <v>6179</v>
      </c>
      <c r="E1" t="s">
        <v>6180</v>
      </c>
      <c r="F1" t="s">
        <v>6181</v>
      </c>
      <c r="G1" t="s">
        <v>9</v>
      </c>
    </row>
    <row r="2" spans="1:7">
      <c r="A2" t="s">
        <v>6187</v>
      </c>
      <c r="G2" t="s">
        <v>6204</v>
      </c>
    </row>
    <row r="3" spans="1:7">
      <c r="A3" t="s">
        <v>6188</v>
      </c>
      <c r="G3" t="s">
        <v>6204</v>
      </c>
    </row>
    <row r="4" spans="1:7">
      <c r="A4" t="s">
        <v>5743</v>
      </c>
      <c r="G4" t="s">
        <v>6204</v>
      </c>
    </row>
    <row r="5" spans="1:7">
      <c r="A5" t="s">
        <v>5721</v>
      </c>
      <c r="G5" t="s">
        <v>6204</v>
      </c>
    </row>
    <row r="6" spans="1:7">
      <c r="A6" t="s">
        <v>6190</v>
      </c>
      <c r="G6" t="s">
        <v>6204</v>
      </c>
    </row>
    <row r="7" spans="1:7">
      <c r="A7" t="s">
        <v>5723</v>
      </c>
      <c r="G7" t="s">
        <v>6204</v>
      </c>
    </row>
    <row r="8" spans="1:7">
      <c r="A8" t="s">
        <v>6192</v>
      </c>
      <c r="G8" t="s">
        <v>6204</v>
      </c>
    </row>
    <row r="9" spans="1:7">
      <c r="A9" t="s">
        <v>5726</v>
      </c>
      <c r="G9" t="s">
        <v>6204</v>
      </c>
    </row>
    <row r="10" spans="1:7">
      <c r="A10" t="s">
        <v>5727</v>
      </c>
      <c r="G10" t="s">
        <v>6204</v>
      </c>
    </row>
    <row r="11" spans="1:7">
      <c r="A11" t="s">
        <v>5733</v>
      </c>
      <c r="G11" t="s">
        <v>6204</v>
      </c>
    </row>
    <row r="12" spans="1:7">
      <c r="A12" t="s">
        <v>5729</v>
      </c>
      <c r="G12" t="s">
        <v>6204</v>
      </c>
    </row>
    <row r="13" spans="1:7">
      <c r="A13" t="s">
        <v>5741</v>
      </c>
      <c r="G13" t="s">
        <v>6204</v>
      </c>
    </row>
    <row r="14" spans="1:7">
      <c r="A14" t="s">
        <v>5730</v>
      </c>
      <c r="G14" t="s">
        <v>6204</v>
      </c>
    </row>
  </sheetData>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
  <sheetViews>
    <sheetView workbookViewId="0"/>
  </sheetViews>
  <sheetFormatPr baseColWidth="10" defaultColWidth="9.140625" defaultRowHeight="15"/>
  <sheetData>
    <row r="1" spans="1:7">
      <c r="A1" t="s">
        <v>6205</v>
      </c>
      <c r="B1" t="s">
        <v>4158</v>
      </c>
      <c r="C1" t="s">
        <v>6206</v>
      </c>
      <c r="D1" t="s">
        <v>6207</v>
      </c>
      <c r="E1" t="s">
        <v>6208</v>
      </c>
      <c r="F1" t="s">
        <v>6209</v>
      </c>
      <c r="G1" t="s">
        <v>12</v>
      </c>
    </row>
    <row r="2" spans="1:7">
      <c r="A2">
        <v>1</v>
      </c>
      <c r="B2" t="s">
        <v>6210</v>
      </c>
      <c r="C2">
        <v>2</v>
      </c>
      <c r="D2">
        <v>11</v>
      </c>
      <c r="E2">
        <v>0.5</v>
      </c>
      <c r="F2">
        <v>5</v>
      </c>
      <c r="G2">
        <v>1</v>
      </c>
    </row>
    <row r="3" spans="1:7">
      <c r="A3">
        <v>2</v>
      </c>
      <c r="B3" t="s">
        <v>6210</v>
      </c>
      <c r="C3">
        <v>2</v>
      </c>
      <c r="D3">
        <v>22</v>
      </c>
      <c r="E3">
        <v>1</v>
      </c>
      <c r="F3">
        <v>10</v>
      </c>
      <c r="G3">
        <v>2</v>
      </c>
    </row>
    <row r="4" spans="1:7">
      <c r="A4">
        <v>3</v>
      </c>
      <c r="B4" t="s">
        <v>6211</v>
      </c>
      <c r="C4">
        <v>2</v>
      </c>
      <c r="D4">
        <v>44</v>
      </c>
      <c r="E4">
        <v>2</v>
      </c>
      <c r="F4">
        <v>20</v>
      </c>
      <c r="G4">
        <v>3</v>
      </c>
    </row>
    <row r="5" spans="1:7">
      <c r="A5">
        <v>4</v>
      </c>
      <c r="B5" t="s">
        <v>6212</v>
      </c>
      <c r="C5">
        <v>3</v>
      </c>
      <c r="D5">
        <v>60</v>
      </c>
      <c r="E5">
        <v>6</v>
      </c>
      <c r="F5">
        <v>25</v>
      </c>
      <c r="G5">
        <v>4</v>
      </c>
    </row>
    <row r="6" spans="1:7">
      <c r="A6">
        <v>5</v>
      </c>
      <c r="B6" t="s">
        <v>6213</v>
      </c>
      <c r="C6">
        <v>4</v>
      </c>
      <c r="D6">
        <v>90</v>
      </c>
      <c r="E6">
        <v>18</v>
      </c>
      <c r="F6">
        <v>30</v>
      </c>
      <c r="G6">
        <v>5</v>
      </c>
    </row>
    <row r="7" spans="1:7">
      <c r="A7">
        <v>6</v>
      </c>
      <c r="B7" t="s">
        <v>6214</v>
      </c>
      <c r="C7">
        <v>5</v>
      </c>
      <c r="D7">
        <v>150</v>
      </c>
      <c r="E7">
        <v>54</v>
      </c>
      <c r="F7">
        <v>35</v>
      </c>
      <c r="G7">
        <v>6</v>
      </c>
    </row>
    <row r="8" spans="1:7">
      <c r="A8">
        <v>7</v>
      </c>
      <c r="B8" t="s">
        <v>6215</v>
      </c>
      <c r="C8">
        <v>6</v>
      </c>
      <c r="D8">
        <v>600</v>
      </c>
      <c r="E8">
        <v>162</v>
      </c>
      <c r="F8">
        <v>40</v>
      </c>
      <c r="G8">
        <v>7</v>
      </c>
    </row>
    <row r="9" spans="1:7">
      <c r="A9">
        <v>8</v>
      </c>
      <c r="B9" t="s">
        <v>6216</v>
      </c>
      <c r="C9">
        <v>7</v>
      </c>
      <c r="D9">
        <v>1500</v>
      </c>
      <c r="E9">
        <v>486</v>
      </c>
      <c r="F9">
        <v>45</v>
      </c>
      <c r="G9">
        <v>8</v>
      </c>
    </row>
    <row r="10" spans="1:7">
      <c r="A10">
        <v>9</v>
      </c>
      <c r="B10" t="s">
        <v>6217</v>
      </c>
      <c r="C10">
        <v>8</v>
      </c>
      <c r="D10">
        <v>5000</v>
      </c>
      <c r="E10">
        <v>1458</v>
      </c>
      <c r="F10">
        <v>50</v>
      </c>
      <c r="G10">
        <v>9</v>
      </c>
    </row>
    <row r="11" spans="1:7">
      <c r="A11">
        <v>10</v>
      </c>
      <c r="B11" t="s">
        <v>6218</v>
      </c>
      <c r="C11">
        <v>9</v>
      </c>
      <c r="D11">
        <v>15000</v>
      </c>
      <c r="E11">
        <v>4374</v>
      </c>
      <c r="F11">
        <v>55</v>
      </c>
      <c r="G11">
        <v>10</v>
      </c>
    </row>
    <row r="12" spans="1:7">
      <c r="A12">
        <v>11</v>
      </c>
      <c r="B12" t="s">
        <v>6219</v>
      </c>
      <c r="C12">
        <v>10</v>
      </c>
      <c r="D12">
        <v>45000</v>
      </c>
      <c r="E12">
        <v>13122</v>
      </c>
      <c r="F12">
        <v>60</v>
      </c>
      <c r="G12">
        <v>11</v>
      </c>
    </row>
  </sheetData>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1"/>
  <sheetViews>
    <sheetView workbookViewId="0"/>
  </sheetViews>
  <sheetFormatPr baseColWidth="10" defaultColWidth="9.140625" defaultRowHeight="15"/>
  <sheetData>
    <row r="1" spans="1:3">
      <c r="A1" t="s">
        <v>6220</v>
      </c>
      <c r="B1" t="s">
        <v>6221</v>
      </c>
      <c r="C1" t="s">
        <v>6208</v>
      </c>
    </row>
    <row r="2" spans="1:3">
      <c r="A2">
        <v>1</v>
      </c>
      <c r="B2">
        <v>0.6</v>
      </c>
      <c r="C2">
        <v>5</v>
      </c>
    </row>
    <row r="3" spans="1:3">
      <c r="A3">
        <v>2</v>
      </c>
      <c r="B3">
        <v>0.5</v>
      </c>
      <c r="C3">
        <v>10</v>
      </c>
    </row>
    <row r="4" spans="1:3">
      <c r="A4">
        <v>3</v>
      </c>
      <c r="B4">
        <v>0.4</v>
      </c>
      <c r="C4">
        <v>17</v>
      </c>
    </row>
    <row r="5" spans="1:3">
      <c r="A5">
        <v>4</v>
      </c>
      <c r="B5">
        <v>0.3</v>
      </c>
      <c r="C5">
        <v>26</v>
      </c>
    </row>
    <row r="6" spans="1:3">
      <c r="A6">
        <v>5</v>
      </c>
      <c r="B6">
        <v>0.2</v>
      </c>
      <c r="C6">
        <v>37</v>
      </c>
    </row>
    <row r="7" spans="1:3">
      <c r="A7">
        <v>6</v>
      </c>
      <c r="B7">
        <v>0.1</v>
      </c>
      <c r="C7">
        <v>50</v>
      </c>
    </row>
    <row r="8" spans="1:3">
      <c r="A8">
        <v>7</v>
      </c>
      <c r="B8">
        <v>0.05</v>
      </c>
      <c r="C8">
        <v>65</v>
      </c>
    </row>
    <row r="9" spans="1:3">
      <c r="A9">
        <v>8</v>
      </c>
      <c r="B9">
        <v>0.05</v>
      </c>
      <c r="C9">
        <v>82</v>
      </c>
    </row>
    <row r="10" spans="1:3">
      <c r="A10">
        <v>9</v>
      </c>
      <c r="B10">
        <v>0.05</v>
      </c>
      <c r="C10">
        <v>101</v>
      </c>
    </row>
    <row r="11" spans="1:3">
      <c r="A11">
        <v>10</v>
      </c>
      <c r="B11">
        <v>0.05</v>
      </c>
      <c r="C11">
        <v>123</v>
      </c>
    </row>
  </sheetData>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1"/>
  <sheetViews>
    <sheetView workbookViewId="0"/>
  </sheetViews>
  <sheetFormatPr baseColWidth="10" defaultColWidth="9.140625" defaultRowHeight="15"/>
  <sheetData>
    <row r="1" spans="1:2">
      <c r="A1" t="s">
        <v>6222</v>
      </c>
      <c r="B1" t="s">
        <v>6223</v>
      </c>
    </row>
    <row r="2" spans="1:2">
      <c r="A2">
        <v>1</v>
      </c>
      <c r="B2">
        <v>0.66666666666666663</v>
      </c>
    </row>
    <row r="3" spans="1:2">
      <c r="A3">
        <v>2</v>
      </c>
      <c r="B3">
        <v>0.44444444444444442</v>
      </c>
    </row>
    <row r="4" spans="1:2">
      <c r="A4">
        <v>3</v>
      </c>
      <c r="B4">
        <v>0.29629629629629622</v>
      </c>
    </row>
    <row r="5" spans="1:2">
      <c r="A5">
        <v>4</v>
      </c>
      <c r="B5">
        <v>0.1975308641975308</v>
      </c>
    </row>
    <row r="6" spans="1:2">
      <c r="A6">
        <v>5</v>
      </c>
      <c r="B6">
        <v>0.13168724279835389</v>
      </c>
    </row>
    <row r="7" spans="1:2">
      <c r="A7">
        <v>6</v>
      </c>
      <c r="B7">
        <v>8.7791495198902572E-2</v>
      </c>
    </row>
    <row r="8" spans="1:2">
      <c r="A8">
        <v>7</v>
      </c>
      <c r="B8">
        <v>5.8527663465935048E-2</v>
      </c>
    </row>
    <row r="9" spans="1:2">
      <c r="A9">
        <v>8</v>
      </c>
      <c r="B9">
        <v>3.9018442310623361E-2</v>
      </c>
    </row>
    <row r="10" spans="1:2">
      <c r="A10">
        <v>9</v>
      </c>
      <c r="B10">
        <v>2.6012294873748908E-2</v>
      </c>
    </row>
    <row r="11" spans="1:2">
      <c r="A11">
        <v>10</v>
      </c>
      <c r="B11">
        <v>1.7341529915832609E-2</v>
      </c>
    </row>
  </sheetData>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8"/>
  <sheetViews>
    <sheetView workbookViewId="0"/>
  </sheetViews>
  <sheetFormatPr baseColWidth="10" defaultColWidth="9.140625" defaultRowHeight="15"/>
  <sheetData>
    <row r="1" spans="1:12">
      <c r="A1" t="s">
        <v>0</v>
      </c>
      <c r="B1" t="s">
        <v>4158</v>
      </c>
      <c r="C1" t="s">
        <v>2</v>
      </c>
      <c r="D1" t="s">
        <v>6224</v>
      </c>
      <c r="E1" t="s">
        <v>6225</v>
      </c>
      <c r="F1" t="s">
        <v>6226</v>
      </c>
      <c r="G1" t="s">
        <v>6227</v>
      </c>
      <c r="H1" t="s">
        <v>6228</v>
      </c>
      <c r="I1" t="s">
        <v>6229</v>
      </c>
      <c r="J1" t="s">
        <v>6230</v>
      </c>
      <c r="K1" t="s">
        <v>6231</v>
      </c>
      <c r="L1" t="s">
        <v>657</v>
      </c>
    </row>
    <row r="2" spans="1:12">
      <c r="A2" t="s">
        <v>6232</v>
      </c>
      <c r="B2" t="s">
        <v>2366</v>
      </c>
      <c r="C2" t="s">
        <v>6233</v>
      </c>
      <c r="D2">
        <v>1</v>
      </c>
      <c r="E2">
        <v>10</v>
      </c>
      <c r="F2">
        <v>1</v>
      </c>
      <c r="G2" t="s">
        <v>6234</v>
      </c>
      <c r="H2">
        <v>5</v>
      </c>
      <c r="I2" t="s">
        <v>6235</v>
      </c>
      <c r="J2">
        <v>40</v>
      </c>
      <c r="K2" t="s">
        <v>6236</v>
      </c>
    </row>
    <row r="3" spans="1:12">
      <c r="A3" t="s">
        <v>6237</v>
      </c>
      <c r="B3" t="s">
        <v>2496</v>
      </c>
      <c r="C3" t="s">
        <v>6238</v>
      </c>
      <c r="D3">
        <v>1</v>
      </c>
      <c r="E3">
        <v>20</v>
      </c>
      <c r="F3">
        <v>1</v>
      </c>
      <c r="G3">
        <v>30</v>
      </c>
      <c r="H3" t="s">
        <v>5459</v>
      </c>
      <c r="J3">
        <v>40</v>
      </c>
      <c r="K3" t="s">
        <v>6239</v>
      </c>
    </row>
    <row r="4" spans="1:12">
      <c r="A4" t="s">
        <v>6240</v>
      </c>
      <c r="B4" t="s">
        <v>2492</v>
      </c>
      <c r="C4" t="s">
        <v>6241</v>
      </c>
      <c r="D4">
        <v>1</v>
      </c>
      <c r="E4">
        <v>42</v>
      </c>
      <c r="F4">
        <v>1</v>
      </c>
      <c r="G4">
        <v>60</v>
      </c>
      <c r="H4" t="s">
        <v>5459</v>
      </c>
      <c r="J4">
        <v>700</v>
      </c>
      <c r="K4" t="s">
        <v>6242</v>
      </c>
    </row>
    <row r="5" spans="1:12">
      <c r="A5" t="s">
        <v>6243</v>
      </c>
      <c r="B5" t="s">
        <v>6244</v>
      </c>
      <c r="C5" t="s">
        <v>6245</v>
      </c>
      <c r="D5">
        <v>1</v>
      </c>
      <c r="E5">
        <v>15</v>
      </c>
      <c r="F5">
        <v>1</v>
      </c>
      <c r="G5" t="s">
        <v>6234</v>
      </c>
      <c r="H5">
        <v>7</v>
      </c>
      <c r="I5" t="s">
        <v>6246</v>
      </c>
      <c r="J5">
        <v>14</v>
      </c>
      <c r="K5" t="s">
        <v>6247</v>
      </c>
    </row>
    <row r="6" spans="1:12">
      <c r="A6" t="s">
        <v>6248</v>
      </c>
      <c r="B6" t="s">
        <v>2499</v>
      </c>
      <c r="C6" t="s">
        <v>6249</v>
      </c>
      <c r="D6">
        <v>1</v>
      </c>
      <c r="E6">
        <v>28</v>
      </c>
      <c r="F6">
        <v>1</v>
      </c>
      <c r="G6" t="s">
        <v>6234</v>
      </c>
      <c r="H6">
        <v>7</v>
      </c>
      <c r="I6" t="s">
        <v>6235</v>
      </c>
    </row>
    <row r="7" spans="1:12">
      <c r="A7" t="s">
        <v>6250</v>
      </c>
      <c r="B7" t="s">
        <v>2574</v>
      </c>
      <c r="C7" t="s">
        <v>6251</v>
      </c>
      <c r="D7">
        <v>1</v>
      </c>
      <c r="E7">
        <v>15</v>
      </c>
      <c r="F7">
        <v>1</v>
      </c>
      <c r="G7" t="s">
        <v>6234</v>
      </c>
      <c r="H7">
        <v>40</v>
      </c>
      <c r="I7" t="s">
        <v>6235</v>
      </c>
      <c r="J7">
        <v>13</v>
      </c>
      <c r="K7" t="s">
        <v>6247</v>
      </c>
    </row>
    <row r="8" spans="1:12">
      <c r="A8" t="s">
        <v>6252</v>
      </c>
      <c r="B8" t="s">
        <v>2571</v>
      </c>
      <c r="C8" t="s">
        <v>6253</v>
      </c>
      <c r="D8">
        <v>1</v>
      </c>
      <c r="E8">
        <v>12</v>
      </c>
      <c r="F8">
        <v>1</v>
      </c>
      <c r="G8" t="s">
        <v>6234</v>
      </c>
      <c r="H8">
        <v>40</v>
      </c>
      <c r="I8" t="s">
        <v>6235</v>
      </c>
      <c r="J8" t="s">
        <v>6254</v>
      </c>
      <c r="K8">
        <v>13</v>
      </c>
      <c r="L8" t="s">
        <v>673</v>
      </c>
    </row>
    <row r="9" spans="1:12">
      <c r="A9" t="s">
        <v>6255</v>
      </c>
      <c r="B9" t="s">
        <v>6256</v>
      </c>
      <c r="C9" t="s">
        <v>6257</v>
      </c>
      <c r="D9">
        <v>2</v>
      </c>
      <c r="E9">
        <v>15</v>
      </c>
      <c r="F9">
        <v>2</v>
      </c>
      <c r="G9">
        <v>2</v>
      </c>
      <c r="H9">
        <v>5</v>
      </c>
      <c r="I9" t="s">
        <v>6235</v>
      </c>
    </row>
    <row r="10" spans="1:12">
      <c r="A10" t="s">
        <v>6258</v>
      </c>
      <c r="B10" t="s">
        <v>6259</v>
      </c>
      <c r="C10" t="s">
        <v>6260</v>
      </c>
      <c r="D10">
        <v>2</v>
      </c>
      <c r="E10">
        <v>18</v>
      </c>
      <c r="F10">
        <v>2</v>
      </c>
      <c r="G10" t="s">
        <v>6234</v>
      </c>
      <c r="H10">
        <v>40</v>
      </c>
      <c r="I10" t="s">
        <v>6235</v>
      </c>
      <c r="J10" t="s">
        <v>6261</v>
      </c>
      <c r="K10">
        <v>13</v>
      </c>
      <c r="L10" t="s">
        <v>670</v>
      </c>
    </row>
    <row r="11" spans="1:12">
      <c r="A11" t="s">
        <v>6262</v>
      </c>
      <c r="B11" t="s">
        <v>6263</v>
      </c>
      <c r="C11" t="s">
        <v>6264</v>
      </c>
      <c r="D11">
        <v>2</v>
      </c>
      <c r="E11">
        <v>18</v>
      </c>
      <c r="F11">
        <v>2</v>
      </c>
      <c r="G11" t="s">
        <v>6234</v>
      </c>
      <c r="H11">
        <v>40</v>
      </c>
      <c r="I11" t="s">
        <v>6235</v>
      </c>
      <c r="J11" t="s">
        <v>6261</v>
      </c>
      <c r="K11">
        <v>13</v>
      </c>
      <c r="L11" t="s">
        <v>676</v>
      </c>
    </row>
    <row r="12" spans="1:12">
      <c r="A12" t="s">
        <v>6265</v>
      </c>
      <c r="B12" t="s">
        <v>6266</v>
      </c>
      <c r="C12" t="s">
        <v>6267</v>
      </c>
      <c r="D12">
        <v>2</v>
      </c>
      <c r="E12">
        <v>18</v>
      </c>
      <c r="F12">
        <v>2</v>
      </c>
      <c r="G12" t="s">
        <v>6234</v>
      </c>
      <c r="H12">
        <v>40</v>
      </c>
      <c r="I12" t="s">
        <v>6235</v>
      </c>
      <c r="J12" t="s">
        <v>6261</v>
      </c>
      <c r="K12">
        <v>13</v>
      </c>
      <c r="L12" t="s">
        <v>679</v>
      </c>
    </row>
    <row r="13" spans="1:12">
      <c r="A13" t="s">
        <v>6268</v>
      </c>
      <c r="B13" t="s">
        <v>6269</v>
      </c>
      <c r="C13" t="s">
        <v>6270</v>
      </c>
      <c r="D13">
        <v>2</v>
      </c>
      <c r="E13">
        <v>18</v>
      </c>
      <c r="F13">
        <v>2</v>
      </c>
      <c r="G13" t="s">
        <v>6234</v>
      </c>
      <c r="H13">
        <v>40</v>
      </c>
      <c r="I13" t="s">
        <v>6235</v>
      </c>
      <c r="J13" t="s">
        <v>6261</v>
      </c>
      <c r="K13">
        <v>13</v>
      </c>
      <c r="L13" t="s">
        <v>682</v>
      </c>
    </row>
    <row r="14" spans="1:12">
      <c r="A14" t="s">
        <v>6271</v>
      </c>
      <c r="B14" t="s">
        <v>6272</v>
      </c>
      <c r="C14" t="s">
        <v>6273</v>
      </c>
      <c r="D14">
        <v>2</v>
      </c>
      <c r="E14">
        <v>18</v>
      </c>
      <c r="F14">
        <v>2</v>
      </c>
      <c r="G14" t="s">
        <v>6234</v>
      </c>
      <c r="H14">
        <v>40</v>
      </c>
      <c r="I14" t="s">
        <v>6235</v>
      </c>
      <c r="J14" t="s">
        <v>6261</v>
      </c>
      <c r="K14">
        <v>13</v>
      </c>
      <c r="L14" t="s">
        <v>4152</v>
      </c>
    </row>
    <row r="15" spans="1:12">
      <c r="A15" t="s">
        <v>6274</v>
      </c>
      <c r="B15" t="s">
        <v>2589</v>
      </c>
      <c r="C15" t="s">
        <v>6275</v>
      </c>
      <c r="D15">
        <v>2</v>
      </c>
      <c r="E15">
        <v>18</v>
      </c>
      <c r="F15">
        <v>2</v>
      </c>
      <c r="G15">
        <v>15</v>
      </c>
      <c r="H15">
        <v>120</v>
      </c>
      <c r="I15" t="s">
        <v>6235</v>
      </c>
    </row>
    <row r="16" spans="1:12">
      <c r="A16" t="s">
        <v>6276</v>
      </c>
      <c r="B16" t="s">
        <v>6277</v>
      </c>
      <c r="C16" t="s">
        <v>6278</v>
      </c>
      <c r="D16">
        <v>2</v>
      </c>
      <c r="E16">
        <v>9</v>
      </c>
      <c r="F16">
        <v>2</v>
      </c>
      <c r="G16">
        <v>5</v>
      </c>
      <c r="H16">
        <v>7</v>
      </c>
      <c r="I16" t="s">
        <v>6235</v>
      </c>
    </row>
    <row r="17" spans="1:12">
      <c r="A17" t="s">
        <v>6279</v>
      </c>
      <c r="B17" t="s">
        <v>6280</v>
      </c>
      <c r="C17" t="s">
        <v>6281</v>
      </c>
      <c r="D17">
        <v>3</v>
      </c>
      <c r="E17">
        <v>4</v>
      </c>
      <c r="F17">
        <v>3</v>
      </c>
      <c r="G17" t="s">
        <v>6234</v>
      </c>
      <c r="H17">
        <v>40</v>
      </c>
      <c r="I17" t="s">
        <v>6282</v>
      </c>
      <c r="J17" t="s">
        <v>5897</v>
      </c>
    </row>
    <row r="18" spans="1:12">
      <c r="A18" t="s">
        <v>6283</v>
      </c>
      <c r="B18" t="s">
        <v>6284</v>
      </c>
      <c r="C18" t="s">
        <v>6285</v>
      </c>
      <c r="D18">
        <v>3</v>
      </c>
      <c r="E18">
        <v>4</v>
      </c>
      <c r="F18">
        <v>3</v>
      </c>
      <c r="G18" t="s">
        <v>6234</v>
      </c>
      <c r="H18">
        <v>40</v>
      </c>
      <c r="I18" t="s">
        <v>6282</v>
      </c>
      <c r="J18" t="s">
        <v>5803</v>
      </c>
    </row>
    <row r="19" spans="1:12">
      <c r="A19" t="s">
        <v>6286</v>
      </c>
      <c r="B19" t="s">
        <v>6287</v>
      </c>
      <c r="C19" t="s">
        <v>6288</v>
      </c>
      <c r="D19">
        <v>3</v>
      </c>
      <c r="E19">
        <v>4</v>
      </c>
      <c r="F19">
        <v>3</v>
      </c>
      <c r="G19" t="s">
        <v>6234</v>
      </c>
      <c r="H19">
        <v>40</v>
      </c>
      <c r="I19" t="s">
        <v>6282</v>
      </c>
      <c r="J19" t="s">
        <v>5803</v>
      </c>
    </row>
    <row r="20" spans="1:12">
      <c r="A20" t="s">
        <v>6289</v>
      </c>
      <c r="B20" t="s">
        <v>6290</v>
      </c>
      <c r="C20" t="s">
        <v>6291</v>
      </c>
      <c r="D20">
        <v>3</v>
      </c>
      <c r="E20">
        <v>4</v>
      </c>
      <c r="F20">
        <v>3</v>
      </c>
      <c r="G20" t="s">
        <v>6234</v>
      </c>
      <c r="H20">
        <v>40</v>
      </c>
      <c r="I20" t="s">
        <v>6282</v>
      </c>
      <c r="J20" t="s">
        <v>5803</v>
      </c>
      <c r="K20" t="s">
        <v>6292</v>
      </c>
    </row>
    <row r="21" spans="1:12">
      <c r="A21" t="s">
        <v>6293</v>
      </c>
      <c r="B21" t="s">
        <v>6294</v>
      </c>
      <c r="C21" t="s">
        <v>6295</v>
      </c>
      <c r="D21">
        <v>3</v>
      </c>
      <c r="E21">
        <v>4</v>
      </c>
      <c r="F21">
        <v>3</v>
      </c>
      <c r="G21" t="s">
        <v>6234</v>
      </c>
      <c r="H21">
        <v>40</v>
      </c>
      <c r="I21" t="s">
        <v>6282</v>
      </c>
      <c r="J21" t="s">
        <v>5803</v>
      </c>
      <c r="K21" t="s">
        <v>6296</v>
      </c>
    </row>
    <row r="22" spans="1:12">
      <c r="A22" t="s">
        <v>6297</v>
      </c>
      <c r="B22" t="s">
        <v>6298</v>
      </c>
      <c r="C22" t="s">
        <v>6299</v>
      </c>
      <c r="D22">
        <v>3</v>
      </c>
      <c r="E22">
        <v>26</v>
      </c>
      <c r="F22">
        <v>3</v>
      </c>
      <c r="G22" t="s">
        <v>6234</v>
      </c>
      <c r="H22">
        <v>40</v>
      </c>
      <c r="I22" t="s">
        <v>6235</v>
      </c>
      <c r="J22" t="s">
        <v>5897</v>
      </c>
    </row>
    <row r="23" spans="1:12">
      <c r="A23" t="s">
        <v>6300</v>
      </c>
      <c r="B23" t="s">
        <v>6301</v>
      </c>
      <c r="C23" t="s">
        <v>6302</v>
      </c>
      <c r="D23">
        <v>3</v>
      </c>
      <c r="E23">
        <v>26</v>
      </c>
      <c r="F23">
        <v>3</v>
      </c>
      <c r="G23" t="s">
        <v>6234</v>
      </c>
      <c r="H23">
        <v>40</v>
      </c>
      <c r="I23" t="s">
        <v>6235</v>
      </c>
      <c r="J23" t="s">
        <v>5803</v>
      </c>
    </row>
    <row r="24" spans="1:12">
      <c r="A24" t="s">
        <v>6303</v>
      </c>
      <c r="B24" t="s">
        <v>6304</v>
      </c>
      <c r="C24" t="s">
        <v>6305</v>
      </c>
      <c r="D24">
        <v>3</v>
      </c>
      <c r="E24">
        <v>26</v>
      </c>
      <c r="F24">
        <v>3</v>
      </c>
      <c r="G24" t="s">
        <v>6234</v>
      </c>
      <c r="H24">
        <v>40</v>
      </c>
      <c r="I24" t="s">
        <v>6235</v>
      </c>
      <c r="J24" t="s">
        <v>5803</v>
      </c>
    </row>
    <row r="25" spans="1:12">
      <c r="A25" t="s">
        <v>6306</v>
      </c>
      <c r="B25" t="s">
        <v>6307</v>
      </c>
      <c r="C25" t="s">
        <v>6308</v>
      </c>
      <c r="D25">
        <v>3</v>
      </c>
      <c r="E25">
        <v>26</v>
      </c>
      <c r="F25">
        <v>3</v>
      </c>
      <c r="G25" t="s">
        <v>6234</v>
      </c>
      <c r="H25">
        <v>40</v>
      </c>
      <c r="I25" t="s">
        <v>6235</v>
      </c>
      <c r="J25" t="s">
        <v>5803</v>
      </c>
      <c r="K25" t="s">
        <v>6292</v>
      </c>
    </row>
    <row r="26" spans="1:12">
      <c r="A26" t="s">
        <v>6309</v>
      </c>
      <c r="B26" t="s">
        <v>6310</v>
      </c>
      <c r="C26" t="s">
        <v>6311</v>
      </c>
      <c r="D26">
        <v>3</v>
      </c>
      <c r="E26">
        <v>26</v>
      </c>
      <c r="F26">
        <v>3</v>
      </c>
      <c r="G26" t="s">
        <v>6234</v>
      </c>
      <c r="H26">
        <v>40</v>
      </c>
      <c r="I26" t="s">
        <v>6235</v>
      </c>
      <c r="J26" t="s">
        <v>5803</v>
      </c>
      <c r="K26" t="s">
        <v>6296</v>
      </c>
    </row>
    <row r="27" spans="1:12">
      <c r="A27" t="s">
        <v>6312</v>
      </c>
      <c r="B27" t="s">
        <v>2523</v>
      </c>
      <c r="C27" t="s">
        <v>6313</v>
      </c>
      <c r="D27">
        <v>3</v>
      </c>
      <c r="E27">
        <v>80</v>
      </c>
      <c r="F27">
        <v>3</v>
      </c>
      <c r="G27" t="s">
        <v>6234</v>
      </c>
      <c r="H27">
        <v>40</v>
      </c>
      <c r="I27" t="s">
        <v>6235</v>
      </c>
      <c r="J27">
        <v>8</v>
      </c>
      <c r="K27" t="s">
        <v>6314</v>
      </c>
    </row>
    <row r="28" spans="1:12">
      <c r="A28" t="s">
        <v>6315</v>
      </c>
      <c r="B28" t="s">
        <v>6316</v>
      </c>
      <c r="C28" t="s">
        <v>6317</v>
      </c>
      <c r="D28">
        <v>3</v>
      </c>
      <c r="E28">
        <v>18</v>
      </c>
      <c r="F28">
        <v>3</v>
      </c>
      <c r="G28" t="s">
        <v>6234</v>
      </c>
      <c r="H28">
        <v>40</v>
      </c>
      <c r="I28" t="s">
        <v>6235</v>
      </c>
      <c r="J28" t="s">
        <v>6318</v>
      </c>
      <c r="K28">
        <v>13</v>
      </c>
      <c r="L28" t="s">
        <v>658</v>
      </c>
    </row>
    <row r="29" spans="1:12">
      <c r="A29" t="s">
        <v>6319</v>
      </c>
      <c r="B29" t="s">
        <v>6320</v>
      </c>
      <c r="C29" t="s">
        <v>6321</v>
      </c>
      <c r="D29">
        <v>3</v>
      </c>
      <c r="E29">
        <v>18</v>
      </c>
      <c r="F29">
        <v>3</v>
      </c>
      <c r="G29" t="s">
        <v>6234</v>
      </c>
      <c r="H29">
        <v>40</v>
      </c>
      <c r="I29" t="s">
        <v>6235</v>
      </c>
      <c r="J29" t="s">
        <v>6318</v>
      </c>
      <c r="K29">
        <v>13</v>
      </c>
      <c r="L29" t="s">
        <v>662</v>
      </c>
    </row>
    <row r="30" spans="1:12">
      <c r="A30" t="s">
        <v>6322</v>
      </c>
      <c r="B30" t="s">
        <v>6323</v>
      </c>
      <c r="C30" t="s">
        <v>6324</v>
      </c>
      <c r="D30">
        <v>3</v>
      </c>
      <c r="E30">
        <v>18</v>
      </c>
      <c r="F30">
        <v>3</v>
      </c>
      <c r="G30" t="s">
        <v>6234</v>
      </c>
      <c r="H30">
        <v>40</v>
      </c>
      <c r="I30" t="s">
        <v>6235</v>
      </c>
      <c r="J30" t="s">
        <v>6318</v>
      </c>
      <c r="K30">
        <v>13</v>
      </c>
      <c r="L30" t="s">
        <v>4151</v>
      </c>
    </row>
    <row r="31" spans="1:12">
      <c r="A31" t="s">
        <v>6325</v>
      </c>
      <c r="B31" t="s">
        <v>6326</v>
      </c>
      <c r="C31" t="s">
        <v>6327</v>
      </c>
      <c r="D31">
        <v>3</v>
      </c>
      <c r="E31">
        <v>18</v>
      </c>
      <c r="F31">
        <v>3</v>
      </c>
      <c r="G31" t="s">
        <v>6234</v>
      </c>
      <c r="H31">
        <v>40</v>
      </c>
      <c r="I31" t="s">
        <v>6235</v>
      </c>
      <c r="J31" t="s">
        <v>6318</v>
      </c>
      <c r="K31">
        <v>13</v>
      </c>
      <c r="L31" t="s">
        <v>667</v>
      </c>
    </row>
    <row r="32" spans="1:12">
      <c r="A32" t="s">
        <v>6328</v>
      </c>
      <c r="B32" t="s">
        <v>2615</v>
      </c>
      <c r="C32" t="s">
        <v>6329</v>
      </c>
      <c r="D32">
        <v>3</v>
      </c>
      <c r="E32">
        <v>92</v>
      </c>
      <c r="F32">
        <v>3</v>
      </c>
      <c r="G32" t="s">
        <v>6234</v>
      </c>
      <c r="H32">
        <v>20</v>
      </c>
      <c r="I32" t="s">
        <v>6235</v>
      </c>
      <c r="J32" t="s">
        <v>6330</v>
      </c>
      <c r="K32">
        <v>20</v>
      </c>
    </row>
    <row r="33" spans="1:11">
      <c r="A33" t="s">
        <v>6331</v>
      </c>
      <c r="B33" t="s">
        <v>2517</v>
      </c>
      <c r="C33" t="s">
        <v>6332</v>
      </c>
      <c r="D33">
        <v>3</v>
      </c>
      <c r="E33">
        <v>1800</v>
      </c>
      <c r="F33">
        <v>3</v>
      </c>
      <c r="G33">
        <v>180</v>
      </c>
      <c r="H33">
        <v>40</v>
      </c>
      <c r="I33" t="s">
        <v>6246</v>
      </c>
      <c r="J33">
        <v>400</v>
      </c>
      <c r="K33">
        <v>7</v>
      </c>
    </row>
    <row r="34" spans="1:11">
      <c r="A34" t="s">
        <v>6333</v>
      </c>
      <c r="B34" t="s">
        <v>6334</v>
      </c>
      <c r="C34" t="s">
        <v>2637</v>
      </c>
      <c r="D34">
        <v>4</v>
      </c>
      <c r="E34">
        <v>130</v>
      </c>
      <c r="F34">
        <v>4</v>
      </c>
      <c r="G34" t="s">
        <v>6234</v>
      </c>
      <c r="H34">
        <v>20</v>
      </c>
      <c r="I34" t="s">
        <v>6282</v>
      </c>
    </row>
    <row r="35" spans="1:11">
      <c r="A35" t="s">
        <v>6335</v>
      </c>
      <c r="B35" t="s">
        <v>2633</v>
      </c>
      <c r="C35" t="s">
        <v>6336</v>
      </c>
      <c r="D35">
        <v>4</v>
      </c>
      <c r="E35">
        <v>1400</v>
      </c>
      <c r="F35">
        <v>4</v>
      </c>
      <c r="G35">
        <v>60</v>
      </c>
      <c r="H35">
        <v>40</v>
      </c>
      <c r="I35" t="s">
        <v>6235</v>
      </c>
    </row>
    <row r="36" spans="1:11">
      <c r="A36" t="s">
        <v>6337</v>
      </c>
      <c r="B36" t="s">
        <v>2642</v>
      </c>
      <c r="C36" t="s">
        <v>6338</v>
      </c>
      <c r="D36">
        <v>5</v>
      </c>
      <c r="E36">
        <v>88</v>
      </c>
      <c r="F36">
        <v>5</v>
      </c>
      <c r="G36" t="s">
        <v>6234</v>
      </c>
      <c r="H36">
        <v>40</v>
      </c>
      <c r="I36" t="s">
        <v>6235</v>
      </c>
      <c r="J36">
        <v>20</v>
      </c>
      <c r="K36" t="s">
        <v>519</v>
      </c>
    </row>
    <row r="37" spans="1:11">
      <c r="A37" t="s">
        <v>6339</v>
      </c>
      <c r="B37" t="s">
        <v>2414</v>
      </c>
      <c r="C37" t="s">
        <v>6340</v>
      </c>
      <c r="D37">
        <v>5</v>
      </c>
      <c r="E37">
        <v>336</v>
      </c>
      <c r="F37">
        <v>5</v>
      </c>
      <c r="G37">
        <v>3</v>
      </c>
      <c r="H37">
        <v>20</v>
      </c>
      <c r="I37" t="s">
        <v>6235</v>
      </c>
      <c r="J37">
        <v>21</v>
      </c>
      <c r="K37" t="s">
        <v>665</v>
      </c>
    </row>
    <row r="38" spans="1:11">
      <c r="A38" t="s">
        <v>6341</v>
      </c>
      <c r="B38" t="s">
        <v>2663</v>
      </c>
      <c r="C38" t="s">
        <v>6342</v>
      </c>
      <c r="D38">
        <v>5</v>
      </c>
      <c r="E38">
        <v>22</v>
      </c>
      <c r="F38">
        <v>5</v>
      </c>
      <c r="G38">
        <v>1</v>
      </c>
      <c r="H38">
        <v>1</v>
      </c>
      <c r="I38" t="s">
        <v>6282</v>
      </c>
      <c r="J38">
        <v>200</v>
      </c>
      <c r="K38" t="s">
        <v>6343</v>
      </c>
    </row>
    <row r="39" spans="1:11">
      <c r="A39" t="s">
        <v>6344</v>
      </c>
      <c r="B39" t="s">
        <v>2660</v>
      </c>
      <c r="C39" t="s">
        <v>6345</v>
      </c>
      <c r="D39">
        <v>5</v>
      </c>
      <c r="E39">
        <v>960</v>
      </c>
      <c r="F39">
        <v>5</v>
      </c>
      <c r="G39">
        <v>180</v>
      </c>
      <c r="H39">
        <v>240</v>
      </c>
      <c r="I39" t="s">
        <v>6235</v>
      </c>
    </row>
    <row r="40" spans="1:11">
      <c r="A40" t="s">
        <v>6346</v>
      </c>
      <c r="B40" t="s">
        <v>2672</v>
      </c>
      <c r="C40" t="s">
        <v>6347</v>
      </c>
      <c r="D40">
        <v>6</v>
      </c>
      <c r="E40">
        <v>600</v>
      </c>
      <c r="F40">
        <v>6</v>
      </c>
      <c r="G40">
        <v>180</v>
      </c>
      <c r="H40">
        <v>200</v>
      </c>
      <c r="I40" t="s">
        <v>6235</v>
      </c>
    </row>
    <row r="41" spans="1:11">
      <c r="A41" t="s">
        <v>6348</v>
      </c>
      <c r="B41" t="s">
        <v>2423</v>
      </c>
      <c r="C41" t="s">
        <v>6349</v>
      </c>
      <c r="D41">
        <v>6</v>
      </c>
      <c r="E41">
        <v>258</v>
      </c>
      <c r="F41">
        <v>6</v>
      </c>
      <c r="G41" t="s">
        <v>6234</v>
      </c>
      <c r="H41">
        <v>40</v>
      </c>
      <c r="I41" t="s">
        <v>6235</v>
      </c>
      <c r="J41">
        <v>21</v>
      </c>
      <c r="K41">
        <v>14</v>
      </c>
    </row>
    <row r="42" spans="1:11">
      <c r="A42" t="s">
        <v>6350</v>
      </c>
      <c r="B42" t="s">
        <v>2426</v>
      </c>
      <c r="C42" t="s">
        <v>6351</v>
      </c>
      <c r="D42">
        <v>6</v>
      </c>
      <c r="E42">
        <v>320</v>
      </c>
      <c r="F42">
        <v>6</v>
      </c>
      <c r="G42" t="s">
        <v>6234</v>
      </c>
      <c r="H42">
        <v>20</v>
      </c>
      <c r="I42" t="s">
        <v>6235</v>
      </c>
    </row>
    <row r="43" spans="1:11">
      <c r="A43" t="s">
        <v>6352</v>
      </c>
      <c r="B43" t="s">
        <v>2690</v>
      </c>
      <c r="C43" t="s">
        <v>6353</v>
      </c>
      <c r="D43">
        <v>7</v>
      </c>
      <c r="E43">
        <v>800</v>
      </c>
      <c r="F43">
        <v>7</v>
      </c>
      <c r="G43">
        <v>180</v>
      </c>
      <c r="H43">
        <v>200</v>
      </c>
      <c r="I43" t="s">
        <v>6235</v>
      </c>
      <c r="J43">
        <v>35</v>
      </c>
      <c r="K43" t="s">
        <v>6354</v>
      </c>
    </row>
    <row r="44" spans="1:11">
      <c r="A44" t="s">
        <v>6355</v>
      </c>
      <c r="B44" t="s">
        <v>1957</v>
      </c>
      <c r="C44" t="s">
        <v>6356</v>
      </c>
      <c r="D44">
        <v>1</v>
      </c>
      <c r="E44">
        <v>17</v>
      </c>
      <c r="F44">
        <v>1</v>
      </c>
      <c r="G44">
        <v>21</v>
      </c>
      <c r="H44" t="s">
        <v>5459</v>
      </c>
      <c r="J44">
        <v>7</v>
      </c>
      <c r="K44">
        <v>35</v>
      </c>
    </row>
    <row r="45" spans="1:11">
      <c r="A45" t="s">
        <v>6357</v>
      </c>
      <c r="B45" t="s">
        <v>6358</v>
      </c>
      <c r="C45" t="s">
        <v>6359</v>
      </c>
      <c r="D45">
        <v>1</v>
      </c>
      <c r="E45">
        <v>120</v>
      </c>
      <c r="F45">
        <v>1</v>
      </c>
      <c r="G45" t="s">
        <v>6234</v>
      </c>
      <c r="H45">
        <v>120</v>
      </c>
      <c r="I45" t="s">
        <v>6235</v>
      </c>
    </row>
    <row r="46" spans="1:11">
      <c r="A46" t="s">
        <v>6360</v>
      </c>
      <c r="B46" t="s">
        <v>6361</v>
      </c>
      <c r="C46" t="s">
        <v>2338</v>
      </c>
      <c r="D46">
        <v>2</v>
      </c>
      <c r="E46">
        <v>40</v>
      </c>
      <c r="F46">
        <v>2</v>
      </c>
      <c r="G46" t="s">
        <v>6234</v>
      </c>
      <c r="H46">
        <v>20</v>
      </c>
      <c r="I46" t="s">
        <v>6235</v>
      </c>
    </row>
    <row r="47" spans="1:11">
      <c r="A47" t="s">
        <v>6362</v>
      </c>
      <c r="B47" t="s">
        <v>1973</v>
      </c>
      <c r="C47" t="s">
        <v>6363</v>
      </c>
      <c r="D47">
        <v>2</v>
      </c>
      <c r="E47">
        <v>6</v>
      </c>
      <c r="F47">
        <v>2</v>
      </c>
      <c r="G47" t="s">
        <v>6234</v>
      </c>
      <c r="H47">
        <v>2</v>
      </c>
      <c r="I47" t="s">
        <v>6282</v>
      </c>
      <c r="J47" t="s">
        <v>10</v>
      </c>
      <c r="K47">
        <v>7</v>
      </c>
    </row>
    <row r="48" spans="1:11">
      <c r="A48" t="s">
        <v>6364</v>
      </c>
      <c r="B48" t="s">
        <v>6365</v>
      </c>
      <c r="C48" t="s">
        <v>6365</v>
      </c>
      <c r="D48">
        <v>3</v>
      </c>
      <c r="E48">
        <v>160</v>
      </c>
      <c r="F48">
        <v>3</v>
      </c>
      <c r="G48" t="s">
        <v>6234</v>
      </c>
      <c r="H48">
        <v>80</v>
      </c>
      <c r="I48" t="s">
        <v>6235</v>
      </c>
    </row>
    <row r="49" spans="1:12">
      <c r="A49" t="s">
        <v>6366</v>
      </c>
      <c r="B49" t="s">
        <v>1979</v>
      </c>
      <c r="C49" t="s">
        <v>6367</v>
      </c>
      <c r="D49">
        <v>3</v>
      </c>
      <c r="E49">
        <v>40</v>
      </c>
      <c r="F49">
        <v>3</v>
      </c>
      <c r="G49" t="s">
        <v>6234</v>
      </c>
      <c r="H49">
        <v>40</v>
      </c>
      <c r="I49" t="s">
        <v>6235</v>
      </c>
      <c r="J49">
        <v>20</v>
      </c>
      <c r="K49">
        <v>40</v>
      </c>
    </row>
    <row r="50" spans="1:12">
      <c r="A50" t="s">
        <v>6368</v>
      </c>
      <c r="B50" t="s">
        <v>2016</v>
      </c>
      <c r="C50" t="s">
        <v>6369</v>
      </c>
      <c r="D50">
        <v>5</v>
      </c>
      <c r="E50">
        <v>72</v>
      </c>
      <c r="F50">
        <v>5</v>
      </c>
      <c r="G50" t="s">
        <v>6234</v>
      </c>
      <c r="H50">
        <v>40</v>
      </c>
      <c r="I50" t="s">
        <v>6235</v>
      </c>
    </row>
    <row r="51" spans="1:12">
      <c r="A51" t="s">
        <v>6370</v>
      </c>
      <c r="B51" t="s">
        <v>2356</v>
      </c>
      <c r="C51" t="s">
        <v>6371</v>
      </c>
      <c r="D51">
        <v>6</v>
      </c>
      <c r="E51">
        <v>400</v>
      </c>
      <c r="F51">
        <v>6</v>
      </c>
      <c r="G51" t="s">
        <v>6234</v>
      </c>
      <c r="H51">
        <v>40</v>
      </c>
      <c r="I51" t="s">
        <v>6282</v>
      </c>
      <c r="J51" t="s">
        <v>6372</v>
      </c>
      <c r="K51">
        <v>7</v>
      </c>
    </row>
    <row r="52" spans="1:12">
      <c r="A52" t="s">
        <v>6373</v>
      </c>
      <c r="B52" t="s">
        <v>6374</v>
      </c>
      <c r="C52" t="s">
        <v>6375</v>
      </c>
      <c r="D52">
        <v>4</v>
      </c>
      <c r="E52">
        <v>24</v>
      </c>
      <c r="F52">
        <v>4</v>
      </c>
      <c r="G52" t="s">
        <v>6234</v>
      </c>
      <c r="H52">
        <v>24</v>
      </c>
      <c r="I52" t="s">
        <v>6246</v>
      </c>
      <c r="J52" t="s">
        <v>6376</v>
      </c>
      <c r="L52" t="s">
        <v>632</v>
      </c>
    </row>
    <row r="53" spans="1:12">
      <c r="A53" t="s">
        <v>6377</v>
      </c>
      <c r="B53" t="s">
        <v>6378</v>
      </c>
      <c r="C53" t="s">
        <v>6379</v>
      </c>
      <c r="D53">
        <v>4</v>
      </c>
      <c r="E53">
        <v>24</v>
      </c>
      <c r="F53">
        <v>4</v>
      </c>
      <c r="G53" t="s">
        <v>6234</v>
      </c>
      <c r="H53">
        <v>24</v>
      </c>
      <c r="I53" t="s">
        <v>6246</v>
      </c>
      <c r="J53" t="s">
        <v>6376</v>
      </c>
      <c r="L53" t="s">
        <v>637</v>
      </c>
    </row>
    <row r="54" spans="1:12">
      <c r="A54" t="s">
        <v>6380</v>
      </c>
      <c r="B54" t="s">
        <v>6381</v>
      </c>
      <c r="C54" t="s">
        <v>6382</v>
      </c>
      <c r="D54">
        <v>4</v>
      </c>
      <c r="E54">
        <v>24</v>
      </c>
      <c r="F54">
        <v>4</v>
      </c>
      <c r="G54" t="s">
        <v>6234</v>
      </c>
      <c r="H54">
        <v>24</v>
      </c>
      <c r="I54" t="s">
        <v>6246</v>
      </c>
      <c r="J54" t="s">
        <v>6376</v>
      </c>
      <c r="L54" t="s">
        <v>640</v>
      </c>
    </row>
    <row r="55" spans="1:12">
      <c r="A55" t="s">
        <v>6383</v>
      </c>
      <c r="B55" t="s">
        <v>6384</v>
      </c>
      <c r="C55" t="s">
        <v>6385</v>
      </c>
      <c r="D55">
        <v>4</v>
      </c>
      <c r="E55">
        <v>24</v>
      </c>
      <c r="F55">
        <v>4</v>
      </c>
      <c r="G55" t="s">
        <v>6234</v>
      </c>
      <c r="H55">
        <v>24</v>
      </c>
      <c r="I55" t="s">
        <v>6246</v>
      </c>
      <c r="J55" t="s">
        <v>6376</v>
      </c>
      <c r="L55" t="s">
        <v>643</v>
      </c>
    </row>
    <row r="56" spans="1:12">
      <c r="A56" t="s">
        <v>6386</v>
      </c>
      <c r="B56" t="s">
        <v>6387</v>
      </c>
      <c r="C56" t="s">
        <v>6388</v>
      </c>
      <c r="D56">
        <v>4</v>
      </c>
      <c r="E56">
        <v>24</v>
      </c>
      <c r="F56">
        <v>4</v>
      </c>
      <c r="G56" t="s">
        <v>6234</v>
      </c>
      <c r="H56">
        <v>24</v>
      </c>
      <c r="I56" t="s">
        <v>6246</v>
      </c>
      <c r="J56" t="s">
        <v>6376</v>
      </c>
      <c r="L56" t="s">
        <v>646</v>
      </c>
    </row>
    <row r="57" spans="1:12">
      <c r="A57" t="s">
        <v>6389</v>
      </c>
      <c r="B57" t="s">
        <v>6390</v>
      </c>
      <c r="C57" t="s">
        <v>6391</v>
      </c>
      <c r="D57">
        <v>4</v>
      </c>
      <c r="E57">
        <v>24</v>
      </c>
      <c r="F57">
        <v>4</v>
      </c>
      <c r="G57" t="s">
        <v>6234</v>
      </c>
      <c r="H57">
        <v>24</v>
      </c>
      <c r="I57" t="s">
        <v>6246</v>
      </c>
      <c r="J57" t="s">
        <v>6376</v>
      </c>
      <c r="L57" t="s">
        <v>649</v>
      </c>
    </row>
    <row r="58" spans="1:12">
      <c r="A58" t="s">
        <v>6392</v>
      </c>
      <c r="B58" t="s">
        <v>6393</v>
      </c>
      <c r="C58" t="s">
        <v>6394</v>
      </c>
      <c r="D58">
        <v>4</v>
      </c>
      <c r="E58">
        <v>24</v>
      </c>
      <c r="F58">
        <v>4</v>
      </c>
      <c r="G58" t="s">
        <v>6234</v>
      </c>
      <c r="H58">
        <v>24</v>
      </c>
      <c r="I58" t="s">
        <v>6246</v>
      </c>
      <c r="J58" t="s">
        <v>6376</v>
      </c>
      <c r="L58" t="s">
        <v>652</v>
      </c>
    </row>
    <row r="59" spans="1:12">
      <c r="A59" t="s">
        <v>6395</v>
      </c>
      <c r="B59" t="s">
        <v>6396</v>
      </c>
      <c r="C59" t="s">
        <v>6397</v>
      </c>
      <c r="D59">
        <v>4</v>
      </c>
      <c r="E59">
        <v>24</v>
      </c>
      <c r="F59">
        <v>4</v>
      </c>
      <c r="G59" t="s">
        <v>6234</v>
      </c>
      <c r="H59">
        <v>24</v>
      </c>
      <c r="I59" t="s">
        <v>6246</v>
      </c>
      <c r="J59" t="s">
        <v>6318</v>
      </c>
      <c r="L59" t="s">
        <v>670</v>
      </c>
    </row>
    <row r="60" spans="1:12">
      <c r="A60" t="s">
        <v>6398</v>
      </c>
      <c r="B60" t="s">
        <v>6399</v>
      </c>
      <c r="C60" t="s">
        <v>6400</v>
      </c>
      <c r="D60">
        <v>4</v>
      </c>
      <c r="E60">
        <v>24</v>
      </c>
      <c r="F60">
        <v>4</v>
      </c>
      <c r="G60" t="s">
        <v>6234</v>
      </c>
      <c r="H60">
        <v>24</v>
      </c>
      <c r="I60" t="s">
        <v>6246</v>
      </c>
      <c r="J60" t="s">
        <v>6318</v>
      </c>
      <c r="L60" t="s">
        <v>673</v>
      </c>
    </row>
    <row r="61" spans="1:12">
      <c r="A61" t="s">
        <v>6401</v>
      </c>
      <c r="B61" t="s">
        <v>6402</v>
      </c>
      <c r="C61" t="s">
        <v>6403</v>
      </c>
      <c r="D61">
        <v>4</v>
      </c>
      <c r="E61">
        <v>24</v>
      </c>
      <c r="F61">
        <v>4</v>
      </c>
      <c r="G61" t="s">
        <v>6234</v>
      </c>
      <c r="H61">
        <v>24</v>
      </c>
      <c r="I61" t="s">
        <v>6246</v>
      </c>
      <c r="J61" t="s">
        <v>6318</v>
      </c>
      <c r="L61" t="s">
        <v>676</v>
      </c>
    </row>
    <row r="62" spans="1:12">
      <c r="A62" t="s">
        <v>6404</v>
      </c>
      <c r="B62" t="s">
        <v>6405</v>
      </c>
      <c r="C62" t="s">
        <v>6406</v>
      </c>
      <c r="D62">
        <v>4</v>
      </c>
      <c r="E62">
        <v>24</v>
      </c>
      <c r="F62">
        <v>4</v>
      </c>
      <c r="G62" t="s">
        <v>6234</v>
      </c>
      <c r="H62">
        <v>24</v>
      </c>
      <c r="I62" t="s">
        <v>6246</v>
      </c>
      <c r="J62" t="s">
        <v>6318</v>
      </c>
      <c r="L62" t="s">
        <v>658</v>
      </c>
    </row>
    <row r="63" spans="1:12">
      <c r="A63" t="s">
        <v>6407</v>
      </c>
      <c r="B63" t="s">
        <v>6408</v>
      </c>
      <c r="C63" t="s">
        <v>6409</v>
      </c>
      <c r="D63">
        <v>4</v>
      </c>
      <c r="E63">
        <v>24</v>
      </c>
      <c r="F63">
        <v>4</v>
      </c>
      <c r="G63" t="s">
        <v>6234</v>
      </c>
      <c r="H63">
        <v>24</v>
      </c>
      <c r="I63" t="s">
        <v>6246</v>
      </c>
      <c r="J63" t="s">
        <v>6318</v>
      </c>
      <c r="L63" t="s">
        <v>679</v>
      </c>
    </row>
    <row r="64" spans="1:12">
      <c r="A64" t="s">
        <v>6410</v>
      </c>
      <c r="B64" t="s">
        <v>6411</v>
      </c>
      <c r="C64" t="s">
        <v>6412</v>
      </c>
      <c r="D64">
        <v>4</v>
      </c>
      <c r="E64">
        <v>24</v>
      </c>
      <c r="F64">
        <v>4</v>
      </c>
      <c r="G64" t="s">
        <v>6234</v>
      </c>
      <c r="H64">
        <v>24</v>
      </c>
      <c r="I64" t="s">
        <v>6246</v>
      </c>
      <c r="J64" t="s">
        <v>6318</v>
      </c>
      <c r="L64" t="s">
        <v>662</v>
      </c>
    </row>
    <row r="65" spans="1:12">
      <c r="A65" t="s">
        <v>6413</v>
      </c>
      <c r="B65" t="s">
        <v>6414</v>
      </c>
      <c r="C65" t="s">
        <v>6415</v>
      </c>
      <c r="D65">
        <v>4</v>
      </c>
      <c r="E65">
        <v>24</v>
      </c>
      <c r="F65">
        <v>4</v>
      </c>
      <c r="G65" t="s">
        <v>6234</v>
      </c>
      <c r="H65">
        <v>24</v>
      </c>
      <c r="I65" t="s">
        <v>6246</v>
      </c>
      <c r="J65" t="s">
        <v>6318</v>
      </c>
      <c r="L65" t="s">
        <v>682</v>
      </c>
    </row>
    <row r="66" spans="1:12">
      <c r="A66" t="s">
        <v>6416</v>
      </c>
      <c r="B66" t="s">
        <v>6417</v>
      </c>
      <c r="C66" t="s">
        <v>6418</v>
      </c>
      <c r="D66">
        <v>4</v>
      </c>
      <c r="E66">
        <v>24</v>
      </c>
      <c r="F66">
        <v>4</v>
      </c>
      <c r="G66" t="s">
        <v>6234</v>
      </c>
      <c r="H66">
        <v>24</v>
      </c>
      <c r="I66" t="s">
        <v>6246</v>
      </c>
      <c r="J66" t="s">
        <v>6318</v>
      </c>
      <c r="L66" t="s">
        <v>4151</v>
      </c>
    </row>
    <row r="67" spans="1:12">
      <c r="A67" t="s">
        <v>6419</v>
      </c>
      <c r="B67" t="s">
        <v>6420</v>
      </c>
      <c r="C67" t="s">
        <v>6421</v>
      </c>
      <c r="D67">
        <v>4</v>
      </c>
      <c r="E67">
        <v>24</v>
      </c>
      <c r="F67">
        <v>4</v>
      </c>
      <c r="G67" t="s">
        <v>6234</v>
      </c>
      <c r="H67">
        <v>24</v>
      </c>
      <c r="I67" t="s">
        <v>6246</v>
      </c>
      <c r="J67" t="s">
        <v>6318</v>
      </c>
      <c r="L67" t="s">
        <v>4152</v>
      </c>
    </row>
    <row r="68" spans="1:12">
      <c r="A68" t="s">
        <v>6422</v>
      </c>
      <c r="B68" t="s">
        <v>6423</v>
      </c>
      <c r="C68" t="s">
        <v>6424</v>
      </c>
      <c r="D68">
        <v>4</v>
      </c>
      <c r="E68">
        <v>24</v>
      </c>
      <c r="F68">
        <v>4</v>
      </c>
      <c r="G68" t="s">
        <v>6234</v>
      </c>
      <c r="H68">
        <v>24</v>
      </c>
      <c r="I68" t="s">
        <v>6246</v>
      </c>
      <c r="J68" t="s">
        <v>6318</v>
      </c>
      <c r="L68" t="s">
        <v>667</v>
      </c>
    </row>
  </sheetData>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70"/>
  <sheetViews>
    <sheetView workbookViewId="0"/>
  </sheetViews>
  <sheetFormatPr baseColWidth="10" defaultColWidth="9.140625" defaultRowHeight="15"/>
  <sheetData>
    <row r="1" spans="1:7">
      <c r="A1" t="s">
        <v>0</v>
      </c>
      <c r="B1" t="s">
        <v>4158</v>
      </c>
      <c r="C1" t="s">
        <v>6425</v>
      </c>
      <c r="D1" t="s">
        <v>6426</v>
      </c>
      <c r="E1" t="s">
        <v>6427</v>
      </c>
      <c r="F1" t="s">
        <v>6428</v>
      </c>
      <c r="G1" t="s">
        <v>6429</v>
      </c>
    </row>
    <row r="2" spans="1:7">
      <c r="A2" t="s">
        <v>6232</v>
      </c>
      <c r="B2" t="s">
        <v>2366</v>
      </c>
      <c r="C2">
        <v>1</v>
      </c>
      <c r="D2">
        <v>76</v>
      </c>
      <c r="E2">
        <v>3</v>
      </c>
      <c r="F2">
        <v>525</v>
      </c>
      <c r="G2">
        <v>5</v>
      </c>
    </row>
    <row r="3" spans="1:7">
      <c r="A3" t="s">
        <v>6232</v>
      </c>
      <c r="B3" t="s">
        <v>2366</v>
      </c>
      <c r="C3">
        <v>2</v>
      </c>
      <c r="D3">
        <v>218</v>
      </c>
      <c r="E3">
        <v>3</v>
      </c>
      <c r="F3">
        <v>975</v>
      </c>
      <c r="G3">
        <v>5</v>
      </c>
    </row>
    <row r="4" spans="1:7">
      <c r="A4" t="s">
        <v>6232</v>
      </c>
      <c r="B4" t="s">
        <v>2366</v>
      </c>
      <c r="C4">
        <v>3</v>
      </c>
      <c r="D4">
        <v>552</v>
      </c>
      <c r="E4">
        <v>3</v>
      </c>
      <c r="F4">
        <v>1730</v>
      </c>
      <c r="G4">
        <v>5</v>
      </c>
    </row>
    <row r="5" spans="1:7">
      <c r="A5" t="s">
        <v>6232</v>
      </c>
      <c r="B5" t="s">
        <v>2366</v>
      </c>
      <c r="C5">
        <v>4</v>
      </c>
      <c r="D5">
        <v>920</v>
      </c>
      <c r="E5">
        <v>4</v>
      </c>
      <c r="F5">
        <v>2368</v>
      </c>
      <c r="G5">
        <v>5</v>
      </c>
    </row>
    <row r="6" spans="1:7">
      <c r="A6" t="s">
        <v>6232</v>
      </c>
      <c r="B6" t="s">
        <v>2366</v>
      </c>
      <c r="C6">
        <v>5</v>
      </c>
      <c r="D6">
        <v>1590</v>
      </c>
      <c r="E6">
        <v>5</v>
      </c>
      <c r="F6">
        <v>3450</v>
      </c>
      <c r="G6">
        <v>5</v>
      </c>
    </row>
    <row r="7" spans="1:7">
      <c r="A7" t="s">
        <v>6232</v>
      </c>
      <c r="B7" t="s">
        <v>2366</v>
      </c>
      <c r="C7">
        <v>6</v>
      </c>
      <c r="D7">
        <v>3020</v>
      </c>
      <c r="E7">
        <v>6</v>
      </c>
      <c r="F7">
        <v>5860</v>
      </c>
      <c r="G7">
        <v>6</v>
      </c>
    </row>
    <row r="8" spans="1:7">
      <c r="A8" t="s">
        <v>6232</v>
      </c>
      <c r="B8" t="s">
        <v>2366</v>
      </c>
      <c r="C8">
        <v>7</v>
      </c>
      <c r="D8">
        <v>8780</v>
      </c>
      <c r="E8">
        <v>7</v>
      </c>
      <c r="F8">
        <v>14080</v>
      </c>
      <c r="G8">
        <v>7</v>
      </c>
    </row>
    <row r="9" spans="1:7">
      <c r="A9" t="s">
        <v>6237</v>
      </c>
      <c r="B9" t="s">
        <v>2496</v>
      </c>
      <c r="C9">
        <v>1</v>
      </c>
      <c r="D9">
        <v>120</v>
      </c>
      <c r="E9">
        <v>3</v>
      </c>
      <c r="F9">
        <v>645</v>
      </c>
      <c r="G9">
        <v>5</v>
      </c>
    </row>
    <row r="10" spans="1:7">
      <c r="A10" t="s">
        <v>6237</v>
      </c>
      <c r="B10" t="s">
        <v>2496</v>
      </c>
      <c r="C10">
        <v>2</v>
      </c>
      <c r="D10">
        <v>372</v>
      </c>
      <c r="E10">
        <v>3</v>
      </c>
      <c r="F10">
        <v>1275</v>
      </c>
      <c r="G10">
        <v>5</v>
      </c>
    </row>
    <row r="11" spans="1:7">
      <c r="A11" t="s">
        <v>6237</v>
      </c>
      <c r="B11" t="s">
        <v>2496</v>
      </c>
      <c r="C11">
        <v>3</v>
      </c>
      <c r="D11">
        <v>932</v>
      </c>
      <c r="E11">
        <v>3</v>
      </c>
      <c r="F11">
        <v>2322</v>
      </c>
      <c r="G11">
        <v>5</v>
      </c>
    </row>
    <row r="12" spans="1:7">
      <c r="A12" t="s">
        <v>6237</v>
      </c>
      <c r="B12" t="s">
        <v>2496</v>
      </c>
      <c r="C12">
        <v>4</v>
      </c>
      <c r="D12">
        <v>1480</v>
      </c>
      <c r="E12">
        <v>4</v>
      </c>
      <c r="F12">
        <v>3656</v>
      </c>
      <c r="G12">
        <v>5</v>
      </c>
    </row>
    <row r="13" spans="1:7">
      <c r="A13" t="s">
        <v>6237</v>
      </c>
      <c r="B13" t="s">
        <v>2496</v>
      </c>
      <c r="C13">
        <v>5</v>
      </c>
      <c r="D13">
        <v>2370</v>
      </c>
      <c r="E13">
        <v>5</v>
      </c>
      <c r="F13">
        <v>5730</v>
      </c>
      <c r="G13">
        <v>5</v>
      </c>
    </row>
    <row r="14" spans="1:7">
      <c r="A14" t="s">
        <v>6237</v>
      </c>
      <c r="B14" t="s">
        <v>2496</v>
      </c>
      <c r="C14">
        <v>6</v>
      </c>
      <c r="D14">
        <v>4060</v>
      </c>
      <c r="E14">
        <v>6</v>
      </c>
      <c r="F14">
        <v>8660</v>
      </c>
      <c r="G14">
        <v>6</v>
      </c>
    </row>
    <row r="15" spans="1:7">
      <c r="A15" t="s">
        <v>6237</v>
      </c>
      <c r="B15" t="s">
        <v>2496</v>
      </c>
      <c r="C15">
        <v>7</v>
      </c>
      <c r="D15">
        <v>10120</v>
      </c>
      <c r="E15">
        <v>7</v>
      </c>
      <c r="F15">
        <v>17480</v>
      </c>
      <c r="G15">
        <v>7</v>
      </c>
    </row>
    <row r="16" spans="1:7">
      <c r="A16" t="s">
        <v>6240</v>
      </c>
      <c r="B16" t="s">
        <v>2492</v>
      </c>
      <c r="C16">
        <v>1</v>
      </c>
      <c r="D16">
        <v>230</v>
      </c>
      <c r="E16">
        <v>3</v>
      </c>
      <c r="F16">
        <v>945</v>
      </c>
      <c r="G16">
        <v>5</v>
      </c>
    </row>
    <row r="17" spans="1:7">
      <c r="A17" t="s">
        <v>6240</v>
      </c>
      <c r="B17" t="s">
        <v>2492</v>
      </c>
      <c r="C17">
        <v>2</v>
      </c>
      <c r="D17">
        <v>680</v>
      </c>
      <c r="E17">
        <v>3</v>
      </c>
      <c r="F17">
        <v>1975</v>
      </c>
      <c r="G17">
        <v>5</v>
      </c>
    </row>
    <row r="18" spans="1:7">
      <c r="A18" t="s">
        <v>6240</v>
      </c>
      <c r="B18" t="s">
        <v>2492</v>
      </c>
      <c r="C18">
        <v>3</v>
      </c>
      <c r="D18">
        <v>1768</v>
      </c>
      <c r="E18">
        <v>3</v>
      </c>
      <c r="F18">
        <v>3802</v>
      </c>
      <c r="G18">
        <v>5</v>
      </c>
    </row>
    <row r="19" spans="1:7">
      <c r="A19" t="s">
        <v>6240</v>
      </c>
      <c r="B19" t="s">
        <v>2492</v>
      </c>
      <c r="C19">
        <v>4</v>
      </c>
      <c r="D19">
        <v>2712</v>
      </c>
      <c r="E19">
        <v>4</v>
      </c>
      <c r="F19">
        <v>6232</v>
      </c>
      <c r="G19">
        <v>5</v>
      </c>
    </row>
    <row r="20" spans="1:7">
      <c r="A20" t="s">
        <v>6240</v>
      </c>
      <c r="B20" t="s">
        <v>2492</v>
      </c>
      <c r="C20">
        <v>5</v>
      </c>
      <c r="D20">
        <v>4086</v>
      </c>
      <c r="E20">
        <v>5</v>
      </c>
      <c r="F20">
        <v>10746</v>
      </c>
      <c r="G20">
        <v>5</v>
      </c>
    </row>
    <row r="21" spans="1:7">
      <c r="A21" t="s">
        <v>6240</v>
      </c>
      <c r="B21" t="s">
        <v>2492</v>
      </c>
      <c r="C21">
        <v>6</v>
      </c>
      <c r="D21">
        <v>6348</v>
      </c>
      <c r="E21">
        <v>6</v>
      </c>
      <c r="F21">
        <v>14820</v>
      </c>
      <c r="G21">
        <v>6</v>
      </c>
    </row>
    <row r="22" spans="1:7">
      <c r="A22" t="s">
        <v>6240</v>
      </c>
      <c r="B22" t="s">
        <v>2492</v>
      </c>
      <c r="C22">
        <v>7</v>
      </c>
      <c r="D22">
        <v>13068</v>
      </c>
      <c r="E22">
        <v>7</v>
      </c>
      <c r="F22">
        <v>24960</v>
      </c>
      <c r="G22">
        <v>7</v>
      </c>
    </row>
    <row r="23" spans="1:7">
      <c r="A23" t="s">
        <v>6243</v>
      </c>
      <c r="B23" t="s">
        <v>6244</v>
      </c>
      <c r="C23">
        <v>1</v>
      </c>
      <c r="D23">
        <v>98</v>
      </c>
      <c r="E23">
        <v>3</v>
      </c>
      <c r="F23">
        <v>585</v>
      </c>
      <c r="G23">
        <v>5</v>
      </c>
    </row>
    <row r="24" spans="1:7">
      <c r="A24" t="s">
        <v>6243</v>
      </c>
      <c r="B24" t="s">
        <v>6244</v>
      </c>
      <c r="C24">
        <v>2</v>
      </c>
      <c r="D24">
        <v>284</v>
      </c>
      <c r="E24">
        <v>3</v>
      </c>
      <c r="F24">
        <v>1175</v>
      </c>
      <c r="G24">
        <v>5</v>
      </c>
    </row>
    <row r="25" spans="1:7">
      <c r="A25" t="s">
        <v>6243</v>
      </c>
      <c r="B25" t="s">
        <v>6244</v>
      </c>
      <c r="C25">
        <v>3</v>
      </c>
      <c r="D25">
        <v>742</v>
      </c>
      <c r="E25">
        <v>3</v>
      </c>
      <c r="F25">
        <v>2026</v>
      </c>
      <c r="G25">
        <v>5</v>
      </c>
    </row>
    <row r="26" spans="1:7">
      <c r="A26" t="s">
        <v>6243</v>
      </c>
      <c r="B26" t="s">
        <v>6244</v>
      </c>
      <c r="C26">
        <v>4</v>
      </c>
      <c r="D26">
        <v>1200</v>
      </c>
      <c r="E26">
        <v>4</v>
      </c>
      <c r="F26">
        <v>2920</v>
      </c>
      <c r="G26">
        <v>5</v>
      </c>
    </row>
    <row r="27" spans="1:7">
      <c r="A27" t="s">
        <v>6243</v>
      </c>
      <c r="B27" t="s">
        <v>6244</v>
      </c>
      <c r="C27">
        <v>5</v>
      </c>
      <c r="D27">
        <v>1980</v>
      </c>
      <c r="E27">
        <v>5</v>
      </c>
      <c r="F27">
        <v>4590</v>
      </c>
      <c r="G27">
        <v>5</v>
      </c>
    </row>
    <row r="28" spans="1:7">
      <c r="A28" t="s">
        <v>6243</v>
      </c>
      <c r="B28" t="s">
        <v>6244</v>
      </c>
      <c r="C28">
        <v>6</v>
      </c>
      <c r="D28">
        <v>3540</v>
      </c>
      <c r="E28">
        <v>6</v>
      </c>
      <c r="F28">
        <v>7260</v>
      </c>
      <c r="G28">
        <v>6</v>
      </c>
    </row>
    <row r="29" spans="1:7">
      <c r="A29" t="s">
        <v>6243</v>
      </c>
      <c r="B29" t="s">
        <v>6244</v>
      </c>
      <c r="C29">
        <v>7</v>
      </c>
      <c r="D29">
        <v>9450</v>
      </c>
      <c r="E29">
        <v>7</v>
      </c>
      <c r="F29">
        <v>15780</v>
      </c>
      <c r="G29">
        <v>7</v>
      </c>
    </row>
    <row r="30" spans="1:7">
      <c r="A30" t="s">
        <v>6248</v>
      </c>
      <c r="B30" t="s">
        <v>2499</v>
      </c>
      <c r="C30">
        <v>1</v>
      </c>
      <c r="D30">
        <v>164</v>
      </c>
      <c r="E30">
        <v>3</v>
      </c>
      <c r="F30">
        <v>765</v>
      </c>
      <c r="G30">
        <v>5</v>
      </c>
    </row>
    <row r="31" spans="1:7">
      <c r="A31" t="s">
        <v>6248</v>
      </c>
      <c r="B31" t="s">
        <v>2499</v>
      </c>
      <c r="C31">
        <v>2</v>
      </c>
      <c r="D31">
        <v>482</v>
      </c>
      <c r="E31">
        <v>3</v>
      </c>
      <c r="F31">
        <v>1575</v>
      </c>
      <c r="G31">
        <v>5</v>
      </c>
    </row>
    <row r="32" spans="1:7">
      <c r="A32" t="s">
        <v>6248</v>
      </c>
      <c r="B32" t="s">
        <v>2499</v>
      </c>
      <c r="C32">
        <v>3</v>
      </c>
      <c r="D32">
        <v>1236</v>
      </c>
      <c r="E32">
        <v>3</v>
      </c>
      <c r="F32">
        <v>2914</v>
      </c>
      <c r="G32">
        <v>5</v>
      </c>
    </row>
    <row r="33" spans="1:7">
      <c r="A33" t="s">
        <v>6248</v>
      </c>
      <c r="B33" t="s">
        <v>2499</v>
      </c>
      <c r="C33">
        <v>4</v>
      </c>
      <c r="D33">
        <v>1928</v>
      </c>
      <c r="E33">
        <v>4</v>
      </c>
      <c r="F33">
        <v>4576</v>
      </c>
      <c r="G33">
        <v>5</v>
      </c>
    </row>
    <row r="34" spans="1:7">
      <c r="A34" t="s">
        <v>6248</v>
      </c>
      <c r="B34" t="s">
        <v>2499</v>
      </c>
      <c r="C34">
        <v>5</v>
      </c>
      <c r="D34">
        <v>2994</v>
      </c>
      <c r="E34">
        <v>5</v>
      </c>
      <c r="F34">
        <v>7554</v>
      </c>
      <c r="G34">
        <v>5</v>
      </c>
    </row>
    <row r="35" spans="1:7">
      <c r="A35" t="s">
        <v>6248</v>
      </c>
      <c r="B35" t="s">
        <v>2499</v>
      </c>
      <c r="C35">
        <v>6</v>
      </c>
      <c r="D35">
        <v>4892</v>
      </c>
      <c r="E35">
        <v>6</v>
      </c>
      <c r="F35">
        <v>10900</v>
      </c>
      <c r="G35">
        <v>6</v>
      </c>
    </row>
    <row r="36" spans="1:7">
      <c r="A36" t="s">
        <v>6248</v>
      </c>
      <c r="B36" t="s">
        <v>2499</v>
      </c>
      <c r="C36">
        <v>7</v>
      </c>
      <c r="D36">
        <v>11192</v>
      </c>
      <c r="E36">
        <v>7</v>
      </c>
      <c r="F36">
        <v>20200</v>
      </c>
      <c r="G36">
        <v>7</v>
      </c>
    </row>
    <row r="37" spans="1:7">
      <c r="A37" t="s">
        <v>6250</v>
      </c>
      <c r="B37" t="s">
        <v>2574</v>
      </c>
      <c r="C37">
        <v>1</v>
      </c>
      <c r="D37">
        <v>98</v>
      </c>
      <c r="E37">
        <v>3</v>
      </c>
      <c r="F37">
        <v>585</v>
      </c>
      <c r="G37">
        <v>5</v>
      </c>
    </row>
    <row r="38" spans="1:7">
      <c r="A38" t="s">
        <v>6250</v>
      </c>
      <c r="B38" t="s">
        <v>2574</v>
      </c>
      <c r="C38">
        <v>2</v>
      </c>
      <c r="D38">
        <v>284</v>
      </c>
      <c r="E38">
        <v>3</v>
      </c>
      <c r="F38">
        <v>1175</v>
      </c>
      <c r="G38">
        <v>5</v>
      </c>
    </row>
    <row r="39" spans="1:7">
      <c r="A39" t="s">
        <v>6250</v>
      </c>
      <c r="B39" t="s">
        <v>2574</v>
      </c>
      <c r="C39">
        <v>3</v>
      </c>
      <c r="D39">
        <v>742</v>
      </c>
      <c r="E39">
        <v>3</v>
      </c>
      <c r="F39">
        <v>2026</v>
      </c>
      <c r="G39">
        <v>5</v>
      </c>
    </row>
    <row r="40" spans="1:7">
      <c r="A40" t="s">
        <v>6250</v>
      </c>
      <c r="B40" t="s">
        <v>2574</v>
      </c>
      <c r="C40">
        <v>4</v>
      </c>
      <c r="D40">
        <v>1200</v>
      </c>
      <c r="E40">
        <v>4</v>
      </c>
      <c r="F40">
        <v>2920</v>
      </c>
      <c r="G40">
        <v>5</v>
      </c>
    </row>
    <row r="41" spans="1:7">
      <c r="A41" t="s">
        <v>6250</v>
      </c>
      <c r="B41" t="s">
        <v>2574</v>
      </c>
      <c r="C41">
        <v>5</v>
      </c>
      <c r="D41">
        <v>1980</v>
      </c>
      <c r="E41">
        <v>5</v>
      </c>
      <c r="F41">
        <v>4590</v>
      </c>
      <c r="G41">
        <v>5</v>
      </c>
    </row>
    <row r="42" spans="1:7">
      <c r="A42" t="s">
        <v>6250</v>
      </c>
      <c r="B42" t="s">
        <v>2574</v>
      </c>
      <c r="C42">
        <v>6</v>
      </c>
      <c r="D42">
        <v>3540</v>
      </c>
      <c r="E42">
        <v>6</v>
      </c>
      <c r="F42">
        <v>7260</v>
      </c>
      <c r="G42">
        <v>6</v>
      </c>
    </row>
    <row r="43" spans="1:7">
      <c r="A43" t="s">
        <v>6250</v>
      </c>
      <c r="B43" t="s">
        <v>2574</v>
      </c>
      <c r="C43">
        <v>7</v>
      </c>
      <c r="D43">
        <v>9450</v>
      </c>
      <c r="E43">
        <v>7</v>
      </c>
      <c r="F43">
        <v>15780</v>
      </c>
      <c r="G43">
        <v>7</v>
      </c>
    </row>
    <row r="44" spans="1:7">
      <c r="A44" t="s">
        <v>6252</v>
      </c>
      <c r="B44" t="s">
        <v>2571</v>
      </c>
      <c r="C44">
        <v>1</v>
      </c>
      <c r="D44">
        <v>87</v>
      </c>
      <c r="E44">
        <v>3</v>
      </c>
      <c r="F44">
        <v>585</v>
      </c>
      <c r="G44">
        <v>5</v>
      </c>
    </row>
    <row r="45" spans="1:7">
      <c r="A45" t="s">
        <v>6252</v>
      </c>
      <c r="B45" t="s">
        <v>2571</v>
      </c>
      <c r="C45">
        <v>2</v>
      </c>
      <c r="D45">
        <v>240</v>
      </c>
      <c r="E45">
        <v>3</v>
      </c>
      <c r="F45">
        <v>1075</v>
      </c>
      <c r="G45">
        <v>5</v>
      </c>
    </row>
    <row r="46" spans="1:7">
      <c r="A46" t="s">
        <v>6252</v>
      </c>
      <c r="B46" t="s">
        <v>2571</v>
      </c>
      <c r="C46">
        <v>3</v>
      </c>
      <c r="D46">
        <v>628</v>
      </c>
      <c r="E46">
        <v>3</v>
      </c>
      <c r="F46">
        <v>1878</v>
      </c>
      <c r="G46">
        <v>5</v>
      </c>
    </row>
    <row r="47" spans="1:7">
      <c r="A47" t="s">
        <v>6252</v>
      </c>
      <c r="B47" t="s">
        <v>2571</v>
      </c>
      <c r="C47">
        <v>4</v>
      </c>
      <c r="D47">
        <v>1032</v>
      </c>
      <c r="E47">
        <v>4</v>
      </c>
      <c r="F47">
        <v>2552</v>
      </c>
      <c r="G47">
        <v>5</v>
      </c>
    </row>
    <row r="48" spans="1:7">
      <c r="A48" t="s">
        <v>6252</v>
      </c>
      <c r="B48" t="s">
        <v>2571</v>
      </c>
      <c r="C48">
        <v>5</v>
      </c>
      <c r="D48">
        <v>1746</v>
      </c>
      <c r="E48">
        <v>5</v>
      </c>
      <c r="F48">
        <v>3906</v>
      </c>
      <c r="G48">
        <v>5</v>
      </c>
    </row>
    <row r="49" spans="1:7">
      <c r="A49" t="s">
        <v>6252</v>
      </c>
      <c r="B49" t="s">
        <v>2571</v>
      </c>
      <c r="C49">
        <v>6</v>
      </c>
      <c r="D49">
        <v>3228</v>
      </c>
      <c r="E49">
        <v>6</v>
      </c>
      <c r="F49">
        <v>6420</v>
      </c>
      <c r="G49">
        <v>6</v>
      </c>
    </row>
    <row r="50" spans="1:7">
      <c r="A50" t="s">
        <v>6252</v>
      </c>
      <c r="B50" t="s">
        <v>2571</v>
      </c>
      <c r="C50">
        <v>7</v>
      </c>
      <c r="D50">
        <v>9048</v>
      </c>
      <c r="E50">
        <v>7</v>
      </c>
      <c r="F50">
        <v>14760</v>
      </c>
      <c r="G50">
        <v>7</v>
      </c>
    </row>
    <row r="51" spans="1:7">
      <c r="A51" t="s">
        <v>6255</v>
      </c>
      <c r="B51" t="s">
        <v>6256</v>
      </c>
      <c r="C51">
        <v>1</v>
      </c>
      <c r="D51">
        <v>98</v>
      </c>
      <c r="E51">
        <v>3</v>
      </c>
      <c r="F51">
        <v>585</v>
      </c>
      <c r="G51">
        <v>5</v>
      </c>
    </row>
    <row r="52" spans="1:7">
      <c r="A52" t="s">
        <v>6255</v>
      </c>
      <c r="B52" t="s">
        <v>6256</v>
      </c>
      <c r="C52">
        <v>2</v>
      </c>
      <c r="D52">
        <v>284</v>
      </c>
      <c r="E52">
        <v>3</v>
      </c>
      <c r="F52">
        <v>1175</v>
      </c>
      <c r="G52">
        <v>5</v>
      </c>
    </row>
    <row r="53" spans="1:7">
      <c r="A53" t="s">
        <v>6255</v>
      </c>
      <c r="B53" t="s">
        <v>6256</v>
      </c>
      <c r="C53">
        <v>3</v>
      </c>
      <c r="D53">
        <v>742</v>
      </c>
      <c r="E53">
        <v>3</v>
      </c>
      <c r="F53">
        <v>2026</v>
      </c>
      <c r="G53">
        <v>5</v>
      </c>
    </row>
    <row r="54" spans="1:7">
      <c r="A54" t="s">
        <v>6255</v>
      </c>
      <c r="B54" t="s">
        <v>6256</v>
      </c>
      <c r="C54">
        <v>4</v>
      </c>
      <c r="D54">
        <v>1200</v>
      </c>
      <c r="E54">
        <v>4</v>
      </c>
      <c r="F54">
        <v>2920</v>
      </c>
      <c r="G54">
        <v>5</v>
      </c>
    </row>
    <row r="55" spans="1:7">
      <c r="A55" t="s">
        <v>6255</v>
      </c>
      <c r="B55" t="s">
        <v>6256</v>
      </c>
      <c r="C55">
        <v>5</v>
      </c>
      <c r="D55">
        <v>1980</v>
      </c>
      <c r="E55">
        <v>5</v>
      </c>
      <c r="F55">
        <v>4590</v>
      </c>
      <c r="G55">
        <v>5</v>
      </c>
    </row>
    <row r="56" spans="1:7">
      <c r="A56" t="s">
        <v>6255</v>
      </c>
      <c r="B56" t="s">
        <v>6256</v>
      </c>
      <c r="C56">
        <v>6</v>
      </c>
      <c r="D56">
        <v>3540</v>
      </c>
      <c r="E56">
        <v>6</v>
      </c>
      <c r="F56">
        <v>7260</v>
      </c>
      <c r="G56">
        <v>6</v>
      </c>
    </row>
    <row r="57" spans="1:7">
      <c r="A57" t="s">
        <v>6255</v>
      </c>
      <c r="B57" t="s">
        <v>6256</v>
      </c>
      <c r="C57">
        <v>7</v>
      </c>
      <c r="D57">
        <v>9450</v>
      </c>
      <c r="E57">
        <v>7</v>
      </c>
      <c r="F57">
        <v>15780</v>
      </c>
      <c r="G57">
        <v>7</v>
      </c>
    </row>
    <row r="58" spans="1:7">
      <c r="A58" t="s">
        <v>6258</v>
      </c>
      <c r="B58" t="s">
        <v>6259</v>
      </c>
      <c r="C58">
        <v>1</v>
      </c>
      <c r="D58">
        <v>109</v>
      </c>
      <c r="E58">
        <v>3</v>
      </c>
      <c r="F58">
        <v>645</v>
      </c>
      <c r="G58">
        <v>5</v>
      </c>
    </row>
    <row r="59" spans="1:7">
      <c r="A59" t="s">
        <v>6258</v>
      </c>
      <c r="B59" t="s">
        <v>6259</v>
      </c>
      <c r="C59">
        <v>2</v>
      </c>
      <c r="D59">
        <v>328</v>
      </c>
      <c r="E59">
        <v>3</v>
      </c>
      <c r="F59">
        <v>1275</v>
      </c>
      <c r="G59">
        <v>5</v>
      </c>
    </row>
    <row r="60" spans="1:7">
      <c r="A60" t="s">
        <v>6258</v>
      </c>
      <c r="B60" t="s">
        <v>6259</v>
      </c>
      <c r="C60">
        <v>3</v>
      </c>
      <c r="D60">
        <v>856</v>
      </c>
      <c r="E60">
        <v>3</v>
      </c>
      <c r="F60">
        <v>2174</v>
      </c>
      <c r="G60">
        <v>5</v>
      </c>
    </row>
    <row r="61" spans="1:7">
      <c r="A61" t="s">
        <v>6258</v>
      </c>
      <c r="B61" t="s">
        <v>6259</v>
      </c>
      <c r="C61">
        <v>4</v>
      </c>
      <c r="D61">
        <v>1368</v>
      </c>
      <c r="E61">
        <v>4</v>
      </c>
      <c r="F61">
        <v>3288</v>
      </c>
      <c r="G61">
        <v>5</v>
      </c>
    </row>
    <row r="62" spans="1:7">
      <c r="A62" t="s">
        <v>6258</v>
      </c>
      <c r="B62" t="s">
        <v>6259</v>
      </c>
      <c r="C62">
        <v>5</v>
      </c>
      <c r="D62">
        <v>2214</v>
      </c>
      <c r="E62">
        <v>5</v>
      </c>
      <c r="F62">
        <v>5274</v>
      </c>
      <c r="G62">
        <v>5</v>
      </c>
    </row>
    <row r="63" spans="1:7">
      <c r="A63" t="s">
        <v>6258</v>
      </c>
      <c r="B63" t="s">
        <v>6259</v>
      </c>
      <c r="C63">
        <v>6</v>
      </c>
      <c r="D63">
        <v>3852</v>
      </c>
      <c r="E63">
        <v>6</v>
      </c>
      <c r="F63">
        <v>8100</v>
      </c>
      <c r="G63">
        <v>6</v>
      </c>
    </row>
    <row r="64" spans="1:7">
      <c r="A64" t="s">
        <v>6258</v>
      </c>
      <c r="B64" t="s">
        <v>6259</v>
      </c>
      <c r="C64">
        <v>7</v>
      </c>
      <c r="D64">
        <v>9852</v>
      </c>
      <c r="E64">
        <v>7</v>
      </c>
      <c r="F64">
        <v>16800</v>
      </c>
      <c r="G64">
        <v>7</v>
      </c>
    </row>
    <row r="65" spans="1:7">
      <c r="A65" t="s">
        <v>6262</v>
      </c>
      <c r="B65" t="s">
        <v>6263</v>
      </c>
      <c r="C65">
        <v>1</v>
      </c>
      <c r="D65">
        <v>109</v>
      </c>
      <c r="E65">
        <v>3</v>
      </c>
      <c r="F65">
        <v>645</v>
      </c>
      <c r="G65">
        <v>5</v>
      </c>
    </row>
    <row r="66" spans="1:7">
      <c r="A66" t="s">
        <v>6262</v>
      </c>
      <c r="B66" t="s">
        <v>6263</v>
      </c>
      <c r="C66">
        <v>2</v>
      </c>
      <c r="D66">
        <v>328</v>
      </c>
      <c r="E66">
        <v>3</v>
      </c>
      <c r="F66">
        <v>1275</v>
      </c>
      <c r="G66">
        <v>5</v>
      </c>
    </row>
    <row r="67" spans="1:7">
      <c r="A67" t="s">
        <v>6262</v>
      </c>
      <c r="B67" t="s">
        <v>6263</v>
      </c>
      <c r="C67">
        <v>3</v>
      </c>
      <c r="D67">
        <v>856</v>
      </c>
      <c r="E67">
        <v>3</v>
      </c>
      <c r="F67">
        <v>2174</v>
      </c>
      <c r="G67">
        <v>5</v>
      </c>
    </row>
    <row r="68" spans="1:7">
      <c r="A68" t="s">
        <v>6262</v>
      </c>
      <c r="B68" t="s">
        <v>6263</v>
      </c>
      <c r="C68">
        <v>4</v>
      </c>
      <c r="D68">
        <v>1368</v>
      </c>
      <c r="E68">
        <v>4</v>
      </c>
      <c r="F68">
        <v>3288</v>
      </c>
      <c r="G68">
        <v>5</v>
      </c>
    </row>
    <row r="69" spans="1:7">
      <c r="A69" t="s">
        <v>6262</v>
      </c>
      <c r="B69" t="s">
        <v>6263</v>
      </c>
      <c r="C69">
        <v>5</v>
      </c>
      <c r="D69">
        <v>2214</v>
      </c>
      <c r="E69">
        <v>5</v>
      </c>
      <c r="F69">
        <v>5274</v>
      </c>
      <c r="G69">
        <v>5</v>
      </c>
    </row>
    <row r="70" spans="1:7">
      <c r="A70" t="s">
        <v>6262</v>
      </c>
      <c r="B70" t="s">
        <v>6263</v>
      </c>
      <c r="C70">
        <v>6</v>
      </c>
      <c r="D70">
        <v>3852</v>
      </c>
      <c r="E70">
        <v>6</v>
      </c>
      <c r="F70">
        <v>8100</v>
      </c>
      <c r="G70">
        <v>6</v>
      </c>
    </row>
    <row r="71" spans="1:7">
      <c r="A71" t="s">
        <v>6262</v>
      </c>
      <c r="B71" t="s">
        <v>6263</v>
      </c>
      <c r="C71">
        <v>7</v>
      </c>
      <c r="D71">
        <v>9852</v>
      </c>
      <c r="E71">
        <v>7</v>
      </c>
      <c r="F71">
        <v>16800</v>
      </c>
      <c r="G71">
        <v>7</v>
      </c>
    </row>
    <row r="72" spans="1:7">
      <c r="A72" t="s">
        <v>6265</v>
      </c>
      <c r="B72" t="s">
        <v>6266</v>
      </c>
      <c r="C72">
        <v>1</v>
      </c>
      <c r="D72">
        <v>109</v>
      </c>
      <c r="E72">
        <v>3</v>
      </c>
      <c r="F72">
        <v>645</v>
      </c>
      <c r="G72">
        <v>5</v>
      </c>
    </row>
    <row r="73" spans="1:7">
      <c r="A73" t="s">
        <v>6265</v>
      </c>
      <c r="B73" t="s">
        <v>6266</v>
      </c>
      <c r="C73">
        <v>2</v>
      </c>
      <c r="D73">
        <v>328</v>
      </c>
      <c r="E73">
        <v>3</v>
      </c>
      <c r="F73">
        <v>1275</v>
      </c>
      <c r="G73">
        <v>5</v>
      </c>
    </row>
    <row r="74" spans="1:7">
      <c r="A74" t="s">
        <v>6265</v>
      </c>
      <c r="B74" t="s">
        <v>6266</v>
      </c>
      <c r="C74">
        <v>3</v>
      </c>
      <c r="D74">
        <v>856</v>
      </c>
      <c r="E74">
        <v>3</v>
      </c>
      <c r="F74">
        <v>2174</v>
      </c>
      <c r="G74">
        <v>5</v>
      </c>
    </row>
    <row r="75" spans="1:7">
      <c r="A75" t="s">
        <v>6265</v>
      </c>
      <c r="B75" t="s">
        <v>6266</v>
      </c>
      <c r="C75">
        <v>4</v>
      </c>
      <c r="D75">
        <v>1368</v>
      </c>
      <c r="E75">
        <v>4</v>
      </c>
      <c r="F75">
        <v>3288</v>
      </c>
      <c r="G75">
        <v>5</v>
      </c>
    </row>
    <row r="76" spans="1:7">
      <c r="A76" t="s">
        <v>6265</v>
      </c>
      <c r="B76" t="s">
        <v>6266</v>
      </c>
      <c r="C76">
        <v>5</v>
      </c>
      <c r="D76">
        <v>2214</v>
      </c>
      <c r="E76">
        <v>5</v>
      </c>
      <c r="F76">
        <v>5274</v>
      </c>
      <c r="G76">
        <v>5</v>
      </c>
    </row>
    <row r="77" spans="1:7">
      <c r="A77" t="s">
        <v>6265</v>
      </c>
      <c r="B77" t="s">
        <v>6266</v>
      </c>
      <c r="C77">
        <v>6</v>
      </c>
      <c r="D77">
        <v>3852</v>
      </c>
      <c r="E77">
        <v>6</v>
      </c>
      <c r="F77">
        <v>8100</v>
      </c>
      <c r="G77">
        <v>6</v>
      </c>
    </row>
    <row r="78" spans="1:7">
      <c r="A78" t="s">
        <v>6265</v>
      </c>
      <c r="B78" t="s">
        <v>6266</v>
      </c>
      <c r="C78">
        <v>7</v>
      </c>
      <c r="D78">
        <v>9852</v>
      </c>
      <c r="E78">
        <v>7</v>
      </c>
      <c r="F78">
        <v>16800</v>
      </c>
      <c r="G78">
        <v>7</v>
      </c>
    </row>
    <row r="79" spans="1:7">
      <c r="A79" t="s">
        <v>6268</v>
      </c>
      <c r="B79" t="s">
        <v>6269</v>
      </c>
      <c r="C79">
        <v>1</v>
      </c>
      <c r="D79">
        <v>109</v>
      </c>
      <c r="E79">
        <v>3</v>
      </c>
      <c r="F79">
        <v>645</v>
      </c>
      <c r="G79">
        <v>5</v>
      </c>
    </row>
    <row r="80" spans="1:7">
      <c r="A80" t="s">
        <v>6268</v>
      </c>
      <c r="B80" t="s">
        <v>6269</v>
      </c>
      <c r="C80">
        <v>2</v>
      </c>
      <c r="D80">
        <v>328</v>
      </c>
      <c r="E80">
        <v>3</v>
      </c>
      <c r="F80">
        <v>1275</v>
      </c>
      <c r="G80">
        <v>5</v>
      </c>
    </row>
    <row r="81" spans="1:7">
      <c r="A81" t="s">
        <v>6268</v>
      </c>
      <c r="B81" t="s">
        <v>6269</v>
      </c>
      <c r="C81">
        <v>3</v>
      </c>
      <c r="D81">
        <v>856</v>
      </c>
      <c r="E81">
        <v>3</v>
      </c>
      <c r="F81">
        <v>2174</v>
      </c>
      <c r="G81">
        <v>5</v>
      </c>
    </row>
    <row r="82" spans="1:7">
      <c r="A82" t="s">
        <v>6268</v>
      </c>
      <c r="B82" t="s">
        <v>6269</v>
      </c>
      <c r="C82">
        <v>4</v>
      </c>
      <c r="D82">
        <v>1368</v>
      </c>
      <c r="E82">
        <v>4</v>
      </c>
      <c r="F82">
        <v>3288</v>
      </c>
      <c r="G82">
        <v>5</v>
      </c>
    </row>
    <row r="83" spans="1:7">
      <c r="A83" t="s">
        <v>6268</v>
      </c>
      <c r="B83" t="s">
        <v>6269</v>
      </c>
      <c r="C83">
        <v>5</v>
      </c>
      <c r="D83">
        <v>2214</v>
      </c>
      <c r="E83">
        <v>5</v>
      </c>
      <c r="F83">
        <v>5274</v>
      </c>
      <c r="G83">
        <v>5</v>
      </c>
    </row>
    <row r="84" spans="1:7">
      <c r="A84" t="s">
        <v>6268</v>
      </c>
      <c r="B84" t="s">
        <v>6269</v>
      </c>
      <c r="C84">
        <v>6</v>
      </c>
      <c r="D84">
        <v>3852</v>
      </c>
      <c r="E84">
        <v>6</v>
      </c>
      <c r="F84">
        <v>8100</v>
      </c>
      <c r="G84">
        <v>6</v>
      </c>
    </row>
    <row r="85" spans="1:7">
      <c r="A85" t="s">
        <v>6268</v>
      </c>
      <c r="B85" t="s">
        <v>6269</v>
      </c>
      <c r="C85">
        <v>7</v>
      </c>
      <c r="D85">
        <v>9852</v>
      </c>
      <c r="E85">
        <v>7</v>
      </c>
      <c r="F85">
        <v>16800</v>
      </c>
      <c r="G85">
        <v>7</v>
      </c>
    </row>
    <row r="86" spans="1:7">
      <c r="A86" t="s">
        <v>6271</v>
      </c>
      <c r="B86" t="s">
        <v>6272</v>
      </c>
      <c r="C86">
        <v>1</v>
      </c>
      <c r="D86">
        <v>109</v>
      </c>
      <c r="E86">
        <v>3</v>
      </c>
      <c r="F86">
        <v>645</v>
      </c>
      <c r="G86">
        <v>5</v>
      </c>
    </row>
    <row r="87" spans="1:7">
      <c r="A87" t="s">
        <v>6271</v>
      </c>
      <c r="B87" t="s">
        <v>6272</v>
      </c>
      <c r="C87">
        <v>2</v>
      </c>
      <c r="D87">
        <v>328</v>
      </c>
      <c r="E87">
        <v>3</v>
      </c>
      <c r="F87">
        <v>1275</v>
      </c>
      <c r="G87">
        <v>5</v>
      </c>
    </row>
    <row r="88" spans="1:7">
      <c r="A88" t="s">
        <v>6271</v>
      </c>
      <c r="B88" t="s">
        <v>6272</v>
      </c>
      <c r="C88">
        <v>3</v>
      </c>
      <c r="D88">
        <v>856</v>
      </c>
      <c r="E88">
        <v>3</v>
      </c>
      <c r="F88">
        <v>2174</v>
      </c>
      <c r="G88">
        <v>5</v>
      </c>
    </row>
    <row r="89" spans="1:7">
      <c r="A89" t="s">
        <v>6271</v>
      </c>
      <c r="B89" t="s">
        <v>6272</v>
      </c>
      <c r="C89">
        <v>4</v>
      </c>
      <c r="D89">
        <v>1368</v>
      </c>
      <c r="E89">
        <v>4</v>
      </c>
      <c r="F89">
        <v>3288</v>
      </c>
      <c r="G89">
        <v>5</v>
      </c>
    </row>
    <row r="90" spans="1:7">
      <c r="A90" t="s">
        <v>6271</v>
      </c>
      <c r="B90" t="s">
        <v>6272</v>
      </c>
      <c r="C90">
        <v>5</v>
      </c>
      <c r="D90">
        <v>2214</v>
      </c>
      <c r="E90">
        <v>5</v>
      </c>
      <c r="F90">
        <v>5274</v>
      </c>
      <c r="G90">
        <v>5</v>
      </c>
    </row>
    <row r="91" spans="1:7">
      <c r="A91" t="s">
        <v>6271</v>
      </c>
      <c r="B91" t="s">
        <v>6272</v>
      </c>
      <c r="C91">
        <v>6</v>
      </c>
      <c r="D91">
        <v>3852</v>
      </c>
      <c r="E91">
        <v>6</v>
      </c>
      <c r="F91">
        <v>8100</v>
      </c>
      <c r="G91">
        <v>6</v>
      </c>
    </row>
    <row r="92" spans="1:7">
      <c r="A92" t="s">
        <v>6271</v>
      </c>
      <c r="B92" t="s">
        <v>6272</v>
      </c>
      <c r="C92">
        <v>7</v>
      </c>
      <c r="D92">
        <v>9852</v>
      </c>
      <c r="E92">
        <v>7</v>
      </c>
      <c r="F92">
        <v>16800</v>
      </c>
      <c r="G92">
        <v>7</v>
      </c>
    </row>
    <row r="93" spans="1:7">
      <c r="A93" t="s">
        <v>6274</v>
      </c>
      <c r="B93" t="s">
        <v>2589</v>
      </c>
      <c r="C93">
        <v>1</v>
      </c>
      <c r="D93">
        <v>109</v>
      </c>
      <c r="E93">
        <v>3</v>
      </c>
      <c r="F93">
        <v>645</v>
      </c>
      <c r="G93">
        <v>5</v>
      </c>
    </row>
    <row r="94" spans="1:7">
      <c r="A94" t="s">
        <v>6274</v>
      </c>
      <c r="B94" t="s">
        <v>2589</v>
      </c>
      <c r="C94">
        <v>2</v>
      </c>
      <c r="D94">
        <v>328</v>
      </c>
      <c r="E94">
        <v>3</v>
      </c>
      <c r="F94">
        <v>1275</v>
      </c>
      <c r="G94">
        <v>5</v>
      </c>
    </row>
    <row r="95" spans="1:7">
      <c r="A95" t="s">
        <v>6274</v>
      </c>
      <c r="B95" t="s">
        <v>2589</v>
      </c>
      <c r="C95">
        <v>3</v>
      </c>
      <c r="D95">
        <v>856</v>
      </c>
      <c r="E95">
        <v>3</v>
      </c>
      <c r="F95">
        <v>2174</v>
      </c>
      <c r="G95">
        <v>5</v>
      </c>
    </row>
    <row r="96" spans="1:7">
      <c r="A96" t="s">
        <v>6274</v>
      </c>
      <c r="B96" t="s">
        <v>2589</v>
      </c>
      <c r="C96">
        <v>4</v>
      </c>
      <c r="D96">
        <v>1368</v>
      </c>
      <c r="E96">
        <v>4</v>
      </c>
      <c r="F96">
        <v>3288</v>
      </c>
      <c r="G96">
        <v>5</v>
      </c>
    </row>
    <row r="97" spans="1:7">
      <c r="A97" t="s">
        <v>6274</v>
      </c>
      <c r="B97" t="s">
        <v>2589</v>
      </c>
      <c r="C97">
        <v>5</v>
      </c>
      <c r="D97">
        <v>2214</v>
      </c>
      <c r="E97">
        <v>5</v>
      </c>
      <c r="F97">
        <v>5274</v>
      </c>
      <c r="G97">
        <v>5</v>
      </c>
    </row>
    <row r="98" spans="1:7">
      <c r="A98" t="s">
        <v>6274</v>
      </c>
      <c r="B98" t="s">
        <v>2589</v>
      </c>
      <c r="C98">
        <v>6</v>
      </c>
      <c r="D98">
        <v>3852</v>
      </c>
      <c r="E98">
        <v>6</v>
      </c>
      <c r="F98">
        <v>8100</v>
      </c>
      <c r="G98">
        <v>6</v>
      </c>
    </row>
    <row r="99" spans="1:7">
      <c r="A99" t="s">
        <v>6274</v>
      </c>
      <c r="B99" t="s">
        <v>2589</v>
      </c>
      <c r="C99">
        <v>7</v>
      </c>
      <c r="D99">
        <v>9852</v>
      </c>
      <c r="E99">
        <v>7</v>
      </c>
      <c r="F99">
        <v>16800</v>
      </c>
      <c r="G99">
        <v>7</v>
      </c>
    </row>
    <row r="100" spans="1:7">
      <c r="A100" t="s">
        <v>6276</v>
      </c>
      <c r="B100" t="s">
        <v>6277</v>
      </c>
      <c r="C100">
        <v>1</v>
      </c>
      <c r="D100">
        <v>65</v>
      </c>
      <c r="E100">
        <v>3</v>
      </c>
      <c r="F100">
        <v>525</v>
      </c>
      <c r="G100">
        <v>5</v>
      </c>
    </row>
    <row r="101" spans="1:7">
      <c r="A101" t="s">
        <v>6276</v>
      </c>
      <c r="B101" t="s">
        <v>6277</v>
      </c>
      <c r="C101">
        <v>2</v>
      </c>
      <c r="D101">
        <v>196</v>
      </c>
      <c r="E101">
        <v>3</v>
      </c>
      <c r="F101">
        <v>975</v>
      </c>
      <c r="G101">
        <v>5</v>
      </c>
    </row>
    <row r="102" spans="1:7">
      <c r="A102" t="s">
        <v>6276</v>
      </c>
      <c r="B102" t="s">
        <v>6277</v>
      </c>
      <c r="C102">
        <v>3</v>
      </c>
      <c r="D102">
        <v>514</v>
      </c>
      <c r="E102">
        <v>3</v>
      </c>
      <c r="F102">
        <v>1582</v>
      </c>
      <c r="G102">
        <v>5</v>
      </c>
    </row>
    <row r="103" spans="1:7">
      <c r="A103" t="s">
        <v>6276</v>
      </c>
      <c r="B103" t="s">
        <v>6277</v>
      </c>
      <c r="C103">
        <v>4</v>
      </c>
      <c r="D103">
        <v>864</v>
      </c>
      <c r="E103">
        <v>4</v>
      </c>
      <c r="F103">
        <v>2184</v>
      </c>
      <c r="G103">
        <v>5</v>
      </c>
    </row>
    <row r="104" spans="1:7">
      <c r="A104" t="s">
        <v>6276</v>
      </c>
      <c r="B104" t="s">
        <v>6277</v>
      </c>
      <c r="C104">
        <v>5</v>
      </c>
      <c r="D104">
        <v>1512</v>
      </c>
      <c r="E104">
        <v>5</v>
      </c>
      <c r="F104">
        <v>3222</v>
      </c>
      <c r="G104">
        <v>5</v>
      </c>
    </row>
    <row r="105" spans="1:7">
      <c r="A105" t="s">
        <v>6276</v>
      </c>
      <c r="B105" t="s">
        <v>6277</v>
      </c>
      <c r="C105">
        <v>6</v>
      </c>
      <c r="D105">
        <v>2916</v>
      </c>
      <c r="E105">
        <v>6</v>
      </c>
      <c r="F105">
        <v>5580</v>
      </c>
      <c r="G105">
        <v>6</v>
      </c>
    </row>
    <row r="106" spans="1:7">
      <c r="A106" t="s">
        <v>6276</v>
      </c>
      <c r="B106" t="s">
        <v>6277</v>
      </c>
      <c r="C106">
        <v>7</v>
      </c>
      <c r="D106">
        <v>8646</v>
      </c>
      <c r="E106">
        <v>7</v>
      </c>
      <c r="F106">
        <v>13740</v>
      </c>
      <c r="G106">
        <v>7</v>
      </c>
    </row>
    <row r="107" spans="1:7">
      <c r="A107" t="s">
        <v>6279</v>
      </c>
      <c r="B107" t="s">
        <v>6280</v>
      </c>
      <c r="C107">
        <v>1</v>
      </c>
      <c r="D107">
        <v>43</v>
      </c>
      <c r="E107">
        <v>3</v>
      </c>
      <c r="F107">
        <v>465</v>
      </c>
      <c r="G107">
        <v>5</v>
      </c>
    </row>
    <row r="108" spans="1:7">
      <c r="A108" t="s">
        <v>6279</v>
      </c>
      <c r="B108" t="s">
        <v>6280</v>
      </c>
      <c r="C108">
        <v>2</v>
      </c>
      <c r="D108">
        <v>130</v>
      </c>
      <c r="E108">
        <v>3</v>
      </c>
      <c r="F108">
        <v>875</v>
      </c>
      <c r="G108">
        <v>5</v>
      </c>
    </row>
    <row r="109" spans="1:7">
      <c r="A109" t="s">
        <v>6279</v>
      </c>
      <c r="B109" t="s">
        <v>6280</v>
      </c>
      <c r="C109">
        <v>3</v>
      </c>
      <c r="D109">
        <v>324</v>
      </c>
      <c r="E109">
        <v>3</v>
      </c>
      <c r="F109">
        <v>1286</v>
      </c>
      <c r="G109">
        <v>5</v>
      </c>
    </row>
    <row r="110" spans="1:7">
      <c r="A110" t="s">
        <v>6279</v>
      </c>
      <c r="B110" t="s">
        <v>6280</v>
      </c>
      <c r="C110">
        <v>4</v>
      </c>
      <c r="D110">
        <v>584</v>
      </c>
      <c r="E110">
        <v>4</v>
      </c>
      <c r="F110">
        <v>1632</v>
      </c>
      <c r="G110">
        <v>5</v>
      </c>
    </row>
    <row r="111" spans="1:7">
      <c r="A111" t="s">
        <v>6279</v>
      </c>
      <c r="B111" t="s">
        <v>6280</v>
      </c>
      <c r="C111">
        <v>5</v>
      </c>
      <c r="D111">
        <v>1122</v>
      </c>
      <c r="E111">
        <v>5</v>
      </c>
      <c r="F111">
        <v>2082</v>
      </c>
      <c r="G111">
        <v>5</v>
      </c>
    </row>
    <row r="112" spans="1:7">
      <c r="A112" t="s">
        <v>6279</v>
      </c>
      <c r="B112" t="s">
        <v>6280</v>
      </c>
      <c r="C112">
        <v>6</v>
      </c>
      <c r="D112">
        <v>2396</v>
      </c>
      <c r="E112">
        <v>6</v>
      </c>
      <c r="F112">
        <v>4180</v>
      </c>
      <c r="G112">
        <v>6</v>
      </c>
    </row>
    <row r="113" spans="1:7">
      <c r="A113" t="s">
        <v>6279</v>
      </c>
      <c r="B113" t="s">
        <v>6280</v>
      </c>
      <c r="C113">
        <v>7</v>
      </c>
      <c r="D113">
        <v>7976</v>
      </c>
      <c r="E113">
        <v>7</v>
      </c>
      <c r="F113">
        <v>12040</v>
      </c>
      <c r="G113">
        <v>7</v>
      </c>
    </row>
    <row r="114" spans="1:7">
      <c r="A114" t="s">
        <v>6283</v>
      </c>
      <c r="B114" t="s">
        <v>6284</v>
      </c>
      <c r="C114">
        <v>1</v>
      </c>
      <c r="D114">
        <v>43</v>
      </c>
      <c r="E114">
        <v>3</v>
      </c>
      <c r="F114">
        <v>465</v>
      </c>
      <c r="G114">
        <v>5</v>
      </c>
    </row>
    <row r="115" spans="1:7">
      <c r="A115" t="s">
        <v>6283</v>
      </c>
      <c r="B115" t="s">
        <v>6284</v>
      </c>
      <c r="C115">
        <v>2</v>
      </c>
      <c r="D115">
        <v>130</v>
      </c>
      <c r="E115">
        <v>3</v>
      </c>
      <c r="F115">
        <v>875</v>
      </c>
      <c r="G115">
        <v>5</v>
      </c>
    </row>
    <row r="116" spans="1:7">
      <c r="A116" t="s">
        <v>6283</v>
      </c>
      <c r="B116" t="s">
        <v>6284</v>
      </c>
      <c r="C116">
        <v>3</v>
      </c>
      <c r="D116">
        <v>324</v>
      </c>
      <c r="E116">
        <v>3</v>
      </c>
      <c r="F116">
        <v>1286</v>
      </c>
      <c r="G116">
        <v>5</v>
      </c>
    </row>
    <row r="117" spans="1:7">
      <c r="A117" t="s">
        <v>6283</v>
      </c>
      <c r="B117" t="s">
        <v>6284</v>
      </c>
      <c r="C117">
        <v>4</v>
      </c>
      <c r="D117">
        <v>584</v>
      </c>
      <c r="E117">
        <v>4</v>
      </c>
      <c r="F117">
        <v>1632</v>
      </c>
      <c r="G117">
        <v>5</v>
      </c>
    </row>
    <row r="118" spans="1:7">
      <c r="A118" t="s">
        <v>6283</v>
      </c>
      <c r="B118" t="s">
        <v>6284</v>
      </c>
      <c r="C118">
        <v>5</v>
      </c>
      <c r="D118">
        <v>1122</v>
      </c>
      <c r="E118">
        <v>5</v>
      </c>
      <c r="F118">
        <v>2082</v>
      </c>
      <c r="G118">
        <v>5</v>
      </c>
    </row>
    <row r="119" spans="1:7">
      <c r="A119" t="s">
        <v>6283</v>
      </c>
      <c r="B119" t="s">
        <v>6284</v>
      </c>
      <c r="C119">
        <v>6</v>
      </c>
      <c r="D119">
        <v>2396</v>
      </c>
      <c r="E119">
        <v>6</v>
      </c>
      <c r="F119">
        <v>4180</v>
      </c>
      <c r="G119">
        <v>6</v>
      </c>
    </row>
    <row r="120" spans="1:7">
      <c r="A120" t="s">
        <v>6283</v>
      </c>
      <c r="B120" t="s">
        <v>6284</v>
      </c>
      <c r="C120">
        <v>7</v>
      </c>
      <c r="D120">
        <v>7976</v>
      </c>
      <c r="E120">
        <v>7</v>
      </c>
      <c r="F120">
        <v>12040</v>
      </c>
      <c r="G120">
        <v>7</v>
      </c>
    </row>
    <row r="121" spans="1:7">
      <c r="A121" t="s">
        <v>6286</v>
      </c>
      <c r="B121" t="s">
        <v>6287</v>
      </c>
      <c r="C121">
        <v>1</v>
      </c>
      <c r="D121">
        <v>43</v>
      </c>
      <c r="E121">
        <v>3</v>
      </c>
      <c r="F121">
        <v>465</v>
      </c>
      <c r="G121">
        <v>5</v>
      </c>
    </row>
    <row r="122" spans="1:7">
      <c r="A122" t="s">
        <v>6286</v>
      </c>
      <c r="B122" t="s">
        <v>6287</v>
      </c>
      <c r="C122">
        <v>2</v>
      </c>
      <c r="D122">
        <v>130</v>
      </c>
      <c r="E122">
        <v>3</v>
      </c>
      <c r="F122">
        <v>875</v>
      </c>
      <c r="G122">
        <v>5</v>
      </c>
    </row>
    <row r="123" spans="1:7">
      <c r="A123" t="s">
        <v>6286</v>
      </c>
      <c r="B123" t="s">
        <v>6287</v>
      </c>
      <c r="C123">
        <v>3</v>
      </c>
      <c r="D123">
        <v>324</v>
      </c>
      <c r="E123">
        <v>3</v>
      </c>
      <c r="F123">
        <v>1286</v>
      </c>
      <c r="G123">
        <v>5</v>
      </c>
    </row>
    <row r="124" spans="1:7">
      <c r="A124" t="s">
        <v>6286</v>
      </c>
      <c r="B124" t="s">
        <v>6287</v>
      </c>
      <c r="C124">
        <v>4</v>
      </c>
      <c r="D124">
        <v>584</v>
      </c>
      <c r="E124">
        <v>4</v>
      </c>
      <c r="F124">
        <v>1632</v>
      </c>
      <c r="G124">
        <v>5</v>
      </c>
    </row>
    <row r="125" spans="1:7">
      <c r="A125" t="s">
        <v>6286</v>
      </c>
      <c r="B125" t="s">
        <v>6287</v>
      </c>
      <c r="C125">
        <v>5</v>
      </c>
      <c r="D125">
        <v>1122</v>
      </c>
      <c r="E125">
        <v>5</v>
      </c>
      <c r="F125">
        <v>2082</v>
      </c>
      <c r="G125">
        <v>5</v>
      </c>
    </row>
    <row r="126" spans="1:7">
      <c r="A126" t="s">
        <v>6286</v>
      </c>
      <c r="B126" t="s">
        <v>6287</v>
      </c>
      <c r="C126">
        <v>6</v>
      </c>
      <c r="D126">
        <v>2396</v>
      </c>
      <c r="E126">
        <v>6</v>
      </c>
      <c r="F126">
        <v>4180</v>
      </c>
      <c r="G126">
        <v>6</v>
      </c>
    </row>
    <row r="127" spans="1:7">
      <c r="A127" t="s">
        <v>6286</v>
      </c>
      <c r="B127" t="s">
        <v>6287</v>
      </c>
      <c r="C127">
        <v>7</v>
      </c>
      <c r="D127">
        <v>7976</v>
      </c>
      <c r="E127">
        <v>7</v>
      </c>
      <c r="F127">
        <v>12040</v>
      </c>
      <c r="G127">
        <v>7</v>
      </c>
    </row>
    <row r="128" spans="1:7">
      <c r="A128" t="s">
        <v>6289</v>
      </c>
      <c r="B128" t="s">
        <v>6290</v>
      </c>
      <c r="C128">
        <v>1</v>
      </c>
      <c r="D128">
        <v>43</v>
      </c>
      <c r="E128">
        <v>3</v>
      </c>
      <c r="F128">
        <v>465</v>
      </c>
      <c r="G128">
        <v>5</v>
      </c>
    </row>
    <row r="129" spans="1:7">
      <c r="A129" t="s">
        <v>6289</v>
      </c>
      <c r="B129" t="s">
        <v>6290</v>
      </c>
      <c r="C129">
        <v>2</v>
      </c>
      <c r="D129">
        <v>130</v>
      </c>
      <c r="E129">
        <v>3</v>
      </c>
      <c r="F129">
        <v>875</v>
      </c>
      <c r="G129">
        <v>5</v>
      </c>
    </row>
    <row r="130" spans="1:7">
      <c r="A130" t="s">
        <v>6289</v>
      </c>
      <c r="B130" t="s">
        <v>6290</v>
      </c>
      <c r="C130">
        <v>3</v>
      </c>
      <c r="D130">
        <v>324</v>
      </c>
      <c r="E130">
        <v>3</v>
      </c>
      <c r="F130">
        <v>1286</v>
      </c>
      <c r="G130">
        <v>5</v>
      </c>
    </row>
    <row r="131" spans="1:7">
      <c r="A131" t="s">
        <v>6289</v>
      </c>
      <c r="B131" t="s">
        <v>6290</v>
      </c>
      <c r="C131">
        <v>4</v>
      </c>
      <c r="D131">
        <v>584</v>
      </c>
      <c r="E131">
        <v>4</v>
      </c>
      <c r="F131">
        <v>1632</v>
      </c>
      <c r="G131">
        <v>5</v>
      </c>
    </row>
    <row r="132" spans="1:7">
      <c r="A132" t="s">
        <v>6289</v>
      </c>
      <c r="B132" t="s">
        <v>6290</v>
      </c>
      <c r="C132">
        <v>5</v>
      </c>
      <c r="D132">
        <v>1122</v>
      </c>
      <c r="E132">
        <v>5</v>
      </c>
      <c r="F132">
        <v>2082</v>
      </c>
      <c r="G132">
        <v>5</v>
      </c>
    </row>
    <row r="133" spans="1:7">
      <c r="A133" t="s">
        <v>6289</v>
      </c>
      <c r="B133" t="s">
        <v>6290</v>
      </c>
      <c r="C133">
        <v>6</v>
      </c>
      <c r="D133">
        <v>2396</v>
      </c>
      <c r="E133">
        <v>6</v>
      </c>
      <c r="F133">
        <v>4180</v>
      </c>
      <c r="G133">
        <v>6</v>
      </c>
    </row>
    <row r="134" spans="1:7">
      <c r="A134" t="s">
        <v>6289</v>
      </c>
      <c r="B134" t="s">
        <v>6290</v>
      </c>
      <c r="C134">
        <v>7</v>
      </c>
      <c r="D134">
        <v>7976</v>
      </c>
      <c r="E134">
        <v>7</v>
      </c>
      <c r="F134">
        <v>12040</v>
      </c>
      <c r="G134">
        <v>7</v>
      </c>
    </row>
    <row r="135" spans="1:7">
      <c r="A135" t="s">
        <v>6293</v>
      </c>
      <c r="B135" t="s">
        <v>6294</v>
      </c>
      <c r="C135">
        <v>1</v>
      </c>
      <c r="D135">
        <v>43</v>
      </c>
      <c r="E135">
        <v>3</v>
      </c>
      <c r="F135">
        <v>465</v>
      </c>
      <c r="G135">
        <v>5</v>
      </c>
    </row>
    <row r="136" spans="1:7">
      <c r="A136" t="s">
        <v>6293</v>
      </c>
      <c r="B136" t="s">
        <v>6294</v>
      </c>
      <c r="C136">
        <v>2</v>
      </c>
      <c r="D136">
        <v>130</v>
      </c>
      <c r="E136">
        <v>3</v>
      </c>
      <c r="F136">
        <v>875</v>
      </c>
      <c r="G136">
        <v>5</v>
      </c>
    </row>
    <row r="137" spans="1:7">
      <c r="A137" t="s">
        <v>6293</v>
      </c>
      <c r="B137" t="s">
        <v>6294</v>
      </c>
      <c r="C137">
        <v>3</v>
      </c>
      <c r="D137">
        <v>324</v>
      </c>
      <c r="E137">
        <v>3</v>
      </c>
      <c r="F137">
        <v>1286</v>
      </c>
      <c r="G137">
        <v>5</v>
      </c>
    </row>
    <row r="138" spans="1:7">
      <c r="A138" t="s">
        <v>6293</v>
      </c>
      <c r="B138" t="s">
        <v>6294</v>
      </c>
      <c r="C138">
        <v>4</v>
      </c>
      <c r="D138">
        <v>584</v>
      </c>
      <c r="E138">
        <v>4</v>
      </c>
      <c r="F138">
        <v>1632</v>
      </c>
      <c r="G138">
        <v>5</v>
      </c>
    </row>
    <row r="139" spans="1:7">
      <c r="A139" t="s">
        <v>6293</v>
      </c>
      <c r="B139" t="s">
        <v>6294</v>
      </c>
      <c r="C139">
        <v>5</v>
      </c>
      <c r="D139">
        <v>1122</v>
      </c>
      <c r="E139">
        <v>5</v>
      </c>
      <c r="F139">
        <v>2082</v>
      </c>
      <c r="G139">
        <v>5</v>
      </c>
    </row>
    <row r="140" spans="1:7">
      <c r="A140" t="s">
        <v>6293</v>
      </c>
      <c r="B140" t="s">
        <v>6294</v>
      </c>
      <c r="C140">
        <v>6</v>
      </c>
      <c r="D140">
        <v>2396</v>
      </c>
      <c r="E140">
        <v>6</v>
      </c>
      <c r="F140">
        <v>4180</v>
      </c>
      <c r="G140">
        <v>6</v>
      </c>
    </row>
    <row r="141" spans="1:7">
      <c r="A141" t="s">
        <v>6293</v>
      </c>
      <c r="B141" t="s">
        <v>6294</v>
      </c>
      <c r="C141">
        <v>7</v>
      </c>
      <c r="D141">
        <v>7976</v>
      </c>
      <c r="E141">
        <v>7</v>
      </c>
      <c r="F141">
        <v>12040</v>
      </c>
      <c r="G141">
        <v>7</v>
      </c>
    </row>
    <row r="142" spans="1:7">
      <c r="A142" t="s">
        <v>6297</v>
      </c>
      <c r="B142" t="s">
        <v>6298</v>
      </c>
      <c r="C142">
        <v>1</v>
      </c>
      <c r="D142">
        <v>153</v>
      </c>
      <c r="E142">
        <v>3</v>
      </c>
      <c r="F142">
        <v>765</v>
      </c>
      <c r="G142">
        <v>5</v>
      </c>
    </row>
    <row r="143" spans="1:7">
      <c r="A143" t="s">
        <v>6297</v>
      </c>
      <c r="B143" t="s">
        <v>6298</v>
      </c>
      <c r="C143">
        <v>2</v>
      </c>
      <c r="D143">
        <v>460</v>
      </c>
      <c r="E143">
        <v>3</v>
      </c>
      <c r="F143">
        <v>1475</v>
      </c>
      <c r="G143">
        <v>5</v>
      </c>
    </row>
    <row r="144" spans="1:7">
      <c r="A144" t="s">
        <v>6297</v>
      </c>
      <c r="B144" t="s">
        <v>6298</v>
      </c>
      <c r="C144">
        <v>3</v>
      </c>
      <c r="D144">
        <v>1160</v>
      </c>
      <c r="E144">
        <v>3</v>
      </c>
      <c r="F144">
        <v>2766</v>
      </c>
      <c r="G144">
        <v>5</v>
      </c>
    </row>
    <row r="145" spans="1:7">
      <c r="A145" t="s">
        <v>6297</v>
      </c>
      <c r="B145" t="s">
        <v>6298</v>
      </c>
      <c r="C145">
        <v>4</v>
      </c>
      <c r="D145">
        <v>1816</v>
      </c>
      <c r="E145">
        <v>4</v>
      </c>
      <c r="F145">
        <v>4392</v>
      </c>
      <c r="G145">
        <v>5</v>
      </c>
    </row>
    <row r="146" spans="1:7">
      <c r="A146" t="s">
        <v>6297</v>
      </c>
      <c r="B146" t="s">
        <v>6298</v>
      </c>
      <c r="C146">
        <v>5</v>
      </c>
      <c r="D146">
        <v>2838</v>
      </c>
      <c r="E146">
        <v>5</v>
      </c>
      <c r="F146">
        <v>7098</v>
      </c>
      <c r="G146">
        <v>5</v>
      </c>
    </row>
    <row r="147" spans="1:7">
      <c r="A147" t="s">
        <v>6297</v>
      </c>
      <c r="B147" t="s">
        <v>6298</v>
      </c>
      <c r="C147">
        <v>6</v>
      </c>
      <c r="D147">
        <v>4684</v>
      </c>
      <c r="E147">
        <v>6</v>
      </c>
      <c r="F147">
        <v>10340</v>
      </c>
      <c r="G147">
        <v>6</v>
      </c>
    </row>
    <row r="148" spans="1:7">
      <c r="A148" t="s">
        <v>6297</v>
      </c>
      <c r="B148" t="s">
        <v>6298</v>
      </c>
      <c r="C148">
        <v>7</v>
      </c>
      <c r="D148">
        <v>10924</v>
      </c>
      <c r="E148">
        <v>7</v>
      </c>
      <c r="F148">
        <v>19520</v>
      </c>
      <c r="G148">
        <v>7</v>
      </c>
    </row>
    <row r="149" spans="1:7">
      <c r="A149" t="s">
        <v>6300</v>
      </c>
      <c r="B149" t="s">
        <v>6301</v>
      </c>
      <c r="C149">
        <v>1</v>
      </c>
      <c r="D149">
        <v>153</v>
      </c>
      <c r="E149">
        <v>3</v>
      </c>
      <c r="F149">
        <v>765</v>
      </c>
      <c r="G149">
        <v>5</v>
      </c>
    </row>
    <row r="150" spans="1:7">
      <c r="A150" t="s">
        <v>6300</v>
      </c>
      <c r="B150" t="s">
        <v>6301</v>
      </c>
      <c r="C150">
        <v>2</v>
      </c>
      <c r="D150">
        <v>460</v>
      </c>
      <c r="E150">
        <v>3</v>
      </c>
      <c r="F150">
        <v>1475</v>
      </c>
      <c r="G150">
        <v>5</v>
      </c>
    </row>
    <row r="151" spans="1:7">
      <c r="A151" t="s">
        <v>6300</v>
      </c>
      <c r="B151" t="s">
        <v>6301</v>
      </c>
      <c r="C151">
        <v>3</v>
      </c>
      <c r="D151">
        <v>1160</v>
      </c>
      <c r="E151">
        <v>3</v>
      </c>
      <c r="F151">
        <v>2766</v>
      </c>
      <c r="G151">
        <v>5</v>
      </c>
    </row>
    <row r="152" spans="1:7">
      <c r="A152" t="s">
        <v>6300</v>
      </c>
      <c r="B152" t="s">
        <v>6301</v>
      </c>
      <c r="C152">
        <v>4</v>
      </c>
      <c r="D152">
        <v>1816</v>
      </c>
      <c r="E152">
        <v>4</v>
      </c>
      <c r="F152">
        <v>4392</v>
      </c>
      <c r="G152">
        <v>5</v>
      </c>
    </row>
    <row r="153" spans="1:7">
      <c r="A153" t="s">
        <v>6300</v>
      </c>
      <c r="B153" t="s">
        <v>6301</v>
      </c>
      <c r="C153">
        <v>5</v>
      </c>
      <c r="D153">
        <v>2838</v>
      </c>
      <c r="E153">
        <v>5</v>
      </c>
      <c r="F153">
        <v>7098</v>
      </c>
      <c r="G153">
        <v>5</v>
      </c>
    </row>
    <row r="154" spans="1:7">
      <c r="A154" t="s">
        <v>6300</v>
      </c>
      <c r="B154" t="s">
        <v>6301</v>
      </c>
      <c r="C154">
        <v>6</v>
      </c>
      <c r="D154">
        <v>4684</v>
      </c>
      <c r="E154">
        <v>6</v>
      </c>
      <c r="F154">
        <v>10340</v>
      </c>
      <c r="G154">
        <v>6</v>
      </c>
    </row>
    <row r="155" spans="1:7">
      <c r="A155" t="s">
        <v>6300</v>
      </c>
      <c r="B155" t="s">
        <v>6301</v>
      </c>
      <c r="C155">
        <v>7</v>
      </c>
      <c r="D155">
        <v>10924</v>
      </c>
      <c r="E155">
        <v>7</v>
      </c>
      <c r="F155">
        <v>19520</v>
      </c>
      <c r="G155">
        <v>7</v>
      </c>
    </row>
    <row r="156" spans="1:7">
      <c r="A156" t="s">
        <v>6303</v>
      </c>
      <c r="B156" t="s">
        <v>6304</v>
      </c>
      <c r="C156">
        <v>1</v>
      </c>
      <c r="D156">
        <v>153</v>
      </c>
      <c r="E156">
        <v>3</v>
      </c>
      <c r="F156">
        <v>765</v>
      </c>
      <c r="G156">
        <v>5</v>
      </c>
    </row>
    <row r="157" spans="1:7">
      <c r="A157" t="s">
        <v>6303</v>
      </c>
      <c r="B157" t="s">
        <v>6304</v>
      </c>
      <c r="C157">
        <v>2</v>
      </c>
      <c r="D157">
        <v>460</v>
      </c>
      <c r="E157">
        <v>3</v>
      </c>
      <c r="F157">
        <v>1475</v>
      </c>
      <c r="G157">
        <v>5</v>
      </c>
    </row>
    <row r="158" spans="1:7">
      <c r="A158" t="s">
        <v>6303</v>
      </c>
      <c r="B158" t="s">
        <v>6304</v>
      </c>
      <c r="C158">
        <v>3</v>
      </c>
      <c r="D158">
        <v>1160</v>
      </c>
      <c r="E158">
        <v>3</v>
      </c>
      <c r="F158">
        <v>2766</v>
      </c>
      <c r="G158">
        <v>5</v>
      </c>
    </row>
    <row r="159" spans="1:7">
      <c r="A159" t="s">
        <v>6303</v>
      </c>
      <c r="B159" t="s">
        <v>6304</v>
      </c>
      <c r="C159">
        <v>4</v>
      </c>
      <c r="D159">
        <v>1816</v>
      </c>
      <c r="E159">
        <v>4</v>
      </c>
      <c r="F159">
        <v>4392</v>
      </c>
      <c r="G159">
        <v>5</v>
      </c>
    </row>
    <row r="160" spans="1:7">
      <c r="A160" t="s">
        <v>6303</v>
      </c>
      <c r="B160" t="s">
        <v>6304</v>
      </c>
      <c r="C160">
        <v>5</v>
      </c>
      <c r="D160">
        <v>2838</v>
      </c>
      <c r="E160">
        <v>5</v>
      </c>
      <c r="F160">
        <v>7098</v>
      </c>
      <c r="G160">
        <v>5</v>
      </c>
    </row>
    <row r="161" spans="1:7">
      <c r="A161" t="s">
        <v>6303</v>
      </c>
      <c r="B161" t="s">
        <v>6304</v>
      </c>
      <c r="C161">
        <v>6</v>
      </c>
      <c r="D161">
        <v>4684</v>
      </c>
      <c r="E161">
        <v>6</v>
      </c>
      <c r="F161">
        <v>10340</v>
      </c>
      <c r="G161">
        <v>6</v>
      </c>
    </row>
    <row r="162" spans="1:7">
      <c r="A162" t="s">
        <v>6303</v>
      </c>
      <c r="B162" t="s">
        <v>6304</v>
      </c>
      <c r="C162">
        <v>7</v>
      </c>
      <c r="D162">
        <v>10924</v>
      </c>
      <c r="E162">
        <v>7</v>
      </c>
      <c r="F162">
        <v>19520</v>
      </c>
      <c r="G162">
        <v>7</v>
      </c>
    </row>
    <row r="163" spans="1:7">
      <c r="A163" t="s">
        <v>6306</v>
      </c>
      <c r="B163" t="s">
        <v>6307</v>
      </c>
      <c r="C163">
        <v>1</v>
      </c>
      <c r="D163">
        <v>153</v>
      </c>
      <c r="E163">
        <v>3</v>
      </c>
      <c r="F163">
        <v>765</v>
      </c>
      <c r="G163">
        <v>5</v>
      </c>
    </row>
    <row r="164" spans="1:7">
      <c r="A164" t="s">
        <v>6306</v>
      </c>
      <c r="B164" t="s">
        <v>6307</v>
      </c>
      <c r="C164">
        <v>2</v>
      </c>
      <c r="D164">
        <v>460</v>
      </c>
      <c r="E164">
        <v>3</v>
      </c>
      <c r="F164">
        <v>1475</v>
      </c>
      <c r="G164">
        <v>5</v>
      </c>
    </row>
    <row r="165" spans="1:7">
      <c r="A165" t="s">
        <v>6306</v>
      </c>
      <c r="B165" t="s">
        <v>6307</v>
      </c>
      <c r="C165">
        <v>3</v>
      </c>
      <c r="D165">
        <v>1160</v>
      </c>
      <c r="E165">
        <v>3</v>
      </c>
      <c r="F165">
        <v>2766</v>
      </c>
      <c r="G165">
        <v>5</v>
      </c>
    </row>
    <row r="166" spans="1:7">
      <c r="A166" t="s">
        <v>6306</v>
      </c>
      <c r="B166" t="s">
        <v>6307</v>
      </c>
      <c r="C166">
        <v>4</v>
      </c>
      <c r="D166">
        <v>1816</v>
      </c>
      <c r="E166">
        <v>4</v>
      </c>
      <c r="F166">
        <v>4392</v>
      </c>
      <c r="G166">
        <v>5</v>
      </c>
    </row>
    <row r="167" spans="1:7">
      <c r="A167" t="s">
        <v>6306</v>
      </c>
      <c r="B167" t="s">
        <v>6307</v>
      </c>
      <c r="C167">
        <v>5</v>
      </c>
      <c r="D167">
        <v>2838</v>
      </c>
      <c r="E167">
        <v>5</v>
      </c>
      <c r="F167">
        <v>7098</v>
      </c>
      <c r="G167">
        <v>5</v>
      </c>
    </row>
    <row r="168" spans="1:7">
      <c r="A168" t="s">
        <v>6306</v>
      </c>
      <c r="B168" t="s">
        <v>6307</v>
      </c>
      <c r="C168">
        <v>6</v>
      </c>
      <c r="D168">
        <v>4684</v>
      </c>
      <c r="E168">
        <v>6</v>
      </c>
      <c r="F168">
        <v>10340</v>
      </c>
      <c r="G168">
        <v>6</v>
      </c>
    </row>
    <row r="169" spans="1:7">
      <c r="A169" t="s">
        <v>6306</v>
      </c>
      <c r="B169" t="s">
        <v>6307</v>
      </c>
      <c r="C169">
        <v>7</v>
      </c>
      <c r="D169">
        <v>10924</v>
      </c>
      <c r="E169">
        <v>7</v>
      </c>
      <c r="F169">
        <v>19520</v>
      </c>
      <c r="G169">
        <v>7</v>
      </c>
    </row>
    <row r="170" spans="1:7">
      <c r="A170" t="s">
        <v>6309</v>
      </c>
      <c r="B170" t="s">
        <v>6310</v>
      </c>
      <c r="C170">
        <v>1</v>
      </c>
      <c r="D170">
        <v>153</v>
      </c>
      <c r="E170">
        <v>3</v>
      </c>
      <c r="F170">
        <v>765</v>
      </c>
      <c r="G170">
        <v>5</v>
      </c>
    </row>
    <row r="171" spans="1:7">
      <c r="A171" t="s">
        <v>6309</v>
      </c>
      <c r="B171" t="s">
        <v>6310</v>
      </c>
      <c r="C171">
        <v>2</v>
      </c>
      <c r="D171">
        <v>460</v>
      </c>
      <c r="E171">
        <v>3</v>
      </c>
      <c r="F171">
        <v>1475</v>
      </c>
      <c r="G171">
        <v>5</v>
      </c>
    </row>
    <row r="172" spans="1:7">
      <c r="A172" t="s">
        <v>6309</v>
      </c>
      <c r="B172" t="s">
        <v>6310</v>
      </c>
      <c r="C172">
        <v>3</v>
      </c>
      <c r="D172">
        <v>1160</v>
      </c>
      <c r="E172">
        <v>3</v>
      </c>
      <c r="F172">
        <v>2766</v>
      </c>
      <c r="G172">
        <v>5</v>
      </c>
    </row>
    <row r="173" spans="1:7">
      <c r="A173" t="s">
        <v>6309</v>
      </c>
      <c r="B173" t="s">
        <v>6310</v>
      </c>
      <c r="C173">
        <v>4</v>
      </c>
      <c r="D173">
        <v>1816</v>
      </c>
      <c r="E173">
        <v>4</v>
      </c>
      <c r="F173">
        <v>4392</v>
      </c>
      <c r="G173">
        <v>5</v>
      </c>
    </row>
    <row r="174" spans="1:7">
      <c r="A174" t="s">
        <v>6309</v>
      </c>
      <c r="B174" t="s">
        <v>6310</v>
      </c>
      <c r="C174">
        <v>5</v>
      </c>
      <c r="D174">
        <v>2838</v>
      </c>
      <c r="E174">
        <v>5</v>
      </c>
      <c r="F174">
        <v>7098</v>
      </c>
      <c r="G174">
        <v>5</v>
      </c>
    </row>
    <row r="175" spans="1:7">
      <c r="A175" t="s">
        <v>6309</v>
      </c>
      <c r="B175" t="s">
        <v>6310</v>
      </c>
      <c r="C175">
        <v>6</v>
      </c>
      <c r="D175">
        <v>4684</v>
      </c>
      <c r="E175">
        <v>6</v>
      </c>
      <c r="F175">
        <v>10340</v>
      </c>
      <c r="G175">
        <v>6</v>
      </c>
    </row>
    <row r="176" spans="1:7">
      <c r="A176" t="s">
        <v>6309</v>
      </c>
      <c r="B176" t="s">
        <v>6310</v>
      </c>
      <c r="C176">
        <v>7</v>
      </c>
      <c r="D176">
        <v>10924</v>
      </c>
      <c r="E176">
        <v>7</v>
      </c>
      <c r="F176">
        <v>19520</v>
      </c>
      <c r="G176">
        <v>7</v>
      </c>
    </row>
    <row r="177" spans="1:7">
      <c r="A177" t="s">
        <v>6312</v>
      </c>
      <c r="B177" t="s">
        <v>2523</v>
      </c>
      <c r="C177">
        <v>1</v>
      </c>
      <c r="D177">
        <v>417</v>
      </c>
      <c r="E177">
        <v>3</v>
      </c>
      <c r="F177">
        <v>1365</v>
      </c>
      <c r="G177">
        <v>5</v>
      </c>
    </row>
    <row r="178" spans="1:7">
      <c r="A178" t="s">
        <v>6312</v>
      </c>
      <c r="B178" t="s">
        <v>2523</v>
      </c>
      <c r="C178">
        <v>2</v>
      </c>
      <c r="D178">
        <v>1252</v>
      </c>
      <c r="E178">
        <v>3</v>
      </c>
      <c r="F178">
        <v>3075</v>
      </c>
      <c r="G178">
        <v>5</v>
      </c>
    </row>
    <row r="179" spans="1:7">
      <c r="A179" t="s">
        <v>6312</v>
      </c>
      <c r="B179" t="s">
        <v>2523</v>
      </c>
      <c r="C179">
        <v>3</v>
      </c>
      <c r="D179">
        <v>3212</v>
      </c>
      <c r="E179">
        <v>3</v>
      </c>
      <c r="F179">
        <v>6318</v>
      </c>
      <c r="G179">
        <v>5</v>
      </c>
    </row>
    <row r="180" spans="1:7">
      <c r="A180" t="s">
        <v>6312</v>
      </c>
      <c r="B180" t="s">
        <v>2523</v>
      </c>
      <c r="C180">
        <v>4</v>
      </c>
      <c r="D180">
        <v>4840</v>
      </c>
      <c r="E180">
        <v>4</v>
      </c>
      <c r="F180">
        <v>11016</v>
      </c>
      <c r="G180">
        <v>5</v>
      </c>
    </row>
    <row r="181" spans="1:7">
      <c r="A181" t="s">
        <v>6312</v>
      </c>
      <c r="B181" t="s">
        <v>2523</v>
      </c>
      <c r="C181">
        <v>5</v>
      </c>
      <c r="D181">
        <v>7050</v>
      </c>
      <c r="E181">
        <v>5</v>
      </c>
      <c r="F181">
        <v>19410</v>
      </c>
      <c r="G181">
        <v>5</v>
      </c>
    </row>
    <row r="182" spans="1:7">
      <c r="A182" t="s">
        <v>6312</v>
      </c>
      <c r="B182" t="s">
        <v>2523</v>
      </c>
      <c r="C182">
        <v>6</v>
      </c>
      <c r="D182">
        <v>10300</v>
      </c>
      <c r="E182">
        <v>6</v>
      </c>
      <c r="F182">
        <v>25460</v>
      </c>
      <c r="G182">
        <v>6</v>
      </c>
    </row>
    <row r="183" spans="1:7">
      <c r="A183" t="s">
        <v>6312</v>
      </c>
      <c r="B183" t="s">
        <v>2523</v>
      </c>
      <c r="C183">
        <v>7</v>
      </c>
      <c r="D183">
        <v>18160</v>
      </c>
      <c r="E183">
        <v>7</v>
      </c>
      <c r="F183">
        <v>37880</v>
      </c>
      <c r="G183">
        <v>7</v>
      </c>
    </row>
    <row r="184" spans="1:7">
      <c r="A184" t="s">
        <v>6315</v>
      </c>
      <c r="B184" t="s">
        <v>6316</v>
      </c>
      <c r="C184">
        <v>1</v>
      </c>
      <c r="D184">
        <v>109</v>
      </c>
      <c r="E184">
        <v>3</v>
      </c>
      <c r="F184">
        <v>645</v>
      </c>
      <c r="G184">
        <v>5</v>
      </c>
    </row>
    <row r="185" spans="1:7">
      <c r="A185" t="s">
        <v>6315</v>
      </c>
      <c r="B185" t="s">
        <v>6316</v>
      </c>
      <c r="C185">
        <v>2</v>
      </c>
      <c r="D185">
        <v>328</v>
      </c>
      <c r="E185">
        <v>3</v>
      </c>
      <c r="F185">
        <v>1275</v>
      </c>
      <c r="G185">
        <v>5</v>
      </c>
    </row>
    <row r="186" spans="1:7">
      <c r="A186" t="s">
        <v>6315</v>
      </c>
      <c r="B186" t="s">
        <v>6316</v>
      </c>
      <c r="C186">
        <v>3</v>
      </c>
      <c r="D186">
        <v>856</v>
      </c>
      <c r="E186">
        <v>3</v>
      </c>
      <c r="F186">
        <v>2174</v>
      </c>
      <c r="G186">
        <v>5</v>
      </c>
    </row>
    <row r="187" spans="1:7">
      <c r="A187" t="s">
        <v>6315</v>
      </c>
      <c r="B187" t="s">
        <v>6316</v>
      </c>
      <c r="C187">
        <v>4</v>
      </c>
      <c r="D187">
        <v>1368</v>
      </c>
      <c r="E187">
        <v>4</v>
      </c>
      <c r="F187">
        <v>3288</v>
      </c>
      <c r="G187">
        <v>5</v>
      </c>
    </row>
    <row r="188" spans="1:7">
      <c r="A188" t="s">
        <v>6315</v>
      </c>
      <c r="B188" t="s">
        <v>6316</v>
      </c>
      <c r="C188">
        <v>5</v>
      </c>
      <c r="D188">
        <v>2214</v>
      </c>
      <c r="E188">
        <v>5</v>
      </c>
      <c r="F188">
        <v>5274</v>
      </c>
      <c r="G188">
        <v>5</v>
      </c>
    </row>
    <row r="189" spans="1:7">
      <c r="A189" t="s">
        <v>6315</v>
      </c>
      <c r="B189" t="s">
        <v>6316</v>
      </c>
      <c r="C189">
        <v>6</v>
      </c>
      <c r="D189">
        <v>3852</v>
      </c>
      <c r="E189">
        <v>6</v>
      </c>
      <c r="F189">
        <v>8100</v>
      </c>
      <c r="G189">
        <v>6</v>
      </c>
    </row>
    <row r="190" spans="1:7">
      <c r="A190" t="s">
        <v>6315</v>
      </c>
      <c r="B190" t="s">
        <v>6316</v>
      </c>
      <c r="C190">
        <v>7</v>
      </c>
      <c r="D190">
        <v>9852</v>
      </c>
      <c r="E190">
        <v>7</v>
      </c>
      <c r="F190">
        <v>16800</v>
      </c>
      <c r="G190">
        <v>7</v>
      </c>
    </row>
    <row r="191" spans="1:7">
      <c r="A191" t="s">
        <v>6319</v>
      </c>
      <c r="B191" t="s">
        <v>6320</v>
      </c>
      <c r="C191">
        <v>1</v>
      </c>
      <c r="D191">
        <v>109</v>
      </c>
      <c r="E191">
        <v>3</v>
      </c>
      <c r="F191">
        <v>645</v>
      </c>
      <c r="G191">
        <v>5</v>
      </c>
    </row>
    <row r="192" spans="1:7">
      <c r="A192" t="s">
        <v>6319</v>
      </c>
      <c r="B192" t="s">
        <v>6320</v>
      </c>
      <c r="C192">
        <v>2</v>
      </c>
      <c r="D192">
        <v>328</v>
      </c>
      <c r="E192">
        <v>3</v>
      </c>
      <c r="F192">
        <v>1275</v>
      </c>
      <c r="G192">
        <v>5</v>
      </c>
    </row>
    <row r="193" spans="1:7">
      <c r="A193" t="s">
        <v>6319</v>
      </c>
      <c r="B193" t="s">
        <v>6320</v>
      </c>
      <c r="C193">
        <v>3</v>
      </c>
      <c r="D193">
        <v>856</v>
      </c>
      <c r="E193">
        <v>3</v>
      </c>
      <c r="F193">
        <v>2174</v>
      </c>
      <c r="G193">
        <v>5</v>
      </c>
    </row>
    <row r="194" spans="1:7">
      <c r="A194" t="s">
        <v>6319</v>
      </c>
      <c r="B194" t="s">
        <v>6320</v>
      </c>
      <c r="C194">
        <v>4</v>
      </c>
      <c r="D194">
        <v>1368</v>
      </c>
      <c r="E194">
        <v>4</v>
      </c>
      <c r="F194">
        <v>3288</v>
      </c>
      <c r="G194">
        <v>5</v>
      </c>
    </row>
    <row r="195" spans="1:7">
      <c r="A195" t="s">
        <v>6319</v>
      </c>
      <c r="B195" t="s">
        <v>6320</v>
      </c>
      <c r="C195">
        <v>5</v>
      </c>
      <c r="D195">
        <v>2214</v>
      </c>
      <c r="E195">
        <v>5</v>
      </c>
      <c r="F195">
        <v>5274</v>
      </c>
      <c r="G195">
        <v>5</v>
      </c>
    </row>
    <row r="196" spans="1:7">
      <c r="A196" t="s">
        <v>6319</v>
      </c>
      <c r="B196" t="s">
        <v>6320</v>
      </c>
      <c r="C196">
        <v>6</v>
      </c>
      <c r="D196">
        <v>3852</v>
      </c>
      <c r="E196">
        <v>6</v>
      </c>
      <c r="F196">
        <v>8100</v>
      </c>
      <c r="G196">
        <v>6</v>
      </c>
    </row>
    <row r="197" spans="1:7">
      <c r="A197" t="s">
        <v>6319</v>
      </c>
      <c r="B197" t="s">
        <v>6320</v>
      </c>
      <c r="C197">
        <v>7</v>
      </c>
      <c r="D197">
        <v>9852</v>
      </c>
      <c r="E197">
        <v>7</v>
      </c>
      <c r="F197">
        <v>16800</v>
      </c>
      <c r="G197">
        <v>7</v>
      </c>
    </row>
    <row r="198" spans="1:7">
      <c r="A198" t="s">
        <v>6322</v>
      </c>
      <c r="B198" t="s">
        <v>6323</v>
      </c>
      <c r="C198">
        <v>1</v>
      </c>
      <c r="D198">
        <v>109</v>
      </c>
      <c r="E198">
        <v>3</v>
      </c>
      <c r="F198">
        <v>645</v>
      </c>
      <c r="G198">
        <v>5</v>
      </c>
    </row>
    <row r="199" spans="1:7">
      <c r="A199" t="s">
        <v>6322</v>
      </c>
      <c r="B199" t="s">
        <v>6323</v>
      </c>
      <c r="C199">
        <v>2</v>
      </c>
      <c r="D199">
        <v>328</v>
      </c>
      <c r="E199">
        <v>3</v>
      </c>
      <c r="F199">
        <v>1275</v>
      </c>
      <c r="G199">
        <v>5</v>
      </c>
    </row>
    <row r="200" spans="1:7">
      <c r="A200" t="s">
        <v>6322</v>
      </c>
      <c r="B200" t="s">
        <v>6323</v>
      </c>
      <c r="C200">
        <v>3</v>
      </c>
      <c r="D200">
        <v>856</v>
      </c>
      <c r="E200">
        <v>3</v>
      </c>
      <c r="F200">
        <v>2174</v>
      </c>
      <c r="G200">
        <v>5</v>
      </c>
    </row>
    <row r="201" spans="1:7">
      <c r="A201" t="s">
        <v>6322</v>
      </c>
      <c r="B201" t="s">
        <v>6323</v>
      </c>
      <c r="C201">
        <v>4</v>
      </c>
      <c r="D201">
        <v>1368</v>
      </c>
      <c r="E201">
        <v>4</v>
      </c>
      <c r="F201">
        <v>3288</v>
      </c>
      <c r="G201">
        <v>5</v>
      </c>
    </row>
    <row r="202" spans="1:7">
      <c r="A202" t="s">
        <v>6322</v>
      </c>
      <c r="B202" t="s">
        <v>6323</v>
      </c>
      <c r="C202">
        <v>5</v>
      </c>
      <c r="D202">
        <v>2214</v>
      </c>
      <c r="E202">
        <v>5</v>
      </c>
      <c r="F202">
        <v>5274</v>
      </c>
      <c r="G202">
        <v>5</v>
      </c>
    </row>
    <row r="203" spans="1:7">
      <c r="A203" t="s">
        <v>6322</v>
      </c>
      <c r="B203" t="s">
        <v>6323</v>
      </c>
      <c r="C203">
        <v>6</v>
      </c>
      <c r="D203">
        <v>3852</v>
      </c>
      <c r="E203">
        <v>6</v>
      </c>
      <c r="F203">
        <v>8100</v>
      </c>
      <c r="G203">
        <v>6</v>
      </c>
    </row>
    <row r="204" spans="1:7">
      <c r="A204" t="s">
        <v>6322</v>
      </c>
      <c r="B204" t="s">
        <v>6323</v>
      </c>
      <c r="C204">
        <v>7</v>
      </c>
      <c r="D204">
        <v>9852</v>
      </c>
      <c r="E204">
        <v>7</v>
      </c>
      <c r="F204">
        <v>16800</v>
      </c>
      <c r="G204">
        <v>7</v>
      </c>
    </row>
    <row r="205" spans="1:7">
      <c r="A205" t="s">
        <v>6325</v>
      </c>
      <c r="B205" t="s">
        <v>6326</v>
      </c>
      <c r="C205">
        <v>1</v>
      </c>
      <c r="D205">
        <v>109</v>
      </c>
      <c r="E205">
        <v>3</v>
      </c>
      <c r="F205">
        <v>645</v>
      </c>
      <c r="G205">
        <v>5</v>
      </c>
    </row>
    <row r="206" spans="1:7">
      <c r="A206" t="s">
        <v>6325</v>
      </c>
      <c r="B206" t="s">
        <v>6326</v>
      </c>
      <c r="C206">
        <v>2</v>
      </c>
      <c r="D206">
        <v>328</v>
      </c>
      <c r="E206">
        <v>3</v>
      </c>
      <c r="F206">
        <v>1275</v>
      </c>
      <c r="G206">
        <v>5</v>
      </c>
    </row>
    <row r="207" spans="1:7">
      <c r="A207" t="s">
        <v>6325</v>
      </c>
      <c r="B207" t="s">
        <v>6326</v>
      </c>
      <c r="C207">
        <v>3</v>
      </c>
      <c r="D207">
        <v>856</v>
      </c>
      <c r="E207">
        <v>3</v>
      </c>
      <c r="F207">
        <v>2174</v>
      </c>
      <c r="G207">
        <v>5</v>
      </c>
    </row>
    <row r="208" spans="1:7">
      <c r="A208" t="s">
        <v>6325</v>
      </c>
      <c r="B208" t="s">
        <v>6326</v>
      </c>
      <c r="C208">
        <v>4</v>
      </c>
      <c r="D208">
        <v>1368</v>
      </c>
      <c r="E208">
        <v>4</v>
      </c>
      <c r="F208">
        <v>3288</v>
      </c>
      <c r="G208">
        <v>5</v>
      </c>
    </row>
    <row r="209" spans="1:7">
      <c r="A209" t="s">
        <v>6325</v>
      </c>
      <c r="B209" t="s">
        <v>6326</v>
      </c>
      <c r="C209">
        <v>5</v>
      </c>
      <c r="D209">
        <v>2214</v>
      </c>
      <c r="E209">
        <v>5</v>
      </c>
      <c r="F209">
        <v>5274</v>
      </c>
      <c r="G209">
        <v>5</v>
      </c>
    </row>
    <row r="210" spans="1:7">
      <c r="A210" t="s">
        <v>6325</v>
      </c>
      <c r="B210" t="s">
        <v>6326</v>
      </c>
      <c r="C210">
        <v>6</v>
      </c>
      <c r="D210">
        <v>3852</v>
      </c>
      <c r="E210">
        <v>6</v>
      </c>
      <c r="F210">
        <v>8100</v>
      </c>
      <c r="G210">
        <v>6</v>
      </c>
    </row>
    <row r="211" spans="1:7">
      <c r="A211" t="s">
        <v>6325</v>
      </c>
      <c r="B211" t="s">
        <v>6326</v>
      </c>
      <c r="C211">
        <v>7</v>
      </c>
      <c r="D211">
        <v>9852</v>
      </c>
      <c r="E211">
        <v>7</v>
      </c>
      <c r="F211">
        <v>16800</v>
      </c>
      <c r="G211">
        <v>7</v>
      </c>
    </row>
    <row r="212" spans="1:7">
      <c r="A212" t="s">
        <v>6328</v>
      </c>
      <c r="B212" t="s">
        <v>2615</v>
      </c>
      <c r="C212">
        <v>1</v>
      </c>
      <c r="D212">
        <v>472</v>
      </c>
      <c r="E212">
        <v>3</v>
      </c>
      <c r="F212">
        <v>1545</v>
      </c>
      <c r="G212">
        <v>5</v>
      </c>
    </row>
    <row r="213" spans="1:7">
      <c r="A213" t="s">
        <v>6328</v>
      </c>
      <c r="B213" t="s">
        <v>2615</v>
      </c>
      <c r="C213">
        <v>2</v>
      </c>
      <c r="D213">
        <v>1428</v>
      </c>
      <c r="E213">
        <v>3</v>
      </c>
      <c r="F213">
        <v>3475</v>
      </c>
      <c r="G213">
        <v>5</v>
      </c>
    </row>
    <row r="214" spans="1:7">
      <c r="A214" t="s">
        <v>6328</v>
      </c>
      <c r="B214" t="s">
        <v>2615</v>
      </c>
      <c r="C214">
        <v>3</v>
      </c>
      <c r="D214">
        <v>3668</v>
      </c>
      <c r="E214">
        <v>3</v>
      </c>
      <c r="F214">
        <v>7058</v>
      </c>
      <c r="G214">
        <v>5</v>
      </c>
    </row>
    <row r="215" spans="1:7">
      <c r="A215" t="s">
        <v>6328</v>
      </c>
      <c r="B215" t="s">
        <v>2615</v>
      </c>
      <c r="C215">
        <v>4</v>
      </c>
      <c r="D215">
        <v>5512</v>
      </c>
      <c r="E215">
        <v>4</v>
      </c>
      <c r="F215">
        <v>12488</v>
      </c>
      <c r="G215">
        <v>5</v>
      </c>
    </row>
    <row r="216" spans="1:7">
      <c r="A216" t="s">
        <v>6328</v>
      </c>
      <c r="B216" t="s">
        <v>2615</v>
      </c>
      <c r="C216">
        <v>5</v>
      </c>
      <c r="D216">
        <v>7986</v>
      </c>
      <c r="E216">
        <v>5</v>
      </c>
      <c r="F216">
        <v>22146</v>
      </c>
      <c r="G216">
        <v>5</v>
      </c>
    </row>
    <row r="217" spans="1:7">
      <c r="A217" t="s">
        <v>6328</v>
      </c>
      <c r="B217" t="s">
        <v>2615</v>
      </c>
      <c r="C217">
        <v>6</v>
      </c>
      <c r="D217">
        <v>11548</v>
      </c>
      <c r="E217">
        <v>6</v>
      </c>
      <c r="F217">
        <v>28820</v>
      </c>
      <c r="G217">
        <v>6</v>
      </c>
    </row>
    <row r="218" spans="1:7">
      <c r="A218" t="s">
        <v>6328</v>
      </c>
      <c r="B218" t="s">
        <v>2615</v>
      </c>
      <c r="C218">
        <v>7</v>
      </c>
      <c r="D218">
        <v>19768</v>
      </c>
      <c r="E218">
        <v>7</v>
      </c>
      <c r="F218">
        <v>41960</v>
      </c>
      <c r="G218">
        <v>7</v>
      </c>
    </row>
    <row r="219" spans="1:7">
      <c r="A219" t="s">
        <v>6331</v>
      </c>
      <c r="B219" t="s">
        <v>2517</v>
      </c>
      <c r="C219">
        <v>1</v>
      </c>
      <c r="D219">
        <v>8821</v>
      </c>
      <c r="E219">
        <v>3</v>
      </c>
      <c r="F219">
        <v>21765</v>
      </c>
      <c r="G219">
        <v>5</v>
      </c>
    </row>
    <row r="220" spans="1:7">
      <c r="A220" t="s">
        <v>6331</v>
      </c>
      <c r="B220" t="s">
        <v>2517</v>
      </c>
      <c r="C220">
        <v>2</v>
      </c>
      <c r="D220">
        <v>26464</v>
      </c>
      <c r="E220">
        <v>3</v>
      </c>
      <c r="F220">
        <v>54075</v>
      </c>
      <c r="G220">
        <v>5</v>
      </c>
    </row>
    <row r="221" spans="1:7">
      <c r="A221" t="s">
        <v>6331</v>
      </c>
      <c r="B221" t="s">
        <v>2517</v>
      </c>
      <c r="C221">
        <v>3</v>
      </c>
      <c r="D221">
        <v>68572</v>
      </c>
      <c r="E221">
        <v>3</v>
      </c>
      <c r="F221">
        <v>119390</v>
      </c>
      <c r="G221">
        <v>5</v>
      </c>
    </row>
    <row r="222" spans="1:7">
      <c r="A222" t="s">
        <v>6331</v>
      </c>
      <c r="B222" t="s">
        <v>2517</v>
      </c>
      <c r="C222">
        <v>4</v>
      </c>
      <c r="D222">
        <v>101160</v>
      </c>
      <c r="E222">
        <v>4</v>
      </c>
      <c r="F222">
        <v>221880</v>
      </c>
      <c r="G222">
        <v>5</v>
      </c>
    </row>
    <row r="223" spans="1:7">
      <c r="A223" t="s">
        <v>6331</v>
      </c>
      <c r="B223" t="s">
        <v>2517</v>
      </c>
      <c r="C223">
        <v>5</v>
      </c>
      <c r="D223">
        <v>141210</v>
      </c>
      <c r="E223">
        <v>5</v>
      </c>
      <c r="F223">
        <v>411570</v>
      </c>
      <c r="G223">
        <v>5</v>
      </c>
    </row>
    <row r="224" spans="1:7">
      <c r="A224" t="s">
        <v>6331</v>
      </c>
      <c r="B224" t="s">
        <v>2517</v>
      </c>
      <c r="C224">
        <v>6</v>
      </c>
      <c r="D224">
        <v>189180</v>
      </c>
      <c r="E224">
        <v>6</v>
      </c>
      <c r="F224">
        <v>507060</v>
      </c>
      <c r="G224">
        <v>6</v>
      </c>
    </row>
    <row r="225" spans="1:7">
      <c r="A225" t="s">
        <v>6331</v>
      </c>
      <c r="B225" t="s">
        <v>2517</v>
      </c>
      <c r="C225">
        <v>7</v>
      </c>
      <c r="D225">
        <v>248640</v>
      </c>
      <c r="E225">
        <v>7</v>
      </c>
      <c r="F225">
        <v>622680</v>
      </c>
      <c r="G225">
        <v>7</v>
      </c>
    </row>
    <row r="226" spans="1:7">
      <c r="A226" t="s">
        <v>6333</v>
      </c>
      <c r="B226" t="s">
        <v>6334</v>
      </c>
      <c r="C226">
        <v>1</v>
      </c>
      <c r="D226">
        <v>659</v>
      </c>
      <c r="E226">
        <v>3</v>
      </c>
      <c r="F226">
        <v>1965</v>
      </c>
      <c r="G226">
        <v>5</v>
      </c>
    </row>
    <row r="227" spans="1:7">
      <c r="A227" t="s">
        <v>6333</v>
      </c>
      <c r="B227" t="s">
        <v>6334</v>
      </c>
      <c r="C227">
        <v>2</v>
      </c>
      <c r="D227">
        <v>1978</v>
      </c>
      <c r="E227">
        <v>3</v>
      </c>
      <c r="F227">
        <v>4575</v>
      </c>
      <c r="G227">
        <v>5</v>
      </c>
    </row>
    <row r="228" spans="1:7">
      <c r="A228" t="s">
        <v>6333</v>
      </c>
      <c r="B228" t="s">
        <v>6334</v>
      </c>
      <c r="C228">
        <v>3</v>
      </c>
      <c r="D228">
        <v>5112</v>
      </c>
      <c r="E228">
        <v>3</v>
      </c>
      <c r="F228">
        <v>9574</v>
      </c>
      <c r="G228">
        <v>5</v>
      </c>
    </row>
    <row r="229" spans="1:7">
      <c r="A229" t="s">
        <v>6333</v>
      </c>
      <c r="B229" t="s">
        <v>6334</v>
      </c>
      <c r="C229">
        <v>4</v>
      </c>
      <c r="D229">
        <v>7640</v>
      </c>
      <c r="E229">
        <v>4</v>
      </c>
      <c r="F229">
        <v>17088</v>
      </c>
      <c r="G229">
        <v>5</v>
      </c>
    </row>
    <row r="230" spans="1:7">
      <c r="A230" t="s">
        <v>6333</v>
      </c>
      <c r="B230" t="s">
        <v>6334</v>
      </c>
      <c r="C230">
        <v>5</v>
      </c>
      <c r="D230">
        <v>10950</v>
      </c>
      <c r="E230">
        <v>5</v>
      </c>
      <c r="F230">
        <v>30810</v>
      </c>
      <c r="G230">
        <v>5</v>
      </c>
    </row>
    <row r="231" spans="1:7">
      <c r="A231" t="s">
        <v>6333</v>
      </c>
      <c r="B231" t="s">
        <v>6334</v>
      </c>
      <c r="C231">
        <v>6</v>
      </c>
      <c r="D231">
        <v>15500</v>
      </c>
      <c r="E231">
        <v>6</v>
      </c>
      <c r="F231">
        <v>39460</v>
      </c>
      <c r="G231">
        <v>6</v>
      </c>
    </row>
    <row r="232" spans="1:7">
      <c r="A232" t="s">
        <v>6333</v>
      </c>
      <c r="B232" t="s">
        <v>6334</v>
      </c>
      <c r="C232">
        <v>7</v>
      </c>
      <c r="D232">
        <v>24860</v>
      </c>
      <c r="E232">
        <v>7</v>
      </c>
      <c r="F232">
        <v>54880</v>
      </c>
      <c r="G232">
        <v>7</v>
      </c>
    </row>
    <row r="233" spans="1:7">
      <c r="A233" t="s">
        <v>6335</v>
      </c>
      <c r="B233" t="s">
        <v>2633</v>
      </c>
      <c r="C233">
        <v>1</v>
      </c>
      <c r="D233">
        <v>6874</v>
      </c>
      <c r="E233">
        <v>3</v>
      </c>
      <c r="F233">
        <v>17025</v>
      </c>
      <c r="G233">
        <v>5</v>
      </c>
    </row>
    <row r="234" spans="1:7">
      <c r="A234" t="s">
        <v>6335</v>
      </c>
      <c r="B234" t="s">
        <v>2633</v>
      </c>
      <c r="C234">
        <v>2</v>
      </c>
      <c r="D234">
        <v>20612</v>
      </c>
      <c r="E234">
        <v>3</v>
      </c>
      <c r="F234">
        <v>42175</v>
      </c>
      <c r="G234">
        <v>5</v>
      </c>
    </row>
    <row r="235" spans="1:7">
      <c r="A235" t="s">
        <v>6335</v>
      </c>
      <c r="B235" t="s">
        <v>2633</v>
      </c>
      <c r="C235">
        <v>3</v>
      </c>
      <c r="D235">
        <v>53372</v>
      </c>
      <c r="E235">
        <v>3</v>
      </c>
      <c r="F235">
        <v>93194</v>
      </c>
      <c r="G235">
        <v>5</v>
      </c>
    </row>
    <row r="236" spans="1:7">
      <c r="A236" t="s">
        <v>6335</v>
      </c>
      <c r="B236" t="s">
        <v>2633</v>
      </c>
      <c r="C236">
        <v>4</v>
      </c>
      <c r="D236">
        <v>78760</v>
      </c>
      <c r="E236">
        <v>4</v>
      </c>
      <c r="F236">
        <v>172936</v>
      </c>
      <c r="G236">
        <v>5</v>
      </c>
    </row>
    <row r="237" spans="1:7">
      <c r="A237" t="s">
        <v>6335</v>
      </c>
      <c r="B237" t="s">
        <v>2633</v>
      </c>
      <c r="C237">
        <v>5</v>
      </c>
      <c r="D237">
        <v>110010</v>
      </c>
      <c r="E237">
        <v>5</v>
      </c>
      <c r="F237">
        <v>320370</v>
      </c>
      <c r="G237">
        <v>5</v>
      </c>
    </row>
    <row r="238" spans="1:7">
      <c r="A238" t="s">
        <v>6335</v>
      </c>
      <c r="B238" t="s">
        <v>2633</v>
      </c>
      <c r="C238">
        <v>6</v>
      </c>
      <c r="D238">
        <v>147580</v>
      </c>
      <c r="E238">
        <v>6</v>
      </c>
      <c r="F238">
        <v>395060</v>
      </c>
      <c r="G238">
        <v>6</v>
      </c>
    </row>
    <row r="239" spans="1:7">
      <c r="A239" t="s">
        <v>6335</v>
      </c>
      <c r="B239" t="s">
        <v>2633</v>
      </c>
      <c r="C239">
        <v>7</v>
      </c>
      <c r="D239">
        <v>195040</v>
      </c>
      <c r="E239">
        <v>7</v>
      </c>
      <c r="F239">
        <v>486680</v>
      </c>
      <c r="G239">
        <v>7</v>
      </c>
    </row>
    <row r="240" spans="1:7">
      <c r="A240" t="s">
        <v>6337</v>
      </c>
      <c r="B240" t="s">
        <v>2642</v>
      </c>
      <c r="C240">
        <v>1</v>
      </c>
      <c r="D240">
        <v>461</v>
      </c>
      <c r="E240">
        <v>3</v>
      </c>
      <c r="F240">
        <v>1485</v>
      </c>
      <c r="G240">
        <v>5</v>
      </c>
    </row>
    <row r="241" spans="1:7">
      <c r="A241" t="s">
        <v>6337</v>
      </c>
      <c r="B241" t="s">
        <v>2642</v>
      </c>
      <c r="C241">
        <v>2</v>
      </c>
      <c r="D241">
        <v>1362</v>
      </c>
      <c r="E241">
        <v>3</v>
      </c>
      <c r="F241">
        <v>3375</v>
      </c>
      <c r="G241">
        <v>5</v>
      </c>
    </row>
    <row r="242" spans="1:7">
      <c r="A242" t="s">
        <v>6337</v>
      </c>
      <c r="B242" t="s">
        <v>2642</v>
      </c>
      <c r="C242">
        <v>3</v>
      </c>
      <c r="D242">
        <v>3516</v>
      </c>
      <c r="E242">
        <v>3</v>
      </c>
      <c r="F242">
        <v>6910</v>
      </c>
      <c r="G242">
        <v>5</v>
      </c>
    </row>
    <row r="243" spans="1:7">
      <c r="A243" t="s">
        <v>6337</v>
      </c>
      <c r="B243" t="s">
        <v>2642</v>
      </c>
      <c r="C243">
        <v>4</v>
      </c>
      <c r="D243">
        <v>5288</v>
      </c>
      <c r="E243">
        <v>4</v>
      </c>
      <c r="F243">
        <v>11936</v>
      </c>
      <c r="G243">
        <v>5</v>
      </c>
    </row>
    <row r="244" spans="1:7">
      <c r="A244" t="s">
        <v>6337</v>
      </c>
      <c r="B244" t="s">
        <v>2642</v>
      </c>
      <c r="C244">
        <v>5</v>
      </c>
      <c r="D244">
        <v>7674</v>
      </c>
      <c r="E244">
        <v>5</v>
      </c>
      <c r="F244">
        <v>21234</v>
      </c>
      <c r="G244">
        <v>5</v>
      </c>
    </row>
    <row r="245" spans="1:7">
      <c r="A245" t="s">
        <v>6337</v>
      </c>
      <c r="B245" t="s">
        <v>2642</v>
      </c>
      <c r="C245">
        <v>6</v>
      </c>
      <c r="D245">
        <v>11132</v>
      </c>
      <c r="E245">
        <v>6</v>
      </c>
      <c r="F245">
        <v>27700</v>
      </c>
      <c r="G245">
        <v>6</v>
      </c>
    </row>
    <row r="246" spans="1:7">
      <c r="A246" t="s">
        <v>6337</v>
      </c>
      <c r="B246" t="s">
        <v>2642</v>
      </c>
      <c r="C246">
        <v>7</v>
      </c>
      <c r="D246">
        <v>19232</v>
      </c>
      <c r="E246">
        <v>7</v>
      </c>
      <c r="F246">
        <v>40600</v>
      </c>
      <c r="G246">
        <v>7</v>
      </c>
    </row>
    <row r="247" spans="1:7">
      <c r="A247" t="s">
        <v>6339</v>
      </c>
      <c r="B247" t="s">
        <v>2414</v>
      </c>
      <c r="C247">
        <v>1</v>
      </c>
      <c r="D247">
        <v>1671</v>
      </c>
      <c r="E247">
        <v>3</v>
      </c>
      <c r="F247">
        <v>4425</v>
      </c>
      <c r="G247">
        <v>5</v>
      </c>
    </row>
    <row r="248" spans="1:7">
      <c r="A248" t="s">
        <v>6339</v>
      </c>
      <c r="B248" t="s">
        <v>2414</v>
      </c>
      <c r="C248">
        <v>2</v>
      </c>
      <c r="D248">
        <v>4992</v>
      </c>
      <c r="E248">
        <v>3</v>
      </c>
      <c r="F248">
        <v>10675</v>
      </c>
      <c r="G248">
        <v>5</v>
      </c>
    </row>
    <row r="249" spans="1:7">
      <c r="A249" t="s">
        <v>6339</v>
      </c>
      <c r="B249" t="s">
        <v>2414</v>
      </c>
      <c r="C249">
        <v>3</v>
      </c>
      <c r="D249">
        <v>12940</v>
      </c>
      <c r="E249">
        <v>3</v>
      </c>
      <c r="F249">
        <v>23190</v>
      </c>
      <c r="G249">
        <v>5</v>
      </c>
    </row>
    <row r="250" spans="1:7">
      <c r="A250" t="s">
        <v>6339</v>
      </c>
      <c r="B250" t="s">
        <v>2414</v>
      </c>
      <c r="C250">
        <v>4</v>
      </c>
      <c r="D250">
        <v>19176</v>
      </c>
      <c r="E250">
        <v>4</v>
      </c>
      <c r="F250">
        <v>42296</v>
      </c>
      <c r="G250">
        <v>5</v>
      </c>
    </row>
    <row r="251" spans="1:7">
      <c r="A251" t="s">
        <v>6339</v>
      </c>
      <c r="B251" t="s">
        <v>2414</v>
      </c>
      <c r="C251">
        <v>5</v>
      </c>
      <c r="D251">
        <v>27018</v>
      </c>
      <c r="E251">
        <v>5</v>
      </c>
      <c r="F251">
        <v>77778</v>
      </c>
      <c r="G251">
        <v>5</v>
      </c>
    </row>
    <row r="252" spans="1:7">
      <c r="A252" t="s">
        <v>6339</v>
      </c>
      <c r="B252" t="s">
        <v>2414</v>
      </c>
      <c r="C252">
        <v>6</v>
      </c>
      <c r="D252">
        <v>36924</v>
      </c>
      <c r="E252">
        <v>6</v>
      </c>
      <c r="F252">
        <v>97140</v>
      </c>
      <c r="G252">
        <v>6</v>
      </c>
    </row>
    <row r="253" spans="1:7">
      <c r="A253" t="s">
        <v>6339</v>
      </c>
      <c r="B253" t="s">
        <v>2414</v>
      </c>
      <c r="C253">
        <v>7</v>
      </c>
      <c r="D253">
        <v>52464</v>
      </c>
      <c r="E253">
        <v>7</v>
      </c>
      <c r="F253">
        <v>124920</v>
      </c>
      <c r="G253">
        <v>7</v>
      </c>
    </row>
    <row r="254" spans="1:7">
      <c r="A254" t="s">
        <v>6341</v>
      </c>
      <c r="B254" t="s">
        <v>2663</v>
      </c>
      <c r="C254">
        <v>1</v>
      </c>
      <c r="D254">
        <v>131</v>
      </c>
      <c r="E254">
        <v>3</v>
      </c>
      <c r="F254">
        <v>705</v>
      </c>
      <c r="G254">
        <v>5</v>
      </c>
    </row>
    <row r="255" spans="1:7">
      <c r="A255" t="s">
        <v>6341</v>
      </c>
      <c r="B255" t="s">
        <v>2663</v>
      </c>
      <c r="C255">
        <v>2</v>
      </c>
      <c r="D255">
        <v>394</v>
      </c>
      <c r="E255">
        <v>3</v>
      </c>
      <c r="F255">
        <v>1375</v>
      </c>
      <c r="G255">
        <v>5</v>
      </c>
    </row>
    <row r="256" spans="1:7">
      <c r="A256" t="s">
        <v>6341</v>
      </c>
      <c r="B256" t="s">
        <v>2663</v>
      </c>
      <c r="C256">
        <v>3</v>
      </c>
      <c r="D256">
        <v>1008</v>
      </c>
      <c r="E256">
        <v>3</v>
      </c>
      <c r="F256">
        <v>2470</v>
      </c>
      <c r="G256">
        <v>5</v>
      </c>
    </row>
    <row r="257" spans="1:7">
      <c r="A257" t="s">
        <v>6341</v>
      </c>
      <c r="B257" t="s">
        <v>2663</v>
      </c>
      <c r="C257">
        <v>4</v>
      </c>
      <c r="D257">
        <v>1592</v>
      </c>
      <c r="E257">
        <v>4</v>
      </c>
      <c r="F257">
        <v>3840</v>
      </c>
      <c r="G257">
        <v>5</v>
      </c>
    </row>
    <row r="258" spans="1:7">
      <c r="A258" t="s">
        <v>6341</v>
      </c>
      <c r="B258" t="s">
        <v>2663</v>
      </c>
      <c r="C258">
        <v>5</v>
      </c>
      <c r="D258">
        <v>2526</v>
      </c>
      <c r="E258">
        <v>5</v>
      </c>
      <c r="F258">
        <v>6186</v>
      </c>
      <c r="G258">
        <v>5</v>
      </c>
    </row>
    <row r="259" spans="1:7">
      <c r="A259" t="s">
        <v>6341</v>
      </c>
      <c r="B259" t="s">
        <v>2663</v>
      </c>
      <c r="C259">
        <v>6</v>
      </c>
      <c r="D259">
        <v>4268</v>
      </c>
      <c r="E259">
        <v>6</v>
      </c>
      <c r="F259">
        <v>9220</v>
      </c>
      <c r="G259">
        <v>6</v>
      </c>
    </row>
    <row r="260" spans="1:7">
      <c r="A260" t="s">
        <v>6341</v>
      </c>
      <c r="B260" t="s">
        <v>2663</v>
      </c>
      <c r="C260">
        <v>7</v>
      </c>
      <c r="D260">
        <v>10388</v>
      </c>
      <c r="E260">
        <v>7</v>
      </c>
      <c r="F260">
        <v>18160</v>
      </c>
      <c r="G260">
        <v>7</v>
      </c>
    </row>
    <row r="261" spans="1:7">
      <c r="A261" t="s">
        <v>6344</v>
      </c>
      <c r="B261" t="s">
        <v>2660</v>
      </c>
      <c r="C261">
        <v>1</v>
      </c>
      <c r="D261">
        <v>4718</v>
      </c>
      <c r="E261">
        <v>3</v>
      </c>
      <c r="F261">
        <v>11805</v>
      </c>
      <c r="G261">
        <v>5</v>
      </c>
    </row>
    <row r="262" spans="1:7">
      <c r="A262" t="s">
        <v>6344</v>
      </c>
      <c r="B262" t="s">
        <v>2660</v>
      </c>
      <c r="C262">
        <v>2</v>
      </c>
      <c r="D262">
        <v>14144</v>
      </c>
      <c r="E262">
        <v>3</v>
      </c>
      <c r="F262">
        <v>29175</v>
      </c>
      <c r="G262">
        <v>5</v>
      </c>
    </row>
    <row r="263" spans="1:7">
      <c r="A263" t="s">
        <v>6344</v>
      </c>
      <c r="B263" t="s">
        <v>2660</v>
      </c>
      <c r="C263">
        <v>3</v>
      </c>
      <c r="D263">
        <v>36652</v>
      </c>
      <c r="E263">
        <v>3</v>
      </c>
      <c r="F263">
        <v>64186</v>
      </c>
      <c r="G263">
        <v>5</v>
      </c>
    </row>
    <row r="264" spans="1:7">
      <c r="A264" t="s">
        <v>6344</v>
      </c>
      <c r="B264" t="s">
        <v>2660</v>
      </c>
      <c r="C264">
        <v>4</v>
      </c>
      <c r="D264">
        <v>54120</v>
      </c>
      <c r="E264">
        <v>4</v>
      </c>
      <c r="F264">
        <v>118840</v>
      </c>
      <c r="G264">
        <v>5</v>
      </c>
    </row>
    <row r="265" spans="1:7">
      <c r="A265" t="s">
        <v>6344</v>
      </c>
      <c r="B265" t="s">
        <v>2660</v>
      </c>
      <c r="C265">
        <v>5</v>
      </c>
      <c r="D265">
        <v>75690</v>
      </c>
      <c r="E265">
        <v>5</v>
      </c>
      <c r="F265">
        <v>220050</v>
      </c>
      <c r="G265">
        <v>5</v>
      </c>
    </row>
    <row r="266" spans="1:7">
      <c r="A266" t="s">
        <v>6344</v>
      </c>
      <c r="B266" t="s">
        <v>2660</v>
      </c>
      <c r="C266">
        <v>6</v>
      </c>
      <c r="D266">
        <v>101820</v>
      </c>
      <c r="E266">
        <v>6</v>
      </c>
      <c r="F266">
        <v>271860</v>
      </c>
      <c r="G266">
        <v>6</v>
      </c>
    </row>
    <row r="267" spans="1:7">
      <c r="A267" t="s">
        <v>6344</v>
      </c>
      <c r="B267" t="s">
        <v>2660</v>
      </c>
      <c r="C267">
        <v>7</v>
      </c>
      <c r="D267">
        <v>136080</v>
      </c>
      <c r="E267">
        <v>7</v>
      </c>
      <c r="F267">
        <v>337080</v>
      </c>
      <c r="G267">
        <v>7</v>
      </c>
    </row>
    <row r="268" spans="1:7">
      <c r="A268" t="s">
        <v>6346</v>
      </c>
      <c r="B268" t="s">
        <v>2672</v>
      </c>
      <c r="C268">
        <v>1</v>
      </c>
      <c r="D268">
        <v>2958</v>
      </c>
      <c r="E268">
        <v>3</v>
      </c>
      <c r="F268">
        <v>7545</v>
      </c>
      <c r="G268">
        <v>5</v>
      </c>
    </row>
    <row r="269" spans="1:7">
      <c r="A269" t="s">
        <v>6346</v>
      </c>
      <c r="B269" t="s">
        <v>2672</v>
      </c>
      <c r="C269">
        <v>2</v>
      </c>
      <c r="D269">
        <v>8864</v>
      </c>
      <c r="E269">
        <v>3</v>
      </c>
      <c r="F269">
        <v>18475</v>
      </c>
      <c r="G269">
        <v>5</v>
      </c>
    </row>
    <row r="270" spans="1:7">
      <c r="A270" t="s">
        <v>6346</v>
      </c>
      <c r="B270" t="s">
        <v>2672</v>
      </c>
      <c r="C270">
        <v>3</v>
      </c>
      <c r="D270">
        <v>22972</v>
      </c>
      <c r="E270">
        <v>3</v>
      </c>
      <c r="F270">
        <v>40506</v>
      </c>
      <c r="G270">
        <v>5</v>
      </c>
    </row>
    <row r="271" spans="1:7">
      <c r="A271" t="s">
        <v>6346</v>
      </c>
      <c r="B271" t="s">
        <v>2672</v>
      </c>
      <c r="C271">
        <v>4</v>
      </c>
      <c r="D271">
        <v>33960</v>
      </c>
      <c r="E271">
        <v>4</v>
      </c>
      <c r="F271">
        <v>74680</v>
      </c>
      <c r="G271">
        <v>5</v>
      </c>
    </row>
    <row r="272" spans="1:7">
      <c r="A272" t="s">
        <v>6346</v>
      </c>
      <c r="B272" t="s">
        <v>2672</v>
      </c>
      <c r="C272">
        <v>5</v>
      </c>
      <c r="D272">
        <v>47610</v>
      </c>
      <c r="E272">
        <v>5</v>
      </c>
      <c r="F272">
        <v>137970</v>
      </c>
      <c r="G272">
        <v>5</v>
      </c>
    </row>
    <row r="273" spans="1:7">
      <c r="A273" t="s">
        <v>6346</v>
      </c>
      <c r="B273" t="s">
        <v>2672</v>
      </c>
      <c r="C273">
        <v>6</v>
      </c>
      <c r="D273">
        <v>64380</v>
      </c>
      <c r="E273">
        <v>6</v>
      </c>
      <c r="F273">
        <v>171060</v>
      </c>
      <c r="G273">
        <v>6</v>
      </c>
    </row>
    <row r="274" spans="1:7">
      <c r="A274" t="s">
        <v>6346</v>
      </c>
      <c r="B274" t="s">
        <v>2672</v>
      </c>
      <c r="C274">
        <v>7</v>
      </c>
      <c r="D274">
        <v>87840</v>
      </c>
      <c r="E274">
        <v>7</v>
      </c>
      <c r="F274">
        <v>214680</v>
      </c>
      <c r="G274">
        <v>7</v>
      </c>
    </row>
    <row r="275" spans="1:7">
      <c r="A275" t="s">
        <v>6348</v>
      </c>
      <c r="B275" t="s">
        <v>2423</v>
      </c>
      <c r="C275">
        <v>1</v>
      </c>
      <c r="D275">
        <v>1286</v>
      </c>
      <c r="E275">
        <v>3</v>
      </c>
      <c r="F275">
        <v>3465</v>
      </c>
      <c r="G275">
        <v>5</v>
      </c>
    </row>
    <row r="276" spans="1:7">
      <c r="A276" t="s">
        <v>6348</v>
      </c>
      <c r="B276" t="s">
        <v>2423</v>
      </c>
      <c r="C276">
        <v>2</v>
      </c>
      <c r="D276">
        <v>3848</v>
      </c>
      <c r="E276">
        <v>3</v>
      </c>
      <c r="F276">
        <v>8375</v>
      </c>
      <c r="G276">
        <v>5</v>
      </c>
    </row>
    <row r="277" spans="1:7">
      <c r="A277" t="s">
        <v>6348</v>
      </c>
      <c r="B277" t="s">
        <v>2423</v>
      </c>
      <c r="C277">
        <v>3</v>
      </c>
      <c r="D277">
        <v>9976</v>
      </c>
      <c r="E277">
        <v>3</v>
      </c>
      <c r="F277">
        <v>18010</v>
      </c>
      <c r="G277">
        <v>5</v>
      </c>
    </row>
    <row r="278" spans="1:7">
      <c r="A278" t="s">
        <v>6348</v>
      </c>
      <c r="B278" t="s">
        <v>2423</v>
      </c>
      <c r="C278">
        <v>4</v>
      </c>
      <c r="D278">
        <v>14808</v>
      </c>
      <c r="E278">
        <v>4</v>
      </c>
      <c r="F278">
        <v>32728</v>
      </c>
      <c r="G278">
        <v>5</v>
      </c>
    </row>
    <row r="279" spans="1:7">
      <c r="A279" t="s">
        <v>6348</v>
      </c>
      <c r="B279" t="s">
        <v>2423</v>
      </c>
      <c r="C279">
        <v>5</v>
      </c>
      <c r="D279">
        <v>20934</v>
      </c>
      <c r="E279">
        <v>5</v>
      </c>
      <c r="F279">
        <v>59994</v>
      </c>
      <c r="G279">
        <v>5</v>
      </c>
    </row>
    <row r="280" spans="1:7">
      <c r="A280" t="s">
        <v>6348</v>
      </c>
      <c r="B280" t="s">
        <v>2423</v>
      </c>
      <c r="C280">
        <v>6</v>
      </c>
      <c r="D280">
        <v>28812</v>
      </c>
      <c r="E280">
        <v>6</v>
      </c>
      <c r="F280">
        <v>75300</v>
      </c>
      <c r="G280">
        <v>6</v>
      </c>
    </row>
    <row r="281" spans="1:7">
      <c r="A281" t="s">
        <v>6348</v>
      </c>
      <c r="B281" t="s">
        <v>2423</v>
      </c>
      <c r="C281">
        <v>7</v>
      </c>
      <c r="D281">
        <v>42012</v>
      </c>
      <c r="E281">
        <v>7</v>
      </c>
      <c r="F281">
        <v>98400</v>
      </c>
      <c r="G281">
        <v>7</v>
      </c>
    </row>
    <row r="282" spans="1:7">
      <c r="A282" t="s">
        <v>6350</v>
      </c>
      <c r="B282" t="s">
        <v>2426</v>
      </c>
      <c r="C282">
        <v>1</v>
      </c>
      <c r="D282">
        <v>1594</v>
      </c>
      <c r="E282">
        <v>3</v>
      </c>
      <c r="F282">
        <v>4245</v>
      </c>
      <c r="G282">
        <v>5</v>
      </c>
    </row>
    <row r="283" spans="1:7">
      <c r="A283" t="s">
        <v>6350</v>
      </c>
      <c r="B283" t="s">
        <v>2426</v>
      </c>
      <c r="C283">
        <v>2</v>
      </c>
      <c r="D283">
        <v>4772</v>
      </c>
      <c r="E283">
        <v>3</v>
      </c>
      <c r="F283">
        <v>10175</v>
      </c>
      <c r="G283">
        <v>5</v>
      </c>
    </row>
    <row r="284" spans="1:7">
      <c r="A284" t="s">
        <v>6350</v>
      </c>
      <c r="B284" t="s">
        <v>2426</v>
      </c>
      <c r="C284">
        <v>3</v>
      </c>
      <c r="D284">
        <v>12332</v>
      </c>
      <c r="E284">
        <v>3</v>
      </c>
      <c r="F284">
        <v>22154</v>
      </c>
      <c r="G284">
        <v>5</v>
      </c>
    </row>
    <row r="285" spans="1:7">
      <c r="A285" t="s">
        <v>6350</v>
      </c>
      <c r="B285" t="s">
        <v>2426</v>
      </c>
      <c r="C285">
        <v>4</v>
      </c>
      <c r="D285">
        <v>18280</v>
      </c>
      <c r="E285">
        <v>4</v>
      </c>
      <c r="F285">
        <v>40456</v>
      </c>
      <c r="G285">
        <v>5</v>
      </c>
    </row>
    <row r="286" spans="1:7">
      <c r="A286" t="s">
        <v>6350</v>
      </c>
      <c r="B286" t="s">
        <v>2426</v>
      </c>
      <c r="C286">
        <v>5</v>
      </c>
      <c r="D286">
        <v>25770</v>
      </c>
      <c r="E286">
        <v>5</v>
      </c>
      <c r="F286">
        <v>74130</v>
      </c>
      <c r="G286">
        <v>5</v>
      </c>
    </row>
    <row r="287" spans="1:7">
      <c r="A287" t="s">
        <v>6350</v>
      </c>
      <c r="B287" t="s">
        <v>2426</v>
      </c>
      <c r="C287">
        <v>6</v>
      </c>
      <c r="D287">
        <v>35260</v>
      </c>
      <c r="E287">
        <v>6</v>
      </c>
      <c r="F287">
        <v>92660</v>
      </c>
      <c r="G287">
        <v>6</v>
      </c>
    </row>
    <row r="288" spans="1:7">
      <c r="A288" t="s">
        <v>6350</v>
      </c>
      <c r="B288" t="s">
        <v>2426</v>
      </c>
      <c r="C288">
        <v>7</v>
      </c>
      <c r="D288">
        <v>50320</v>
      </c>
      <c r="E288">
        <v>7</v>
      </c>
      <c r="F288">
        <v>119480</v>
      </c>
      <c r="G288">
        <v>7</v>
      </c>
    </row>
    <row r="289" spans="1:7">
      <c r="A289" t="s">
        <v>6352</v>
      </c>
      <c r="B289" t="s">
        <v>2690</v>
      </c>
      <c r="C289">
        <v>1</v>
      </c>
      <c r="D289">
        <v>3937</v>
      </c>
      <c r="E289">
        <v>3</v>
      </c>
      <c r="F289">
        <v>9945</v>
      </c>
      <c r="G289">
        <v>5</v>
      </c>
    </row>
    <row r="290" spans="1:7">
      <c r="A290" t="s">
        <v>6352</v>
      </c>
      <c r="B290" t="s">
        <v>2690</v>
      </c>
      <c r="C290">
        <v>2</v>
      </c>
      <c r="D290">
        <v>11812</v>
      </c>
      <c r="E290">
        <v>3</v>
      </c>
      <c r="F290">
        <v>24475</v>
      </c>
      <c r="G290">
        <v>5</v>
      </c>
    </row>
    <row r="291" spans="1:7">
      <c r="A291" t="s">
        <v>6352</v>
      </c>
      <c r="B291" t="s">
        <v>2690</v>
      </c>
      <c r="C291">
        <v>3</v>
      </c>
      <c r="D291">
        <v>30572</v>
      </c>
      <c r="E291">
        <v>3</v>
      </c>
      <c r="F291">
        <v>53678</v>
      </c>
      <c r="G291">
        <v>5</v>
      </c>
    </row>
    <row r="292" spans="1:7">
      <c r="A292" t="s">
        <v>6352</v>
      </c>
      <c r="B292" t="s">
        <v>2690</v>
      </c>
      <c r="C292">
        <v>4</v>
      </c>
      <c r="D292">
        <v>45160</v>
      </c>
      <c r="E292">
        <v>4</v>
      </c>
      <c r="F292">
        <v>99336</v>
      </c>
      <c r="G292">
        <v>5</v>
      </c>
    </row>
    <row r="293" spans="1:7">
      <c r="A293" t="s">
        <v>6352</v>
      </c>
      <c r="B293" t="s">
        <v>2690</v>
      </c>
      <c r="C293">
        <v>5</v>
      </c>
      <c r="D293">
        <v>63210</v>
      </c>
      <c r="E293">
        <v>5</v>
      </c>
      <c r="F293">
        <v>183570</v>
      </c>
      <c r="G293">
        <v>5</v>
      </c>
    </row>
    <row r="294" spans="1:7">
      <c r="A294" t="s">
        <v>6352</v>
      </c>
      <c r="B294" t="s">
        <v>2690</v>
      </c>
      <c r="C294">
        <v>6</v>
      </c>
      <c r="D294">
        <v>85180</v>
      </c>
      <c r="E294">
        <v>6</v>
      </c>
      <c r="F294">
        <v>227060</v>
      </c>
      <c r="G294">
        <v>6</v>
      </c>
    </row>
    <row r="295" spans="1:7">
      <c r="A295" t="s">
        <v>6352</v>
      </c>
      <c r="B295" t="s">
        <v>2690</v>
      </c>
      <c r="C295">
        <v>7</v>
      </c>
      <c r="D295">
        <v>114640</v>
      </c>
      <c r="E295">
        <v>7</v>
      </c>
      <c r="F295">
        <v>282680</v>
      </c>
      <c r="G295">
        <v>7</v>
      </c>
    </row>
    <row r="296" spans="1:7">
      <c r="A296" t="s">
        <v>6355</v>
      </c>
      <c r="B296" t="s">
        <v>1957</v>
      </c>
      <c r="C296">
        <v>1</v>
      </c>
      <c r="D296">
        <v>109</v>
      </c>
      <c r="E296">
        <v>3</v>
      </c>
      <c r="F296">
        <v>645</v>
      </c>
      <c r="G296">
        <v>5</v>
      </c>
    </row>
    <row r="297" spans="1:7">
      <c r="A297" t="s">
        <v>6355</v>
      </c>
      <c r="B297" t="s">
        <v>1957</v>
      </c>
      <c r="C297">
        <v>2</v>
      </c>
      <c r="D297">
        <v>328</v>
      </c>
      <c r="E297">
        <v>3</v>
      </c>
      <c r="F297">
        <v>1275</v>
      </c>
      <c r="G297">
        <v>5</v>
      </c>
    </row>
    <row r="298" spans="1:7">
      <c r="A298" t="s">
        <v>6355</v>
      </c>
      <c r="B298" t="s">
        <v>1957</v>
      </c>
      <c r="C298">
        <v>3</v>
      </c>
      <c r="D298">
        <v>818</v>
      </c>
      <c r="E298">
        <v>3</v>
      </c>
      <c r="F298">
        <v>2174</v>
      </c>
      <c r="G298">
        <v>5</v>
      </c>
    </row>
    <row r="299" spans="1:7">
      <c r="A299" t="s">
        <v>6355</v>
      </c>
      <c r="B299" t="s">
        <v>1957</v>
      </c>
      <c r="C299">
        <v>4</v>
      </c>
      <c r="D299">
        <v>1312</v>
      </c>
      <c r="E299">
        <v>4</v>
      </c>
      <c r="F299">
        <v>3288</v>
      </c>
      <c r="G299">
        <v>5</v>
      </c>
    </row>
    <row r="300" spans="1:7">
      <c r="A300" t="s">
        <v>6355</v>
      </c>
      <c r="B300" t="s">
        <v>1957</v>
      </c>
      <c r="C300">
        <v>5</v>
      </c>
      <c r="D300">
        <v>2136</v>
      </c>
      <c r="E300">
        <v>5</v>
      </c>
      <c r="F300">
        <v>5046</v>
      </c>
      <c r="G300">
        <v>5</v>
      </c>
    </row>
    <row r="301" spans="1:7">
      <c r="A301" t="s">
        <v>6355</v>
      </c>
      <c r="B301" t="s">
        <v>1957</v>
      </c>
      <c r="C301">
        <v>6</v>
      </c>
      <c r="D301">
        <v>3748</v>
      </c>
      <c r="E301">
        <v>6</v>
      </c>
      <c r="F301">
        <v>7820</v>
      </c>
      <c r="G301">
        <v>6</v>
      </c>
    </row>
    <row r="302" spans="1:7">
      <c r="A302" t="s">
        <v>6355</v>
      </c>
      <c r="B302" t="s">
        <v>1957</v>
      </c>
      <c r="C302">
        <v>7</v>
      </c>
      <c r="D302">
        <v>9718</v>
      </c>
      <c r="E302">
        <v>7</v>
      </c>
      <c r="F302">
        <v>16460</v>
      </c>
      <c r="G302">
        <v>7</v>
      </c>
    </row>
    <row r="303" spans="1:7">
      <c r="A303" t="s">
        <v>6357</v>
      </c>
      <c r="B303" t="s">
        <v>6358</v>
      </c>
      <c r="C303">
        <v>1</v>
      </c>
      <c r="D303">
        <v>615</v>
      </c>
      <c r="E303">
        <v>3</v>
      </c>
      <c r="F303">
        <v>1845</v>
      </c>
      <c r="G303">
        <v>5</v>
      </c>
    </row>
    <row r="304" spans="1:7">
      <c r="A304" t="s">
        <v>6357</v>
      </c>
      <c r="B304" t="s">
        <v>6358</v>
      </c>
      <c r="C304">
        <v>2</v>
      </c>
      <c r="D304">
        <v>1824</v>
      </c>
      <c r="E304">
        <v>3</v>
      </c>
      <c r="F304">
        <v>4275</v>
      </c>
      <c r="G304">
        <v>5</v>
      </c>
    </row>
    <row r="305" spans="1:7">
      <c r="A305" t="s">
        <v>6357</v>
      </c>
      <c r="B305" t="s">
        <v>6358</v>
      </c>
      <c r="C305">
        <v>3</v>
      </c>
      <c r="D305">
        <v>4732</v>
      </c>
      <c r="E305">
        <v>3</v>
      </c>
      <c r="F305">
        <v>8982</v>
      </c>
      <c r="G305">
        <v>5</v>
      </c>
    </row>
    <row r="306" spans="1:7">
      <c r="A306" t="s">
        <v>6357</v>
      </c>
      <c r="B306" t="s">
        <v>6358</v>
      </c>
      <c r="C306">
        <v>4</v>
      </c>
      <c r="D306">
        <v>7080</v>
      </c>
      <c r="E306">
        <v>4</v>
      </c>
      <c r="F306">
        <v>15800</v>
      </c>
      <c r="G306">
        <v>5</v>
      </c>
    </row>
    <row r="307" spans="1:7">
      <c r="A307" t="s">
        <v>6357</v>
      </c>
      <c r="B307" t="s">
        <v>6358</v>
      </c>
      <c r="C307">
        <v>5</v>
      </c>
      <c r="D307">
        <v>10170</v>
      </c>
      <c r="E307">
        <v>5</v>
      </c>
      <c r="F307">
        <v>28530</v>
      </c>
      <c r="G307">
        <v>5</v>
      </c>
    </row>
    <row r="308" spans="1:7">
      <c r="A308" t="s">
        <v>6357</v>
      </c>
      <c r="B308" t="s">
        <v>6358</v>
      </c>
      <c r="C308">
        <v>6</v>
      </c>
      <c r="D308">
        <v>14460</v>
      </c>
      <c r="E308">
        <v>6</v>
      </c>
      <c r="F308">
        <v>36660</v>
      </c>
      <c r="G308">
        <v>6</v>
      </c>
    </row>
    <row r="309" spans="1:7">
      <c r="A309" t="s">
        <v>6357</v>
      </c>
      <c r="B309" t="s">
        <v>6358</v>
      </c>
      <c r="C309">
        <v>7</v>
      </c>
      <c r="D309">
        <v>23520</v>
      </c>
      <c r="E309">
        <v>7</v>
      </c>
      <c r="F309">
        <v>51480</v>
      </c>
      <c r="G309">
        <v>7</v>
      </c>
    </row>
    <row r="310" spans="1:7">
      <c r="A310" t="s">
        <v>6360</v>
      </c>
      <c r="B310" t="s">
        <v>6361</v>
      </c>
      <c r="C310">
        <v>1</v>
      </c>
      <c r="D310">
        <v>219</v>
      </c>
      <c r="E310">
        <v>3</v>
      </c>
      <c r="F310">
        <v>885</v>
      </c>
      <c r="G310">
        <v>5</v>
      </c>
    </row>
    <row r="311" spans="1:7">
      <c r="A311" t="s">
        <v>6360</v>
      </c>
      <c r="B311" t="s">
        <v>6361</v>
      </c>
      <c r="C311">
        <v>2</v>
      </c>
      <c r="D311">
        <v>658</v>
      </c>
      <c r="E311">
        <v>3</v>
      </c>
      <c r="F311">
        <v>1875</v>
      </c>
      <c r="G311">
        <v>5</v>
      </c>
    </row>
    <row r="312" spans="1:7">
      <c r="A312" t="s">
        <v>6360</v>
      </c>
      <c r="B312" t="s">
        <v>6361</v>
      </c>
      <c r="C312">
        <v>3</v>
      </c>
      <c r="D312">
        <v>1692</v>
      </c>
      <c r="E312">
        <v>3</v>
      </c>
      <c r="F312">
        <v>3654</v>
      </c>
      <c r="G312">
        <v>5</v>
      </c>
    </row>
    <row r="313" spans="1:7">
      <c r="A313" t="s">
        <v>6360</v>
      </c>
      <c r="B313" t="s">
        <v>6361</v>
      </c>
      <c r="C313">
        <v>4</v>
      </c>
      <c r="D313">
        <v>2600</v>
      </c>
      <c r="E313">
        <v>4</v>
      </c>
      <c r="F313">
        <v>6048</v>
      </c>
      <c r="G313">
        <v>5</v>
      </c>
    </row>
    <row r="314" spans="1:7">
      <c r="A314" t="s">
        <v>6360</v>
      </c>
      <c r="B314" t="s">
        <v>6361</v>
      </c>
      <c r="C314">
        <v>5</v>
      </c>
      <c r="D314">
        <v>3930</v>
      </c>
      <c r="E314">
        <v>5</v>
      </c>
      <c r="F314">
        <v>10290</v>
      </c>
      <c r="G314">
        <v>5</v>
      </c>
    </row>
    <row r="315" spans="1:7">
      <c r="A315" t="s">
        <v>6360</v>
      </c>
      <c r="B315" t="s">
        <v>6361</v>
      </c>
      <c r="C315">
        <v>6</v>
      </c>
      <c r="D315">
        <v>6140</v>
      </c>
      <c r="E315">
        <v>6</v>
      </c>
      <c r="F315">
        <v>14260</v>
      </c>
      <c r="G315">
        <v>6</v>
      </c>
    </row>
    <row r="316" spans="1:7">
      <c r="A316" t="s">
        <v>6360</v>
      </c>
      <c r="B316" t="s">
        <v>6361</v>
      </c>
      <c r="C316">
        <v>7</v>
      </c>
      <c r="D316">
        <v>12800</v>
      </c>
      <c r="E316">
        <v>7</v>
      </c>
      <c r="F316">
        <v>24280</v>
      </c>
      <c r="G316">
        <v>7</v>
      </c>
    </row>
    <row r="317" spans="1:7">
      <c r="A317" t="s">
        <v>6362</v>
      </c>
      <c r="B317" t="s">
        <v>1973</v>
      </c>
      <c r="C317">
        <v>1</v>
      </c>
      <c r="D317">
        <v>54</v>
      </c>
      <c r="E317">
        <v>3</v>
      </c>
      <c r="F317">
        <v>525</v>
      </c>
      <c r="G317">
        <v>5</v>
      </c>
    </row>
    <row r="318" spans="1:7">
      <c r="A318" t="s">
        <v>6362</v>
      </c>
      <c r="B318" t="s">
        <v>1973</v>
      </c>
      <c r="C318">
        <v>2</v>
      </c>
      <c r="D318">
        <v>152</v>
      </c>
      <c r="E318">
        <v>3</v>
      </c>
      <c r="F318">
        <v>875</v>
      </c>
      <c r="G318">
        <v>5</v>
      </c>
    </row>
    <row r="319" spans="1:7">
      <c r="A319" t="s">
        <v>6362</v>
      </c>
      <c r="B319" t="s">
        <v>1973</v>
      </c>
      <c r="C319">
        <v>3</v>
      </c>
      <c r="D319">
        <v>400</v>
      </c>
      <c r="E319">
        <v>3</v>
      </c>
      <c r="F319">
        <v>1434</v>
      </c>
      <c r="G319">
        <v>5</v>
      </c>
    </row>
    <row r="320" spans="1:7">
      <c r="A320" t="s">
        <v>6362</v>
      </c>
      <c r="B320" t="s">
        <v>1973</v>
      </c>
      <c r="C320">
        <v>4</v>
      </c>
      <c r="D320">
        <v>696</v>
      </c>
      <c r="E320">
        <v>4</v>
      </c>
      <c r="F320">
        <v>1816</v>
      </c>
      <c r="G320">
        <v>5</v>
      </c>
    </row>
    <row r="321" spans="1:7">
      <c r="A321" t="s">
        <v>6362</v>
      </c>
      <c r="B321" t="s">
        <v>1973</v>
      </c>
      <c r="C321">
        <v>5</v>
      </c>
      <c r="D321">
        <v>1278</v>
      </c>
      <c r="E321">
        <v>5</v>
      </c>
      <c r="F321">
        <v>2538</v>
      </c>
      <c r="G321">
        <v>5</v>
      </c>
    </row>
    <row r="322" spans="1:7">
      <c r="A322" t="s">
        <v>6362</v>
      </c>
      <c r="B322" t="s">
        <v>1973</v>
      </c>
      <c r="C322">
        <v>6</v>
      </c>
      <c r="D322">
        <v>2604</v>
      </c>
      <c r="E322">
        <v>6</v>
      </c>
      <c r="F322">
        <v>4740</v>
      </c>
      <c r="G322">
        <v>6</v>
      </c>
    </row>
    <row r="323" spans="1:7">
      <c r="A323" t="s">
        <v>6362</v>
      </c>
      <c r="B323" t="s">
        <v>1973</v>
      </c>
      <c r="C323">
        <v>7</v>
      </c>
      <c r="D323">
        <v>8244</v>
      </c>
      <c r="E323">
        <v>7</v>
      </c>
      <c r="F323">
        <v>12720</v>
      </c>
      <c r="G323">
        <v>7</v>
      </c>
    </row>
    <row r="324" spans="1:7">
      <c r="A324" t="s">
        <v>6364</v>
      </c>
      <c r="B324" t="s">
        <v>6365</v>
      </c>
      <c r="C324">
        <v>1</v>
      </c>
      <c r="D324">
        <v>813</v>
      </c>
      <c r="E324">
        <v>3</v>
      </c>
      <c r="F324">
        <v>2325</v>
      </c>
      <c r="G324">
        <v>5</v>
      </c>
    </row>
    <row r="325" spans="1:7">
      <c r="A325" t="s">
        <v>6364</v>
      </c>
      <c r="B325" t="s">
        <v>6365</v>
      </c>
      <c r="C325">
        <v>2</v>
      </c>
      <c r="D325">
        <v>2418</v>
      </c>
      <c r="E325">
        <v>3</v>
      </c>
      <c r="F325">
        <v>5475</v>
      </c>
      <c r="G325">
        <v>5</v>
      </c>
    </row>
    <row r="326" spans="1:7">
      <c r="A326" t="s">
        <v>6364</v>
      </c>
      <c r="B326" t="s">
        <v>6365</v>
      </c>
      <c r="C326">
        <v>3</v>
      </c>
      <c r="D326">
        <v>6252</v>
      </c>
      <c r="E326">
        <v>3</v>
      </c>
      <c r="F326">
        <v>11646</v>
      </c>
      <c r="G326">
        <v>5</v>
      </c>
    </row>
    <row r="327" spans="1:7">
      <c r="A327" t="s">
        <v>6364</v>
      </c>
      <c r="B327" t="s">
        <v>6365</v>
      </c>
      <c r="C327">
        <v>4</v>
      </c>
      <c r="D327">
        <v>9320</v>
      </c>
      <c r="E327">
        <v>4</v>
      </c>
      <c r="F327">
        <v>20768</v>
      </c>
      <c r="G327">
        <v>5</v>
      </c>
    </row>
    <row r="328" spans="1:7">
      <c r="A328" t="s">
        <v>6364</v>
      </c>
      <c r="B328" t="s">
        <v>6365</v>
      </c>
      <c r="C328">
        <v>5</v>
      </c>
      <c r="D328">
        <v>13290</v>
      </c>
      <c r="E328">
        <v>5</v>
      </c>
      <c r="F328">
        <v>37650</v>
      </c>
      <c r="G328">
        <v>5</v>
      </c>
    </row>
    <row r="329" spans="1:7">
      <c r="A329" t="s">
        <v>6364</v>
      </c>
      <c r="B329" t="s">
        <v>6365</v>
      </c>
      <c r="C329">
        <v>6</v>
      </c>
      <c r="D329">
        <v>18620</v>
      </c>
      <c r="E329">
        <v>6</v>
      </c>
      <c r="F329">
        <v>47860</v>
      </c>
      <c r="G329">
        <v>6</v>
      </c>
    </row>
    <row r="330" spans="1:7">
      <c r="A330" t="s">
        <v>6364</v>
      </c>
      <c r="B330" t="s">
        <v>6365</v>
      </c>
      <c r="C330">
        <v>7</v>
      </c>
      <c r="D330">
        <v>28880</v>
      </c>
      <c r="E330">
        <v>7</v>
      </c>
      <c r="F330">
        <v>65080</v>
      </c>
      <c r="G330">
        <v>7</v>
      </c>
    </row>
    <row r="331" spans="1:7">
      <c r="A331" t="s">
        <v>6366</v>
      </c>
      <c r="B331" t="s">
        <v>1979</v>
      </c>
      <c r="C331">
        <v>1</v>
      </c>
      <c r="D331">
        <v>219</v>
      </c>
      <c r="E331">
        <v>3</v>
      </c>
      <c r="F331">
        <v>885</v>
      </c>
      <c r="G331">
        <v>5</v>
      </c>
    </row>
    <row r="332" spans="1:7">
      <c r="A332" t="s">
        <v>6366</v>
      </c>
      <c r="B332" t="s">
        <v>1979</v>
      </c>
      <c r="C332">
        <v>2</v>
      </c>
      <c r="D332">
        <v>658</v>
      </c>
      <c r="E332">
        <v>3</v>
      </c>
      <c r="F332">
        <v>1875</v>
      </c>
      <c r="G332">
        <v>5</v>
      </c>
    </row>
    <row r="333" spans="1:7">
      <c r="A333" t="s">
        <v>6366</v>
      </c>
      <c r="B333" t="s">
        <v>1979</v>
      </c>
      <c r="C333">
        <v>3</v>
      </c>
      <c r="D333">
        <v>1692</v>
      </c>
      <c r="E333">
        <v>3</v>
      </c>
      <c r="F333">
        <v>3654</v>
      </c>
      <c r="G333">
        <v>5</v>
      </c>
    </row>
    <row r="334" spans="1:7">
      <c r="A334" t="s">
        <v>6366</v>
      </c>
      <c r="B334" t="s">
        <v>1979</v>
      </c>
      <c r="C334">
        <v>4</v>
      </c>
      <c r="D334">
        <v>2600</v>
      </c>
      <c r="E334">
        <v>4</v>
      </c>
      <c r="F334">
        <v>6048</v>
      </c>
      <c r="G334">
        <v>5</v>
      </c>
    </row>
    <row r="335" spans="1:7">
      <c r="A335" t="s">
        <v>6366</v>
      </c>
      <c r="B335" t="s">
        <v>1979</v>
      </c>
      <c r="C335">
        <v>5</v>
      </c>
      <c r="D335">
        <v>3930</v>
      </c>
      <c r="E335">
        <v>5</v>
      </c>
      <c r="F335">
        <v>10290</v>
      </c>
      <c r="G335">
        <v>5</v>
      </c>
    </row>
    <row r="336" spans="1:7">
      <c r="A336" t="s">
        <v>6366</v>
      </c>
      <c r="B336" t="s">
        <v>1979</v>
      </c>
      <c r="C336">
        <v>6</v>
      </c>
      <c r="D336">
        <v>6140</v>
      </c>
      <c r="E336">
        <v>6</v>
      </c>
      <c r="F336">
        <v>14260</v>
      </c>
      <c r="G336">
        <v>6</v>
      </c>
    </row>
    <row r="337" spans="1:7">
      <c r="A337" t="s">
        <v>6366</v>
      </c>
      <c r="B337" t="s">
        <v>1979</v>
      </c>
      <c r="C337">
        <v>7</v>
      </c>
      <c r="D337">
        <v>12800</v>
      </c>
      <c r="E337">
        <v>7</v>
      </c>
      <c r="F337">
        <v>24280</v>
      </c>
      <c r="G337">
        <v>7</v>
      </c>
    </row>
    <row r="338" spans="1:7">
      <c r="A338" t="s">
        <v>6368</v>
      </c>
      <c r="B338" t="s">
        <v>2016</v>
      </c>
      <c r="C338">
        <v>1</v>
      </c>
      <c r="D338">
        <v>373</v>
      </c>
      <c r="E338">
        <v>3</v>
      </c>
      <c r="F338">
        <v>1305</v>
      </c>
      <c r="G338">
        <v>5</v>
      </c>
    </row>
    <row r="339" spans="1:7">
      <c r="A339" t="s">
        <v>6368</v>
      </c>
      <c r="B339" t="s">
        <v>2016</v>
      </c>
      <c r="C339">
        <v>2</v>
      </c>
      <c r="D339">
        <v>1120</v>
      </c>
      <c r="E339">
        <v>3</v>
      </c>
      <c r="F339">
        <v>2875</v>
      </c>
      <c r="G339">
        <v>5</v>
      </c>
    </row>
    <row r="340" spans="1:7">
      <c r="A340" t="s">
        <v>6368</v>
      </c>
      <c r="B340" t="s">
        <v>2016</v>
      </c>
      <c r="C340">
        <v>3</v>
      </c>
      <c r="D340">
        <v>2908</v>
      </c>
      <c r="E340">
        <v>3</v>
      </c>
      <c r="F340">
        <v>5726</v>
      </c>
      <c r="G340">
        <v>5</v>
      </c>
    </row>
    <row r="341" spans="1:7">
      <c r="A341" t="s">
        <v>6368</v>
      </c>
      <c r="B341" t="s">
        <v>2016</v>
      </c>
      <c r="C341">
        <v>4</v>
      </c>
      <c r="D341">
        <v>4392</v>
      </c>
      <c r="E341">
        <v>4</v>
      </c>
      <c r="F341">
        <v>9912</v>
      </c>
      <c r="G341">
        <v>5</v>
      </c>
    </row>
    <row r="342" spans="1:7">
      <c r="A342" t="s">
        <v>6368</v>
      </c>
      <c r="B342" t="s">
        <v>2016</v>
      </c>
      <c r="C342">
        <v>5</v>
      </c>
      <c r="D342">
        <v>6426</v>
      </c>
      <c r="E342">
        <v>5</v>
      </c>
      <c r="F342">
        <v>17586</v>
      </c>
      <c r="G342">
        <v>5</v>
      </c>
    </row>
    <row r="343" spans="1:7">
      <c r="A343" t="s">
        <v>6368</v>
      </c>
      <c r="B343" t="s">
        <v>2016</v>
      </c>
      <c r="C343">
        <v>6</v>
      </c>
      <c r="D343">
        <v>9468</v>
      </c>
      <c r="E343">
        <v>6</v>
      </c>
      <c r="F343">
        <v>23220</v>
      </c>
      <c r="G343">
        <v>6</v>
      </c>
    </row>
    <row r="344" spans="1:7">
      <c r="A344" t="s">
        <v>6368</v>
      </c>
      <c r="B344" t="s">
        <v>2016</v>
      </c>
      <c r="C344">
        <v>7</v>
      </c>
      <c r="D344">
        <v>17088</v>
      </c>
      <c r="E344">
        <v>7</v>
      </c>
      <c r="F344">
        <v>35160</v>
      </c>
      <c r="G344">
        <v>7</v>
      </c>
    </row>
    <row r="345" spans="1:7">
      <c r="A345" t="s">
        <v>6370</v>
      </c>
      <c r="B345" t="s">
        <v>2356</v>
      </c>
      <c r="C345">
        <v>1</v>
      </c>
      <c r="D345">
        <v>1979</v>
      </c>
      <c r="E345">
        <v>3</v>
      </c>
      <c r="F345">
        <v>5205</v>
      </c>
      <c r="G345">
        <v>5</v>
      </c>
    </row>
    <row r="346" spans="1:7">
      <c r="A346" t="s">
        <v>6370</v>
      </c>
      <c r="B346" t="s">
        <v>2356</v>
      </c>
      <c r="C346">
        <v>2</v>
      </c>
      <c r="D346">
        <v>5938</v>
      </c>
      <c r="E346">
        <v>3</v>
      </c>
      <c r="F346">
        <v>12575</v>
      </c>
      <c r="G346">
        <v>5</v>
      </c>
    </row>
    <row r="347" spans="1:7">
      <c r="A347" t="s">
        <v>6370</v>
      </c>
      <c r="B347" t="s">
        <v>2356</v>
      </c>
      <c r="C347">
        <v>3</v>
      </c>
      <c r="D347">
        <v>15372</v>
      </c>
      <c r="E347">
        <v>3</v>
      </c>
      <c r="F347">
        <v>27334</v>
      </c>
      <c r="G347">
        <v>5</v>
      </c>
    </row>
    <row r="348" spans="1:7">
      <c r="A348" t="s">
        <v>6370</v>
      </c>
      <c r="B348" t="s">
        <v>2356</v>
      </c>
      <c r="C348">
        <v>4</v>
      </c>
      <c r="D348">
        <v>22760</v>
      </c>
      <c r="E348">
        <v>4</v>
      </c>
      <c r="F348">
        <v>50208</v>
      </c>
      <c r="G348">
        <v>5</v>
      </c>
    </row>
    <row r="349" spans="1:7">
      <c r="A349" t="s">
        <v>6370</v>
      </c>
      <c r="B349" t="s">
        <v>2356</v>
      </c>
      <c r="C349">
        <v>5</v>
      </c>
      <c r="D349">
        <v>32010</v>
      </c>
      <c r="E349">
        <v>5</v>
      </c>
      <c r="F349">
        <v>92370</v>
      </c>
      <c r="G349">
        <v>5</v>
      </c>
    </row>
    <row r="350" spans="1:7">
      <c r="A350" t="s">
        <v>6370</v>
      </c>
      <c r="B350" t="s">
        <v>2356</v>
      </c>
      <c r="C350">
        <v>6</v>
      </c>
      <c r="D350">
        <v>43580</v>
      </c>
      <c r="E350">
        <v>6</v>
      </c>
      <c r="F350">
        <v>115060</v>
      </c>
      <c r="G350">
        <v>6</v>
      </c>
    </row>
    <row r="351" spans="1:7">
      <c r="A351" t="s">
        <v>6370</v>
      </c>
      <c r="B351" t="s">
        <v>2356</v>
      </c>
      <c r="C351">
        <v>7</v>
      </c>
      <c r="D351">
        <v>61040</v>
      </c>
      <c r="E351">
        <v>7</v>
      </c>
      <c r="F351">
        <v>146680</v>
      </c>
      <c r="G351">
        <v>7</v>
      </c>
    </row>
    <row r="352" spans="1:7">
      <c r="A352" t="s">
        <v>6373</v>
      </c>
      <c r="B352" t="s">
        <v>6374</v>
      </c>
      <c r="C352">
        <v>1</v>
      </c>
      <c r="F352">
        <v>705</v>
      </c>
      <c r="G352" t="s">
        <v>6430</v>
      </c>
    </row>
    <row r="353" spans="1:7">
      <c r="A353" t="s">
        <v>6373</v>
      </c>
      <c r="B353" t="s">
        <v>6374</v>
      </c>
      <c r="C353">
        <v>2</v>
      </c>
      <c r="F353">
        <v>1475</v>
      </c>
      <c r="G353" t="s">
        <v>6430</v>
      </c>
    </row>
    <row r="354" spans="1:7">
      <c r="A354" t="s">
        <v>6373</v>
      </c>
      <c r="B354" t="s">
        <v>6374</v>
      </c>
      <c r="C354">
        <v>3</v>
      </c>
      <c r="F354">
        <v>2618</v>
      </c>
      <c r="G354" t="s">
        <v>6430</v>
      </c>
    </row>
    <row r="355" spans="1:7">
      <c r="A355" t="s">
        <v>6373</v>
      </c>
      <c r="B355" t="s">
        <v>6374</v>
      </c>
      <c r="C355">
        <v>4</v>
      </c>
      <c r="F355">
        <v>4024</v>
      </c>
      <c r="G355" t="s">
        <v>6430</v>
      </c>
    </row>
    <row r="356" spans="1:7">
      <c r="A356" t="s">
        <v>6373</v>
      </c>
      <c r="B356" t="s">
        <v>6374</v>
      </c>
      <c r="C356">
        <v>5</v>
      </c>
      <c r="F356">
        <v>6642</v>
      </c>
      <c r="G356" t="s">
        <v>6430</v>
      </c>
    </row>
    <row r="357" spans="1:7">
      <c r="A357" t="s">
        <v>6373</v>
      </c>
      <c r="B357" t="s">
        <v>6374</v>
      </c>
      <c r="C357">
        <v>6</v>
      </c>
      <c r="F357">
        <v>9780</v>
      </c>
      <c r="G357" t="s">
        <v>6430</v>
      </c>
    </row>
    <row r="358" spans="1:7">
      <c r="A358" t="s">
        <v>6373</v>
      </c>
      <c r="B358" t="s">
        <v>6374</v>
      </c>
      <c r="C358">
        <v>7</v>
      </c>
      <c r="F358">
        <v>18840</v>
      </c>
      <c r="G358" t="s">
        <v>6430</v>
      </c>
    </row>
    <row r="359" spans="1:7">
      <c r="A359" t="s">
        <v>6377</v>
      </c>
      <c r="B359" t="s">
        <v>6378</v>
      </c>
      <c r="C359">
        <v>1</v>
      </c>
      <c r="F359">
        <v>705</v>
      </c>
      <c r="G359" t="s">
        <v>6430</v>
      </c>
    </row>
    <row r="360" spans="1:7">
      <c r="A360" t="s">
        <v>6377</v>
      </c>
      <c r="B360" t="s">
        <v>6378</v>
      </c>
      <c r="C360">
        <v>2</v>
      </c>
      <c r="F360">
        <v>1475</v>
      </c>
      <c r="G360" t="s">
        <v>6430</v>
      </c>
    </row>
    <row r="361" spans="1:7">
      <c r="A361" t="s">
        <v>6377</v>
      </c>
      <c r="B361" t="s">
        <v>6378</v>
      </c>
      <c r="C361">
        <v>3</v>
      </c>
      <c r="F361">
        <v>2618</v>
      </c>
      <c r="G361" t="s">
        <v>6430</v>
      </c>
    </row>
    <row r="362" spans="1:7">
      <c r="A362" t="s">
        <v>6377</v>
      </c>
      <c r="B362" t="s">
        <v>6378</v>
      </c>
      <c r="C362">
        <v>4</v>
      </c>
      <c r="F362">
        <v>4024</v>
      </c>
      <c r="G362" t="s">
        <v>6430</v>
      </c>
    </row>
    <row r="363" spans="1:7">
      <c r="A363" t="s">
        <v>6377</v>
      </c>
      <c r="B363" t="s">
        <v>6378</v>
      </c>
      <c r="C363">
        <v>5</v>
      </c>
      <c r="F363">
        <v>6642</v>
      </c>
      <c r="G363" t="s">
        <v>6430</v>
      </c>
    </row>
    <row r="364" spans="1:7">
      <c r="A364" t="s">
        <v>6377</v>
      </c>
      <c r="B364" t="s">
        <v>6378</v>
      </c>
      <c r="C364">
        <v>6</v>
      </c>
      <c r="F364">
        <v>9780</v>
      </c>
      <c r="G364" t="s">
        <v>6430</v>
      </c>
    </row>
    <row r="365" spans="1:7">
      <c r="A365" t="s">
        <v>6377</v>
      </c>
      <c r="B365" t="s">
        <v>6378</v>
      </c>
      <c r="C365">
        <v>7</v>
      </c>
      <c r="F365">
        <v>18840</v>
      </c>
      <c r="G365" t="s">
        <v>6430</v>
      </c>
    </row>
    <row r="366" spans="1:7">
      <c r="A366" t="s">
        <v>6380</v>
      </c>
      <c r="B366" t="s">
        <v>6381</v>
      </c>
      <c r="C366">
        <v>1</v>
      </c>
      <c r="F366">
        <v>705</v>
      </c>
      <c r="G366" t="s">
        <v>6430</v>
      </c>
    </row>
    <row r="367" spans="1:7">
      <c r="A367" t="s">
        <v>6380</v>
      </c>
      <c r="B367" t="s">
        <v>6381</v>
      </c>
      <c r="C367">
        <v>2</v>
      </c>
      <c r="F367">
        <v>1475</v>
      </c>
      <c r="G367" t="s">
        <v>6430</v>
      </c>
    </row>
    <row r="368" spans="1:7">
      <c r="A368" t="s">
        <v>6380</v>
      </c>
      <c r="B368" t="s">
        <v>6381</v>
      </c>
      <c r="C368">
        <v>3</v>
      </c>
      <c r="F368">
        <v>2618</v>
      </c>
      <c r="G368" t="s">
        <v>6430</v>
      </c>
    </row>
    <row r="369" spans="1:7">
      <c r="A369" t="s">
        <v>6380</v>
      </c>
      <c r="B369" t="s">
        <v>6381</v>
      </c>
      <c r="C369">
        <v>4</v>
      </c>
      <c r="F369">
        <v>4024</v>
      </c>
      <c r="G369" t="s">
        <v>6430</v>
      </c>
    </row>
    <row r="370" spans="1:7">
      <c r="A370" t="s">
        <v>6380</v>
      </c>
      <c r="B370" t="s">
        <v>6381</v>
      </c>
      <c r="C370">
        <v>5</v>
      </c>
      <c r="F370">
        <v>6642</v>
      </c>
      <c r="G370" t="s">
        <v>6430</v>
      </c>
    </row>
    <row r="371" spans="1:7">
      <c r="A371" t="s">
        <v>6380</v>
      </c>
      <c r="B371" t="s">
        <v>6381</v>
      </c>
      <c r="C371">
        <v>6</v>
      </c>
      <c r="F371">
        <v>9780</v>
      </c>
      <c r="G371" t="s">
        <v>6430</v>
      </c>
    </row>
    <row r="372" spans="1:7">
      <c r="A372" t="s">
        <v>6380</v>
      </c>
      <c r="B372" t="s">
        <v>6381</v>
      </c>
      <c r="C372">
        <v>7</v>
      </c>
      <c r="F372">
        <v>18840</v>
      </c>
      <c r="G372" t="s">
        <v>6430</v>
      </c>
    </row>
    <row r="373" spans="1:7">
      <c r="A373" t="s">
        <v>6383</v>
      </c>
      <c r="B373" t="s">
        <v>6384</v>
      </c>
      <c r="C373">
        <v>1</v>
      </c>
      <c r="F373">
        <v>705</v>
      </c>
      <c r="G373" t="s">
        <v>6430</v>
      </c>
    </row>
    <row r="374" spans="1:7">
      <c r="A374" t="s">
        <v>6383</v>
      </c>
      <c r="B374" t="s">
        <v>6384</v>
      </c>
      <c r="C374">
        <v>2</v>
      </c>
      <c r="F374">
        <v>1475</v>
      </c>
      <c r="G374" t="s">
        <v>6430</v>
      </c>
    </row>
    <row r="375" spans="1:7">
      <c r="A375" t="s">
        <v>6383</v>
      </c>
      <c r="B375" t="s">
        <v>6384</v>
      </c>
      <c r="C375">
        <v>3</v>
      </c>
      <c r="F375">
        <v>2618</v>
      </c>
      <c r="G375" t="s">
        <v>6430</v>
      </c>
    </row>
    <row r="376" spans="1:7">
      <c r="A376" t="s">
        <v>6383</v>
      </c>
      <c r="B376" t="s">
        <v>6384</v>
      </c>
      <c r="C376">
        <v>4</v>
      </c>
      <c r="F376">
        <v>4024</v>
      </c>
      <c r="G376" t="s">
        <v>6430</v>
      </c>
    </row>
    <row r="377" spans="1:7">
      <c r="A377" t="s">
        <v>6383</v>
      </c>
      <c r="B377" t="s">
        <v>6384</v>
      </c>
      <c r="C377">
        <v>5</v>
      </c>
      <c r="F377">
        <v>6642</v>
      </c>
      <c r="G377" t="s">
        <v>6430</v>
      </c>
    </row>
    <row r="378" spans="1:7">
      <c r="A378" t="s">
        <v>6383</v>
      </c>
      <c r="B378" t="s">
        <v>6384</v>
      </c>
      <c r="C378">
        <v>6</v>
      </c>
      <c r="F378">
        <v>9780</v>
      </c>
      <c r="G378" t="s">
        <v>6430</v>
      </c>
    </row>
    <row r="379" spans="1:7">
      <c r="A379" t="s">
        <v>6383</v>
      </c>
      <c r="B379" t="s">
        <v>6384</v>
      </c>
      <c r="C379">
        <v>7</v>
      </c>
      <c r="F379">
        <v>18840</v>
      </c>
      <c r="G379" t="s">
        <v>6430</v>
      </c>
    </row>
    <row r="380" spans="1:7">
      <c r="A380" t="s">
        <v>6386</v>
      </c>
      <c r="B380" t="s">
        <v>6387</v>
      </c>
      <c r="C380">
        <v>1</v>
      </c>
      <c r="F380">
        <v>705</v>
      </c>
      <c r="G380" t="s">
        <v>6430</v>
      </c>
    </row>
    <row r="381" spans="1:7">
      <c r="A381" t="s">
        <v>6386</v>
      </c>
      <c r="B381" t="s">
        <v>6387</v>
      </c>
      <c r="C381">
        <v>2</v>
      </c>
      <c r="F381">
        <v>1475</v>
      </c>
      <c r="G381" t="s">
        <v>6430</v>
      </c>
    </row>
    <row r="382" spans="1:7">
      <c r="A382" t="s">
        <v>6386</v>
      </c>
      <c r="B382" t="s">
        <v>6387</v>
      </c>
      <c r="C382">
        <v>3</v>
      </c>
      <c r="F382">
        <v>2618</v>
      </c>
      <c r="G382" t="s">
        <v>6430</v>
      </c>
    </row>
    <row r="383" spans="1:7">
      <c r="A383" t="s">
        <v>6386</v>
      </c>
      <c r="B383" t="s">
        <v>6387</v>
      </c>
      <c r="C383">
        <v>4</v>
      </c>
      <c r="F383">
        <v>4024</v>
      </c>
      <c r="G383" t="s">
        <v>6430</v>
      </c>
    </row>
    <row r="384" spans="1:7">
      <c r="A384" t="s">
        <v>6386</v>
      </c>
      <c r="B384" t="s">
        <v>6387</v>
      </c>
      <c r="C384">
        <v>5</v>
      </c>
      <c r="F384">
        <v>6642</v>
      </c>
      <c r="G384" t="s">
        <v>6430</v>
      </c>
    </row>
    <row r="385" spans="1:7">
      <c r="A385" t="s">
        <v>6386</v>
      </c>
      <c r="B385" t="s">
        <v>6387</v>
      </c>
      <c r="C385">
        <v>6</v>
      </c>
      <c r="F385">
        <v>9780</v>
      </c>
      <c r="G385" t="s">
        <v>6430</v>
      </c>
    </row>
    <row r="386" spans="1:7">
      <c r="A386" t="s">
        <v>6386</v>
      </c>
      <c r="B386" t="s">
        <v>6387</v>
      </c>
      <c r="C386">
        <v>7</v>
      </c>
      <c r="F386">
        <v>18840</v>
      </c>
      <c r="G386" t="s">
        <v>6430</v>
      </c>
    </row>
    <row r="387" spans="1:7">
      <c r="A387" t="s">
        <v>6389</v>
      </c>
      <c r="B387" t="s">
        <v>6390</v>
      </c>
      <c r="C387">
        <v>1</v>
      </c>
      <c r="F387">
        <v>705</v>
      </c>
      <c r="G387" t="s">
        <v>6430</v>
      </c>
    </row>
    <row r="388" spans="1:7">
      <c r="A388" t="s">
        <v>6389</v>
      </c>
      <c r="B388" t="s">
        <v>6390</v>
      </c>
      <c r="C388">
        <v>2</v>
      </c>
      <c r="F388">
        <v>1475</v>
      </c>
      <c r="G388" t="s">
        <v>6430</v>
      </c>
    </row>
    <row r="389" spans="1:7">
      <c r="A389" t="s">
        <v>6389</v>
      </c>
      <c r="B389" t="s">
        <v>6390</v>
      </c>
      <c r="C389">
        <v>3</v>
      </c>
      <c r="F389">
        <v>2618</v>
      </c>
      <c r="G389" t="s">
        <v>6430</v>
      </c>
    </row>
    <row r="390" spans="1:7">
      <c r="A390" t="s">
        <v>6389</v>
      </c>
      <c r="B390" t="s">
        <v>6390</v>
      </c>
      <c r="C390">
        <v>4</v>
      </c>
      <c r="F390">
        <v>4024</v>
      </c>
      <c r="G390" t="s">
        <v>6430</v>
      </c>
    </row>
    <row r="391" spans="1:7">
      <c r="A391" t="s">
        <v>6389</v>
      </c>
      <c r="B391" t="s">
        <v>6390</v>
      </c>
      <c r="C391">
        <v>5</v>
      </c>
      <c r="F391">
        <v>6642</v>
      </c>
      <c r="G391" t="s">
        <v>6430</v>
      </c>
    </row>
    <row r="392" spans="1:7">
      <c r="A392" t="s">
        <v>6389</v>
      </c>
      <c r="B392" t="s">
        <v>6390</v>
      </c>
      <c r="C392">
        <v>6</v>
      </c>
      <c r="F392">
        <v>9780</v>
      </c>
      <c r="G392" t="s">
        <v>6430</v>
      </c>
    </row>
    <row r="393" spans="1:7">
      <c r="A393" t="s">
        <v>6389</v>
      </c>
      <c r="B393" t="s">
        <v>6390</v>
      </c>
      <c r="C393">
        <v>7</v>
      </c>
      <c r="F393">
        <v>18840</v>
      </c>
      <c r="G393" t="s">
        <v>6430</v>
      </c>
    </row>
    <row r="394" spans="1:7">
      <c r="A394" t="s">
        <v>6392</v>
      </c>
      <c r="B394" t="s">
        <v>6393</v>
      </c>
      <c r="C394">
        <v>1</v>
      </c>
      <c r="F394">
        <v>705</v>
      </c>
      <c r="G394" t="s">
        <v>6430</v>
      </c>
    </row>
    <row r="395" spans="1:7">
      <c r="A395" t="s">
        <v>6392</v>
      </c>
      <c r="B395" t="s">
        <v>6393</v>
      </c>
      <c r="C395">
        <v>2</v>
      </c>
      <c r="F395">
        <v>1475</v>
      </c>
      <c r="G395" t="s">
        <v>6430</v>
      </c>
    </row>
    <row r="396" spans="1:7">
      <c r="A396" t="s">
        <v>6392</v>
      </c>
      <c r="B396" t="s">
        <v>6393</v>
      </c>
      <c r="C396">
        <v>3</v>
      </c>
      <c r="F396">
        <v>2618</v>
      </c>
      <c r="G396" t="s">
        <v>6430</v>
      </c>
    </row>
    <row r="397" spans="1:7">
      <c r="A397" t="s">
        <v>6392</v>
      </c>
      <c r="B397" t="s">
        <v>6393</v>
      </c>
      <c r="C397">
        <v>4</v>
      </c>
      <c r="F397">
        <v>4024</v>
      </c>
      <c r="G397" t="s">
        <v>6430</v>
      </c>
    </row>
    <row r="398" spans="1:7">
      <c r="A398" t="s">
        <v>6392</v>
      </c>
      <c r="B398" t="s">
        <v>6393</v>
      </c>
      <c r="C398">
        <v>5</v>
      </c>
      <c r="F398">
        <v>6642</v>
      </c>
      <c r="G398" t="s">
        <v>6430</v>
      </c>
    </row>
    <row r="399" spans="1:7">
      <c r="A399" t="s">
        <v>6392</v>
      </c>
      <c r="B399" t="s">
        <v>6393</v>
      </c>
      <c r="C399">
        <v>6</v>
      </c>
      <c r="F399">
        <v>9780</v>
      </c>
      <c r="G399" t="s">
        <v>6430</v>
      </c>
    </row>
    <row r="400" spans="1:7">
      <c r="A400" t="s">
        <v>6392</v>
      </c>
      <c r="B400" t="s">
        <v>6393</v>
      </c>
      <c r="C400">
        <v>7</v>
      </c>
      <c r="F400">
        <v>18840</v>
      </c>
      <c r="G400" t="s">
        <v>6430</v>
      </c>
    </row>
    <row r="401" spans="1:7">
      <c r="A401" t="s">
        <v>6395</v>
      </c>
      <c r="B401" t="s">
        <v>6396</v>
      </c>
      <c r="C401">
        <v>1</v>
      </c>
      <c r="F401">
        <v>705</v>
      </c>
      <c r="G401">
        <v>5</v>
      </c>
    </row>
    <row r="402" spans="1:7">
      <c r="A402" t="s">
        <v>6395</v>
      </c>
      <c r="B402" t="s">
        <v>6396</v>
      </c>
      <c r="C402">
        <v>2</v>
      </c>
      <c r="F402">
        <v>1408</v>
      </c>
      <c r="G402">
        <v>5</v>
      </c>
    </row>
    <row r="403" spans="1:7">
      <c r="A403" t="s">
        <v>6395</v>
      </c>
      <c r="B403" t="s">
        <v>6396</v>
      </c>
      <c r="C403">
        <v>3</v>
      </c>
      <c r="F403">
        <v>2438</v>
      </c>
      <c r="G403">
        <v>5</v>
      </c>
    </row>
    <row r="404" spans="1:7">
      <c r="A404" t="s">
        <v>6395</v>
      </c>
      <c r="B404" t="s">
        <v>6396</v>
      </c>
      <c r="C404">
        <v>4</v>
      </c>
      <c r="F404">
        <v>3754</v>
      </c>
      <c r="G404">
        <v>5</v>
      </c>
    </row>
    <row r="405" spans="1:7">
      <c r="A405" t="s">
        <v>6395</v>
      </c>
      <c r="B405" t="s">
        <v>6396</v>
      </c>
      <c r="C405">
        <v>5</v>
      </c>
      <c r="F405">
        <v>6282</v>
      </c>
      <c r="G405">
        <v>5</v>
      </c>
    </row>
    <row r="406" spans="1:7">
      <c r="A406" t="s">
        <v>6395</v>
      </c>
      <c r="B406" t="s">
        <v>6396</v>
      </c>
      <c r="C406">
        <v>6</v>
      </c>
      <c r="F406">
        <v>9030</v>
      </c>
      <c r="G406">
        <v>6</v>
      </c>
    </row>
    <row r="407" spans="1:7">
      <c r="A407" t="s">
        <v>6395</v>
      </c>
      <c r="B407" t="s">
        <v>6396</v>
      </c>
      <c r="C407">
        <v>7</v>
      </c>
      <c r="F407">
        <v>15240</v>
      </c>
      <c r="G407">
        <v>7</v>
      </c>
    </row>
    <row r="408" spans="1:7">
      <c r="A408" t="s">
        <v>6398</v>
      </c>
      <c r="B408" t="s">
        <v>6399</v>
      </c>
      <c r="C408">
        <v>1</v>
      </c>
      <c r="F408">
        <v>705</v>
      </c>
      <c r="G408">
        <v>5</v>
      </c>
    </row>
    <row r="409" spans="1:7">
      <c r="A409" t="s">
        <v>6398</v>
      </c>
      <c r="B409" t="s">
        <v>6399</v>
      </c>
      <c r="C409">
        <v>2</v>
      </c>
      <c r="F409">
        <v>1408</v>
      </c>
      <c r="G409">
        <v>5</v>
      </c>
    </row>
    <row r="410" spans="1:7">
      <c r="A410" t="s">
        <v>6398</v>
      </c>
      <c r="B410" t="s">
        <v>6399</v>
      </c>
      <c r="C410">
        <v>3</v>
      </c>
      <c r="F410">
        <v>2438</v>
      </c>
      <c r="G410">
        <v>5</v>
      </c>
    </row>
    <row r="411" spans="1:7">
      <c r="A411" t="s">
        <v>6398</v>
      </c>
      <c r="B411" t="s">
        <v>6399</v>
      </c>
      <c r="C411">
        <v>4</v>
      </c>
      <c r="F411">
        <v>3754</v>
      </c>
      <c r="G411">
        <v>5</v>
      </c>
    </row>
    <row r="412" spans="1:7">
      <c r="A412" t="s">
        <v>6398</v>
      </c>
      <c r="B412" t="s">
        <v>6399</v>
      </c>
      <c r="C412">
        <v>5</v>
      </c>
      <c r="F412">
        <v>6282</v>
      </c>
      <c r="G412">
        <v>5</v>
      </c>
    </row>
    <row r="413" spans="1:7">
      <c r="A413" t="s">
        <v>6398</v>
      </c>
      <c r="B413" t="s">
        <v>6399</v>
      </c>
      <c r="C413">
        <v>6</v>
      </c>
      <c r="F413">
        <v>9030</v>
      </c>
      <c r="G413">
        <v>6</v>
      </c>
    </row>
    <row r="414" spans="1:7">
      <c r="A414" t="s">
        <v>6398</v>
      </c>
      <c r="B414" t="s">
        <v>6399</v>
      </c>
      <c r="C414">
        <v>7</v>
      </c>
      <c r="F414">
        <v>15240</v>
      </c>
      <c r="G414">
        <v>7</v>
      </c>
    </row>
    <row r="415" spans="1:7">
      <c r="A415" t="s">
        <v>6401</v>
      </c>
      <c r="B415" t="s">
        <v>6402</v>
      </c>
      <c r="C415">
        <v>1</v>
      </c>
      <c r="F415">
        <v>705</v>
      </c>
      <c r="G415">
        <v>5</v>
      </c>
    </row>
    <row r="416" spans="1:7">
      <c r="A416" t="s">
        <v>6401</v>
      </c>
      <c r="B416" t="s">
        <v>6402</v>
      </c>
      <c r="C416">
        <v>2</v>
      </c>
      <c r="F416">
        <v>1408</v>
      </c>
      <c r="G416">
        <v>5</v>
      </c>
    </row>
    <row r="417" spans="1:7">
      <c r="A417" t="s">
        <v>6401</v>
      </c>
      <c r="B417" t="s">
        <v>6402</v>
      </c>
      <c r="C417">
        <v>3</v>
      </c>
      <c r="F417">
        <v>2438</v>
      </c>
      <c r="G417">
        <v>5</v>
      </c>
    </row>
    <row r="418" spans="1:7">
      <c r="A418" t="s">
        <v>6401</v>
      </c>
      <c r="B418" t="s">
        <v>6402</v>
      </c>
      <c r="C418">
        <v>4</v>
      </c>
      <c r="F418">
        <v>3754</v>
      </c>
      <c r="G418">
        <v>5</v>
      </c>
    </row>
    <row r="419" spans="1:7">
      <c r="A419" t="s">
        <v>6401</v>
      </c>
      <c r="B419" t="s">
        <v>6402</v>
      </c>
      <c r="C419">
        <v>5</v>
      </c>
      <c r="F419">
        <v>6282</v>
      </c>
      <c r="G419">
        <v>5</v>
      </c>
    </row>
    <row r="420" spans="1:7">
      <c r="A420" t="s">
        <v>6401</v>
      </c>
      <c r="B420" t="s">
        <v>6402</v>
      </c>
      <c r="C420">
        <v>6</v>
      </c>
      <c r="F420">
        <v>9030</v>
      </c>
      <c r="G420">
        <v>6</v>
      </c>
    </row>
    <row r="421" spans="1:7">
      <c r="A421" t="s">
        <v>6401</v>
      </c>
      <c r="B421" t="s">
        <v>6402</v>
      </c>
      <c r="C421">
        <v>7</v>
      </c>
      <c r="F421">
        <v>15240</v>
      </c>
      <c r="G421">
        <v>7</v>
      </c>
    </row>
    <row r="422" spans="1:7">
      <c r="A422" t="s">
        <v>6404</v>
      </c>
      <c r="B422" t="s">
        <v>6405</v>
      </c>
      <c r="C422">
        <v>1</v>
      </c>
      <c r="F422">
        <v>705</v>
      </c>
      <c r="G422">
        <v>5</v>
      </c>
    </row>
    <row r="423" spans="1:7">
      <c r="A423" t="s">
        <v>6404</v>
      </c>
      <c r="B423" t="s">
        <v>6405</v>
      </c>
      <c r="C423">
        <v>2</v>
      </c>
      <c r="F423">
        <v>1408</v>
      </c>
      <c r="G423">
        <v>5</v>
      </c>
    </row>
    <row r="424" spans="1:7">
      <c r="A424" t="s">
        <v>6404</v>
      </c>
      <c r="B424" t="s">
        <v>6405</v>
      </c>
      <c r="C424">
        <v>3</v>
      </c>
      <c r="F424">
        <v>2438</v>
      </c>
      <c r="G424">
        <v>5</v>
      </c>
    </row>
    <row r="425" spans="1:7">
      <c r="A425" t="s">
        <v>6404</v>
      </c>
      <c r="B425" t="s">
        <v>6405</v>
      </c>
      <c r="C425">
        <v>4</v>
      </c>
      <c r="F425">
        <v>3754</v>
      </c>
      <c r="G425">
        <v>5</v>
      </c>
    </row>
    <row r="426" spans="1:7">
      <c r="A426" t="s">
        <v>6404</v>
      </c>
      <c r="B426" t="s">
        <v>6405</v>
      </c>
      <c r="C426">
        <v>5</v>
      </c>
      <c r="F426">
        <v>6282</v>
      </c>
      <c r="G426">
        <v>5</v>
      </c>
    </row>
    <row r="427" spans="1:7">
      <c r="A427" t="s">
        <v>6404</v>
      </c>
      <c r="B427" t="s">
        <v>6405</v>
      </c>
      <c r="C427">
        <v>6</v>
      </c>
      <c r="F427">
        <v>9030</v>
      </c>
      <c r="G427">
        <v>6</v>
      </c>
    </row>
    <row r="428" spans="1:7">
      <c r="A428" t="s">
        <v>6404</v>
      </c>
      <c r="B428" t="s">
        <v>6405</v>
      </c>
      <c r="C428">
        <v>7</v>
      </c>
      <c r="F428">
        <v>15240</v>
      </c>
      <c r="G428">
        <v>7</v>
      </c>
    </row>
    <row r="429" spans="1:7">
      <c r="A429" t="s">
        <v>6407</v>
      </c>
      <c r="B429" t="s">
        <v>6408</v>
      </c>
      <c r="C429">
        <v>1</v>
      </c>
      <c r="F429">
        <v>705</v>
      </c>
      <c r="G429">
        <v>5</v>
      </c>
    </row>
    <row r="430" spans="1:7">
      <c r="A430" t="s">
        <v>6407</v>
      </c>
      <c r="B430" t="s">
        <v>6408</v>
      </c>
      <c r="C430">
        <v>2</v>
      </c>
      <c r="F430">
        <v>1408</v>
      </c>
      <c r="G430">
        <v>5</v>
      </c>
    </row>
    <row r="431" spans="1:7">
      <c r="A431" t="s">
        <v>6407</v>
      </c>
      <c r="B431" t="s">
        <v>6408</v>
      </c>
      <c r="C431">
        <v>3</v>
      </c>
      <c r="F431">
        <v>2438</v>
      </c>
      <c r="G431">
        <v>5</v>
      </c>
    </row>
    <row r="432" spans="1:7">
      <c r="A432" t="s">
        <v>6407</v>
      </c>
      <c r="B432" t="s">
        <v>6408</v>
      </c>
      <c r="C432">
        <v>4</v>
      </c>
      <c r="F432">
        <v>3754</v>
      </c>
      <c r="G432">
        <v>5</v>
      </c>
    </row>
    <row r="433" spans="1:7">
      <c r="A433" t="s">
        <v>6407</v>
      </c>
      <c r="B433" t="s">
        <v>6408</v>
      </c>
      <c r="C433">
        <v>5</v>
      </c>
      <c r="F433">
        <v>6282</v>
      </c>
      <c r="G433">
        <v>5</v>
      </c>
    </row>
    <row r="434" spans="1:7">
      <c r="A434" t="s">
        <v>6407</v>
      </c>
      <c r="B434" t="s">
        <v>6408</v>
      </c>
      <c r="C434">
        <v>6</v>
      </c>
      <c r="F434">
        <v>9030</v>
      </c>
      <c r="G434">
        <v>6</v>
      </c>
    </row>
    <row r="435" spans="1:7">
      <c r="A435" t="s">
        <v>6407</v>
      </c>
      <c r="B435" t="s">
        <v>6408</v>
      </c>
      <c r="C435">
        <v>7</v>
      </c>
      <c r="F435">
        <v>15240</v>
      </c>
      <c r="G435">
        <v>7</v>
      </c>
    </row>
    <row r="436" spans="1:7">
      <c r="A436" t="s">
        <v>6410</v>
      </c>
      <c r="B436" t="s">
        <v>6411</v>
      </c>
      <c r="C436">
        <v>1</v>
      </c>
      <c r="F436">
        <v>705</v>
      </c>
      <c r="G436">
        <v>5</v>
      </c>
    </row>
    <row r="437" spans="1:7">
      <c r="A437" t="s">
        <v>6410</v>
      </c>
      <c r="B437" t="s">
        <v>6411</v>
      </c>
      <c r="C437">
        <v>2</v>
      </c>
      <c r="F437">
        <v>1408</v>
      </c>
      <c r="G437">
        <v>5</v>
      </c>
    </row>
    <row r="438" spans="1:7">
      <c r="A438" t="s">
        <v>6410</v>
      </c>
      <c r="B438" t="s">
        <v>6411</v>
      </c>
      <c r="C438">
        <v>3</v>
      </c>
      <c r="F438">
        <v>2438</v>
      </c>
      <c r="G438">
        <v>5</v>
      </c>
    </row>
    <row r="439" spans="1:7">
      <c r="A439" t="s">
        <v>6410</v>
      </c>
      <c r="B439" t="s">
        <v>6411</v>
      </c>
      <c r="C439">
        <v>4</v>
      </c>
      <c r="F439">
        <v>3754</v>
      </c>
      <c r="G439">
        <v>5</v>
      </c>
    </row>
    <row r="440" spans="1:7">
      <c r="A440" t="s">
        <v>6410</v>
      </c>
      <c r="B440" t="s">
        <v>6411</v>
      </c>
      <c r="C440">
        <v>5</v>
      </c>
      <c r="F440">
        <v>6282</v>
      </c>
      <c r="G440">
        <v>5</v>
      </c>
    </row>
    <row r="441" spans="1:7">
      <c r="A441" t="s">
        <v>6410</v>
      </c>
      <c r="B441" t="s">
        <v>6411</v>
      </c>
      <c r="C441">
        <v>6</v>
      </c>
      <c r="F441">
        <v>9030</v>
      </c>
      <c r="G441">
        <v>6</v>
      </c>
    </row>
    <row r="442" spans="1:7">
      <c r="A442" t="s">
        <v>6410</v>
      </c>
      <c r="B442" t="s">
        <v>6411</v>
      </c>
      <c r="C442">
        <v>7</v>
      </c>
      <c r="F442">
        <v>15240</v>
      </c>
      <c r="G442">
        <v>7</v>
      </c>
    </row>
    <row r="443" spans="1:7">
      <c r="A443" t="s">
        <v>6413</v>
      </c>
      <c r="B443" t="s">
        <v>6414</v>
      </c>
      <c r="C443">
        <v>1</v>
      </c>
      <c r="F443">
        <v>705</v>
      </c>
      <c r="G443">
        <v>5</v>
      </c>
    </row>
    <row r="444" spans="1:7">
      <c r="A444" t="s">
        <v>6413</v>
      </c>
      <c r="B444" t="s">
        <v>6414</v>
      </c>
      <c r="C444">
        <v>2</v>
      </c>
      <c r="F444">
        <v>1408</v>
      </c>
      <c r="G444">
        <v>5</v>
      </c>
    </row>
    <row r="445" spans="1:7">
      <c r="A445" t="s">
        <v>6413</v>
      </c>
      <c r="B445" t="s">
        <v>6414</v>
      </c>
      <c r="C445">
        <v>3</v>
      </c>
      <c r="F445">
        <v>2438</v>
      </c>
      <c r="G445">
        <v>5</v>
      </c>
    </row>
    <row r="446" spans="1:7">
      <c r="A446" t="s">
        <v>6413</v>
      </c>
      <c r="B446" t="s">
        <v>6414</v>
      </c>
      <c r="C446">
        <v>4</v>
      </c>
      <c r="F446">
        <v>3754</v>
      </c>
      <c r="G446">
        <v>5</v>
      </c>
    </row>
    <row r="447" spans="1:7">
      <c r="A447" t="s">
        <v>6413</v>
      </c>
      <c r="B447" t="s">
        <v>6414</v>
      </c>
      <c r="C447">
        <v>5</v>
      </c>
      <c r="F447">
        <v>6282</v>
      </c>
      <c r="G447">
        <v>5</v>
      </c>
    </row>
    <row r="448" spans="1:7">
      <c r="A448" t="s">
        <v>6413</v>
      </c>
      <c r="B448" t="s">
        <v>6414</v>
      </c>
      <c r="C448">
        <v>6</v>
      </c>
      <c r="F448">
        <v>9030</v>
      </c>
      <c r="G448">
        <v>6</v>
      </c>
    </row>
    <row r="449" spans="1:7">
      <c r="A449" t="s">
        <v>6413</v>
      </c>
      <c r="B449" t="s">
        <v>6414</v>
      </c>
      <c r="C449">
        <v>7</v>
      </c>
      <c r="F449">
        <v>15240</v>
      </c>
      <c r="G449">
        <v>7</v>
      </c>
    </row>
    <row r="450" spans="1:7">
      <c r="A450" t="s">
        <v>6416</v>
      </c>
      <c r="B450" t="s">
        <v>6417</v>
      </c>
      <c r="C450">
        <v>1</v>
      </c>
      <c r="F450">
        <v>705</v>
      </c>
      <c r="G450">
        <v>5</v>
      </c>
    </row>
    <row r="451" spans="1:7">
      <c r="A451" t="s">
        <v>6416</v>
      </c>
      <c r="B451" t="s">
        <v>6417</v>
      </c>
      <c r="C451">
        <v>2</v>
      </c>
      <c r="F451">
        <v>1408</v>
      </c>
      <c r="G451">
        <v>5</v>
      </c>
    </row>
    <row r="452" spans="1:7">
      <c r="A452" t="s">
        <v>6416</v>
      </c>
      <c r="B452" t="s">
        <v>6417</v>
      </c>
      <c r="C452">
        <v>3</v>
      </c>
      <c r="F452">
        <v>2438</v>
      </c>
      <c r="G452">
        <v>5</v>
      </c>
    </row>
    <row r="453" spans="1:7">
      <c r="A453" t="s">
        <v>6416</v>
      </c>
      <c r="B453" t="s">
        <v>6417</v>
      </c>
      <c r="C453">
        <v>4</v>
      </c>
      <c r="F453">
        <v>3754</v>
      </c>
      <c r="G453">
        <v>5</v>
      </c>
    </row>
    <row r="454" spans="1:7">
      <c r="A454" t="s">
        <v>6416</v>
      </c>
      <c r="B454" t="s">
        <v>6417</v>
      </c>
      <c r="C454">
        <v>5</v>
      </c>
      <c r="F454">
        <v>6282</v>
      </c>
      <c r="G454">
        <v>5</v>
      </c>
    </row>
    <row r="455" spans="1:7">
      <c r="A455" t="s">
        <v>6416</v>
      </c>
      <c r="B455" t="s">
        <v>6417</v>
      </c>
      <c r="C455">
        <v>6</v>
      </c>
      <c r="F455">
        <v>9030</v>
      </c>
      <c r="G455">
        <v>6</v>
      </c>
    </row>
    <row r="456" spans="1:7">
      <c r="A456" t="s">
        <v>6416</v>
      </c>
      <c r="B456" t="s">
        <v>6417</v>
      </c>
      <c r="C456">
        <v>7</v>
      </c>
      <c r="F456">
        <v>15240</v>
      </c>
      <c r="G456">
        <v>7</v>
      </c>
    </row>
    <row r="457" spans="1:7">
      <c r="A457" t="s">
        <v>6419</v>
      </c>
      <c r="B457" t="s">
        <v>6420</v>
      </c>
      <c r="C457">
        <v>1</v>
      </c>
      <c r="F457">
        <v>705</v>
      </c>
      <c r="G457">
        <v>5</v>
      </c>
    </row>
    <row r="458" spans="1:7">
      <c r="A458" t="s">
        <v>6419</v>
      </c>
      <c r="B458" t="s">
        <v>6420</v>
      </c>
      <c r="C458">
        <v>2</v>
      </c>
      <c r="F458">
        <v>1408</v>
      </c>
      <c r="G458">
        <v>5</v>
      </c>
    </row>
    <row r="459" spans="1:7">
      <c r="A459" t="s">
        <v>6419</v>
      </c>
      <c r="B459" t="s">
        <v>6420</v>
      </c>
      <c r="C459">
        <v>3</v>
      </c>
      <c r="F459">
        <v>2438</v>
      </c>
      <c r="G459">
        <v>5</v>
      </c>
    </row>
    <row r="460" spans="1:7">
      <c r="A460" t="s">
        <v>6419</v>
      </c>
      <c r="B460" t="s">
        <v>6420</v>
      </c>
      <c r="C460">
        <v>4</v>
      </c>
      <c r="F460">
        <v>3754</v>
      </c>
      <c r="G460">
        <v>5</v>
      </c>
    </row>
    <row r="461" spans="1:7">
      <c r="A461" t="s">
        <v>6419</v>
      </c>
      <c r="B461" t="s">
        <v>6420</v>
      </c>
      <c r="C461">
        <v>5</v>
      </c>
      <c r="F461">
        <v>6282</v>
      </c>
      <c r="G461">
        <v>5</v>
      </c>
    </row>
    <row r="462" spans="1:7">
      <c r="A462" t="s">
        <v>6419</v>
      </c>
      <c r="B462" t="s">
        <v>6420</v>
      </c>
      <c r="C462">
        <v>6</v>
      </c>
      <c r="F462">
        <v>9030</v>
      </c>
      <c r="G462">
        <v>6</v>
      </c>
    </row>
    <row r="463" spans="1:7">
      <c r="A463" t="s">
        <v>6419</v>
      </c>
      <c r="B463" t="s">
        <v>6420</v>
      </c>
      <c r="C463">
        <v>7</v>
      </c>
      <c r="F463">
        <v>15240</v>
      </c>
      <c r="G463">
        <v>7</v>
      </c>
    </row>
    <row r="464" spans="1:7">
      <c r="A464" t="s">
        <v>6422</v>
      </c>
      <c r="B464" t="s">
        <v>6423</v>
      </c>
      <c r="C464">
        <v>1</v>
      </c>
      <c r="F464">
        <v>705</v>
      </c>
      <c r="G464">
        <v>5</v>
      </c>
    </row>
    <row r="465" spans="1:7">
      <c r="A465" t="s">
        <v>6422</v>
      </c>
      <c r="B465" t="s">
        <v>6423</v>
      </c>
      <c r="C465">
        <v>2</v>
      </c>
      <c r="F465">
        <v>1408</v>
      </c>
      <c r="G465">
        <v>5</v>
      </c>
    </row>
    <row r="466" spans="1:7">
      <c r="A466" t="s">
        <v>6422</v>
      </c>
      <c r="B466" t="s">
        <v>6423</v>
      </c>
      <c r="C466">
        <v>3</v>
      </c>
      <c r="F466">
        <v>2438</v>
      </c>
      <c r="G466">
        <v>5</v>
      </c>
    </row>
    <row r="467" spans="1:7">
      <c r="A467" t="s">
        <v>6422</v>
      </c>
      <c r="B467" t="s">
        <v>6423</v>
      </c>
      <c r="C467">
        <v>4</v>
      </c>
      <c r="F467">
        <v>3754</v>
      </c>
      <c r="G467">
        <v>5</v>
      </c>
    </row>
    <row r="468" spans="1:7">
      <c r="A468" t="s">
        <v>6422</v>
      </c>
      <c r="B468" t="s">
        <v>6423</v>
      </c>
      <c r="C468">
        <v>5</v>
      </c>
      <c r="F468">
        <v>6282</v>
      </c>
      <c r="G468">
        <v>5</v>
      </c>
    </row>
    <row r="469" spans="1:7">
      <c r="A469" t="s">
        <v>6422</v>
      </c>
      <c r="B469" t="s">
        <v>6423</v>
      </c>
      <c r="C469">
        <v>6</v>
      </c>
      <c r="F469">
        <v>9030</v>
      </c>
      <c r="G469">
        <v>6</v>
      </c>
    </row>
    <row r="470" spans="1:7">
      <c r="A470" t="s">
        <v>6422</v>
      </c>
      <c r="B470" t="s">
        <v>6423</v>
      </c>
      <c r="C470">
        <v>7</v>
      </c>
      <c r="F470">
        <v>15240</v>
      </c>
      <c r="G470">
        <v>7</v>
      </c>
    </row>
  </sheetData>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6"/>
  <sheetViews>
    <sheetView workbookViewId="0"/>
  </sheetViews>
  <sheetFormatPr baseColWidth="10" defaultColWidth="9.140625" defaultRowHeight="15"/>
  <sheetData>
    <row r="1" spans="1:3">
      <c r="A1" t="s">
        <v>1</v>
      </c>
      <c r="B1" t="s">
        <v>6431</v>
      </c>
      <c r="C1" t="s">
        <v>6432</v>
      </c>
    </row>
    <row r="2" spans="1:3">
      <c r="A2" t="s">
        <v>6433</v>
      </c>
      <c r="B2" t="s">
        <v>6434</v>
      </c>
      <c r="C2">
        <v>0.5</v>
      </c>
    </row>
    <row r="3" spans="1:3">
      <c r="A3" t="s">
        <v>6433</v>
      </c>
      <c r="B3" t="s">
        <v>6435</v>
      </c>
      <c r="C3">
        <v>0.75</v>
      </c>
    </row>
    <row r="4" spans="1:3">
      <c r="A4" t="s">
        <v>6433</v>
      </c>
      <c r="B4" t="s">
        <v>6436</v>
      </c>
      <c r="C4">
        <v>1</v>
      </c>
    </row>
    <row r="5" spans="1:3">
      <c r="A5" t="s">
        <v>6433</v>
      </c>
      <c r="B5" t="s">
        <v>6437</v>
      </c>
      <c r="C5">
        <v>1.5</v>
      </c>
    </row>
    <row r="6" spans="1:3">
      <c r="A6" t="s">
        <v>6433</v>
      </c>
      <c r="B6" t="s">
        <v>6438</v>
      </c>
      <c r="C6">
        <v>2</v>
      </c>
    </row>
    <row r="7" spans="1:3">
      <c r="A7" t="s">
        <v>6439</v>
      </c>
      <c r="B7" t="s">
        <v>6440</v>
      </c>
      <c r="C7">
        <v>0</v>
      </c>
    </row>
    <row r="8" spans="1:3">
      <c r="A8" t="s">
        <v>6439</v>
      </c>
      <c r="B8" t="s">
        <v>6441</v>
      </c>
      <c r="C8">
        <v>0.4</v>
      </c>
    </row>
    <row r="9" spans="1:3">
      <c r="A9" t="s">
        <v>6439</v>
      </c>
      <c r="B9" t="s">
        <v>6442</v>
      </c>
      <c r="C9">
        <v>0.7</v>
      </c>
    </row>
    <row r="10" spans="1:3">
      <c r="A10" t="s">
        <v>6439</v>
      </c>
      <c r="B10" t="s">
        <v>6443</v>
      </c>
      <c r="C10">
        <v>1</v>
      </c>
    </row>
    <row r="11" spans="1:3">
      <c r="A11" t="s">
        <v>6439</v>
      </c>
      <c r="B11" t="s">
        <v>6444</v>
      </c>
      <c r="C11">
        <v>1.1000000000000001</v>
      </c>
    </row>
    <row r="12" spans="1:3">
      <c r="A12" t="s">
        <v>6439</v>
      </c>
      <c r="B12" t="s">
        <v>6445</v>
      </c>
      <c r="C12">
        <v>1.25</v>
      </c>
    </row>
    <row r="13" spans="1:3">
      <c r="A13" t="s">
        <v>6439</v>
      </c>
      <c r="B13" t="s">
        <v>6446</v>
      </c>
      <c r="C13">
        <v>1.4</v>
      </c>
    </row>
    <row r="14" spans="1:3">
      <c r="A14" t="s">
        <v>6447</v>
      </c>
      <c r="B14" t="s">
        <v>6448</v>
      </c>
      <c r="C14">
        <v>0.5</v>
      </c>
    </row>
    <row r="15" spans="1:3">
      <c r="A15" t="s">
        <v>6447</v>
      </c>
      <c r="B15" t="s">
        <v>6449</v>
      </c>
      <c r="C15">
        <v>0.8</v>
      </c>
    </row>
    <row r="16" spans="1:3">
      <c r="A16" t="s">
        <v>6447</v>
      </c>
      <c r="B16" t="s">
        <v>6450</v>
      </c>
      <c r="C16">
        <v>1</v>
      </c>
    </row>
    <row r="17" spans="1:3">
      <c r="A17" t="s">
        <v>6447</v>
      </c>
      <c r="B17" t="s">
        <v>6451</v>
      </c>
      <c r="C17">
        <v>1.2</v>
      </c>
    </row>
    <row r="18" spans="1:3">
      <c r="A18" t="s">
        <v>6447</v>
      </c>
      <c r="B18" t="s">
        <v>6452</v>
      </c>
      <c r="C18">
        <v>1.3</v>
      </c>
    </row>
    <row r="19" spans="1:3">
      <c r="A19" t="s">
        <v>6453</v>
      </c>
      <c r="B19" t="s">
        <v>6454</v>
      </c>
      <c r="C19">
        <v>0.05</v>
      </c>
    </row>
    <row r="20" spans="1:3">
      <c r="A20" t="s">
        <v>6453</v>
      </c>
      <c r="B20" t="s">
        <v>6455</v>
      </c>
      <c r="C20">
        <v>0.5</v>
      </c>
    </row>
    <row r="21" spans="1:3">
      <c r="A21" t="s">
        <v>6453</v>
      </c>
      <c r="B21" t="s">
        <v>6456</v>
      </c>
      <c r="C21">
        <v>0.8</v>
      </c>
    </row>
    <row r="22" spans="1:3">
      <c r="A22" t="s">
        <v>6453</v>
      </c>
      <c r="B22" t="s">
        <v>6457</v>
      </c>
      <c r="C22">
        <v>0.5</v>
      </c>
    </row>
    <row r="23" spans="1:3">
      <c r="A23" t="s">
        <v>6453</v>
      </c>
      <c r="B23" t="s">
        <v>6458</v>
      </c>
      <c r="C23">
        <v>0.75</v>
      </c>
    </row>
    <row r="24" spans="1:3">
      <c r="A24" t="s">
        <v>6453</v>
      </c>
      <c r="B24" t="s">
        <v>6459</v>
      </c>
      <c r="C24">
        <v>1</v>
      </c>
    </row>
    <row r="25" spans="1:3">
      <c r="A25" t="s">
        <v>6453</v>
      </c>
      <c r="B25" t="s">
        <v>6460</v>
      </c>
      <c r="C25">
        <v>1.25</v>
      </c>
    </row>
    <row r="26" spans="1:3">
      <c r="A26" t="s">
        <v>6453</v>
      </c>
      <c r="B26" t="s">
        <v>6461</v>
      </c>
      <c r="C26">
        <v>1.5</v>
      </c>
    </row>
    <row r="28" spans="1:3">
      <c r="A28" t="s">
        <v>6462</v>
      </c>
      <c r="B28" t="s">
        <v>6462</v>
      </c>
      <c r="C28" t="s">
        <v>6462</v>
      </c>
    </row>
    <row r="29" spans="1:3">
      <c r="A29" t="s">
        <v>20</v>
      </c>
      <c r="B29" t="s">
        <v>6463</v>
      </c>
      <c r="C29" t="s">
        <v>6464</v>
      </c>
    </row>
    <row r="30" spans="1:3">
      <c r="A30">
        <v>1</v>
      </c>
      <c r="B30" t="s">
        <v>6465</v>
      </c>
      <c r="C30" t="s">
        <v>6466</v>
      </c>
    </row>
    <row r="31" spans="1:3">
      <c r="A31">
        <v>2</v>
      </c>
      <c r="B31" t="s">
        <v>6467</v>
      </c>
      <c r="C31" t="s">
        <v>6468</v>
      </c>
    </row>
    <row r="32" spans="1:3">
      <c r="A32">
        <v>3</v>
      </c>
      <c r="B32" t="s">
        <v>6469</v>
      </c>
      <c r="C32" t="s">
        <v>6470</v>
      </c>
    </row>
    <row r="33" spans="1:3">
      <c r="A33">
        <v>4</v>
      </c>
      <c r="B33" t="s">
        <v>4169</v>
      </c>
      <c r="C33" t="s">
        <v>6471</v>
      </c>
    </row>
    <row r="34" spans="1:3">
      <c r="A34">
        <v>5</v>
      </c>
      <c r="B34" t="s">
        <v>6472</v>
      </c>
      <c r="C34" t="s">
        <v>6473</v>
      </c>
    </row>
    <row r="35" spans="1:3">
      <c r="A35">
        <v>6</v>
      </c>
      <c r="B35" t="s">
        <v>6474</v>
      </c>
      <c r="C35" t="s">
        <v>6475</v>
      </c>
    </row>
    <row r="36" spans="1:3">
      <c r="A36">
        <v>7</v>
      </c>
      <c r="B36" t="s">
        <v>6476</v>
      </c>
      <c r="C36" t="s">
        <v>6477</v>
      </c>
    </row>
  </sheetData>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21"/>
  <sheetViews>
    <sheetView workbookViewId="0"/>
  </sheetViews>
  <sheetFormatPr baseColWidth="10" defaultColWidth="9.140625" defaultRowHeight="15"/>
  <sheetData>
    <row r="1" spans="1:8">
      <c r="A1" t="s">
        <v>6478</v>
      </c>
      <c r="B1" t="s">
        <v>5691</v>
      </c>
      <c r="C1" t="s">
        <v>5791</v>
      </c>
      <c r="D1" t="s">
        <v>6479</v>
      </c>
      <c r="E1" t="s">
        <v>6480</v>
      </c>
      <c r="F1" t="s">
        <v>6481</v>
      </c>
      <c r="G1" t="s">
        <v>5694</v>
      </c>
      <c r="H1" t="s">
        <v>5789</v>
      </c>
    </row>
    <row r="2" spans="1:8">
      <c r="A2" t="s">
        <v>5696</v>
      </c>
      <c r="B2">
        <v>1</v>
      </c>
      <c r="C2">
        <v>1</v>
      </c>
      <c r="D2">
        <v>1</v>
      </c>
      <c r="E2">
        <v>1</v>
      </c>
      <c r="F2">
        <v>1</v>
      </c>
      <c r="G2">
        <v>16</v>
      </c>
      <c r="H2">
        <v>1</v>
      </c>
    </row>
    <row r="3" spans="1:8">
      <c r="A3" t="s">
        <v>5664</v>
      </c>
      <c r="B3">
        <v>1</v>
      </c>
      <c r="C3">
        <v>2</v>
      </c>
      <c r="D3">
        <v>2</v>
      </c>
      <c r="E3">
        <v>1</v>
      </c>
      <c r="F3">
        <v>1</v>
      </c>
      <c r="G3">
        <v>32</v>
      </c>
      <c r="H3">
        <v>1</v>
      </c>
    </row>
    <row r="4" spans="1:8">
      <c r="A4" t="s">
        <v>5697</v>
      </c>
      <c r="B4">
        <v>1</v>
      </c>
      <c r="C4">
        <v>3</v>
      </c>
      <c r="D4">
        <v>3</v>
      </c>
      <c r="E4">
        <v>1</v>
      </c>
      <c r="F4">
        <v>1</v>
      </c>
      <c r="G4">
        <v>48</v>
      </c>
      <c r="H4">
        <v>1</v>
      </c>
    </row>
    <row r="5" spans="1:8">
      <c r="A5" t="s">
        <v>5668</v>
      </c>
      <c r="B5">
        <v>2</v>
      </c>
      <c r="C5">
        <v>3</v>
      </c>
      <c r="D5">
        <v>3</v>
      </c>
      <c r="E5">
        <v>1</v>
      </c>
      <c r="F5">
        <v>1</v>
      </c>
      <c r="G5">
        <v>14</v>
      </c>
      <c r="H5">
        <v>2</v>
      </c>
    </row>
    <row r="6" spans="1:8">
      <c r="A6" t="s">
        <v>5698</v>
      </c>
      <c r="B6">
        <v>2</v>
      </c>
      <c r="C6">
        <v>4</v>
      </c>
      <c r="D6">
        <v>4</v>
      </c>
      <c r="E6">
        <v>1</v>
      </c>
      <c r="F6">
        <v>1</v>
      </c>
      <c r="G6">
        <v>28</v>
      </c>
      <c r="H6">
        <v>2</v>
      </c>
    </row>
    <row r="7" spans="1:8">
      <c r="A7" t="s">
        <v>5699</v>
      </c>
      <c r="B7">
        <v>2</v>
      </c>
      <c r="C7">
        <v>5</v>
      </c>
      <c r="D7">
        <v>5</v>
      </c>
      <c r="E7">
        <v>1</v>
      </c>
      <c r="F7">
        <v>1</v>
      </c>
      <c r="G7">
        <v>48</v>
      </c>
      <c r="H7">
        <v>2</v>
      </c>
    </row>
    <row r="8" spans="1:8">
      <c r="A8" t="s">
        <v>5680</v>
      </c>
      <c r="B8">
        <v>3</v>
      </c>
      <c r="C8">
        <v>4</v>
      </c>
      <c r="D8">
        <v>4</v>
      </c>
      <c r="E8">
        <v>1</v>
      </c>
      <c r="F8">
        <v>1</v>
      </c>
      <c r="G8">
        <v>300</v>
      </c>
      <c r="H8">
        <v>10</v>
      </c>
    </row>
    <row r="9" spans="1:8">
      <c r="A9" t="s">
        <v>5670</v>
      </c>
      <c r="B9">
        <v>3</v>
      </c>
      <c r="C9">
        <v>5</v>
      </c>
      <c r="D9">
        <v>4</v>
      </c>
      <c r="E9">
        <v>2</v>
      </c>
      <c r="F9">
        <v>1</v>
      </c>
      <c r="G9">
        <v>1050</v>
      </c>
      <c r="H9">
        <v>10</v>
      </c>
    </row>
    <row r="10" spans="1:8">
      <c r="A10" t="s">
        <v>5700</v>
      </c>
      <c r="B10">
        <v>3</v>
      </c>
      <c r="C10">
        <v>6</v>
      </c>
      <c r="D10">
        <v>5</v>
      </c>
      <c r="E10">
        <v>1</v>
      </c>
      <c r="F10">
        <v>1</v>
      </c>
      <c r="G10">
        <v>480</v>
      </c>
      <c r="H10">
        <v>15</v>
      </c>
    </row>
    <row r="11" spans="1:8">
      <c r="A11" t="s">
        <v>5701</v>
      </c>
      <c r="B11">
        <v>3</v>
      </c>
      <c r="C11">
        <v>7</v>
      </c>
      <c r="D11">
        <v>5</v>
      </c>
      <c r="E11">
        <v>5</v>
      </c>
      <c r="F11">
        <v>3</v>
      </c>
      <c r="G11">
        <v>1500</v>
      </c>
      <c r="H11">
        <v>10</v>
      </c>
    </row>
    <row r="12" spans="1:8">
      <c r="A12" t="s">
        <v>5702</v>
      </c>
      <c r="B12">
        <v>3</v>
      </c>
      <c r="C12">
        <v>8</v>
      </c>
      <c r="D12">
        <v>6</v>
      </c>
      <c r="E12">
        <v>2</v>
      </c>
      <c r="F12">
        <v>1</v>
      </c>
      <c r="G12">
        <v>1680</v>
      </c>
      <c r="H12">
        <v>15</v>
      </c>
    </row>
    <row r="13" spans="1:8">
      <c r="A13" t="s">
        <v>5703</v>
      </c>
      <c r="B13">
        <v>3</v>
      </c>
      <c r="C13">
        <v>9</v>
      </c>
      <c r="D13">
        <v>6</v>
      </c>
      <c r="E13">
        <v>6</v>
      </c>
      <c r="F13">
        <v>4</v>
      </c>
      <c r="G13">
        <v>2400</v>
      </c>
      <c r="H13">
        <v>15</v>
      </c>
    </row>
    <row r="14" spans="1:8">
      <c r="A14" t="s">
        <v>5704</v>
      </c>
      <c r="B14">
        <v>4</v>
      </c>
      <c r="C14">
        <v>4</v>
      </c>
      <c r="D14">
        <v>4</v>
      </c>
      <c r="E14">
        <v>2</v>
      </c>
      <c r="F14">
        <v>2</v>
      </c>
      <c r="G14">
        <v>130</v>
      </c>
      <c r="H14">
        <v>3</v>
      </c>
    </row>
    <row r="15" spans="1:8">
      <c r="A15" t="s">
        <v>5672</v>
      </c>
      <c r="B15">
        <v>4</v>
      </c>
      <c r="C15">
        <v>5</v>
      </c>
      <c r="D15">
        <v>5</v>
      </c>
      <c r="E15">
        <v>2</v>
      </c>
      <c r="F15">
        <v>2</v>
      </c>
      <c r="G15">
        <v>172</v>
      </c>
      <c r="H15">
        <v>4</v>
      </c>
    </row>
    <row r="16" spans="1:8">
      <c r="A16" t="s">
        <v>5705</v>
      </c>
      <c r="B16">
        <v>4</v>
      </c>
      <c r="C16">
        <v>6</v>
      </c>
      <c r="D16">
        <v>6</v>
      </c>
      <c r="E16">
        <v>1</v>
      </c>
      <c r="F16">
        <v>1</v>
      </c>
      <c r="G16">
        <v>607</v>
      </c>
      <c r="H16">
        <v>7</v>
      </c>
    </row>
    <row r="17" spans="1:8">
      <c r="A17" t="s">
        <v>5706</v>
      </c>
      <c r="B17">
        <v>4</v>
      </c>
      <c r="C17">
        <v>7</v>
      </c>
      <c r="D17">
        <v>7</v>
      </c>
      <c r="E17">
        <v>2</v>
      </c>
      <c r="F17">
        <v>1</v>
      </c>
      <c r="G17">
        <v>2107</v>
      </c>
      <c r="H17">
        <v>7</v>
      </c>
    </row>
    <row r="18" spans="1:8">
      <c r="A18" t="s">
        <v>5707</v>
      </c>
      <c r="B18">
        <v>4</v>
      </c>
      <c r="C18">
        <v>8</v>
      </c>
      <c r="D18">
        <v>8</v>
      </c>
      <c r="E18">
        <v>1</v>
      </c>
      <c r="F18">
        <v>1</v>
      </c>
      <c r="G18">
        <v>907</v>
      </c>
      <c r="H18">
        <v>10</v>
      </c>
    </row>
    <row r="19" spans="1:8">
      <c r="A19" t="s">
        <v>5708</v>
      </c>
      <c r="B19">
        <v>4</v>
      </c>
      <c r="C19">
        <v>9</v>
      </c>
      <c r="D19">
        <v>8</v>
      </c>
      <c r="E19">
        <v>2</v>
      </c>
      <c r="F19">
        <v>1</v>
      </c>
      <c r="G19">
        <v>3157</v>
      </c>
      <c r="H19">
        <v>10</v>
      </c>
    </row>
    <row r="20" spans="1:8">
      <c r="A20" t="s">
        <v>5709</v>
      </c>
      <c r="B20">
        <v>4</v>
      </c>
      <c r="C20">
        <v>10</v>
      </c>
      <c r="D20">
        <v>8</v>
      </c>
      <c r="E20">
        <v>5</v>
      </c>
      <c r="F20">
        <v>3</v>
      </c>
      <c r="G20">
        <v>3007</v>
      </c>
      <c r="H20">
        <v>7</v>
      </c>
    </row>
    <row r="21" spans="1:8">
      <c r="A21" t="s">
        <v>5681</v>
      </c>
      <c r="B21">
        <v>4</v>
      </c>
      <c r="C21">
        <v>12</v>
      </c>
      <c r="D21">
        <v>10</v>
      </c>
      <c r="E21">
        <v>6</v>
      </c>
      <c r="F21">
        <v>4</v>
      </c>
      <c r="G21">
        <v>4507</v>
      </c>
      <c r="H21">
        <v>10</v>
      </c>
    </row>
  </sheetData>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5"/>
  <sheetViews>
    <sheetView workbookViewId="0"/>
  </sheetViews>
  <sheetFormatPr baseColWidth="10" defaultColWidth="9.140625" defaultRowHeight="15"/>
  <sheetData>
    <row r="1" spans="1:6">
      <c r="A1" t="s">
        <v>6482</v>
      </c>
      <c r="B1" t="s">
        <v>5691</v>
      </c>
      <c r="C1" t="s">
        <v>5659</v>
      </c>
      <c r="D1" t="s">
        <v>5660</v>
      </c>
      <c r="E1" t="s">
        <v>6480</v>
      </c>
      <c r="F1" t="s">
        <v>6481</v>
      </c>
    </row>
    <row r="2" spans="1:6">
      <c r="A2" t="s">
        <v>6483</v>
      </c>
      <c r="B2">
        <v>5</v>
      </c>
      <c r="C2">
        <v>3</v>
      </c>
      <c r="D2">
        <v>2</v>
      </c>
      <c r="E2">
        <v>6</v>
      </c>
      <c r="F2">
        <v>6</v>
      </c>
    </row>
    <row r="3" spans="1:6">
      <c r="A3" t="s">
        <v>6484</v>
      </c>
      <c r="B3">
        <v>5</v>
      </c>
      <c r="C3">
        <v>5</v>
      </c>
      <c r="D3">
        <v>4</v>
      </c>
      <c r="E3">
        <v>6</v>
      </c>
      <c r="F3">
        <v>6</v>
      </c>
    </row>
    <row r="4" spans="1:6">
      <c r="A4" t="s">
        <v>6485</v>
      </c>
      <c r="B4">
        <v>5</v>
      </c>
      <c r="C4">
        <v>7</v>
      </c>
      <c r="D4">
        <v>6</v>
      </c>
      <c r="E4">
        <v>6</v>
      </c>
      <c r="F4">
        <v>6</v>
      </c>
    </row>
    <row r="5" spans="1:6">
      <c r="A5" t="s">
        <v>6486</v>
      </c>
      <c r="B5">
        <v>5</v>
      </c>
      <c r="C5">
        <v>0</v>
      </c>
      <c r="D5">
        <v>0</v>
      </c>
      <c r="E5">
        <v>7</v>
      </c>
      <c r="F5">
        <v>7</v>
      </c>
    </row>
  </sheetData>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
  <sheetViews>
    <sheetView workbookViewId="0"/>
  </sheetViews>
  <sheetFormatPr baseColWidth="10" defaultColWidth="9.140625" defaultRowHeight="15"/>
  <sheetData>
    <row r="1" spans="1:6">
      <c r="A1" t="s">
        <v>5657</v>
      </c>
      <c r="B1" t="s">
        <v>6179</v>
      </c>
      <c r="C1" t="s">
        <v>6487</v>
      </c>
      <c r="D1" t="s">
        <v>6480</v>
      </c>
      <c r="E1" t="s">
        <v>6481</v>
      </c>
      <c r="F1" t="s">
        <v>6488</v>
      </c>
    </row>
    <row r="2" spans="1:6">
      <c r="A2" t="s">
        <v>5679</v>
      </c>
      <c r="D2">
        <v>1</v>
      </c>
      <c r="E2">
        <v>1</v>
      </c>
      <c r="F2">
        <v>6</v>
      </c>
    </row>
    <row r="3" spans="1:6">
      <c r="A3" t="s">
        <v>5665</v>
      </c>
      <c r="B3">
        <v>1</v>
      </c>
      <c r="D3">
        <v>3</v>
      </c>
      <c r="E3">
        <v>2</v>
      </c>
      <c r="F3">
        <v>65</v>
      </c>
    </row>
    <row r="4" spans="1:6">
      <c r="A4" t="s">
        <v>5677</v>
      </c>
      <c r="B4">
        <v>2</v>
      </c>
      <c r="D4">
        <v>5</v>
      </c>
      <c r="E4">
        <v>3</v>
      </c>
      <c r="F4">
        <v>71</v>
      </c>
    </row>
    <row r="5" spans="1:6">
      <c r="A5" t="s">
        <v>5682</v>
      </c>
      <c r="B5">
        <v>2</v>
      </c>
      <c r="C5">
        <v>-1</v>
      </c>
      <c r="D5">
        <v>7</v>
      </c>
      <c r="E5">
        <v>7</v>
      </c>
      <c r="F5">
        <v>142</v>
      </c>
    </row>
  </sheetData>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5"/>
  <sheetViews>
    <sheetView workbookViewId="0"/>
  </sheetViews>
  <sheetFormatPr baseColWidth="10" defaultColWidth="9.140625" defaultRowHeight="15"/>
  <sheetData>
    <row r="1" spans="1:6">
      <c r="A1" t="s">
        <v>5658</v>
      </c>
      <c r="B1" t="s">
        <v>6179</v>
      </c>
      <c r="C1" t="s">
        <v>6487</v>
      </c>
      <c r="D1" t="s">
        <v>6480</v>
      </c>
      <c r="E1" t="s">
        <v>6481</v>
      </c>
      <c r="F1" t="s">
        <v>6489</v>
      </c>
    </row>
    <row r="2" spans="1:6">
      <c r="A2" t="s">
        <v>6490</v>
      </c>
      <c r="C2">
        <v>2</v>
      </c>
      <c r="D2">
        <v>1</v>
      </c>
      <c r="E2">
        <v>1</v>
      </c>
      <c r="F2">
        <v>0</v>
      </c>
    </row>
    <row r="3" spans="1:6">
      <c r="A3" t="s">
        <v>6491</v>
      </c>
      <c r="C3">
        <v>0</v>
      </c>
      <c r="D3">
        <v>1</v>
      </c>
      <c r="E3">
        <v>1</v>
      </c>
      <c r="F3">
        <v>0</v>
      </c>
    </row>
    <row r="4" spans="1:6">
      <c r="A4" t="s">
        <v>5666</v>
      </c>
      <c r="C4">
        <v>-1</v>
      </c>
      <c r="D4">
        <v>3</v>
      </c>
      <c r="E4">
        <v>2</v>
      </c>
      <c r="F4">
        <v>2</v>
      </c>
    </row>
    <row r="5" spans="1:6">
      <c r="A5" t="s">
        <v>5678</v>
      </c>
      <c r="C5">
        <v>-2</v>
      </c>
      <c r="D5">
        <v>5</v>
      </c>
      <c r="E5">
        <v>3</v>
      </c>
      <c r="F5">
        <v>4</v>
      </c>
    </row>
  </sheetData>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39"/>
  <sheetViews>
    <sheetView workbookViewId="0"/>
  </sheetViews>
  <sheetFormatPr baseColWidth="10" defaultColWidth="9.140625" defaultRowHeight="15"/>
  <sheetData>
    <row r="1" spans="1:10">
      <c r="A1" t="s">
        <v>6492</v>
      </c>
      <c r="B1" t="s">
        <v>6</v>
      </c>
      <c r="C1" t="s">
        <v>6493</v>
      </c>
      <c r="D1" t="s">
        <v>6494</v>
      </c>
      <c r="E1" t="s">
        <v>6495</v>
      </c>
      <c r="F1" t="s">
        <v>6496</v>
      </c>
      <c r="G1" t="s">
        <v>6497</v>
      </c>
      <c r="H1" t="s">
        <v>6498</v>
      </c>
      <c r="I1" t="s">
        <v>6499</v>
      </c>
      <c r="J1" t="s">
        <v>6500</v>
      </c>
    </row>
    <row r="2" spans="1:10">
      <c r="A2" t="s">
        <v>6501</v>
      </c>
      <c r="B2" t="s">
        <v>6502</v>
      </c>
      <c r="C2">
        <v>12</v>
      </c>
      <c r="D2">
        <v>0.36691200000000002</v>
      </c>
      <c r="E2">
        <v>3.6690999999999998</v>
      </c>
      <c r="F2">
        <v>18.345600000000001</v>
      </c>
      <c r="G2">
        <v>36.691200000000002</v>
      </c>
      <c r="H2">
        <v>183.45599999999999</v>
      </c>
      <c r="I2">
        <v>366.91199999999998</v>
      </c>
    </row>
    <row r="3" spans="1:10">
      <c r="A3" t="s">
        <v>6501</v>
      </c>
      <c r="B3" t="s">
        <v>6502</v>
      </c>
      <c r="C3">
        <v>13</v>
      </c>
      <c r="D3">
        <v>0.37455600000000006</v>
      </c>
      <c r="E3">
        <v>3.7456</v>
      </c>
      <c r="F3">
        <v>18.727799999999998</v>
      </c>
      <c r="G3">
        <v>37.455599999999997</v>
      </c>
      <c r="H3">
        <v>187.27799999999999</v>
      </c>
      <c r="I3">
        <v>374.55599999999998</v>
      </c>
    </row>
    <row r="4" spans="1:10">
      <c r="A4" t="s">
        <v>6501</v>
      </c>
      <c r="B4" t="s">
        <v>6502</v>
      </c>
      <c r="C4">
        <v>14</v>
      </c>
      <c r="D4">
        <v>0.38220000000000004</v>
      </c>
      <c r="E4">
        <v>3.8220000000000001</v>
      </c>
      <c r="F4">
        <v>19.11</v>
      </c>
      <c r="G4">
        <v>38.22</v>
      </c>
      <c r="H4">
        <v>191.1</v>
      </c>
      <c r="I4">
        <v>382.2</v>
      </c>
    </row>
    <row r="5" spans="1:10">
      <c r="A5" t="s">
        <v>6501</v>
      </c>
      <c r="B5" t="s">
        <v>6502</v>
      </c>
      <c r="C5">
        <v>15</v>
      </c>
      <c r="D5">
        <v>0.38984400000000002</v>
      </c>
      <c r="E5">
        <v>3.8984000000000001</v>
      </c>
      <c r="F5">
        <v>19.4922</v>
      </c>
      <c r="G5">
        <v>38.984400000000001</v>
      </c>
      <c r="H5">
        <v>194.922</v>
      </c>
      <c r="I5">
        <v>389.84399999999999</v>
      </c>
    </row>
    <row r="6" spans="1:10">
      <c r="A6" t="s">
        <v>6501</v>
      </c>
      <c r="B6" t="s">
        <v>6502</v>
      </c>
      <c r="C6">
        <v>16</v>
      </c>
      <c r="D6">
        <v>0.39748800000000006</v>
      </c>
      <c r="E6">
        <v>3.9748999999999999</v>
      </c>
      <c r="F6">
        <v>19.874400000000001</v>
      </c>
      <c r="G6">
        <v>39.748800000000003</v>
      </c>
      <c r="H6">
        <v>198.744</v>
      </c>
      <c r="I6">
        <v>397.488</v>
      </c>
    </row>
    <row r="7" spans="1:10">
      <c r="A7" t="s">
        <v>6501</v>
      </c>
      <c r="B7" t="s">
        <v>6502</v>
      </c>
      <c r="C7">
        <v>17</v>
      </c>
      <c r="D7">
        <v>0.40513200000000005</v>
      </c>
      <c r="E7">
        <v>4.0513000000000003</v>
      </c>
      <c r="F7">
        <v>20.256599999999999</v>
      </c>
      <c r="G7">
        <v>40.513199999999998</v>
      </c>
      <c r="H7">
        <v>202.566</v>
      </c>
      <c r="I7">
        <v>405.13200000000001</v>
      </c>
    </row>
    <row r="8" spans="1:10">
      <c r="A8" t="s">
        <v>6501</v>
      </c>
      <c r="B8" t="s">
        <v>6502</v>
      </c>
      <c r="C8">
        <v>18</v>
      </c>
      <c r="D8">
        <v>0.41277600000000009</v>
      </c>
      <c r="E8">
        <v>4.1277999999999997</v>
      </c>
      <c r="F8">
        <v>20.6388</v>
      </c>
      <c r="G8">
        <v>41.2776</v>
      </c>
      <c r="H8">
        <v>206.38800000000001</v>
      </c>
      <c r="I8">
        <v>412.77600000000001</v>
      </c>
    </row>
    <row r="9" spans="1:10">
      <c r="A9" t="s">
        <v>6501</v>
      </c>
      <c r="B9" t="s">
        <v>6502</v>
      </c>
      <c r="C9">
        <v>19</v>
      </c>
      <c r="D9">
        <v>0.42042000000000007</v>
      </c>
      <c r="E9">
        <v>4.2042000000000002</v>
      </c>
      <c r="F9">
        <v>21.021000000000001</v>
      </c>
      <c r="G9">
        <v>42.042000000000002</v>
      </c>
      <c r="H9">
        <v>210.21</v>
      </c>
      <c r="I9">
        <v>420.42</v>
      </c>
    </row>
    <row r="10" spans="1:10">
      <c r="A10" t="s">
        <v>6501</v>
      </c>
      <c r="B10" t="s">
        <v>6502</v>
      </c>
      <c r="C10">
        <v>20</v>
      </c>
      <c r="D10">
        <v>0.42806400000000011</v>
      </c>
      <c r="E10">
        <v>4.2805999999999997</v>
      </c>
      <c r="F10">
        <v>21.403199999999998</v>
      </c>
      <c r="G10">
        <v>42.806399999999996</v>
      </c>
      <c r="H10">
        <v>214.03200000000001</v>
      </c>
      <c r="I10">
        <v>428.06400000000002</v>
      </c>
    </row>
    <row r="11" spans="1:10">
      <c r="A11" t="s">
        <v>6501</v>
      </c>
      <c r="B11" t="s">
        <v>6502</v>
      </c>
      <c r="C11">
        <v>21</v>
      </c>
      <c r="D11">
        <v>0.43570799999999998</v>
      </c>
      <c r="E11">
        <v>4.3571</v>
      </c>
      <c r="F11">
        <v>21.785399999999999</v>
      </c>
      <c r="G11">
        <v>43.570799999999998</v>
      </c>
      <c r="H11">
        <v>217.85400000000001</v>
      </c>
      <c r="I11">
        <v>435.70800000000003</v>
      </c>
    </row>
    <row r="12" spans="1:10">
      <c r="A12" t="s">
        <v>6501</v>
      </c>
      <c r="B12" t="s">
        <v>6502</v>
      </c>
      <c r="C12">
        <v>22</v>
      </c>
      <c r="D12">
        <v>0.44335200000000002</v>
      </c>
      <c r="E12">
        <v>4.4335000000000004</v>
      </c>
      <c r="F12">
        <v>22.1676</v>
      </c>
      <c r="G12">
        <v>44.3352</v>
      </c>
      <c r="H12">
        <v>221.67599999999999</v>
      </c>
      <c r="I12">
        <v>443.35199999999998</v>
      </c>
    </row>
    <row r="13" spans="1:10">
      <c r="A13" t="s">
        <v>6501</v>
      </c>
      <c r="B13" t="s">
        <v>6502</v>
      </c>
      <c r="C13">
        <v>23</v>
      </c>
      <c r="D13">
        <v>0.45099600000000001</v>
      </c>
      <c r="E13">
        <v>4.51</v>
      </c>
      <c r="F13">
        <v>22.549800000000001</v>
      </c>
      <c r="G13">
        <v>45.099600000000002</v>
      </c>
      <c r="H13">
        <v>225.49799999999999</v>
      </c>
      <c r="I13">
        <v>450.99599999999998</v>
      </c>
    </row>
    <row r="14" spans="1:10">
      <c r="A14" t="s">
        <v>6501</v>
      </c>
      <c r="B14" t="s">
        <v>6503</v>
      </c>
      <c r="C14">
        <v>12</v>
      </c>
      <c r="D14">
        <v>0.40885500000000002</v>
      </c>
      <c r="E14">
        <v>4.0885999999999996</v>
      </c>
      <c r="F14">
        <v>20.442799999999998</v>
      </c>
      <c r="G14">
        <v>40.8855</v>
      </c>
      <c r="H14">
        <v>204.42750000000001</v>
      </c>
      <c r="I14">
        <v>408.85500000000002</v>
      </c>
      <c r="J14" t="s">
        <v>6504</v>
      </c>
    </row>
    <row r="15" spans="1:10">
      <c r="A15" t="s">
        <v>6501</v>
      </c>
      <c r="B15" t="s">
        <v>6503</v>
      </c>
      <c r="C15">
        <v>13</v>
      </c>
      <c r="D15">
        <v>0.41517750000000003</v>
      </c>
      <c r="E15">
        <v>4.1517999999999997</v>
      </c>
      <c r="F15">
        <v>20.758900000000001</v>
      </c>
      <c r="G15">
        <v>41.517800000000001</v>
      </c>
      <c r="H15">
        <v>207.58879999999999</v>
      </c>
      <c r="I15">
        <v>415.17750000000001</v>
      </c>
      <c r="J15" t="s">
        <v>6504</v>
      </c>
    </row>
    <row r="16" spans="1:10">
      <c r="A16" t="s">
        <v>6501</v>
      </c>
      <c r="B16" t="s">
        <v>6503</v>
      </c>
      <c r="C16">
        <v>14</v>
      </c>
      <c r="D16">
        <v>0.42150000000000004</v>
      </c>
      <c r="E16">
        <v>4.2149999999999999</v>
      </c>
      <c r="F16">
        <v>21.074999999999999</v>
      </c>
      <c r="G16">
        <v>42.15</v>
      </c>
      <c r="H16">
        <v>210.75</v>
      </c>
      <c r="I16">
        <v>421.5</v>
      </c>
      <c r="J16" t="s">
        <v>6504</v>
      </c>
    </row>
    <row r="17" spans="1:10">
      <c r="A17" t="s">
        <v>6501</v>
      </c>
      <c r="B17" t="s">
        <v>6503</v>
      </c>
      <c r="C17">
        <v>15</v>
      </c>
      <c r="D17">
        <v>0.42782249999999999</v>
      </c>
      <c r="E17">
        <v>4.2782</v>
      </c>
      <c r="F17">
        <v>21.391100000000002</v>
      </c>
      <c r="G17">
        <v>42.782200000000003</v>
      </c>
      <c r="H17">
        <v>213.91120000000001</v>
      </c>
      <c r="I17">
        <v>427.82249999999999</v>
      </c>
      <c r="J17" t="s">
        <v>6504</v>
      </c>
    </row>
    <row r="18" spans="1:10">
      <c r="A18" t="s">
        <v>6501</v>
      </c>
      <c r="B18" t="s">
        <v>6503</v>
      </c>
      <c r="C18">
        <v>16</v>
      </c>
      <c r="D18">
        <v>0.43414500000000006</v>
      </c>
      <c r="E18">
        <v>4.3414999999999999</v>
      </c>
      <c r="F18">
        <v>21.7073</v>
      </c>
      <c r="G18">
        <v>43.414499999999997</v>
      </c>
      <c r="H18">
        <v>217.07249999999999</v>
      </c>
      <c r="I18">
        <v>434.14499999999998</v>
      </c>
      <c r="J18" t="s">
        <v>6504</v>
      </c>
    </row>
    <row r="19" spans="1:10">
      <c r="A19" t="s">
        <v>6501</v>
      </c>
      <c r="B19" t="s">
        <v>6503</v>
      </c>
      <c r="C19">
        <v>17</v>
      </c>
      <c r="D19">
        <v>0.44046750000000001</v>
      </c>
      <c r="E19">
        <v>4.4047000000000001</v>
      </c>
      <c r="F19">
        <v>22.023399999999999</v>
      </c>
      <c r="G19">
        <v>44.046799999999998</v>
      </c>
      <c r="H19">
        <v>220.2338</v>
      </c>
      <c r="I19">
        <v>440.46749999999997</v>
      </c>
      <c r="J19" t="s">
        <v>6504</v>
      </c>
    </row>
    <row r="20" spans="1:10">
      <c r="A20" t="s">
        <v>6501</v>
      </c>
      <c r="B20" t="s">
        <v>6503</v>
      </c>
      <c r="C20">
        <v>18</v>
      </c>
      <c r="D20">
        <v>0.44679000000000008</v>
      </c>
      <c r="E20">
        <v>4.4679000000000002</v>
      </c>
      <c r="F20">
        <v>22.339500000000001</v>
      </c>
      <c r="G20">
        <v>44.679000000000002</v>
      </c>
      <c r="H20">
        <v>223.39500000000001</v>
      </c>
      <c r="I20">
        <v>446.79</v>
      </c>
      <c r="J20" t="s">
        <v>6504</v>
      </c>
    </row>
    <row r="21" spans="1:10">
      <c r="A21" t="s">
        <v>6501</v>
      </c>
      <c r="B21" t="s">
        <v>6503</v>
      </c>
      <c r="C21">
        <v>19</v>
      </c>
      <c r="D21">
        <v>0.45311250000000003</v>
      </c>
      <c r="E21">
        <v>4.5311000000000003</v>
      </c>
      <c r="F21">
        <v>22.6556</v>
      </c>
      <c r="G21">
        <v>45.311300000000003</v>
      </c>
      <c r="H21">
        <v>226.55629999999999</v>
      </c>
      <c r="I21">
        <v>453.11250000000001</v>
      </c>
      <c r="J21" t="s">
        <v>6504</v>
      </c>
    </row>
    <row r="22" spans="1:10">
      <c r="A22" t="s">
        <v>6501</v>
      </c>
      <c r="B22" t="s">
        <v>6503</v>
      </c>
      <c r="C22">
        <v>20</v>
      </c>
      <c r="D22">
        <v>0.45943500000000009</v>
      </c>
      <c r="E22">
        <v>4.5944000000000003</v>
      </c>
      <c r="F22">
        <v>22.971800000000002</v>
      </c>
      <c r="G22">
        <v>45.9435</v>
      </c>
      <c r="H22">
        <v>229.7175</v>
      </c>
      <c r="I22">
        <v>459.435</v>
      </c>
      <c r="J22" t="s">
        <v>6504</v>
      </c>
    </row>
    <row r="23" spans="1:10">
      <c r="A23" t="s">
        <v>6501</v>
      </c>
      <c r="B23" t="s">
        <v>6503</v>
      </c>
      <c r="C23">
        <v>21</v>
      </c>
      <c r="D23">
        <v>0.46575750000000005</v>
      </c>
      <c r="E23">
        <v>4.6576000000000004</v>
      </c>
      <c r="F23">
        <v>23.2879</v>
      </c>
      <c r="G23">
        <v>46.575800000000001</v>
      </c>
      <c r="H23">
        <v>232.87880000000001</v>
      </c>
      <c r="I23">
        <v>465.75749999999999</v>
      </c>
      <c r="J23" t="s">
        <v>6504</v>
      </c>
    </row>
    <row r="24" spans="1:10">
      <c r="A24" t="s">
        <v>6501</v>
      </c>
      <c r="B24" t="s">
        <v>6503</v>
      </c>
      <c r="C24">
        <v>22</v>
      </c>
      <c r="D24">
        <v>0.47208000000000011</v>
      </c>
      <c r="E24">
        <v>4.7207999999999997</v>
      </c>
      <c r="F24">
        <v>23.603999999999999</v>
      </c>
      <c r="G24">
        <v>47.207999999999998</v>
      </c>
      <c r="H24">
        <v>236.04</v>
      </c>
      <c r="I24">
        <v>472.08</v>
      </c>
      <c r="J24" t="s">
        <v>6504</v>
      </c>
    </row>
    <row r="25" spans="1:10">
      <c r="A25" t="s">
        <v>6501</v>
      </c>
      <c r="B25" t="s">
        <v>6503</v>
      </c>
      <c r="C25">
        <v>23</v>
      </c>
      <c r="D25">
        <v>0.47840250000000006</v>
      </c>
      <c r="E25">
        <v>4.7839999999999998</v>
      </c>
      <c r="F25">
        <v>23.920100000000001</v>
      </c>
      <c r="G25">
        <v>47.840299999999999</v>
      </c>
      <c r="H25">
        <v>239.2013</v>
      </c>
      <c r="I25">
        <v>478.40249999999997</v>
      </c>
      <c r="J25" t="s">
        <v>6504</v>
      </c>
    </row>
    <row r="26" spans="1:10">
      <c r="A26" t="s">
        <v>6505</v>
      </c>
      <c r="B26" t="s">
        <v>6506</v>
      </c>
      <c r="C26">
        <v>16</v>
      </c>
      <c r="D26">
        <v>0.68066666666666675</v>
      </c>
      <c r="E26">
        <v>6.8067000000000002</v>
      </c>
      <c r="F26">
        <v>34.033299999999997</v>
      </c>
      <c r="G26">
        <v>68.066699999999997</v>
      </c>
      <c r="H26">
        <v>340.33330000000001</v>
      </c>
      <c r="I26">
        <v>680.66669999999999</v>
      </c>
    </row>
    <row r="27" spans="1:10">
      <c r="A27" t="s">
        <v>6505</v>
      </c>
      <c r="B27" t="s">
        <v>6506</v>
      </c>
      <c r="C27">
        <v>17</v>
      </c>
      <c r="D27">
        <v>0.70108666666666675</v>
      </c>
      <c r="E27">
        <v>7.0109000000000004</v>
      </c>
      <c r="F27">
        <v>35.054299999999998</v>
      </c>
      <c r="G27">
        <v>70.108699999999999</v>
      </c>
      <c r="H27">
        <v>350.54329999999999</v>
      </c>
      <c r="I27">
        <v>701.08669999999995</v>
      </c>
    </row>
    <row r="28" spans="1:10">
      <c r="A28" t="s">
        <v>6505</v>
      </c>
      <c r="B28" t="s">
        <v>6506</v>
      </c>
      <c r="C28">
        <v>18</v>
      </c>
      <c r="D28">
        <v>0.72150666666666674</v>
      </c>
      <c r="E28">
        <v>7.2150999999999996</v>
      </c>
      <c r="F28">
        <v>36.075299999999999</v>
      </c>
      <c r="G28">
        <v>72.150700000000001</v>
      </c>
      <c r="H28">
        <v>360.75330000000002</v>
      </c>
      <c r="I28">
        <v>721.50670000000002</v>
      </c>
    </row>
    <row r="29" spans="1:10">
      <c r="A29" t="s">
        <v>6505</v>
      </c>
      <c r="B29" t="s">
        <v>6506</v>
      </c>
      <c r="C29">
        <v>19</v>
      </c>
      <c r="D29">
        <v>0.74192666666666685</v>
      </c>
      <c r="E29">
        <v>7.4192999999999998</v>
      </c>
      <c r="F29">
        <v>37.096299999999999</v>
      </c>
      <c r="G29">
        <v>74.192700000000002</v>
      </c>
      <c r="H29">
        <v>370.9633</v>
      </c>
      <c r="I29">
        <v>741.92669999999998</v>
      </c>
    </row>
    <row r="30" spans="1:10">
      <c r="A30" t="s">
        <v>6507</v>
      </c>
      <c r="B30" t="s">
        <v>6508</v>
      </c>
      <c r="C30">
        <v>5</v>
      </c>
      <c r="D30">
        <v>0.40360320000000005</v>
      </c>
      <c r="E30">
        <v>7.8140000000000001</v>
      </c>
      <c r="F30">
        <v>39.07</v>
      </c>
      <c r="G30">
        <v>78.14</v>
      </c>
      <c r="H30">
        <v>390.7</v>
      </c>
      <c r="I30">
        <v>781.4</v>
      </c>
    </row>
    <row r="31" spans="1:10">
      <c r="A31" t="s">
        <v>6507</v>
      </c>
      <c r="B31" t="s">
        <v>6508</v>
      </c>
      <c r="C31">
        <v>6</v>
      </c>
      <c r="D31">
        <v>0.44510400000000006</v>
      </c>
      <c r="E31">
        <v>8.2515999999999998</v>
      </c>
      <c r="F31">
        <v>41.257899999999999</v>
      </c>
      <c r="G31">
        <v>82.515799999999999</v>
      </c>
      <c r="H31">
        <v>412.57920000000001</v>
      </c>
      <c r="I31">
        <v>825.15840000000003</v>
      </c>
    </row>
    <row r="32" spans="1:10">
      <c r="A32" t="s">
        <v>6507</v>
      </c>
      <c r="B32" t="s">
        <v>6508</v>
      </c>
      <c r="C32">
        <v>7</v>
      </c>
      <c r="D32">
        <v>0.71878400000000009</v>
      </c>
      <c r="E32">
        <v>8.6891999999999996</v>
      </c>
      <c r="F32">
        <v>43.445799999999998</v>
      </c>
      <c r="G32">
        <v>86.8917</v>
      </c>
      <c r="H32">
        <v>434.45839999999998</v>
      </c>
      <c r="I32">
        <v>868.91679999999997</v>
      </c>
    </row>
    <row r="33" spans="1:9">
      <c r="A33" t="s">
        <v>6507</v>
      </c>
      <c r="B33" t="s">
        <v>6508</v>
      </c>
      <c r="C33">
        <v>8</v>
      </c>
      <c r="D33">
        <v>0.82515840000000007</v>
      </c>
      <c r="E33">
        <v>9.1267999999999994</v>
      </c>
      <c r="F33">
        <v>45.633800000000001</v>
      </c>
      <c r="G33">
        <v>91.267499999999998</v>
      </c>
      <c r="H33">
        <v>456.33760000000001</v>
      </c>
      <c r="I33">
        <v>912.67520000000002</v>
      </c>
    </row>
    <row r="34" spans="1:9">
      <c r="A34" t="s">
        <v>6507</v>
      </c>
      <c r="B34" t="s">
        <v>6508</v>
      </c>
      <c r="C34">
        <v>9</v>
      </c>
      <c r="D34">
        <v>0.86891680000000004</v>
      </c>
      <c r="E34">
        <v>9.5642999999999994</v>
      </c>
      <c r="F34">
        <v>47.8217</v>
      </c>
      <c r="G34">
        <v>95.6434</v>
      </c>
      <c r="H34">
        <v>478.21679999999998</v>
      </c>
      <c r="I34">
        <v>956.43359999999996</v>
      </c>
    </row>
    <row r="35" spans="1:9">
      <c r="A35" t="s">
        <v>6507</v>
      </c>
      <c r="B35" t="s">
        <v>6508</v>
      </c>
      <c r="C35">
        <v>10</v>
      </c>
      <c r="D35">
        <v>0.91267519999999991</v>
      </c>
      <c r="E35">
        <v>10.001899999999999</v>
      </c>
      <c r="F35">
        <v>50.009599999999999</v>
      </c>
      <c r="G35">
        <v>100.0192</v>
      </c>
      <c r="H35">
        <v>500.096</v>
      </c>
      <c r="I35">
        <v>1000.192</v>
      </c>
    </row>
    <row r="36" spans="1:9">
      <c r="A36" t="s">
        <v>6507</v>
      </c>
      <c r="B36" t="s">
        <v>6508</v>
      </c>
      <c r="C36">
        <v>11</v>
      </c>
      <c r="D36">
        <v>0.95643359999999999</v>
      </c>
    </row>
    <row r="37" spans="1:9">
      <c r="A37" t="s">
        <v>6507</v>
      </c>
      <c r="B37" t="s">
        <v>6508</v>
      </c>
      <c r="C37">
        <v>12</v>
      </c>
      <c r="D37">
        <v>1.000192</v>
      </c>
    </row>
    <row r="38" spans="1:9">
      <c r="A38" t="s">
        <v>6509</v>
      </c>
      <c r="B38" t="s">
        <v>6510</v>
      </c>
      <c r="C38">
        <v>16</v>
      </c>
      <c r="D38">
        <v>6.8838400000000002</v>
      </c>
    </row>
    <row r="39" spans="1:9">
      <c r="A39" t="s">
        <v>6509</v>
      </c>
      <c r="B39" t="s">
        <v>6510</v>
      </c>
      <c r="C39">
        <v>17</v>
      </c>
      <c r="D39">
        <v>6.8838400000000002</v>
      </c>
    </row>
  </sheetData>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7"/>
  <sheetViews>
    <sheetView workbookViewId="0"/>
  </sheetViews>
  <sheetFormatPr baseColWidth="10" defaultColWidth="9.140625" defaultRowHeight="15"/>
  <sheetData>
    <row r="1" spans="1:10">
      <c r="A1" t="s">
        <v>6172</v>
      </c>
      <c r="B1" t="s">
        <v>6511</v>
      </c>
      <c r="C1" t="s">
        <v>6512</v>
      </c>
    </row>
    <row r="2" spans="1:10">
      <c r="A2" t="s">
        <v>6513</v>
      </c>
      <c r="B2">
        <v>32</v>
      </c>
      <c r="C2">
        <v>25.6</v>
      </c>
    </row>
    <row r="3" spans="1:10">
      <c r="A3" t="s">
        <v>6514</v>
      </c>
      <c r="B3">
        <v>12</v>
      </c>
      <c r="C3">
        <v>9.6</v>
      </c>
    </row>
    <row r="4" spans="1:10">
      <c r="A4" t="s">
        <v>6515</v>
      </c>
      <c r="B4">
        <v>85</v>
      </c>
      <c r="C4">
        <v>68</v>
      </c>
    </row>
    <row r="5" spans="1:10">
      <c r="A5" t="s">
        <v>6516</v>
      </c>
      <c r="B5">
        <v>15</v>
      </c>
      <c r="C5">
        <v>12</v>
      </c>
    </row>
    <row r="7" spans="1:10">
      <c r="A7" t="s">
        <v>6517</v>
      </c>
      <c r="B7" t="s">
        <v>6518</v>
      </c>
      <c r="C7" t="s">
        <v>6519</v>
      </c>
    </row>
    <row r="8" spans="1:10">
      <c r="A8" t="s">
        <v>6520</v>
      </c>
      <c r="B8">
        <v>1</v>
      </c>
    </row>
    <row r="9" spans="1:10">
      <c r="A9" t="s">
        <v>6521</v>
      </c>
      <c r="B9">
        <v>1.5</v>
      </c>
    </row>
    <row r="10" spans="1:10">
      <c r="A10" t="s">
        <v>6522</v>
      </c>
      <c r="B10">
        <v>20</v>
      </c>
      <c r="C10" t="s">
        <v>6523</v>
      </c>
    </row>
    <row r="11" spans="1:10">
      <c r="A11" t="s">
        <v>6524</v>
      </c>
      <c r="B11">
        <v>38</v>
      </c>
      <c r="C11" t="s">
        <v>6525</v>
      </c>
    </row>
    <row r="13" spans="1:10">
      <c r="A13" t="s">
        <v>6526</v>
      </c>
      <c r="B13" t="s">
        <v>6527</v>
      </c>
      <c r="C13" t="s">
        <v>6528</v>
      </c>
      <c r="D13" t="s">
        <v>6529</v>
      </c>
      <c r="E13" t="s">
        <v>6530</v>
      </c>
      <c r="F13" t="s">
        <v>6531</v>
      </c>
      <c r="G13" t="s">
        <v>6532</v>
      </c>
      <c r="H13" t="s">
        <v>6533</v>
      </c>
      <c r="I13" t="s">
        <v>6534</v>
      </c>
      <c r="J13" t="s">
        <v>6535</v>
      </c>
    </row>
    <row r="14" spans="1:10">
      <c r="A14" t="s">
        <v>6536</v>
      </c>
      <c r="B14">
        <v>5.0000000000000001E-3</v>
      </c>
      <c r="C14">
        <v>4.0000000000000001E-3</v>
      </c>
      <c r="F14">
        <v>8.9999999999999993E-3</v>
      </c>
      <c r="G14">
        <v>10000</v>
      </c>
      <c r="H14">
        <v>3.8E-3</v>
      </c>
      <c r="I14">
        <v>0.37840000000000001</v>
      </c>
      <c r="J14">
        <v>0.38219999999999998</v>
      </c>
    </row>
    <row r="15" spans="1:10">
      <c r="A15" t="s">
        <v>6503</v>
      </c>
      <c r="B15">
        <v>5.0000000000000001E-3</v>
      </c>
      <c r="C15">
        <v>4.0000000000000001E-3</v>
      </c>
      <c r="D15">
        <v>2E-3</v>
      </c>
      <c r="F15">
        <v>1.0999999999999999E-2</v>
      </c>
      <c r="G15">
        <v>4000</v>
      </c>
      <c r="H15">
        <v>9.4999999999999998E-3</v>
      </c>
      <c r="I15">
        <v>0.41199999999999998</v>
      </c>
      <c r="J15">
        <v>0.42149999999999999</v>
      </c>
    </row>
    <row r="16" spans="1:10">
      <c r="A16" t="s">
        <v>6506</v>
      </c>
      <c r="B16">
        <v>5.0000000000000001E-3</v>
      </c>
      <c r="C16">
        <v>5.0000000000000001E-3</v>
      </c>
      <c r="D16">
        <v>2E-3</v>
      </c>
      <c r="E16">
        <v>0.01</v>
      </c>
      <c r="F16">
        <v>2.1999999999999999E-2</v>
      </c>
      <c r="G16">
        <v>3000</v>
      </c>
      <c r="H16">
        <v>1.2666999999999999E-2</v>
      </c>
      <c r="I16">
        <v>0.66800000000000004</v>
      </c>
      <c r="J16">
        <v>0.68066700000000002</v>
      </c>
    </row>
    <row r="17" spans="1:10">
      <c r="A17" t="s">
        <v>6508</v>
      </c>
      <c r="B17">
        <v>5.0000000000000001E-3</v>
      </c>
      <c r="C17">
        <v>4.0000000000000001E-3</v>
      </c>
      <c r="E17">
        <v>1.4999999999999999E-2</v>
      </c>
      <c r="F17">
        <v>2.4E-2</v>
      </c>
      <c r="G17">
        <v>2000</v>
      </c>
      <c r="H17">
        <v>1.9E-2</v>
      </c>
      <c r="I17">
        <v>0.76239999999999997</v>
      </c>
      <c r="J17">
        <v>0.78139999999999998</v>
      </c>
    </row>
  </sheetData>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42"/>
  <sheetViews>
    <sheetView workbookViewId="0"/>
  </sheetViews>
  <sheetFormatPr baseColWidth="10" defaultColWidth="9.140625" defaultRowHeight="15"/>
  <sheetData>
    <row r="1" spans="1:14">
      <c r="A1" t="s">
        <v>4158</v>
      </c>
      <c r="B1" t="s">
        <v>4147</v>
      </c>
      <c r="C1" t="s">
        <v>6172</v>
      </c>
      <c r="D1" t="s">
        <v>6537</v>
      </c>
      <c r="E1" t="s">
        <v>6538</v>
      </c>
      <c r="F1" t="s">
        <v>5777</v>
      </c>
      <c r="G1" t="s">
        <v>6539</v>
      </c>
      <c r="H1" t="s">
        <v>6540</v>
      </c>
      <c r="I1" t="s">
        <v>6541</v>
      </c>
      <c r="J1" t="s">
        <v>6542</v>
      </c>
      <c r="K1" t="s">
        <v>5661</v>
      </c>
      <c r="L1" t="s">
        <v>6480</v>
      </c>
      <c r="M1" t="s">
        <v>6481</v>
      </c>
      <c r="N1" t="s">
        <v>6543</v>
      </c>
    </row>
    <row r="2" spans="1:14">
      <c r="A2" t="s">
        <v>6544</v>
      </c>
      <c r="B2" t="s">
        <v>6545</v>
      </c>
      <c r="C2" t="s">
        <v>5734</v>
      </c>
      <c r="D2">
        <v>7</v>
      </c>
      <c r="E2" t="s">
        <v>6546</v>
      </c>
      <c r="F2">
        <v>0</v>
      </c>
      <c r="G2" t="s">
        <v>6547</v>
      </c>
      <c r="H2" t="s">
        <v>6548</v>
      </c>
      <c r="I2">
        <v>6</v>
      </c>
      <c r="J2">
        <v>9</v>
      </c>
      <c r="K2">
        <v>1E-3</v>
      </c>
      <c r="L2">
        <v>1</v>
      </c>
      <c r="M2">
        <v>1</v>
      </c>
      <c r="N2">
        <v>1</v>
      </c>
    </row>
    <row r="3" spans="1:14">
      <c r="A3" t="s">
        <v>6549</v>
      </c>
      <c r="B3" t="s">
        <v>4190</v>
      </c>
      <c r="C3" t="s">
        <v>5734</v>
      </c>
      <c r="D3">
        <v>5</v>
      </c>
      <c r="E3" t="s">
        <v>6550</v>
      </c>
      <c r="F3">
        <v>1</v>
      </c>
      <c r="G3" t="s">
        <v>6551</v>
      </c>
      <c r="H3" t="s">
        <v>6548</v>
      </c>
      <c r="I3">
        <v>6</v>
      </c>
      <c r="J3">
        <v>9</v>
      </c>
      <c r="K3">
        <v>50</v>
      </c>
      <c r="L3">
        <v>3</v>
      </c>
      <c r="M3">
        <v>4</v>
      </c>
      <c r="N3">
        <v>1</v>
      </c>
    </row>
    <row r="4" spans="1:14">
      <c r="A4" t="s">
        <v>6552</v>
      </c>
      <c r="B4" t="s">
        <v>4190</v>
      </c>
      <c r="C4" t="s">
        <v>5734</v>
      </c>
      <c r="D4">
        <v>7</v>
      </c>
      <c r="E4" t="s">
        <v>6553</v>
      </c>
      <c r="F4">
        <v>2</v>
      </c>
      <c r="G4" t="s">
        <v>6554</v>
      </c>
      <c r="H4" t="s">
        <v>6555</v>
      </c>
      <c r="I4">
        <v>6</v>
      </c>
      <c r="J4">
        <v>9</v>
      </c>
      <c r="K4">
        <v>60</v>
      </c>
      <c r="L4">
        <v>3</v>
      </c>
      <c r="M4">
        <v>4</v>
      </c>
      <c r="N4">
        <v>1</v>
      </c>
    </row>
    <row r="5" spans="1:14">
      <c r="A5" t="s">
        <v>6556</v>
      </c>
      <c r="B5" t="s">
        <v>4190</v>
      </c>
      <c r="C5" t="s">
        <v>5734</v>
      </c>
      <c r="D5">
        <v>10</v>
      </c>
      <c r="E5" t="s">
        <v>6553</v>
      </c>
      <c r="F5">
        <v>3</v>
      </c>
      <c r="G5" t="s">
        <v>6557</v>
      </c>
      <c r="H5" t="s">
        <v>6558</v>
      </c>
      <c r="I5">
        <v>7</v>
      </c>
      <c r="J5">
        <v>9</v>
      </c>
      <c r="K5">
        <v>100</v>
      </c>
      <c r="L5">
        <v>3</v>
      </c>
      <c r="M5">
        <v>4</v>
      </c>
      <c r="N5">
        <v>1</v>
      </c>
    </row>
    <row r="6" spans="1:14">
      <c r="A6" t="s">
        <v>6559</v>
      </c>
      <c r="B6" t="s">
        <v>4190</v>
      </c>
      <c r="C6" t="s">
        <v>5734</v>
      </c>
      <c r="D6">
        <v>7</v>
      </c>
      <c r="E6" t="s">
        <v>6560</v>
      </c>
      <c r="F6">
        <v>1</v>
      </c>
      <c r="G6" t="s">
        <v>6554</v>
      </c>
      <c r="H6" t="s">
        <v>6561</v>
      </c>
      <c r="I6">
        <v>7</v>
      </c>
      <c r="J6">
        <v>9</v>
      </c>
      <c r="K6">
        <v>55</v>
      </c>
      <c r="L6">
        <v>2</v>
      </c>
      <c r="M6">
        <v>3</v>
      </c>
      <c r="N6">
        <v>1</v>
      </c>
    </row>
    <row r="7" spans="1:14">
      <c r="A7" t="s">
        <v>6562</v>
      </c>
      <c r="B7" t="s">
        <v>1094</v>
      </c>
      <c r="C7" t="s">
        <v>5734</v>
      </c>
      <c r="D7">
        <v>9</v>
      </c>
      <c r="E7" t="s">
        <v>6553</v>
      </c>
      <c r="F7">
        <v>2</v>
      </c>
      <c r="G7" t="s">
        <v>6563</v>
      </c>
      <c r="H7" t="s">
        <v>6561</v>
      </c>
      <c r="I7">
        <v>6</v>
      </c>
      <c r="J7">
        <v>9</v>
      </c>
      <c r="K7">
        <v>1</v>
      </c>
      <c r="L7">
        <v>5</v>
      </c>
      <c r="M7">
        <v>6</v>
      </c>
      <c r="N7">
        <v>1</v>
      </c>
    </row>
    <row r="8" spans="1:14">
      <c r="A8" t="s">
        <v>6556</v>
      </c>
      <c r="B8" t="s">
        <v>1094</v>
      </c>
      <c r="C8" t="s">
        <v>5734</v>
      </c>
      <c r="D8">
        <v>12</v>
      </c>
      <c r="E8" t="s">
        <v>6553</v>
      </c>
      <c r="F8">
        <v>3</v>
      </c>
      <c r="G8" t="s">
        <v>6564</v>
      </c>
      <c r="H8" t="s">
        <v>6565</v>
      </c>
      <c r="I8">
        <v>7</v>
      </c>
      <c r="J8">
        <v>9</v>
      </c>
      <c r="K8">
        <v>2</v>
      </c>
      <c r="L8">
        <v>6</v>
      </c>
      <c r="M8">
        <v>6</v>
      </c>
      <c r="N8">
        <v>4</v>
      </c>
    </row>
    <row r="9" spans="1:14">
      <c r="A9" t="s">
        <v>6566</v>
      </c>
      <c r="B9" t="s">
        <v>1094</v>
      </c>
      <c r="C9" t="s">
        <v>6567</v>
      </c>
      <c r="D9">
        <v>15</v>
      </c>
      <c r="E9" t="s">
        <v>6568</v>
      </c>
      <c r="F9">
        <v>3</v>
      </c>
      <c r="G9" t="s">
        <v>6569</v>
      </c>
      <c r="H9" t="s">
        <v>6570</v>
      </c>
      <c r="I9">
        <v>9</v>
      </c>
      <c r="J9">
        <v>9</v>
      </c>
      <c r="K9">
        <v>1500</v>
      </c>
      <c r="L9">
        <v>6</v>
      </c>
      <c r="M9">
        <v>6</v>
      </c>
      <c r="N9">
        <v>6</v>
      </c>
    </row>
    <row r="10" spans="1:14">
      <c r="A10" t="s">
        <v>6549</v>
      </c>
      <c r="B10" t="s">
        <v>6571</v>
      </c>
      <c r="C10" t="s">
        <v>5734</v>
      </c>
      <c r="D10">
        <v>9</v>
      </c>
      <c r="E10" t="s">
        <v>6550</v>
      </c>
      <c r="F10">
        <v>2</v>
      </c>
      <c r="G10" t="s">
        <v>6572</v>
      </c>
      <c r="H10" t="s">
        <v>6555</v>
      </c>
      <c r="I10">
        <v>6</v>
      </c>
      <c r="J10">
        <v>9</v>
      </c>
      <c r="K10">
        <v>60</v>
      </c>
      <c r="L10">
        <v>6</v>
      </c>
      <c r="M10">
        <v>6</v>
      </c>
      <c r="N10">
        <v>1</v>
      </c>
    </row>
    <row r="11" spans="1:14">
      <c r="A11" t="s">
        <v>6552</v>
      </c>
      <c r="B11" t="s">
        <v>6571</v>
      </c>
      <c r="C11" t="s">
        <v>5734</v>
      </c>
      <c r="D11">
        <v>11</v>
      </c>
      <c r="E11" t="s">
        <v>6553</v>
      </c>
      <c r="F11">
        <v>2</v>
      </c>
      <c r="G11" t="s">
        <v>6573</v>
      </c>
      <c r="H11" t="s">
        <v>6574</v>
      </c>
      <c r="I11">
        <v>6</v>
      </c>
      <c r="J11">
        <v>9</v>
      </c>
      <c r="K11">
        <v>80</v>
      </c>
      <c r="L11">
        <v>6</v>
      </c>
      <c r="M11">
        <v>6</v>
      </c>
      <c r="N11">
        <v>1</v>
      </c>
    </row>
    <row r="12" spans="1:14">
      <c r="A12" t="s">
        <v>6556</v>
      </c>
      <c r="B12" t="s">
        <v>6571</v>
      </c>
      <c r="C12" t="s">
        <v>5734</v>
      </c>
      <c r="D12">
        <v>12</v>
      </c>
      <c r="E12" t="s">
        <v>6553</v>
      </c>
      <c r="F12">
        <v>3</v>
      </c>
      <c r="G12" t="s">
        <v>6557</v>
      </c>
      <c r="H12" t="s">
        <v>6575</v>
      </c>
      <c r="I12">
        <v>7</v>
      </c>
      <c r="J12">
        <v>9</v>
      </c>
      <c r="K12">
        <v>125</v>
      </c>
      <c r="L12">
        <v>6</v>
      </c>
      <c r="M12">
        <v>6</v>
      </c>
      <c r="N12">
        <v>2</v>
      </c>
    </row>
    <row r="13" spans="1:14">
      <c r="A13" t="s">
        <v>6576</v>
      </c>
      <c r="B13" t="s">
        <v>6571</v>
      </c>
      <c r="C13" t="s">
        <v>5734</v>
      </c>
      <c r="D13">
        <v>13</v>
      </c>
      <c r="E13" t="s">
        <v>6553</v>
      </c>
      <c r="F13">
        <v>3</v>
      </c>
      <c r="G13" t="s">
        <v>6577</v>
      </c>
      <c r="H13" t="s">
        <v>6565</v>
      </c>
      <c r="I13">
        <v>6</v>
      </c>
      <c r="J13">
        <v>9</v>
      </c>
      <c r="K13">
        <v>1000</v>
      </c>
      <c r="L13">
        <v>6</v>
      </c>
      <c r="M13">
        <v>6</v>
      </c>
      <c r="N13">
        <v>6</v>
      </c>
    </row>
    <row r="14" spans="1:14">
      <c r="A14" t="s">
        <v>6549</v>
      </c>
      <c r="B14" t="s">
        <v>4174</v>
      </c>
      <c r="C14" t="s">
        <v>5734</v>
      </c>
      <c r="D14">
        <v>9</v>
      </c>
      <c r="E14" t="s">
        <v>6550</v>
      </c>
      <c r="F14">
        <v>2</v>
      </c>
      <c r="G14" t="s">
        <v>6578</v>
      </c>
      <c r="H14" t="s">
        <v>6561</v>
      </c>
      <c r="I14">
        <v>6</v>
      </c>
      <c r="J14">
        <v>9</v>
      </c>
      <c r="K14">
        <v>85</v>
      </c>
      <c r="L14">
        <v>5</v>
      </c>
      <c r="M14">
        <v>3</v>
      </c>
      <c r="N14">
        <v>1</v>
      </c>
    </row>
    <row r="15" spans="1:14">
      <c r="A15" t="s">
        <v>6552</v>
      </c>
      <c r="B15" t="s">
        <v>4174</v>
      </c>
      <c r="C15" t="s">
        <v>5734</v>
      </c>
      <c r="D15">
        <v>11</v>
      </c>
      <c r="E15" t="s">
        <v>6553</v>
      </c>
      <c r="F15">
        <v>2</v>
      </c>
      <c r="G15" t="s">
        <v>6579</v>
      </c>
      <c r="H15" t="s">
        <v>6580</v>
      </c>
      <c r="I15">
        <v>6</v>
      </c>
      <c r="J15">
        <v>9</v>
      </c>
      <c r="K15">
        <v>130</v>
      </c>
      <c r="L15">
        <v>5</v>
      </c>
      <c r="M15">
        <v>3</v>
      </c>
      <c r="N15">
        <v>1</v>
      </c>
    </row>
    <row r="16" spans="1:14">
      <c r="A16" t="s">
        <v>6556</v>
      </c>
      <c r="B16" t="s">
        <v>4174</v>
      </c>
      <c r="C16" t="s">
        <v>5734</v>
      </c>
      <c r="D16">
        <v>12</v>
      </c>
      <c r="E16" t="s">
        <v>6553</v>
      </c>
      <c r="F16">
        <v>2</v>
      </c>
      <c r="G16" t="s">
        <v>6581</v>
      </c>
      <c r="H16" t="s">
        <v>6582</v>
      </c>
      <c r="I16">
        <v>6</v>
      </c>
      <c r="J16">
        <v>9</v>
      </c>
      <c r="K16">
        <v>180</v>
      </c>
      <c r="L16">
        <v>5</v>
      </c>
      <c r="M16">
        <v>3</v>
      </c>
      <c r="N16">
        <v>1</v>
      </c>
    </row>
    <row r="17" spans="1:14">
      <c r="A17" t="s">
        <v>6583</v>
      </c>
      <c r="B17" t="s">
        <v>4174</v>
      </c>
      <c r="C17" t="s">
        <v>6584</v>
      </c>
      <c r="D17">
        <v>12</v>
      </c>
      <c r="E17" t="s">
        <v>6553</v>
      </c>
      <c r="F17">
        <v>2</v>
      </c>
      <c r="G17" t="s">
        <v>6585</v>
      </c>
      <c r="H17" t="s">
        <v>6586</v>
      </c>
      <c r="I17">
        <v>6</v>
      </c>
      <c r="J17">
        <v>9</v>
      </c>
      <c r="K17">
        <v>200</v>
      </c>
      <c r="L17">
        <v>7</v>
      </c>
      <c r="M17">
        <v>5</v>
      </c>
      <c r="N17">
        <v>3</v>
      </c>
    </row>
    <row r="18" spans="1:14">
      <c r="A18" t="s">
        <v>6587</v>
      </c>
      <c r="B18" t="s">
        <v>4174</v>
      </c>
      <c r="C18" t="s">
        <v>6584</v>
      </c>
      <c r="D18">
        <v>13</v>
      </c>
      <c r="E18" t="s">
        <v>6568</v>
      </c>
      <c r="F18">
        <v>2</v>
      </c>
      <c r="G18" t="s">
        <v>6588</v>
      </c>
      <c r="H18" t="s">
        <v>6589</v>
      </c>
      <c r="I18">
        <v>6</v>
      </c>
      <c r="J18">
        <v>9</v>
      </c>
      <c r="K18">
        <v>250</v>
      </c>
      <c r="L18">
        <v>7</v>
      </c>
      <c r="M18">
        <v>5</v>
      </c>
      <c r="N18">
        <v>3</v>
      </c>
    </row>
    <row r="19" spans="1:14">
      <c r="A19" t="s">
        <v>6590</v>
      </c>
      <c r="B19" t="s">
        <v>4174</v>
      </c>
      <c r="C19" t="s">
        <v>6591</v>
      </c>
      <c r="D19">
        <v>12</v>
      </c>
      <c r="E19" t="s">
        <v>6568</v>
      </c>
      <c r="F19">
        <v>3</v>
      </c>
      <c r="G19" t="s">
        <v>6592</v>
      </c>
      <c r="H19" t="s">
        <v>6575</v>
      </c>
      <c r="I19">
        <v>7</v>
      </c>
      <c r="J19">
        <v>9</v>
      </c>
      <c r="K19">
        <v>1500</v>
      </c>
      <c r="L19">
        <v>7</v>
      </c>
      <c r="M19">
        <v>7</v>
      </c>
      <c r="N19">
        <v>6</v>
      </c>
    </row>
    <row r="20" spans="1:14">
      <c r="A20" t="s">
        <v>6549</v>
      </c>
      <c r="B20" t="s">
        <v>4229</v>
      </c>
      <c r="C20" t="s">
        <v>5734</v>
      </c>
      <c r="D20">
        <v>12</v>
      </c>
      <c r="E20" t="s">
        <v>6553</v>
      </c>
      <c r="F20">
        <v>2</v>
      </c>
      <c r="G20" t="s">
        <v>6593</v>
      </c>
      <c r="H20" t="s">
        <v>6548</v>
      </c>
      <c r="I20">
        <v>7</v>
      </c>
      <c r="J20">
        <v>9</v>
      </c>
      <c r="K20">
        <v>60</v>
      </c>
      <c r="L20">
        <v>5</v>
      </c>
      <c r="M20">
        <v>5</v>
      </c>
      <c r="N20">
        <v>4</v>
      </c>
    </row>
    <row r="21" spans="1:14">
      <c r="A21" t="s">
        <v>6552</v>
      </c>
      <c r="B21" t="s">
        <v>4229</v>
      </c>
      <c r="C21" t="s">
        <v>5734</v>
      </c>
      <c r="D21">
        <v>14</v>
      </c>
      <c r="E21" t="s">
        <v>6594</v>
      </c>
      <c r="F21">
        <v>2</v>
      </c>
      <c r="G21" t="s">
        <v>6595</v>
      </c>
      <c r="H21" t="s">
        <v>6586</v>
      </c>
      <c r="I21">
        <v>7</v>
      </c>
      <c r="J21">
        <v>9</v>
      </c>
      <c r="K21">
        <v>80</v>
      </c>
      <c r="L21">
        <v>5</v>
      </c>
      <c r="M21">
        <v>5</v>
      </c>
      <c r="N21">
        <v>4</v>
      </c>
    </row>
    <row r="22" spans="1:14">
      <c r="A22" t="s">
        <v>6556</v>
      </c>
      <c r="B22" t="s">
        <v>4229</v>
      </c>
      <c r="C22" t="s">
        <v>5734</v>
      </c>
      <c r="D22">
        <v>16</v>
      </c>
      <c r="E22" t="s">
        <v>6594</v>
      </c>
      <c r="F22">
        <v>3</v>
      </c>
      <c r="G22" t="s">
        <v>6596</v>
      </c>
      <c r="H22" t="s">
        <v>6558</v>
      </c>
      <c r="I22">
        <v>8</v>
      </c>
      <c r="J22">
        <v>9</v>
      </c>
      <c r="K22">
        <v>125</v>
      </c>
      <c r="L22">
        <v>5</v>
      </c>
      <c r="M22">
        <v>5</v>
      </c>
      <c r="N22">
        <v>4</v>
      </c>
    </row>
    <row r="23" spans="1:14">
      <c r="A23" t="s">
        <v>6597</v>
      </c>
      <c r="B23" t="s">
        <v>4229</v>
      </c>
      <c r="C23" t="s">
        <v>6598</v>
      </c>
      <c r="D23">
        <v>20</v>
      </c>
      <c r="E23" t="s">
        <v>6599</v>
      </c>
      <c r="F23">
        <v>3</v>
      </c>
      <c r="G23" t="s">
        <v>6600</v>
      </c>
      <c r="H23" t="s">
        <v>6555</v>
      </c>
      <c r="I23">
        <v>9</v>
      </c>
      <c r="J23">
        <v>9</v>
      </c>
      <c r="K23">
        <v>250</v>
      </c>
      <c r="L23">
        <v>7</v>
      </c>
      <c r="M23">
        <v>7</v>
      </c>
      <c r="N23">
        <v>5</v>
      </c>
    </row>
    <row r="24" spans="1:14">
      <c r="A24" t="s">
        <v>6583</v>
      </c>
      <c r="B24" t="s">
        <v>4197</v>
      </c>
      <c r="C24" t="s">
        <v>6584</v>
      </c>
      <c r="D24">
        <v>12</v>
      </c>
      <c r="E24" t="s">
        <v>6553</v>
      </c>
      <c r="F24">
        <v>3</v>
      </c>
      <c r="G24" t="s">
        <v>6585</v>
      </c>
      <c r="H24" t="s">
        <v>6586</v>
      </c>
      <c r="I24">
        <v>6</v>
      </c>
      <c r="J24">
        <v>9</v>
      </c>
      <c r="K24">
        <v>200</v>
      </c>
      <c r="L24">
        <v>5</v>
      </c>
      <c r="M24">
        <v>4</v>
      </c>
      <c r="N24">
        <v>3</v>
      </c>
    </row>
    <row r="25" spans="1:14">
      <c r="A25" t="s">
        <v>6587</v>
      </c>
      <c r="B25" t="s">
        <v>4197</v>
      </c>
      <c r="C25" t="s">
        <v>6584</v>
      </c>
      <c r="D25">
        <v>13</v>
      </c>
      <c r="E25" t="s">
        <v>6568</v>
      </c>
      <c r="F25">
        <v>4</v>
      </c>
      <c r="G25" t="s">
        <v>6588</v>
      </c>
      <c r="H25" t="s">
        <v>6589</v>
      </c>
      <c r="I25">
        <v>6</v>
      </c>
      <c r="J25">
        <v>9</v>
      </c>
      <c r="K25">
        <v>250</v>
      </c>
      <c r="L25">
        <v>5</v>
      </c>
      <c r="M25">
        <v>4</v>
      </c>
      <c r="N25">
        <v>3</v>
      </c>
    </row>
    <row r="26" spans="1:14">
      <c r="A26" t="s">
        <v>6601</v>
      </c>
      <c r="B26" t="s">
        <v>4197</v>
      </c>
      <c r="C26" t="s">
        <v>6602</v>
      </c>
      <c r="D26">
        <v>13</v>
      </c>
      <c r="E26" t="s">
        <v>6568</v>
      </c>
      <c r="F26">
        <v>5</v>
      </c>
      <c r="G26" t="s">
        <v>6603</v>
      </c>
      <c r="H26" t="s">
        <v>6565</v>
      </c>
      <c r="I26">
        <v>5</v>
      </c>
      <c r="J26">
        <v>10</v>
      </c>
      <c r="K26">
        <v>10000</v>
      </c>
      <c r="L26">
        <v>7</v>
      </c>
      <c r="M26">
        <v>7</v>
      </c>
      <c r="N26">
        <v>5</v>
      </c>
    </row>
    <row r="27" spans="1:14">
      <c r="A27" t="s">
        <v>6549</v>
      </c>
      <c r="B27" t="s">
        <v>6039</v>
      </c>
      <c r="C27" t="s">
        <v>5734</v>
      </c>
      <c r="D27">
        <v>11</v>
      </c>
      <c r="E27" t="s">
        <v>6550</v>
      </c>
      <c r="F27">
        <v>2</v>
      </c>
      <c r="G27" t="s">
        <v>6572</v>
      </c>
      <c r="H27" t="s">
        <v>6561</v>
      </c>
      <c r="I27">
        <v>6</v>
      </c>
      <c r="J27">
        <v>9</v>
      </c>
      <c r="K27">
        <v>70</v>
      </c>
      <c r="L27">
        <v>7</v>
      </c>
      <c r="M27">
        <v>6</v>
      </c>
      <c r="N27">
        <v>1</v>
      </c>
    </row>
    <row r="28" spans="1:14">
      <c r="A28" t="s">
        <v>6552</v>
      </c>
      <c r="B28" t="s">
        <v>6039</v>
      </c>
      <c r="C28" t="s">
        <v>5734</v>
      </c>
      <c r="D28">
        <v>13</v>
      </c>
      <c r="E28" t="s">
        <v>6553</v>
      </c>
      <c r="F28">
        <v>2</v>
      </c>
      <c r="G28" t="s">
        <v>6573</v>
      </c>
      <c r="H28" t="s">
        <v>6604</v>
      </c>
      <c r="I28">
        <v>6</v>
      </c>
      <c r="J28">
        <v>9</v>
      </c>
      <c r="K28">
        <v>90</v>
      </c>
      <c r="L28">
        <v>7</v>
      </c>
      <c r="M28">
        <v>6</v>
      </c>
      <c r="N28">
        <v>1</v>
      </c>
    </row>
    <row r="29" spans="1:14">
      <c r="A29" t="s">
        <v>6556</v>
      </c>
      <c r="B29" t="s">
        <v>6039</v>
      </c>
      <c r="C29" t="s">
        <v>5734</v>
      </c>
      <c r="D29">
        <v>15</v>
      </c>
      <c r="E29" t="s">
        <v>6553</v>
      </c>
      <c r="F29">
        <v>3</v>
      </c>
      <c r="G29" t="s">
        <v>6557</v>
      </c>
      <c r="H29" t="s">
        <v>6605</v>
      </c>
      <c r="I29">
        <v>7</v>
      </c>
      <c r="J29">
        <v>9</v>
      </c>
      <c r="K29">
        <v>135</v>
      </c>
      <c r="L29">
        <v>7</v>
      </c>
      <c r="M29">
        <v>6</v>
      </c>
      <c r="N29">
        <v>2</v>
      </c>
    </row>
    <row r="30" spans="1:14">
      <c r="A30" t="s">
        <v>6549</v>
      </c>
      <c r="B30" t="s">
        <v>6037</v>
      </c>
      <c r="C30" t="s">
        <v>5734</v>
      </c>
      <c r="D30">
        <v>10</v>
      </c>
      <c r="E30" t="s">
        <v>6606</v>
      </c>
      <c r="F30">
        <v>2</v>
      </c>
      <c r="G30" t="s">
        <v>6607</v>
      </c>
      <c r="H30" t="s">
        <v>6555</v>
      </c>
      <c r="I30">
        <v>6</v>
      </c>
      <c r="J30">
        <v>9</v>
      </c>
      <c r="K30">
        <v>60</v>
      </c>
      <c r="L30">
        <v>6</v>
      </c>
      <c r="M30">
        <v>6</v>
      </c>
      <c r="N30">
        <v>1</v>
      </c>
    </row>
    <row r="31" spans="1:14">
      <c r="A31" t="s">
        <v>6583</v>
      </c>
      <c r="B31" t="s">
        <v>6037</v>
      </c>
      <c r="C31" t="s">
        <v>6584</v>
      </c>
      <c r="D31">
        <v>12</v>
      </c>
      <c r="E31" t="s">
        <v>6553</v>
      </c>
      <c r="F31">
        <v>3</v>
      </c>
      <c r="G31" t="s">
        <v>6585</v>
      </c>
      <c r="H31" t="s">
        <v>6586</v>
      </c>
      <c r="I31">
        <v>6</v>
      </c>
      <c r="J31">
        <v>9</v>
      </c>
      <c r="K31">
        <v>200</v>
      </c>
      <c r="L31">
        <v>6</v>
      </c>
      <c r="M31">
        <v>6</v>
      </c>
      <c r="N31">
        <v>3</v>
      </c>
    </row>
    <row r="32" spans="1:14">
      <c r="A32" t="s">
        <v>6608</v>
      </c>
      <c r="B32" t="s">
        <v>4222</v>
      </c>
      <c r="C32" t="s">
        <v>6609</v>
      </c>
      <c r="D32">
        <v>33</v>
      </c>
      <c r="E32" t="s">
        <v>6610</v>
      </c>
      <c r="F32">
        <v>0</v>
      </c>
      <c r="G32" t="s">
        <v>6611</v>
      </c>
      <c r="H32" t="s">
        <v>6612</v>
      </c>
      <c r="I32">
        <v>15</v>
      </c>
      <c r="J32">
        <v>10</v>
      </c>
      <c r="K32">
        <v>1E-3</v>
      </c>
      <c r="L32">
        <v>1</v>
      </c>
      <c r="M32">
        <v>1</v>
      </c>
      <c r="N32">
        <v>1</v>
      </c>
    </row>
    <row r="33" spans="1:14">
      <c r="A33" t="s">
        <v>6613</v>
      </c>
      <c r="B33" t="s">
        <v>4222</v>
      </c>
      <c r="C33" t="s">
        <v>6609</v>
      </c>
      <c r="D33">
        <v>28</v>
      </c>
      <c r="E33" t="s">
        <v>6614</v>
      </c>
      <c r="F33">
        <v>0</v>
      </c>
      <c r="G33" t="s">
        <v>6547</v>
      </c>
      <c r="H33" t="s">
        <v>6561</v>
      </c>
      <c r="I33">
        <v>13</v>
      </c>
      <c r="J33">
        <v>10</v>
      </c>
      <c r="K33">
        <v>100</v>
      </c>
      <c r="L33">
        <v>6</v>
      </c>
      <c r="M33">
        <v>7</v>
      </c>
      <c r="N33">
        <v>5</v>
      </c>
    </row>
    <row r="34" spans="1:14">
      <c r="A34" t="s">
        <v>6549</v>
      </c>
      <c r="B34" t="s">
        <v>1418</v>
      </c>
      <c r="C34" t="s">
        <v>6615</v>
      </c>
      <c r="D34">
        <v>10</v>
      </c>
      <c r="E34" t="s">
        <v>6606</v>
      </c>
      <c r="F34">
        <v>2</v>
      </c>
      <c r="G34" t="s">
        <v>6616</v>
      </c>
      <c r="H34" t="s">
        <v>6548</v>
      </c>
      <c r="I34">
        <v>6</v>
      </c>
      <c r="J34">
        <v>9</v>
      </c>
      <c r="K34">
        <v>60</v>
      </c>
      <c r="L34">
        <v>6</v>
      </c>
      <c r="M34">
        <v>6</v>
      </c>
      <c r="N34">
        <v>1</v>
      </c>
    </row>
    <row r="35" spans="1:14">
      <c r="A35" t="s">
        <v>6552</v>
      </c>
      <c r="B35" t="s">
        <v>1418</v>
      </c>
      <c r="C35" t="s">
        <v>6615</v>
      </c>
      <c r="D35">
        <v>12</v>
      </c>
      <c r="E35" t="s">
        <v>6594</v>
      </c>
      <c r="F35">
        <v>2</v>
      </c>
      <c r="G35" t="s">
        <v>6617</v>
      </c>
      <c r="H35" t="s">
        <v>6586</v>
      </c>
      <c r="I35">
        <v>6</v>
      </c>
      <c r="J35">
        <v>9</v>
      </c>
      <c r="K35">
        <v>80</v>
      </c>
      <c r="L35">
        <v>6</v>
      </c>
      <c r="M35">
        <v>6</v>
      </c>
      <c r="N35">
        <v>4</v>
      </c>
    </row>
    <row r="36" spans="1:14">
      <c r="A36" t="s">
        <v>6556</v>
      </c>
      <c r="B36" t="s">
        <v>1418</v>
      </c>
      <c r="C36" t="s">
        <v>6615</v>
      </c>
      <c r="D36">
        <v>13</v>
      </c>
      <c r="E36" t="s">
        <v>6594</v>
      </c>
      <c r="F36">
        <v>3</v>
      </c>
      <c r="G36" t="s">
        <v>6557</v>
      </c>
      <c r="H36" t="s">
        <v>6558</v>
      </c>
      <c r="I36">
        <v>7</v>
      </c>
      <c r="J36">
        <v>9</v>
      </c>
      <c r="K36">
        <v>125</v>
      </c>
      <c r="L36">
        <v>6</v>
      </c>
      <c r="M36">
        <v>6</v>
      </c>
      <c r="N36">
        <v>5</v>
      </c>
    </row>
    <row r="37" spans="1:14">
      <c r="A37" t="s">
        <v>6618</v>
      </c>
      <c r="B37" t="s">
        <v>1418</v>
      </c>
      <c r="C37" t="s">
        <v>6619</v>
      </c>
      <c r="D37">
        <v>13</v>
      </c>
      <c r="E37" t="s">
        <v>6568</v>
      </c>
      <c r="F37">
        <v>4</v>
      </c>
      <c r="G37" t="s">
        <v>6588</v>
      </c>
      <c r="H37" t="s">
        <v>6589</v>
      </c>
      <c r="I37">
        <v>6</v>
      </c>
      <c r="J37">
        <v>9</v>
      </c>
      <c r="K37">
        <v>250</v>
      </c>
      <c r="L37">
        <v>6</v>
      </c>
      <c r="M37">
        <v>6</v>
      </c>
      <c r="N37">
        <v>5</v>
      </c>
    </row>
    <row r="38" spans="1:14">
      <c r="A38" t="s">
        <v>6549</v>
      </c>
      <c r="B38" t="s">
        <v>4216</v>
      </c>
      <c r="C38" t="s">
        <v>5734</v>
      </c>
      <c r="D38">
        <v>4</v>
      </c>
      <c r="E38" t="s">
        <v>6620</v>
      </c>
      <c r="F38">
        <v>2</v>
      </c>
      <c r="G38" t="s">
        <v>6572</v>
      </c>
      <c r="H38" t="s">
        <v>6612</v>
      </c>
      <c r="I38">
        <v>5</v>
      </c>
      <c r="J38">
        <v>9</v>
      </c>
      <c r="K38">
        <v>60</v>
      </c>
      <c r="L38">
        <v>7</v>
      </c>
      <c r="M38">
        <v>7</v>
      </c>
      <c r="N38">
        <v>1</v>
      </c>
    </row>
    <row r="39" spans="1:14">
      <c r="A39" t="s">
        <v>6552</v>
      </c>
      <c r="B39" t="s">
        <v>4216</v>
      </c>
      <c r="C39" t="s">
        <v>5734</v>
      </c>
      <c r="D39">
        <v>6</v>
      </c>
      <c r="E39" t="s">
        <v>6550</v>
      </c>
      <c r="F39">
        <v>2</v>
      </c>
      <c r="G39" t="s">
        <v>6573</v>
      </c>
      <c r="H39" t="s">
        <v>6621</v>
      </c>
      <c r="I39">
        <v>5</v>
      </c>
      <c r="J39">
        <v>9</v>
      </c>
      <c r="K39">
        <v>80</v>
      </c>
      <c r="L39">
        <v>7</v>
      </c>
      <c r="M39">
        <v>7</v>
      </c>
      <c r="N39">
        <v>1</v>
      </c>
    </row>
    <row r="40" spans="1:14">
      <c r="A40" t="s">
        <v>6556</v>
      </c>
      <c r="B40" t="s">
        <v>4216</v>
      </c>
      <c r="C40" t="s">
        <v>5734</v>
      </c>
      <c r="D40">
        <v>7</v>
      </c>
      <c r="E40" t="s">
        <v>6550</v>
      </c>
      <c r="F40">
        <v>3</v>
      </c>
      <c r="G40" t="s">
        <v>6557</v>
      </c>
      <c r="H40" t="s">
        <v>6622</v>
      </c>
      <c r="I40">
        <v>6</v>
      </c>
      <c r="J40">
        <v>9</v>
      </c>
      <c r="K40">
        <v>125</v>
      </c>
      <c r="L40">
        <v>7</v>
      </c>
      <c r="M40">
        <v>7</v>
      </c>
      <c r="N40">
        <v>1</v>
      </c>
    </row>
    <row r="41" spans="1:14">
      <c r="A41" t="s">
        <v>6601</v>
      </c>
      <c r="B41" t="s">
        <v>4216</v>
      </c>
      <c r="C41" t="s">
        <v>6623</v>
      </c>
      <c r="D41">
        <v>10</v>
      </c>
      <c r="E41" t="s">
        <v>6553</v>
      </c>
      <c r="F41">
        <v>5</v>
      </c>
      <c r="G41" t="s">
        <v>6603</v>
      </c>
      <c r="H41" t="s">
        <v>6561</v>
      </c>
      <c r="I41">
        <v>4</v>
      </c>
      <c r="J41">
        <v>10</v>
      </c>
      <c r="K41">
        <v>10000</v>
      </c>
      <c r="L41">
        <v>7</v>
      </c>
      <c r="M41">
        <v>7</v>
      </c>
      <c r="N41">
        <v>5</v>
      </c>
    </row>
    <row r="42" spans="1:14">
      <c r="A42" t="s">
        <v>6624</v>
      </c>
      <c r="B42" t="s">
        <v>6625</v>
      </c>
      <c r="C42" t="s">
        <v>6626</v>
      </c>
      <c r="D42">
        <v>21</v>
      </c>
      <c r="E42" t="s">
        <v>6627</v>
      </c>
      <c r="F42">
        <v>3</v>
      </c>
      <c r="G42" t="s">
        <v>6628</v>
      </c>
      <c r="H42" t="s">
        <v>6561</v>
      </c>
      <c r="I42">
        <v>8</v>
      </c>
      <c r="J42">
        <v>9</v>
      </c>
      <c r="K42">
        <v>1000000</v>
      </c>
      <c r="L42">
        <v>7</v>
      </c>
      <c r="M42">
        <v>7</v>
      </c>
      <c r="N42">
        <v>7</v>
      </c>
    </row>
  </sheetData>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27"/>
  <sheetViews>
    <sheetView workbookViewId="0"/>
  </sheetViews>
  <sheetFormatPr baseColWidth="10" defaultColWidth="9.140625" defaultRowHeight="15"/>
  <sheetData>
    <row r="1" spans="1:11">
      <c r="A1" t="s">
        <v>4158</v>
      </c>
      <c r="B1" t="s">
        <v>6629</v>
      </c>
      <c r="C1" t="s">
        <v>6630</v>
      </c>
      <c r="D1" t="s">
        <v>6631</v>
      </c>
      <c r="E1" t="s">
        <v>6632</v>
      </c>
      <c r="F1" t="s">
        <v>5661</v>
      </c>
      <c r="G1" t="s">
        <v>6480</v>
      </c>
      <c r="H1" t="s">
        <v>6481</v>
      </c>
      <c r="I1" t="s">
        <v>6543</v>
      </c>
      <c r="J1" t="s">
        <v>5660</v>
      </c>
      <c r="K1" t="s">
        <v>6633</v>
      </c>
    </row>
    <row r="2" spans="1:11">
      <c r="A2" t="s">
        <v>6634</v>
      </c>
      <c r="B2" t="s">
        <v>6635</v>
      </c>
      <c r="C2" t="s">
        <v>6636</v>
      </c>
      <c r="D2" t="s">
        <v>6637</v>
      </c>
      <c r="E2" t="s">
        <v>6637</v>
      </c>
      <c r="F2" t="s">
        <v>6638</v>
      </c>
      <c r="J2" t="s">
        <v>6639</v>
      </c>
    </row>
    <row r="3" spans="1:11">
      <c r="A3" t="s">
        <v>6640</v>
      </c>
      <c r="B3" t="s">
        <v>6641</v>
      </c>
      <c r="C3" t="s">
        <v>6636</v>
      </c>
      <c r="D3" t="s">
        <v>6642</v>
      </c>
      <c r="E3" t="s">
        <v>6642</v>
      </c>
      <c r="F3" t="s">
        <v>6643</v>
      </c>
      <c r="G3">
        <v>1</v>
      </c>
      <c r="H3">
        <v>5</v>
      </c>
      <c r="J3" t="s">
        <v>6639</v>
      </c>
    </row>
    <row r="4" spans="1:11">
      <c r="A4" t="s">
        <v>6644</v>
      </c>
      <c r="B4" t="s">
        <v>6641</v>
      </c>
      <c r="C4" t="s">
        <v>6636</v>
      </c>
      <c r="D4" t="s">
        <v>6636</v>
      </c>
      <c r="E4" t="s">
        <v>6636</v>
      </c>
      <c r="F4" t="s">
        <v>6645</v>
      </c>
      <c r="G4">
        <v>4</v>
      </c>
      <c r="H4">
        <v>4</v>
      </c>
      <c r="J4" t="s">
        <v>6639</v>
      </c>
    </row>
    <row r="5" spans="1:11">
      <c r="A5" t="s">
        <v>6646</v>
      </c>
      <c r="B5" t="s">
        <v>6647</v>
      </c>
      <c r="C5" t="s">
        <v>6636</v>
      </c>
      <c r="D5" t="s">
        <v>6636</v>
      </c>
      <c r="E5" t="s">
        <v>6636</v>
      </c>
      <c r="F5" t="s">
        <v>6648</v>
      </c>
      <c r="G5">
        <v>1</v>
      </c>
      <c r="H5">
        <v>4</v>
      </c>
      <c r="J5" t="s">
        <v>6639</v>
      </c>
    </row>
    <row r="6" spans="1:11">
      <c r="A6" t="s">
        <v>6649</v>
      </c>
      <c r="B6" t="s">
        <v>6647</v>
      </c>
      <c r="C6" t="s">
        <v>6650</v>
      </c>
      <c r="D6" t="s">
        <v>6636</v>
      </c>
      <c r="E6" t="s">
        <v>6636</v>
      </c>
      <c r="F6" t="s">
        <v>6651</v>
      </c>
      <c r="G6">
        <v>7</v>
      </c>
      <c r="H6">
        <v>7</v>
      </c>
      <c r="I6">
        <v>2</v>
      </c>
      <c r="J6" t="s">
        <v>6639</v>
      </c>
      <c r="K6" t="s">
        <v>6652</v>
      </c>
    </row>
    <row r="7" spans="1:11">
      <c r="A7" t="s">
        <v>6653</v>
      </c>
      <c r="B7" t="s">
        <v>6647</v>
      </c>
      <c r="C7" t="s">
        <v>6654</v>
      </c>
      <c r="D7" t="s">
        <v>6636</v>
      </c>
      <c r="E7" t="s">
        <v>6636</v>
      </c>
      <c r="F7" t="s">
        <v>6655</v>
      </c>
      <c r="G7">
        <v>4</v>
      </c>
      <c r="H7">
        <v>3</v>
      </c>
      <c r="J7" t="s">
        <v>6639</v>
      </c>
    </row>
    <row r="8" spans="1:11">
      <c r="A8" t="s">
        <v>6656</v>
      </c>
      <c r="B8" t="s">
        <v>6647</v>
      </c>
      <c r="C8" t="s">
        <v>6657</v>
      </c>
      <c r="D8" t="s">
        <v>6636</v>
      </c>
      <c r="E8" t="s">
        <v>6636</v>
      </c>
      <c r="F8" t="s">
        <v>6658</v>
      </c>
      <c r="G8">
        <v>3</v>
      </c>
      <c r="H8">
        <v>1</v>
      </c>
      <c r="J8" t="s">
        <v>6639</v>
      </c>
    </row>
    <row r="9" spans="1:11">
      <c r="A9" t="s">
        <v>6659</v>
      </c>
      <c r="B9" t="s">
        <v>6647</v>
      </c>
      <c r="C9" t="s">
        <v>6660</v>
      </c>
      <c r="D9" t="s">
        <v>6636</v>
      </c>
      <c r="E9" t="s">
        <v>6636</v>
      </c>
      <c r="F9" t="s">
        <v>6661</v>
      </c>
      <c r="G9">
        <v>4</v>
      </c>
      <c r="H9">
        <v>3</v>
      </c>
      <c r="J9" t="s">
        <v>6639</v>
      </c>
    </row>
    <row r="10" spans="1:11">
      <c r="A10" t="s">
        <v>6662</v>
      </c>
      <c r="B10" t="s">
        <v>6647</v>
      </c>
      <c r="C10" t="s">
        <v>6663</v>
      </c>
      <c r="D10" t="s">
        <v>6636</v>
      </c>
      <c r="E10" t="s">
        <v>6636</v>
      </c>
      <c r="F10" t="s">
        <v>6664</v>
      </c>
      <c r="G10">
        <v>5</v>
      </c>
      <c r="H10">
        <v>4</v>
      </c>
      <c r="J10" t="s">
        <v>6639</v>
      </c>
    </row>
    <row r="11" spans="1:11">
      <c r="A11" t="s">
        <v>6665</v>
      </c>
      <c r="B11" t="s">
        <v>6647</v>
      </c>
      <c r="C11" t="s">
        <v>6666</v>
      </c>
      <c r="D11" t="s">
        <v>6636</v>
      </c>
      <c r="E11" t="s">
        <v>6636</v>
      </c>
      <c r="F11" t="s">
        <v>6667</v>
      </c>
      <c r="G11">
        <v>5</v>
      </c>
      <c r="H11">
        <v>4</v>
      </c>
      <c r="J11" t="s">
        <v>6639</v>
      </c>
    </row>
    <row r="12" spans="1:11">
      <c r="A12" t="s">
        <v>6668</v>
      </c>
      <c r="B12" t="s">
        <v>6647</v>
      </c>
      <c r="C12" t="s">
        <v>6657</v>
      </c>
      <c r="D12" t="s">
        <v>6636</v>
      </c>
      <c r="E12" t="s">
        <v>6636</v>
      </c>
      <c r="F12" t="s">
        <v>6669</v>
      </c>
      <c r="G12">
        <v>6</v>
      </c>
      <c r="H12">
        <v>5</v>
      </c>
      <c r="J12" t="s">
        <v>6639</v>
      </c>
      <c r="K12" t="s">
        <v>6670</v>
      </c>
    </row>
    <row r="13" spans="1:11">
      <c r="A13" t="s">
        <v>6671</v>
      </c>
      <c r="B13" t="s">
        <v>6647</v>
      </c>
      <c r="C13" t="s">
        <v>6672</v>
      </c>
      <c r="D13" t="s">
        <v>6636</v>
      </c>
      <c r="E13" t="s">
        <v>6636</v>
      </c>
      <c r="F13" t="s">
        <v>6673</v>
      </c>
      <c r="G13">
        <v>7</v>
      </c>
      <c r="H13">
        <v>6</v>
      </c>
      <c r="J13" t="s">
        <v>6639</v>
      </c>
    </row>
    <row r="14" spans="1:11">
      <c r="A14" t="s">
        <v>6674</v>
      </c>
      <c r="B14" t="s">
        <v>6647</v>
      </c>
      <c r="C14" t="s">
        <v>6666</v>
      </c>
      <c r="D14" t="s">
        <v>6636</v>
      </c>
      <c r="E14" t="s">
        <v>6636</v>
      </c>
      <c r="F14" t="s">
        <v>6669</v>
      </c>
      <c r="G14">
        <v>5</v>
      </c>
      <c r="H14">
        <v>5</v>
      </c>
      <c r="J14" t="s">
        <v>6639</v>
      </c>
    </row>
    <row r="15" spans="1:11">
      <c r="A15" t="s">
        <v>6675</v>
      </c>
      <c r="B15" t="s">
        <v>6641</v>
      </c>
      <c r="C15" t="s">
        <v>6676</v>
      </c>
      <c r="D15" t="s">
        <v>6636</v>
      </c>
      <c r="E15" t="s">
        <v>6636</v>
      </c>
      <c r="F15" t="s">
        <v>6664</v>
      </c>
      <c r="G15">
        <v>5</v>
      </c>
      <c r="H15">
        <v>5</v>
      </c>
      <c r="J15" t="s">
        <v>6639</v>
      </c>
      <c r="K15" t="s">
        <v>6677</v>
      </c>
    </row>
    <row r="16" spans="1:11">
      <c r="A16" t="s">
        <v>6678</v>
      </c>
      <c r="B16" t="s">
        <v>6647</v>
      </c>
      <c r="C16" t="s">
        <v>6676</v>
      </c>
      <c r="D16" t="s">
        <v>6636</v>
      </c>
      <c r="E16" t="s">
        <v>6636</v>
      </c>
      <c r="F16" t="s">
        <v>6679</v>
      </c>
      <c r="G16">
        <v>5</v>
      </c>
      <c r="H16">
        <v>5</v>
      </c>
      <c r="J16" t="s">
        <v>6680</v>
      </c>
      <c r="K16" t="s">
        <v>6681</v>
      </c>
    </row>
    <row r="17" spans="1:11">
      <c r="A17" t="s">
        <v>6682</v>
      </c>
      <c r="B17" t="s">
        <v>6660</v>
      </c>
      <c r="C17" t="s">
        <v>6683</v>
      </c>
      <c r="D17" t="s">
        <v>6683</v>
      </c>
      <c r="E17" t="s">
        <v>6684</v>
      </c>
      <c r="F17" t="s">
        <v>6685</v>
      </c>
      <c r="G17">
        <v>4</v>
      </c>
      <c r="H17">
        <v>3</v>
      </c>
      <c r="J17" t="s">
        <v>6680</v>
      </c>
    </row>
    <row r="18" spans="1:11">
      <c r="A18" t="s">
        <v>6686</v>
      </c>
      <c r="B18" t="s">
        <v>6657</v>
      </c>
      <c r="C18" t="s">
        <v>6660</v>
      </c>
      <c r="D18" t="s">
        <v>6660</v>
      </c>
      <c r="E18" t="s">
        <v>6687</v>
      </c>
      <c r="F18" t="s">
        <v>6688</v>
      </c>
      <c r="G18">
        <v>4</v>
      </c>
      <c r="H18">
        <v>4</v>
      </c>
      <c r="J18" t="s">
        <v>6639</v>
      </c>
      <c r="K18" t="s">
        <v>6689</v>
      </c>
    </row>
    <row r="19" spans="1:11">
      <c r="A19" t="s">
        <v>6690</v>
      </c>
      <c r="B19" t="s">
        <v>6636</v>
      </c>
      <c r="C19" t="s">
        <v>6654</v>
      </c>
      <c r="D19" t="s">
        <v>6654</v>
      </c>
      <c r="E19" t="s">
        <v>6691</v>
      </c>
      <c r="F19" t="s">
        <v>6685</v>
      </c>
      <c r="G19">
        <v>4</v>
      </c>
      <c r="H19">
        <v>3</v>
      </c>
      <c r="J19" t="s">
        <v>6639</v>
      </c>
      <c r="K19" t="s">
        <v>6692</v>
      </c>
    </row>
    <row r="20" spans="1:11">
      <c r="A20" t="s">
        <v>6693</v>
      </c>
      <c r="B20" t="s">
        <v>6676</v>
      </c>
      <c r="C20" t="s">
        <v>6654</v>
      </c>
      <c r="D20" t="s">
        <v>6654</v>
      </c>
      <c r="E20" t="s">
        <v>6691</v>
      </c>
      <c r="F20" t="s">
        <v>6694</v>
      </c>
      <c r="G20">
        <v>5</v>
      </c>
      <c r="H20">
        <v>4</v>
      </c>
      <c r="J20" t="s">
        <v>6639</v>
      </c>
      <c r="K20" t="s">
        <v>6695</v>
      </c>
    </row>
    <row r="21" spans="1:11">
      <c r="A21" t="s">
        <v>6696</v>
      </c>
      <c r="B21" t="s">
        <v>6657</v>
      </c>
      <c r="C21" t="s">
        <v>6697</v>
      </c>
      <c r="D21" t="s">
        <v>6697</v>
      </c>
      <c r="E21" t="s">
        <v>6636</v>
      </c>
      <c r="F21" t="s">
        <v>6685</v>
      </c>
      <c r="G21">
        <v>3</v>
      </c>
      <c r="H21">
        <v>2</v>
      </c>
      <c r="J21" t="s">
        <v>6680</v>
      </c>
      <c r="K21" t="s">
        <v>6698</v>
      </c>
    </row>
    <row r="22" spans="1:11">
      <c r="A22" t="s">
        <v>6699</v>
      </c>
      <c r="B22" t="s">
        <v>6676</v>
      </c>
      <c r="C22" t="s">
        <v>6672</v>
      </c>
      <c r="D22" t="s">
        <v>6672</v>
      </c>
      <c r="E22" t="s">
        <v>6636</v>
      </c>
      <c r="F22" t="s">
        <v>6700</v>
      </c>
      <c r="G22">
        <v>3</v>
      </c>
      <c r="H22">
        <v>3</v>
      </c>
      <c r="J22" t="s">
        <v>6639</v>
      </c>
    </row>
    <row r="23" spans="1:11">
      <c r="A23" t="s">
        <v>6701</v>
      </c>
      <c r="B23" t="s">
        <v>6636</v>
      </c>
      <c r="C23" t="s">
        <v>6676</v>
      </c>
      <c r="D23" t="s">
        <v>6676</v>
      </c>
      <c r="E23" t="s">
        <v>6702</v>
      </c>
      <c r="F23" t="s">
        <v>6703</v>
      </c>
      <c r="G23">
        <v>6</v>
      </c>
      <c r="H23">
        <v>5</v>
      </c>
      <c r="J23" t="s">
        <v>6639</v>
      </c>
      <c r="K23" t="s">
        <v>6704</v>
      </c>
    </row>
    <row r="24" spans="1:11">
      <c r="A24" t="s">
        <v>6705</v>
      </c>
      <c r="B24" t="s">
        <v>6706</v>
      </c>
      <c r="C24" t="s">
        <v>6636</v>
      </c>
      <c r="D24" t="s">
        <v>6636</v>
      </c>
      <c r="E24" t="s">
        <v>6636</v>
      </c>
      <c r="F24" t="s">
        <v>6667</v>
      </c>
      <c r="G24">
        <v>7</v>
      </c>
      <c r="H24">
        <v>7</v>
      </c>
      <c r="I24">
        <v>6</v>
      </c>
      <c r="J24" t="s">
        <v>6707</v>
      </c>
      <c r="K24" t="s">
        <v>6708</v>
      </c>
    </row>
    <row r="25" spans="1:11">
      <c r="A25" t="s">
        <v>6709</v>
      </c>
      <c r="B25" t="s">
        <v>6710</v>
      </c>
      <c r="C25" t="s">
        <v>6654</v>
      </c>
      <c r="D25" t="s">
        <v>6636</v>
      </c>
      <c r="E25" t="s">
        <v>6636</v>
      </c>
      <c r="F25" t="s">
        <v>6711</v>
      </c>
      <c r="G25">
        <v>7</v>
      </c>
      <c r="H25">
        <v>7</v>
      </c>
      <c r="I25">
        <v>4</v>
      </c>
      <c r="J25" t="s">
        <v>6639</v>
      </c>
      <c r="K25" t="s">
        <v>6712</v>
      </c>
    </row>
    <row r="26" spans="1:11">
      <c r="A26" t="s">
        <v>6713</v>
      </c>
      <c r="B26" t="s">
        <v>6710</v>
      </c>
      <c r="C26" t="s">
        <v>6663</v>
      </c>
      <c r="D26" t="s">
        <v>6702</v>
      </c>
      <c r="E26" t="s">
        <v>6702</v>
      </c>
      <c r="F26" t="s">
        <v>6714</v>
      </c>
      <c r="G26">
        <v>6</v>
      </c>
      <c r="H26">
        <v>7</v>
      </c>
      <c r="I26">
        <v>5</v>
      </c>
      <c r="J26" t="s">
        <v>6639</v>
      </c>
      <c r="K26" t="s">
        <v>6715</v>
      </c>
    </row>
    <row r="27" spans="1:11">
      <c r="A27" t="s">
        <v>6716</v>
      </c>
      <c r="B27" t="s">
        <v>6717</v>
      </c>
      <c r="C27" t="s">
        <v>6657</v>
      </c>
      <c r="D27" t="s">
        <v>6636</v>
      </c>
      <c r="E27" t="s">
        <v>6636</v>
      </c>
      <c r="F27" t="s">
        <v>6658</v>
      </c>
      <c r="G27">
        <v>7</v>
      </c>
      <c r="H27">
        <v>7</v>
      </c>
      <c r="I27">
        <v>1</v>
      </c>
      <c r="J27" t="s">
        <v>6639</v>
      </c>
      <c r="K27" t="s">
        <v>6718</v>
      </c>
    </row>
  </sheetData>
  <pageMargins left="0.7" right="0.7" top="0.75" bottom="0.75" header="0.3" footer="0.3"/>
  <drawing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39"/>
  <sheetViews>
    <sheetView workbookViewId="0"/>
  </sheetViews>
  <sheetFormatPr baseColWidth="10" defaultColWidth="9.140625" defaultRowHeight="15"/>
  <cols>
    <col min="1" max="1" width="31" customWidth="1"/>
  </cols>
  <sheetData>
    <row r="1" spans="1:12">
      <c r="A1" t="s">
        <v>4158</v>
      </c>
      <c r="B1" t="s">
        <v>4147</v>
      </c>
      <c r="C1" t="s">
        <v>6719</v>
      </c>
      <c r="D1" t="s">
        <v>6538</v>
      </c>
      <c r="E1" t="s">
        <v>5777</v>
      </c>
      <c r="F1" t="s">
        <v>6539</v>
      </c>
      <c r="G1" t="s">
        <v>6540</v>
      </c>
      <c r="H1" t="s">
        <v>5661</v>
      </c>
      <c r="I1" t="s">
        <v>6480</v>
      </c>
      <c r="J1" t="s">
        <v>6481</v>
      </c>
      <c r="K1" t="s">
        <v>6543</v>
      </c>
      <c r="L1" t="s">
        <v>6720</v>
      </c>
    </row>
    <row r="2" spans="1:12">
      <c r="A2" t="s">
        <v>6721</v>
      </c>
      <c r="B2" t="s">
        <v>6545</v>
      </c>
      <c r="C2" t="s">
        <v>6722</v>
      </c>
      <c r="D2" t="s">
        <v>6560</v>
      </c>
      <c r="E2">
        <v>2</v>
      </c>
      <c r="F2" t="s">
        <v>6723</v>
      </c>
      <c r="G2" t="s">
        <v>6724</v>
      </c>
      <c r="H2">
        <v>1E-3</v>
      </c>
      <c r="I2">
        <v>1</v>
      </c>
      <c r="J2">
        <v>1</v>
      </c>
      <c r="K2">
        <v>1</v>
      </c>
    </row>
    <row r="3" spans="1:12">
      <c r="A3" t="s">
        <v>6725</v>
      </c>
      <c r="B3" t="s">
        <v>6571</v>
      </c>
      <c r="C3" t="s">
        <v>6726</v>
      </c>
      <c r="D3" t="s">
        <v>6560</v>
      </c>
      <c r="E3">
        <v>3</v>
      </c>
      <c r="F3" t="s">
        <v>6727</v>
      </c>
      <c r="G3" t="s">
        <v>6724</v>
      </c>
      <c r="H3">
        <v>100</v>
      </c>
      <c r="I3">
        <v>6</v>
      </c>
      <c r="J3">
        <v>7</v>
      </c>
      <c r="K3">
        <v>4</v>
      </c>
    </row>
    <row r="4" spans="1:12">
      <c r="A4" t="s">
        <v>6728</v>
      </c>
      <c r="B4" t="s">
        <v>6571</v>
      </c>
      <c r="C4" t="s">
        <v>6729</v>
      </c>
      <c r="D4" t="s">
        <v>6730</v>
      </c>
      <c r="E4">
        <v>4</v>
      </c>
      <c r="F4" t="s">
        <v>6731</v>
      </c>
      <c r="G4" t="s">
        <v>6612</v>
      </c>
      <c r="H4">
        <v>120</v>
      </c>
      <c r="I4">
        <v>6</v>
      </c>
      <c r="J4">
        <v>7</v>
      </c>
      <c r="K4">
        <v>2</v>
      </c>
    </row>
    <row r="5" spans="1:12">
      <c r="A5" t="s">
        <v>6732</v>
      </c>
      <c r="B5" t="s">
        <v>6571</v>
      </c>
      <c r="C5" t="s">
        <v>6733</v>
      </c>
      <c r="D5" t="s">
        <v>6734</v>
      </c>
      <c r="E5">
        <v>5</v>
      </c>
      <c r="F5" t="s">
        <v>6735</v>
      </c>
      <c r="G5" t="s">
        <v>6548</v>
      </c>
      <c r="H5">
        <v>200</v>
      </c>
      <c r="I5">
        <v>6</v>
      </c>
      <c r="J5">
        <v>7</v>
      </c>
      <c r="K5">
        <v>3</v>
      </c>
    </row>
    <row r="6" spans="1:12">
      <c r="A6" t="s">
        <v>6736</v>
      </c>
      <c r="B6" t="s">
        <v>6571</v>
      </c>
      <c r="C6" t="s">
        <v>6737</v>
      </c>
      <c r="D6" t="s">
        <v>6738</v>
      </c>
      <c r="E6">
        <v>6</v>
      </c>
      <c r="F6" t="s">
        <v>6739</v>
      </c>
      <c r="G6" t="s">
        <v>6555</v>
      </c>
      <c r="H6">
        <v>800</v>
      </c>
      <c r="I6">
        <v>6</v>
      </c>
      <c r="J6">
        <v>7</v>
      </c>
      <c r="K6">
        <v>4</v>
      </c>
    </row>
    <row r="7" spans="1:12">
      <c r="A7" t="s">
        <v>6740</v>
      </c>
      <c r="B7" t="s">
        <v>6571</v>
      </c>
      <c r="C7" t="s">
        <v>6741</v>
      </c>
      <c r="D7" t="s">
        <v>6546</v>
      </c>
      <c r="E7">
        <v>4</v>
      </c>
      <c r="F7" t="s">
        <v>6742</v>
      </c>
      <c r="G7" t="s">
        <v>6724</v>
      </c>
      <c r="H7">
        <v>900</v>
      </c>
      <c r="I7">
        <v>6</v>
      </c>
      <c r="J7">
        <v>7</v>
      </c>
      <c r="K7">
        <v>6</v>
      </c>
      <c r="L7" t="s">
        <v>6743</v>
      </c>
    </row>
    <row r="8" spans="1:12">
      <c r="A8" t="s">
        <v>6725</v>
      </c>
      <c r="B8" t="s">
        <v>4190</v>
      </c>
      <c r="C8" t="s">
        <v>6744</v>
      </c>
      <c r="D8" t="s">
        <v>6560</v>
      </c>
      <c r="E8">
        <v>2</v>
      </c>
      <c r="F8" t="s">
        <v>6745</v>
      </c>
      <c r="G8" t="s">
        <v>6724</v>
      </c>
      <c r="H8">
        <v>75</v>
      </c>
      <c r="I8">
        <v>5</v>
      </c>
      <c r="J8">
        <v>5</v>
      </c>
      <c r="K8">
        <v>3</v>
      </c>
    </row>
    <row r="9" spans="1:12">
      <c r="A9" t="s">
        <v>6728</v>
      </c>
      <c r="B9" t="s">
        <v>4190</v>
      </c>
      <c r="C9" t="s">
        <v>6746</v>
      </c>
      <c r="D9" t="s">
        <v>6730</v>
      </c>
      <c r="E9">
        <v>2</v>
      </c>
      <c r="F9" t="s">
        <v>6747</v>
      </c>
      <c r="G9" t="s">
        <v>6612</v>
      </c>
      <c r="H9">
        <v>90</v>
      </c>
      <c r="I9">
        <v>4</v>
      </c>
      <c r="J9">
        <v>4</v>
      </c>
      <c r="K9">
        <v>1</v>
      </c>
    </row>
    <row r="10" spans="1:12">
      <c r="A10" t="s">
        <v>6732</v>
      </c>
      <c r="B10" t="s">
        <v>4190</v>
      </c>
      <c r="C10" t="s">
        <v>6748</v>
      </c>
      <c r="D10" t="s">
        <v>6734</v>
      </c>
      <c r="E10">
        <v>4</v>
      </c>
      <c r="F10" t="s">
        <v>6749</v>
      </c>
      <c r="G10" t="s">
        <v>6548</v>
      </c>
      <c r="H10">
        <v>150</v>
      </c>
      <c r="I10">
        <v>4</v>
      </c>
      <c r="J10">
        <v>4</v>
      </c>
      <c r="K10">
        <v>2</v>
      </c>
    </row>
    <row r="11" spans="1:12">
      <c r="A11" t="s">
        <v>6736</v>
      </c>
      <c r="B11" t="s">
        <v>4190</v>
      </c>
      <c r="C11" t="s">
        <v>6750</v>
      </c>
      <c r="D11" t="s">
        <v>6738</v>
      </c>
      <c r="E11">
        <v>5</v>
      </c>
      <c r="F11" t="s">
        <v>6751</v>
      </c>
      <c r="G11" t="s">
        <v>6555</v>
      </c>
      <c r="H11">
        <v>600</v>
      </c>
      <c r="I11">
        <v>4</v>
      </c>
      <c r="J11">
        <v>4</v>
      </c>
      <c r="K11">
        <v>3</v>
      </c>
    </row>
    <row r="12" spans="1:12">
      <c r="A12" t="s">
        <v>6740</v>
      </c>
      <c r="B12" t="s">
        <v>4190</v>
      </c>
      <c r="C12" t="s">
        <v>6752</v>
      </c>
      <c r="D12" t="s">
        <v>6546</v>
      </c>
      <c r="E12">
        <v>3</v>
      </c>
      <c r="F12" t="s">
        <v>6753</v>
      </c>
      <c r="G12" t="s">
        <v>6724</v>
      </c>
      <c r="H12">
        <v>675</v>
      </c>
      <c r="I12">
        <v>4</v>
      </c>
      <c r="J12">
        <v>4</v>
      </c>
      <c r="K12">
        <v>5</v>
      </c>
      <c r="L12" t="s">
        <v>6743</v>
      </c>
    </row>
    <row r="13" spans="1:12">
      <c r="A13" t="s">
        <v>6725</v>
      </c>
      <c r="B13" t="s">
        <v>4229</v>
      </c>
      <c r="C13" t="s">
        <v>6754</v>
      </c>
      <c r="D13" t="s">
        <v>6560</v>
      </c>
      <c r="E13">
        <v>4</v>
      </c>
      <c r="F13" t="s">
        <v>6727</v>
      </c>
      <c r="G13" t="s">
        <v>6724</v>
      </c>
      <c r="H13">
        <v>100</v>
      </c>
      <c r="I13">
        <v>6</v>
      </c>
      <c r="J13">
        <v>6</v>
      </c>
      <c r="K13">
        <v>4</v>
      </c>
    </row>
    <row r="14" spans="1:12">
      <c r="A14" t="s">
        <v>6728</v>
      </c>
      <c r="B14" t="s">
        <v>4229</v>
      </c>
      <c r="C14" t="s">
        <v>6755</v>
      </c>
      <c r="D14" t="s">
        <v>6730</v>
      </c>
      <c r="E14">
        <v>5</v>
      </c>
      <c r="F14" t="s">
        <v>6731</v>
      </c>
      <c r="G14" t="s">
        <v>6612</v>
      </c>
      <c r="H14">
        <v>120</v>
      </c>
      <c r="I14">
        <v>5</v>
      </c>
      <c r="J14">
        <v>5</v>
      </c>
      <c r="K14">
        <v>2</v>
      </c>
    </row>
    <row r="15" spans="1:12">
      <c r="A15" t="s">
        <v>6732</v>
      </c>
      <c r="B15" t="s">
        <v>4229</v>
      </c>
      <c r="C15" t="s">
        <v>6756</v>
      </c>
      <c r="D15" t="s">
        <v>6734</v>
      </c>
      <c r="E15">
        <v>6</v>
      </c>
      <c r="F15" t="s">
        <v>6735</v>
      </c>
      <c r="G15" t="s">
        <v>6548</v>
      </c>
      <c r="H15">
        <v>200</v>
      </c>
      <c r="I15">
        <v>5</v>
      </c>
      <c r="J15">
        <v>5</v>
      </c>
      <c r="K15">
        <v>3</v>
      </c>
    </row>
    <row r="16" spans="1:12">
      <c r="A16" t="s">
        <v>6736</v>
      </c>
      <c r="B16" t="s">
        <v>4229</v>
      </c>
      <c r="C16" t="s">
        <v>6757</v>
      </c>
      <c r="D16" t="s">
        <v>6738</v>
      </c>
      <c r="E16">
        <v>7</v>
      </c>
      <c r="F16" t="s">
        <v>6739</v>
      </c>
      <c r="G16" t="s">
        <v>6555</v>
      </c>
      <c r="H16">
        <v>800</v>
      </c>
      <c r="I16">
        <v>5</v>
      </c>
      <c r="J16">
        <v>5</v>
      </c>
      <c r="K16">
        <v>4</v>
      </c>
    </row>
    <row r="17" spans="1:12">
      <c r="A17" t="s">
        <v>6758</v>
      </c>
      <c r="B17" t="s">
        <v>4229</v>
      </c>
      <c r="C17" t="s">
        <v>6759</v>
      </c>
      <c r="D17" t="s">
        <v>6760</v>
      </c>
      <c r="E17">
        <v>7</v>
      </c>
      <c r="F17" t="s">
        <v>6739</v>
      </c>
      <c r="G17" t="s">
        <v>6561</v>
      </c>
      <c r="H17">
        <v>1500</v>
      </c>
      <c r="I17">
        <v>5</v>
      </c>
      <c r="J17">
        <v>5</v>
      </c>
      <c r="K17">
        <v>5</v>
      </c>
    </row>
    <row r="18" spans="1:12">
      <c r="A18" t="s">
        <v>6740</v>
      </c>
      <c r="B18" t="s">
        <v>4229</v>
      </c>
      <c r="C18" t="s">
        <v>6761</v>
      </c>
      <c r="D18" t="s">
        <v>6546</v>
      </c>
      <c r="E18">
        <v>5</v>
      </c>
      <c r="F18" t="s">
        <v>6742</v>
      </c>
      <c r="G18" t="s">
        <v>6724</v>
      </c>
      <c r="H18">
        <v>900</v>
      </c>
      <c r="I18">
        <v>7</v>
      </c>
      <c r="J18">
        <v>7</v>
      </c>
      <c r="K18">
        <v>7</v>
      </c>
      <c r="L18" t="s">
        <v>6743</v>
      </c>
    </row>
    <row r="19" spans="1:12">
      <c r="A19" t="s">
        <v>6725</v>
      </c>
      <c r="B19" t="s">
        <v>4174</v>
      </c>
      <c r="C19" t="s">
        <v>6726</v>
      </c>
      <c r="D19" t="s">
        <v>6560</v>
      </c>
      <c r="E19">
        <v>2</v>
      </c>
      <c r="F19" t="s">
        <v>6762</v>
      </c>
      <c r="G19" t="s">
        <v>6724</v>
      </c>
      <c r="H19">
        <v>125</v>
      </c>
      <c r="I19">
        <v>6</v>
      </c>
      <c r="J19">
        <v>6</v>
      </c>
      <c r="K19">
        <v>4</v>
      </c>
    </row>
    <row r="20" spans="1:12">
      <c r="A20" t="s">
        <v>6728</v>
      </c>
      <c r="B20" t="s">
        <v>4174</v>
      </c>
      <c r="C20" t="s">
        <v>6729</v>
      </c>
      <c r="D20" t="s">
        <v>6730</v>
      </c>
      <c r="E20">
        <v>3</v>
      </c>
      <c r="F20" t="s">
        <v>6763</v>
      </c>
      <c r="G20" t="s">
        <v>6612</v>
      </c>
      <c r="H20">
        <v>150</v>
      </c>
      <c r="I20">
        <v>6</v>
      </c>
      <c r="J20">
        <v>6</v>
      </c>
      <c r="K20">
        <v>2</v>
      </c>
    </row>
    <row r="21" spans="1:12">
      <c r="A21" t="s">
        <v>6732</v>
      </c>
      <c r="B21" t="s">
        <v>4174</v>
      </c>
      <c r="C21" t="s">
        <v>6733</v>
      </c>
      <c r="D21" t="s">
        <v>6734</v>
      </c>
      <c r="E21">
        <v>4</v>
      </c>
      <c r="F21" t="s">
        <v>6764</v>
      </c>
      <c r="G21" t="s">
        <v>6548</v>
      </c>
      <c r="H21">
        <v>250</v>
      </c>
      <c r="I21">
        <v>6</v>
      </c>
      <c r="J21">
        <v>6</v>
      </c>
      <c r="K21">
        <v>3</v>
      </c>
    </row>
    <row r="22" spans="1:12">
      <c r="A22" t="s">
        <v>6736</v>
      </c>
      <c r="B22" t="s">
        <v>4174</v>
      </c>
      <c r="C22" t="s">
        <v>6737</v>
      </c>
      <c r="D22" t="s">
        <v>6738</v>
      </c>
      <c r="E22">
        <v>5</v>
      </c>
      <c r="F22" t="s">
        <v>6765</v>
      </c>
      <c r="G22" t="s">
        <v>6555</v>
      </c>
      <c r="H22">
        <v>1000</v>
      </c>
      <c r="I22">
        <v>6</v>
      </c>
      <c r="J22">
        <v>6</v>
      </c>
      <c r="K22">
        <v>4</v>
      </c>
    </row>
    <row r="23" spans="1:12">
      <c r="A23" t="s">
        <v>6740</v>
      </c>
      <c r="B23" t="s">
        <v>4174</v>
      </c>
      <c r="C23" t="s">
        <v>6741</v>
      </c>
      <c r="D23" t="s">
        <v>6546</v>
      </c>
      <c r="E23">
        <v>3</v>
      </c>
      <c r="F23" t="s">
        <v>6766</v>
      </c>
      <c r="G23" t="s">
        <v>6724</v>
      </c>
      <c r="H23">
        <v>1125</v>
      </c>
      <c r="I23">
        <v>6</v>
      </c>
      <c r="J23">
        <v>6</v>
      </c>
      <c r="K23">
        <v>6</v>
      </c>
      <c r="L23" t="s">
        <v>6743</v>
      </c>
    </row>
    <row r="24" spans="1:12">
      <c r="A24" t="s">
        <v>6725</v>
      </c>
      <c r="B24" t="s">
        <v>1418</v>
      </c>
      <c r="C24" t="s">
        <v>6726</v>
      </c>
      <c r="D24" t="s">
        <v>6553</v>
      </c>
      <c r="E24">
        <v>3</v>
      </c>
      <c r="F24" t="s">
        <v>6745</v>
      </c>
      <c r="G24" t="s">
        <v>6724</v>
      </c>
      <c r="H24">
        <v>120</v>
      </c>
      <c r="I24">
        <v>7</v>
      </c>
      <c r="J24">
        <v>7</v>
      </c>
      <c r="K24">
        <v>4</v>
      </c>
    </row>
    <row r="25" spans="1:12">
      <c r="A25" t="s">
        <v>6728</v>
      </c>
      <c r="B25" t="s">
        <v>1418</v>
      </c>
      <c r="C25" t="s">
        <v>6729</v>
      </c>
      <c r="D25" t="s">
        <v>6568</v>
      </c>
      <c r="E25">
        <v>4</v>
      </c>
      <c r="F25" t="s">
        <v>6767</v>
      </c>
      <c r="G25" t="s">
        <v>6612</v>
      </c>
      <c r="H25">
        <v>145</v>
      </c>
      <c r="I25">
        <v>7</v>
      </c>
      <c r="J25">
        <v>7</v>
      </c>
      <c r="K25">
        <v>2</v>
      </c>
    </row>
    <row r="26" spans="1:12">
      <c r="A26" t="s">
        <v>6732</v>
      </c>
      <c r="B26" t="s">
        <v>1418</v>
      </c>
      <c r="C26" t="s">
        <v>6733</v>
      </c>
      <c r="D26" t="s">
        <v>6599</v>
      </c>
      <c r="E26">
        <v>5</v>
      </c>
      <c r="F26" t="s">
        <v>6749</v>
      </c>
      <c r="G26" t="s">
        <v>6548</v>
      </c>
      <c r="H26">
        <v>245</v>
      </c>
      <c r="I26">
        <v>7</v>
      </c>
      <c r="J26">
        <v>7</v>
      </c>
      <c r="K26">
        <v>3</v>
      </c>
    </row>
    <row r="27" spans="1:12">
      <c r="A27" t="s">
        <v>6736</v>
      </c>
      <c r="B27" t="s">
        <v>1418</v>
      </c>
      <c r="C27" t="s">
        <v>6737</v>
      </c>
      <c r="D27" t="s">
        <v>6627</v>
      </c>
      <c r="E27">
        <v>6</v>
      </c>
      <c r="F27" t="s">
        <v>6751</v>
      </c>
      <c r="G27" t="s">
        <v>6555</v>
      </c>
      <c r="H27">
        <v>995</v>
      </c>
      <c r="I27">
        <v>7</v>
      </c>
      <c r="J27">
        <v>7</v>
      </c>
      <c r="K27">
        <v>4</v>
      </c>
    </row>
    <row r="28" spans="1:12">
      <c r="A28" t="s">
        <v>6740</v>
      </c>
      <c r="B28" t="s">
        <v>1418</v>
      </c>
      <c r="C28" t="s">
        <v>6741</v>
      </c>
      <c r="D28" t="s">
        <v>6550</v>
      </c>
      <c r="E28">
        <v>4</v>
      </c>
      <c r="F28" t="s">
        <v>6753</v>
      </c>
      <c r="G28" t="s">
        <v>6724</v>
      </c>
      <c r="H28">
        <v>1120</v>
      </c>
      <c r="I28">
        <v>7</v>
      </c>
      <c r="J28">
        <v>7</v>
      </c>
      <c r="K28">
        <v>6</v>
      </c>
      <c r="L28" t="s">
        <v>6743</v>
      </c>
    </row>
    <row r="29" spans="1:12">
      <c r="A29" t="s">
        <v>6725</v>
      </c>
      <c r="B29" t="s">
        <v>4216</v>
      </c>
      <c r="C29" t="s">
        <v>6768</v>
      </c>
      <c r="D29" t="s">
        <v>6769</v>
      </c>
      <c r="E29">
        <v>2</v>
      </c>
      <c r="F29" t="s">
        <v>6727</v>
      </c>
      <c r="G29" t="s">
        <v>6724</v>
      </c>
      <c r="H29">
        <v>125</v>
      </c>
      <c r="I29">
        <v>7</v>
      </c>
      <c r="J29">
        <v>7</v>
      </c>
      <c r="K29">
        <v>4</v>
      </c>
    </row>
    <row r="30" spans="1:12">
      <c r="A30" t="s">
        <v>6728</v>
      </c>
      <c r="B30" t="s">
        <v>4216</v>
      </c>
      <c r="C30" t="s">
        <v>6770</v>
      </c>
      <c r="D30" t="s">
        <v>6546</v>
      </c>
      <c r="E30">
        <v>2</v>
      </c>
      <c r="F30" t="s">
        <v>6731</v>
      </c>
      <c r="G30" t="s">
        <v>6612</v>
      </c>
      <c r="H30">
        <v>150</v>
      </c>
      <c r="I30">
        <v>7</v>
      </c>
      <c r="J30">
        <v>7</v>
      </c>
      <c r="K30">
        <v>2</v>
      </c>
    </row>
    <row r="31" spans="1:12">
      <c r="A31" t="s">
        <v>6732</v>
      </c>
      <c r="B31" t="s">
        <v>4216</v>
      </c>
      <c r="C31" t="s">
        <v>6771</v>
      </c>
      <c r="D31" t="s">
        <v>6560</v>
      </c>
      <c r="E31">
        <v>3</v>
      </c>
      <c r="F31" t="s">
        <v>6735</v>
      </c>
      <c r="G31" t="s">
        <v>6548</v>
      </c>
      <c r="H31">
        <v>250</v>
      </c>
      <c r="I31">
        <v>7</v>
      </c>
      <c r="J31">
        <v>7</v>
      </c>
      <c r="K31">
        <v>3</v>
      </c>
    </row>
    <row r="32" spans="1:12">
      <c r="A32" t="s">
        <v>6736</v>
      </c>
      <c r="B32" t="s">
        <v>4216</v>
      </c>
      <c r="C32" t="s">
        <v>6772</v>
      </c>
      <c r="D32" t="s">
        <v>6730</v>
      </c>
      <c r="E32">
        <v>4</v>
      </c>
      <c r="F32" t="s">
        <v>6739</v>
      </c>
      <c r="G32" t="s">
        <v>6555</v>
      </c>
      <c r="H32">
        <v>1000</v>
      </c>
      <c r="I32">
        <v>7</v>
      </c>
      <c r="J32">
        <v>7</v>
      </c>
      <c r="K32">
        <v>4</v>
      </c>
    </row>
    <row r="33" spans="1:12">
      <c r="A33" t="s">
        <v>6740</v>
      </c>
      <c r="B33" t="s">
        <v>4216</v>
      </c>
      <c r="C33" t="s">
        <v>6773</v>
      </c>
      <c r="D33" t="s">
        <v>6769</v>
      </c>
      <c r="E33">
        <v>2</v>
      </c>
      <c r="F33" t="s">
        <v>6742</v>
      </c>
      <c r="G33" t="s">
        <v>6724</v>
      </c>
      <c r="H33">
        <v>1125</v>
      </c>
      <c r="I33">
        <v>7</v>
      </c>
      <c r="J33">
        <v>7</v>
      </c>
      <c r="K33">
        <v>6</v>
      </c>
      <c r="L33" t="s">
        <v>6743</v>
      </c>
    </row>
    <row r="34" spans="1:12">
      <c r="A34" t="s">
        <v>6725</v>
      </c>
      <c r="B34" t="s">
        <v>4197</v>
      </c>
      <c r="C34" t="s">
        <v>6774</v>
      </c>
      <c r="D34" t="s">
        <v>6560</v>
      </c>
      <c r="E34">
        <v>3</v>
      </c>
      <c r="F34" t="s">
        <v>6775</v>
      </c>
      <c r="G34" t="s">
        <v>6612</v>
      </c>
      <c r="H34">
        <v>160</v>
      </c>
      <c r="I34">
        <v>6</v>
      </c>
      <c r="J34">
        <v>5</v>
      </c>
      <c r="K34">
        <v>4</v>
      </c>
    </row>
    <row r="35" spans="1:12">
      <c r="A35" t="s">
        <v>6728</v>
      </c>
      <c r="B35" t="s">
        <v>4197</v>
      </c>
      <c r="C35" t="s">
        <v>6776</v>
      </c>
      <c r="D35" t="s">
        <v>6730</v>
      </c>
      <c r="E35">
        <v>4</v>
      </c>
      <c r="F35" t="s">
        <v>6777</v>
      </c>
      <c r="G35" t="s">
        <v>6548</v>
      </c>
      <c r="H35">
        <v>180</v>
      </c>
      <c r="I35">
        <v>6</v>
      </c>
      <c r="J35">
        <v>5</v>
      </c>
      <c r="K35">
        <v>2</v>
      </c>
    </row>
    <row r="36" spans="1:12">
      <c r="A36" t="s">
        <v>6732</v>
      </c>
      <c r="B36" t="s">
        <v>4197</v>
      </c>
      <c r="C36" t="s">
        <v>6778</v>
      </c>
      <c r="D36" t="s">
        <v>6734</v>
      </c>
      <c r="E36">
        <v>5</v>
      </c>
      <c r="F36" t="s">
        <v>6779</v>
      </c>
      <c r="G36" t="s">
        <v>6555</v>
      </c>
      <c r="H36">
        <v>300</v>
      </c>
      <c r="I36">
        <v>6</v>
      </c>
      <c r="J36">
        <v>5</v>
      </c>
      <c r="K36">
        <v>3</v>
      </c>
    </row>
    <row r="37" spans="1:12">
      <c r="A37" t="s">
        <v>6736</v>
      </c>
      <c r="B37" t="s">
        <v>4197</v>
      </c>
      <c r="C37" t="s">
        <v>6780</v>
      </c>
      <c r="D37" t="s">
        <v>6738</v>
      </c>
      <c r="E37">
        <v>6</v>
      </c>
      <c r="F37" t="s">
        <v>6781</v>
      </c>
      <c r="G37" t="s">
        <v>6561</v>
      </c>
      <c r="H37">
        <v>1200</v>
      </c>
      <c r="I37">
        <v>6</v>
      </c>
      <c r="J37">
        <v>5</v>
      </c>
      <c r="K37">
        <v>4</v>
      </c>
    </row>
    <row r="38" spans="1:12">
      <c r="A38" t="s">
        <v>6740</v>
      </c>
      <c r="B38" t="s">
        <v>4197</v>
      </c>
      <c r="C38" t="s">
        <v>6782</v>
      </c>
      <c r="D38" t="s">
        <v>6546</v>
      </c>
      <c r="E38">
        <v>4</v>
      </c>
      <c r="F38" t="s">
        <v>6783</v>
      </c>
      <c r="G38" t="s">
        <v>6612</v>
      </c>
      <c r="H38">
        <v>1350</v>
      </c>
      <c r="I38">
        <v>6</v>
      </c>
      <c r="J38">
        <v>6</v>
      </c>
      <c r="K38">
        <v>6</v>
      </c>
      <c r="L38" t="s">
        <v>6743</v>
      </c>
    </row>
    <row r="39" spans="1:12">
      <c r="A39" t="s">
        <v>6784</v>
      </c>
      <c r="B39" t="s">
        <v>6625</v>
      </c>
      <c r="C39" t="s">
        <v>6785</v>
      </c>
      <c r="D39" t="s">
        <v>6546</v>
      </c>
      <c r="E39">
        <v>2</v>
      </c>
      <c r="F39" t="s">
        <v>6777</v>
      </c>
      <c r="G39" t="s">
        <v>6612</v>
      </c>
      <c r="H39">
        <v>300</v>
      </c>
      <c r="I39">
        <v>7</v>
      </c>
      <c r="J39">
        <v>4</v>
      </c>
      <c r="K39">
        <v>5</v>
      </c>
      <c r="L39" t="s">
        <v>6786</v>
      </c>
    </row>
  </sheetData>
  <pageMargins left="0.7" right="0.7" top="0.75" bottom="0.75" header="0.3" footer="0.3"/>
  <drawing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5"/>
  <sheetViews>
    <sheetView workbookViewId="0"/>
  </sheetViews>
  <sheetFormatPr baseColWidth="10" defaultColWidth="9.140625" defaultRowHeight="15"/>
  <sheetData>
    <row r="1" spans="1:11">
      <c r="A1" t="s">
        <v>4158</v>
      </c>
      <c r="B1" t="s">
        <v>6629</v>
      </c>
      <c r="C1" t="s">
        <v>6630</v>
      </c>
      <c r="D1" t="s">
        <v>6631</v>
      </c>
      <c r="E1" t="s">
        <v>6632</v>
      </c>
      <c r="F1" t="s">
        <v>5661</v>
      </c>
      <c r="G1" t="s">
        <v>6480</v>
      </c>
      <c r="H1" t="s">
        <v>6481</v>
      </c>
      <c r="I1" t="s">
        <v>6543</v>
      </c>
      <c r="J1" t="s">
        <v>5660</v>
      </c>
      <c r="K1" t="s">
        <v>6633</v>
      </c>
    </row>
    <row r="2" spans="1:11">
      <c r="A2" t="s">
        <v>6787</v>
      </c>
      <c r="B2" t="s">
        <v>6635</v>
      </c>
      <c r="C2" t="s">
        <v>6636</v>
      </c>
      <c r="D2" t="s">
        <v>6788</v>
      </c>
      <c r="E2" t="s">
        <v>6788</v>
      </c>
      <c r="F2" t="s">
        <v>6789</v>
      </c>
      <c r="J2" t="s">
        <v>6639</v>
      </c>
    </row>
    <row r="3" spans="1:11">
      <c r="A3" t="s">
        <v>6790</v>
      </c>
      <c r="B3" t="s">
        <v>6635</v>
      </c>
      <c r="C3" t="s">
        <v>6636</v>
      </c>
      <c r="D3" t="s">
        <v>6791</v>
      </c>
      <c r="E3" t="s">
        <v>6791</v>
      </c>
      <c r="F3" t="s">
        <v>6648</v>
      </c>
      <c r="G3">
        <v>6</v>
      </c>
      <c r="H3">
        <v>6</v>
      </c>
      <c r="J3" t="s">
        <v>6639</v>
      </c>
    </row>
    <row r="4" spans="1:11">
      <c r="A4" t="s">
        <v>6792</v>
      </c>
      <c r="B4" t="s">
        <v>6641</v>
      </c>
      <c r="C4" t="s">
        <v>6636</v>
      </c>
      <c r="D4" t="s">
        <v>6636</v>
      </c>
      <c r="E4" t="s">
        <v>6636</v>
      </c>
      <c r="F4" t="s">
        <v>6793</v>
      </c>
      <c r="G4">
        <v>6</v>
      </c>
      <c r="H4">
        <v>6</v>
      </c>
      <c r="J4" t="s">
        <v>6639</v>
      </c>
    </row>
    <row r="5" spans="1:11">
      <c r="A5" t="s">
        <v>6794</v>
      </c>
      <c r="B5" t="s">
        <v>6647</v>
      </c>
      <c r="C5" t="s">
        <v>6636</v>
      </c>
      <c r="D5" t="s">
        <v>6636</v>
      </c>
      <c r="E5" t="s">
        <v>6636</v>
      </c>
      <c r="F5" t="s">
        <v>6795</v>
      </c>
      <c r="G5">
        <v>6</v>
      </c>
      <c r="H5">
        <v>6</v>
      </c>
      <c r="J5" t="s">
        <v>6639</v>
      </c>
    </row>
    <row r="6" spans="1:11">
      <c r="A6" t="s">
        <v>6796</v>
      </c>
      <c r="B6" t="s">
        <v>6797</v>
      </c>
      <c r="C6" t="s">
        <v>6650</v>
      </c>
      <c r="D6" t="s">
        <v>6636</v>
      </c>
      <c r="E6" t="s">
        <v>6636</v>
      </c>
      <c r="F6" t="s">
        <v>6798</v>
      </c>
      <c r="G6">
        <v>7</v>
      </c>
      <c r="H6">
        <v>7</v>
      </c>
      <c r="I6">
        <v>3</v>
      </c>
      <c r="J6" t="s">
        <v>6639</v>
      </c>
      <c r="K6" t="s">
        <v>6652</v>
      </c>
    </row>
    <row r="7" spans="1:11">
      <c r="A7" t="s">
        <v>6799</v>
      </c>
      <c r="B7" t="s">
        <v>6647</v>
      </c>
      <c r="C7" t="s">
        <v>6654</v>
      </c>
      <c r="D7" t="s">
        <v>6636</v>
      </c>
      <c r="E7" t="s">
        <v>6636</v>
      </c>
      <c r="F7" t="s">
        <v>6800</v>
      </c>
      <c r="G7">
        <v>6</v>
      </c>
      <c r="H7">
        <v>6</v>
      </c>
      <c r="J7" t="s">
        <v>6639</v>
      </c>
    </row>
    <row r="8" spans="1:11">
      <c r="A8" t="s">
        <v>6801</v>
      </c>
      <c r="B8" t="s">
        <v>6797</v>
      </c>
      <c r="C8" t="s">
        <v>6657</v>
      </c>
      <c r="D8" t="s">
        <v>6636</v>
      </c>
      <c r="E8" t="s">
        <v>6636</v>
      </c>
      <c r="F8" t="s">
        <v>6802</v>
      </c>
      <c r="G8">
        <v>3</v>
      </c>
      <c r="H8">
        <v>2</v>
      </c>
      <c r="J8" t="s">
        <v>6639</v>
      </c>
    </row>
    <row r="9" spans="1:11">
      <c r="A9" t="s">
        <v>6803</v>
      </c>
      <c r="B9" t="s">
        <v>6797</v>
      </c>
      <c r="C9" t="s">
        <v>6660</v>
      </c>
      <c r="D9" t="s">
        <v>6636</v>
      </c>
      <c r="E9" t="s">
        <v>6636</v>
      </c>
      <c r="F9" t="s">
        <v>6711</v>
      </c>
      <c r="G9">
        <v>4</v>
      </c>
      <c r="H9">
        <v>2</v>
      </c>
      <c r="J9" t="s">
        <v>6639</v>
      </c>
    </row>
    <row r="10" spans="1:11">
      <c r="A10" t="s">
        <v>6804</v>
      </c>
      <c r="B10" t="s">
        <v>6797</v>
      </c>
      <c r="C10" t="s">
        <v>6663</v>
      </c>
      <c r="D10" t="s">
        <v>6636</v>
      </c>
      <c r="E10" t="s">
        <v>6636</v>
      </c>
      <c r="F10" t="s">
        <v>6679</v>
      </c>
      <c r="G10">
        <v>5</v>
      </c>
      <c r="H10">
        <v>4</v>
      </c>
      <c r="J10" t="s">
        <v>6639</v>
      </c>
    </row>
    <row r="11" spans="1:11">
      <c r="A11" t="s">
        <v>6805</v>
      </c>
      <c r="B11" t="s">
        <v>6797</v>
      </c>
      <c r="C11" t="s">
        <v>6666</v>
      </c>
      <c r="D11" t="s">
        <v>6636</v>
      </c>
      <c r="E11" t="s">
        <v>6636</v>
      </c>
      <c r="F11" t="s">
        <v>6806</v>
      </c>
      <c r="G11">
        <v>6</v>
      </c>
      <c r="H11">
        <v>5</v>
      </c>
      <c r="J11" t="s">
        <v>6639</v>
      </c>
    </row>
    <row r="12" spans="1:11">
      <c r="A12" t="s">
        <v>6807</v>
      </c>
      <c r="B12" t="s">
        <v>6797</v>
      </c>
      <c r="C12" t="s">
        <v>6657</v>
      </c>
      <c r="D12" t="s">
        <v>6636</v>
      </c>
      <c r="E12" t="s">
        <v>6636</v>
      </c>
      <c r="F12" t="s">
        <v>6808</v>
      </c>
      <c r="G12">
        <v>6</v>
      </c>
      <c r="H12">
        <v>5</v>
      </c>
      <c r="J12" t="s">
        <v>6639</v>
      </c>
      <c r="K12" t="s">
        <v>6670</v>
      </c>
    </row>
    <row r="13" spans="1:11">
      <c r="A13" t="s">
        <v>6809</v>
      </c>
      <c r="B13" t="s">
        <v>6797</v>
      </c>
      <c r="C13" t="s">
        <v>6672</v>
      </c>
      <c r="D13" t="s">
        <v>6636</v>
      </c>
      <c r="E13" t="s">
        <v>6636</v>
      </c>
      <c r="F13" t="s">
        <v>6810</v>
      </c>
      <c r="G13">
        <v>7</v>
      </c>
      <c r="H13">
        <v>6</v>
      </c>
      <c r="J13" t="s">
        <v>6639</v>
      </c>
    </row>
    <row r="14" spans="1:11">
      <c r="A14" t="s">
        <v>6811</v>
      </c>
      <c r="B14" t="s">
        <v>6797</v>
      </c>
      <c r="C14" t="s">
        <v>6650</v>
      </c>
      <c r="D14" t="s">
        <v>6636</v>
      </c>
      <c r="E14" t="s">
        <v>6636</v>
      </c>
      <c r="F14" t="s">
        <v>6808</v>
      </c>
      <c r="G14">
        <v>6</v>
      </c>
      <c r="H14">
        <v>6</v>
      </c>
      <c r="J14" t="s">
        <v>6639</v>
      </c>
    </row>
    <row r="15" spans="1:11">
      <c r="A15" t="s">
        <v>6812</v>
      </c>
      <c r="B15" t="s">
        <v>6647</v>
      </c>
      <c r="C15" t="s">
        <v>6676</v>
      </c>
      <c r="D15" t="s">
        <v>6636</v>
      </c>
      <c r="E15" t="s">
        <v>6636</v>
      </c>
      <c r="F15" t="s">
        <v>6679</v>
      </c>
      <c r="G15">
        <v>4</v>
      </c>
      <c r="H15">
        <v>4</v>
      </c>
      <c r="J15" t="s">
        <v>6639</v>
      </c>
      <c r="K15" t="s">
        <v>6677</v>
      </c>
    </row>
    <row r="16" spans="1:11">
      <c r="A16" t="s">
        <v>6813</v>
      </c>
      <c r="B16" t="s">
        <v>6647</v>
      </c>
      <c r="C16" t="s">
        <v>6676</v>
      </c>
      <c r="D16" t="s">
        <v>6636</v>
      </c>
      <c r="E16" t="s">
        <v>6636</v>
      </c>
      <c r="F16" t="s">
        <v>6814</v>
      </c>
      <c r="G16">
        <v>5</v>
      </c>
      <c r="H16">
        <v>5</v>
      </c>
      <c r="J16" t="s">
        <v>6680</v>
      </c>
      <c r="K16" t="s">
        <v>6681</v>
      </c>
    </row>
    <row r="17" spans="1:11">
      <c r="A17" t="s">
        <v>6815</v>
      </c>
      <c r="B17" t="s">
        <v>6660</v>
      </c>
      <c r="C17" t="s">
        <v>6816</v>
      </c>
      <c r="D17" t="s">
        <v>6816</v>
      </c>
      <c r="E17" t="s">
        <v>6687</v>
      </c>
      <c r="F17" t="s">
        <v>6817</v>
      </c>
      <c r="G17">
        <v>5</v>
      </c>
      <c r="H17">
        <v>4</v>
      </c>
      <c r="J17" t="s">
        <v>6818</v>
      </c>
    </row>
    <row r="18" spans="1:11">
      <c r="A18" t="s">
        <v>6819</v>
      </c>
      <c r="B18" t="s">
        <v>6657</v>
      </c>
      <c r="C18" t="s">
        <v>6663</v>
      </c>
      <c r="D18" t="s">
        <v>6663</v>
      </c>
      <c r="E18" t="s">
        <v>6687</v>
      </c>
      <c r="F18" t="s">
        <v>6820</v>
      </c>
      <c r="G18">
        <v>5</v>
      </c>
      <c r="H18">
        <v>5</v>
      </c>
      <c r="J18" t="s">
        <v>6639</v>
      </c>
      <c r="K18" t="s">
        <v>6821</v>
      </c>
    </row>
    <row r="19" spans="1:11">
      <c r="A19" t="s">
        <v>6822</v>
      </c>
      <c r="B19" t="s">
        <v>6636</v>
      </c>
      <c r="C19" t="s">
        <v>6657</v>
      </c>
      <c r="D19" t="s">
        <v>6657</v>
      </c>
      <c r="E19" t="s">
        <v>6691</v>
      </c>
      <c r="F19" t="s">
        <v>6817</v>
      </c>
      <c r="G19">
        <v>5</v>
      </c>
      <c r="H19">
        <v>4</v>
      </c>
      <c r="J19" t="s">
        <v>6639</v>
      </c>
      <c r="K19" t="s">
        <v>6823</v>
      </c>
    </row>
    <row r="20" spans="1:11">
      <c r="A20" t="s">
        <v>6824</v>
      </c>
      <c r="B20" t="s">
        <v>6676</v>
      </c>
      <c r="C20" t="s">
        <v>6654</v>
      </c>
      <c r="D20" t="s">
        <v>6654</v>
      </c>
      <c r="E20" t="s">
        <v>6691</v>
      </c>
      <c r="F20" t="s">
        <v>6825</v>
      </c>
      <c r="G20">
        <v>6</v>
      </c>
      <c r="H20">
        <v>5</v>
      </c>
      <c r="J20" t="s">
        <v>6639</v>
      </c>
      <c r="K20" t="s">
        <v>6695</v>
      </c>
    </row>
    <row r="21" spans="1:11">
      <c r="A21" t="s">
        <v>6826</v>
      </c>
      <c r="B21" t="s">
        <v>6657</v>
      </c>
      <c r="C21" t="s">
        <v>6816</v>
      </c>
      <c r="D21" t="s">
        <v>6816</v>
      </c>
      <c r="E21" t="s">
        <v>6636</v>
      </c>
      <c r="F21" t="s">
        <v>6817</v>
      </c>
      <c r="G21">
        <v>4</v>
      </c>
      <c r="H21">
        <v>3</v>
      </c>
      <c r="J21" t="s">
        <v>6818</v>
      </c>
      <c r="K21" t="s">
        <v>6698</v>
      </c>
    </row>
    <row r="22" spans="1:11">
      <c r="A22" t="s">
        <v>6827</v>
      </c>
      <c r="B22" t="s">
        <v>6676</v>
      </c>
      <c r="C22" t="s">
        <v>6828</v>
      </c>
      <c r="D22" t="s">
        <v>6828</v>
      </c>
      <c r="E22" t="s">
        <v>6636</v>
      </c>
      <c r="F22" t="s">
        <v>6829</v>
      </c>
      <c r="G22">
        <v>4</v>
      </c>
      <c r="H22">
        <v>4</v>
      </c>
      <c r="J22" t="s">
        <v>6639</v>
      </c>
    </row>
    <row r="23" spans="1:11">
      <c r="A23" t="s">
        <v>6830</v>
      </c>
      <c r="B23" t="s">
        <v>6636</v>
      </c>
      <c r="C23" t="s">
        <v>6676</v>
      </c>
      <c r="D23" t="s">
        <v>6676</v>
      </c>
      <c r="E23" t="s">
        <v>6702</v>
      </c>
      <c r="F23" t="s">
        <v>6831</v>
      </c>
      <c r="G23">
        <v>6</v>
      </c>
      <c r="H23">
        <v>6</v>
      </c>
      <c r="J23" t="s">
        <v>6639</v>
      </c>
      <c r="K23" t="s">
        <v>6704</v>
      </c>
    </row>
    <row r="24" spans="1:11">
      <c r="A24" t="s">
        <v>6832</v>
      </c>
      <c r="B24" t="s">
        <v>6635</v>
      </c>
      <c r="C24" t="s">
        <v>6636</v>
      </c>
      <c r="D24" t="s">
        <v>6691</v>
      </c>
      <c r="E24" t="s">
        <v>6691</v>
      </c>
      <c r="F24" t="s">
        <v>6789</v>
      </c>
      <c r="J24" t="s">
        <v>6636</v>
      </c>
      <c r="K24" t="s">
        <v>6833</v>
      </c>
    </row>
    <row r="25" spans="1:11">
      <c r="A25" t="s">
        <v>6834</v>
      </c>
      <c r="B25" t="s">
        <v>6641</v>
      </c>
      <c r="C25" t="s">
        <v>6636</v>
      </c>
      <c r="D25" t="s">
        <v>6636</v>
      </c>
      <c r="E25" t="s">
        <v>6636</v>
      </c>
      <c r="F25" t="s">
        <v>6835</v>
      </c>
      <c r="G25">
        <v>5</v>
      </c>
      <c r="H25">
        <v>4</v>
      </c>
      <c r="J25" t="s">
        <v>6636</v>
      </c>
      <c r="K25" t="s">
        <v>6836</v>
      </c>
    </row>
  </sheetData>
  <pageMargins left="0.7" right="0.7" top="0.75" bottom="0.75" header="0.3" footer="0.3"/>
  <drawing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5"/>
  <sheetViews>
    <sheetView workbookViewId="0"/>
  </sheetViews>
  <sheetFormatPr baseColWidth="10" defaultColWidth="9.140625" defaultRowHeight="15"/>
  <sheetData>
    <row r="1" spans="1:10">
      <c r="A1" t="s">
        <v>4158</v>
      </c>
      <c r="B1" t="s">
        <v>6837</v>
      </c>
      <c r="C1" t="s">
        <v>6838</v>
      </c>
      <c r="D1" t="s">
        <v>6839</v>
      </c>
      <c r="E1" t="s">
        <v>6840</v>
      </c>
      <c r="F1" t="s">
        <v>6841</v>
      </c>
      <c r="G1" t="s">
        <v>6842</v>
      </c>
      <c r="H1" t="s">
        <v>6843</v>
      </c>
      <c r="I1" t="s">
        <v>6844</v>
      </c>
      <c r="J1" t="s">
        <v>5661</v>
      </c>
    </row>
    <row r="2" spans="1:10">
      <c r="A2" t="s">
        <v>6845</v>
      </c>
      <c r="B2">
        <v>1</v>
      </c>
      <c r="C2" t="s">
        <v>6846</v>
      </c>
      <c r="D2">
        <v>12</v>
      </c>
      <c r="E2">
        <v>6</v>
      </c>
      <c r="F2">
        <v>0</v>
      </c>
      <c r="G2">
        <v>-6</v>
      </c>
      <c r="H2">
        <v>-12</v>
      </c>
      <c r="J2" t="s">
        <v>6847</v>
      </c>
    </row>
    <row r="3" spans="1:10">
      <c r="A3" t="s">
        <v>6848</v>
      </c>
      <c r="B3">
        <v>2</v>
      </c>
      <c r="C3" t="s">
        <v>6849</v>
      </c>
      <c r="D3">
        <v>12</v>
      </c>
      <c r="E3">
        <v>6</v>
      </c>
      <c r="F3">
        <v>1</v>
      </c>
      <c r="G3">
        <v>-5</v>
      </c>
      <c r="H3">
        <v>-10</v>
      </c>
      <c r="I3">
        <v>-15</v>
      </c>
      <c r="J3" t="s">
        <v>6850</v>
      </c>
    </row>
    <row r="4" spans="1:10">
      <c r="A4" t="s">
        <v>6851</v>
      </c>
      <c r="B4">
        <v>1</v>
      </c>
      <c r="C4" t="s">
        <v>6852</v>
      </c>
      <c r="D4">
        <v>12</v>
      </c>
      <c r="E4">
        <v>5</v>
      </c>
      <c r="F4">
        <v>-2</v>
      </c>
      <c r="G4">
        <v>-8</v>
      </c>
      <c r="H4">
        <v>-14</v>
      </c>
      <c r="J4" t="s">
        <v>6853</v>
      </c>
    </row>
    <row r="5" spans="1:10">
      <c r="A5" t="s">
        <v>6854</v>
      </c>
      <c r="B5">
        <v>1</v>
      </c>
      <c r="C5" t="s">
        <v>6855</v>
      </c>
      <c r="D5">
        <v>12</v>
      </c>
      <c r="E5">
        <v>6</v>
      </c>
      <c r="F5">
        <v>0</v>
      </c>
      <c r="G5">
        <v>-5</v>
      </c>
      <c r="H5">
        <v>-10</v>
      </c>
      <c r="J5" t="s">
        <v>6856</v>
      </c>
    </row>
  </sheetData>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8"/>
  <sheetViews>
    <sheetView workbookViewId="0"/>
  </sheetViews>
  <sheetFormatPr baseColWidth="10" defaultColWidth="9.140625" defaultRowHeight="15"/>
  <sheetData>
    <row r="1" spans="1:5">
      <c r="A1" t="s">
        <v>6857</v>
      </c>
      <c r="B1" t="s">
        <v>6858</v>
      </c>
      <c r="C1" t="s">
        <v>5777</v>
      </c>
      <c r="D1" t="s">
        <v>6859</v>
      </c>
      <c r="E1" t="s">
        <v>5661</v>
      </c>
    </row>
    <row r="2" spans="1:5">
      <c r="A2" t="s">
        <v>6860</v>
      </c>
      <c r="B2" t="s">
        <v>6861</v>
      </c>
      <c r="C2" t="s">
        <v>6862</v>
      </c>
      <c r="D2" t="s">
        <v>6863</v>
      </c>
      <c r="E2" t="s">
        <v>6664</v>
      </c>
    </row>
    <row r="3" spans="1:5">
      <c r="A3" t="s">
        <v>6864</v>
      </c>
      <c r="B3" t="s">
        <v>6865</v>
      </c>
      <c r="C3" t="s">
        <v>6636</v>
      </c>
      <c r="E3" t="s">
        <v>6802</v>
      </c>
    </row>
    <row r="4" spans="1:5">
      <c r="A4" t="s">
        <v>6866</v>
      </c>
      <c r="B4" t="s">
        <v>6867</v>
      </c>
      <c r="C4" t="s">
        <v>6636</v>
      </c>
      <c r="D4" t="s">
        <v>6868</v>
      </c>
      <c r="E4" t="s">
        <v>6798</v>
      </c>
    </row>
    <row r="5" spans="1:5">
      <c r="A5" t="s">
        <v>6869</v>
      </c>
      <c r="B5" t="s">
        <v>6870</v>
      </c>
      <c r="C5" t="s">
        <v>6871</v>
      </c>
      <c r="E5" t="s">
        <v>6872</v>
      </c>
    </row>
    <row r="6" spans="1:5">
      <c r="A6" t="s">
        <v>6873</v>
      </c>
      <c r="B6" t="s">
        <v>6874</v>
      </c>
      <c r="C6" t="s">
        <v>6875</v>
      </c>
      <c r="E6" t="s">
        <v>6667</v>
      </c>
    </row>
    <row r="7" spans="1:5">
      <c r="A7" t="s">
        <v>6876</v>
      </c>
      <c r="B7" t="s">
        <v>6877</v>
      </c>
      <c r="C7" t="s">
        <v>6878</v>
      </c>
      <c r="D7" t="s">
        <v>6879</v>
      </c>
      <c r="E7" t="s">
        <v>6880</v>
      </c>
    </row>
    <row r="8" spans="1:5">
      <c r="A8" t="s">
        <v>2366</v>
      </c>
      <c r="B8" t="s">
        <v>6881</v>
      </c>
      <c r="C8" t="s">
        <v>6882</v>
      </c>
      <c r="D8" t="s">
        <v>6883</v>
      </c>
      <c r="E8" t="s">
        <v>6679</v>
      </c>
    </row>
  </sheetData>
  <pageMargins left="0.7" right="0.7" top="0.75" bottom="0.75" header="0.3" footer="0.3"/>
  <drawing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8"/>
  <sheetViews>
    <sheetView workbookViewId="0"/>
  </sheetViews>
  <sheetFormatPr baseColWidth="10" defaultColWidth="9.140625" defaultRowHeight="15"/>
  <sheetData>
    <row r="1" spans="1:2">
      <c r="A1" t="s">
        <v>756</v>
      </c>
      <c r="B1" t="s">
        <v>5661</v>
      </c>
    </row>
    <row r="2" spans="1:2">
      <c r="A2">
        <v>1</v>
      </c>
      <c r="B2" t="s">
        <v>6884</v>
      </c>
    </row>
    <row r="3" spans="1:2">
      <c r="A3">
        <v>2</v>
      </c>
      <c r="B3" t="s">
        <v>6885</v>
      </c>
    </row>
    <row r="4" spans="1:2">
      <c r="A4">
        <v>3</v>
      </c>
      <c r="B4" t="s">
        <v>6886</v>
      </c>
    </row>
    <row r="5" spans="1:2">
      <c r="A5">
        <v>4</v>
      </c>
      <c r="B5" t="s">
        <v>6887</v>
      </c>
    </row>
    <row r="6" spans="1:2">
      <c r="A6">
        <v>5</v>
      </c>
      <c r="B6" t="s">
        <v>6888</v>
      </c>
    </row>
    <row r="7" spans="1:2">
      <c r="A7">
        <v>6</v>
      </c>
      <c r="B7" t="s">
        <v>6889</v>
      </c>
    </row>
    <row r="8" spans="1:2">
      <c r="A8">
        <v>7</v>
      </c>
      <c r="B8" t="s">
        <v>6890</v>
      </c>
    </row>
  </sheetData>
  <pageMargins left="0.7" right="0.7" top="0.75" bottom="0.75" header="0.3" footer="0.3"/>
  <drawing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6"/>
  <sheetViews>
    <sheetView workbookViewId="0"/>
  </sheetViews>
  <sheetFormatPr baseColWidth="10" defaultColWidth="9.140625" defaultRowHeight="15"/>
  <sheetData>
    <row r="1" spans="1:3">
      <c r="A1" t="s">
        <v>20</v>
      </c>
      <c r="B1" t="s">
        <v>4146</v>
      </c>
      <c r="C1" t="s">
        <v>4145</v>
      </c>
    </row>
    <row r="2" spans="1:3">
      <c r="A2">
        <v>0</v>
      </c>
      <c r="B2">
        <v>0</v>
      </c>
      <c r="C2">
        <v>0</v>
      </c>
    </row>
    <row r="3" spans="1:3">
      <c r="A3">
        <v>1</v>
      </c>
      <c r="B3">
        <v>15</v>
      </c>
      <c r="C3">
        <v>15</v>
      </c>
    </row>
    <row r="4" spans="1:3">
      <c r="A4">
        <v>2</v>
      </c>
      <c r="B4">
        <v>30</v>
      </c>
      <c r="C4">
        <v>15</v>
      </c>
    </row>
    <row r="5" spans="1:3">
      <c r="A5">
        <v>3</v>
      </c>
      <c r="B5">
        <v>50</v>
      </c>
      <c r="C5">
        <v>20</v>
      </c>
    </row>
    <row r="6" spans="1:3">
      <c r="A6">
        <v>4</v>
      </c>
      <c r="B6">
        <v>75</v>
      </c>
      <c r="C6">
        <v>25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6"/>
  <sheetViews>
    <sheetView workbookViewId="0"/>
  </sheetViews>
  <sheetFormatPr baseColWidth="10" defaultColWidth="9.140625" defaultRowHeight="15"/>
  <sheetData>
    <row r="1" spans="1:3">
      <c r="A1" t="s">
        <v>20</v>
      </c>
      <c r="B1" t="s">
        <v>4146</v>
      </c>
      <c r="C1" t="s">
        <v>4145</v>
      </c>
    </row>
    <row r="2" spans="1:3">
      <c r="A2">
        <v>0</v>
      </c>
      <c r="B2">
        <v>0</v>
      </c>
      <c r="C2">
        <v>0</v>
      </c>
    </row>
    <row r="3" spans="1:3">
      <c r="A3">
        <v>1</v>
      </c>
      <c r="B3">
        <v>10</v>
      </c>
      <c r="C3">
        <v>10</v>
      </c>
    </row>
    <row r="4" spans="1:3">
      <c r="A4">
        <v>2</v>
      </c>
      <c r="B4">
        <v>25</v>
      </c>
      <c r="C4">
        <v>15</v>
      </c>
    </row>
    <row r="5" spans="1:3">
      <c r="A5">
        <v>3</v>
      </c>
      <c r="B5">
        <v>40</v>
      </c>
      <c r="C5">
        <v>15</v>
      </c>
    </row>
    <row r="6" spans="1:3">
      <c r="A6">
        <v>4</v>
      </c>
      <c r="B6">
        <v>55</v>
      </c>
      <c r="C6">
        <v>15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42"/>
  <sheetViews>
    <sheetView workbookViewId="0"/>
  </sheetViews>
  <sheetFormatPr baseColWidth="10" defaultColWidth="9.140625" defaultRowHeight="15"/>
  <sheetData>
    <row r="1" spans="1:24">
      <c r="A1" t="s">
        <v>4158</v>
      </c>
      <c r="B1" t="s">
        <v>4147</v>
      </c>
      <c r="C1" t="s">
        <v>6891</v>
      </c>
      <c r="D1" t="s">
        <v>6172</v>
      </c>
      <c r="E1" t="s">
        <v>6892</v>
      </c>
      <c r="F1" t="s">
        <v>6893</v>
      </c>
      <c r="G1" t="s">
        <v>6894</v>
      </c>
      <c r="H1" t="s">
        <v>6895</v>
      </c>
      <c r="I1" t="s">
        <v>6896</v>
      </c>
      <c r="J1" t="s">
        <v>5777</v>
      </c>
      <c r="K1" t="s">
        <v>6612</v>
      </c>
      <c r="L1" t="s">
        <v>6622</v>
      </c>
      <c r="M1" t="s">
        <v>6558</v>
      </c>
      <c r="N1" t="s">
        <v>6846</v>
      </c>
      <c r="O1" t="s">
        <v>6897</v>
      </c>
      <c r="P1" t="s">
        <v>6898</v>
      </c>
      <c r="Q1" t="s">
        <v>6899</v>
      </c>
      <c r="R1" t="s">
        <v>6900</v>
      </c>
      <c r="S1" t="s">
        <v>6901</v>
      </c>
      <c r="T1" t="s">
        <v>6902</v>
      </c>
      <c r="U1" t="s">
        <v>6903</v>
      </c>
      <c r="V1" t="s">
        <v>5661</v>
      </c>
      <c r="W1" t="s">
        <v>6904</v>
      </c>
      <c r="X1" t="s">
        <v>6905</v>
      </c>
    </row>
    <row r="2" spans="1:24">
      <c r="A2" t="s">
        <v>6544</v>
      </c>
      <c r="B2" t="s">
        <v>6545</v>
      </c>
      <c r="D2" t="s">
        <v>5734</v>
      </c>
      <c r="F2">
        <v>7</v>
      </c>
      <c r="G2" t="s">
        <v>6546</v>
      </c>
      <c r="J2">
        <v>0</v>
      </c>
      <c r="K2" t="s">
        <v>6663</v>
      </c>
      <c r="L2" t="s">
        <v>6636</v>
      </c>
      <c r="M2" t="s">
        <v>6788</v>
      </c>
      <c r="N2" t="s">
        <v>5861</v>
      </c>
      <c r="O2" t="s">
        <v>5861</v>
      </c>
      <c r="P2" t="s">
        <v>5861</v>
      </c>
      <c r="Q2" t="s">
        <v>6548</v>
      </c>
      <c r="R2">
        <v>6</v>
      </c>
      <c r="S2">
        <v>9</v>
      </c>
      <c r="V2" t="s">
        <v>6714</v>
      </c>
    </row>
    <row r="3" spans="1:24">
      <c r="A3" t="s">
        <v>6906</v>
      </c>
      <c r="B3" t="s">
        <v>4190</v>
      </c>
      <c r="D3" t="s">
        <v>5734</v>
      </c>
      <c r="F3">
        <v>5</v>
      </c>
      <c r="G3" t="s">
        <v>6546</v>
      </c>
      <c r="I3" t="s">
        <v>6654</v>
      </c>
      <c r="J3">
        <v>1</v>
      </c>
      <c r="K3" t="s">
        <v>6907</v>
      </c>
      <c r="L3" t="s">
        <v>6657</v>
      </c>
      <c r="M3" t="s">
        <v>6908</v>
      </c>
      <c r="N3" t="s">
        <v>6909</v>
      </c>
      <c r="O3" t="s">
        <v>5861</v>
      </c>
      <c r="P3" t="s">
        <v>5861</v>
      </c>
      <c r="Q3" t="s">
        <v>6548</v>
      </c>
      <c r="R3">
        <v>6</v>
      </c>
      <c r="S3">
        <v>9</v>
      </c>
      <c r="U3">
        <v>1</v>
      </c>
      <c r="V3" t="s">
        <v>6910</v>
      </c>
    </row>
    <row r="4" spans="1:24">
      <c r="A4" t="s">
        <v>6911</v>
      </c>
      <c r="B4" t="s">
        <v>4190</v>
      </c>
      <c r="D4" t="s">
        <v>5734</v>
      </c>
      <c r="F4">
        <v>7</v>
      </c>
      <c r="G4" t="s">
        <v>6560</v>
      </c>
      <c r="I4" t="s">
        <v>6654</v>
      </c>
      <c r="J4">
        <v>2</v>
      </c>
      <c r="K4" t="s">
        <v>6650</v>
      </c>
      <c r="L4" t="s">
        <v>6657</v>
      </c>
      <c r="M4" t="s">
        <v>6912</v>
      </c>
      <c r="N4" t="s">
        <v>6913</v>
      </c>
      <c r="O4" t="s">
        <v>5861</v>
      </c>
      <c r="P4" t="s">
        <v>5861</v>
      </c>
      <c r="Q4" t="s">
        <v>6555</v>
      </c>
      <c r="R4">
        <v>6</v>
      </c>
      <c r="S4">
        <v>9</v>
      </c>
      <c r="U4">
        <v>1</v>
      </c>
      <c r="V4" t="s">
        <v>6914</v>
      </c>
    </row>
    <row r="5" spans="1:24">
      <c r="A5" t="s">
        <v>6915</v>
      </c>
      <c r="B5" t="s">
        <v>4190</v>
      </c>
      <c r="D5" t="s">
        <v>5734</v>
      </c>
      <c r="F5">
        <v>10</v>
      </c>
      <c r="G5" t="s">
        <v>6560</v>
      </c>
      <c r="I5" t="s">
        <v>6654</v>
      </c>
      <c r="J5">
        <v>3</v>
      </c>
      <c r="K5" t="s">
        <v>6666</v>
      </c>
      <c r="L5" t="s">
        <v>6657</v>
      </c>
      <c r="M5" t="s">
        <v>6912</v>
      </c>
      <c r="N5" t="s">
        <v>6916</v>
      </c>
      <c r="O5" t="s">
        <v>6917</v>
      </c>
      <c r="P5" t="s">
        <v>5861</v>
      </c>
      <c r="Q5" t="s">
        <v>6558</v>
      </c>
      <c r="R5">
        <v>7</v>
      </c>
      <c r="S5">
        <v>9</v>
      </c>
      <c r="U5">
        <v>1</v>
      </c>
      <c r="V5" t="s">
        <v>6669</v>
      </c>
    </row>
    <row r="6" spans="1:24">
      <c r="A6" t="s">
        <v>6918</v>
      </c>
      <c r="B6" t="s">
        <v>4190</v>
      </c>
      <c r="D6" t="s">
        <v>5734</v>
      </c>
      <c r="F6">
        <v>7</v>
      </c>
      <c r="G6" t="s">
        <v>6560</v>
      </c>
      <c r="J6">
        <v>1</v>
      </c>
      <c r="K6" t="s">
        <v>6650</v>
      </c>
      <c r="L6" t="s">
        <v>6657</v>
      </c>
      <c r="M6" t="s">
        <v>6912</v>
      </c>
      <c r="N6" t="s">
        <v>6913</v>
      </c>
      <c r="O6" t="s">
        <v>5861</v>
      </c>
      <c r="P6" t="s">
        <v>5861</v>
      </c>
      <c r="Q6" t="s">
        <v>6561</v>
      </c>
      <c r="R6">
        <v>7</v>
      </c>
      <c r="S6">
        <v>9</v>
      </c>
      <c r="U6">
        <v>1</v>
      </c>
      <c r="V6" t="s">
        <v>6919</v>
      </c>
    </row>
    <row r="7" spans="1:24">
      <c r="A7" t="s">
        <v>6920</v>
      </c>
      <c r="B7" t="s">
        <v>1094</v>
      </c>
      <c r="D7" t="s">
        <v>5734</v>
      </c>
      <c r="F7">
        <v>9</v>
      </c>
      <c r="G7" t="s">
        <v>6560</v>
      </c>
      <c r="I7" t="s">
        <v>6654</v>
      </c>
      <c r="J7">
        <v>2</v>
      </c>
      <c r="K7" t="s">
        <v>6672</v>
      </c>
      <c r="L7" t="s">
        <v>6657</v>
      </c>
      <c r="M7" t="s">
        <v>6912</v>
      </c>
      <c r="N7" t="s">
        <v>6921</v>
      </c>
      <c r="O7" t="s">
        <v>5861</v>
      </c>
      <c r="P7" t="s">
        <v>5861</v>
      </c>
      <c r="Q7" t="s">
        <v>6561</v>
      </c>
      <c r="R7">
        <v>6</v>
      </c>
      <c r="S7">
        <v>9</v>
      </c>
      <c r="U7">
        <v>1</v>
      </c>
      <c r="V7" t="s">
        <v>6661</v>
      </c>
    </row>
    <row r="8" spans="1:24">
      <c r="A8" t="s">
        <v>6922</v>
      </c>
      <c r="B8" t="s">
        <v>1094</v>
      </c>
      <c r="D8" t="s">
        <v>5734</v>
      </c>
      <c r="F8">
        <v>12</v>
      </c>
      <c r="G8" t="s">
        <v>6560</v>
      </c>
      <c r="I8" t="s">
        <v>6654</v>
      </c>
      <c r="J8">
        <v>3</v>
      </c>
      <c r="K8" t="s">
        <v>6650</v>
      </c>
      <c r="L8" t="s">
        <v>6657</v>
      </c>
      <c r="M8" t="s">
        <v>6912</v>
      </c>
      <c r="N8" t="s">
        <v>6923</v>
      </c>
      <c r="O8" t="s">
        <v>5861</v>
      </c>
      <c r="P8" t="s">
        <v>5861</v>
      </c>
      <c r="Q8" t="s">
        <v>6565</v>
      </c>
      <c r="R8">
        <v>7</v>
      </c>
      <c r="S8">
        <v>9</v>
      </c>
      <c r="U8">
        <v>4</v>
      </c>
      <c r="V8" t="s">
        <v>6802</v>
      </c>
    </row>
    <row r="9" spans="1:24">
      <c r="A9" t="s">
        <v>6924</v>
      </c>
      <c r="B9" t="s">
        <v>1094</v>
      </c>
      <c r="D9" t="s">
        <v>6567</v>
      </c>
      <c r="F9">
        <v>15</v>
      </c>
      <c r="G9" t="s">
        <v>6730</v>
      </c>
      <c r="I9" t="s">
        <v>6654</v>
      </c>
      <c r="J9">
        <v>3</v>
      </c>
      <c r="K9" t="s">
        <v>6650</v>
      </c>
      <c r="L9" t="s">
        <v>6657</v>
      </c>
      <c r="M9" t="s">
        <v>6791</v>
      </c>
      <c r="N9" t="s">
        <v>6913</v>
      </c>
      <c r="O9" t="s">
        <v>5861</v>
      </c>
      <c r="P9" t="s">
        <v>5861</v>
      </c>
      <c r="Q9" t="s">
        <v>6570</v>
      </c>
      <c r="R9">
        <v>9</v>
      </c>
      <c r="S9">
        <v>9</v>
      </c>
      <c r="U9">
        <v>6</v>
      </c>
      <c r="V9" t="s">
        <v>6714</v>
      </c>
    </row>
    <row r="10" spans="1:24">
      <c r="A10" t="s">
        <v>6925</v>
      </c>
      <c r="B10" t="s">
        <v>6571</v>
      </c>
      <c r="D10" t="s">
        <v>5734</v>
      </c>
      <c r="F10">
        <v>9</v>
      </c>
      <c r="G10" t="s">
        <v>6546</v>
      </c>
      <c r="I10" t="s">
        <v>6654</v>
      </c>
      <c r="J10">
        <v>2</v>
      </c>
      <c r="K10" t="s">
        <v>6672</v>
      </c>
      <c r="L10" t="s">
        <v>6657</v>
      </c>
      <c r="M10" t="s">
        <v>6926</v>
      </c>
      <c r="N10" t="s">
        <v>6909</v>
      </c>
      <c r="O10" t="s">
        <v>5861</v>
      </c>
      <c r="P10" t="s">
        <v>5861</v>
      </c>
      <c r="Q10" t="s">
        <v>6555</v>
      </c>
      <c r="R10">
        <v>6</v>
      </c>
      <c r="S10">
        <v>9</v>
      </c>
      <c r="U10">
        <v>1</v>
      </c>
      <c r="V10" t="s">
        <v>6914</v>
      </c>
    </row>
    <row r="11" spans="1:24">
      <c r="A11" t="s">
        <v>6927</v>
      </c>
      <c r="B11" t="s">
        <v>6571</v>
      </c>
      <c r="D11" t="s">
        <v>5734</v>
      </c>
      <c r="F11">
        <v>11</v>
      </c>
      <c r="G11" t="s">
        <v>6560</v>
      </c>
      <c r="I11" t="s">
        <v>6654</v>
      </c>
      <c r="J11">
        <v>2</v>
      </c>
      <c r="K11" t="s">
        <v>6650</v>
      </c>
      <c r="L11" t="s">
        <v>6657</v>
      </c>
      <c r="M11" t="s">
        <v>6912</v>
      </c>
      <c r="N11" t="s">
        <v>6913</v>
      </c>
      <c r="O11" t="s">
        <v>5861</v>
      </c>
      <c r="P11" t="s">
        <v>5861</v>
      </c>
      <c r="Q11" t="s">
        <v>6574</v>
      </c>
      <c r="R11">
        <v>6</v>
      </c>
      <c r="S11">
        <v>9</v>
      </c>
      <c r="U11">
        <v>1</v>
      </c>
      <c r="V11" t="s">
        <v>6928</v>
      </c>
    </row>
    <row r="12" spans="1:24">
      <c r="A12" t="s">
        <v>6929</v>
      </c>
      <c r="B12" t="s">
        <v>6571</v>
      </c>
      <c r="D12" t="s">
        <v>5734</v>
      </c>
      <c r="F12">
        <v>12</v>
      </c>
      <c r="G12" t="s">
        <v>6560</v>
      </c>
      <c r="I12" t="s">
        <v>6654</v>
      </c>
      <c r="J12">
        <v>3</v>
      </c>
      <c r="K12" t="s">
        <v>6666</v>
      </c>
      <c r="L12" t="s">
        <v>6657</v>
      </c>
      <c r="M12" t="s">
        <v>6912</v>
      </c>
      <c r="N12" t="s">
        <v>6916</v>
      </c>
      <c r="O12" t="s">
        <v>6917</v>
      </c>
      <c r="P12" t="s">
        <v>5861</v>
      </c>
      <c r="Q12" t="s">
        <v>6575</v>
      </c>
      <c r="R12">
        <v>7</v>
      </c>
      <c r="S12">
        <v>9</v>
      </c>
      <c r="U12">
        <v>2</v>
      </c>
      <c r="V12" t="s">
        <v>6930</v>
      </c>
    </row>
    <row r="13" spans="1:24">
      <c r="A13" t="s">
        <v>6576</v>
      </c>
      <c r="B13" t="s">
        <v>6571</v>
      </c>
      <c r="D13" t="s">
        <v>5734</v>
      </c>
      <c r="F13">
        <v>13</v>
      </c>
      <c r="G13" t="s">
        <v>6560</v>
      </c>
      <c r="I13" t="s">
        <v>6654</v>
      </c>
      <c r="J13">
        <v>3</v>
      </c>
      <c r="K13" t="s">
        <v>6672</v>
      </c>
      <c r="L13" t="s">
        <v>6657</v>
      </c>
      <c r="M13" t="s">
        <v>6912</v>
      </c>
      <c r="N13" t="s">
        <v>6916</v>
      </c>
      <c r="O13" t="s">
        <v>6917</v>
      </c>
      <c r="P13" t="s">
        <v>5861</v>
      </c>
      <c r="Q13" t="s">
        <v>6565</v>
      </c>
      <c r="R13">
        <v>6</v>
      </c>
      <c r="S13">
        <v>9</v>
      </c>
      <c r="U13">
        <v>6</v>
      </c>
      <c r="V13" t="s">
        <v>6673</v>
      </c>
    </row>
    <row r="14" spans="1:24">
      <c r="A14" t="s">
        <v>6931</v>
      </c>
      <c r="B14" t="s">
        <v>4174</v>
      </c>
      <c r="D14" t="s">
        <v>5734</v>
      </c>
      <c r="F14">
        <v>9</v>
      </c>
      <c r="G14" t="s">
        <v>6546</v>
      </c>
      <c r="I14" t="s">
        <v>6654</v>
      </c>
      <c r="J14">
        <v>2</v>
      </c>
      <c r="K14" t="s">
        <v>6907</v>
      </c>
      <c r="L14" t="s">
        <v>6660</v>
      </c>
      <c r="M14" t="s">
        <v>6932</v>
      </c>
      <c r="N14" t="s">
        <v>6913</v>
      </c>
      <c r="O14" t="s">
        <v>5861</v>
      </c>
      <c r="P14" t="s">
        <v>5861</v>
      </c>
      <c r="Q14" t="s">
        <v>6561</v>
      </c>
      <c r="R14">
        <v>6</v>
      </c>
      <c r="S14">
        <v>9</v>
      </c>
      <c r="U14">
        <v>1</v>
      </c>
      <c r="V14" t="s">
        <v>6847</v>
      </c>
    </row>
    <row r="15" spans="1:24">
      <c r="A15" t="s">
        <v>6933</v>
      </c>
      <c r="B15" t="s">
        <v>4174</v>
      </c>
      <c r="D15" t="s">
        <v>5734</v>
      </c>
      <c r="F15">
        <v>11</v>
      </c>
      <c r="G15" t="s">
        <v>6560</v>
      </c>
      <c r="I15" t="s">
        <v>6654</v>
      </c>
      <c r="J15">
        <v>2</v>
      </c>
      <c r="K15" t="s">
        <v>6672</v>
      </c>
      <c r="L15" t="s">
        <v>6660</v>
      </c>
      <c r="M15" t="s">
        <v>6912</v>
      </c>
      <c r="N15" t="s">
        <v>6916</v>
      </c>
      <c r="O15" t="s">
        <v>5861</v>
      </c>
      <c r="P15" t="s">
        <v>5861</v>
      </c>
      <c r="Q15" t="s">
        <v>6580</v>
      </c>
      <c r="R15">
        <v>6</v>
      </c>
      <c r="S15">
        <v>9</v>
      </c>
      <c r="U15">
        <v>1</v>
      </c>
      <c r="V15" t="s">
        <v>6934</v>
      </c>
    </row>
    <row r="16" spans="1:24">
      <c r="A16" t="s">
        <v>6935</v>
      </c>
      <c r="B16" t="s">
        <v>4174</v>
      </c>
      <c r="D16" t="s">
        <v>5734</v>
      </c>
      <c r="F16">
        <v>12</v>
      </c>
      <c r="G16" t="s">
        <v>6560</v>
      </c>
      <c r="I16" t="s">
        <v>6654</v>
      </c>
      <c r="J16">
        <v>2</v>
      </c>
      <c r="K16" t="s">
        <v>6666</v>
      </c>
      <c r="L16" t="s">
        <v>6657</v>
      </c>
      <c r="M16" t="s">
        <v>6936</v>
      </c>
      <c r="N16" t="s">
        <v>6937</v>
      </c>
      <c r="O16" t="s">
        <v>5861</v>
      </c>
      <c r="P16" t="s">
        <v>5861</v>
      </c>
      <c r="Q16" t="s">
        <v>6582</v>
      </c>
      <c r="R16">
        <v>6</v>
      </c>
      <c r="S16">
        <v>9</v>
      </c>
      <c r="U16">
        <v>1</v>
      </c>
      <c r="V16" t="s">
        <v>6938</v>
      </c>
    </row>
    <row r="17" spans="1:22">
      <c r="A17" t="s">
        <v>6939</v>
      </c>
      <c r="B17" t="s">
        <v>4174</v>
      </c>
      <c r="D17" t="s">
        <v>6584</v>
      </c>
      <c r="F17">
        <v>12</v>
      </c>
      <c r="G17" t="s">
        <v>6560</v>
      </c>
      <c r="I17" t="s">
        <v>6654</v>
      </c>
      <c r="J17">
        <v>2</v>
      </c>
      <c r="K17" t="s">
        <v>6940</v>
      </c>
      <c r="L17" t="s">
        <v>6660</v>
      </c>
      <c r="M17" t="s">
        <v>6932</v>
      </c>
      <c r="N17" t="s">
        <v>6913</v>
      </c>
      <c r="O17" t="s">
        <v>5861</v>
      </c>
      <c r="P17" t="s">
        <v>5861</v>
      </c>
      <c r="Q17" t="s">
        <v>6586</v>
      </c>
      <c r="R17">
        <v>6</v>
      </c>
      <c r="S17">
        <v>9</v>
      </c>
      <c r="U17">
        <v>3</v>
      </c>
      <c r="V17" t="s">
        <v>6886</v>
      </c>
    </row>
    <row r="18" spans="1:22">
      <c r="A18" t="s">
        <v>6941</v>
      </c>
      <c r="B18" t="s">
        <v>4174</v>
      </c>
      <c r="D18" t="s">
        <v>6584</v>
      </c>
      <c r="F18">
        <v>13</v>
      </c>
      <c r="G18" t="s">
        <v>6730</v>
      </c>
      <c r="I18" t="s">
        <v>6654</v>
      </c>
      <c r="J18">
        <v>2</v>
      </c>
      <c r="K18" t="s">
        <v>6650</v>
      </c>
      <c r="L18" t="s">
        <v>6657</v>
      </c>
      <c r="M18" t="s">
        <v>6936</v>
      </c>
      <c r="N18" t="s">
        <v>6937</v>
      </c>
      <c r="O18" t="s">
        <v>5861</v>
      </c>
      <c r="P18" t="s">
        <v>5861</v>
      </c>
      <c r="Q18" t="s">
        <v>6589</v>
      </c>
      <c r="R18">
        <v>6</v>
      </c>
      <c r="S18">
        <v>9</v>
      </c>
      <c r="U18">
        <v>3</v>
      </c>
      <c r="V18" t="s">
        <v>6942</v>
      </c>
    </row>
    <row r="19" spans="1:22">
      <c r="A19" t="s">
        <v>6590</v>
      </c>
      <c r="B19" t="s">
        <v>4174</v>
      </c>
      <c r="D19" t="s">
        <v>6591</v>
      </c>
      <c r="F19">
        <v>12</v>
      </c>
      <c r="G19" t="s">
        <v>6730</v>
      </c>
      <c r="I19" t="s">
        <v>6654</v>
      </c>
      <c r="J19">
        <v>3</v>
      </c>
      <c r="K19" t="s">
        <v>6650</v>
      </c>
      <c r="L19" t="s">
        <v>6660</v>
      </c>
      <c r="M19" t="s">
        <v>6936</v>
      </c>
      <c r="N19" t="s">
        <v>6937</v>
      </c>
      <c r="O19" t="s">
        <v>6943</v>
      </c>
      <c r="P19" t="s">
        <v>5861</v>
      </c>
      <c r="Q19" t="s">
        <v>6575</v>
      </c>
      <c r="R19">
        <v>7</v>
      </c>
      <c r="S19">
        <v>9</v>
      </c>
      <c r="U19">
        <v>6</v>
      </c>
      <c r="V19" t="s">
        <v>6944</v>
      </c>
    </row>
    <row r="20" spans="1:22">
      <c r="A20" t="s">
        <v>6945</v>
      </c>
      <c r="B20" t="s">
        <v>4229</v>
      </c>
      <c r="D20" t="s">
        <v>5734</v>
      </c>
      <c r="F20">
        <v>12</v>
      </c>
      <c r="G20" t="s">
        <v>6560</v>
      </c>
      <c r="I20" t="s">
        <v>6654</v>
      </c>
      <c r="J20">
        <v>2</v>
      </c>
      <c r="K20" t="s">
        <v>6650</v>
      </c>
      <c r="L20" t="s">
        <v>6654</v>
      </c>
      <c r="M20" t="s">
        <v>6946</v>
      </c>
      <c r="N20" t="s">
        <v>6947</v>
      </c>
      <c r="O20" t="s">
        <v>5861</v>
      </c>
      <c r="P20" t="s">
        <v>5861</v>
      </c>
      <c r="Q20" t="s">
        <v>6548</v>
      </c>
      <c r="R20">
        <v>7</v>
      </c>
      <c r="S20">
        <v>9</v>
      </c>
      <c r="U20">
        <v>4</v>
      </c>
      <c r="V20" t="s">
        <v>6914</v>
      </c>
    </row>
    <row r="21" spans="1:22">
      <c r="A21" t="s">
        <v>6948</v>
      </c>
      <c r="B21" t="s">
        <v>4229</v>
      </c>
      <c r="D21" t="s">
        <v>5734</v>
      </c>
      <c r="F21">
        <v>14</v>
      </c>
      <c r="G21" t="s">
        <v>6560</v>
      </c>
      <c r="I21" t="s">
        <v>6657</v>
      </c>
      <c r="J21">
        <v>2</v>
      </c>
      <c r="K21" t="s">
        <v>6666</v>
      </c>
      <c r="L21" t="s">
        <v>6654</v>
      </c>
      <c r="M21" t="s">
        <v>6932</v>
      </c>
      <c r="N21" t="s">
        <v>6921</v>
      </c>
      <c r="O21" t="s">
        <v>5861</v>
      </c>
      <c r="P21" t="s">
        <v>5861</v>
      </c>
      <c r="Q21" t="s">
        <v>6586</v>
      </c>
      <c r="R21">
        <v>7</v>
      </c>
      <c r="S21">
        <v>9</v>
      </c>
      <c r="U21">
        <v>4</v>
      </c>
      <c r="V21" t="s">
        <v>6928</v>
      </c>
    </row>
    <row r="22" spans="1:22">
      <c r="A22" t="s">
        <v>6949</v>
      </c>
      <c r="B22" t="s">
        <v>4229</v>
      </c>
      <c r="D22" t="s">
        <v>5734</v>
      </c>
      <c r="F22">
        <v>16</v>
      </c>
      <c r="G22" t="s">
        <v>6560</v>
      </c>
      <c r="I22" t="s">
        <v>6657</v>
      </c>
      <c r="J22">
        <v>3</v>
      </c>
      <c r="K22" t="s">
        <v>6663</v>
      </c>
      <c r="L22" t="s">
        <v>6654</v>
      </c>
      <c r="M22" t="s">
        <v>6932</v>
      </c>
      <c r="N22" t="s">
        <v>6923</v>
      </c>
      <c r="O22" t="s">
        <v>6950</v>
      </c>
      <c r="P22" t="s">
        <v>5861</v>
      </c>
      <c r="Q22" t="s">
        <v>6558</v>
      </c>
      <c r="R22">
        <v>8</v>
      </c>
      <c r="S22">
        <v>9</v>
      </c>
      <c r="U22">
        <v>4</v>
      </c>
      <c r="V22" t="s">
        <v>6930</v>
      </c>
    </row>
    <row r="23" spans="1:22">
      <c r="A23" t="s">
        <v>6597</v>
      </c>
      <c r="B23" t="s">
        <v>4229</v>
      </c>
      <c r="D23" t="s">
        <v>6598</v>
      </c>
      <c r="F23">
        <v>20</v>
      </c>
      <c r="G23" t="s">
        <v>6734</v>
      </c>
      <c r="I23" t="s">
        <v>6654</v>
      </c>
      <c r="J23">
        <v>3</v>
      </c>
      <c r="K23" t="s">
        <v>6650</v>
      </c>
      <c r="L23" t="s">
        <v>6636</v>
      </c>
      <c r="M23" t="s">
        <v>6951</v>
      </c>
      <c r="N23" t="s">
        <v>6917</v>
      </c>
      <c r="O23" t="s">
        <v>5861</v>
      </c>
      <c r="P23" t="s">
        <v>5861</v>
      </c>
      <c r="Q23" t="s">
        <v>6555</v>
      </c>
      <c r="R23">
        <v>9</v>
      </c>
      <c r="S23">
        <v>9</v>
      </c>
      <c r="U23">
        <v>5</v>
      </c>
      <c r="V23" t="s">
        <v>6952</v>
      </c>
    </row>
    <row r="24" spans="1:22">
      <c r="A24" t="s">
        <v>6953</v>
      </c>
      <c r="B24" t="s">
        <v>4197</v>
      </c>
      <c r="D24" t="s">
        <v>6584</v>
      </c>
      <c r="F24">
        <v>12</v>
      </c>
      <c r="G24" t="s">
        <v>6560</v>
      </c>
      <c r="I24" t="s">
        <v>6654</v>
      </c>
      <c r="J24">
        <v>3</v>
      </c>
      <c r="K24" t="s">
        <v>6940</v>
      </c>
      <c r="L24" t="s">
        <v>6660</v>
      </c>
      <c r="M24" t="s">
        <v>6932</v>
      </c>
      <c r="N24" t="s">
        <v>6913</v>
      </c>
      <c r="O24" t="s">
        <v>5861</v>
      </c>
      <c r="P24" t="s">
        <v>5861</v>
      </c>
      <c r="Q24" t="s">
        <v>6586</v>
      </c>
      <c r="R24">
        <v>6</v>
      </c>
      <c r="S24">
        <v>9</v>
      </c>
      <c r="U24">
        <v>3</v>
      </c>
      <c r="V24" t="s">
        <v>6886</v>
      </c>
    </row>
    <row r="25" spans="1:22">
      <c r="A25" t="s">
        <v>6954</v>
      </c>
      <c r="B25" t="s">
        <v>4197</v>
      </c>
      <c r="D25" t="s">
        <v>6584</v>
      </c>
      <c r="F25">
        <v>13</v>
      </c>
      <c r="G25" t="s">
        <v>6730</v>
      </c>
      <c r="I25" t="s">
        <v>6654</v>
      </c>
      <c r="J25">
        <v>4</v>
      </c>
      <c r="K25" t="s">
        <v>6650</v>
      </c>
      <c r="L25" t="s">
        <v>6657</v>
      </c>
      <c r="M25" t="s">
        <v>6936</v>
      </c>
      <c r="N25" t="s">
        <v>6937</v>
      </c>
      <c r="O25" t="s">
        <v>5861</v>
      </c>
      <c r="P25" t="s">
        <v>5861</v>
      </c>
      <c r="Q25" t="s">
        <v>6589</v>
      </c>
      <c r="R25">
        <v>6</v>
      </c>
      <c r="S25">
        <v>9</v>
      </c>
      <c r="U25">
        <v>3</v>
      </c>
      <c r="V25" t="s">
        <v>6942</v>
      </c>
    </row>
    <row r="26" spans="1:22">
      <c r="A26" t="s">
        <v>6955</v>
      </c>
      <c r="B26" t="s">
        <v>4197</v>
      </c>
      <c r="D26" t="s">
        <v>6602</v>
      </c>
      <c r="F26">
        <v>13</v>
      </c>
      <c r="G26" t="s">
        <v>6730</v>
      </c>
      <c r="I26" t="s">
        <v>6654</v>
      </c>
      <c r="J26">
        <v>5</v>
      </c>
      <c r="K26" t="s">
        <v>6650</v>
      </c>
      <c r="L26" t="s">
        <v>6657</v>
      </c>
      <c r="M26" t="s">
        <v>6936</v>
      </c>
      <c r="N26" t="s">
        <v>6937</v>
      </c>
      <c r="O26" t="s">
        <v>6909</v>
      </c>
      <c r="P26" t="s">
        <v>5861</v>
      </c>
      <c r="Q26" t="s">
        <v>6565</v>
      </c>
      <c r="R26">
        <v>5</v>
      </c>
      <c r="S26">
        <v>10</v>
      </c>
      <c r="U26">
        <v>5</v>
      </c>
      <c r="V26" t="s">
        <v>6956</v>
      </c>
    </row>
    <row r="27" spans="1:22">
      <c r="A27" t="s">
        <v>6957</v>
      </c>
      <c r="B27" t="s">
        <v>6039</v>
      </c>
      <c r="D27" t="s">
        <v>5734</v>
      </c>
      <c r="F27">
        <v>11</v>
      </c>
      <c r="G27" t="s">
        <v>6546</v>
      </c>
      <c r="I27" t="s">
        <v>6654</v>
      </c>
      <c r="J27">
        <v>2</v>
      </c>
      <c r="K27" t="s">
        <v>6672</v>
      </c>
      <c r="L27" t="s">
        <v>6657</v>
      </c>
      <c r="M27" t="s">
        <v>6926</v>
      </c>
      <c r="N27" t="s">
        <v>6909</v>
      </c>
      <c r="O27" t="s">
        <v>5861</v>
      </c>
      <c r="P27" t="s">
        <v>5861</v>
      </c>
      <c r="Q27" t="s">
        <v>6561</v>
      </c>
      <c r="R27">
        <v>6</v>
      </c>
      <c r="S27">
        <v>9</v>
      </c>
      <c r="U27">
        <v>1</v>
      </c>
      <c r="V27" t="s">
        <v>6885</v>
      </c>
    </row>
    <row r="28" spans="1:22">
      <c r="A28" t="s">
        <v>6958</v>
      </c>
      <c r="B28" t="s">
        <v>6039</v>
      </c>
      <c r="D28" t="s">
        <v>5734</v>
      </c>
      <c r="F28">
        <v>13</v>
      </c>
      <c r="G28" t="s">
        <v>6560</v>
      </c>
      <c r="I28" t="s">
        <v>6654</v>
      </c>
      <c r="J28">
        <v>2</v>
      </c>
      <c r="K28" t="s">
        <v>6650</v>
      </c>
      <c r="L28" t="s">
        <v>6657</v>
      </c>
      <c r="M28" t="s">
        <v>6912</v>
      </c>
      <c r="N28" t="s">
        <v>6913</v>
      </c>
      <c r="O28" t="s">
        <v>5861</v>
      </c>
      <c r="P28" t="s">
        <v>5861</v>
      </c>
      <c r="Q28" t="s">
        <v>6604</v>
      </c>
      <c r="R28">
        <v>6</v>
      </c>
      <c r="S28">
        <v>9</v>
      </c>
      <c r="U28">
        <v>1</v>
      </c>
      <c r="V28" t="s">
        <v>6959</v>
      </c>
    </row>
    <row r="29" spans="1:22">
      <c r="A29" t="s">
        <v>6960</v>
      </c>
      <c r="B29" t="s">
        <v>6039</v>
      </c>
      <c r="D29" t="s">
        <v>5734</v>
      </c>
      <c r="F29">
        <v>15</v>
      </c>
      <c r="G29" t="s">
        <v>6560</v>
      </c>
      <c r="I29" t="s">
        <v>6654</v>
      </c>
      <c r="J29">
        <v>3</v>
      </c>
      <c r="K29" t="s">
        <v>6666</v>
      </c>
      <c r="L29" t="s">
        <v>6657</v>
      </c>
      <c r="M29" t="s">
        <v>6912</v>
      </c>
      <c r="N29" t="s">
        <v>6916</v>
      </c>
      <c r="O29" t="s">
        <v>6917</v>
      </c>
      <c r="P29" t="s">
        <v>5861</v>
      </c>
      <c r="Q29" t="s">
        <v>6605</v>
      </c>
      <c r="R29">
        <v>7</v>
      </c>
      <c r="S29">
        <v>9</v>
      </c>
      <c r="U29">
        <v>2</v>
      </c>
      <c r="V29" t="s">
        <v>6961</v>
      </c>
    </row>
    <row r="30" spans="1:22">
      <c r="A30" t="s">
        <v>6962</v>
      </c>
      <c r="B30" t="s">
        <v>6037</v>
      </c>
      <c r="D30" t="s">
        <v>5734</v>
      </c>
      <c r="F30">
        <v>10</v>
      </c>
      <c r="G30" t="s">
        <v>6546</v>
      </c>
      <c r="I30" t="s">
        <v>6657</v>
      </c>
      <c r="J30">
        <v>2</v>
      </c>
      <c r="K30" t="s">
        <v>6672</v>
      </c>
      <c r="L30" t="s">
        <v>6654</v>
      </c>
      <c r="M30" t="s">
        <v>6788</v>
      </c>
      <c r="N30" t="s">
        <v>6943</v>
      </c>
      <c r="O30" t="s">
        <v>5861</v>
      </c>
      <c r="P30" t="s">
        <v>5861</v>
      </c>
      <c r="Q30" t="s">
        <v>6555</v>
      </c>
      <c r="R30">
        <v>6</v>
      </c>
      <c r="S30">
        <v>9</v>
      </c>
      <c r="U30">
        <v>1</v>
      </c>
      <c r="V30" t="s">
        <v>6963</v>
      </c>
    </row>
    <row r="31" spans="1:22">
      <c r="A31" t="s">
        <v>6964</v>
      </c>
      <c r="B31" t="s">
        <v>6037</v>
      </c>
      <c r="D31" t="s">
        <v>6584</v>
      </c>
      <c r="F31">
        <v>12</v>
      </c>
      <c r="G31" t="s">
        <v>6560</v>
      </c>
      <c r="I31" t="s">
        <v>6654</v>
      </c>
      <c r="J31">
        <v>3</v>
      </c>
      <c r="K31" t="s">
        <v>6940</v>
      </c>
      <c r="L31" t="s">
        <v>6660</v>
      </c>
      <c r="M31" t="s">
        <v>6932</v>
      </c>
      <c r="N31" t="s">
        <v>6913</v>
      </c>
      <c r="O31" t="s">
        <v>5861</v>
      </c>
      <c r="P31" t="s">
        <v>5861</v>
      </c>
      <c r="Q31" t="s">
        <v>6586</v>
      </c>
      <c r="R31">
        <v>6</v>
      </c>
      <c r="S31">
        <v>9</v>
      </c>
      <c r="U31">
        <v>3</v>
      </c>
      <c r="V31" t="s">
        <v>6965</v>
      </c>
    </row>
    <row r="32" spans="1:22">
      <c r="A32" t="s">
        <v>6608</v>
      </c>
      <c r="B32" t="s">
        <v>4222</v>
      </c>
      <c r="D32" t="s">
        <v>6609</v>
      </c>
      <c r="F32">
        <v>33</v>
      </c>
      <c r="G32" t="s">
        <v>6966</v>
      </c>
      <c r="I32" t="s">
        <v>6654</v>
      </c>
      <c r="J32">
        <v>0</v>
      </c>
      <c r="K32" t="s">
        <v>6636</v>
      </c>
      <c r="L32" t="s">
        <v>6967</v>
      </c>
      <c r="M32" t="s">
        <v>6909</v>
      </c>
      <c r="N32" t="s">
        <v>5861</v>
      </c>
      <c r="O32" t="s">
        <v>5861</v>
      </c>
      <c r="P32" t="s">
        <v>5861</v>
      </c>
      <c r="Q32" t="s">
        <v>6612</v>
      </c>
      <c r="R32">
        <v>15</v>
      </c>
      <c r="S32">
        <v>10</v>
      </c>
      <c r="V32" t="s">
        <v>6714</v>
      </c>
    </row>
    <row r="33" spans="1:22">
      <c r="A33" t="s">
        <v>6613</v>
      </c>
      <c r="B33" t="s">
        <v>4222</v>
      </c>
      <c r="D33" t="s">
        <v>6609</v>
      </c>
      <c r="F33">
        <v>28</v>
      </c>
      <c r="G33" t="s">
        <v>6968</v>
      </c>
      <c r="I33" t="s">
        <v>6654</v>
      </c>
      <c r="J33">
        <v>0</v>
      </c>
      <c r="K33" t="s">
        <v>6663</v>
      </c>
      <c r="L33" t="s">
        <v>6636</v>
      </c>
      <c r="M33" t="s">
        <v>6788</v>
      </c>
      <c r="N33" t="s">
        <v>5861</v>
      </c>
      <c r="O33" t="s">
        <v>5861</v>
      </c>
      <c r="P33" t="s">
        <v>5861</v>
      </c>
      <c r="Q33" t="s">
        <v>6561</v>
      </c>
      <c r="R33">
        <v>13</v>
      </c>
      <c r="S33">
        <v>10</v>
      </c>
      <c r="U33">
        <v>5</v>
      </c>
      <c r="V33" t="s">
        <v>6969</v>
      </c>
    </row>
    <row r="34" spans="1:22">
      <c r="A34" t="s">
        <v>6970</v>
      </c>
      <c r="B34" t="s">
        <v>1418</v>
      </c>
      <c r="D34" t="s">
        <v>6615</v>
      </c>
      <c r="F34">
        <v>10</v>
      </c>
      <c r="G34" t="s">
        <v>6546</v>
      </c>
      <c r="I34" t="s">
        <v>6657</v>
      </c>
      <c r="J34">
        <v>2</v>
      </c>
      <c r="K34" t="s">
        <v>6907</v>
      </c>
      <c r="L34" t="s">
        <v>6660</v>
      </c>
      <c r="M34" t="s">
        <v>6926</v>
      </c>
      <c r="N34" t="s">
        <v>6909</v>
      </c>
      <c r="O34" t="s">
        <v>5861</v>
      </c>
      <c r="P34" t="s">
        <v>5861</v>
      </c>
      <c r="Q34" t="s">
        <v>6548</v>
      </c>
      <c r="R34">
        <v>6</v>
      </c>
      <c r="S34">
        <v>9</v>
      </c>
      <c r="U34">
        <v>1</v>
      </c>
      <c r="V34" t="s">
        <v>6914</v>
      </c>
    </row>
    <row r="35" spans="1:22">
      <c r="A35" t="s">
        <v>6971</v>
      </c>
      <c r="B35" t="s">
        <v>1418</v>
      </c>
      <c r="D35" t="s">
        <v>6615</v>
      </c>
      <c r="F35">
        <v>12</v>
      </c>
      <c r="G35" t="s">
        <v>6560</v>
      </c>
      <c r="I35" t="s">
        <v>6657</v>
      </c>
      <c r="J35">
        <v>2</v>
      </c>
      <c r="K35" t="s">
        <v>6672</v>
      </c>
      <c r="L35" t="s">
        <v>6660</v>
      </c>
      <c r="M35" t="s">
        <v>6912</v>
      </c>
      <c r="N35" t="s">
        <v>6913</v>
      </c>
      <c r="O35" t="s">
        <v>5861</v>
      </c>
      <c r="P35" t="s">
        <v>5861</v>
      </c>
      <c r="Q35" t="s">
        <v>6586</v>
      </c>
      <c r="R35">
        <v>6</v>
      </c>
      <c r="S35">
        <v>9</v>
      </c>
      <c r="U35">
        <v>4</v>
      </c>
      <c r="V35" t="s">
        <v>6928</v>
      </c>
    </row>
    <row r="36" spans="1:22">
      <c r="A36" t="s">
        <v>6972</v>
      </c>
      <c r="B36" t="s">
        <v>1418</v>
      </c>
      <c r="D36" t="s">
        <v>6615</v>
      </c>
      <c r="F36">
        <v>13</v>
      </c>
      <c r="G36" t="s">
        <v>6560</v>
      </c>
      <c r="I36" t="s">
        <v>6657</v>
      </c>
      <c r="J36">
        <v>3</v>
      </c>
      <c r="K36" t="s">
        <v>6666</v>
      </c>
      <c r="L36" t="s">
        <v>6657</v>
      </c>
      <c r="M36" t="s">
        <v>6912</v>
      </c>
      <c r="N36" t="s">
        <v>6916</v>
      </c>
      <c r="O36" t="s">
        <v>6917</v>
      </c>
      <c r="P36" t="s">
        <v>5861</v>
      </c>
      <c r="Q36" t="s">
        <v>6558</v>
      </c>
      <c r="R36">
        <v>7</v>
      </c>
      <c r="S36">
        <v>9</v>
      </c>
      <c r="U36">
        <v>5</v>
      </c>
      <c r="V36" t="s">
        <v>6930</v>
      </c>
    </row>
    <row r="37" spans="1:22">
      <c r="A37" t="s">
        <v>6618</v>
      </c>
      <c r="B37" t="s">
        <v>1418</v>
      </c>
      <c r="D37" t="s">
        <v>6619</v>
      </c>
      <c r="F37">
        <v>13</v>
      </c>
      <c r="G37" t="s">
        <v>6730</v>
      </c>
      <c r="I37" t="s">
        <v>6654</v>
      </c>
      <c r="J37">
        <v>4</v>
      </c>
      <c r="K37" t="s">
        <v>6650</v>
      </c>
      <c r="L37" t="s">
        <v>6657</v>
      </c>
      <c r="M37" t="s">
        <v>6936</v>
      </c>
      <c r="N37" t="s">
        <v>6937</v>
      </c>
      <c r="O37" t="s">
        <v>5861</v>
      </c>
      <c r="P37" t="s">
        <v>5861</v>
      </c>
      <c r="Q37" t="s">
        <v>6589</v>
      </c>
      <c r="R37">
        <v>6</v>
      </c>
      <c r="S37">
        <v>9</v>
      </c>
      <c r="U37">
        <v>5</v>
      </c>
      <c r="V37" t="s">
        <v>6942</v>
      </c>
    </row>
    <row r="38" spans="1:22">
      <c r="A38" t="s">
        <v>6973</v>
      </c>
      <c r="B38" t="s">
        <v>4216</v>
      </c>
      <c r="D38" t="s">
        <v>5734</v>
      </c>
      <c r="F38">
        <v>4</v>
      </c>
      <c r="G38" t="s">
        <v>6769</v>
      </c>
      <c r="I38" t="s">
        <v>6654</v>
      </c>
      <c r="J38">
        <v>2</v>
      </c>
      <c r="K38" t="s">
        <v>6672</v>
      </c>
      <c r="L38" t="s">
        <v>6657</v>
      </c>
      <c r="M38" t="s">
        <v>6926</v>
      </c>
      <c r="N38" t="s">
        <v>6909</v>
      </c>
      <c r="O38" t="s">
        <v>5861</v>
      </c>
      <c r="P38" t="s">
        <v>5861</v>
      </c>
      <c r="Q38" t="s">
        <v>6612</v>
      </c>
      <c r="R38">
        <v>5</v>
      </c>
      <c r="S38">
        <v>9</v>
      </c>
      <c r="U38">
        <v>1</v>
      </c>
      <c r="V38" t="s">
        <v>6963</v>
      </c>
    </row>
    <row r="39" spans="1:22">
      <c r="A39" t="s">
        <v>6974</v>
      </c>
      <c r="B39" t="s">
        <v>4216</v>
      </c>
      <c r="D39" t="s">
        <v>5734</v>
      </c>
      <c r="F39">
        <v>6</v>
      </c>
      <c r="G39" t="s">
        <v>6546</v>
      </c>
      <c r="I39" t="s">
        <v>6654</v>
      </c>
      <c r="J39">
        <v>2</v>
      </c>
      <c r="K39" t="s">
        <v>6650</v>
      </c>
      <c r="L39" t="s">
        <v>6657</v>
      </c>
      <c r="M39" t="s">
        <v>6912</v>
      </c>
      <c r="N39" t="s">
        <v>6913</v>
      </c>
      <c r="O39" t="s">
        <v>5861</v>
      </c>
      <c r="P39" t="s">
        <v>5861</v>
      </c>
      <c r="Q39" t="s">
        <v>6621</v>
      </c>
      <c r="R39">
        <v>5</v>
      </c>
      <c r="S39">
        <v>9</v>
      </c>
      <c r="U39">
        <v>1</v>
      </c>
      <c r="V39" t="s">
        <v>6975</v>
      </c>
    </row>
    <row r="40" spans="1:22">
      <c r="A40" t="s">
        <v>6976</v>
      </c>
      <c r="B40" t="s">
        <v>4216</v>
      </c>
      <c r="D40" t="s">
        <v>5734</v>
      </c>
      <c r="F40">
        <v>7</v>
      </c>
      <c r="G40" t="s">
        <v>6546</v>
      </c>
      <c r="I40" t="s">
        <v>6654</v>
      </c>
      <c r="J40">
        <v>3</v>
      </c>
      <c r="K40" t="s">
        <v>6666</v>
      </c>
      <c r="L40" t="s">
        <v>6657</v>
      </c>
      <c r="M40" t="s">
        <v>6912</v>
      </c>
      <c r="N40" t="s">
        <v>6916</v>
      </c>
      <c r="O40" t="s">
        <v>6917</v>
      </c>
      <c r="P40" t="s">
        <v>5861</v>
      </c>
      <c r="Q40" t="s">
        <v>6622</v>
      </c>
      <c r="R40">
        <v>6</v>
      </c>
      <c r="S40">
        <v>9</v>
      </c>
      <c r="U40">
        <v>1</v>
      </c>
      <c r="V40" t="s">
        <v>6977</v>
      </c>
    </row>
    <row r="41" spans="1:22">
      <c r="A41" t="s">
        <v>6978</v>
      </c>
      <c r="B41" t="s">
        <v>4216</v>
      </c>
      <c r="D41" t="s">
        <v>6623</v>
      </c>
      <c r="F41">
        <v>10</v>
      </c>
      <c r="G41" t="s">
        <v>6560</v>
      </c>
      <c r="I41" t="s">
        <v>6654</v>
      </c>
      <c r="J41">
        <v>5</v>
      </c>
      <c r="K41" t="s">
        <v>6650</v>
      </c>
      <c r="L41" t="s">
        <v>6657</v>
      </c>
      <c r="M41" t="s">
        <v>6936</v>
      </c>
      <c r="N41" t="s">
        <v>6937</v>
      </c>
      <c r="O41" t="s">
        <v>6909</v>
      </c>
      <c r="P41" t="s">
        <v>5861</v>
      </c>
      <c r="Q41" t="s">
        <v>6561</v>
      </c>
      <c r="R41">
        <v>4</v>
      </c>
      <c r="S41">
        <v>10</v>
      </c>
      <c r="U41">
        <v>5</v>
      </c>
      <c r="V41" t="s">
        <v>6956</v>
      </c>
    </row>
    <row r="42" spans="1:22">
      <c r="A42" t="s">
        <v>6624</v>
      </c>
      <c r="B42" t="s">
        <v>6625</v>
      </c>
      <c r="D42" t="s">
        <v>6626</v>
      </c>
      <c r="F42">
        <v>21</v>
      </c>
      <c r="G42" t="s">
        <v>6738</v>
      </c>
      <c r="I42" t="s">
        <v>6654</v>
      </c>
      <c r="J42">
        <v>3</v>
      </c>
      <c r="K42" t="s">
        <v>6650</v>
      </c>
      <c r="L42" t="s">
        <v>6654</v>
      </c>
      <c r="M42" t="s">
        <v>6908</v>
      </c>
      <c r="N42" t="s">
        <v>6943</v>
      </c>
      <c r="O42" t="s">
        <v>5861</v>
      </c>
      <c r="P42" t="s">
        <v>5861</v>
      </c>
      <c r="Q42" t="s">
        <v>6561</v>
      </c>
      <c r="R42">
        <v>8</v>
      </c>
      <c r="S42">
        <v>9</v>
      </c>
      <c r="U42" t="s">
        <v>3741</v>
      </c>
      <c r="V42" t="s">
        <v>6979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B39"/>
  <sheetViews>
    <sheetView workbookViewId="0"/>
  </sheetViews>
  <sheetFormatPr baseColWidth="10" defaultColWidth="9.140625" defaultRowHeight="15"/>
  <sheetData>
    <row r="1" spans="1:28">
      <c r="A1" t="s">
        <v>4158</v>
      </c>
      <c r="B1" t="s">
        <v>4147</v>
      </c>
      <c r="C1" t="s">
        <v>6891</v>
      </c>
      <c r="D1" t="s">
        <v>6980</v>
      </c>
      <c r="E1" t="s">
        <v>6981</v>
      </c>
      <c r="F1" t="s">
        <v>6982</v>
      </c>
      <c r="G1" t="s">
        <v>6892</v>
      </c>
      <c r="H1" t="s">
        <v>6893</v>
      </c>
      <c r="I1" t="s">
        <v>6894</v>
      </c>
      <c r="J1" t="s">
        <v>6895</v>
      </c>
      <c r="K1" t="s">
        <v>6896</v>
      </c>
      <c r="L1" t="s">
        <v>5777</v>
      </c>
      <c r="M1" t="s">
        <v>6612</v>
      </c>
      <c r="N1" t="s">
        <v>6622</v>
      </c>
      <c r="O1" t="s">
        <v>6558</v>
      </c>
      <c r="P1" t="s">
        <v>6846</v>
      </c>
      <c r="Q1" t="s">
        <v>6897</v>
      </c>
      <c r="R1" t="s">
        <v>6898</v>
      </c>
      <c r="S1" t="s">
        <v>6899</v>
      </c>
      <c r="T1" t="s">
        <v>6900</v>
      </c>
      <c r="U1" t="s">
        <v>6901</v>
      </c>
      <c r="V1" t="s">
        <v>6902</v>
      </c>
      <c r="W1" t="s">
        <v>6903</v>
      </c>
      <c r="X1" t="s">
        <v>5661</v>
      </c>
      <c r="Y1" t="s">
        <v>6904</v>
      </c>
      <c r="Z1" t="s">
        <v>6172</v>
      </c>
      <c r="AA1" t="s">
        <v>6905</v>
      </c>
      <c r="AB1" t="s">
        <v>6720</v>
      </c>
    </row>
    <row r="2" spans="1:28">
      <c r="A2" t="s">
        <v>6721</v>
      </c>
      <c r="B2" t="s">
        <v>6545</v>
      </c>
      <c r="D2" t="s">
        <v>6983</v>
      </c>
      <c r="E2" t="s">
        <v>5861</v>
      </c>
      <c r="F2" t="s">
        <v>5861</v>
      </c>
      <c r="H2">
        <v>9</v>
      </c>
      <c r="I2" t="s">
        <v>6560</v>
      </c>
      <c r="L2">
        <v>2</v>
      </c>
      <c r="M2" t="s">
        <v>6907</v>
      </c>
      <c r="N2" t="s">
        <v>6816</v>
      </c>
      <c r="O2" t="s">
        <v>6909</v>
      </c>
      <c r="P2" t="s">
        <v>6984</v>
      </c>
      <c r="Q2" t="s">
        <v>5861</v>
      </c>
      <c r="R2" t="s">
        <v>5861</v>
      </c>
      <c r="S2" t="s">
        <v>6724</v>
      </c>
      <c r="T2" t="s">
        <v>6985</v>
      </c>
      <c r="U2">
        <v>4</v>
      </c>
      <c r="X2" t="s">
        <v>6714</v>
      </c>
    </row>
    <row r="3" spans="1:28">
      <c r="A3" t="s">
        <v>6986</v>
      </c>
      <c r="B3" t="s">
        <v>6571</v>
      </c>
      <c r="D3" t="s">
        <v>6987</v>
      </c>
      <c r="E3" t="s">
        <v>6988</v>
      </c>
      <c r="F3" t="s">
        <v>6989</v>
      </c>
      <c r="H3">
        <v>9</v>
      </c>
      <c r="I3" t="s">
        <v>6560</v>
      </c>
      <c r="L3">
        <v>3</v>
      </c>
      <c r="M3" t="s">
        <v>6990</v>
      </c>
      <c r="N3" t="s">
        <v>6697</v>
      </c>
      <c r="O3" t="s">
        <v>6991</v>
      </c>
      <c r="P3" t="s">
        <v>6992</v>
      </c>
      <c r="Q3" t="s">
        <v>5861</v>
      </c>
      <c r="R3" t="s">
        <v>5861</v>
      </c>
      <c r="S3" t="s">
        <v>6724</v>
      </c>
      <c r="T3" t="s">
        <v>6993</v>
      </c>
      <c r="U3">
        <v>4</v>
      </c>
      <c r="W3">
        <v>4</v>
      </c>
      <c r="X3" t="s">
        <v>6669</v>
      </c>
    </row>
    <row r="4" spans="1:28">
      <c r="A4" t="s">
        <v>6994</v>
      </c>
      <c r="B4" t="s">
        <v>6571</v>
      </c>
      <c r="D4" t="s">
        <v>6995</v>
      </c>
      <c r="E4" t="s">
        <v>6996</v>
      </c>
      <c r="F4" t="s">
        <v>6997</v>
      </c>
      <c r="H4">
        <v>12</v>
      </c>
      <c r="I4" t="s">
        <v>6730</v>
      </c>
      <c r="L4">
        <v>4</v>
      </c>
      <c r="M4" t="s">
        <v>6828</v>
      </c>
      <c r="N4" t="s">
        <v>6657</v>
      </c>
      <c r="O4" t="s">
        <v>6951</v>
      </c>
      <c r="P4" t="s">
        <v>6950</v>
      </c>
      <c r="Q4" t="s">
        <v>5861</v>
      </c>
      <c r="R4" t="s">
        <v>5861</v>
      </c>
      <c r="S4" t="s">
        <v>6612</v>
      </c>
      <c r="T4" t="s">
        <v>6993</v>
      </c>
      <c r="U4">
        <v>4</v>
      </c>
      <c r="W4">
        <v>2</v>
      </c>
      <c r="X4" t="s">
        <v>6998</v>
      </c>
    </row>
    <row r="5" spans="1:28">
      <c r="A5" t="s">
        <v>6999</v>
      </c>
      <c r="B5" t="s">
        <v>6571</v>
      </c>
      <c r="D5" t="s">
        <v>7000</v>
      </c>
      <c r="E5" t="s">
        <v>7001</v>
      </c>
      <c r="F5" t="s">
        <v>7002</v>
      </c>
      <c r="H5">
        <v>25</v>
      </c>
      <c r="I5" t="s">
        <v>6734</v>
      </c>
      <c r="L5">
        <v>5</v>
      </c>
      <c r="M5" t="s">
        <v>6940</v>
      </c>
      <c r="N5" t="s">
        <v>6650</v>
      </c>
      <c r="O5" t="s">
        <v>6932</v>
      </c>
      <c r="P5" t="s">
        <v>6909</v>
      </c>
      <c r="Q5" t="s">
        <v>5861</v>
      </c>
      <c r="R5" t="s">
        <v>5861</v>
      </c>
      <c r="S5" t="s">
        <v>6548</v>
      </c>
      <c r="T5" t="s">
        <v>6993</v>
      </c>
      <c r="U5">
        <v>4</v>
      </c>
      <c r="W5">
        <v>3</v>
      </c>
      <c r="X5" t="s">
        <v>6886</v>
      </c>
    </row>
    <row r="6" spans="1:28">
      <c r="A6" t="s">
        <v>7003</v>
      </c>
      <c r="B6" t="s">
        <v>6571</v>
      </c>
      <c r="D6" t="s">
        <v>7004</v>
      </c>
      <c r="E6" t="s">
        <v>7005</v>
      </c>
      <c r="F6" t="s">
        <v>7006</v>
      </c>
      <c r="H6">
        <v>37</v>
      </c>
      <c r="I6" t="s">
        <v>6738</v>
      </c>
      <c r="L6">
        <v>6</v>
      </c>
      <c r="M6" t="s">
        <v>6907</v>
      </c>
      <c r="N6" t="s">
        <v>6666</v>
      </c>
      <c r="O6" t="s">
        <v>6967</v>
      </c>
      <c r="P6" t="s">
        <v>6923</v>
      </c>
      <c r="Q6" t="s">
        <v>5861</v>
      </c>
      <c r="R6" t="s">
        <v>5861</v>
      </c>
      <c r="S6" t="s">
        <v>6555</v>
      </c>
      <c r="T6" t="s">
        <v>6993</v>
      </c>
      <c r="U6">
        <v>4</v>
      </c>
      <c r="W6">
        <v>4</v>
      </c>
      <c r="X6" t="s">
        <v>7007</v>
      </c>
    </row>
    <row r="7" spans="1:28">
      <c r="A7" t="s">
        <v>7008</v>
      </c>
      <c r="B7" t="s">
        <v>6571</v>
      </c>
      <c r="D7" t="s">
        <v>6741</v>
      </c>
      <c r="I7" t="s">
        <v>6546</v>
      </c>
      <c r="L7">
        <v>4</v>
      </c>
      <c r="M7" t="s">
        <v>6672</v>
      </c>
      <c r="N7" t="s">
        <v>6636</v>
      </c>
      <c r="O7" t="s">
        <v>6937</v>
      </c>
      <c r="P7" t="s">
        <v>7009</v>
      </c>
      <c r="Q7" t="s">
        <v>5861</v>
      </c>
      <c r="R7" t="s">
        <v>5861</v>
      </c>
      <c r="S7" t="s">
        <v>6724</v>
      </c>
      <c r="W7">
        <v>6</v>
      </c>
      <c r="X7" t="s">
        <v>7010</v>
      </c>
      <c r="AB7" t="s">
        <v>6743</v>
      </c>
    </row>
    <row r="8" spans="1:28">
      <c r="A8" t="s">
        <v>7011</v>
      </c>
      <c r="B8" t="s">
        <v>4190</v>
      </c>
      <c r="D8" t="s">
        <v>7012</v>
      </c>
      <c r="E8" t="s">
        <v>7013</v>
      </c>
      <c r="F8" t="s">
        <v>7014</v>
      </c>
      <c r="H8">
        <v>7</v>
      </c>
      <c r="I8" t="s">
        <v>6560</v>
      </c>
      <c r="L8">
        <v>2</v>
      </c>
      <c r="M8" t="s">
        <v>6828</v>
      </c>
      <c r="N8" t="s">
        <v>6816</v>
      </c>
      <c r="O8" t="s">
        <v>6909</v>
      </c>
      <c r="P8" t="s">
        <v>6984</v>
      </c>
      <c r="Q8" t="s">
        <v>5861</v>
      </c>
      <c r="R8" t="s">
        <v>5861</v>
      </c>
      <c r="S8" t="s">
        <v>6724</v>
      </c>
      <c r="T8" t="s">
        <v>6993</v>
      </c>
      <c r="U8">
        <v>4</v>
      </c>
      <c r="W8">
        <v>3</v>
      </c>
      <c r="X8" t="s">
        <v>7015</v>
      </c>
    </row>
    <row r="9" spans="1:28">
      <c r="A9" t="s">
        <v>7016</v>
      </c>
      <c r="B9" t="s">
        <v>4190</v>
      </c>
      <c r="D9" t="s">
        <v>7017</v>
      </c>
      <c r="E9" t="s">
        <v>6988</v>
      </c>
      <c r="F9" t="s">
        <v>7018</v>
      </c>
      <c r="H9">
        <v>10</v>
      </c>
      <c r="I9" t="s">
        <v>6730</v>
      </c>
      <c r="L9">
        <v>2</v>
      </c>
      <c r="M9" t="s">
        <v>6940</v>
      </c>
      <c r="N9" t="s">
        <v>6660</v>
      </c>
      <c r="O9" t="s">
        <v>6788</v>
      </c>
      <c r="P9" t="s">
        <v>7019</v>
      </c>
      <c r="Q9" t="s">
        <v>5861</v>
      </c>
      <c r="R9" t="s">
        <v>5861</v>
      </c>
      <c r="S9" t="s">
        <v>6612</v>
      </c>
      <c r="T9" t="s">
        <v>6993</v>
      </c>
      <c r="U9">
        <v>4</v>
      </c>
      <c r="W9">
        <v>1</v>
      </c>
      <c r="X9" t="s">
        <v>6959</v>
      </c>
    </row>
    <row r="10" spans="1:28">
      <c r="A10" t="s">
        <v>7020</v>
      </c>
      <c r="B10" t="s">
        <v>4190</v>
      </c>
      <c r="D10" t="s">
        <v>7021</v>
      </c>
      <c r="E10" t="s">
        <v>7022</v>
      </c>
      <c r="F10" t="s">
        <v>7023</v>
      </c>
      <c r="H10">
        <v>23</v>
      </c>
      <c r="I10" t="s">
        <v>6734</v>
      </c>
      <c r="L10">
        <v>4</v>
      </c>
      <c r="M10" t="s">
        <v>6907</v>
      </c>
      <c r="N10" t="s">
        <v>6666</v>
      </c>
      <c r="O10" t="s">
        <v>7024</v>
      </c>
      <c r="P10" t="s">
        <v>6947</v>
      </c>
      <c r="Q10" t="s">
        <v>5861</v>
      </c>
      <c r="R10" t="s">
        <v>5861</v>
      </c>
      <c r="S10" t="s">
        <v>6548</v>
      </c>
      <c r="T10" t="s">
        <v>6993</v>
      </c>
      <c r="U10">
        <v>4</v>
      </c>
      <c r="W10">
        <v>2</v>
      </c>
      <c r="X10" t="s">
        <v>7025</v>
      </c>
    </row>
    <row r="11" spans="1:28">
      <c r="A11" t="s">
        <v>7026</v>
      </c>
      <c r="B11" t="s">
        <v>4190</v>
      </c>
      <c r="D11" t="s">
        <v>7027</v>
      </c>
      <c r="E11" t="s">
        <v>7028</v>
      </c>
      <c r="F11" t="s">
        <v>7029</v>
      </c>
      <c r="H11">
        <v>35</v>
      </c>
      <c r="I11" t="s">
        <v>6738</v>
      </c>
      <c r="L11">
        <v>5</v>
      </c>
      <c r="M11" t="s">
        <v>6672</v>
      </c>
      <c r="N11" t="s">
        <v>6663</v>
      </c>
      <c r="O11" t="s">
        <v>6936</v>
      </c>
      <c r="P11" t="s">
        <v>6913</v>
      </c>
      <c r="Q11" t="s">
        <v>5861</v>
      </c>
      <c r="R11" t="s">
        <v>5861</v>
      </c>
      <c r="S11" t="s">
        <v>6555</v>
      </c>
      <c r="T11" t="s">
        <v>6993</v>
      </c>
      <c r="U11">
        <v>4</v>
      </c>
      <c r="W11">
        <v>3</v>
      </c>
      <c r="X11" t="s">
        <v>7030</v>
      </c>
    </row>
    <row r="12" spans="1:28">
      <c r="A12" t="s">
        <v>7031</v>
      </c>
      <c r="B12" t="s">
        <v>4190</v>
      </c>
      <c r="D12" t="s">
        <v>6752</v>
      </c>
      <c r="I12" t="s">
        <v>6546</v>
      </c>
      <c r="L12">
        <v>3</v>
      </c>
      <c r="M12" t="s">
        <v>6650</v>
      </c>
      <c r="N12" t="s">
        <v>6683</v>
      </c>
      <c r="O12" t="s">
        <v>7032</v>
      </c>
      <c r="P12" t="s">
        <v>7033</v>
      </c>
      <c r="Q12" t="s">
        <v>5861</v>
      </c>
      <c r="R12" t="s">
        <v>5861</v>
      </c>
      <c r="S12" t="s">
        <v>6724</v>
      </c>
      <c r="W12">
        <v>5</v>
      </c>
      <c r="X12" t="s">
        <v>7034</v>
      </c>
      <c r="AB12" t="s">
        <v>6743</v>
      </c>
    </row>
    <row r="13" spans="1:28">
      <c r="A13" t="s">
        <v>7035</v>
      </c>
      <c r="B13" t="s">
        <v>4229</v>
      </c>
      <c r="D13" t="s">
        <v>7036</v>
      </c>
      <c r="E13" t="s">
        <v>7037</v>
      </c>
      <c r="F13" t="s">
        <v>7002</v>
      </c>
      <c r="H13">
        <v>13</v>
      </c>
      <c r="I13" t="s">
        <v>6560</v>
      </c>
      <c r="L13">
        <v>4</v>
      </c>
      <c r="M13" t="s">
        <v>6990</v>
      </c>
      <c r="N13" t="s">
        <v>6697</v>
      </c>
      <c r="O13" t="s">
        <v>6991</v>
      </c>
      <c r="P13" t="s">
        <v>6992</v>
      </c>
      <c r="Q13" t="s">
        <v>5861</v>
      </c>
      <c r="R13" t="s">
        <v>5861</v>
      </c>
      <c r="S13" t="s">
        <v>6724</v>
      </c>
      <c r="T13" t="s">
        <v>6993</v>
      </c>
      <c r="U13">
        <v>4</v>
      </c>
      <c r="W13">
        <v>4</v>
      </c>
      <c r="X13" t="s">
        <v>6669</v>
      </c>
    </row>
    <row r="14" spans="1:28">
      <c r="A14" t="s">
        <v>7038</v>
      </c>
      <c r="B14" t="s">
        <v>4229</v>
      </c>
      <c r="D14" t="s">
        <v>7039</v>
      </c>
      <c r="E14" t="s">
        <v>7040</v>
      </c>
      <c r="F14" t="s">
        <v>7041</v>
      </c>
      <c r="H14">
        <v>16</v>
      </c>
      <c r="I14" t="s">
        <v>6730</v>
      </c>
      <c r="L14">
        <v>5</v>
      </c>
      <c r="M14" t="s">
        <v>6828</v>
      </c>
      <c r="N14" t="s">
        <v>6657</v>
      </c>
      <c r="O14" t="s">
        <v>6951</v>
      </c>
      <c r="P14" t="s">
        <v>6950</v>
      </c>
      <c r="Q14" t="s">
        <v>5861</v>
      </c>
      <c r="R14" t="s">
        <v>5861</v>
      </c>
      <c r="S14" t="s">
        <v>6612</v>
      </c>
      <c r="T14" t="s">
        <v>6993</v>
      </c>
      <c r="U14">
        <v>4</v>
      </c>
      <c r="W14">
        <v>2</v>
      </c>
      <c r="X14" t="s">
        <v>6998</v>
      </c>
    </row>
    <row r="15" spans="1:28">
      <c r="A15" t="s">
        <v>7042</v>
      </c>
      <c r="B15" t="s">
        <v>4229</v>
      </c>
      <c r="D15" t="s">
        <v>7043</v>
      </c>
      <c r="E15" t="s">
        <v>7044</v>
      </c>
      <c r="F15" t="s">
        <v>7045</v>
      </c>
      <c r="H15">
        <v>29</v>
      </c>
      <c r="I15" t="s">
        <v>6734</v>
      </c>
      <c r="L15">
        <v>6</v>
      </c>
      <c r="M15" t="s">
        <v>6940</v>
      </c>
      <c r="N15" t="s">
        <v>6650</v>
      </c>
      <c r="O15" t="s">
        <v>6932</v>
      </c>
      <c r="P15" t="s">
        <v>6909</v>
      </c>
      <c r="Q15" t="s">
        <v>5861</v>
      </c>
      <c r="R15" t="s">
        <v>5861</v>
      </c>
      <c r="S15" t="s">
        <v>6548</v>
      </c>
      <c r="T15" t="s">
        <v>6993</v>
      </c>
      <c r="U15">
        <v>4</v>
      </c>
      <c r="W15">
        <v>3</v>
      </c>
      <c r="X15" t="s">
        <v>6886</v>
      </c>
    </row>
    <row r="16" spans="1:28">
      <c r="A16" t="s">
        <v>7046</v>
      </c>
      <c r="B16" t="s">
        <v>4229</v>
      </c>
      <c r="D16" t="s">
        <v>7047</v>
      </c>
      <c r="E16" t="s">
        <v>7048</v>
      </c>
      <c r="F16" t="s">
        <v>7049</v>
      </c>
      <c r="H16">
        <v>41</v>
      </c>
      <c r="I16" t="s">
        <v>6738</v>
      </c>
      <c r="L16">
        <v>7</v>
      </c>
      <c r="M16" t="s">
        <v>6907</v>
      </c>
      <c r="N16" t="s">
        <v>6666</v>
      </c>
      <c r="O16" t="s">
        <v>6967</v>
      </c>
      <c r="P16" t="s">
        <v>6923</v>
      </c>
      <c r="Q16" t="s">
        <v>5861</v>
      </c>
      <c r="R16" t="s">
        <v>5861</v>
      </c>
      <c r="S16" t="s">
        <v>6555</v>
      </c>
      <c r="T16" t="s">
        <v>6993</v>
      </c>
      <c r="U16">
        <v>4</v>
      </c>
      <c r="W16">
        <v>4</v>
      </c>
      <c r="X16" t="s">
        <v>7007</v>
      </c>
    </row>
    <row r="17" spans="1:28">
      <c r="A17" t="s">
        <v>6758</v>
      </c>
      <c r="B17" t="s">
        <v>4229</v>
      </c>
      <c r="D17" t="s">
        <v>7050</v>
      </c>
      <c r="E17" t="s">
        <v>7051</v>
      </c>
      <c r="F17" t="s">
        <v>7052</v>
      </c>
      <c r="H17">
        <v>46</v>
      </c>
      <c r="I17" t="s">
        <v>6760</v>
      </c>
      <c r="L17">
        <v>7</v>
      </c>
      <c r="M17" t="s">
        <v>6907</v>
      </c>
      <c r="N17" t="s">
        <v>6666</v>
      </c>
      <c r="O17" t="s">
        <v>6967</v>
      </c>
      <c r="P17" t="s">
        <v>6923</v>
      </c>
      <c r="Q17" t="s">
        <v>5861</v>
      </c>
      <c r="R17" t="s">
        <v>5861</v>
      </c>
      <c r="S17" t="s">
        <v>6561</v>
      </c>
      <c r="T17" t="s">
        <v>7053</v>
      </c>
      <c r="U17">
        <v>4</v>
      </c>
      <c r="W17">
        <v>5</v>
      </c>
      <c r="X17" t="s">
        <v>6944</v>
      </c>
    </row>
    <row r="18" spans="1:28">
      <c r="A18" t="s">
        <v>7054</v>
      </c>
      <c r="B18" t="s">
        <v>4229</v>
      </c>
      <c r="D18" t="s">
        <v>6761</v>
      </c>
      <c r="I18" t="s">
        <v>6546</v>
      </c>
      <c r="L18">
        <v>5</v>
      </c>
      <c r="M18" t="s">
        <v>6672</v>
      </c>
      <c r="N18" t="s">
        <v>6636</v>
      </c>
      <c r="O18" t="s">
        <v>6937</v>
      </c>
      <c r="P18" t="s">
        <v>7009</v>
      </c>
      <c r="Q18" t="s">
        <v>5861</v>
      </c>
      <c r="R18" t="s">
        <v>5861</v>
      </c>
      <c r="S18" t="s">
        <v>6724</v>
      </c>
      <c r="W18">
        <v>7</v>
      </c>
      <c r="X18" t="s">
        <v>7010</v>
      </c>
      <c r="AB18" t="s">
        <v>6743</v>
      </c>
    </row>
    <row r="19" spans="1:28">
      <c r="A19" t="s">
        <v>7055</v>
      </c>
      <c r="B19" t="s">
        <v>4174</v>
      </c>
      <c r="D19" t="s">
        <v>6987</v>
      </c>
      <c r="E19" t="s">
        <v>6988</v>
      </c>
      <c r="F19" t="s">
        <v>6989</v>
      </c>
      <c r="H19">
        <v>9</v>
      </c>
      <c r="I19" t="s">
        <v>6560</v>
      </c>
      <c r="L19">
        <v>2</v>
      </c>
      <c r="M19" t="s">
        <v>7056</v>
      </c>
      <c r="N19" t="s">
        <v>6683</v>
      </c>
      <c r="O19" t="s">
        <v>6913</v>
      </c>
      <c r="P19" t="s">
        <v>7057</v>
      </c>
      <c r="Q19" t="s">
        <v>5861</v>
      </c>
      <c r="R19" t="s">
        <v>5861</v>
      </c>
      <c r="S19" t="s">
        <v>6724</v>
      </c>
      <c r="T19" t="s">
        <v>6993</v>
      </c>
      <c r="U19">
        <v>4</v>
      </c>
      <c r="W19">
        <v>4</v>
      </c>
      <c r="X19" t="s">
        <v>6930</v>
      </c>
    </row>
    <row r="20" spans="1:28">
      <c r="A20" t="s">
        <v>7058</v>
      </c>
      <c r="B20" t="s">
        <v>4174</v>
      </c>
      <c r="D20" t="s">
        <v>6995</v>
      </c>
      <c r="E20" t="s">
        <v>6996</v>
      </c>
      <c r="F20" t="s">
        <v>6997</v>
      </c>
      <c r="H20">
        <v>12</v>
      </c>
      <c r="I20" t="s">
        <v>6730</v>
      </c>
      <c r="L20">
        <v>3</v>
      </c>
      <c r="M20" t="s">
        <v>7059</v>
      </c>
      <c r="N20" t="s">
        <v>6663</v>
      </c>
      <c r="O20" t="s">
        <v>6946</v>
      </c>
      <c r="P20" t="s">
        <v>6943</v>
      </c>
      <c r="Q20" t="s">
        <v>5861</v>
      </c>
      <c r="R20" t="s">
        <v>5861</v>
      </c>
      <c r="S20" t="s">
        <v>6612</v>
      </c>
      <c r="T20" t="s">
        <v>6993</v>
      </c>
      <c r="U20">
        <v>4</v>
      </c>
      <c r="W20">
        <v>2</v>
      </c>
      <c r="X20" t="s">
        <v>7025</v>
      </c>
    </row>
    <row r="21" spans="1:28">
      <c r="A21" t="s">
        <v>7060</v>
      </c>
      <c r="B21" t="s">
        <v>4174</v>
      </c>
      <c r="D21" t="s">
        <v>7000</v>
      </c>
      <c r="E21" t="s">
        <v>7001</v>
      </c>
      <c r="F21" t="s">
        <v>7002</v>
      </c>
      <c r="H21">
        <v>25</v>
      </c>
      <c r="I21" t="s">
        <v>6734</v>
      </c>
      <c r="L21">
        <v>4</v>
      </c>
      <c r="M21" t="s">
        <v>6990</v>
      </c>
      <c r="N21" t="s">
        <v>6672</v>
      </c>
      <c r="O21" t="s">
        <v>6791</v>
      </c>
      <c r="P21" t="s">
        <v>6921</v>
      </c>
      <c r="Q21" t="s">
        <v>5861</v>
      </c>
      <c r="R21" t="s">
        <v>5861</v>
      </c>
      <c r="S21" t="s">
        <v>6548</v>
      </c>
      <c r="T21" t="s">
        <v>6993</v>
      </c>
      <c r="U21">
        <v>4</v>
      </c>
      <c r="W21">
        <v>3</v>
      </c>
      <c r="X21" t="s">
        <v>6942</v>
      </c>
    </row>
    <row r="22" spans="1:28">
      <c r="A22" t="s">
        <v>7061</v>
      </c>
      <c r="B22" t="s">
        <v>4174</v>
      </c>
      <c r="D22" t="s">
        <v>7004</v>
      </c>
      <c r="E22" t="s">
        <v>7005</v>
      </c>
      <c r="F22" t="s">
        <v>7006</v>
      </c>
      <c r="H22">
        <v>37</v>
      </c>
      <c r="I22" t="s">
        <v>6738</v>
      </c>
      <c r="L22">
        <v>5</v>
      </c>
      <c r="M22" t="s">
        <v>6828</v>
      </c>
      <c r="N22" t="s">
        <v>6650</v>
      </c>
      <c r="O22" t="s">
        <v>6697</v>
      </c>
      <c r="P22" t="s">
        <v>7062</v>
      </c>
      <c r="Q22" t="s">
        <v>5861</v>
      </c>
      <c r="R22" t="s">
        <v>5861</v>
      </c>
      <c r="S22" t="s">
        <v>6555</v>
      </c>
      <c r="T22" t="s">
        <v>6993</v>
      </c>
      <c r="U22">
        <v>4</v>
      </c>
      <c r="W22">
        <v>4</v>
      </c>
      <c r="X22" t="s">
        <v>6673</v>
      </c>
    </row>
    <row r="23" spans="1:28">
      <c r="A23" t="s">
        <v>7063</v>
      </c>
      <c r="B23" t="s">
        <v>4174</v>
      </c>
      <c r="D23" t="s">
        <v>6741</v>
      </c>
      <c r="I23" t="s">
        <v>6546</v>
      </c>
      <c r="L23">
        <v>3</v>
      </c>
      <c r="M23" t="s">
        <v>6940</v>
      </c>
      <c r="N23" t="s">
        <v>6657</v>
      </c>
      <c r="O23" t="s">
        <v>6788</v>
      </c>
      <c r="P23" t="s">
        <v>7019</v>
      </c>
      <c r="Q23" t="s">
        <v>5861</v>
      </c>
      <c r="R23" t="s">
        <v>5861</v>
      </c>
      <c r="S23" t="s">
        <v>6724</v>
      </c>
      <c r="W23">
        <v>6</v>
      </c>
      <c r="X23" t="s">
        <v>7064</v>
      </c>
      <c r="AB23" t="s">
        <v>6743</v>
      </c>
    </row>
    <row r="24" spans="1:28">
      <c r="A24" t="s">
        <v>7065</v>
      </c>
      <c r="B24" t="s">
        <v>1418</v>
      </c>
      <c r="D24" t="s">
        <v>6987</v>
      </c>
      <c r="E24" t="s">
        <v>6988</v>
      </c>
      <c r="F24" t="s">
        <v>6989</v>
      </c>
      <c r="H24">
        <v>9</v>
      </c>
      <c r="I24" t="s">
        <v>6560</v>
      </c>
      <c r="K24" t="s">
        <v>6654</v>
      </c>
      <c r="L24">
        <v>3</v>
      </c>
      <c r="M24" t="s">
        <v>6828</v>
      </c>
      <c r="N24" t="s">
        <v>6816</v>
      </c>
      <c r="O24" t="s">
        <v>6909</v>
      </c>
      <c r="P24" t="s">
        <v>6984</v>
      </c>
      <c r="Q24" t="s">
        <v>5861</v>
      </c>
      <c r="R24" t="s">
        <v>5861</v>
      </c>
      <c r="S24" t="s">
        <v>6724</v>
      </c>
      <c r="T24" t="s">
        <v>6993</v>
      </c>
      <c r="U24">
        <v>4</v>
      </c>
      <c r="W24">
        <v>4</v>
      </c>
      <c r="X24" t="s">
        <v>6998</v>
      </c>
    </row>
    <row r="25" spans="1:28">
      <c r="A25" t="s">
        <v>7066</v>
      </c>
      <c r="B25" t="s">
        <v>1418</v>
      </c>
      <c r="D25" t="s">
        <v>6995</v>
      </c>
      <c r="E25" t="s">
        <v>6996</v>
      </c>
      <c r="F25" t="s">
        <v>6997</v>
      </c>
      <c r="H25">
        <v>12</v>
      </c>
      <c r="I25" t="s">
        <v>6730</v>
      </c>
      <c r="K25" t="s">
        <v>6654</v>
      </c>
      <c r="L25">
        <v>4</v>
      </c>
      <c r="M25" t="s">
        <v>6940</v>
      </c>
      <c r="N25" t="s">
        <v>6654</v>
      </c>
      <c r="O25" t="s">
        <v>6788</v>
      </c>
      <c r="P25" t="s">
        <v>7019</v>
      </c>
      <c r="Q25" t="s">
        <v>5861</v>
      </c>
      <c r="R25" t="s">
        <v>5861</v>
      </c>
      <c r="S25" t="s">
        <v>6612</v>
      </c>
      <c r="T25" t="s">
        <v>6993</v>
      </c>
      <c r="U25">
        <v>4</v>
      </c>
      <c r="W25">
        <v>2</v>
      </c>
      <c r="X25" t="s">
        <v>7067</v>
      </c>
    </row>
    <row r="26" spans="1:28">
      <c r="A26" t="s">
        <v>7068</v>
      </c>
      <c r="B26" t="s">
        <v>1418</v>
      </c>
      <c r="D26" t="s">
        <v>7000</v>
      </c>
      <c r="E26" t="s">
        <v>7001</v>
      </c>
      <c r="F26" t="s">
        <v>7002</v>
      </c>
      <c r="H26">
        <v>25</v>
      </c>
      <c r="I26" t="s">
        <v>6734</v>
      </c>
      <c r="K26" t="s">
        <v>6654</v>
      </c>
      <c r="L26">
        <v>5</v>
      </c>
      <c r="M26" t="s">
        <v>6907</v>
      </c>
      <c r="N26" t="s">
        <v>6666</v>
      </c>
      <c r="O26" t="s">
        <v>7024</v>
      </c>
      <c r="P26" t="s">
        <v>6947</v>
      </c>
      <c r="Q26" t="s">
        <v>5861</v>
      </c>
      <c r="R26" t="s">
        <v>5861</v>
      </c>
      <c r="S26" t="s">
        <v>6548</v>
      </c>
      <c r="T26" t="s">
        <v>6993</v>
      </c>
      <c r="U26">
        <v>4</v>
      </c>
      <c r="W26">
        <v>3</v>
      </c>
      <c r="X26" t="s">
        <v>7069</v>
      </c>
    </row>
    <row r="27" spans="1:28">
      <c r="A27" t="s">
        <v>7070</v>
      </c>
      <c r="B27" t="s">
        <v>1418</v>
      </c>
      <c r="D27" t="s">
        <v>7004</v>
      </c>
      <c r="E27" t="s">
        <v>7005</v>
      </c>
      <c r="F27" t="s">
        <v>7006</v>
      </c>
      <c r="H27">
        <v>37</v>
      </c>
      <c r="I27" t="s">
        <v>6738</v>
      </c>
      <c r="K27" t="s">
        <v>6654</v>
      </c>
      <c r="L27">
        <v>6</v>
      </c>
      <c r="M27" t="s">
        <v>6672</v>
      </c>
      <c r="N27" t="s">
        <v>6663</v>
      </c>
      <c r="O27" t="s">
        <v>6936</v>
      </c>
      <c r="P27" t="s">
        <v>6913</v>
      </c>
      <c r="Q27" t="s">
        <v>5861</v>
      </c>
      <c r="R27" t="s">
        <v>5861</v>
      </c>
      <c r="S27" t="s">
        <v>6555</v>
      </c>
      <c r="T27" t="s">
        <v>6993</v>
      </c>
      <c r="U27">
        <v>4</v>
      </c>
      <c r="W27">
        <v>4</v>
      </c>
      <c r="X27" t="s">
        <v>7071</v>
      </c>
    </row>
    <row r="28" spans="1:28">
      <c r="A28" t="s">
        <v>7072</v>
      </c>
      <c r="B28" t="s">
        <v>1418</v>
      </c>
      <c r="D28" t="s">
        <v>6741</v>
      </c>
      <c r="I28" t="s">
        <v>6546</v>
      </c>
      <c r="K28" t="s">
        <v>6654</v>
      </c>
      <c r="L28">
        <v>4</v>
      </c>
      <c r="M28" t="s">
        <v>6650</v>
      </c>
      <c r="N28" t="s">
        <v>6683</v>
      </c>
      <c r="O28" t="s">
        <v>7032</v>
      </c>
      <c r="P28" t="s">
        <v>7033</v>
      </c>
      <c r="Q28" t="s">
        <v>5861</v>
      </c>
      <c r="R28" t="s">
        <v>5861</v>
      </c>
      <c r="S28" t="s">
        <v>6724</v>
      </c>
      <c r="W28">
        <v>6</v>
      </c>
      <c r="X28" t="s">
        <v>7073</v>
      </c>
      <c r="AB28" t="s">
        <v>6743</v>
      </c>
    </row>
    <row r="29" spans="1:28">
      <c r="A29" t="s">
        <v>7074</v>
      </c>
      <c r="B29" t="s">
        <v>4216</v>
      </c>
      <c r="D29" t="s">
        <v>7075</v>
      </c>
      <c r="E29" t="s">
        <v>7076</v>
      </c>
      <c r="F29" t="s">
        <v>7014</v>
      </c>
      <c r="H29">
        <v>5</v>
      </c>
      <c r="I29" t="s">
        <v>6769</v>
      </c>
      <c r="L29">
        <v>2</v>
      </c>
      <c r="M29" t="s">
        <v>6990</v>
      </c>
      <c r="N29" t="s">
        <v>6697</v>
      </c>
      <c r="O29" t="s">
        <v>6991</v>
      </c>
      <c r="P29" t="s">
        <v>6992</v>
      </c>
      <c r="Q29" t="s">
        <v>5861</v>
      </c>
      <c r="R29" t="s">
        <v>5861</v>
      </c>
      <c r="S29" t="s">
        <v>6724</v>
      </c>
      <c r="T29" t="s">
        <v>6993</v>
      </c>
      <c r="U29">
        <v>4</v>
      </c>
      <c r="W29">
        <v>4</v>
      </c>
      <c r="X29" t="s">
        <v>6930</v>
      </c>
    </row>
    <row r="30" spans="1:28">
      <c r="A30" t="s">
        <v>7077</v>
      </c>
      <c r="B30" t="s">
        <v>4216</v>
      </c>
      <c r="D30" t="s">
        <v>7078</v>
      </c>
      <c r="E30" t="s">
        <v>7013</v>
      </c>
      <c r="F30" t="s">
        <v>7014</v>
      </c>
      <c r="H30">
        <v>8</v>
      </c>
      <c r="I30" t="s">
        <v>6546</v>
      </c>
      <c r="L30">
        <v>2</v>
      </c>
      <c r="M30" t="s">
        <v>6828</v>
      </c>
      <c r="N30" t="s">
        <v>6657</v>
      </c>
      <c r="O30" t="s">
        <v>6951</v>
      </c>
      <c r="P30" t="s">
        <v>6950</v>
      </c>
      <c r="Q30" t="s">
        <v>5861</v>
      </c>
      <c r="R30" t="s">
        <v>5861</v>
      </c>
      <c r="S30" t="s">
        <v>6612</v>
      </c>
      <c r="T30" t="s">
        <v>6993</v>
      </c>
      <c r="U30">
        <v>4</v>
      </c>
      <c r="W30">
        <v>2</v>
      </c>
      <c r="X30" t="s">
        <v>7025</v>
      </c>
    </row>
    <row r="31" spans="1:28">
      <c r="A31" t="s">
        <v>7079</v>
      </c>
      <c r="B31" t="s">
        <v>4216</v>
      </c>
      <c r="D31" t="s">
        <v>7080</v>
      </c>
      <c r="E31" t="s">
        <v>7081</v>
      </c>
      <c r="F31" t="s">
        <v>6989</v>
      </c>
      <c r="H31">
        <v>21</v>
      </c>
      <c r="I31" t="s">
        <v>6560</v>
      </c>
      <c r="L31">
        <v>3</v>
      </c>
      <c r="M31" t="s">
        <v>6940</v>
      </c>
      <c r="N31" t="s">
        <v>6650</v>
      </c>
      <c r="O31" t="s">
        <v>6932</v>
      </c>
      <c r="P31" t="s">
        <v>6909</v>
      </c>
      <c r="Q31" t="s">
        <v>5861</v>
      </c>
      <c r="R31" t="s">
        <v>5861</v>
      </c>
      <c r="S31" t="s">
        <v>6548</v>
      </c>
      <c r="T31" t="s">
        <v>6993</v>
      </c>
      <c r="U31">
        <v>4</v>
      </c>
      <c r="W31">
        <v>3</v>
      </c>
      <c r="X31" t="s">
        <v>6942</v>
      </c>
    </row>
    <row r="32" spans="1:28">
      <c r="A32" t="s">
        <v>7082</v>
      </c>
      <c r="B32" t="s">
        <v>4216</v>
      </c>
      <c r="D32" t="s">
        <v>7083</v>
      </c>
      <c r="E32" t="s">
        <v>7044</v>
      </c>
      <c r="F32" t="s">
        <v>7084</v>
      </c>
      <c r="H32">
        <v>33</v>
      </c>
      <c r="I32" t="s">
        <v>6730</v>
      </c>
      <c r="L32">
        <v>4</v>
      </c>
      <c r="M32" t="s">
        <v>6907</v>
      </c>
      <c r="N32" t="s">
        <v>6666</v>
      </c>
      <c r="O32" t="s">
        <v>6967</v>
      </c>
      <c r="P32" t="s">
        <v>6923</v>
      </c>
      <c r="Q32" t="s">
        <v>5861</v>
      </c>
      <c r="R32" t="s">
        <v>5861</v>
      </c>
      <c r="S32" t="s">
        <v>6555</v>
      </c>
      <c r="T32" t="s">
        <v>6993</v>
      </c>
      <c r="U32">
        <v>4</v>
      </c>
      <c r="W32">
        <v>4</v>
      </c>
      <c r="X32" t="s">
        <v>6673</v>
      </c>
    </row>
    <row r="33" spans="1:28">
      <c r="A33" t="s">
        <v>7085</v>
      </c>
      <c r="B33" t="s">
        <v>4216</v>
      </c>
      <c r="D33" t="s">
        <v>6773</v>
      </c>
      <c r="I33" t="s">
        <v>6769</v>
      </c>
      <c r="L33">
        <v>2</v>
      </c>
      <c r="M33" t="s">
        <v>6672</v>
      </c>
      <c r="N33" t="s">
        <v>6636</v>
      </c>
      <c r="O33" t="s">
        <v>6937</v>
      </c>
      <c r="P33" t="s">
        <v>7009</v>
      </c>
      <c r="Q33" t="s">
        <v>5861</v>
      </c>
      <c r="R33" t="s">
        <v>5861</v>
      </c>
      <c r="S33" t="s">
        <v>6724</v>
      </c>
      <c r="W33">
        <v>6</v>
      </c>
      <c r="X33" t="s">
        <v>7064</v>
      </c>
      <c r="AB33" t="s">
        <v>6743</v>
      </c>
    </row>
    <row r="34" spans="1:28">
      <c r="A34" t="s">
        <v>7086</v>
      </c>
      <c r="B34" t="s">
        <v>4197</v>
      </c>
      <c r="D34" t="s">
        <v>7017</v>
      </c>
      <c r="E34" t="s">
        <v>7087</v>
      </c>
      <c r="F34" t="s">
        <v>6997</v>
      </c>
      <c r="H34">
        <v>10</v>
      </c>
      <c r="I34" t="s">
        <v>6560</v>
      </c>
      <c r="L34">
        <v>3</v>
      </c>
      <c r="M34" t="s">
        <v>7059</v>
      </c>
      <c r="N34" t="s">
        <v>6676</v>
      </c>
      <c r="O34" t="s">
        <v>6921</v>
      </c>
      <c r="P34" t="s">
        <v>7088</v>
      </c>
      <c r="Q34" t="s">
        <v>5861</v>
      </c>
      <c r="R34" t="s">
        <v>5861</v>
      </c>
      <c r="S34" t="s">
        <v>6612</v>
      </c>
      <c r="T34" t="s">
        <v>6993</v>
      </c>
      <c r="U34">
        <v>4</v>
      </c>
      <c r="W34">
        <v>4</v>
      </c>
      <c r="X34" t="s">
        <v>7089</v>
      </c>
    </row>
    <row r="35" spans="1:28">
      <c r="A35" t="s">
        <v>7090</v>
      </c>
      <c r="B35" t="s">
        <v>4197</v>
      </c>
      <c r="D35" t="s">
        <v>7036</v>
      </c>
      <c r="E35" t="s">
        <v>7081</v>
      </c>
      <c r="F35" t="s">
        <v>7023</v>
      </c>
      <c r="H35">
        <v>13</v>
      </c>
      <c r="I35" t="s">
        <v>6730</v>
      </c>
      <c r="L35">
        <v>4</v>
      </c>
      <c r="M35" t="s">
        <v>6990</v>
      </c>
      <c r="N35" t="s">
        <v>6660</v>
      </c>
      <c r="O35" t="s">
        <v>6908</v>
      </c>
      <c r="P35" t="s">
        <v>6917</v>
      </c>
      <c r="Q35" t="s">
        <v>5861</v>
      </c>
      <c r="R35" t="s">
        <v>5861</v>
      </c>
      <c r="S35" t="s">
        <v>6548</v>
      </c>
      <c r="T35" t="s">
        <v>6993</v>
      </c>
      <c r="U35">
        <v>4</v>
      </c>
      <c r="W35">
        <v>2</v>
      </c>
      <c r="X35" t="s">
        <v>6938</v>
      </c>
    </row>
    <row r="36" spans="1:28">
      <c r="A36" t="s">
        <v>7091</v>
      </c>
      <c r="B36" t="s">
        <v>4197</v>
      </c>
      <c r="D36" t="s">
        <v>7092</v>
      </c>
      <c r="E36" t="s">
        <v>7093</v>
      </c>
      <c r="F36" t="s">
        <v>7041</v>
      </c>
      <c r="H36">
        <v>26</v>
      </c>
      <c r="I36" t="s">
        <v>6734</v>
      </c>
      <c r="L36">
        <v>5</v>
      </c>
      <c r="M36" t="s">
        <v>6828</v>
      </c>
      <c r="N36" t="s">
        <v>6672</v>
      </c>
      <c r="O36" t="s">
        <v>6912</v>
      </c>
      <c r="P36" t="s">
        <v>6991</v>
      </c>
      <c r="Q36" t="s">
        <v>5861</v>
      </c>
      <c r="R36" t="s">
        <v>5861</v>
      </c>
      <c r="S36" t="s">
        <v>6555</v>
      </c>
      <c r="T36" t="s">
        <v>6993</v>
      </c>
      <c r="U36">
        <v>4</v>
      </c>
      <c r="W36">
        <v>3</v>
      </c>
      <c r="X36" t="s">
        <v>7094</v>
      </c>
    </row>
    <row r="37" spans="1:28">
      <c r="A37" t="s">
        <v>7095</v>
      </c>
      <c r="B37" t="s">
        <v>4197</v>
      </c>
      <c r="D37" t="s">
        <v>7096</v>
      </c>
      <c r="E37" t="s">
        <v>7097</v>
      </c>
      <c r="F37" t="s">
        <v>7098</v>
      </c>
      <c r="H37">
        <v>38</v>
      </c>
      <c r="I37" t="s">
        <v>6738</v>
      </c>
      <c r="L37">
        <v>6</v>
      </c>
      <c r="M37" t="s">
        <v>6940</v>
      </c>
      <c r="N37" t="s">
        <v>6650</v>
      </c>
      <c r="O37" t="s">
        <v>6816</v>
      </c>
      <c r="P37" t="s">
        <v>6916</v>
      </c>
      <c r="Q37" t="s">
        <v>5861</v>
      </c>
      <c r="R37" t="s">
        <v>5861</v>
      </c>
      <c r="S37" t="s">
        <v>6561</v>
      </c>
      <c r="T37" t="s">
        <v>6993</v>
      </c>
      <c r="U37">
        <v>4</v>
      </c>
      <c r="W37">
        <v>4</v>
      </c>
      <c r="X37" t="s">
        <v>7099</v>
      </c>
    </row>
    <row r="38" spans="1:28">
      <c r="A38" t="s">
        <v>7100</v>
      </c>
      <c r="B38" t="s">
        <v>4197</v>
      </c>
      <c r="D38" t="s">
        <v>6782</v>
      </c>
      <c r="I38" t="s">
        <v>6546</v>
      </c>
      <c r="L38">
        <v>4</v>
      </c>
      <c r="M38" t="s">
        <v>6907</v>
      </c>
      <c r="N38" t="s">
        <v>6654</v>
      </c>
      <c r="O38" t="s">
        <v>7101</v>
      </c>
      <c r="P38" t="s">
        <v>7102</v>
      </c>
      <c r="Q38" t="s">
        <v>5861</v>
      </c>
      <c r="R38" t="s">
        <v>5861</v>
      </c>
      <c r="S38" t="s">
        <v>6612</v>
      </c>
      <c r="W38">
        <v>6</v>
      </c>
      <c r="X38" t="s">
        <v>7103</v>
      </c>
      <c r="AB38" t="s">
        <v>6743</v>
      </c>
    </row>
    <row r="39" spans="1:28">
      <c r="A39" t="s">
        <v>7104</v>
      </c>
      <c r="B39" t="s">
        <v>6625</v>
      </c>
      <c r="D39" t="s">
        <v>7036</v>
      </c>
      <c r="E39" t="s">
        <v>5861</v>
      </c>
      <c r="F39" t="s">
        <v>5861</v>
      </c>
      <c r="H39">
        <v>13</v>
      </c>
      <c r="I39" t="s">
        <v>6546</v>
      </c>
      <c r="L39">
        <v>2</v>
      </c>
      <c r="M39" t="s">
        <v>6990</v>
      </c>
      <c r="N39" t="s">
        <v>6660</v>
      </c>
      <c r="O39" t="s">
        <v>6908</v>
      </c>
      <c r="P39" t="s">
        <v>6917</v>
      </c>
      <c r="Q39" t="s">
        <v>5861</v>
      </c>
      <c r="R39" t="s">
        <v>5861</v>
      </c>
      <c r="S39" t="s">
        <v>6612</v>
      </c>
      <c r="T39" t="s">
        <v>6993</v>
      </c>
      <c r="U39">
        <v>4</v>
      </c>
      <c r="X39" t="s">
        <v>7105</v>
      </c>
      <c r="AB39" t="s">
        <v>6786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87"/>
  <sheetViews>
    <sheetView workbookViewId="0"/>
  </sheetViews>
  <sheetFormatPr baseColWidth="10" defaultColWidth="9.140625" defaultRowHeight="15"/>
  <sheetData>
    <row r="1" spans="1:11">
      <c r="A1" t="s">
        <v>4158</v>
      </c>
      <c r="B1" t="s">
        <v>4147</v>
      </c>
      <c r="C1" t="s">
        <v>7106</v>
      </c>
      <c r="D1" t="s">
        <v>7107</v>
      </c>
      <c r="E1" t="s">
        <v>6493</v>
      </c>
      <c r="F1" t="s">
        <v>7108</v>
      </c>
      <c r="G1" t="s">
        <v>7109</v>
      </c>
      <c r="H1" t="s">
        <v>7110</v>
      </c>
      <c r="I1" t="s">
        <v>7111</v>
      </c>
      <c r="J1" t="s">
        <v>7112</v>
      </c>
      <c r="K1" t="s">
        <v>6720</v>
      </c>
    </row>
    <row r="2" spans="1:11">
      <c r="A2" t="s">
        <v>7113</v>
      </c>
      <c r="B2" t="s">
        <v>7114</v>
      </c>
      <c r="C2" t="s">
        <v>6501</v>
      </c>
      <c r="D2" t="s">
        <v>6514</v>
      </c>
      <c r="E2">
        <v>19</v>
      </c>
      <c r="F2" t="s">
        <v>6502</v>
      </c>
      <c r="G2">
        <f>IF(F2="","",IF(COUNTIFS('Munition-Feuerwaffen'!$B$2:$B$35,F2,'Munition-Feuerwaffen'!$C$2:$C$35,E2)=0,"",SUMPRODUCT(('Munition-Feuerwaffen'!$B$2:$B$35=F2)*('Munition-Feuerwaffen'!$C$2:$C$35=E2)*'Munition-Feuerwaffen'!$D$2:$D$35)))</f>
        <v>0.42042000000000007</v>
      </c>
      <c r="H2" t="s">
        <v>6503</v>
      </c>
      <c r="I2">
        <f>IF(H2="","",IF(COUNTIFS('Munition-Feuerwaffen'!$B$2:$B$35,H2,'Munition-Feuerwaffen'!$C$2:$C$35,E2)=0,"",SUMPRODUCT(('Munition-Feuerwaffen'!$B$2:$B$35=H2)*('Munition-Feuerwaffen'!$C$2:$C$35=E2)*'Munition-Feuerwaffen'!$D$2:$D$35)))</f>
        <v>0.45311250000000003</v>
      </c>
      <c r="J2" t="s">
        <v>6504</v>
      </c>
    </row>
    <row r="3" spans="1:11">
      <c r="A3" t="s">
        <v>7115</v>
      </c>
      <c r="B3" t="s">
        <v>7114</v>
      </c>
      <c r="C3" t="s">
        <v>6501</v>
      </c>
      <c r="D3" t="s">
        <v>6514</v>
      </c>
      <c r="E3">
        <v>17</v>
      </c>
      <c r="F3" t="s">
        <v>6502</v>
      </c>
      <c r="G3">
        <f>IF(F3="","",IF(COUNTIFS('Munition-Feuerwaffen'!$B$2:$B$35,F3,'Munition-Feuerwaffen'!$C$2:$C$35,E3)=0,"",SUMPRODUCT(('Munition-Feuerwaffen'!$B$2:$B$35=F3)*('Munition-Feuerwaffen'!$C$2:$C$35=E3)*'Munition-Feuerwaffen'!$D$2:$D$35)))</f>
        <v>0.40513200000000005</v>
      </c>
      <c r="H3" t="s">
        <v>6503</v>
      </c>
      <c r="I3">
        <f>IF(H3="","",IF(COUNTIFS('Munition-Feuerwaffen'!$B$2:$B$35,H3,'Munition-Feuerwaffen'!$C$2:$C$35,E3)=0,"",SUMPRODUCT(('Munition-Feuerwaffen'!$B$2:$B$35=H3)*('Munition-Feuerwaffen'!$C$2:$C$35=E3)*'Munition-Feuerwaffen'!$D$2:$D$35)))</f>
        <v>0.44046750000000001</v>
      </c>
      <c r="J3" t="s">
        <v>6504</v>
      </c>
    </row>
    <row r="4" spans="1:11">
      <c r="A4" t="s">
        <v>7116</v>
      </c>
      <c r="B4" t="s">
        <v>7114</v>
      </c>
      <c r="C4" t="s">
        <v>6501</v>
      </c>
      <c r="D4" t="s">
        <v>6514</v>
      </c>
      <c r="E4">
        <v>18</v>
      </c>
      <c r="F4" t="s">
        <v>6502</v>
      </c>
      <c r="G4">
        <f>IF(F4="","",IF(COUNTIFS('Munition-Feuerwaffen'!$B$2:$B$35,F4,'Munition-Feuerwaffen'!$C$2:$C$35,E4)=0,"",SUMPRODUCT(('Munition-Feuerwaffen'!$B$2:$B$35=F4)*('Munition-Feuerwaffen'!$C$2:$C$35=E4)*'Munition-Feuerwaffen'!$D$2:$D$35)))</f>
        <v>0.41277600000000009</v>
      </c>
      <c r="H4" t="s">
        <v>6503</v>
      </c>
      <c r="I4">
        <f>IF(H4="","",IF(COUNTIFS('Munition-Feuerwaffen'!$B$2:$B$35,H4,'Munition-Feuerwaffen'!$C$2:$C$35,E4)=0,"",SUMPRODUCT(('Munition-Feuerwaffen'!$B$2:$B$35=H4)*('Munition-Feuerwaffen'!$C$2:$C$35=E4)*'Munition-Feuerwaffen'!$D$2:$D$35)))</f>
        <v>0.44679000000000008</v>
      </c>
      <c r="J4" t="s">
        <v>6504</v>
      </c>
    </row>
    <row r="5" spans="1:11">
      <c r="A5" t="s">
        <v>7117</v>
      </c>
      <c r="B5" t="s">
        <v>7114</v>
      </c>
      <c r="C5" t="s">
        <v>6501</v>
      </c>
      <c r="D5" t="s">
        <v>6514</v>
      </c>
      <c r="E5">
        <v>14</v>
      </c>
      <c r="F5" t="s">
        <v>6502</v>
      </c>
      <c r="G5">
        <f>IF(F5="","",IF(COUNTIFS('Munition-Feuerwaffen'!$B$2:$B$35,F5,'Munition-Feuerwaffen'!$C$2:$C$35,E5)=0,"",SUMPRODUCT(('Munition-Feuerwaffen'!$B$2:$B$35=F5)*('Munition-Feuerwaffen'!$C$2:$C$35=E5)*'Munition-Feuerwaffen'!$D$2:$D$35)))</f>
        <v>0.38220000000000004</v>
      </c>
      <c r="H5" t="s">
        <v>6503</v>
      </c>
      <c r="I5">
        <f>IF(H5="","",IF(COUNTIFS('Munition-Feuerwaffen'!$B$2:$B$35,H5,'Munition-Feuerwaffen'!$C$2:$C$35,E5)=0,"",SUMPRODUCT(('Munition-Feuerwaffen'!$B$2:$B$35=H5)*('Munition-Feuerwaffen'!$C$2:$C$35=E5)*'Munition-Feuerwaffen'!$D$2:$D$35)))</f>
        <v>0.42150000000000004</v>
      </c>
      <c r="J5" t="s">
        <v>6504</v>
      </c>
    </row>
    <row r="6" spans="1:11">
      <c r="A6" t="s">
        <v>7118</v>
      </c>
      <c r="B6" t="s">
        <v>7114</v>
      </c>
      <c r="C6" t="s">
        <v>6501</v>
      </c>
      <c r="D6" t="s">
        <v>6514</v>
      </c>
      <c r="E6">
        <v>14</v>
      </c>
      <c r="F6" t="s">
        <v>6502</v>
      </c>
      <c r="G6">
        <f>IF(F6="","",IF(COUNTIFS('Munition-Feuerwaffen'!$B$2:$B$35,F6,'Munition-Feuerwaffen'!$C$2:$C$35,E6)=0,"",SUMPRODUCT(('Munition-Feuerwaffen'!$B$2:$B$35=F6)*('Munition-Feuerwaffen'!$C$2:$C$35=E6)*'Munition-Feuerwaffen'!$D$2:$D$35)))</f>
        <v>0.38220000000000004</v>
      </c>
      <c r="H6" t="s">
        <v>6503</v>
      </c>
      <c r="I6">
        <f>IF(H6="","",IF(COUNTIFS('Munition-Feuerwaffen'!$B$2:$B$35,H6,'Munition-Feuerwaffen'!$C$2:$C$35,E6)=0,"",SUMPRODUCT(('Munition-Feuerwaffen'!$B$2:$B$35=H6)*('Munition-Feuerwaffen'!$C$2:$C$35=E6)*'Munition-Feuerwaffen'!$D$2:$D$35)))</f>
        <v>0.42150000000000004</v>
      </c>
      <c r="J6" t="s">
        <v>6504</v>
      </c>
    </row>
    <row r="7" spans="1:11">
      <c r="A7" t="s">
        <v>7119</v>
      </c>
      <c r="B7" t="s">
        <v>7114</v>
      </c>
      <c r="C7" t="s">
        <v>6501</v>
      </c>
      <c r="D7" t="s">
        <v>6514</v>
      </c>
      <c r="E7">
        <v>14</v>
      </c>
      <c r="F7" t="s">
        <v>6502</v>
      </c>
      <c r="G7">
        <f>IF(F7="","",IF(COUNTIFS('Munition-Feuerwaffen'!$B$2:$B$35,F7,'Munition-Feuerwaffen'!$C$2:$C$35,E7)=0,"",SUMPRODUCT(('Munition-Feuerwaffen'!$B$2:$B$35=F7)*('Munition-Feuerwaffen'!$C$2:$C$35=E7)*'Munition-Feuerwaffen'!$D$2:$D$35)))</f>
        <v>0.38220000000000004</v>
      </c>
      <c r="H7" t="s">
        <v>6503</v>
      </c>
      <c r="I7">
        <f>IF(H7="","",IF(COUNTIFS('Munition-Feuerwaffen'!$B$2:$B$35,H7,'Munition-Feuerwaffen'!$C$2:$C$35,E7)=0,"",SUMPRODUCT(('Munition-Feuerwaffen'!$B$2:$B$35=H7)*('Munition-Feuerwaffen'!$C$2:$C$35=E7)*'Munition-Feuerwaffen'!$D$2:$D$35)))</f>
        <v>0.42150000000000004</v>
      </c>
      <c r="J7" t="s">
        <v>6504</v>
      </c>
    </row>
    <row r="8" spans="1:11">
      <c r="A8" t="s">
        <v>7120</v>
      </c>
      <c r="B8" t="s">
        <v>1418</v>
      </c>
      <c r="C8" t="s">
        <v>6505</v>
      </c>
      <c r="D8" t="s">
        <v>7121</v>
      </c>
      <c r="E8">
        <v>18</v>
      </c>
      <c r="F8" t="s">
        <v>6506</v>
      </c>
      <c r="G8">
        <f>IF(F8="","",IF(COUNTIFS('Munition-Feuerwaffen'!$B$2:$B$35,F8,'Munition-Feuerwaffen'!$C$2:$C$35,E8)=0,"",SUMPRODUCT(('Munition-Feuerwaffen'!$B$2:$B$35=F8)*('Munition-Feuerwaffen'!$C$2:$C$35=E8)*'Munition-Feuerwaffen'!$D$2:$D$35)))</f>
        <v>0.72150666666666674</v>
      </c>
    </row>
    <row r="9" spans="1:11">
      <c r="A9" t="s">
        <v>7122</v>
      </c>
      <c r="B9" t="s">
        <v>1418</v>
      </c>
      <c r="C9" t="s">
        <v>7123</v>
      </c>
      <c r="D9" t="s">
        <v>7124</v>
      </c>
      <c r="E9">
        <v>12</v>
      </c>
      <c r="F9" t="s">
        <v>6508</v>
      </c>
      <c r="G9" t="str">
        <f>IF(F9="","",IF(COUNTIFS('Munition-Feuerwaffen'!$B$2:$B$35,F9,'Munition-Feuerwaffen'!$C$2:$C$35,E9)=0,"",SUMPRODUCT(('Munition-Feuerwaffen'!$B$2:$B$35=F9)*('Munition-Feuerwaffen'!$C$2:$C$35=E9)*'Munition-Feuerwaffen'!$D$2:$D$35)))</f>
        <v/>
      </c>
    </row>
    <row r="10" spans="1:11">
      <c r="A10" t="s">
        <v>7125</v>
      </c>
      <c r="B10" t="s">
        <v>1418</v>
      </c>
      <c r="C10" t="s">
        <v>6501</v>
      </c>
      <c r="D10" t="s">
        <v>6514</v>
      </c>
      <c r="E10">
        <v>18</v>
      </c>
      <c r="F10" t="s">
        <v>6502</v>
      </c>
      <c r="G10">
        <f>IF(F10="","",IF(COUNTIFS('Munition-Feuerwaffen'!$B$2:$B$35,F10,'Munition-Feuerwaffen'!$C$2:$C$35,E10)=0,"",SUMPRODUCT(('Munition-Feuerwaffen'!$B$2:$B$35=F10)*('Munition-Feuerwaffen'!$C$2:$C$35=E10)*'Munition-Feuerwaffen'!$D$2:$D$35)))</f>
        <v>0.41277600000000009</v>
      </c>
      <c r="H10" t="s">
        <v>6503</v>
      </c>
      <c r="I10">
        <f>IF(H10="","",IF(COUNTIFS('Munition-Feuerwaffen'!$B$2:$B$35,H10,'Munition-Feuerwaffen'!$C$2:$C$35,E10)=0,"",SUMPRODUCT(('Munition-Feuerwaffen'!$B$2:$B$35=H10)*('Munition-Feuerwaffen'!$C$2:$C$35=E10)*'Munition-Feuerwaffen'!$D$2:$D$35)))</f>
        <v>0.44679000000000008</v>
      </c>
      <c r="J10" t="s">
        <v>6504</v>
      </c>
    </row>
    <row r="11" spans="1:11">
      <c r="A11" t="s">
        <v>7126</v>
      </c>
      <c r="B11" t="s">
        <v>1418</v>
      </c>
      <c r="C11" t="s">
        <v>6505</v>
      </c>
      <c r="D11" t="s">
        <v>7121</v>
      </c>
      <c r="E11">
        <v>18</v>
      </c>
      <c r="F11" t="s">
        <v>6506</v>
      </c>
      <c r="G11">
        <f>IF(F11="","",IF(COUNTIFS('Munition-Feuerwaffen'!$B$2:$B$35,F11,'Munition-Feuerwaffen'!$C$2:$C$35,E11)=0,"",SUMPRODUCT(('Munition-Feuerwaffen'!$B$2:$B$35=F11)*('Munition-Feuerwaffen'!$C$2:$C$35=E11)*'Munition-Feuerwaffen'!$D$2:$D$35)))</f>
        <v>0.72150666666666674</v>
      </c>
    </row>
    <row r="12" spans="1:11">
      <c r="A12" t="s">
        <v>7127</v>
      </c>
      <c r="B12" t="s">
        <v>1418</v>
      </c>
      <c r="C12" t="s">
        <v>7123</v>
      </c>
      <c r="D12" t="s">
        <v>7124</v>
      </c>
      <c r="E12">
        <v>9</v>
      </c>
      <c r="F12" t="s">
        <v>6508</v>
      </c>
      <c r="G12">
        <f>IF(F12="","",IF(COUNTIFS('Munition-Feuerwaffen'!$B$2:$B$35,F12,'Munition-Feuerwaffen'!$C$2:$C$35,E12)=0,"",SUMPRODUCT(('Munition-Feuerwaffen'!$B$2:$B$35=F12)*('Munition-Feuerwaffen'!$C$2:$C$35=E12)*'Munition-Feuerwaffen'!$D$2:$D$35)))</f>
        <v>0.86891680000000004</v>
      </c>
    </row>
    <row r="13" spans="1:11">
      <c r="A13" t="s">
        <v>7128</v>
      </c>
      <c r="B13" t="s">
        <v>1418</v>
      </c>
      <c r="C13" t="s">
        <v>7123</v>
      </c>
      <c r="D13" t="s">
        <v>7124</v>
      </c>
      <c r="E13">
        <v>10</v>
      </c>
      <c r="F13" t="s">
        <v>6508</v>
      </c>
      <c r="G13">
        <f>IF(F13="","",IF(COUNTIFS('Munition-Feuerwaffen'!$B$2:$B$35,F13,'Munition-Feuerwaffen'!$C$2:$C$35,E13)=0,"",SUMPRODUCT(('Munition-Feuerwaffen'!$B$2:$B$35=F13)*('Munition-Feuerwaffen'!$C$2:$C$35=E13)*'Munition-Feuerwaffen'!$D$2:$D$35)))</f>
        <v>0.91267519999999991</v>
      </c>
    </row>
    <row r="14" spans="1:11">
      <c r="A14" t="s">
        <v>7129</v>
      </c>
      <c r="B14" t="s">
        <v>1418</v>
      </c>
      <c r="C14" t="s">
        <v>6501</v>
      </c>
      <c r="D14" t="s">
        <v>6514</v>
      </c>
      <c r="E14">
        <v>15</v>
      </c>
      <c r="F14" t="s">
        <v>6502</v>
      </c>
      <c r="G14">
        <f>IF(F14="","",IF(COUNTIFS('Munition-Feuerwaffen'!$B$2:$B$35,F14,'Munition-Feuerwaffen'!$C$2:$C$35,E14)=0,"",SUMPRODUCT(('Munition-Feuerwaffen'!$B$2:$B$35=F14)*('Munition-Feuerwaffen'!$C$2:$C$35=E14)*'Munition-Feuerwaffen'!$D$2:$D$35)))</f>
        <v>0.38984400000000002</v>
      </c>
      <c r="H14" t="s">
        <v>6503</v>
      </c>
      <c r="I14">
        <f>IF(H14="","",IF(COUNTIFS('Munition-Feuerwaffen'!$B$2:$B$35,H14,'Munition-Feuerwaffen'!$C$2:$C$35,E14)=0,"",SUMPRODUCT(('Munition-Feuerwaffen'!$B$2:$B$35=H14)*('Munition-Feuerwaffen'!$C$2:$C$35=E14)*'Munition-Feuerwaffen'!$D$2:$D$35)))</f>
        <v>0.42782249999999999</v>
      </c>
      <c r="J14" t="s">
        <v>6504</v>
      </c>
    </row>
    <row r="15" spans="1:11">
      <c r="A15" t="s">
        <v>7130</v>
      </c>
      <c r="B15" t="s">
        <v>1418</v>
      </c>
      <c r="C15" t="s">
        <v>7123</v>
      </c>
      <c r="D15" t="s">
        <v>7124</v>
      </c>
      <c r="E15">
        <v>7</v>
      </c>
      <c r="F15" t="s">
        <v>6508</v>
      </c>
      <c r="G15">
        <f>IF(F15="","",IF(COUNTIFS('Munition-Feuerwaffen'!$B$2:$B$35,F15,'Munition-Feuerwaffen'!$C$2:$C$35,E15)=0,"",SUMPRODUCT(('Munition-Feuerwaffen'!$B$2:$B$35=F15)*('Munition-Feuerwaffen'!$C$2:$C$35=E15)*'Munition-Feuerwaffen'!$D$2:$D$35)))</f>
        <v>0.71878400000000009</v>
      </c>
    </row>
    <row r="16" spans="1:11">
      <c r="A16" t="s">
        <v>7131</v>
      </c>
      <c r="B16" t="s">
        <v>1421</v>
      </c>
      <c r="C16" t="s">
        <v>6501</v>
      </c>
      <c r="D16" t="s">
        <v>6514</v>
      </c>
      <c r="E16">
        <v>17</v>
      </c>
      <c r="F16" t="s">
        <v>6502</v>
      </c>
      <c r="G16">
        <f>IF(F16="","",IF(COUNTIFS('Munition-Feuerwaffen'!$B$2:$B$35,F16,'Munition-Feuerwaffen'!$C$2:$C$35,E16)=0,"",SUMPRODUCT(('Munition-Feuerwaffen'!$B$2:$B$35=F16)*('Munition-Feuerwaffen'!$C$2:$C$35=E16)*'Munition-Feuerwaffen'!$D$2:$D$35)))</f>
        <v>0.40513200000000005</v>
      </c>
      <c r="H16" t="s">
        <v>6503</v>
      </c>
      <c r="I16">
        <f>IF(H16="","",IF(COUNTIFS('Munition-Feuerwaffen'!$B$2:$B$35,H16,'Munition-Feuerwaffen'!$C$2:$C$35,E16)=0,"",SUMPRODUCT(('Munition-Feuerwaffen'!$B$2:$B$35=H16)*('Munition-Feuerwaffen'!$C$2:$C$35=E16)*'Munition-Feuerwaffen'!$D$2:$D$35)))</f>
        <v>0.44046750000000001</v>
      </c>
      <c r="J16" t="s">
        <v>6504</v>
      </c>
    </row>
    <row r="17" spans="1:10">
      <c r="A17" t="s">
        <v>7132</v>
      </c>
      <c r="B17" t="s">
        <v>1421</v>
      </c>
      <c r="C17" t="s">
        <v>7123</v>
      </c>
      <c r="D17" t="s">
        <v>7124</v>
      </c>
      <c r="E17">
        <v>11</v>
      </c>
      <c r="F17" t="s">
        <v>6508</v>
      </c>
      <c r="G17" t="str">
        <f>IF(F17="","",IF(COUNTIFS('Munition-Feuerwaffen'!$B$2:$B$35,F17,'Munition-Feuerwaffen'!$C$2:$C$35,E17)=0,"",SUMPRODUCT(('Munition-Feuerwaffen'!$B$2:$B$35=F17)*('Munition-Feuerwaffen'!$C$2:$C$35=E17)*'Munition-Feuerwaffen'!$D$2:$D$35)))</f>
        <v/>
      </c>
    </row>
    <row r="18" spans="1:10">
      <c r="A18" t="s">
        <v>7133</v>
      </c>
      <c r="B18" t="s">
        <v>1421</v>
      </c>
      <c r="C18" t="s">
        <v>6501</v>
      </c>
      <c r="D18" t="s">
        <v>6514</v>
      </c>
      <c r="E18">
        <v>17</v>
      </c>
      <c r="F18" t="s">
        <v>6502</v>
      </c>
      <c r="G18">
        <f>IF(F18="","",IF(COUNTIFS('Munition-Feuerwaffen'!$B$2:$B$35,F18,'Munition-Feuerwaffen'!$C$2:$C$35,E18)=0,"",SUMPRODUCT(('Munition-Feuerwaffen'!$B$2:$B$35=F18)*('Munition-Feuerwaffen'!$C$2:$C$35=E18)*'Munition-Feuerwaffen'!$D$2:$D$35)))</f>
        <v>0.40513200000000005</v>
      </c>
      <c r="H18" t="s">
        <v>6503</v>
      </c>
      <c r="I18">
        <f>IF(H18="","",IF(COUNTIFS('Munition-Feuerwaffen'!$B$2:$B$35,H18,'Munition-Feuerwaffen'!$C$2:$C$35,E18)=0,"",SUMPRODUCT(('Munition-Feuerwaffen'!$B$2:$B$35=H18)*('Munition-Feuerwaffen'!$C$2:$C$35=E18)*'Munition-Feuerwaffen'!$D$2:$D$35)))</f>
        <v>0.44046750000000001</v>
      </c>
      <c r="J18" t="s">
        <v>6504</v>
      </c>
    </row>
    <row r="19" spans="1:10">
      <c r="A19" t="s">
        <v>7134</v>
      </c>
      <c r="B19" t="s">
        <v>1421</v>
      </c>
      <c r="C19" t="s">
        <v>7123</v>
      </c>
      <c r="D19" t="s">
        <v>7124</v>
      </c>
      <c r="E19">
        <v>11</v>
      </c>
      <c r="F19" t="s">
        <v>6508</v>
      </c>
      <c r="G19" t="str">
        <f>IF(F19="","",IF(COUNTIFS('Munition-Feuerwaffen'!$B$2:$B$35,F19,'Munition-Feuerwaffen'!$C$2:$C$35,E19)=0,"",SUMPRODUCT(('Munition-Feuerwaffen'!$B$2:$B$35=F19)*('Munition-Feuerwaffen'!$C$2:$C$35=E19)*'Munition-Feuerwaffen'!$D$2:$D$35)))</f>
        <v/>
      </c>
    </row>
    <row r="20" spans="1:10">
      <c r="A20" t="s">
        <v>7135</v>
      </c>
      <c r="B20" t="s">
        <v>1421</v>
      </c>
      <c r="C20" t="s">
        <v>7123</v>
      </c>
      <c r="D20" t="s">
        <v>7124</v>
      </c>
      <c r="E20">
        <v>11</v>
      </c>
      <c r="F20" t="s">
        <v>6508</v>
      </c>
      <c r="G20" t="str">
        <f>IF(F20="","",IF(COUNTIFS('Munition-Feuerwaffen'!$B$2:$B$35,F20,'Munition-Feuerwaffen'!$C$2:$C$35,E20)=0,"",SUMPRODUCT(('Munition-Feuerwaffen'!$B$2:$B$35=F20)*('Munition-Feuerwaffen'!$C$2:$C$35=E20)*'Munition-Feuerwaffen'!$D$2:$D$35)))</f>
        <v/>
      </c>
    </row>
    <row r="21" spans="1:10">
      <c r="A21" t="s">
        <v>7136</v>
      </c>
      <c r="B21" t="s">
        <v>1421</v>
      </c>
      <c r="C21" t="s">
        <v>6501</v>
      </c>
      <c r="D21" t="s">
        <v>6514</v>
      </c>
      <c r="E21">
        <v>17</v>
      </c>
      <c r="F21" t="s">
        <v>6502</v>
      </c>
      <c r="G21">
        <f>IF(F21="","",IF(COUNTIFS('Munition-Feuerwaffen'!$B$2:$B$35,F21,'Munition-Feuerwaffen'!$C$2:$C$35,E21)=0,"",SUMPRODUCT(('Munition-Feuerwaffen'!$B$2:$B$35=F21)*('Munition-Feuerwaffen'!$C$2:$C$35=E21)*'Munition-Feuerwaffen'!$D$2:$D$35)))</f>
        <v>0.40513200000000005</v>
      </c>
      <c r="H21" t="s">
        <v>6503</v>
      </c>
      <c r="I21">
        <f>IF(H21="","",IF(COUNTIFS('Munition-Feuerwaffen'!$B$2:$B$35,H21,'Munition-Feuerwaffen'!$C$2:$C$35,E21)=0,"",SUMPRODUCT(('Munition-Feuerwaffen'!$B$2:$B$35=H21)*('Munition-Feuerwaffen'!$C$2:$C$35=E21)*'Munition-Feuerwaffen'!$D$2:$D$35)))</f>
        <v>0.44046750000000001</v>
      </c>
      <c r="J21" t="s">
        <v>6504</v>
      </c>
    </row>
    <row r="22" spans="1:10">
      <c r="A22" t="s">
        <v>6876</v>
      </c>
      <c r="B22" t="s">
        <v>1421</v>
      </c>
      <c r="C22" t="s">
        <v>7123</v>
      </c>
      <c r="D22" t="s">
        <v>7124</v>
      </c>
      <c r="E22">
        <v>8</v>
      </c>
      <c r="F22" t="s">
        <v>6508</v>
      </c>
      <c r="G22">
        <f>IF(F22="","",IF(COUNTIFS('Munition-Feuerwaffen'!$B$2:$B$35,F22,'Munition-Feuerwaffen'!$C$2:$C$35,E22)=0,"",SUMPRODUCT(('Munition-Feuerwaffen'!$B$2:$B$35=F22)*('Munition-Feuerwaffen'!$C$2:$C$35=E22)*'Munition-Feuerwaffen'!$D$2:$D$35)))</f>
        <v>0.82515840000000007</v>
      </c>
    </row>
    <row r="23" spans="1:10">
      <c r="A23" t="s">
        <v>7137</v>
      </c>
      <c r="B23" t="s">
        <v>1421</v>
      </c>
      <c r="C23" t="s">
        <v>6501</v>
      </c>
      <c r="D23" t="s">
        <v>6514</v>
      </c>
      <c r="E23">
        <v>14</v>
      </c>
      <c r="F23" t="s">
        <v>6502</v>
      </c>
      <c r="G23">
        <f>IF(F23="","",IF(COUNTIFS('Munition-Feuerwaffen'!$B$2:$B$35,F23,'Munition-Feuerwaffen'!$C$2:$C$35,E23)=0,"",SUMPRODUCT(('Munition-Feuerwaffen'!$B$2:$B$35=F23)*('Munition-Feuerwaffen'!$C$2:$C$35=E23)*'Munition-Feuerwaffen'!$D$2:$D$35)))</f>
        <v>0.38220000000000004</v>
      </c>
      <c r="H23" t="s">
        <v>6503</v>
      </c>
      <c r="I23">
        <f>IF(H23="","",IF(COUNTIFS('Munition-Feuerwaffen'!$B$2:$B$35,H23,'Munition-Feuerwaffen'!$C$2:$C$35,E23)=0,"",SUMPRODUCT(('Munition-Feuerwaffen'!$B$2:$B$35=H23)*('Munition-Feuerwaffen'!$C$2:$C$35=E23)*'Munition-Feuerwaffen'!$D$2:$D$35)))</f>
        <v>0.42150000000000004</v>
      </c>
      <c r="J23" t="s">
        <v>6504</v>
      </c>
    </row>
    <row r="24" spans="1:10">
      <c r="A24" t="s">
        <v>7138</v>
      </c>
      <c r="B24" t="s">
        <v>1421</v>
      </c>
      <c r="C24" t="s">
        <v>7123</v>
      </c>
      <c r="D24" t="s">
        <v>7124</v>
      </c>
      <c r="E24">
        <v>8</v>
      </c>
      <c r="F24" t="s">
        <v>6508</v>
      </c>
      <c r="G24">
        <f>IF(F24="","",IF(COUNTIFS('Munition-Feuerwaffen'!$B$2:$B$35,F24,'Munition-Feuerwaffen'!$C$2:$C$35,E24)=0,"",SUMPRODUCT(('Munition-Feuerwaffen'!$B$2:$B$35=F24)*('Munition-Feuerwaffen'!$C$2:$C$35=E24)*'Munition-Feuerwaffen'!$D$2:$D$35)))</f>
        <v>0.82515840000000007</v>
      </c>
    </row>
    <row r="25" spans="1:10">
      <c r="A25" t="s">
        <v>7139</v>
      </c>
      <c r="B25" t="s">
        <v>1421</v>
      </c>
      <c r="C25" t="s">
        <v>6501</v>
      </c>
      <c r="D25" t="s">
        <v>6514</v>
      </c>
      <c r="E25">
        <v>14</v>
      </c>
      <c r="F25" t="s">
        <v>6502</v>
      </c>
      <c r="G25">
        <f>IF(F25="","",IF(COUNTIFS('Munition-Feuerwaffen'!$B$2:$B$35,F25,'Munition-Feuerwaffen'!$C$2:$C$35,E25)=0,"",SUMPRODUCT(('Munition-Feuerwaffen'!$B$2:$B$35=F25)*('Munition-Feuerwaffen'!$C$2:$C$35=E25)*'Munition-Feuerwaffen'!$D$2:$D$35)))</f>
        <v>0.38220000000000004</v>
      </c>
      <c r="H25" t="s">
        <v>6503</v>
      </c>
      <c r="I25">
        <f>IF(H25="","",IF(COUNTIFS('Munition-Feuerwaffen'!$B$2:$B$35,H25,'Munition-Feuerwaffen'!$C$2:$C$35,E25)=0,"",SUMPRODUCT(('Munition-Feuerwaffen'!$B$2:$B$35=H25)*('Munition-Feuerwaffen'!$C$2:$C$35=E25)*'Munition-Feuerwaffen'!$D$2:$D$35)))</f>
        <v>0.42150000000000004</v>
      </c>
      <c r="J25" t="s">
        <v>6504</v>
      </c>
    </row>
    <row r="26" spans="1:10">
      <c r="A26" t="s">
        <v>7140</v>
      </c>
      <c r="B26" t="s">
        <v>1425</v>
      </c>
      <c r="C26" t="s">
        <v>7141</v>
      </c>
      <c r="D26" t="s">
        <v>7124</v>
      </c>
      <c r="E26">
        <v>10</v>
      </c>
      <c r="F26" t="s">
        <v>6508</v>
      </c>
      <c r="G26">
        <f>IF(F26="","",IF(COUNTIFS('Munition-Feuerwaffen'!$B$2:$B$35,F26,'Munition-Feuerwaffen'!$C$2:$C$35,E26)=0,"",SUMPRODUCT(('Munition-Feuerwaffen'!$B$2:$B$35=F26)*('Munition-Feuerwaffen'!$C$2:$C$35=E26)*'Munition-Feuerwaffen'!$D$2:$D$35)))</f>
        <v>0.91267519999999991</v>
      </c>
    </row>
    <row r="27" spans="1:10">
      <c r="A27" t="s">
        <v>7142</v>
      </c>
      <c r="B27" t="s">
        <v>1425</v>
      </c>
      <c r="C27" t="s">
        <v>6501</v>
      </c>
      <c r="D27" t="s">
        <v>6514</v>
      </c>
      <c r="E27">
        <v>19</v>
      </c>
      <c r="F27" t="s">
        <v>6502</v>
      </c>
      <c r="G27">
        <f>IF(F27="","",IF(COUNTIFS('Munition-Feuerwaffen'!$B$2:$B$35,F27,'Munition-Feuerwaffen'!$C$2:$C$35,E27)=0,"",SUMPRODUCT(('Munition-Feuerwaffen'!$B$2:$B$35=F27)*('Munition-Feuerwaffen'!$C$2:$C$35=E27)*'Munition-Feuerwaffen'!$D$2:$D$35)))</f>
        <v>0.42042000000000007</v>
      </c>
      <c r="H27" t="s">
        <v>6503</v>
      </c>
      <c r="I27">
        <f>IF(H27="","",IF(COUNTIFS('Munition-Feuerwaffen'!$B$2:$B$35,H27,'Munition-Feuerwaffen'!$C$2:$C$35,E27)=0,"",SUMPRODUCT(('Munition-Feuerwaffen'!$B$2:$B$35=H27)*('Munition-Feuerwaffen'!$C$2:$C$35=E27)*'Munition-Feuerwaffen'!$D$2:$D$35)))</f>
        <v>0.45311250000000003</v>
      </c>
      <c r="J27" t="s">
        <v>6504</v>
      </c>
    </row>
    <row r="28" spans="1:10">
      <c r="A28" t="s">
        <v>7143</v>
      </c>
      <c r="B28" t="s">
        <v>1425</v>
      </c>
      <c r="C28" t="s">
        <v>7123</v>
      </c>
      <c r="D28" t="s">
        <v>7124</v>
      </c>
      <c r="E28">
        <v>10</v>
      </c>
      <c r="F28" t="s">
        <v>6508</v>
      </c>
      <c r="G28">
        <f>IF(F28="","",IF(COUNTIFS('Munition-Feuerwaffen'!$B$2:$B$35,F28,'Munition-Feuerwaffen'!$C$2:$C$35,E28)=0,"",SUMPRODUCT(('Munition-Feuerwaffen'!$B$2:$B$35=F28)*('Munition-Feuerwaffen'!$C$2:$C$35=E28)*'Munition-Feuerwaffen'!$D$2:$D$35)))</f>
        <v>0.91267519999999991</v>
      </c>
    </row>
    <row r="29" spans="1:10">
      <c r="A29" t="s">
        <v>7144</v>
      </c>
      <c r="B29" t="s">
        <v>1425</v>
      </c>
      <c r="C29" t="s">
        <v>6501</v>
      </c>
      <c r="D29" t="s">
        <v>6514</v>
      </c>
      <c r="E29">
        <v>15</v>
      </c>
      <c r="F29" t="s">
        <v>6502</v>
      </c>
      <c r="G29">
        <f>IF(F29="","",IF(COUNTIFS('Munition-Feuerwaffen'!$B$2:$B$35,F29,'Munition-Feuerwaffen'!$C$2:$C$35,E29)=0,"",SUMPRODUCT(('Munition-Feuerwaffen'!$B$2:$B$35=F29)*('Munition-Feuerwaffen'!$C$2:$C$35=E29)*'Munition-Feuerwaffen'!$D$2:$D$35)))</f>
        <v>0.38984400000000002</v>
      </c>
      <c r="H29" t="s">
        <v>6503</v>
      </c>
      <c r="I29">
        <f>IF(H29="","",IF(COUNTIFS('Munition-Feuerwaffen'!$B$2:$B$35,H29,'Munition-Feuerwaffen'!$C$2:$C$35,E29)=0,"",SUMPRODUCT(('Munition-Feuerwaffen'!$B$2:$B$35=H29)*('Munition-Feuerwaffen'!$C$2:$C$35=E29)*'Munition-Feuerwaffen'!$D$2:$D$35)))</f>
        <v>0.42782249999999999</v>
      </c>
      <c r="J29" t="s">
        <v>6504</v>
      </c>
    </row>
    <row r="30" spans="1:10">
      <c r="A30" t="s">
        <v>7145</v>
      </c>
      <c r="B30" t="s">
        <v>1425</v>
      </c>
      <c r="C30" t="s">
        <v>6505</v>
      </c>
      <c r="D30" t="s">
        <v>7121</v>
      </c>
      <c r="E30">
        <v>16</v>
      </c>
      <c r="F30" t="s">
        <v>6506</v>
      </c>
      <c r="G30">
        <f>IF(F30="","",IF(COUNTIFS('Munition-Feuerwaffen'!$B$2:$B$35,F30,'Munition-Feuerwaffen'!$C$2:$C$35,E30)=0,"",SUMPRODUCT(('Munition-Feuerwaffen'!$B$2:$B$35=F30)*('Munition-Feuerwaffen'!$C$2:$C$35=E30)*'Munition-Feuerwaffen'!$D$2:$D$35)))</f>
        <v>0.68066666666666675</v>
      </c>
    </row>
    <row r="31" spans="1:10">
      <c r="A31" t="s">
        <v>7146</v>
      </c>
      <c r="B31" t="s">
        <v>1425</v>
      </c>
      <c r="C31" t="s">
        <v>6505</v>
      </c>
      <c r="D31" t="s">
        <v>7121</v>
      </c>
      <c r="E31">
        <v>16</v>
      </c>
      <c r="F31" t="s">
        <v>6506</v>
      </c>
      <c r="G31">
        <f>IF(F31="","",IF(COUNTIFS('Munition-Feuerwaffen'!$B$2:$B$35,F31,'Munition-Feuerwaffen'!$C$2:$C$35,E31)=0,"",SUMPRODUCT(('Munition-Feuerwaffen'!$B$2:$B$35=F31)*('Munition-Feuerwaffen'!$C$2:$C$35=E31)*'Munition-Feuerwaffen'!$D$2:$D$35)))</f>
        <v>0.68066666666666675</v>
      </c>
    </row>
    <row r="32" spans="1:10">
      <c r="A32" t="s">
        <v>7147</v>
      </c>
      <c r="B32" t="s">
        <v>1425</v>
      </c>
      <c r="C32" t="s">
        <v>6501</v>
      </c>
      <c r="D32" t="s">
        <v>6514</v>
      </c>
      <c r="E32">
        <v>16</v>
      </c>
      <c r="F32" t="s">
        <v>6502</v>
      </c>
      <c r="G32">
        <f>IF(F32="","",IF(COUNTIFS('Munition-Feuerwaffen'!$B$2:$B$35,F32,'Munition-Feuerwaffen'!$C$2:$C$35,E32)=0,"",SUMPRODUCT(('Munition-Feuerwaffen'!$B$2:$B$35=F32)*('Munition-Feuerwaffen'!$C$2:$C$35=E32)*'Munition-Feuerwaffen'!$D$2:$D$35)))</f>
        <v>0.39748800000000006</v>
      </c>
      <c r="H32" t="s">
        <v>6503</v>
      </c>
      <c r="I32">
        <f>IF(H32="","",IF(COUNTIFS('Munition-Feuerwaffen'!$B$2:$B$35,H32,'Munition-Feuerwaffen'!$C$2:$C$35,E32)=0,"",SUMPRODUCT(('Munition-Feuerwaffen'!$B$2:$B$35=H32)*('Munition-Feuerwaffen'!$C$2:$C$35=E32)*'Munition-Feuerwaffen'!$D$2:$D$35)))</f>
        <v>0.43414500000000006</v>
      </c>
      <c r="J32" t="s">
        <v>6504</v>
      </c>
    </row>
    <row r="33" spans="1:11">
      <c r="A33" t="s">
        <v>7148</v>
      </c>
      <c r="B33" t="s">
        <v>1425</v>
      </c>
      <c r="C33" t="s">
        <v>6501</v>
      </c>
      <c r="D33" t="s">
        <v>6514</v>
      </c>
      <c r="E33">
        <v>16</v>
      </c>
      <c r="F33" t="s">
        <v>6502</v>
      </c>
      <c r="G33">
        <f>IF(F33="","",IF(COUNTIFS('Munition-Feuerwaffen'!$B$2:$B$35,F33,'Munition-Feuerwaffen'!$C$2:$C$35,E33)=0,"",SUMPRODUCT(('Munition-Feuerwaffen'!$B$2:$B$35=F33)*('Munition-Feuerwaffen'!$C$2:$C$35=E33)*'Munition-Feuerwaffen'!$D$2:$D$35)))</f>
        <v>0.39748800000000006</v>
      </c>
      <c r="H33" t="s">
        <v>6503</v>
      </c>
      <c r="I33">
        <f>IF(H33="","",IF(COUNTIFS('Munition-Feuerwaffen'!$B$2:$B$35,H33,'Munition-Feuerwaffen'!$C$2:$C$35,E33)=0,"",SUMPRODUCT(('Munition-Feuerwaffen'!$B$2:$B$35=H33)*('Munition-Feuerwaffen'!$C$2:$C$35=E33)*'Munition-Feuerwaffen'!$D$2:$D$35)))</f>
        <v>0.43414500000000006</v>
      </c>
      <c r="J33" t="s">
        <v>6504</v>
      </c>
    </row>
    <row r="34" spans="1:11">
      <c r="A34" t="s">
        <v>7149</v>
      </c>
      <c r="B34" t="s">
        <v>1425</v>
      </c>
      <c r="C34" t="s">
        <v>7123</v>
      </c>
      <c r="D34" t="s">
        <v>7124</v>
      </c>
      <c r="E34">
        <v>10</v>
      </c>
      <c r="F34" t="s">
        <v>6508</v>
      </c>
      <c r="G34">
        <f>IF(F34="","",IF(COUNTIFS('Munition-Feuerwaffen'!$B$2:$B$35,F34,'Munition-Feuerwaffen'!$C$2:$C$35,E34)=0,"",SUMPRODUCT(('Munition-Feuerwaffen'!$B$2:$B$35=F34)*('Munition-Feuerwaffen'!$C$2:$C$35=E34)*'Munition-Feuerwaffen'!$D$2:$D$35)))</f>
        <v>0.91267519999999991</v>
      </c>
    </row>
    <row r="35" spans="1:11">
      <c r="A35" t="s">
        <v>7150</v>
      </c>
      <c r="B35" t="s">
        <v>1425</v>
      </c>
      <c r="C35" t="s">
        <v>6501</v>
      </c>
      <c r="D35" t="s">
        <v>6514</v>
      </c>
      <c r="E35">
        <v>18</v>
      </c>
      <c r="F35" t="s">
        <v>6502</v>
      </c>
      <c r="G35">
        <f>IF(F35="","",IF(COUNTIFS('Munition-Feuerwaffen'!$B$2:$B$35,F35,'Munition-Feuerwaffen'!$C$2:$C$35,E35)=0,"",SUMPRODUCT(('Munition-Feuerwaffen'!$B$2:$B$35=F35)*('Munition-Feuerwaffen'!$C$2:$C$35=E35)*'Munition-Feuerwaffen'!$D$2:$D$35)))</f>
        <v>0.41277600000000009</v>
      </c>
      <c r="H35" t="s">
        <v>6503</v>
      </c>
      <c r="I35">
        <f>IF(H35="","",IF(COUNTIFS('Munition-Feuerwaffen'!$B$2:$B$35,H35,'Munition-Feuerwaffen'!$C$2:$C$35,E35)=0,"",SUMPRODUCT(('Munition-Feuerwaffen'!$B$2:$B$35=H35)*('Munition-Feuerwaffen'!$C$2:$C$35=E35)*'Munition-Feuerwaffen'!$D$2:$D$35)))</f>
        <v>0.44679000000000008</v>
      </c>
      <c r="J35" t="s">
        <v>6504</v>
      </c>
    </row>
    <row r="36" spans="1:11">
      <c r="A36" t="s">
        <v>7151</v>
      </c>
      <c r="B36" t="s">
        <v>1425</v>
      </c>
      <c r="C36" t="s">
        <v>7141</v>
      </c>
      <c r="D36" t="s">
        <v>7124</v>
      </c>
      <c r="E36">
        <v>11</v>
      </c>
      <c r="F36" t="s">
        <v>6508</v>
      </c>
      <c r="G36" t="str">
        <f>IF(F36="","",IF(COUNTIFS('Munition-Feuerwaffen'!$B$2:$B$35,F36,'Munition-Feuerwaffen'!$C$2:$C$35,E36)=0,"",SUMPRODUCT(('Munition-Feuerwaffen'!$B$2:$B$35=F36)*('Munition-Feuerwaffen'!$C$2:$C$35=E36)*'Munition-Feuerwaffen'!$D$2:$D$35)))</f>
        <v/>
      </c>
    </row>
    <row r="37" spans="1:11">
      <c r="A37" t="s">
        <v>7152</v>
      </c>
      <c r="B37" t="s">
        <v>1425</v>
      </c>
      <c r="C37" t="s">
        <v>7123</v>
      </c>
      <c r="D37" t="s">
        <v>7124</v>
      </c>
      <c r="E37">
        <v>10</v>
      </c>
      <c r="F37" t="s">
        <v>6508</v>
      </c>
      <c r="G37">
        <f>IF(F37="","",IF(COUNTIFS('Munition-Feuerwaffen'!$B$2:$B$35,F37,'Munition-Feuerwaffen'!$C$2:$C$35,E37)=0,"",SUMPRODUCT(('Munition-Feuerwaffen'!$B$2:$B$35=F37)*('Munition-Feuerwaffen'!$C$2:$C$35=E37)*'Munition-Feuerwaffen'!$D$2:$D$35)))</f>
        <v>0.91267519999999991</v>
      </c>
    </row>
    <row r="38" spans="1:11">
      <c r="A38" t="s">
        <v>7153</v>
      </c>
      <c r="B38" t="s">
        <v>1425</v>
      </c>
      <c r="C38" t="s">
        <v>6501</v>
      </c>
      <c r="D38" t="s">
        <v>6514</v>
      </c>
      <c r="E38">
        <v>20</v>
      </c>
      <c r="F38" t="s">
        <v>6502</v>
      </c>
      <c r="G38">
        <f>IF(F38="","",IF(COUNTIFS('Munition-Feuerwaffen'!$B$2:$B$35,F38,'Munition-Feuerwaffen'!$C$2:$C$35,E38)=0,"",SUMPRODUCT(('Munition-Feuerwaffen'!$B$2:$B$35=F38)*('Munition-Feuerwaffen'!$C$2:$C$35=E38)*'Munition-Feuerwaffen'!$D$2:$D$35)))</f>
        <v>0.42806400000000011</v>
      </c>
      <c r="H38" t="s">
        <v>6503</v>
      </c>
      <c r="I38">
        <f>IF(H38="","",IF(COUNTIFS('Munition-Feuerwaffen'!$B$2:$B$35,H38,'Munition-Feuerwaffen'!$C$2:$C$35,E38)=0,"",SUMPRODUCT(('Munition-Feuerwaffen'!$B$2:$B$35=H38)*('Munition-Feuerwaffen'!$C$2:$C$35=E38)*'Munition-Feuerwaffen'!$D$2:$D$35)))</f>
        <v>0.45943500000000009</v>
      </c>
      <c r="J38" t="s">
        <v>6504</v>
      </c>
    </row>
    <row r="39" spans="1:11">
      <c r="A39" t="s">
        <v>7154</v>
      </c>
      <c r="B39" t="s">
        <v>1425</v>
      </c>
      <c r="C39" t="s">
        <v>7123</v>
      </c>
      <c r="D39" t="s">
        <v>7124</v>
      </c>
      <c r="E39">
        <v>9</v>
      </c>
      <c r="F39" t="s">
        <v>6508</v>
      </c>
      <c r="G39">
        <f>IF(F39="","",IF(COUNTIFS('Munition-Feuerwaffen'!$B$2:$B$35,F39,'Munition-Feuerwaffen'!$C$2:$C$35,E39)=0,"",SUMPRODUCT(('Munition-Feuerwaffen'!$B$2:$B$35=F39)*('Munition-Feuerwaffen'!$C$2:$C$35=E39)*'Munition-Feuerwaffen'!$D$2:$D$35)))</f>
        <v>0.86891680000000004</v>
      </c>
    </row>
    <row r="40" spans="1:11">
      <c r="A40" t="s">
        <v>7155</v>
      </c>
      <c r="B40" t="s">
        <v>1425</v>
      </c>
      <c r="C40" t="s">
        <v>6501</v>
      </c>
      <c r="D40" t="s">
        <v>6514</v>
      </c>
      <c r="E40">
        <v>16</v>
      </c>
      <c r="F40" t="s">
        <v>6502</v>
      </c>
      <c r="G40">
        <f>IF(F40="","",IF(COUNTIFS('Munition-Feuerwaffen'!$B$2:$B$35,F40,'Munition-Feuerwaffen'!$C$2:$C$35,E40)=0,"",SUMPRODUCT(('Munition-Feuerwaffen'!$B$2:$B$35=F40)*('Munition-Feuerwaffen'!$C$2:$C$35=E40)*'Munition-Feuerwaffen'!$D$2:$D$35)))</f>
        <v>0.39748800000000006</v>
      </c>
      <c r="H40" t="s">
        <v>6503</v>
      </c>
      <c r="I40">
        <f>IF(H40="","",IF(COUNTIFS('Munition-Feuerwaffen'!$B$2:$B$35,H40,'Munition-Feuerwaffen'!$C$2:$C$35,E40)=0,"",SUMPRODUCT(('Munition-Feuerwaffen'!$B$2:$B$35=H40)*('Munition-Feuerwaffen'!$C$2:$C$35=E40)*'Munition-Feuerwaffen'!$D$2:$D$35)))</f>
        <v>0.43414500000000006</v>
      </c>
      <c r="J40" t="s">
        <v>6504</v>
      </c>
    </row>
    <row r="41" spans="1:11">
      <c r="A41" t="s">
        <v>7156</v>
      </c>
      <c r="B41" t="s">
        <v>1425</v>
      </c>
      <c r="C41" t="s">
        <v>6501</v>
      </c>
      <c r="D41" t="s">
        <v>6510</v>
      </c>
      <c r="E41">
        <v>16</v>
      </c>
      <c r="G41" t="str">
        <f>IF(F41="","",IF(COUNTIFS('Munition-Feuerwaffen'!$B$2:$B$35,F41,'Munition-Feuerwaffen'!$C$2:$C$35,E41)=0,"",SUMPRODUCT(('Munition-Feuerwaffen'!$B$2:$B$35=F41)*('Munition-Feuerwaffen'!$C$2:$C$35=E41)*'Munition-Feuerwaffen'!$D$2:$D$35)))</f>
        <v/>
      </c>
      <c r="K41" t="s">
        <v>7157</v>
      </c>
    </row>
    <row r="42" spans="1:11">
      <c r="A42" t="s">
        <v>7158</v>
      </c>
      <c r="B42" t="s">
        <v>1425</v>
      </c>
      <c r="C42" t="s">
        <v>7141</v>
      </c>
      <c r="D42" t="s">
        <v>7124</v>
      </c>
      <c r="E42">
        <v>10</v>
      </c>
      <c r="F42" t="s">
        <v>6508</v>
      </c>
      <c r="G42">
        <f>IF(F42="","",IF(COUNTIFS('Munition-Feuerwaffen'!$B$2:$B$35,F42,'Munition-Feuerwaffen'!$C$2:$C$35,E42)=0,"",SUMPRODUCT(('Munition-Feuerwaffen'!$B$2:$B$35=F42)*('Munition-Feuerwaffen'!$C$2:$C$35=E42)*'Munition-Feuerwaffen'!$D$2:$D$35)))</f>
        <v>0.91267519999999991</v>
      </c>
    </row>
    <row r="43" spans="1:11">
      <c r="A43" t="s">
        <v>7159</v>
      </c>
      <c r="B43" t="s">
        <v>1425</v>
      </c>
      <c r="C43" t="s">
        <v>6501</v>
      </c>
      <c r="D43" t="s">
        <v>6514</v>
      </c>
      <c r="E43">
        <v>16</v>
      </c>
      <c r="F43" t="s">
        <v>6502</v>
      </c>
      <c r="G43">
        <f>IF(F43="","",IF(COUNTIFS('Munition-Feuerwaffen'!$B$2:$B$35,F43,'Munition-Feuerwaffen'!$C$2:$C$35,E43)=0,"",SUMPRODUCT(('Munition-Feuerwaffen'!$B$2:$B$35=F43)*('Munition-Feuerwaffen'!$C$2:$C$35=E43)*'Munition-Feuerwaffen'!$D$2:$D$35)))</f>
        <v>0.39748800000000006</v>
      </c>
      <c r="H43" t="s">
        <v>6503</v>
      </c>
      <c r="I43">
        <f>IF(H43="","",IF(COUNTIFS('Munition-Feuerwaffen'!$B$2:$B$35,H43,'Munition-Feuerwaffen'!$C$2:$C$35,E43)=0,"",SUMPRODUCT(('Munition-Feuerwaffen'!$B$2:$B$35=H43)*('Munition-Feuerwaffen'!$C$2:$C$35=E43)*'Munition-Feuerwaffen'!$D$2:$D$35)))</f>
        <v>0.43414500000000006</v>
      </c>
      <c r="J43" t="s">
        <v>6504</v>
      </c>
    </row>
    <row r="44" spans="1:11">
      <c r="A44" t="s">
        <v>7160</v>
      </c>
      <c r="B44" t="s">
        <v>1425</v>
      </c>
      <c r="C44" t="s">
        <v>6501</v>
      </c>
      <c r="D44" t="s">
        <v>6514</v>
      </c>
      <c r="E44">
        <v>17</v>
      </c>
      <c r="F44" t="s">
        <v>6502</v>
      </c>
      <c r="G44">
        <f>IF(F44="","",IF(COUNTIFS('Munition-Feuerwaffen'!$B$2:$B$35,F44,'Munition-Feuerwaffen'!$C$2:$C$35,E44)=0,"",SUMPRODUCT(('Munition-Feuerwaffen'!$B$2:$B$35=F44)*('Munition-Feuerwaffen'!$C$2:$C$35=E44)*'Munition-Feuerwaffen'!$D$2:$D$35)))</f>
        <v>0.40513200000000005</v>
      </c>
      <c r="H44" t="s">
        <v>6503</v>
      </c>
      <c r="I44">
        <f>IF(H44="","",IF(COUNTIFS('Munition-Feuerwaffen'!$B$2:$B$35,H44,'Munition-Feuerwaffen'!$C$2:$C$35,E44)=0,"",SUMPRODUCT(('Munition-Feuerwaffen'!$B$2:$B$35=H44)*('Munition-Feuerwaffen'!$C$2:$C$35=E44)*'Munition-Feuerwaffen'!$D$2:$D$35)))</f>
        <v>0.44046750000000001</v>
      </c>
      <c r="J44" t="s">
        <v>6504</v>
      </c>
    </row>
    <row r="45" spans="1:11">
      <c r="A45" t="s">
        <v>7161</v>
      </c>
      <c r="B45" t="s">
        <v>1425</v>
      </c>
      <c r="C45" t="s">
        <v>7123</v>
      </c>
      <c r="D45" t="s">
        <v>7124</v>
      </c>
      <c r="E45">
        <v>7</v>
      </c>
      <c r="F45" t="s">
        <v>6508</v>
      </c>
      <c r="G45">
        <f>IF(F45="","",IF(COUNTIFS('Munition-Feuerwaffen'!$B$2:$B$35,F45,'Munition-Feuerwaffen'!$C$2:$C$35,E45)=0,"",SUMPRODUCT(('Munition-Feuerwaffen'!$B$2:$B$35=F45)*('Munition-Feuerwaffen'!$C$2:$C$35=E45)*'Munition-Feuerwaffen'!$D$2:$D$35)))</f>
        <v>0.71878400000000009</v>
      </c>
    </row>
    <row r="46" spans="1:11">
      <c r="A46" t="s">
        <v>7162</v>
      </c>
      <c r="B46" t="s">
        <v>1425</v>
      </c>
      <c r="C46" t="s">
        <v>6501</v>
      </c>
      <c r="D46" t="s">
        <v>6514</v>
      </c>
      <c r="E46">
        <v>13</v>
      </c>
      <c r="F46" t="s">
        <v>6502</v>
      </c>
      <c r="G46">
        <f>IF(F46="","",IF(COUNTIFS('Munition-Feuerwaffen'!$B$2:$B$35,F46,'Munition-Feuerwaffen'!$C$2:$C$35,E46)=0,"",SUMPRODUCT(('Munition-Feuerwaffen'!$B$2:$B$35=F46)*('Munition-Feuerwaffen'!$C$2:$C$35=E46)*'Munition-Feuerwaffen'!$D$2:$D$35)))</f>
        <v>0.37455600000000006</v>
      </c>
      <c r="H46" t="s">
        <v>6503</v>
      </c>
      <c r="I46">
        <f>IF(H46="","",IF(COUNTIFS('Munition-Feuerwaffen'!$B$2:$B$35,H46,'Munition-Feuerwaffen'!$C$2:$C$35,E46)=0,"",SUMPRODUCT(('Munition-Feuerwaffen'!$B$2:$B$35=H46)*('Munition-Feuerwaffen'!$C$2:$C$35=E46)*'Munition-Feuerwaffen'!$D$2:$D$35)))</f>
        <v>0.41517750000000003</v>
      </c>
      <c r="J46" t="s">
        <v>6504</v>
      </c>
    </row>
    <row r="47" spans="1:11">
      <c r="A47" t="s">
        <v>7163</v>
      </c>
      <c r="B47" t="s">
        <v>1425</v>
      </c>
      <c r="C47" t="s">
        <v>6501</v>
      </c>
      <c r="D47" t="s">
        <v>6514</v>
      </c>
      <c r="E47">
        <v>16</v>
      </c>
      <c r="F47" t="s">
        <v>6502</v>
      </c>
      <c r="G47">
        <f>IF(F47="","",IF(COUNTIFS('Munition-Feuerwaffen'!$B$2:$B$35,F47,'Munition-Feuerwaffen'!$C$2:$C$35,E47)=0,"",SUMPRODUCT(('Munition-Feuerwaffen'!$B$2:$B$35=F47)*('Munition-Feuerwaffen'!$C$2:$C$35=E47)*'Munition-Feuerwaffen'!$D$2:$D$35)))</f>
        <v>0.39748800000000006</v>
      </c>
      <c r="H47" t="s">
        <v>6503</v>
      </c>
      <c r="I47">
        <f>IF(H47="","",IF(COUNTIFS('Munition-Feuerwaffen'!$B$2:$B$35,H47,'Munition-Feuerwaffen'!$C$2:$C$35,E47)=0,"",SUMPRODUCT(('Munition-Feuerwaffen'!$B$2:$B$35=H47)*('Munition-Feuerwaffen'!$C$2:$C$35=E47)*'Munition-Feuerwaffen'!$D$2:$D$35)))</f>
        <v>0.43414500000000006</v>
      </c>
      <c r="J47" t="s">
        <v>6504</v>
      </c>
    </row>
    <row r="48" spans="1:11">
      <c r="A48" t="s">
        <v>7164</v>
      </c>
      <c r="B48" t="s">
        <v>1425</v>
      </c>
      <c r="C48" t="s">
        <v>6501</v>
      </c>
      <c r="D48" t="s">
        <v>6514</v>
      </c>
      <c r="E48">
        <v>12</v>
      </c>
      <c r="F48" t="s">
        <v>6502</v>
      </c>
      <c r="G48">
        <f>IF(F48="","",IF(COUNTIFS('Munition-Feuerwaffen'!$B$2:$B$35,F48,'Munition-Feuerwaffen'!$C$2:$C$35,E48)=0,"",SUMPRODUCT(('Munition-Feuerwaffen'!$B$2:$B$35=F48)*('Munition-Feuerwaffen'!$C$2:$C$35=E48)*'Munition-Feuerwaffen'!$D$2:$D$35)))</f>
        <v>0.36691200000000002</v>
      </c>
      <c r="H48" t="s">
        <v>6503</v>
      </c>
      <c r="I48">
        <f>IF(H48="","",IF(COUNTIFS('Munition-Feuerwaffen'!$B$2:$B$35,H48,'Munition-Feuerwaffen'!$C$2:$C$35,E48)=0,"",SUMPRODUCT(('Munition-Feuerwaffen'!$B$2:$B$35=H48)*('Munition-Feuerwaffen'!$C$2:$C$35=E48)*'Munition-Feuerwaffen'!$D$2:$D$35)))</f>
        <v>0.40885500000000002</v>
      </c>
      <c r="J48" t="s">
        <v>6504</v>
      </c>
    </row>
    <row r="49" spans="1:11">
      <c r="A49" t="s">
        <v>7165</v>
      </c>
      <c r="B49" t="s">
        <v>1425</v>
      </c>
      <c r="C49" t="s">
        <v>7123</v>
      </c>
      <c r="D49" t="s">
        <v>7124</v>
      </c>
      <c r="E49">
        <v>6</v>
      </c>
      <c r="F49" t="s">
        <v>6508</v>
      </c>
      <c r="G49">
        <f>IF(F49="","",IF(COUNTIFS('Munition-Feuerwaffen'!$B$2:$B$35,F49,'Munition-Feuerwaffen'!$C$2:$C$35,E49)=0,"",SUMPRODUCT(('Munition-Feuerwaffen'!$B$2:$B$35=F49)*('Munition-Feuerwaffen'!$C$2:$C$35=E49)*'Munition-Feuerwaffen'!$D$2:$D$35)))</f>
        <v>0.44510400000000006</v>
      </c>
      <c r="K49" t="s">
        <v>7166</v>
      </c>
    </row>
    <row r="50" spans="1:11">
      <c r="A50" t="s">
        <v>7167</v>
      </c>
      <c r="B50" t="s">
        <v>1425</v>
      </c>
      <c r="C50" t="s">
        <v>7123</v>
      </c>
      <c r="D50" t="s">
        <v>7124</v>
      </c>
      <c r="E50">
        <v>5</v>
      </c>
      <c r="F50" t="s">
        <v>6508</v>
      </c>
      <c r="G50">
        <f>IF(F50="","",IF(COUNTIFS('Munition-Feuerwaffen'!$B$2:$B$35,F50,'Munition-Feuerwaffen'!$C$2:$C$35,E50)=0,"",SUMPRODUCT(('Munition-Feuerwaffen'!$B$2:$B$35=F50)*('Munition-Feuerwaffen'!$C$2:$C$35=E50)*'Munition-Feuerwaffen'!$D$2:$D$35)))</f>
        <v>0.40360320000000005</v>
      </c>
      <c r="K50" t="s">
        <v>7168</v>
      </c>
    </row>
    <row r="51" spans="1:11">
      <c r="A51" t="s">
        <v>7169</v>
      </c>
      <c r="B51" t="s">
        <v>1425</v>
      </c>
      <c r="C51" t="s">
        <v>6501</v>
      </c>
      <c r="D51" t="s">
        <v>6514</v>
      </c>
      <c r="E51">
        <v>12</v>
      </c>
      <c r="F51" t="s">
        <v>6502</v>
      </c>
      <c r="G51">
        <f>IF(F51="","",IF(COUNTIFS('Munition-Feuerwaffen'!$B$2:$B$35,F51,'Munition-Feuerwaffen'!$C$2:$C$35,E51)=0,"",SUMPRODUCT(('Munition-Feuerwaffen'!$B$2:$B$35=F51)*('Munition-Feuerwaffen'!$C$2:$C$35=E51)*'Munition-Feuerwaffen'!$D$2:$D$35)))</f>
        <v>0.36691200000000002</v>
      </c>
      <c r="H51" t="s">
        <v>6503</v>
      </c>
      <c r="I51">
        <f>IF(H51="","",IF(COUNTIFS('Munition-Feuerwaffen'!$B$2:$B$35,H51,'Munition-Feuerwaffen'!$C$2:$C$35,E51)=0,"",SUMPRODUCT(('Munition-Feuerwaffen'!$B$2:$B$35=H51)*('Munition-Feuerwaffen'!$C$2:$C$35=E51)*'Munition-Feuerwaffen'!$D$2:$D$35)))</f>
        <v>0.40885500000000002</v>
      </c>
      <c r="J51" t="s">
        <v>6504</v>
      </c>
    </row>
    <row r="52" spans="1:11">
      <c r="A52" t="s">
        <v>7170</v>
      </c>
      <c r="B52" t="s">
        <v>1425</v>
      </c>
      <c r="C52" t="s">
        <v>6501</v>
      </c>
      <c r="D52" t="s">
        <v>6514</v>
      </c>
      <c r="E52">
        <v>13</v>
      </c>
      <c r="F52" t="s">
        <v>6502</v>
      </c>
      <c r="G52">
        <f>IF(F52="","",IF(COUNTIFS('Munition-Feuerwaffen'!$B$2:$B$35,F52,'Munition-Feuerwaffen'!$C$2:$C$35,E52)=0,"",SUMPRODUCT(('Munition-Feuerwaffen'!$B$2:$B$35=F52)*('Munition-Feuerwaffen'!$C$2:$C$35=E52)*'Munition-Feuerwaffen'!$D$2:$D$35)))</f>
        <v>0.37455600000000006</v>
      </c>
      <c r="H52" t="s">
        <v>6503</v>
      </c>
      <c r="I52">
        <f>IF(H52="","",IF(COUNTIFS('Munition-Feuerwaffen'!$B$2:$B$35,H52,'Munition-Feuerwaffen'!$C$2:$C$35,E52)=0,"",SUMPRODUCT(('Munition-Feuerwaffen'!$B$2:$B$35=H52)*('Munition-Feuerwaffen'!$C$2:$C$35=E52)*'Munition-Feuerwaffen'!$D$2:$D$35)))</f>
        <v>0.41517750000000003</v>
      </c>
      <c r="J52" t="s">
        <v>6504</v>
      </c>
    </row>
    <row r="53" spans="1:11">
      <c r="A53" t="s">
        <v>7171</v>
      </c>
      <c r="B53" t="s">
        <v>1425</v>
      </c>
      <c r="C53" t="s">
        <v>6501</v>
      </c>
      <c r="D53" t="s">
        <v>6514</v>
      </c>
      <c r="E53">
        <v>13</v>
      </c>
      <c r="F53" t="s">
        <v>6502</v>
      </c>
      <c r="G53">
        <f>IF(F53="","",IF(COUNTIFS('Munition-Feuerwaffen'!$B$2:$B$35,F53,'Munition-Feuerwaffen'!$C$2:$C$35,E53)=0,"",SUMPRODUCT(('Munition-Feuerwaffen'!$B$2:$B$35=F53)*('Munition-Feuerwaffen'!$C$2:$C$35=E53)*'Munition-Feuerwaffen'!$D$2:$D$35)))</f>
        <v>0.37455600000000006</v>
      </c>
      <c r="H53" t="s">
        <v>6503</v>
      </c>
      <c r="I53">
        <f>IF(H53="","",IF(COUNTIFS('Munition-Feuerwaffen'!$B$2:$B$35,H53,'Munition-Feuerwaffen'!$C$2:$C$35,E53)=0,"",SUMPRODUCT(('Munition-Feuerwaffen'!$B$2:$B$35=H53)*('Munition-Feuerwaffen'!$C$2:$C$35=E53)*'Munition-Feuerwaffen'!$D$2:$D$35)))</f>
        <v>0.41517750000000003</v>
      </c>
      <c r="J53" t="s">
        <v>6504</v>
      </c>
    </row>
    <row r="54" spans="1:11">
      <c r="A54" t="s">
        <v>7172</v>
      </c>
      <c r="B54" t="s">
        <v>1425</v>
      </c>
      <c r="C54" t="s">
        <v>6501</v>
      </c>
      <c r="D54" t="s">
        <v>6514</v>
      </c>
      <c r="E54">
        <v>13</v>
      </c>
      <c r="F54" t="s">
        <v>6502</v>
      </c>
      <c r="G54">
        <f>IF(F54="","",IF(COUNTIFS('Munition-Feuerwaffen'!$B$2:$B$35,F54,'Munition-Feuerwaffen'!$C$2:$C$35,E54)=0,"",SUMPRODUCT(('Munition-Feuerwaffen'!$B$2:$B$35=F54)*('Munition-Feuerwaffen'!$C$2:$C$35=E54)*'Munition-Feuerwaffen'!$D$2:$D$35)))</f>
        <v>0.37455600000000006</v>
      </c>
      <c r="H54" t="s">
        <v>6503</v>
      </c>
      <c r="I54">
        <f>IF(H54="","",IF(COUNTIFS('Munition-Feuerwaffen'!$B$2:$B$35,H54,'Munition-Feuerwaffen'!$C$2:$C$35,E54)=0,"",SUMPRODUCT(('Munition-Feuerwaffen'!$B$2:$B$35=H54)*('Munition-Feuerwaffen'!$C$2:$C$35=E54)*'Munition-Feuerwaffen'!$D$2:$D$35)))</f>
        <v>0.41517750000000003</v>
      </c>
      <c r="J54" t="s">
        <v>6504</v>
      </c>
    </row>
    <row r="55" spans="1:11">
      <c r="A55" t="s">
        <v>7173</v>
      </c>
      <c r="B55" t="s">
        <v>1425</v>
      </c>
      <c r="C55" t="s">
        <v>7123</v>
      </c>
      <c r="D55" t="s">
        <v>7124</v>
      </c>
      <c r="E55">
        <v>7</v>
      </c>
      <c r="F55" t="s">
        <v>6508</v>
      </c>
      <c r="G55">
        <f>IF(F55="","",IF(COUNTIFS('Munition-Feuerwaffen'!$B$2:$B$35,F55,'Munition-Feuerwaffen'!$C$2:$C$35,E55)=0,"",SUMPRODUCT(('Munition-Feuerwaffen'!$B$2:$B$35=F55)*('Munition-Feuerwaffen'!$C$2:$C$35=E55)*'Munition-Feuerwaffen'!$D$2:$D$35)))</f>
        <v>0.71878400000000009</v>
      </c>
    </row>
    <row r="56" spans="1:11">
      <c r="A56" t="s">
        <v>7174</v>
      </c>
      <c r="B56" t="s">
        <v>1445</v>
      </c>
      <c r="C56" t="s">
        <v>6501</v>
      </c>
      <c r="D56" t="s">
        <v>6514</v>
      </c>
      <c r="E56">
        <v>21</v>
      </c>
      <c r="F56" t="s">
        <v>6502</v>
      </c>
      <c r="G56">
        <f>IF(F56="","",IF(COUNTIFS('Munition-Feuerwaffen'!$B$2:$B$35,F56,'Munition-Feuerwaffen'!$C$2:$C$35,E56)=0,"",SUMPRODUCT(('Munition-Feuerwaffen'!$B$2:$B$35=F56)*('Munition-Feuerwaffen'!$C$2:$C$35=E56)*'Munition-Feuerwaffen'!$D$2:$D$35)))</f>
        <v>0.43570799999999998</v>
      </c>
      <c r="H56" t="s">
        <v>6503</v>
      </c>
      <c r="I56">
        <f>IF(H56="","",IF(COUNTIFS('Munition-Feuerwaffen'!$B$2:$B$35,H56,'Munition-Feuerwaffen'!$C$2:$C$35,E56)=0,"",SUMPRODUCT(('Munition-Feuerwaffen'!$B$2:$B$35=H56)*('Munition-Feuerwaffen'!$C$2:$C$35=E56)*'Munition-Feuerwaffen'!$D$2:$D$35)))</f>
        <v>0.46575750000000005</v>
      </c>
      <c r="J56" t="s">
        <v>6504</v>
      </c>
    </row>
    <row r="57" spans="1:11">
      <c r="A57" t="s">
        <v>7175</v>
      </c>
      <c r="B57" t="s">
        <v>1445</v>
      </c>
      <c r="C57" t="s">
        <v>6501</v>
      </c>
      <c r="D57" t="s">
        <v>6514</v>
      </c>
      <c r="E57">
        <v>22</v>
      </c>
      <c r="F57" t="s">
        <v>6502</v>
      </c>
      <c r="G57">
        <f>IF(F57="","",IF(COUNTIFS('Munition-Feuerwaffen'!$B$2:$B$35,F57,'Munition-Feuerwaffen'!$C$2:$C$35,E57)=0,"",SUMPRODUCT(('Munition-Feuerwaffen'!$B$2:$B$35=F57)*('Munition-Feuerwaffen'!$C$2:$C$35=E57)*'Munition-Feuerwaffen'!$D$2:$D$35)))</f>
        <v>0.44335200000000002</v>
      </c>
      <c r="H57" t="s">
        <v>6503</v>
      </c>
      <c r="I57">
        <f>IF(H57="","",IF(COUNTIFS('Munition-Feuerwaffen'!$B$2:$B$35,H57,'Munition-Feuerwaffen'!$C$2:$C$35,E57)=0,"",SUMPRODUCT(('Munition-Feuerwaffen'!$B$2:$B$35=H57)*('Munition-Feuerwaffen'!$C$2:$C$35=E57)*'Munition-Feuerwaffen'!$D$2:$D$35)))</f>
        <v>0.47208000000000011</v>
      </c>
      <c r="J57" t="s">
        <v>6504</v>
      </c>
    </row>
    <row r="58" spans="1:11">
      <c r="A58" t="s">
        <v>7176</v>
      </c>
      <c r="B58" t="s">
        <v>1445</v>
      </c>
      <c r="C58" t="s">
        <v>6501</v>
      </c>
      <c r="D58" t="s">
        <v>6514</v>
      </c>
      <c r="E58">
        <v>20</v>
      </c>
      <c r="F58" t="s">
        <v>6502</v>
      </c>
      <c r="G58">
        <f>IF(F58="","",IF(COUNTIFS('Munition-Feuerwaffen'!$B$2:$B$35,F58,'Munition-Feuerwaffen'!$C$2:$C$35,E58)=0,"",SUMPRODUCT(('Munition-Feuerwaffen'!$B$2:$B$35=F58)*('Munition-Feuerwaffen'!$C$2:$C$35=E58)*'Munition-Feuerwaffen'!$D$2:$D$35)))</f>
        <v>0.42806400000000011</v>
      </c>
      <c r="H58" t="s">
        <v>6503</v>
      </c>
      <c r="I58">
        <f>IF(H58="","",IF(COUNTIFS('Munition-Feuerwaffen'!$B$2:$B$35,H58,'Munition-Feuerwaffen'!$C$2:$C$35,E58)=0,"",SUMPRODUCT(('Munition-Feuerwaffen'!$B$2:$B$35=H58)*('Munition-Feuerwaffen'!$C$2:$C$35=E58)*'Munition-Feuerwaffen'!$D$2:$D$35)))</f>
        <v>0.45943500000000009</v>
      </c>
      <c r="J58" t="s">
        <v>6504</v>
      </c>
    </row>
    <row r="59" spans="1:11">
      <c r="A59" t="s">
        <v>7177</v>
      </c>
      <c r="B59" t="s">
        <v>1445</v>
      </c>
      <c r="C59" t="s">
        <v>6501</v>
      </c>
      <c r="D59" t="s">
        <v>6514</v>
      </c>
      <c r="E59">
        <v>19</v>
      </c>
      <c r="F59" t="s">
        <v>6502</v>
      </c>
      <c r="G59">
        <f>IF(F59="","",IF(COUNTIFS('Munition-Feuerwaffen'!$B$2:$B$35,F59,'Munition-Feuerwaffen'!$C$2:$C$35,E59)=0,"",SUMPRODUCT(('Munition-Feuerwaffen'!$B$2:$B$35=F59)*('Munition-Feuerwaffen'!$C$2:$C$35=E59)*'Munition-Feuerwaffen'!$D$2:$D$35)))</f>
        <v>0.42042000000000007</v>
      </c>
      <c r="H59" t="s">
        <v>6503</v>
      </c>
      <c r="I59">
        <f>IF(H59="","",IF(COUNTIFS('Munition-Feuerwaffen'!$B$2:$B$35,H59,'Munition-Feuerwaffen'!$C$2:$C$35,E59)=0,"",SUMPRODUCT(('Munition-Feuerwaffen'!$B$2:$B$35=H59)*('Munition-Feuerwaffen'!$C$2:$C$35=E59)*'Munition-Feuerwaffen'!$D$2:$D$35)))</f>
        <v>0.45311250000000003</v>
      </c>
      <c r="J59" t="s">
        <v>6504</v>
      </c>
    </row>
    <row r="60" spans="1:11">
      <c r="A60" t="s">
        <v>7178</v>
      </c>
      <c r="B60" t="s">
        <v>1445</v>
      </c>
      <c r="C60" t="s">
        <v>6501</v>
      </c>
      <c r="D60" t="s">
        <v>6514</v>
      </c>
      <c r="E60">
        <v>19</v>
      </c>
      <c r="F60" t="s">
        <v>6502</v>
      </c>
      <c r="G60">
        <f>IF(F60="","",IF(COUNTIFS('Munition-Feuerwaffen'!$B$2:$B$35,F60,'Munition-Feuerwaffen'!$C$2:$C$35,E60)=0,"",SUMPRODUCT(('Munition-Feuerwaffen'!$B$2:$B$35=F60)*('Munition-Feuerwaffen'!$C$2:$C$35=E60)*'Munition-Feuerwaffen'!$D$2:$D$35)))</f>
        <v>0.42042000000000007</v>
      </c>
      <c r="H60" t="s">
        <v>6503</v>
      </c>
      <c r="I60">
        <f>IF(H60="","",IF(COUNTIFS('Munition-Feuerwaffen'!$B$2:$B$35,H60,'Munition-Feuerwaffen'!$C$2:$C$35,E60)=0,"",SUMPRODUCT(('Munition-Feuerwaffen'!$B$2:$B$35=H60)*('Munition-Feuerwaffen'!$C$2:$C$35=E60)*'Munition-Feuerwaffen'!$D$2:$D$35)))</f>
        <v>0.45311250000000003</v>
      </c>
      <c r="J60" t="s">
        <v>6504</v>
      </c>
    </row>
    <row r="61" spans="1:11">
      <c r="A61" t="s">
        <v>7179</v>
      </c>
      <c r="B61" t="s">
        <v>1445</v>
      </c>
      <c r="C61" t="s">
        <v>6501</v>
      </c>
      <c r="D61" t="s">
        <v>6514</v>
      </c>
      <c r="E61">
        <v>23</v>
      </c>
      <c r="F61" t="s">
        <v>6502</v>
      </c>
      <c r="G61">
        <f>IF(F61="","",IF(COUNTIFS('Munition-Feuerwaffen'!$B$2:$B$35,F61,'Munition-Feuerwaffen'!$C$2:$C$35,E61)=0,"",SUMPRODUCT(('Munition-Feuerwaffen'!$B$2:$B$35=F61)*('Munition-Feuerwaffen'!$C$2:$C$35=E61)*'Munition-Feuerwaffen'!$D$2:$D$35)))</f>
        <v>0.45099600000000001</v>
      </c>
      <c r="H61" t="s">
        <v>6503</v>
      </c>
      <c r="I61">
        <f>IF(H61="","",IF(COUNTIFS('Munition-Feuerwaffen'!$B$2:$B$35,H61,'Munition-Feuerwaffen'!$C$2:$C$35,E61)=0,"",SUMPRODUCT(('Munition-Feuerwaffen'!$B$2:$B$35=H61)*('Munition-Feuerwaffen'!$C$2:$C$35=E61)*'Munition-Feuerwaffen'!$D$2:$D$35)))</f>
        <v>0.47840250000000006</v>
      </c>
      <c r="J61" t="s">
        <v>6504</v>
      </c>
    </row>
    <row r="62" spans="1:11">
      <c r="A62" t="s">
        <v>7180</v>
      </c>
      <c r="B62" t="s">
        <v>1445</v>
      </c>
      <c r="C62" t="s">
        <v>6505</v>
      </c>
      <c r="D62" t="s">
        <v>7121</v>
      </c>
      <c r="E62">
        <v>19</v>
      </c>
      <c r="F62" t="s">
        <v>6506</v>
      </c>
      <c r="G62">
        <f>IF(F62="","",IF(COUNTIFS('Munition-Feuerwaffen'!$B$2:$B$35,F62,'Munition-Feuerwaffen'!$C$2:$C$35,E62)=0,"",SUMPRODUCT(('Munition-Feuerwaffen'!$B$2:$B$35=F62)*('Munition-Feuerwaffen'!$C$2:$C$35=E62)*'Munition-Feuerwaffen'!$D$2:$D$35)))</f>
        <v>0.74192666666666685</v>
      </c>
    </row>
    <row r="63" spans="1:11">
      <c r="A63" t="s">
        <v>7181</v>
      </c>
      <c r="B63" t="s">
        <v>1445</v>
      </c>
      <c r="C63" t="s">
        <v>6501</v>
      </c>
      <c r="D63" t="s">
        <v>6514</v>
      </c>
      <c r="E63">
        <v>19</v>
      </c>
      <c r="F63" t="s">
        <v>6502</v>
      </c>
      <c r="G63">
        <f>IF(F63="","",IF(COUNTIFS('Munition-Feuerwaffen'!$B$2:$B$35,F63,'Munition-Feuerwaffen'!$C$2:$C$35,E63)=0,"",SUMPRODUCT(('Munition-Feuerwaffen'!$B$2:$B$35=F63)*('Munition-Feuerwaffen'!$C$2:$C$35=E63)*'Munition-Feuerwaffen'!$D$2:$D$35)))</f>
        <v>0.42042000000000007</v>
      </c>
      <c r="H63" t="s">
        <v>6503</v>
      </c>
      <c r="I63">
        <f>IF(H63="","",IF(COUNTIFS('Munition-Feuerwaffen'!$B$2:$B$35,H63,'Munition-Feuerwaffen'!$C$2:$C$35,E63)=0,"",SUMPRODUCT(('Munition-Feuerwaffen'!$B$2:$B$35=H63)*('Munition-Feuerwaffen'!$C$2:$C$35=E63)*'Munition-Feuerwaffen'!$D$2:$D$35)))</f>
        <v>0.45311250000000003</v>
      </c>
      <c r="J63" t="s">
        <v>6504</v>
      </c>
    </row>
    <row r="64" spans="1:11">
      <c r="A64" t="s">
        <v>7182</v>
      </c>
      <c r="B64" t="s">
        <v>1445</v>
      </c>
      <c r="C64" t="s">
        <v>6501</v>
      </c>
      <c r="D64" t="s">
        <v>6514</v>
      </c>
      <c r="E64">
        <v>16</v>
      </c>
      <c r="F64" t="s">
        <v>6502</v>
      </c>
      <c r="G64">
        <f>IF(F64="","",IF(COUNTIFS('Munition-Feuerwaffen'!$B$2:$B$35,F64,'Munition-Feuerwaffen'!$C$2:$C$35,E64)=0,"",SUMPRODUCT(('Munition-Feuerwaffen'!$B$2:$B$35=F64)*('Munition-Feuerwaffen'!$C$2:$C$35=E64)*'Munition-Feuerwaffen'!$D$2:$D$35)))</f>
        <v>0.39748800000000006</v>
      </c>
      <c r="H64" t="s">
        <v>6503</v>
      </c>
      <c r="I64">
        <f>IF(H64="","",IF(COUNTIFS('Munition-Feuerwaffen'!$B$2:$B$35,H64,'Munition-Feuerwaffen'!$C$2:$C$35,E64)=0,"",SUMPRODUCT(('Munition-Feuerwaffen'!$B$2:$B$35=H64)*('Munition-Feuerwaffen'!$C$2:$C$35=E64)*'Munition-Feuerwaffen'!$D$2:$D$35)))</f>
        <v>0.43414500000000006</v>
      </c>
      <c r="J64" t="s">
        <v>6504</v>
      </c>
    </row>
    <row r="65" spans="1:11">
      <c r="A65" t="s">
        <v>7183</v>
      </c>
      <c r="B65" t="s">
        <v>1445</v>
      </c>
      <c r="C65" t="s">
        <v>6501</v>
      </c>
      <c r="D65" t="s">
        <v>6514</v>
      </c>
      <c r="E65">
        <v>16</v>
      </c>
      <c r="F65" t="s">
        <v>6502</v>
      </c>
      <c r="G65">
        <f>IF(F65="","",IF(COUNTIFS('Munition-Feuerwaffen'!$B$2:$B$35,F65,'Munition-Feuerwaffen'!$C$2:$C$35,E65)=0,"",SUMPRODUCT(('Munition-Feuerwaffen'!$B$2:$B$35=F65)*('Munition-Feuerwaffen'!$C$2:$C$35=E65)*'Munition-Feuerwaffen'!$D$2:$D$35)))</f>
        <v>0.39748800000000006</v>
      </c>
      <c r="H65" t="s">
        <v>6503</v>
      </c>
      <c r="I65">
        <f>IF(H65="","",IF(COUNTIFS('Munition-Feuerwaffen'!$B$2:$B$35,H65,'Munition-Feuerwaffen'!$C$2:$C$35,E65)=0,"",SUMPRODUCT(('Munition-Feuerwaffen'!$B$2:$B$35=H65)*('Munition-Feuerwaffen'!$C$2:$C$35=E65)*'Munition-Feuerwaffen'!$D$2:$D$35)))</f>
        <v>0.43414500000000006</v>
      </c>
      <c r="J65" t="s">
        <v>6504</v>
      </c>
    </row>
    <row r="66" spans="1:11">
      <c r="A66" t="s">
        <v>7184</v>
      </c>
      <c r="B66" t="s">
        <v>1445</v>
      </c>
      <c r="C66" t="s">
        <v>7123</v>
      </c>
      <c r="D66" t="s">
        <v>7124</v>
      </c>
      <c r="E66">
        <v>10</v>
      </c>
      <c r="F66" t="s">
        <v>6508</v>
      </c>
      <c r="G66">
        <f>IF(F66="","",IF(COUNTIFS('Munition-Feuerwaffen'!$B$2:$B$35,F66,'Munition-Feuerwaffen'!$C$2:$C$35,E66)=0,"",SUMPRODUCT(('Munition-Feuerwaffen'!$B$2:$B$35=F66)*('Munition-Feuerwaffen'!$C$2:$C$35=E66)*'Munition-Feuerwaffen'!$D$2:$D$35)))</f>
        <v>0.91267519999999991</v>
      </c>
    </row>
    <row r="67" spans="1:11">
      <c r="A67" t="s">
        <v>7185</v>
      </c>
      <c r="B67" t="s">
        <v>1445</v>
      </c>
      <c r="C67" t="s">
        <v>6501</v>
      </c>
      <c r="D67" t="s">
        <v>6514</v>
      </c>
      <c r="E67">
        <v>17</v>
      </c>
      <c r="F67" t="s">
        <v>6502</v>
      </c>
      <c r="G67">
        <f>IF(F67="","",IF(COUNTIFS('Munition-Feuerwaffen'!$B$2:$B$35,F67,'Munition-Feuerwaffen'!$C$2:$C$35,E67)=0,"",SUMPRODUCT(('Munition-Feuerwaffen'!$B$2:$B$35=F67)*('Munition-Feuerwaffen'!$C$2:$C$35=E67)*'Munition-Feuerwaffen'!$D$2:$D$35)))</f>
        <v>0.40513200000000005</v>
      </c>
      <c r="H67" t="s">
        <v>6503</v>
      </c>
      <c r="I67">
        <f>IF(H67="","",IF(COUNTIFS('Munition-Feuerwaffen'!$B$2:$B$35,H67,'Munition-Feuerwaffen'!$C$2:$C$35,E67)=0,"",SUMPRODUCT(('Munition-Feuerwaffen'!$B$2:$B$35=H67)*('Munition-Feuerwaffen'!$C$2:$C$35=E67)*'Munition-Feuerwaffen'!$D$2:$D$35)))</f>
        <v>0.44046750000000001</v>
      </c>
      <c r="J67" t="s">
        <v>6504</v>
      </c>
    </row>
    <row r="68" spans="1:11">
      <c r="A68" t="s">
        <v>7186</v>
      </c>
      <c r="B68" t="s">
        <v>1445</v>
      </c>
      <c r="C68" t="s">
        <v>6501</v>
      </c>
      <c r="D68" t="s">
        <v>6514</v>
      </c>
      <c r="E68">
        <v>17</v>
      </c>
      <c r="F68" t="s">
        <v>6502</v>
      </c>
      <c r="G68">
        <f>IF(F68="","",IF(COUNTIFS('Munition-Feuerwaffen'!$B$2:$B$35,F68,'Munition-Feuerwaffen'!$C$2:$C$35,E68)=0,"",SUMPRODUCT(('Munition-Feuerwaffen'!$B$2:$B$35=F68)*('Munition-Feuerwaffen'!$C$2:$C$35=E68)*'Munition-Feuerwaffen'!$D$2:$D$35)))</f>
        <v>0.40513200000000005</v>
      </c>
      <c r="H68" t="s">
        <v>6503</v>
      </c>
      <c r="I68">
        <f>IF(H68="","",IF(COUNTIFS('Munition-Feuerwaffen'!$B$2:$B$35,H68,'Munition-Feuerwaffen'!$C$2:$C$35,E68)=0,"",SUMPRODUCT(('Munition-Feuerwaffen'!$B$2:$B$35=H68)*('Munition-Feuerwaffen'!$C$2:$C$35=E68)*'Munition-Feuerwaffen'!$D$2:$D$35)))</f>
        <v>0.44046750000000001</v>
      </c>
      <c r="J68" t="s">
        <v>6504</v>
      </c>
    </row>
    <row r="69" spans="1:11">
      <c r="A69" t="s">
        <v>7187</v>
      </c>
      <c r="B69" t="s">
        <v>1449</v>
      </c>
      <c r="C69" t="s">
        <v>7123</v>
      </c>
      <c r="D69" t="s">
        <v>7124</v>
      </c>
      <c r="E69">
        <v>11</v>
      </c>
      <c r="F69" t="s">
        <v>6508</v>
      </c>
      <c r="G69" t="str">
        <f>IF(F69="","",IF(COUNTIFS('Munition-Feuerwaffen'!$B$2:$B$35,F69,'Munition-Feuerwaffen'!$C$2:$C$35,E69)=0,"",SUMPRODUCT(('Munition-Feuerwaffen'!$B$2:$B$35=F69)*('Munition-Feuerwaffen'!$C$2:$C$35=E69)*'Munition-Feuerwaffen'!$D$2:$D$35)))</f>
        <v/>
      </c>
    </row>
    <row r="70" spans="1:11">
      <c r="A70" t="s">
        <v>7188</v>
      </c>
      <c r="B70" t="s">
        <v>1449</v>
      </c>
      <c r="C70" t="s">
        <v>6501</v>
      </c>
      <c r="D70" t="s">
        <v>6514</v>
      </c>
      <c r="E70">
        <v>18</v>
      </c>
      <c r="F70" t="s">
        <v>6502</v>
      </c>
      <c r="G70">
        <f>IF(F70="","",IF(COUNTIFS('Munition-Feuerwaffen'!$B$2:$B$35,F70,'Munition-Feuerwaffen'!$C$2:$C$35,E70)=0,"",SUMPRODUCT(('Munition-Feuerwaffen'!$B$2:$B$35=F70)*('Munition-Feuerwaffen'!$C$2:$C$35=E70)*'Munition-Feuerwaffen'!$D$2:$D$35)))</f>
        <v>0.41277600000000009</v>
      </c>
      <c r="H70" t="s">
        <v>6503</v>
      </c>
      <c r="I70">
        <f>IF(H70="","",IF(COUNTIFS('Munition-Feuerwaffen'!$B$2:$B$35,H70,'Munition-Feuerwaffen'!$C$2:$C$35,E70)=0,"",SUMPRODUCT(('Munition-Feuerwaffen'!$B$2:$B$35=H70)*('Munition-Feuerwaffen'!$C$2:$C$35=E70)*'Munition-Feuerwaffen'!$D$2:$D$35)))</f>
        <v>0.44679000000000008</v>
      </c>
      <c r="J70" t="s">
        <v>6504</v>
      </c>
    </row>
    <row r="71" spans="1:11">
      <c r="A71" t="s">
        <v>7189</v>
      </c>
      <c r="B71" t="s">
        <v>1449</v>
      </c>
      <c r="C71" t="s">
        <v>7141</v>
      </c>
      <c r="D71" t="s">
        <v>7124</v>
      </c>
      <c r="E71">
        <v>12</v>
      </c>
      <c r="F71" t="s">
        <v>6508</v>
      </c>
      <c r="G71" t="str">
        <f>IF(F71="","",IF(COUNTIFS('Munition-Feuerwaffen'!$B$2:$B$35,F71,'Munition-Feuerwaffen'!$C$2:$C$35,E71)=0,"",SUMPRODUCT(('Munition-Feuerwaffen'!$B$2:$B$35=F71)*('Munition-Feuerwaffen'!$C$2:$C$35=E71)*'Munition-Feuerwaffen'!$D$2:$D$35)))</f>
        <v/>
      </c>
    </row>
    <row r="72" spans="1:11">
      <c r="A72" t="s">
        <v>7190</v>
      </c>
      <c r="B72" t="s">
        <v>1449</v>
      </c>
      <c r="C72" t="s">
        <v>6505</v>
      </c>
      <c r="D72" t="s">
        <v>7121</v>
      </c>
      <c r="E72">
        <v>17</v>
      </c>
      <c r="F72" t="s">
        <v>6506</v>
      </c>
      <c r="G72">
        <f>IF(F72="","",IF(COUNTIFS('Munition-Feuerwaffen'!$B$2:$B$35,F72,'Munition-Feuerwaffen'!$C$2:$C$35,E72)=0,"",SUMPRODUCT(('Munition-Feuerwaffen'!$B$2:$B$35=F72)*('Munition-Feuerwaffen'!$C$2:$C$35=E72)*'Munition-Feuerwaffen'!$D$2:$D$35)))</f>
        <v>0.70108666666666675</v>
      </c>
    </row>
    <row r="73" spans="1:11">
      <c r="A73" t="s">
        <v>7191</v>
      </c>
      <c r="B73" t="s">
        <v>1449</v>
      </c>
      <c r="C73" t="s">
        <v>6501</v>
      </c>
      <c r="D73" t="s">
        <v>6514</v>
      </c>
      <c r="E73">
        <v>17</v>
      </c>
      <c r="F73" t="s">
        <v>6502</v>
      </c>
      <c r="G73">
        <f>IF(F73="","",IF(COUNTIFS('Munition-Feuerwaffen'!$B$2:$B$35,F73,'Munition-Feuerwaffen'!$C$2:$C$35,E73)=0,"",SUMPRODUCT(('Munition-Feuerwaffen'!$B$2:$B$35=F73)*('Munition-Feuerwaffen'!$C$2:$C$35=E73)*'Munition-Feuerwaffen'!$D$2:$D$35)))</f>
        <v>0.40513200000000005</v>
      </c>
      <c r="H73" t="s">
        <v>6503</v>
      </c>
      <c r="I73">
        <f>IF(H73="","",IF(COUNTIFS('Munition-Feuerwaffen'!$B$2:$B$35,H73,'Munition-Feuerwaffen'!$C$2:$C$35,E73)=0,"",SUMPRODUCT(('Munition-Feuerwaffen'!$B$2:$B$35=H73)*('Munition-Feuerwaffen'!$C$2:$C$35=E73)*'Munition-Feuerwaffen'!$D$2:$D$35)))</f>
        <v>0.44046750000000001</v>
      </c>
      <c r="J73" t="s">
        <v>6504</v>
      </c>
    </row>
    <row r="74" spans="1:11">
      <c r="A74" t="s">
        <v>7192</v>
      </c>
      <c r="B74" t="s">
        <v>1449</v>
      </c>
      <c r="C74" t="s">
        <v>6501</v>
      </c>
      <c r="D74" t="s">
        <v>6514</v>
      </c>
      <c r="E74">
        <v>17</v>
      </c>
      <c r="F74" t="s">
        <v>6502</v>
      </c>
      <c r="G74">
        <f>IF(F74="","",IF(COUNTIFS('Munition-Feuerwaffen'!$B$2:$B$35,F74,'Munition-Feuerwaffen'!$C$2:$C$35,E74)=0,"",SUMPRODUCT(('Munition-Feuerwaffen'!$B$2:$B$35=F74)*('Munition-Feuerwaffen'!$C$2:$C$35=E74)*'Munition-Feuerwaffen'!$D$2:$D$35)))</f>
        <v>0.40513200000000005</v>
      </c>
      <c r="H74" t="s">
        <v>6503</v>
      </c>
      <c r="I74">
        <f>IF(H74="","",IF(COUNTIFS('Munition-Feuerwaffen'!$B$2:$B$35,H74,'Munition-Feuerwaffen'!$C$2:$C$35,E74)=0,"",SUMPRODUCT(('Munition-Feuerwaffen'!$B$2:$B$35=H74)*('Munition-Feuerwaffen'!$C$2:$C$35=E74)*'Munition-Feuerwaffen'!$D$2:$D$35)))</f>
        <v>0.44046750000000001</v>
      </c>
      <c r="J74" t="s">
        <v>6504</v>
      </c>
    </row>
    <row r="75" spans="1:11">
      <c r="A75" t="s">
        <v>7193</v>
      </c>
      <c r="B75" t="s">
        <v>1449</v>
      </c>
      <c r="C75" t="s">
        <v>6501</v>
      </c>
      <c r="D75" t="s">
        <v>6514</v>
      </c>
      <c r="E75">
        <v>17</v>
      </c>
      <c r="F75" t="s">
        <v>6502</v>
      </c>
      <c r="G75">
        <f>IF(F75="","",IF(COUNTIFS('Munition-Feuerwaffen'!$B$2:$B$35,F75,'Munition-Feuerwaffen'!$C$2:$C$35,E75)=0,"",SUMPRODUCT(('Munition-Feuerwaffen'!$B$2:$B$35=F75)*('Munition-Feuerwaffen'!$C$2:$C$35=E75)*'Munition-Feuerwaffen'!$D$2:$D$35)))</f>
        <v>0.40513200000000005</v>
      </c>
      <c r="H75" t="s">
        <v>6503</v>
      </c>
      <c r="I75">
        <f>IF(H75="","",IF(COUNTIFS('Munition-Feuerwaffen'!$B$2:$B$35,H75,'Munition-Feuerwaffen'!$C$2:$C$35,E75)=0,"",SUMPRODUCT(('Munition-Feuerwaffen'!$B$2:$B$35=H75)*('Munition-Feuerwaffen'!$C$2:$C$35=E75)*'Munition-Feuerwaffen'!$D$2:$D$35)))</f>
        <v>0.44046750000000001</v>
      </c>
      <c r="J75" t="s">
        <v>6504</v>
      </c>
    </row>
    <row r="76" spans="1:11">
      <c r="A76" t="s">
        <v>7194</v>
      </c>
      <c r="B76" t="s">
        <v>1449</v>
      </c>
      <c r="C76" t="s">
        <v>6501</v>
      </c>
      <c r="D76" t="s">
        <v>6514</v>
      </c>
      <c r="E76">
        <v>19</v>
      </c>
      <c r="F76" t="s">
        <v>6502</v>
      </c>
      <c r="G76">
        <f>IF(F76="","",IF(COUNTIFS('Munition-Feuerwaffen'!$B$2:$B$35,F76,'Munition-Feuerwaffen'!$C$2:$C$35,E76)=0,"",SUMPRODUCT(('Munition-Feuerwaffen'!$B$2:$B$35=F76)*('Munition-Feuerwaffen'!$C$2:$C$35=E76)*'Munition-Feuerwaffen'!$D$2:$D$35)))</f>
        <v>0.42042000000000007</v>
      </c>
      <c r="H76" t="s">
        <v>6503</v>
      </c>
      <c r="I76">
        <f>IF(H76="","",IF(COUNTIFS('Munition-Feuerwaffen'!$B$2:$B$35,H76,'Munition-Feuerwaffen'!$C$2:$C$35,E76)=0,"",SUMPRODUCT(('Munition-Feuerwaffen'!$B$2:$B$35=H76)*('Munition-Feuerwaffen'!$C$2:$C$35=E76)*'Munition-Feuerwaffen'!$D$2:$D$35)))</f>
        <v>0.45311250000000003</v>
      </c>
      <c r="J76" t="s">
        <v>6504</v>
      </c>
    </row>
    <row r="77" spans="1:11">
      <c r="A77" t="s">
        <v>7195</v>
      </c>
      <c r="B77" t="s">
        <v>1449</v>
      </c>
      <c r="C77" t="s">
        <v>6505</v>
      </c>
      <c r="D77" t="s">
        <v>7121</v>
      </c>
      <c r="E77">
        <v>17</v>
      </c>
      <c r="F77" t="s">
        <v>6506</v>
      </c>
      <c r="G77">
        <f>IF(F77="","",IF(COUNTIFS('Munition-Feuerwaffen'!$B$2:$B$35,F77,'Munition-Feuerwaffen'!$C$2:$C$35,E77)=0,"",SUMPRODUCT(('Munition-Feuerwaffen'!$B$2:$B$35=F77)*('Munition-Feuerwaffen'!$C$2:$C$35=E77)*'Munition-Feuerwaffen'!$D$2:$D$35)))</f>
        <v>0.70108666666666675</v>
      </c>
    </row>
    <row r="78" spans="1:11">
      <c r="A78" t="s">
        <v>7196</v>
      </c>
      <c r="B78" t="s">
        <v>1449</v>
      </c>
      <c r="C78" t="s">
        <v>6501</v>
      </c>
      <c r="D78" t="s">
        <v>6514</v>
      </c>
      <c r="E78">
        <v>16</v>
      </c>
      <c r="F78" t="s">
        <v>6502</v>
      </c>
      <c r="G78">
        <f>IF(F78="","",IF(COUNTIFS('Munition-Feuerwaffen'!$B$2:$B$35,F78,'Munition-Feuerwaffen'!$C$2:$C$35,E78)=0,"",SUMPRODUCT(('Munition-Feuerwaffen'!$B$2:$B$35=F78)*('Munition-Feuerwaffen'!$C$2:$C$35=E78)*'Munition-Feuerwaffen'!$D$2:$D$35)))</f>
        <v>0.39748800000000006</v>
      </c>
      <c r="H78" t="s">
        <v>6503</v>
      </c>
      <c r="I78">
        <f>IF(H78="","",IF(COUNTIFS('Munition-Feuerwaffen'!$B$2:$B$35,H78,'Munition-Feuerwaffen'!$C$2:$C$35,E78)=0,"",SUMPRODUCT(('Munition-Feuerwaffen'!$B$2:$B$35=H78)*('Munition-Feuerwaffen'!$C$2:$C$35=E78)*'Munition-Feuerwaffen'!$D$2:$D$35)))</f>
        <v>0.43414500000000006</v>
      </c>
      <c r="J78" t="s">
        <v>6504</v>
      </c>
    </row>
    <row r="79" spans="1:11">
      <c r="A79" t="s">
        <v>7197</v>
      </c>
      <c r="B79" t="s">
        <v>1449</v>
      </c>
      <c r="C79" t="s">
        <v>6501</v>
      </c>
      <c r="D79" t="s">
        <v>6510</v>
      </c>
      <c r="E79">
        <v>17</v>
      </c>
      <c r="G79" t="str">
        <f>IF(F79="","",IF(COUNTIFS('Munition-Feuerwaffen'!$B$2:$B$35,F79,'Munition-Feuerwaffen'!$C$2:$C$35,E79)=0,"",SUMPRODUCT(('Munition-Feuerwaffen'!$B$2:$B$35=F79)*('Munition-Feuerwaffen'!$C$2:$C$35=E79)*'Munition-Feuerwaffen'!$D$2:$D$35)))</f>
        <v/>
      </c>
      <c r="K79" t="s">
        <v>7157</v>
      </c>
    </row>
    <row r="80" spans="1:11">
      <c r="A80" t="s">
        <v>7198</v>
      </c>
      <c r="B80" t="s">
        <v>1449</v>
      </c>
      <c r="C80" t="s">
        <v>6501</v>
      </c>
      <c r="D80" t="s">
        <v>6514</v>
      </c>
      <c r="E80">
        <v>20</v>
      </c>
      <c r="F80" t="s">
        <v>6502</v>
      </c>
      <c r="G80">
        <f>IF(F80="","",IF(COUNTIFS('Munition-Feuerwaffen'!$B$2:$B$35,F80,'Munition-Feuerwaffen'!$C$2:$C$35,E80)=0,"",SUMPRODUCT(('Munition-Feuerwaffen'!$B$2:$B$35=F80)*('Munition-Feuerwaffen'!$C$2:$C$35=E80)*'Munition-Feuerwaffen'!$D$2:$D$35)))</f>
        <v>0.42806400000000011</v>
      </c>
      <c r="H80" t="s">
        <v>6503</v>
      </c>
      <c r="I80">
        <f>IF(H80="","",IF(COUNTIFS('Munition-Feuerwaffen'!$B$2:$B$35,H80,'Munition-Feuerwaffen'!$C$2:$C$35,E80)=0,"",SUMPRODUCT(('Munition-Feuerwaffen'!$B$2:$B$35=H80)*('Munition-Feuerwaffen'!$C$2:$C$35=E80)*'Munition-Feuerwaffen'!$D$2:$D$35)))</f>
        <v>0.45943500000000009</v>
      </c>
      <c r="J80" t="s">
        <v>6504</v>
      </c>
    </row>
    <row r="81" spans="1:10">
      <c r="A81" t="s">
        <v>7199</v>
      </c>
      <c r="B81" t="s">
        <v>1449</v>
      </c>
      <c r="C81" t="s">
        <v>7141</v>
      </c>
      <c r="D81" t="s">
        <v>7124</v>
      </c>
      <c r="E81">
        <v>11</v>
      </c>
      <c r="F81" t="s">
        <v>6508</v>
      </c>
      <c r="G81" t="str">
        <f>IF(F81="","",IF(COUNTIFS('Munition-Feuerwaffen'!$B$2:$B$35,F81,'Munition-Feuerwaffen'!$C$2:$C$35,E81)=0,"",SUMPRODUCT(('Munition-Feuerwaffen'!$B$2:$B$35=F81)*('Munition-Feuerwaffen'!$C$2:$C$35=E81)*'Munition-Feuerwaffen'!$D$2:$D$35)))</f>
        <v/>
      </c>
    </row>
    <row r="82" spans="1:10">
      <c r="A82" t="s">
        <v>7200</v>
      </c>
      <c r="B82" t="s">
        <v>1449</v>
      </c>
      <c r="C82" t="s">
        <v>6501</v>
      </c>
      <c r="D82" t="s">
        <v>6514</v>
      </c>
      <c r="E82">
        <v>17</v>
      </c>
      <c r="F82" t="s">
        <v>6502</v>
      </c>
      <c r="G82">
        <f>IF(F82="","",IF(COUNTIFS('Munition-Feuerwaffen'!$B$2:$B$35,F82,'Munition-Feuerwaffen'!$C$2:$C$35,E82)=0,"",SUMPRODUCT(('Munition-Feuerwaffen'!$B$2:$B$35=F82)*('Munition-Feuerwaffen'!$C$2:$C$35=E82)*'Munition-Feuerwaffen'!$D$2:$D$35)))</f>
        <v>0.40513200000000005</v>
      </c>
      <c r="H82" t="s">
        <v>6503</v>
      </c>
      <c r="I82">
        <f>IF(H82="","",IF(COUNTIFS('Munition-Feuerwaffen'!$B$2:$B$35,H82,'Munition-Feuerwaffen'!$C$2:$C$35,E82)=0,"",SUMPRODUCT(('Munition-Feuerwaffen'!$B$2:$B$35=H82)*('Munition-Feuerwaffen'!$C$2:$C$35=E82)*'Munition-Feuerwaffen'!$D$2:$D$35)))</f>
        <v>0.44046750000000001</v>
      </c>
      <c r="J82" t="s">
        <v>6504</v>
      </c>
    </row>
    <row r="83" spans="1:10">
      <c r="A83" t="s">
        <v>7201</v>
      </c>
      <c r="B83" t="s">
        <v>1449</v>
      </c>
      <c r="C83" t="s">
        <v>6501</v>
      </c>
      <c r="D83" t="s">
        <v>6514</v>
      </c>
      <c r="E83">
        <v>13</v>
      </c>
      <c r="F83" t="s">
        <v>6502</v>
      </c>
      <c r="G83">
        <f>IF(F83="","",IF(COUNTIFS('Munition-Feuerwaffen'!$B$2:$B$35,F83,'Munition-Feuerwaffen'!$C$2:$C$35,E83)=0,"",SUMPRODUCT(('Munition-Feuerwaffen'!$B$2:$B$35=F83)*('Munition-Feuerwaffen'!$C$2:$C$35=E83)*'Munition-Feuerwaffen'!$D$2:$D$35)))</f>
        <v>0.37455600000000006</v>
      </c>
      <c r="H83" t="s">
        <v>6503</v>
      </c>
      <c r="I83">
        <f>IF(H83="","",IF(COUNTIFS('Munition-Feuerwaffen'!$B$2:$B$35,H83,'Munition-Feuerwaffen'!$C$2:$C$35,E83)=0,"",SUMPRODUCT(('Munition-Feuerwaffen'!$B$2:$B$35=H83)*('Munition-Feuerwaffen'!$C$2:$C$35=E83)*'Munition-Feuerwaffen'!$D$2:$D$35)))</f>
        <v>0.41517750000000003</v>
      </c>
      <c r="J83" t="s">
        <v>6504</v>
      </c>
    </row>
    <row r="84" spans="1:10">
      <c r="A84" t="s">
        <v>4170</v>
      </c>
      <c r="B84" t="s">
        <v>1449</v>
      </c>
      <c r="C84" t="s">
        <v>7123</v>
      </c>
      <c r="D84" t="s">
        <v>7124</v>
      </c>
      <c r="E84">
        <v>8</v>
      </c>
      <c r="F84" t="s">
        <v>6508</v>
      </c>
      <c r="G84">
        <f>IF(F84="","",IF(COUNTIFS('Munition-Feuerwaffen'!$B$2:$B$35,F84,'Munition-Feuerwaffen'!$C$2:$C$35,E84)=0,"",SUMPRODUCT(('Munition-Feuerwaffen'!$B$2:$B$35=F84)*('Munition-Feuerwaffen'!$C$2:$C$35=E84)*'Munition-Feuerwaffen'!$D$2:$D$35)))</f>
        <v>0.82515840000000007</v>
      </c>
    </row>
    <row r="85" spans="1:10">
      <c r="A85" t="s">
        <v>7202</v>
      </c>
      <c r="B85" t="s">
        <v>1449</v>
      </c>
      <c r="C85" t="s">
        <v>6501</v>
      </c>
      <c r="D85" t="s">
        <v>6514</v>
      </c>
      <c r="E85">
        <v>17</v>
      </c>
      <c r="F85" t="s">
        <v>6502</v>
      </c>
      <c r="G85">
        <f>IF(F85="","",IF(COUNTIFS('Munition-Feuerwaffen'!$B$2:$B$35,F85,'Munition-Feuerwaffen'!$C$2:$C$35,E85)=0,"",SUMPRODUCT(('Munition-Feuerwaffen'!$B$2:$B$35=F85)*('Munition-Feuerwaffen'!$C$2:$C$35=E85)*'Munition-Feuerwaffen'!$D$2:$D$35)))</f>
        <v>0.40513200000000005</v>
      </c>
      <c r="H85" t="s">
        <v>6503</v>
      </c>
      <c r="I85">
        <f>IF(H85="","",IF(COUNTIFS('Munition-Feuerwaffen'!$B$2:$B$35,H85,'Munition-Feuerwaffen'!$C$2:$C$35,E85)=0,"",SUMPRODUCT(('Munition-Feuerwaffen'!$B$2:$B$35=H85)*('Munition-Feuerwaffen'!$C$2:$C$35=E85)*'Munition-Feuerwaffen'!$D$2:$D$35)))</f>
        <v>0.44046750000000001</v>
      </c>
      <c r="J85" t="s">
        <v>6504</v>
      </c>
    </row>
    <row r="86" spans="1:10">
      <c r="A86" t="s">
        <v>7203</v>
      </c>
      <c r="B86" t="s">
        <v>1449</v>
      </c>
      <c r="C86" t="s">
        <v>7123</v>
      </c>
      <c r="D86" t="s">
        <v>7124</v>
      </c>
      <c r="E86">
        <v>7</v>
      </c>
      <c r="F86" t="s">
        <v>6508</v>
      </c>
      <c r="G86">
        <f>IF(F86="","",IF(COUNTIFS('Munition-Feuerwaffen'!$B$2:$B$35,F86,'Munition-Feuerwaffen'!$C$2:$C$35,E86)=0,"",SUMPRODUCT(('Munition-Feuerwaffen'!$B$2:$B$35=F86)*('Munition-Feuerwaffen'!$C$2:$C$35=E86)*'Munition-Feuerwaffen'!$D$2:$D$35)))</f>
        <v>0.71878400000000009</v>
      </c>
    </row>
    <row r="87" spans="1:10">
      <c r="A87" t="s">
        <v>7204</v>
      </c>
      <c r="B87" t="s">
        <v>1449</v>
      </c>
      <c r="C87" t="s">
        <v>6501</v>
      </c>
      <c r="D87" t="s">
        <v>6514</v>
      </c>
      <c r="E87">
        <v>14</v>
      </c>
      <c r="F87" t="s">
        <v>6502</v>
      </c>
      <c r="G87">
        <f>IF(F87="","",IF(COUNTIFS('Munition-Feuerwaffen'!$B$2:$B$35,F87,'Munition-Feuerwaffen'!$C$2:$C$35,E87)=0,"",SUMPRODUCT(('Munition-Feuerwaffen'!$B$2:$B$35=F87)*('Munition-Feuerwaffen'!$C$2:$C$35=E87)*'Munition-Feuerwaffen'!$D$2:$D$35)))</f>
        <v>0.38220000000000004</v>
      </c>
      <c r="H87" t="s">
        <v>6503</v>
      </c>
      <c r="I87">
        <f>IF(H87="","",IF(COUNTIFS('Munition-Feuerwaffen'!$B$2:$B$35,H87,'Munition-Feuerwaffen'!$C$2:$C$35,E87)=0,"",SUMPRODUCT(('Munition-Feuerwaffen'!$B$2:$B$35=H87)*('Munition-Feuerwaffen'!$C$2:$C$35=E87)*'Munition-Feuerwaffen'!$D$2:$D$35)))</f>
        <v>0.42150000000000004</v>
      </c>
      <c r="J87" t="s">
        <v>6504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27"/>
  <sheetViews>
    <sheetView workbookViewId="0"/>
  </sheetViews>
  <sheetFormatPr baseColWidth="10" defaultColWidth="9.140625" defaultRowHeight="15"/>
  <cols>
    <col min="1" max="1" width="28" style="9" customWidth="1"/>
    <col min="2" max="2" width="20" style="9" customWidth="1"/>
    <col min="3" max="3" width="8" style="9" customWidth="1"/>
    <col min="4" max="4" width="10" style="9" customWidth="1"/>
    <col min="5" max="5" width="6" style="9" customWidth="1"/>
    <col min="6" max="7" width="8" style="9" customWidth="1"/>
    <col min="8" max="8" width="14" style="9" customWidth="1"/>
    <col min="9" max="9" width="6" style="9" customWidth="1"/>
    <col min="10" max="10" width="55" style="9" customWidth="1"/>
  </cols>
  <sheetData>
    <row r="1" spans="1:10">
      <c r="A1" t="s">
        <v>4158</v>
      </c>
      <c r="B1" t="s">
        <v>1</v>
      </c>
      <c r="C1" t="s">
        <v>6894</v>
      </c>
      <c r="D1" t="s">
        <v>6896</v>
      </c>
      <c r="E1" t="s">
        <v>5777</v>
      </c>
      <c r="F1" t="s">
        <v>7205</v>
      </c>
      <c r="G1" t="s">
        <v>5661</v>
      </c>
      <c r="H1" t="s">
        <v>12</v>
      </c>
      <c r="I1" t="s">
        <v>5660</v>
      </c>
      <c r="J1" t="s">
        <v>6720</v>
      </c>
    </row>
    <row r="2" spans="1:10">
      <c r="A2" t="s">
        <v>6634</v>
      </c>
      <c r="B2" t="s">
        <v>7206</v>
      </c>
      <c r="C2" t="s">
        <v>6546</v>
      </c>
      <c r="E2" t="s">
        <v>6636</v>
      </c>
      <c r="F2" t="s">
        <v>6637</v>
      </c>
      <c r="G2" t="s">
        <v>6638</v>
      </c>
      <c r="I2" t="s">
        <v>6639</v>
      </c>
    </row>
    <row r="3" spans="1:10">
      <c r="A3" t="s">
        <v>6640</v>
      </c>
      <c r="B3" t="s">
        <v>7206</v>
      </c>
      <c r="C3" t="s">
        <v>6560</v>
      </c>
      <c r="E3" t="s">
        <v>6636</v>
      </c>
      <c r="F3" t="s">
        <v>6642</v>
      </c>
      <c r="G3" t="s">
        <v>6643</v>
      </c>
      <c r="I3" t="s">
        <v>6639</v>
      </c>
    </row>
    <row r="4" spans="1:10">
      <c r="A4" t="s">
        <v>6644</v>
      </c>
      <c r="B4" t="s">
        <v>7206</v>
      </c>
      <c r="C4" t="s">
        <v>6560</v>
      </c>
      <c r="E4" t="s">
        <v>6636</v>
      </c>
      <c r="F4" t="s">
        <v>6636</v>
      </c>
      <c r="G4" t="s">
        <v>6645</v>
      </c>
      <c r="I4" t="s">
        <v>6639</v>
      </c>
    </row>
    <row r="5" spans="1:10">
      <c r="A5" t="s">
        <v>6646</v>
      </c>
      <c r="B5" t="s">
        <v>7206</v>
      </c>
      <c r="C5" t="s">
        <v>6730</v>
      </c>
      <c r="E5" t="s">
        <v>6636</v>
      </c>
      <c r="F5" t="s">
        <v>6636</v>
      </c>
      <c r="G5" t="s">
        <v>6648</v>
      </c>
      <c r="I5" t="s">
        <v>6639</v>
      </c>
    </row>
    <row r="6" spans="1:10">
      <c r="A6" t="s">
        <v>6649</v>
      </c>
      <c r="B6" t="s">
        <v>7206</v>
      </c>
      <c r="C6" t="s">
        <v>6730</v>
      </c>
      <c r="E6" t="s">
        <v>6650</v>
      </c>
      <c r="F6" t="s">
        <v>6636</v>
      </c>
      <c r="G6" t="s">
        <v>6651</v>
      </c>
      <c r="H6">
        <v>2</v>
      </c>
      <c r="I6" t="s">
        <v>6639</v>
      </c>
      <c r="J6" t="s">
        <v>6652</v>
      </c>
    </row>
    <row r="7" spans="1:10">
      <c r="A7" t="s">
        <v>6653</v>
      </c>
      <c r="B7" t="s">
        <v>7206</v>
      </c>
      <c r="C7" t="s">
        <v>6730</v>
      </c>
      <c r="E7" t="s">
        <v>6654</v>
      </c>
      <c r="F7" t="s">
        <v>6636</v>
      </c>
      <c r="G7" t="s">
        <v>6655</v>
      </c>
      <c r="I7" t="s">
        <v>6639</v>
      </c>
    </row>
    <row r="8" spans="1:10">
      <c r="A8" t="s">
        <v>6656</v>
      </c>
      <c r="B8" t="s">
        <v>7206</v>
      </c>
      <c r="C8" t="s">
        <v>6730</v>
      </c>
      <c r="E8" t="s">
        <v>6657</v>
      </c>
      <c r="F8" t="s">
        <v>6636</v>
      </c>
      <c r="G8" t="s">
        <v>6658</v>
      </c>
      <c r="I8" t="s">
        <v>6639</v>
      </c>
    </row>
    <row r="9" spans="1:10">
      <c r="A9" t="s">
        <v>6659</v>
      </c>
      <c r="B9" t="s">
        <v>7206</v>
      </c>
      <c r="C9" t="s">
        <v>6730</v>
      </c>
      <c r="E9" t="s">
        <v>6660</v>
      </c>
      <c r="F9" t="s">
        <v>6636</v>
      </c>
      <c r="G9" t="s">
        <v>6661</v>
      </c>
      <c r="I9" t="s">
        <v>6639</v>
      </c>
    </row>
    <row r="10" spans="1:10">
      <c r="A10" t="s">
        <v>6662</v>
      </c>
      <c r="B10" t="s">
        <v>7206</v>
      </c>
      <c r="C10" t="s">
        <v>6730</v>
      </c>
      <c r="E10" t="s">
        <v>6663</v>
      </c>
      <c r="F10" t="s">
        <v>6636</v>
      </c>
      <c r="G10" t="s">
        <v>6664</v>
      </c>
      <c r="I10" t="s">
        <v>6639</v>
      </c>
    </row>
    <row r="11" spans="1:10">
      <c r="A11" t="s">
        <v>6665</v>
      </c>
      <c r="B11" t="s">
        <v>7206</v>
      </c>
      <c r="C11" t="s">
        <v>6730</v>
      </c>
      <c r="E11" t="s">
        <v>6666</v>
      </c>
      <c r="F11" t="s">
        <v>6636</v>
      </c>
      <c r="G11" t="s">
        <v>6667</v>
      </c>
      <c r="I11" t="s">
        <v>6639</v>
      </c>
    </row>
    <row r="12" spans="1:10">
      <c r="A12" t="s">
        <v>6668</v>
      </c>
      <c r="B12" t="s">
        <v>7206</v>
      </c>
      <c r="C12" t="s">
        <v>6730</v>
      </c>
      <c r="E12" t="s">
        <v>6657</v>
      </c>
      <c r="F12" t="s">
        <v>6636</v>
      </c>
      <c r="G12" t="s">
        <v>6669</v>
      </c>
      <c r="I12" t="s">
        <v>6639</v>
      </c>
      <c r="J12" t="s">
        <v>6670</v>
      </c>
    </row>
    <row r="13" spans="1:10">
      <c r="A13" t="s">
        <v>6671</v>
      </c>
      <c r="B13" t="s">
        <v>7206</v>
      </c>
      <c r="C13" t="s">
        <v>6730</v>
      </c>
      <c r="E13" t="s">
        <v>6672</v>
      </c>
      <c r="F13" t="s">
        <v>6636</v>
      </c>
      <c r="G13" t="s">
        <v>6673</v>
      </c>
      <c r="I13" t="s">
        <v>6639</v>
      </c>
    </row>
    <row r="14" spans="1:10">
      <c r="A14" t="s">
        <v>6674</v>
      </c>
      <c r="B14" t="s">
        <v>7206</v>
      </c>
      <c r="C14" t="s">
        <v>6730</v>
      </c>
      <c r="E14" t="s">
        <v>6666</v>
      </c>
      <c r="F14" t="s">
        <v>6636</v>
      </c>
      <c r="G14" t="s">
        <v>6669</v>
      </c>
      <c r="I14" t="s">
        <v>6639</v>
      </c>
    </row>
    <row r="15" spans="1:10">
      <c r="A15" t="s">
        <v>6675</v>
      </c>
      <c r="B15" t="s">
        <v>7206</v>
      </c>
      <c r="C15" t="s">
        <v>6560</v>
      </c>
      <c r="E15" t="s">
        <v>6676</v>
      </c>
      <c r="F15" t="s">
        <v>6636</v>
      </c>
      <c r="G15" t="s">
        <v>6664</v>
      </c>
      <c r="I15" t="s">
        <v>6639</v>
      </c>
      <c r="J15" t="s">
        <v>6677</v>
      </c>
    </row>
    <row r="16" spans="1:10">
      <c r="A16" t="s">
        <v>6678</v>
      </c>
      <c r="B16" t="s">
        <v>7206</v>
      </c>
      <c r="C16" t="s">
        <v>6730</v>
      </c>
      <c r="E16" t="s">
        <v>6676</v>
      </c>
      <c r="F16" t="s">
        <v>6636</v>
      </c>
      <c r="G16" t="s">
        <v>6679</v>
      </c>
      <c r="I16" t="s">
        <v>6680</v>
      </c>
      <c r="J16" t="s">
        <v>6681</v>
      </c>
    </row>
    <row r="17" spans="1:10">
      <c r="A17" t="s">
        <v>6682</v>
      </c>
      <c r="B17" t="s">
        <v>7207</v>
      </c>
      <c r="D17" t="s">
        <v>6660</v>
      </c>
      <c r="E17" t="s">
        <v>6683</v>
      </c>
      <c r="F17" t="s">
        <v>6684</v>
      </c>
      <c r="G17" t="s">
        <v>6685</v>
      </c>
      <c r="I17" t="s">
        <v>6680</v>
      </c>
    </row>
    <row r="18" spans="1:10">
      <c r="A18" t="s">
        <v>6686</v>
      </c>
      <c r="B18" t="s">
        <v>7207</v>
      </c>
      <c r="D18" t="s">
        <v>6657</v>
      </c>
      <c r="E18" t="s">
        <v>6660</v>
      </c>
      <c r="F18" t="s">
        <v>6687</v>
      </c>
      <c r="G18" t="s">
        <v>6688</v>
      </c>
      <c r="I18" t="s">
        <v>6639</v>
      </c>
      <c r="J18" t="s">
        <v>6689</v>
      </c>
    </row>
    <row r="19" spans="1:10">
      <c r="A19" t="s">
        <v>6690</v>
      </c>
      <c r="B19" t="s">
        <v>7207</v>
      </c>
      <c r="D19" t="s">
        <v>6636</v>
      </c>
      <c r="E19" t="s">
        <v>6654</v>
      </c>
      <c r="F19" t="s">
        <v>6691</v>
      </c>
      <c r="G19" t="s">
        <v>6685</v>
      </c>
      <c r="I19" t="s">
        <v>6639</v>
      </c>
      <c r="J19" t="s">
        <v>6692</v>
      </c>
    </row>
    <row r="20" spans="1:10">
      <c r="A20" t="s">
        <v>6693</v>
      </c>
      <c r="B20" t="s">
        <v>7207</v>
      </c>
      <c r="D20" t="s">
        <v>6676</v>
      </c>
      <c r="E20" t="s">
        <v>6654</v>
      </c>
      <c r="F20" t="s">
        <v>6691</v>
      </c>
      <c r="G20" t="s">
        <v>6694</v>
      </c>
      <c r="I20" t="s">
        <v>6639</v>
      </c>
      <c r="J20" t="s">
        <v>6695</v>
      </c>
    </row>
    <row r="21" spans="1:10">
      <c r="A21" t="s">
        <v>6696</v>
      </c>
      <c r="B21" t="s">
        <v>7207</v>
      </c>
      <c r="D21" t="s">
        <v>6657</v>
      </c>
      <c r="E21" t="s">
        <v>6697</v>
      </c>
      <c r="F21" t="s">
        <v>6636</v>
      </c>
      <c r="G21" t="s">
        <v>6685</v>
      </c>
      <c r="I21" t="s">
        <v>6680</v>
      </c>
      <c r="J21" t="s">
        <v>6698</v>
      </c>
    </row>
    <row r="22" spans="1:10">
      <c r="A22" t="s">
        <v>6699</v>
      </c>
      <c r="B22" t="s">
        <v>7207</v>
      </c>
      <c r="D22" t="s">
        <v>6676</v>
      </c>
      <c r="E22" t="s">
        <v>6672</v>
      </c>
      <c r="F22" t="s">
        <v>6636</v>
      </c>
      <c r="G22" t="s">
        <v>6700</v>
      </c>
      <c r="I22" t="s">
        <v>6639</v>
      </c>
    </row>
    <row r="23" spans="1:10">
      <c r="A23" t="s">
        <v>6701</v>
      </c>
      <c r="B23" t="s">
        <v>7207</v>
      </c>
      <c r="D23" t="s">
        <v>6636</v>
      </c>
      <c r="E23" t="s">
        <v>6676</v>
      </c>
      <c r="F23" t="s">
        <v>6702</v>
      </c>
      <c r="G23" t="s">
        <v>6703</v>
      </c>
      <c r="I23" t="s">
        <v>6639</v>
      </c>
      <c r="J23" t="s">
        <v>6704</v>
      </c>
    </row>
    <row r="24" spans="1:10">
      <c r="A24" t="s">
        <v>6705</v>
      </c>
      <c r="B24" t="s">
        <v>7208</v>
      </c>
      <c r="C24" t="s">
        <v>6760</v>
      </c>
      <c r="E24" t="s">
        <v>6636</v>
      </c>
      <c r="F24" t="s">
        <v>6636</v>
      </c>
      <c r="G24" t="s">
        <v>6667</v>
      </c>
      <c r="H24">
        <v>6</v>
      </c>
      <c r="I24" t="s">
        <v>6707</v>
      </c>
      <c r="J24" t="s">
        <v>6708</v>
      </c>
    </row>
    <row r="25" spans="1:10">
      <c r="A25" t="s">
        <v>6709</v>
      </c>
      <c r="B25" t="s">
        <v>7208</v>
      </c>
      <c r="C25" t="s">
        <v>6730</v>
      </c>
      <c r="D25" t="s">
        <v>6654</v>
      </c>
      <c r="E25" t="s">
        <v>6654</v>
      </c>
      <c r="F25" t="s">
        <v>6636</v>
      </c>
      <c r="G25" t="s">
        <v>6711</v>
      </c>
      <c r="H25">
        <v>4</v>
      </c>
      <c r="I25" t="s">
        <v>6639</v>
      </c>
      <c r="J25" t="s">
        <v>6712</v>
      </c>
    </row>
    <row r="26" spans="1:10">
      <c r="A26" t="s">
        <v>6713</v>
      </c>
      <c r="B26" t="s">
        <v>7208</v>
      </c>
      <c r="C26" t="s">
        <v>6730</v>
      </c>
      <c r="D26" t="s">
        <v>6654</v>
      </c>
      <c r="E26" t="s">
        <v>6663</v>
      </c>
      <c r="F26" t="s">
        <v>6702</v>
      </c>
      <c r="G26" t="s">
        <v>6714</v>
      </c>
      <c r="H26">
        <v>5</v>
      </c>
      <c r="I26" t="s">
        <v>6639</v>
      </c>
      <c r="J26" t="s">
        <v>6715</v>
      </c>
    </row>
    <row r="27" spans="1:10">
      <c r="A27" t="s">
        <v>6716</v>
      </c>
      <c r="B27" t="s">
        <v>7208</v>
      </c>
      <c r="C27" t="s">
        <v>6560</v>
      </c>
      <c r="D27" t="s">
        <v>6654</v>
      </c>
      <c r="E27" t="s">
        <v>6657</v>
      </c>
      <c r="F27" t="s">
        <v>6636</v>
      </c>
      <c r="G27" t="s">
        <v>6658</v>
      </c>
      <c r="H27">
        <v>1</v>
      </c>
      <c r="I27" t="s">
        <v>6639</v>
      </c>
      <c r="J27" t="s">
        <v>6718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25"/>
  <sheetViews>
    <sheetView workbookViewId="0"/>
  </sheetViews>
  <sheetFormatPr baseColWidth="10" defaultColWidth="9.140625" defaultRowHeight="15"/>
  <sheetData>
    <row r="1" spans="1:10">
      <c r="A1" t="s">
        <v>4158</v>
      </c>
      <c r="B1" t="s">
        <v>1</v>
      </c>
      <c r="C1" t="s">
        <v>6894</v>
      </c>
      <c r="D1" t="s">
        <v>6896</v>
      </c>
      <c r="E1" t="s">
        <v>5777</v>
      </c>
      <c r="F1" t="s">
        <v>7205</v>
      </c>
      <c r="G1" t="s">
        <v>5661</v>
      </c>
      <c r="H1" t="s">
        <v>12</v>
      </c>
      <c r="I1" t="s">
        <v>5660</v>
      </c>
      <c r="J1" t="s">
        <v>6720</v>
      </c>
    </row>
    <row r="2" spans="1:10">
      <c r="A2" t="s">
        <v>6787</v>
      </c>
      <c r="B2" t="s">
        <v>7206</v>
      </c>
      <c r="C2" t="s">
        <v>6546</v>
      </c>
      <c r="E2" t="s">
        <v>6636</v>
      </c>
      <c r="F2" t="s">
        <v>6788</v>
      </c>
      <c r="G2" t="s">
        <v>6789</v>
      </c>
      <c r="I2" t="s">
        <v>6639</v>
      </c>
    </row>
    <row r="3" spans="1:10">
      <c r="A3" t="s">
        <v>6790</v>
      </c>
      <c r="B3" t="s">
        <v>7206</v>
      </c>
      <c r="C3" t="s">
        <v>6546</v>
      </c>
      <c r="E3" t="s">
        <v>6636</v>
      </c>
      <c r="F3" t="s">
        <v>6791</v>
      </c>
      <c r="G3" t="s">
        <v>6648</v>
      </c>
      <c r="I3" t="s">
        <v>6639</v>
      </c>
    </row>
    <row r="4" spans="1:10">
      <c r="A4" t="s">
        <v>6792</v>
      </c>
      <c r="B4" t="s">
        <v>7206</v>
      </c>
      <c r="C4" t="s">
        <v>6560</v>
      </c>
      <c r="E4" t="s">
        <v>6636</v>
      </c>
      <c r="F4" t="s">
        <v>6636</v>
      </c>
      <c r="G4" t="s">
        <v>6793</v>
      </c>
      <c r="I4" t="s">
        <v>6639</v>
      </c>
    </row>
    <row r="5" spans="1:10">
      <c r="A5" t="s">
        <v>6794</v>
      </c>
      <c r="B5" t="s">
        <v>7206</v>
      </c>
      <c r="C5" t="s">
        <v>6730</v>
      </c>
      <c r="E5" t="s">
        <v>6636</v>
      </c>
      <c r="F5" t="s">
        <v>6636</v>
      </c>
      <c r="G5" t="s">
        <v>6795</v>
      </c>
      <c r="I5" t="s">
        <v>6639</v>
      </c>
    </row>
    <row r="6" spans="1:10">
      <c r="A6" t="s">
        <v>6796</v>
      </c>
      <c r="B6" t="s">
        <v>7206</v>
      </c>
      <c r="C6" t="s">
        <v>6734</v>
      </c>
      <c r="E6" t="s">
        <v>6650</v>
      </c>
      <c r="F6" t="s">
        <v>6636</v>
      </c>
      <c r="G6" t="s">
        <v>6798</v>
      </c>
      <c r="H6">
        <v>3</v>
      </c>
      <c r="I6" t="s">
        <v>6639</v>
      </c>
      <c r="J6" t="s">
        <v>6652</v>
      </c>
    </row>
    <row r="7" spans="1:10">
      <c r="A7" t="s">
        <v>6799</v>
      </c>
      <c r="B7" t="s">
        <v>7206</v>
      </c>
      <c r="C7" t="s">
        <v>6730</v>
      </c>
      <c r="E7" t="s">
        <v>6654</v>
      </c>
      <c r="F7" t="s">
        <v>6636</v>
      </c>
      <c r="G7" t="s">
        <v>6800</v>
      </c>
      <c r="I7" t="s">
        <v>6639</v>
      </c>
    </row>
    <row r="8" spans="1:10">
      <c r="A8" t="s">
        <v>6801</v>
      </c>
      <c r="B8" t="s">
        <v>7206</v>
      </c>
      <c r="C8" t="s">
        <v>6734</v>
      </c>
      <c r="E8" t="s">
        <v>6657</v>
      </c>
      <c r="F8" t="s">
        <v>6636</v>
      </c>
      <c r="G8" t="s">
        <v>6802</v>
      </c>
      <c r="I8" t="s">
        <v>6639</v>
      </c>
    </row>
    <row r="9" spans="1:10">
      <c r="A9" t="s">
        <v>6803</v>
      </c>
      <c r="B9" t="s">
        <v>7206</v>
      </c>
      <c r="C9" t="s">
        <v>6734</v>
      </c>
      <c r="E9" t="s">
        <v>6660</v>
      </c>
      <c r="F9" t="s">
        <v>6636</v>
      </c>
      <c r="G9" t="s">
        <v>6711</v>
      </c>
      <c r="I9" t="s">
        <v>6639</v>
      </c>
    </row>
    <row r="10" spans="1:10">
      <c r="A10" t="s">
        <v>6804</v>
      </c>
      <c r="B10" t="s">
        <v>7206</v>
      </c>
      <c r="C10" t="s">
        <v>6734</v>
      </c>
      <c r="E10" t="s">
        <v>6663</v>
      </c>
      <c r="F10" t="s">
        <v>6636</v>
      </c>
      <c r="G10" t="s">
        <v>6679</v>
      </c>
      <c r="I10" t="s">
        <v>6639</v>
      </c>
    </row>
    <row r="11" spans="1:10">
      <c r="A11" t="s">
        <v>6805</v>
      </c>
      <c r="B11" t="s">
        <v>7206</v>
      </c>
      <c r="C11" t="s">
        <v>6734</v>
      </c>
      <c r="E11" t="s">
        <v>6666</v>
      </c>
      <c r="F11" t="s">
        <v>6636</v>
      </c>
      <c r="G11" t="s">
        <v>6806</v>
      </c>
      <c r="I11" t="s">
        <v>6639</v>
      </c>
    </row>
    <row r="12" spans="1:10">
      <c r="A12" t="s">
        <v>6807</v>
      </c>
      <c r="B12" t="s">
        <v>7206</v>
      </c>
      <c r="C12" t="s">
        <v>6734</v>
      </c>
      <c r="E12" t="s">
        <v>6657</v>
      </c>
      <c r="F12" t="s">
        <v>6636</v>
      </c>
      <c r="G12" t="s">
        <v>6808</v>
      </c>
      <c r="I12" t="s">
        <v>6639</v>
      </c>
      <c r="J12" t="s">
        <v>6670</v>
      </c>
    </row>
    <row r="13" spans="1:10">
      <c r="A13" t="s">
        <v>6809</v>
      </c>
      <c r="B13" t="s">
        <v>7206</v>
      </c>
      <c r="C13" t="s">
        <v>6734</v>
      </c>
      <c r="E13" t="s">
        <v>6672</v>
      </c>
      <c r="F13" t="s">
        <v>6636</v>
      </c>
      <c r="G13" t="s">
        <v>6810</v>
      </c>
      <c r="I13" t="s">
        <v>6639</v>
      </c>
    </row>
    <row r="14" spans="1:10">
      <c r="A14" t="s">
        <v>6811</v>
      </c>
      <c r="B14" t="s">
        <v>7206</v>
      </c>
      <c r="C14" t="s">
        <v>6734</v>
      </c>
      <c r="E14" t="s">
        <v>6650</v>
      </c>
      <c r="F14" t="s">
        <v>6636</v>
      </c>
      <c r="G14" t="s">
        <v>6808</v>
      </c>
      <c r="I14" t="s">
        <v>6639</v>
      </c>
    </row>
    <row r="15" spans="1:10">
      <c r="A15" t="s">
        <v>6812</v>
      </c>
      <c r="B15" t="s">
        <v>7206</v>
      </c>
      <c r="C15" t="s">
        <v>6730</v>
      </c>
      <c r="E15" t="s">
        <v>6676</v>
      </c>
      <c r="F15" t="s">
        <v>6636</v>
      </c>
      <c r="G15" t="s">
        <v>6679</v>
      </c>
      <c r="I15" t="s">
        <v>6639</v>
      </c>
      <c r="J15" t="s">
        <v>6677</v>
      </c>
    </row>
    <row r="16" spans="1:10">
      <c r="A16" t="s">
        <v>6813</v>
      </c>
      <c r="B16" t="s">
        <v>7206</v>
      </c>
      <c r="C16" t="s">
        <v>6730</v>
      </c>
      <c r="E16" t="s">
        <v>6676</v>
      </c>
      <c r="F16" t="s">
        <v>6636</v>
      </c>
      <c r="G16" t="s">
        <v>6814</v>
      </c>
      <c r="I16" t="s">
        <v>6680</v>
      </c>
      <c r="J16" t="s">
        <v>6681</v>
      </c>
    </row>
    <row r="17" spans="1:10">
      <c r="A17" t="s">
        <v>6815</v>
      </c>
      <c r="B17" t="s">
        <v>7207</v>
      </c>
      <c r="D17" t="s">
        <v>6660</v>
      </c>
      <c r="E17" t="s">
        <v>6816</v>
      </c>
      <c r="F17" t="s">
        <v>6687</v>
      </c>
      <c r="G17" t="s">
        <v>6817</v>
      </c>
      <c r="I17" t="s">
        <v>6818</v>
      </c>
    </row>
    <row r="18" spans="1:10">
      <c r="A18" t="s">
        <v>6819</v>
      </c>
      <c r="B18" t="s">
        <v>7207</v>
      </c>
      <c r="D18" t="s">
        <v>6657</v>
      </c>
      <c r="E18" t="s">
        <v>6663</v>
      </c>
      <c r="F18" t="s">
        <v>6687</v>
      </c>
      <c r="G18" t="s">
        <v>6820</v>
      </c>
      <c r="I18" t="s">
        <v>6639</v>
      </c>
      <c r="J18" t="s">
        <v>6821</v>
      </c>
    </row>
    <row r="19" spans="1:10">
      <c r="A19" t="s">
        <v>6822</v>
      </c>
      <c r="B19" t="s">
        <v>7207</v>
      </c>
      <c r="D19" t="s">
        <v>6636</v>
      </c>
      <c r="E19" t="s">
        <v>6657</v>
      </c>
      <c r="F19" t="s">
        <v>6691</v>
      </c>
      <c r="G19" t="s">
        <v>6817</v>
      </c>
      <c r="I19" t="s">
        <v>6639</v>
      </c>
      <c r="J19" t="s">
        <v>6823</v>
      </c>
    </row>
    <row r="20" spans="1:10">
      <c r="A20" t="s">
        <v>6824</v>
      </c>
      <c r="B20" t="s">
        <v>7207</v>
      </c>
      <c r="D20" t="s">
        <v>6676</v>
      </c>
      <c r="E20" t="s">
        <v>6654</v>
      </c>
      <c r="F20" t="s">
        <v>6691</v>
      </c>
      <c r="G20" t="s">
        <v>6825</v>
      </c>
      <c r="I20" t="s">
        <v>6639</v>
      </c>
      <c r="J20" t="s">
        <v>6695</v>
      </c>
    </row>
    <row r="21" spans="1:10">
      <c r="A21" t="s">
        <v>6826</v>
      </c>
      <c r="B21" t="s">
        <v>7207</v>
      </c>
      <c r="D21" t="s">
        <v>6657</v>
      </c>
      <c r="E21" t="s">
        <v>6816</v>
      </c>
      <c r="F21" t="s">
        <v>6636</v>
      </c>
      <c r="G21" t="s">
        <v>6817</v>
      </c>
      <c r="I21" t="s">
        <v>6818</v>
      </c>
      <c r="J21" t="s">
        <v>6698</v>
      </c>
    </row>
    <row r="22" spans="1:10">
      <c r="A22" t="s">
        <v>6827</v>
      </c>
      <c r="B22" t="s">
        <v>7207</v>
      </c>
      <c r="D22" t="s">
        <v>6676</v>
      </c>
      <c r="E22" t="s">
        <v>6828</v>
      </c>
      <c r="F22" t="s">
        <v>6636</v>
      </c>
      <c r="G22" t="s">
        <v>6829</v>
      </c>
      <c r="I22" t="s">
        <v>6639</v>
      </c>
    </row>
    <row r="23" spans="1:10">
      <c r="A23" t="s">
        <v>6830</v>
      </c>
      <c r="B23" t="s">
        <v>7207</v>
      </c>
      <c r="D23" t="s">
        <v>6636</v>
      </c>
      <c r="E23" t="s">
        <v>6676</v>
      </c>
      <c r="F23" t="s">
        <v>6702</v>
      </c>
      <c r="G23" t="s">
        <v>6831</v>
      </c>
      <c r="I23" t="s">
        <v>6639</v>
      </c>
      <c r="J23" t="s">
        <v>6704</v>
      </c>
    </row>
    <row r="24" spans="1:10">
      <c r="A24" t="s">
        <v>6832</v>
      </c>
      <c r="B24" t="s">
        <v>7209</v>
      </c>
      <c r="C24" t="s">
        <v>6546</v>
      </c>
      <c r="E24" t="s">
        <v>6636</v>
      </c>
      <c r="F24" t="s">
        <v>6691</v>
      </c>
      <c r="G24" t="s">
        <v>6789</v>
      </c>
      <c r="I24" t="s">
        <v>6636</v>
      </c>
      <c r="J24" t="s">
        <v>6833</v>
      </c>
    </row>
    <row r="25" spans="1:10">
      <c r="A25" t="s">
        <v>6834</v>
      </c>
      <c r="B25" t="s">
        <v>7209</v>
      </c>
      <c r="C25" t="s">
        <v>6560</v>
      </c>
      <c r="E25" t="s">
        <v>6636</v>
      </c>
      <c r="F25" t="s">
        <v>6636</v>
      </c>
      <c r="G25" t="s">
        <v>6835</v>
      </c>
      <c r="I25" t="s">
        <v>6636</v>
      </c>
      <c r="J25" t="s">
        <v>6836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87"/>
  <sheetViews>
    <sheetView workbookViewId="0"/>
  </sheetViews>
  <sheetFormatPr baseColWidth="10" defaultColWidth="9.140625" defaultRowHeight="15"/>
  <cols>
    <col min="1" max="1" width="27" customWidth="1"/>
    <col min="2" max="10" width="16" customWidth="1"/>
    <col min="11" max="24" width="12" customWidth="1"/>
    <col min="25" max="26" width="20" customWidth="1"/>
    <col min="27" max="27" width="12" customWidth="1"/>
    <col min="28" max="32" width="18" customWidth="1"/>
    <col min="33" max="33" width="12" customWidth="1"/>
  </cols>
  <sheetData>
    <row r="1" spans="1:33" ht="33.950000000000003" customHeight="1">
      <c r="A1" s="55" t="s">
        <v>4158</v>
      </c>
      <c r="B1" s="56" t="s">
        <v>4147</v>
      </c>
      <c r="C1" s="56" t="s">
        <v>6891</v>
      </c>
      <c r="D1" s="56" t="s">
        <v>7210</v>
      </c>
      <c r="E1" s="56" t="s">
        <v>7106</v>
      </c>
      <c r="F1" s="56" t="s">
        <v>7211</v>
      </c>
      <c r="G1" s="56" t="s">
        <v>7212</v>
      </c>
      <c r="H1" s="56" t="s">
        <v>7213</v>
      </c>
      <c r="I1" s="56" t="s">
        <v>5657</v>
      </c>
      <c r="J1" s="56" t="s">
        <v>5658</v>
      </c>
      <c r="K1" s="56" t="s">
        <v>6892</v>
      </c>
      <c r="L1" s="56" t="s">
        <v>6893</v>
      </c>
      <c r="M1" s="56" t="s">
        <v>6894</v>
      </c>
      <c r="N1" s="56" t="s">
        <v>6895</v>
      </c>
      <c r="O1" s="56" t="s">
        <v>6896</v>
      </c>
      <c r="P1" s="56" t="s">
        <v>5777</v>
      </c>
      <c r="Q1" s="56" t="s">
        <v>6493</v>
      </c>
      <c r="R1" s="56" t="s">
        <v>6612</v>
      </c>
      <c r="S1" s="56" t="s">
        <v>6622</v>
      </c>
      <c r="T1" s="56" t="s">
        <v>6558</v>
      </c>
      <c r="U1" s="56" t="s">
        <v>6846</v>
      </c>
      <c r="V1" s="56" t="s">
        <v>6897</v>
      </c>
      <c r="W1" s="56" t="s">
        <v>6898</v>
      </c>
      <c r="X1" s="56" t="s">
        <v>6899</v>
      </c>
      <c r="Y1" s="56" t="s">
        <v>6900</v>
      </c>
      <c r="Z1" s="56" t="s">
        <v>6901</v>
      </c>
      <c r="AA1" s="56" t="s">
        <v>6902</v>
      </c>
      <c r="AB1" s="56" t="s">
        <v>6903</v>
      </c>
      <c r="AC1" s="56" t="s">
        <v>5661</v>
      </c>
      <c r="AD1" s="56" t="s">
        <v>6904</v>
      </c>
      <c r="AE1" s="56" t="s">
        <v>6905</v>
      </c>
      <c r="AF1" s="56" t="s">
        <v>7214</v>
      </c>
      <c r="AG1" s="57" t="s">
        <v>1776</v>
      </c>
    </row>
    <row r="2" spans="1:33">
      <c r="A2" s="59" t="s">
        <v>7113</v>
      </c>
      <c r="B2" s="59" t="s">
        <v>7114</v>
      </c>
      <c r="C2" s="59" t="s">
        <v>7215</v>
      </c>
      <c r="D2" s="59" t="s">
        <v>7113</v>
      </c>
      <c r="E2" s="59" t="s">
        <v>6501</v>
      </c>
      <c r="F2" s="59" t="s">
        <v>7216</v>
      </c>
      <c r="G2" s="59" t="s">
        <v>7217</v>
      </c>
      <c r="H2" s="59" t="s">
        <v>6514</v>
      </c>
      <c r="I2" s="59" t="s">
        <v>5768</v>
      </c>
      <c r="J2" s="59" t="s">
        <v>5748</v>
      </c>
      <c r="K2" s="61">
        <f>VLOOKUP(B2,'Feuerwaffen-Ressourcen'!$A$2:$AI$54,11,0)+VLOOKUP(C2,'Feuerwaffen-Ressourcen'!$A$2:$AI$54,11,0)+VLOOKUP(D2,'Feuerwaffen-Ressourcen'!$A$2:$AI$54,11,0)+VLOOKUP(E2,'Feuerwaffen-Ressourcen'!$A$2:$AI$54,11,0)+VLOOKUP(G2,'Feuerwaffen-Ressourcen'!$A$2:$AI$54,11,0)</f>
        <v>6.8</v>
      </c>
      <c r="L2" s="60">
        <f>VLOOKUP(B2,'Feuerwaffen-Ressourcen'!$A$2:$AI$54,12,0)+VLOOKUP(C2,'Feuerwaffen-Ressourcen'!$A$2:$AI$54,12,0)+VLOOKUP(D2,'Feuerwaffen-Ressourcen'!$A$2:$AI$54,12,0)+VLOOKUP(J2,'Feuerwaffen-Ressourcen'!$A$2:$AI$54,12,0)</f>
        <v>14</v>
      </c>
      <c r="M2" s="60" t="str">
        <f>VLOOKUP(VLOOKUP(B2,'Feuerwaffen-Ressourcen'!$A$2:$AI$54,13,0)+VLOOKUP(C2,'Feuerwaffen-Ressourcen'!$A$2:$AI$54,13,0)+VLOOKUP(D2,'Feuerwaffen-Ressourcen'!$A$2:$AI$54,13,0),'Feuerwaffen-Ressourcen'!$AJ$3:$AK$12,2,0)</f>
        <v>W12</v>
      </c>
      <c r="N2" s="60" t="str">
        <f>VLOOKUP(VLOOKUP(B2,'Feuerwaffen-Ressourcen'!$A$2:$AI$54,14,0)+VLOOKUP(C2,'Feuerwaffen-Ressourcen'!$A$2:$AI$54,14,0)+VLOOKUP(D2,'Feuerwaffen-Ressourcen'!$A$2:$AI$54,14,0),'Feuerwaffen-Ressourcen'!$AJ$3:$AK$12,2,0)</f>
        <v>W10</v>
      </c>
      <c r="O2" s="60">
        <f>VLOOKUP(B2,'Feuerwaffen-Ressourcen'!$A$2:$AI$54,15,0)+VLOOKUP(C2,'Feuerwaffen-Ressourcen'!$A$2:$AI$54,15,0)+VLOOKUP(D2,'Feuerwaffen-Ressourcen'!$A$2:$AI$54,15,0)</f>
        <v>2</v>
      </c>
      <c r="P2" s="60">
        <f>VLOOKUP(B2,'Feuerwaffen-Ressourcen'!$A$2:$AI$54,16,0)+VLOOKUP(C2,'Feuerwaffen-Ressourcen'!$A$2:$AI$54,16,0)+VLOOKUP(D2,'Feuerwaffen-Ressourcen'!$A$2:$AI$54,16,0)+VLOOKUP(E2,'Feuerwaffen-Ressourcen'!$A$2:$AI$54,16,0)</f>
        <v>14</v>
      </c>
      <c r="Q2" s="62">
        <f>VLOOKUP(B2,'Feuerwaffen-Ressourcen'!$A$2:$AI$54,17,0)+VLOOKUP(C2,'Feuerwaffen-Ressourcen'!$A$2:$AI$54,17,0)+VLOOKUP(D2,'Feuerwaffen-Ressourcen'!$A$2:$AI$54,17,0)+VLOOKUP(E2,'Feuerwaffen-Ressourcen'!$A$2:$AI$54,17,0)</f>
        <v>19</v>
      </c>
      <c r="R2" s="60">
        <f>VLOOKUP(B2,'Feuerwaffen-Ressourcen'!$A$2:$AI$54,18,0)+VLOOKUP(C2,'Feuerwaffen-Ressourcen'!$A$2:$AI$54,18,0)+VLOOKUP(D2,'Feuerwaffen-Ressourcen'!$A$2:$AI$54,18,0)+VLOOKUP(F2,'Feuerwaffen-Ressourcen'!$A$2:$AI$54,18,0)+VLOOKUP(G2,'Feuerwaffen-Ressourcen'!$A$2:$AI$54,18,0)+VLOOKUP(I2,'Feuerwaffen-Ressourcen'!$A$2:$AI$54,18,0)+VLOOKUP(J2,'Feuerwaffen-Ressourcen'!$A$2:$AI$54,18,0)</f>
        <v>-1</v>
      </c>
      <c r="S2" s="60">
        <f>VLOOKUP(B2,'Feuerwaffen-Ressourcen'!$A$2:$AI$54,19,0)+VLOOKUP(C2,'Feuerwaffen-Ressourcen'!$A$2:$AI$54,19,0)+VLOOKUP(D2,'Feuerwaffen-Ressourcen'!$A$2:$AI$54,19,0)+VLOOKUP(F2,'Feuerwaffen-Ressourcen'!$A$2:$AI$54,19,0)+VLOOKUP(G2,'Feuerwaffen-Ressourcen'!$A$2:$AI$54,19,0)+VLOOKUP(I2,'Feuerwaffen-Ressourcen'!$A$2:$AI$54,19,0)+VLOOKUP(J2,'Feuerwaffen-Ressourcen'!$A$2:$AI$54,19,0)</f>
        <v>-5</v>
      </c>
      <c r="T2" s="60">
        <f>VLOOKUP(B2,'Feuerwaffen-Ressourcen'!$A$2:$AI$54,20,0)+VLOOKUP(C2,'Feuerwaffen-Ressourcen'!$A$2:$AI$54,20,0)+VLOOKUP(D2,'Feuerwaffen-Ressourcen'!$A$2:$AI$54,20,0)+VLOOKUP(F2,'Feuerwaffen-Ressourcen'!$A$2:$AI$54,20,0)+VLOOKUP(G2,'Feuerwaffen-Ressourcen'!$A$2:$AI$54,20,0)+VLOOKUP(I2,'Feuerwaffen-Ressourcen'!$A$2:$AI$54,20,0)+VLOOKUP(J2,'Feuerwaffen-Ressourcen'!$A$2:$AI$54,20,0)</f>
        <v>-9</v>
      </c>
      <c r="U2" s="60">
        <f>VLOOKUP(B2,'Feuerwaffen-Ressourcen'!$A$2:$AI$54,21,0)+VLOOKUP(C2,'Feuerwaffen-Ressourcen'!$A$2:$AI$54,21,0)+VLOOKUP(D2,'Feuerwaffen-Ressourcen'!$A$2:$AI$54,21,0)+VLOOKUP(F2,'Feuerwaffen-Ressourcen'!$A$2:$AI$54,21,0)+VLOOKUP(G2,'Feuerwaffen-Ressourcen'!$A$2:$AI$54,21,0)+VLOOKUP(I2,'Feuerwaffen-Ressourcen'!$A$2:$AI$54,21,0)+VLOOKUP(J2,'Feuerwaffen-Ressourcen'!$A$2:$AI$54,21,0)</f>
        <v>-15</v>
      </c>
      <c r="V2" s="60">
        <f>VLOOKUP(B2,'Feuerwaffen-Ressourcen'!$A$2:$AI$54,22,0)+VLOOKUP(C2,'Feuerwaffen-Ressourcen'!$A$2:$AI$54,22,0)+VLOOKUP(D2,'Feuerwaffen-Ressourcen'!$A$2:$AI$54,22,0)+VLOOKUP(F2,'Feuerwaffen-Ressourcen'!$A$2:$AI$54,22,0)+VLOOKUP(G2,'Feuerwaffen-Ressourcen'!$A$2:$AI$54,22,0)+VLOOKUP(I2,'Feuerwaffen-Ressourcen'!$A$2:$AI$54,22,0)+VLOOKUP(J2,'Feuerwaffen-Ressourcen'!$A$2:$AI$54,22,0)</f>
        <v>-23</v>
      </c>
      <c r="W2" s="60">
        <f>VLOOKUP(B2,'Feuerwaffen-Ressourcen'!$A$2:$AI$54,23,0)+VLOOKUP(C2,'Feuerwaffen-Ressourcen'!$A$2:$AI$54,23,0)+VLOOKUP(D2,'Feuerwaffen-Ressourcen'!$A$2:$AI$54,23,0)+VLOOKUP(F2,'Feuerwaffen-Ressourcen'!$A$2:$AI$54,23,0)+VLOOKUP(G2,'Feuerwaffen-Ressourcen'!$A$2:$AI$54,23,0)+VLOOKUP(I2,'Feuerwaffen-Ressourcen'!$A$2:$AI$54,23,0)+VLOOKUP(J2,'Feuerwaffen-Ressourcen'!$A$2:$AI$54,23,0)</f>
        <v>-31</v>
      </c>
      <c r="X2" s="60">
        <f>VLOOKUP(B2,'Feuerwaffen-Ressourcen'!$A$2:$AI$54,24,0)+VLOOKUP(C2,'Feuerwaffen-Ressourcen'!$A$2:$AI$54,24,0)+VLOOKUP(D2,'Feuerwaffen-Ressourcen'!$A$2:$AI$54,24,0)+VLOOKUP(G2,'Feuerwaffen-Ressourcen'!$A$2:$AI$54,24,0)</f>
        <v>60</v>
      </c>
      <c r="Y2" s="60">
        <f>VLOOKUP(D2,'Feuerwaffen-Ressourcen'!$A$2:$AI$54,25,0)+VLOOKUP(E2,'Feuerwaffen-Ressourcen'!$A$2:$AI$54,25,0)+VLOOKUP(F2,'Feuerwaffen-Ressourcen'!$A$2:$AI$54,25,0)</f>
        <v>39</v>
      </c>
      <c r="Z2" s="60">
        <f>VLOOKUP(E2,'Feuerwaffen-Ressourcen'!$A$2:$AI$54,26,0)</f>
        <v>3</v>
      </c>
      <c r="AA2" s="60">
        <f>VLOOKUP(B2,'Feuerwaffen-Ressourcen'!$A$2:$AI$54,27,0)+VLOOKUP(D2,'Feuerwaffen-Ressourcen'!$A$2:$AI$54,27,0)+VLOOKUP(F2,'Feuerwaffen-Ressourcen'!$A$2:$AI$54,27,0)+VLOOKUP(I2,'Feuerwaffen-Ressourcen'!$A$2:$AI$54,27,0)</f>
        <v>4</v>
      </c>
      <c r="AB2" s="60">
        <f>VLOOKUP(B2,'Feuerwaffen-Ressourcen'!$A$2:$AI$54,28,0)+VLOOKUP(C2,'Feuerwaffen-Ressourcen'!$A$2:$AI$54,28,0)+VLOOKUP(D2,'Feuerwaffen-Ressourcen'!$A$2:$AI$54,28,0)+VLOOKUP(E2,'Feuerwaffen-Ressourcen'!$A$2:$AI$54,28,0)+VLOOKUP(F2,'Feuerwaffen-Ressourcen'!$A$2:$AI$54,28,0)+VLOOKUP(G2,'Feuerwaffen-Ressourcen'!$A$2:$AI$54,28,0)+VLOOKUP(I2,'Feuerwaffen-Ressourcen'!$A$2:$AI$54,28,0)+VLOOKUP(J2,'Feuerwaffen-Ressourcen'!$A$2:$AI$54,28,0)</f>
        <v>85</v>
      </c>
      <c r="AC2" s="63">
        <f>VLOOKUP(I2,'Feuerwaffen-Ressourcen'!$A$2:$AI$54,31,0)*AD2+AE2</f>
        <v>614.69999999999993</v>
      </c>
      <c r="AD2" s="64">
        <f>VLOOKUP(B2,'Feuerwaffen-Ressourcen'!$A$2:$AI$54,30,0)+VLOOKUP(C2,'Feuerwaffen-Ressourcen'!$A$2:$AI$54,30,0)+VLOOKUP(D2,'Feuerwaffen-Ressourcen'!$A$2:$AI$54,30,0)+VLOOKUP(F2,'Feuerwaffen-Ressourcen'!$A$2:$AI$54,30,0)+VLOOKUP(G2,'Feuerwaffen-Ressourcen'!$A$2:$AI$54,30,0)+VLOOKUP(I2,'Feuerwaffen-Ressourcen'!$A$2:$AI$54,30,0)+VLOOKUP(J2,'Feuerwaffen-Ressourcen'!$A$2:$AI$54,30,0)</f>
        <v>6.1999999999999993</v>
      </c>
      <c r="AE2" s="63">
        <f>(VLOOKUP(C2,'Feuerwaffen-Ressourcen'!$A$2:$AI$54,32,0)+VLOOKUP(I2,'Feuerwaffen-Ressourcen'!$A$2:$AI$54,32,0))*(VLOOKUP(B2,'Feuerwaffen-Ressourcen'!$A$2:$AI$54,34,0)+VLOOKUP(C2,'Feuerwaffen-Ressourcen'!$A$2:$AI$54,34,0)+VLOOKUP(D2,'Feuerwaffen-Ressourcen'!$A$2:$AI$54,34,0)+VLOOKUP(E2,'Feuerwaffen-Ressourcen'!$A$2:$AI$54,34,0)+VLOOKUP(G2,'Feuerwaffen-Ressourcen'!$A$2:$AI$54,34,0))+VLOOKUP(B2,'Feuerwaffen-Ressourcen'!$A$2:$AI$54,35,0)+VLOOKUP(C2,'Feuerwaffen-Ressourcen'!$A$2:$AI$54,35,0)+VLOOKUP(D2,'Feuerwaffen-Ressourcen'!$A$2:$AI$54,35,0)</f>
        <v>589.9</v>
      </c>
      <c r="AF2" s="65">
        <f>VLOOKUP(AB2,'Feuerwaffen-Ressourcen'!$AO$3:$AP$9,2,1)</f>
        <v>6</v>
      </c>
      <c r="AG2" s="65">
        <v>0</v>
      </c>
    </row>
    <row r="3" spans="1:33">
      <c r="A3" s="59" t="s">
        <v>7115</v>
      </c>
      <c r="B3" s="59" t="s">
        <v>7114</v>
      </c>
      <c r="C3" s="59" t="s">
        <v>7215</v>
      </c>
      <c r="D3" s="59" t="s">
        <v>7206</v>
      </c>
      <c r="E3" s="59" t="s">
        <v>6501</v>
      </c>
      <c r="F3" s="59" t="s">
        <v>7216</v>
      </c>
      <c r="G3" s="59" t="s">
        <v>7217</v>
      </c>
      <c r="H3" s="59" t="s">
        <v>6514</v>
      </c>
      <c r="I3" s="59" t="s">
        <v>5768</v>
      </c>
      <c r="J3" s="59" t="s">
        <v>5748</v>
      </c>
      <c r="K3" s="61">
        <f>VLOOKUP(B3,'Feuerwaffen-Ressourcen'!$A$2:$AI$54,11,0)+VLOOKUP(C3,'Feuerwaffen-Ressourcen'!$A$2:$AI$54,11,0)+VLOOKUP(D3,'Feuerwaffen-Ressourcen'!$A$2:$AI$54,11,0)+VLOOKUP(E3,'Feuerwaffen-Ressourcen'!$A$2:$AI$54,11,0)+VLOOKUP(G3,'Feuerwaffen-Ressourcen'!$A$2:$AI$54,11,0)</f>
        <v>3.8</v>
      </c>
      <c r="L3" s="60">
        <f>VLOOKUP(B3,'Feuerwaffen-Ressourcen'!$A$2:$AI$54,12,0)+VLOOKUP(C3,'Feuerwaffen-Ressourcen'!$A$2:$AI$54,12,0)+VLOOKUP(D3,'Feuerwaffen-Ressourcen'!$A$2:$AI$54,12,0)+VLOOKUP(J3,'Feuerwaffen-Ressourcen'!$A$2:$AI$54,12,0)</f>
        <v>10</v>
      </c>
      <c r="M3" s="60" t="str">
        <f>VLOOKUP(VLOOKUP(B3,'Feuerwaffen-Ressourcen'!$A$2:$AI$54,13,0)+VLOOKUP(C3,'Feuerwaffen-Ressourcen'!$A$2:$AI$54,13,0)+VLOOKUP(D3,'Feuerwaffen-Ressourcen'!$A$2:$AI$54,13,0),'Feuerwaffen-Ressourcen'!$AJ$3:$AK$12,2,0)</f>
        <v>W8</v>
      </c>
      <c r="N3" s="60" t="str">
        <f>VLOOKUP(VLOOKUP(B3,'Feuerwaffen-Ressourcen'!$A$2:$AI$54,14,0)+VLOOKUP(C3,'Feuerwaffen-Ressourcen'!$A$2:$AI$54,14,0)+VLOOKUP(D3,'Feuerwaffen-Ressourcen'!$A$2:$AI$54,14,0),'Feuerwaffen-Ressourcen'!$AJ$3:$AK$12,2,0)</f>
        <v>W8</v>
      </c>
      <c r="O3" s="60">
        <f>VLOOKUP(B3,'Feuerwaffen-Ressourcen'!$A$2:$AI$54,15,0)+VLOOKUP(C3,'Feuerwaffen-Ressourcen'!$A$2:$AI$54,15,0)+VLOOKUP(D3,'Feuerwaffen-Ressourcen'!$A$2:$AI$54,15,0)</f>
        <v>1</v>
      </c>
      <c r="P3" s="60">
        <f>VLOOKUP(B3,'Feuerwaffen-Ressourcen'!$A$2:$AI$54,16,0)+VLOOKUP(C3,'Feuerwaffen-Ressourcen'!$A$2:$AI$54,16,0)+VLOOKUP(D3,'Feuerwaffen-Ressourcen'!$A$2:$AI$54,16,0)+VLOOKUP(E3,'Feuerwaffen-Ressourcen'!$A$2:$AI$54,16,0)</f>
        <v>11</v>
      </c>
      <c r="Q3" s="62">
        <f>VLOOKUP(B3,'Feuerwaffen-Ressourcen'!$A$2:$AI$54,17,0)+VLOOKUP(C3,'Feuerwaffen-Ressourcen'!$A$2:$AI$54,17,0)+VLOOKUP(D3,'Feuerwaffen-Ressourcen'!$A$2:$AI$54,17,0)+VLOOKUP(E3,'Feuerwaffen-Ressourcen'!$A$2:$AI$54,17,0)</f>
        <v>17</v>
      </c>
      <c r="R3" s="60">
        <f>VLOOKUP(B3,'Feuerwaffen-Ressourcen'!$A$2:$AI$54,18,0)+VLOOKUP(C3,'Feuerwaffen-Ressourcen'!$A$2:$AI$54,18,0)+VLOOKUP(D3,'Feuerwaffen-Ressourcen'!$A$2:$AI$54,18,0)+VLOOKUP(F3,'Feuerwaffen-Ressourcen'!$A$2:$AI$54,18,0)+VLOOKUP(G3,'Feuerwaffen-Ressourcen'!$A$2:$AI$54,18,0)+VLOOKUP(I3,'Feuerwaffen-Ressourcen'!$A$2:$AI$54,18,0)+VLOOKUP(J3,'Feuerwaffen-Ressourcen'!$A$2:$AI$54,18,0)</f>
        <v>3</v>
      </c>
      <c r="S3" s="60">
        <f>VLOOKUP(B3,'Feuerwaffen-Ressourcen'!$A$2:$AI$54,19,0)+VLOOKUP(C3,'Feuerwaffen-Ressourcen'!$A$2:$AI$54,19,0)+VLOOKUP(D3,'Feuerwaffen-Ressourcen'!$A$2:$AI$54,19,0)+VLOOKUP(F3,'Feuerwaffen-Ressourcen'!$A$2:$AI$54,19,0)+VLOOKUP(G3,'Feuerwaffen-Ressourcen'!$A$2:$AI$54,19,0)+VLOOKUP(I3,'Feuerwaffen-Ressourcen'!$A$2:$AI$54,19,0)+VLOOKUP(J3,'Feuerwaffen-Ressourcen'!$A$2:$AI$54,19,0)</f>
        <v>-3</v>
      </c>
      <c r="T3" s="60">
        <f>VLOOKUP(B3,'Feuerwaffen-Ressourcen'!$A$2:$AI$54,20,0)+VLOOKUP(C3,'Feuerwaffen-Ressourcen'!$A$2:$AI$54,20,0)+VLOOKUP(D3,'Feuerwaffen-Ressourcen'!$A$2:$AI$54,20,0)+VLOOKUP(F3,'Feuerwaffen-Ressourcen'!$A$2:$AI$54,20,0)+VLOOKUP(G3,'Feuerwaffen-Ressourcen'!$A$2:$AI$54,20,0)+VLOOKUP(I3,'Feuerwaffen-Ressourcen'!$A$2:$AI$54,20,0)+VLOOKUP(J3,'Feuerwaffen-Ressourcen'!$A$2:$AI$54,20,0)</f>
        <v>-9</v>
      </c>
      <c r="U3" s="60">
        <f>VLOOKUP(B3,'Feuerwaffen-Ressourcen'!$A$2:$AI$54,21,0)+VLOOKUP(C3,'Feuerwaffen-Ressourcen'!$A$2:$AI$54,21,0)+VLOOKUP(D3,'Feuerwaffen-Ressourcen'!$A$2:$AI$54,21,0)+VLOOKUP(F3,'Feuerwaffen-Ressourcen'!$A$2:$AI$54,21,0)+VLOOKUP(G3,'Feuerwaffen-Ressourcen'!$A$2:$AI$54,21,0)+VLOOKUP(I3,'Feuerwaffen-Ressourcen'!$A$2:$AI$54,21,0)+VLOOKUP(J3,'Feuerwaffen-Ressourcen'!$A$2:$AI$54,21,0)</f>
        <v>-15</v>
      </c>
      <c r="V3" s="60">
        <f>VLOOKUP(B3,'Feuerwaffen-Ressourcen'!$A$2:$AI$54,22,0)+VLOOKUP(C3,'Feuerwaffen-Ressourcen'!$A$2:$AI$54,22,0)+VLOOKUP(D3,'Feuerwaffen-Ressourcen'!$A$2:$AI$54,22,0)+VLOOKUP(F3,'Feuerwaffen-Ressourcen'!$A$2:$AI$54,22,0)+VLOOKUP(G3,'Feuerwaffen-Ressourcen'!$A$2:$AI$54,22,0)+VLOOKUP(I3,'Feuerwaffen-Ressourcen'!$A$2:$AI$54,22,0)+VLOOKUP(J3,'Feuerwaffen-Ressourcen'!$A$2:$AI$54,22,0)</f>
        <v>-23</v>
      </c>
      <c r="W3" s="60">
        <f>VLOOKUP(B3,'Feuerwaffen-Ressourcen'!$A$2:$AI$54,23,0)+VLOOKUP(C3,'Feuerwaffen-Ressourcen'!$A$2:$AI$54,23,0)+VLOOKUP(D3,'Feuerwaffen-Ressourcen'!$A$2:$AI$54,23,0)+VLOOKUP(F3,'Feuerwaffen-Ressourcen'!$A$2:$AI$54,23,0)+VLOOKUP(G3,'Feuerwaffen-Ressourcen'!$A$2:$AI$54,23,0)+VLOOKUP(I3,'Feuerwaffen-Ressourcen'!$A$2:$AI$54,23,0)+VLOOKUP(J3,'Feuerwaffen-Ressourcen'!$A$2:$AI$54,23,0)</f>
        <v>-31</v>
      </c>
      <c r="X3" s="60">
        <f>VLOOKUP(B3,'Feuerwaffen-Ressourcen'!$A$2:$AI$54,24,0)+VLOOKUP(C3,'Feuerwaffen-Ressourcen'!$A$2:$AI$54,24,0)+VLOOKUP(D3,'Feuerwaffen-Ressourcen'!$A$2:$AI$54,24,0)+VLOOKUP(G3,'Feuerwaffen-Ressourcen'!$A$2:$AI$54,24,0)</f>
        <v>40</v>
      </c>
      <c r="Y3" s="60">
        <f>VLOOKUP(D3,'Feuerwaffen-Ressourcen'!$A$2:$AI$54,25,0)+VLOOKUP(E3,'Feuerwaffen-Ressourcen'!$A$2:$AI$54,25,0)+VLOOKUP(F3,'Feuerwaffen-Ressourcen'!$A$2:$AI$54,25,0)</f>
        <v>31</v>
      </c>
      <c r="Z3" s="60">
        <f>VLOOKUP(E3,'Feuerwaffen-Ressourcen'!$A$2:$AI$54,26,0)</f>
        <v>3</v>
      </c>
      <c r="AA3" s="60">
        <f>VLOOKUP(B3,'Feuerwaffen-Ressourcen'!$A$2:$AI$54,27,0)+VLOOKUP(D3,'Feuerwaffen-Ressourcen'!$A$2:$AI$54,27,0)+VLOOKUP(F3,'Feuerwaffen-Ressourcen'!$A$2:$AI$54,27,0)+VLOOKUP(I3,'Feuerwaffen-Ressourcen'!$A$2:$AI$54,27,0)</f>
        <v>4</v>
      </c>
      <c r="AB3" s="60">
        <f>VLOOKUP(B3,'Feuerwaffen-Ressourcen'!$A$2:$AI$54,28,0)+VLOOKUP(C3,'Feuerwaffen-Ressourcen'!$A$2:$AI$54,28,0)+VLOOKUP(D3,'Feuerwaffen-Ressourcen'!$A$2:$AI$54,28,0)+VLOOKUP(E3,'Feuerwaffen-Ressourcen'!$A$2:$AI$54,28,0)+VLOOKUP(F3,'Feuerwaffen-Ressourcen'!$A$2:$AI$54,28,0)+VLOOKUP(G3,'Feuerwaffen-Ressourcen'!$A$2:$AI$54,28,0)+VLOOKUP(I3,'Feuerwaffen-Ressourcen'!$A$2:$AI$54,28,0)+VLOOKUP(J3,'Feuerwaffen-Ressourcen'!$A$2:$AI$54,28,0)</f>
        <v>110</v>
      </c>
      <c r="AC3" s="63">
        <f>VLOOKUP(I3,'Feuerwaffen-Ressourcen'!$A$2:$AI$54,31,0)*AD3+AE3</f>
        <v>242.70000000000002</v>
      </c>
      <c r="AD3" s="64">
        <f>VLOOKUP(B3,'Feuerwaffen-Ressourcen'!$A$2:$AI$54,30,0)+VLOOKUP(C3,'Feuerwaffen-Ressourcen'!$A$2:$AI$54,30,0)+VLOOKUP(D3,'Feuerwaffen-Ressourcen'!$A$2:$AI$54,30,0)+VLOOKUP(F3,'Feuerwaffen-Ressourcen'!$A$2:$AI$54,30,0)+VLOOKUP(G3,'Feuerwaffen-Ressourcen'!$A$2:$AI$54,30,0)+VLOOKUP(I3,'Feuerwaffen-Ressourcen'!$A$2:$AI$54,30,0)+VLOOKUP(J3,'Feuerwaffen-Ressourcen'!$A$2:$AI$54,30,0)</f>
        <v>3.2</v>
      </c>
      <c r="AE3" s="63">
        <f>(VLOOKUP(C3,'Feuerwaffen-Ressourcen'!$A$2:$AI$54,32,0)+VLOOKUP(I3,'Feuerwaffen-Ressourcen'!$A$2:$AI$54,32,0))*(VLOOKUP(B3,'Feuerwaffen-Ressourcen'!$A$2:$AI$54,34,0)+VLOOKUP(C3,'Feuerwaffen-Ressourcen'!$A$2:$AI$54,34,0)+VLOOKUP(D3,'Feuerwaffen-Ressourcen'!$A$2:$AI$54,34,0)+VLOOKUP(E3,'Feuerwaffen-Ressourcen'!$A$2:$AI$54,34,0)+VLOOKUP(G3,'Feuerwaffen-Ressourcen'!$A$2:$AI$54,34,0))+VLOOKUP(B3,'Feuerwaffen-Ressourcen'!$A$2:$AI$54,35,0)+VLOOKUP(C3,'Feuerwaffen-Ressourcen'!$A$2:$AI$54,35,0)+VLOOKUP(D3,'Feuerwaffen-Ressourcen'!$A$2:$AI$54,35,0)</f>
        <v>229.9</v>
      </c>
      <c r="AF3" s="65">
        <f>VLOOKUP(AB3,'Feuerwaffen-Ressourcen'!$AO$3:$AP$9,2,1)</f>
        <v>4</v>
      </c>
      <c r="AG3" s="65">
        <v>0</v>
      </c>
    </row>
    <row r="4" spans="1:33">
      <c r="A4" s="59" t="s">
        <v>7116</v>
      </c>
      <c r="B4" s="59" t="s">
        <v>7114</v>
      </c>
      <c r="C4" s="59" t="s">
        <v>7215</v>
      </c>
      <c r="D4" s="59" t="s">
        <v>7218</v>
      </c>
      <c r="E4" s="59" t="s">
        <v>6501</v>
      </c>
      <c r="F4" s="59" t="s">
        <v>7216</v>
      </c>
      <c r="G4" s="59" t="s">
        <v>7217</v>
      </c>
      <c r="H4" s="59" t="s">
        <v>6514</v>
      </c>
      <c r="I4" s="59" t="s">
        <v>5768</v>
      </c>
      <c r="J4" s="59" t="s">
        <v>5748</v>
      </c>
      <c r="K4" s="61">
        <f>VLOOKUP(B4,'Feuerwaffen-Ressourcen'!$A$2:$AI$54,11,0)+VLOOKUP(C4,'Feuerwaffen-Ressourcen'!$A$2:$AI$54,11,0)+VLOOKUP(D4,'Feuerwaffen-Ressourcen'!$A$2:$AI$54,11,0)+VLOOKUP(E4,'Feuerwaffen-Ressourcen'!$A$2:$AI$54,11,0)+VLOOKUP(G4,'Feuerwaffen-Ressourcen'!$A$2:$AI$54,11,0)</f>
        <v>4.8</v>
      </c>
      <c r="L4" s="60">
        <f>VLOOKUP(B4,'Feuerwaffen-Ressourcen'!$A$2:$AI$54,12,0)+VLOOKUP(C4,'Feuerwaffen-Ressourcen'!$A$2:$AI$54,12,0)+VLOOKUP(D4,'Feuerwaffen-Ressourcen'!$A$2:$AI$54,12,0)+VLOOKUP(J4,'Feuerwaffen-Ressourcen'!$A$2:$AI$54,12,0)</f>
        <v>12</v>
      </c>
      <c r="M4" s="60" t="str">
        <f>VLOOKUP(VLOOKUP(B4,'Feuerwaffen-Ressourcen'!$A$2:$AI$54,13,0)+VLOOKUP(C4,'Feuerwaffen-Ressourcen'!$A$2:$AI$54,13,0)+VLOOKUP(D4,'Feuerwaffen-Ressourcen'!$A$2:$AI$54,13,0),'Feuerwaffen-Ressourcen'!$AJ$3:$AK$12,2,0)</f>
        <v>W10</v>
      </c>
      <c r="N4" s="60" t="str">
        <f>VLOOKUP(VLOOKUP(B4,'Feuerwaffen-Ressourcen'!$A$2:$AI$54,14,0)+VLOOKUP(C4,'Feuerwaffen-Ressourcen'!$A$2:$AI$54,14,0)+VLOOKUP(D4,'Feuerwaffen-Ressourcen'!$A$2:$AI$54,14,0),'Feuerwaffen-Ressourcen'!$AJ$3:$AK$12,2,0)</f>
        <v>W10</v>
      </c>
      <c r="O4" s="60">
        <f>VLOOKUP(B4,'Feuerwaffen-Ressourcen'!$A$2:$AI$54,15,0)+VLOOKUP(C4,'Feuerwaffen-Ressourcen'!$A$2:$AI$54,15,0)+VLOOKUP(D4,'Feuerwaffen-Ressourcen'!$A$2:$AI$54,15,0)</f>
        <v>2</v>
      </c>
      <c r="P4" s="60">
        <f>VLOOKUP(B4,'Feuerwaffen-Ressourcen'!$A$2:$AI$54,16,0)+VLOOKUP(C4,'Feuerwaffen-Ressourcen'!$A$2:$AI$54,16,0)+VLOOKUP(D4,'Feuerwaffen-Ressourcen'!$A$2:$AI$54,16,0)+VLOOKUP(E4,'Feuerwaffen-Ressourcen'!$A$2:$AI$54,16,0)</f>
        <v>12</v>
      </c>
      <c r="Q4" s="62">
        <f>VLOOKUP(B4,'Feuerwaffen-Ressourcen'!$A$2:$AI$54,17,0)+VLOOKUP(C4,'Feuerwaffen-Ressourcen'!$A$2:$AI$54,17,0)+VLOOKUP(D4,'Feuerwaffen-Ressourcen'!$A$2:$AI$54,17,0)+VLOOKUP(E4,'Feuerwaffen-Ressourcen'!$A$2:$AI$54,17,0)</f>
        <v>18</v>
      </c>
      <c r="R4" s="60">
        <f>VLOOKUP(B4,'Feuerwaffen-Ressourcen'!$A$2:$AI$54,18,0)+VLOOKUP(C4,'Feuerwaffen-Ressourcen'!$A$2:$AI$54,18,0)+VLOOKUP(D4,'Feuerwaffen-Ressourcen'!$A$2:$AI$54,18,0)+VLOOKUP(F4,'Feuerwaffen-Ressourcen'!$A$2:$AI$54,18,0)+VLOOKUP(G4,'Feuerwaffen-Ressourcen'!$A$2:$AI$54,18,0)+VLOOKUP(I4,'Feuerwaffen-Ressourcen'!$A$2:$AI$54,18,0)+VLOOKUP(J4,'Feuerwaffen-Ressourcen'!$A$2:$AI$54,18,0)</f>
        <v>1</v>
      </c>
      <c r="S4" s="60">
        <f>VLOOKUP(B4,'Feuerwaffen-Ressourcen'!$A$2:$AI$54,19,0)+VLOOKUP(C4,'Feuerwaffen-Ressourcen'!$A$2:$AI$54,19,0)+VLOOKUP(D4,'Feuerwaffen-Ressourcen'!$A$2:$AI$54,19,0)+VLOOKUP(F4,'Feuerwaffen-Ressourcen'!$A$2:$AI$54,19,0)+VLOOKUP(G4,'Feuerwaffen-Ressourcen'!$A$2:$AI$54,19,0)+VLOOKUP(I4,'Feuerwaffen-Ressourcen'!$A$2:$AI$54,19,0)+VLOOKUP(J4,'Feuerwaffen-Ressourcen'!$A$2:$AI$54,19,0)</f>
        <v>-4</v>
      </c>
      <c r="T4" s="60">
        <f>VLOOKUP(B4,'Feuerwaffen-Ressourcen'!$A$2:$AI$54,20,0)+VLOOKUP(C4,'Feuerwaffen-Ressourcen'!$A$2:$AI$54,20,0)+VLOOKUP(D4,'Feuerwaffen-Ressourcen'!$A$2:$AI$54,20,0)+VLOOKUP(F4,'Feuerwaffen-Ressourcen'!$A$2:$AI$54,20,0)+VLOOKUP(G4,'Feuerwaffen-Ressourcen'!$A$2:$AI$54,20,0)+VLOOKUP(I4,'Feuerwaffen-Ressourcen'!$A$2:$AI$54,20,0)+VLOOKUP(J4,'Feuerwaffen-Ressourcen'!$A$2:$AI$54,20,0)</f>
        <v>-9</v>
      </c>
      <c r="U4" s="60">
        <f>VLOOKUP(B4,'Feuerwaffen-Ressourcen'!$A$2:$AI$54,21,0)+VLOOKUP(C4,'Feuerwaffen-Ressourcen'!$A$2:$AI$54,21,0)+VLOOKUP(D4,'Feuerwaffen-Ressourcen'!$A$2:$AI$54,21,0)+VLOOKUP(F4,'Feuerwaffen-Ressourcen'!$A$2:$AI$54,21,0)+VLOOKUP(G4,'Feuerwaffen-Ressourcen'!$A$2:$AI$54,21,0)+VLOOKUP(I4,'Feuerwaffen-Ressourcen'!$A$2:$AI$54,21,0)+VLOOKUP(J4,'Feuerwaffen-Ressourcen'!$A$2:$AI$54,21,0)</f>
        <v>-15</v>
      </c>
      <c r="V4" s="60">
        <f>VLOOKUP(B4,'Feuerwaffen-Ressourcen'!$A$2:$AI$54,22,0)+VLOOKUP(C4,'Feuerwaffen-Ressourcen'!$A$2:$AI$54,22,0)+VLOOKUP(D4,'Feuerwaffen-Ressourcen'!$A$2:$AI$54,22,0)+VLOOKUP(F4,'Feuerwaffen-Ressourcen'!$A$2:$AI$54,22,0)+VLOOKUP(G4,'Feuerwaffen-Ressourcen'!$A$2:$AI$54,22,0)+VLOOKUP(I4,'Feuerwaffen-Ressourcen'!$A$2:$AI$54,22,0)+VLOOKUP(J4,'Feuerwaffen-Ressourcen'!$A$2:$AI$54,22,0)</f>
        <v>-23</v>
      </c>
      <c r="W4" s="60">
        <f>VLOOKUP(B4,'Feuerwaffen-Ressourcen'!$A$2:$AI$54,23,0)+VLOOKUP(C4,'Feuerwaffen-Ressourcen'!$A$2:$AI$54,23,0)+VLOOKUP(D4,'Feuerwaffen-Ressourcen'!$A$2:$AI$54,23,0)+VLOOKUP(F4,'Feuerwaffen-Ressourcen'!$A$2:$AI$54,23,0)+VLOOKUP(G4,'Feuerwaffen-Ressourcen'!$A$2:$AI$54,23,0)+VLOOKUP(I4,'Feuerwaffen-Ressourcen'!$A$2:$AI$54,23,0)+VLOOKUP(J4,'Feuerwaffen-Ressourcen'!$A$2:$AI$54,23,0)</f>
        <v>-31</v>
      </c>
      <c r="X4" s="60">
        <f>VLOOKUP(B4,'Feuerwaffen-Ressourcen'!$A$2:$AI$54,24,0)+VLOOKUP(C4,'Feuerwaffen-Ressourcen'!$A$2:$AI$54,24,0)+VLOOKUP(D4,'Feuerwaffen-Ressourcen'!$A$2:$AI$54,24,0)+VLOOKUP(G4,'Feuerwaffen-Ressourcen'!$A$2:$AI$54,24,0)</f>
        <v>60</v>
      </c>
      <c r="Y4" s="60">
        <f>VLOOKUP(D4,'Feuerwaffen-Ressourcen'!$A$2:$AI$54,25,0)+VLOOKUP(E4,'Feuerwaffen-Ressourcen'!$A$2:$AI$54,25,0)+VLOOKUP(F4,'Feuerwaffen-Ressourcen'!$A$2:$AI$54,25,0)</f>
        <v>33</v>
      </c>
      <c r="Z4" s="60">
        <f>VLOOKUP(E4,'Feuerwaffen-Ressourcen'!$A$2:$AI$54,26,0)</f>
        <v>3</v>
      </c>
      <c r="AA4" s="60">
        <f>VLOOKUP(B4,'Feuerwaffen-Ressourcen'!$A$2:$AI$54,27,0)+VLOOKUP(D4,'Feuerwaffen-Ressourcen'!$A$2:$AI$54,27,0)+VLOOKUP(F4,'Feuerwaffen-Ressourcen'!$A$2:$AI$54,27,0)+VLOOKUP(I4,'Feuerwaffen-Ressourcen'!$A$2:$AI$54,27,0)</f>
        <v>4</v>
      </c>
      <c r="AB4" s="60">
        <f>VLOOKUP(B4,'Feuerwaffen-Ressourcen'!$A$2:$AI$54,28,0)+VLOOKUP(C4,'Feuerwaffen-Ressourcen'!$A$2:$AI$54,28,0)+VLOOKUP(D4,'Feuerwaffen-Ressourcen'!$A$2:$AI$54,28,0)+VLOOKUP(E4,'Feuerwaffen-Ressourcen'!$A$2:$AI$54,28,0)+VLOOKUP(F4,'Feuerwaffen-Ressourcen'!$A$2:$AI$54,28,0)+VLOOKUP(G4,'Feuerwaffen-Ressourcen'!$A$2:$AI$54,28,0)+VLOOKUP(I4,'Feuerwaffen-Ressourcen'!$A$2:$AI$54,28,0)+VLOOKUP(J4,'Feuerwaffen-Ressourcen'!$A$2:$AI$54,28,0)</f>
        <v>100</v>
      </c>
      <c r="AC4" s="63">
        <f>VLOOKUP(I4,'Feuerwaffen-Ressourcen'!$A$2:$AI$54,31,0)*AD4+AE4</f>
        <v>366.7</v>
      </c>
      <c r="AD4" s="64">
        <f>VLOOKUP(B4,'Feuerwaffen-Ressourcen'!$A$2:$AI$54,30,0)+VLOOKUP(C4,'Feuerwaffen-Ressourcen'!$A$2:$AI$54,30,0)+VLOOKUP(D4,'Feuerwaffen-Ressourcen'!$A$2:$AI$54,30,0)+VLOOKUP(F4,'Feuerwaffen-Ressourcen'!$A$2:$AI$54,30,0)+VLOOKUP(G4,'Feuerwaffen-Ressourcen'!$A$2:$AI$54,30,0)+VLOOKUP(I4,'Feuerwaffen-Ressourcen'!$A$2:$AI$54,30,0)+VLOOKUP(J4,'Feuerwaffen-Ressourcen'!$A$2:$AI$54,30,0)</f>
        <v>4.1999999999999993</v>
      </c>
      <c r="AE4" s="63">
        <f>(VLOOKUP(C4,'Feuerwaffen-Ressourcen'!$A$2:$AI$54,32,0)+VLOOKUP(I4,'Feuerwaffen-Ressourcen'!$A$2:$AI$54,32,0))*(VLOOKUP(B4,'Feuerwaffen-Ressourcen'!$A$2:$AI$54,34,0)+VLOOKUP(C4,'Feuerwaffen-Ressourcen'!$A$2:$AI$54,34,0)+VLOOKUP(D4,'Feuerwaffen-Ressourcen'!$A$2:$AI$54,34,0)+VLOOKUP(E4,'Feuerwaffen-Ressourcen'!$A$2:$AI$54,34,0)+VLOOKUP(G4,'Feuerwaffen-Ressourcen'!$A$2:$AI$54,34,0))+VLOOKUP(B4,'Feuerwaffen-Ressourcen'!$A$2:$AI$54,35,0)+VLOOKUP(C4,'Feuerwaffen-Ressourcen'!$A$2:$AI$54,35,0)+VLOOKUP(D4,'Feuerwaffen-Ressourcen'!$A$2:$AI$54,35,0)</f>
        <v>349.9</v>
      </c>
      <c r="AF4" s="65">
        <f>VLOOKUP(AB4,'Feuerwaffen-Ressourcen'!$AO$3:$AP$9,2,1)</f>
        <v>5</v>
      </c>
      <c r="AG4" s="65">
        <v>0</v>
      </c>
    </row>
    <row r="5" spans="1:33">
      <c r="A5" s="59" t="s">
        <v>7117</v>
      </c>
      <c r="B5" s="59" t="s">
        <v>7114</v>
      </c>
      <c r="C5" s="59" t="s">
        <v>7118</v>
      </c>
      <c r="D5" s="59" t="s">
        <v>7219</v>
      </c>
      <c r="E5" s="59" t="s">
        <v>6501</v>
      </c>
      <c r="F5" s="59" t="s">
        <v>7216</v>
      </c>
      <c r="G5" s="59" t="s">
        <v>7217</v>
      </c>
      <c r="H5" s="59" t="s">
        <v>6514</v>
      </c>
      <c r="I5" s="59" t="s">
        <v>5768</v>
      </c>
      <c r="J5" s="59" t="s">
        <v>5748</v>
      </c>
      <c r="K5" s="61">
        <f>VLOOKUP(B5,'Feuerwaffen-Ressourcen'!$A$2:$AI$54,11,0)+VLOOKUP(C5,'Feuerwaffen-Ressourcen'!$A$2:$AI$54,11,0)+VLOOKUP(D5,'Feuerwaffen-Ressourcen'!$A$2:$AI$54,11,0)+VLOOKUP(E5,'Feuerwaffen-Ressourcen'!$A$2:$AI$54,11,0)+VLOOKUP(G5,'Feuerwaffen-Ressourcen'!$A$2:$AI$54,11,0)</f>
        <v>1.85</v>
      </c>
      <c r="L5" s="60">
        <f>VLOOKUP(B5,'Feuerwaffen-Ressourcen'!$A$2:$AI$54,12,0)+VLOOKUP(C5,'Feuerwaffen-Ressourcen'!$A$2:$AI$54,12,0)+VLOOKUP(D5,'Feuerwaffen-Ressourcen'!$A$2:$AI$54,12,0)+VLOOKUP(J5,'Feuerwaffen-Ressourcen'!$A$2:$AI$54,12,0)</f>
        <v>7</v>
      </c>
      <c r="M5" s="60" t="str">
        <f>VLOOKUP(VLOOKUP(B5,'Feuerwaffen-Ressourcen'!$A$2:$AI$54,13,0)+VLOOKUP(C5,'Feuerwaffen-Ressourcen'!$A$2:$AI$54,13,0)+VLOOKUP(D5,'Feuerwaffen-Ressourcen'!$A$2:$AI$54,13,0),'Feuerwaffen-Ressourcen'!$AJ$3:$AK$12,2,0)</f>
        <v>W8</v>
      </c>
      <c r="N5" s="60" t="str">
        <f>VLOOKUP(VLOOKUP(B5,'Feuerwaffen-Ressourcen'!$A$2:$AI$54,14,0)+VLOOKUP(C5,'Feuerwaffen-Ressourcen'!$A$2:$AI$54,14,0)+VLOOKUP(D5,'Feuerwaffen-Ressourcen'!$A$2:$AI$54,14,0),'Feuerwaffen-Ressourcen'!$AJ$3:$AK$12,2,0)</f>
        <v>W10</v>
      </c>
      <c r="O5" s="60">
        <f>VLOOKUP(B5,'Feuerwaffen-Ressourcen'!$A$2:$AI$54,15,0)+VLOOKUP(C5,'Feuerwaffen-Ressourcen'!$A$2:$AI$54,15,0)+VLOOKUP(D5,'Feuerwaffen-Ressourcen'!$A$2:$AI$54,15,0)</f>
        <v>1</v>
      </c>
      <c r="P5" s="60">
        <f>VLOOKUP(B5,'Feuerwaffen-Ressourcen'!$A$2:$AI$54,16,0)+VLOOKUP(C5,'Feuerwaffen-Ressourcen'!$A$2:$AI$54,16,0)+VLOOKUP(D5,'Feuerwaffen-Ressourcen'!$A$2:$AI$54,16,0)+VLOOKUP(E5,'Feuerwaffen-Ressourcen'!$A$2:$AI$54,16,0)</f>
        <v>6</v>
      </c>
      <c r="Q5" s="62">
        <f>VLOOKUP(B5,'Feuerwaffen-Ressourcen'!$A$2:$AI$54,17,0)+VLOOKUP(C5,'Feuerwaffen-Ressourcen'!$A$2:$AI$54,17,0)+VLOOKUP(D5,'Feuerwaffen-Ressourcen'!$A$2:$AI$54,17,0)+VLOOKUP(E5,'Feuerwaffen-Ressourcen'!$A$2:$AI$54,17,0)</f>
        <v>14</v>
      </c>
      <c r="R5" s="60">
        <f>VLOOKUP(B5,'Feuerwaffen-Ressourcen'!$A$2:$AI$54,18,0)+VLOOKUP(C5,'Feuerwaffen-Ressourcen'!$A$2:$AI$54,18,0)+VLOOKUP(D5,'Feuerwaffen-Ressourcen'!$A$2:$AI$54,18,0)+VLOOKUP(F5,'Feuerwaffen-Ressourcen'!$A$2:$AI$54,18,0)+VLOOKUP(G5,'Feuerwaffen-Ressourcen'!$A$2:$AI$54,18,0)+VLOOKUP(I5,'Feuerwaffen-Ressourcen'!$A$2:$AI$54,18,0)+VLOOKUP(J5,'Feuerwaffen-Ressourcen'!$A$2:$AI$54,18,0)</f>
        <v>5</v>
      </c>
      <c r="S5" s="60">
        <f>VLOOKUP(B5,'Feuerwaffen-Ressourcen'!$A$2:$AI$54,19,0)+VLOOKUP(C5,'Feuerwaffen-Ressourcen'!$A$2:$AI$54,19,0)+VLOOKUP(D5,'Feuerwaffen-Ressourcen'!$A$2:$AI$54,19,0)+VLOOKUP(F5,'Feuerwaffen-Ressourcen'!$A$2:$AI$54,19,0)+VLOOKUP(G5,'Feuerwaffen-Ressourcen'!$A$2:$AI$54,19,0)+VLOOKUP(I5,'Feuerwaffen-Ressourcen'!$A$2:$AI$54,19,0)+VLOOKUP(J5,'Feuerwaffen-Ressourcen'!$A$2:$AI$54,19,0)</f>
        <v>-1</v>
      </c>
      <c r="T5" s="60">
        <f>VLOOKUP(B5,'Feuerwaffen-Ressourcen'!$A$2:$AI$54,20,0)+VLOOKUP(C5,'Feuerwaffen-Ressourcen'!$A$2:$AI$54,20,0)+VLOOKUP(D5,'Feuerwaffen-Ressourcen'!$A$2:$AI$54,20,0)+VLOOKUP(F5,'Feuerwaffen-Ressourcen'!$A$2:$AI$54,20,0)+VLOOKUP(G5,'Feuerwaffen-Ressourcen'!$A$2:$AI$54,20,0)+VLOOKUP(I5,'Feuerwaffen-Ressourcen'!$A$2:$AI$54,20,0)+VLOOKUP(J5,'Feuerwaffen-Ressourcen'!$A$2:$AI$54,20,0)</f>
        <v>-13</v>
      </c>
      <c r="U5" s="60">
        <f>VLOOKUP(B5,'Feuerwaffen-Ressourcen'!$A$2:$AI$54,21,0)+VLOOKUP(C5,'Feuerwaffen-Ressourcen'!$A$2:$AI$54,21,0)+VLOOKUP(D5,'Feuerwaffen-Ressourcen'!$A$2:$AI$54,21,0)+VLOOKUP(F5,'Feuerwaffen-Ressourcen'!$A$2:$AI$54,21,0)+VLOOKUP(G5,'Feuerwaffen-Ressourcen'!$A$2:$AI$54,21,0)+VLOOKUP(I5,'Feuerwaffen-Ressourcen'!$A$2:$AI$54,21,0)+VLOOKUP(J5,'Feuerwaffen-Ressourcen'!$A$2:$AI$54,21,0)</f>
        <v>-25</v>
      </c>
      <c r="V5" s="60">
        <f>VLOOKUP(B5,'Feuerwaffen-Ressourcen'!$A$2:$AI$54,22,0)+VLOOKUP(C5,'Feuerwaffen-Ressourcen'!$A$2:$AI$54,22,0)+VLOOKUP(D5,'Feuerwaffen-Ressourcen'!$A$2:$AI$54,22,0)+VLOOKUP(F5,'Feuerwaffen-Ressourcen'!$A$2:$AI$54,22,0)+VLOOKUP(G5,'Feuerwaffen-Ressourcen'!$A$2:$AI$54,22,0)+VLOOKUP(I5,'Feuerwaffen-Ressourcen'!$A$2:$AI$54,22,0)+VLOOKUP(J5,'Feuerwaffen-Ressourcen'!$A$2:$AI$54,22,0)</f>
        <v>-40</v>
      </c>
      <c r="W5" s="60">
        <f>VLOOKUP(B5,'Feuerwaffen-Ressourcen'!$A$2:$AI$54,23,0)+VLOOKUP(C5,'Feuerwaffen-Ressourcen'!$A$2:$AI$54,23,0)+VLOOKUP(D5,'Feuerwaffen-Ressourcen'!$A$2:$AI$54,23,0)+VLOOKUP(F5,'Feuerwaffen-Ressourcen'!$A$2:$AI$54,23,0)+VLOOKUP(G5,'Feuerwaffen-Ressourcen'!$A$2:$AI$54,23,0)+VLOOKUP(I5,'Feuerwaffen-Ressourcen'!$A$2:$AI$54,23,0)+VLOOKUP(J5,'Feuerwaffen-Ressourcen'!$A$2:$AI$54,23,0)</f>
        <v>-56</v>
      </c>
      <c r="X5" s="60">
        <f>VLOOKUP(B5,'Feuerwaffen-Ressourcen'!$A$2:$AI$54,24,0)+VLOOKUP(C5,'Feuerwaffen-Ressourcen'!$A$2:$AI$54,24,0)+VLOOKUP(D5,'Feuerwaffen-Ressourcen'!$A$2:$AI$54,24,0)+VLOOKUP(G5,'Feuerwaffen-Ressourcen'!$A$2:$AI$54,24,0)</f>
        <v>40</v>
      </c>
      <c r="Y5" s="60">
        <f>VLOOKUP(D5,'Feuerwaffen-Ressourcen'!$A$2:$AI$54,25,0)+VLOOKUP(E5,'Feuerwaffen-Ressourcen'!$A$2:$AI$54,25,0)+VLOOKUP(F5,'Feuerwaffen-Ressourcen'!$A$2:$AI$54,25,0)</f>
        <v>31</v>
      </c>
      <c r="Z5" s="60">
        <f>VLOOKUP(E5,'Feuerwaffen-Ressourcen'!$A$2:$AI$54,26,0)</f>
        <v>3</v>
      </c>
      <c r="AA5" s="60">
        <f>VLOOKUP(B5,'Feuerwaffen-Ressourcen'!$A$2:$AI$54,27,0)+VLOOKUP(D5,'Feuerwaffen-Ressourcen'!$A$2:$AI$54,27,0)+VLOOKUP(F5,'Feuerwaffen-Ressourcen'!$A$2:$AI$54,27,0)+VLOOKUP(I5,'Feuerwaffen-Ressourcen'!$A$2:$AI$54,27,0)</f>
        <v>4</v>
      </c>
      <c r="AB5" s="60">
        <f>VLOOKUP(B5,'Feuerwaffen-Ressourcen'!$A$2:$AI$54,28,0)+VLOOKUP(C5,'Feuerwaffen-Ressourcen'!$A$2:$AI$54,28,0)+VLOOKUP(D5,'Feuerwaffen-Ressourcen'!$A$2:$AI$54,28,0)+VLOOKUP(E5,'Feuerwaffen-Ressourcen'!$A$2:$AI$54,28,0)+VLOOKUP(F5,'Feuerwaffen-Ressourcen'!$A$2:$AI$54,28,0)+VLOOKUP(G5,'Feuerwaffen-Ressourcen'!$A$2:$AI$54,28,0)+VLOOKUP(I5,'Feuerwaffen-Ressourcen'!$A$2:$AI$54,28,0)+VLOOKUP(J5,'Feuerwaffen-Ressourcen'!$A$2:$AI$54,28,0)</f>
        <v>95</v>
      </c>
      <c r="AC5" s="63">
        <f>VLOOKUP(I5,'Feuerwaffen-Ressourcen'!$A$2:$AI$54,31,0)*AD5+AE5</f>
        <v>170.55</v>
      </c>
      <c r="AD5" s="64">
        <f>VLOOKUP(B5,'Feuerwaffen-Ressourcen'!$A$2:$AI$54,30,0)+VLOOKUP(C5,'Feuerwaffen-Ressourcen'!$A$2:$AI$54,30,0)+VLOOKUP(D5,'Feuerwaffen-Ressourcen'!$A$2:$AI$54,30,0)+VLOOKUP(F5,'Feuerwaffen-Ressourcen'!$A$2:$AI$54,30,0)+VLOOKUP(G5,'Feuerwaffen-Ressourcen'!$A$2:$AI$54,30,0)+VLOOKUP(I5,'Feuerwaffen-Ressourcen'!$A$2:$AI$54,30,0)+VLOOKUP(J5,'Feuerwaffen-Ressourcen'!$A$2:$AI$54,30,0)</f>
        <v>3.5</v>
      </c>
      <c r="AE5" s="63">
        <f>(VLOOKUP(C5,'Feuerwaffen-Ressourcen'!$A$2:$AI$54,32,0)+VLOOKUP(I5,'Feuerwaffen-Ressourcen'!$A$2:$AI$54,32,0))*(VLOOKUP(B5,'Feuerwaffen-Ressourcen'!$A$2:$AI$54,34,0)+VLOOKUP(C5,'Feuerwaffen-Ressourcen'!$A$2:$AI$54,34,0)+VLOOKUP(D5,'Feuerwaffen-Ressourcen'!$A$2:$AI$54,34,0)+VLOOKUP(E5,'Feuerwaffen-Ressourcen'!$A$2:$AI$54,34,0)+VLOOKUP(G5,'Feuerwaffen-Ressourcen'!$A$2:$AI$54,34,0))+VLOOKUP(B5,'Feuerwaffen-Ressourcen'!$A$2:$AI$54,35,0)+VLOOKUP(C5,'Feuerwaffen-Ressourcen'!$A$2:$AI$54,35,0)+VLOOKUP(D5,'Feuerwaffen-Ressourcen'!$A$2:$AI$54,35,0)</f>
        <v>156.55000000000001</v>
      </c>
      <c r="AF5" s="65">
        <f>VLOOKUP(AB5,'Feuerwaffen-Ressourcen'!$AO$3:$AP$9,2,1)</f>
        <v>5</v>
      </c>
      <c r="AG5" s="65">
        <v>0</v>
      </c>
    </row>
    <row r="6" spans="1:33">
      <c r="A6" s="59" t="s">
        <v>7118</v>
      </c>
      <c r="B6" s="59" t="s">
        <v>7114</v>
      </c>
      <c r="C6" s="59" t="s">
        <v>7118</v>
      </c>
      <c r="D6" s="59" t="s">
        <v>7220</v>
      </c>
      <c r="E6" s="59" t="s">
        <v>6501</v>
      </c>
      <c r="F6" s="59" t="s">
        <v>7216</v>
      </c>
      <c r="G6" s="59" t="s">
        <v>7217</v>
      </c>
      <c r="H6" s="59" t="s">
        <v>6514</v>
      </c>
      <c r="I6" s="59" t="s">
        <v>5768</v>
      </c>
      <c r="J6" s="59" t="s">
        <v>5748</v>
      </c>
      <c r="K6" s="61">
        <f>VLOOKUP(B6,'Feuerwaffen-Ressourcen'!$A$2:$AI$54,11,0)+VLOOKUP(C6,'Feuerwaffen-Ressourcen'!$A$2:$AI$54,11,0)+VLOOKUP(D6,'Feuerwaffen-Ressourcen'!$A$2:$AI$54,11,0)+VLOOKUP(E6,'Feuerwaffen-Ressourcen'!$A$2:$AI$54,11,0)+VLOOKUP(G6,'Feuerwaffen-Ressourcen'!$A$2:$AI$54,11,0)</f>
        <v>1.55</v>
      </c>
      <c r="L6" s="60">
        <f>VLOOKUP(B6,'Feuerwaffen-Ressourcen'!$A$2:$AI$54,12,0)+VLOOKUP(C6,'Feuerwaffen-Ressourcen'!$A$2:$AI$54,12,0)+VLOOKUP(D6,'Feuerwaffen-Ressourcen'!$A$2:$AI$54,12,0)+VLOOKUP(J6,'Feuerwaffen-Ressourcen'!$A$2:$AI$54,12,0)</f>
        <v>7</v>
      </c>
      <c r="M6" s="60" t="str">
        <f>VLOOKUP(VLOOKUP(B6,'Feuerwaffen-Ressourcen'!$A$2:$AI$54,13,0)+VLOOKUP(C6,'Feuerwaffen-Ressourcen'!$A$2:$AI$54,13,0)+VLOOKUP(D6,'Feuerwaffen-Ressourcen'!$A$2:$AI$54,13,0),'Feuerwaffen-Ressourcen'!$AJ$3:$AK$12,2,0)</f>
        <v>W8</v>
      </c>
      <c r="N6" s="60" t="str">
        <f>VLOOKUP(VLOOKUP(B6,'Feuerwaffen-Ressourcen'!$A$2:$AI$54,14,0)+VLOOKUP(C6,'Feuerwaffen-Ressourcen'!$A$2:$AI$54,14,0)+VLOOKUP(D6,'Feuerwaffen-Ressourcen'!$A$2:$AI$54,14,0),'Feuerwaffen-Ressourcen'!$AJ$3:$AK$12,2,0)</f>
        <v>W8</v>
      </c>
      <c r="O6" s="60">
        <f>VLOOKUP(B6,'Feuerwaffen-Ressourcen'!$A$2:$AI$54,15,0)+VLOOKUP(C6,'Feuerwaffen-Ressourcen'!$A$2:$AI$54,15,0)+VLOOKUP(D6,'Feuerwaffen-Ressourcen'!$A$2:$AI$54,15,0)</f>
        <v>0</v>
      </c>
      <c r="P6" s="60">
        <f>VLOOKUP(B6,'Feuerwaffen-Ressourcen'!$A$2:$AI$54,16,0)+VLOOKUP(C6,'Feuerwaffen-Ressourcen'!$A$2:$AI$54,16,0)+VLOOKUP(D6,'Feuerwaffen-Ressourcen'!$A$2:$AI$54,16,0)+VLOOKUP(E6,'Feuerwaffen-Ressourcen'!$A$2:$AI$54,16,0)</f>
        <v>6</v>
      </c>
      <c r="Q6" s="62">
        <f>VLOOKUP(B6,'Feuerwaffen-Ressourcen'!$A$2:$AI$54,17,0)+VLOOKUP(C6,'Feuerwaffen-Ressourcen'!$A$2:$AI$54,17,0)+VLOOKUP(D6,'Feuerwaffen-Ressourcen'!$A$2:$AI$54,17,0)+VLOOKUP(E6,'Feuerwaffen-Ressourcen'!$A$2:$AI$54,17,0)</f>
        <v>14</v>
      </c>
      <c r="R6" s="60">
        <f>VLOOKUP(B6,'Feuerwaffen-Ressourcen'!$A$2:$AI$54,18,0)+VLOOKUP(C6,'Feuerwaffen-Ressourcen'!$A$2:$AI$54,18,0)+VLOOKUP(D6,'Feuerwaffen-Ressourcen'!$A$2:$AI$54,18,0)+VLOOKUP(F6,'Feuerwaffen-Ressourcen'!$A$2:$AI$54,18,0)+VLOOKUP(G6,'Feuerwaffen-Ressourcen'!$A$2:$AI$54,18,0)+VLOOKUP(I6,'Feuerwaffen-Ressourcen'!$A$2:$AI$54,18,0)+VLOOKUP(J6,'Feuerwaffen-Ressourcen'!$A$2:$AI$54,18,0)</f>
        <v>6</v>
      </c>
      <c r="S6" s="60">
        <f>VLOOKUP(B6,'Feuerwaffen-Ressourcen'!$A$2:$AI$54,19,0)+VLOOKUP(C6,'Feuerwaffen-Ressourcen'!$A$2:$AI$54,19,0)+VLOOKUP(D6,'Feuerwaffen-Ressourcen'!$A$2:$AI$54,19,0)+VLOOKUP(F6,'Feuerwaffen-Ressourcen'!$A$2:$AI$54,19,0)+VLOOKUP(G6,'Feuerwaffen-Ressourcen'!$A$2:$AI$54,19,0)+VLOOKUP(I6,'Feuerwaffen-Ressourcen'!$A$2:$AI$54,19,0)+VLOOKUP(J6,'Feuerwaffen-Ressourcen'!$A$2:$AI$54,19,0)</f>
        <v>-3</v>
      </c>
      <c r="T6" s="60">
        <f>VLOOKUP(B6,'Feuerwaffen-Ressourcen'!$A$2:$AI$54,20,0)+VLOOKUP(C6,'Feuerwaffen-Ressourcen'!$A$2:$AI$54,20,0)+VLOOKUP(D6,'Feuerwaffen-Ressourcen'!$A$2:$AI$54,20,0)+VLOOKUP(F6,'Feuerwaffen-Ressourcen'!$A$2:$AI$54,20,0)+VLOOKUP(G6,'Feuerwaffen-Ressourcen'!$A$2:$AI$54,20,0)+VLOOKUP(I6,'Feuerwaffen-Ressourcen'!$A$2:$AI$54,20,0)+VLOOKUP(J6,'Feuerwaffen-Ressourcen'!$A$2:$AI$54,20,0)</f>
        <v>-14</v>
      </c>
      <c r="U6" s="60">
        <f>VLOOKUP(B6,'Feuerwaffen-Ressourcen'!$A$2:$AI$54,21,0)+VLOOKUP(C6,'Feuerwaffen-Ressourcen'!$A$2:$AI$54,21,0)+VLOOKUP(D6,'Feuerwaffen-Ressourcen'!$A$2:$AI$54,21,0)+VLOOKUP(F6,'Feuerwaffen-Ressourcen'!$A$2:$AI$54,21,0)+VLOOKUP(G6,'Feuerwaffen-Ressourcen'!$A$2:$AI$54,21,0)+VLOOKUP(I6,'Feuerwaffen-Ressourcen'!$A$2:$AI$54,21,0)+VLOOKUP(J6,'Feuerwaffen-Ressourcen'!$A$2:$AI$54,21,0)</f>
        <v>-26</v>
      </c>
      <c r="V6" s="60">
        <f>VLOOKUP(B6,'Feuerwaffen-Ressourcen'!$A$2:$AI$54,22,0)+VLOOKUP(C6,'Feuerwaffen-Ressourcen'!$A$2:$AI$54,22,0)+VLOOKUP(D6,'Feuerwaffen-Ressourcen'!$A$2:$AI$54,22,0)+VLOOKUP(F6,'Feuerwaffen-Ressourcen'!$A$2:$AI$54,22,0)+VLOOKUP(G6,'Feuerwaffen-Ressourcen'!$A$2:$AI$54,22,0)+VLOOKUP(I6,'Feuerwaffen-Ressourcen'!$A$2:$AI$54,22,0)+VLOOKUP(J6,'Feuerwaffen-Ressourcen'!$A$2:$AI$54,22,0)</f>
        <v>-41</v>
      </c>
      <c r="W6" s="60">
        <f>VLOOKUP(B6,'Feuerwaffen-Ressourcen'!$A$2:$AI$54,23,0)+VLOOKUP(C6,'Feuerwaffen-Ressourcen'!$A$2:$AI$54,23,0)+VLOOKUP(D6,'Feuerwaffen-Ressourcen'!$A$2:$AI$54,23,0)+VLOOKUP(F6,'Feuerwaffen-Ressourcen'!$A$2:$AI$54,23,0)+VLOOKUP(G6,'Feuerwaffen-Ressourcen'!$A$2:$AI$54,23,0)+VLOOKUP(I6,'Feuerwaffen-Ressourcen'!$A$2:$AI$54,23,0)+VLOOKUP(J6,'Feuerwaffen-Ressourcen'!$A$2:$AI$54,23,0)</f>
        <v>-57</v>
      </c>
      <c r="X6" s="60">
        <f>VLOOKUP(B6,'Feuerwaffen-Ressourcen'!$A$2:$AI$54,24,0)+VLOOKUP(C6,'Feuerwaffen-Ressourcen'!$A$2:$AI$54,24,0)+VLOOKUP(D6,'Feuerwaffen-Ressourcen'!$A$2:$AI$54,24,0)+VLOOKUP(G6,'Feuerwaffen-Ressourcen'!$A$2:$AI$54,24,0)</f>
        <v>30</v>
      </c>
      <c r="Y6" s="60">
        <f>VLOOKUP(D6,'Feuerwaffen-Ressourcen'!$A$2:$AI$54,25,0)+VLOOKUP(E6,'Feuerwaffen-Ressourcen'!$A$2:$AI$54,25,0)+VLOOKUP(F6,'Feuerwaffen-Ressourcen'!$A$2:$AI$54,25,0)</f>
        <v>31</v>
      </c>
      <c r="Z6" s="60">
        <f>VLOOKUP(E6,'Feuerwaffen-Ressourcen'!$A$2:$AI$54,26,0)</f>
        <v>3</v>
      </c>
      <c r="AA6" s="60">
        <f>VLOOKUP(B6,'Feuerwaffen-Ressourcen'!$A$2:$AI$54,27,0)+VLOOKUP(D6,'Feuerwaffen-Ressourcen'!$A$2:$AI$54,27,0)+VLOOKUP(F6,'Feuerwaffen-Ressourcen'!$A$2:$AI$54,27,0)+VLOOKUP(I6,'Feuerwaffen-Ressourcen'!$A$2:$AI$54,27,0)</f>
        <v>4</v>
      </c>
      <c r="AB6" s="60">
        <f>VLOOKUP(B6,'Feuerwaffen-Ressourcen'!$A$2:$AI$54,28,0)+VLOOKUP(C6,'Feuerwaffen-Ressourcen'!$A$2:$AI$54,28,0)+VLOOKUP(D6,'Feuerwaffen-Ressourcen'!$A$2:$AI$54,28,0)+VLOOKUP(E6,'Feuerwaffen-Ressourcen'!$A$2:$AI$54,28,0)+VLOOKUP(F6,'Feuerwaffen-Ressourcen'!$A$2:$AI$54,28,0)+VLOOKUP(G6,'Feuerwaffen-Ressourcen'!$A$2:$AI$54,28,0)+VLOOKUP(I6,'Feuerwaffen-Ressourcen'!$A$2:$AI$54,28,0)+VLOOKUP(J6,'Feuerwaffen-Ressourcen'!$A$2:$AI$54,28,0)</f>
        <v>110</v>
      </c>
      <c r="AC6" s="63">
        <f>VLOOKUP(I6,'Feuerwaffen-Ressourcen'!$A$2:$AI$54,31,0)*AD6+AE6</f>
        <v>132.55000000000001</v>
      </c>
      <c r="AD6" s="64">
        <f>VLOOKUP(B6,'Feuerwaffen-Ressourcen'!$A$2:$AI$54,30,0)+VLOOKUP(C6,'Feuerwaffen-Ressourcen'!$A$2:$AI$54,30,0)+VLOOKUP(D6,'Feuerwaffen-Ressourcen'!$A$2:$AI$54,30,0)+VLOOKUP(F6,'Feuerwaffen-Ressourcen'!$A$2:$AI$54,30,0)+VLOOKUP(G6,'Feuerwaffen-Ressourcen'!$A$2:$AI$54,30,0)+VLOOKUP(I6,'Feuerwaffen-Ressourcen'!$A$2:$AI$54,30,0)+VLOOKUP(J6,'Feuerwaffen-Ressourcen'!$A$2:$AI$54,30,0)</f>
        <v>3</v>
      </c>
      <c r="AE6" s="63">
        <f>(VLOOKUP(C6,'Feuerwaffen-Ressourcen'!$A$2:$AI$54,32,0)+VLOOKUP(I6,'Feuerwaffen-Ressourcen'!$A$2:$AI$54,32,0))*(VLOOKUP(B6,'Feuerwaffen-Ressourcen'!$A$2:$AI$54,34,0)+VLOOKUP(C6,'Feuerwaffen-Ressourcen'!$A$2:$AI$54,34,0)+VLOOKUP(D6,'Feuerwaffen-Ressourcen'!$A$2:$AI$54,34,0)+VLOOKUP(E6,'Feuerwaffen-Ressourcen'!$A$2:$AI$54,34,0)+VLOOKUP(G6,'Feuerwaffen-Ressourcen'!$A$2:$AI$54,34,0))+VLOOKUP(B6,'Feuerwaffen-Ressourcen'!$A$2:$AI$54,35,0)+VLOOKUP(C6,'Feuerwaffen-Ressourcen'!$A$2:$AI$54,35,0)+VLOOKUP(D6,'Feuerwaffen-Ressourcen'!$A$2:$AI$54,35,0)</f>
        <v>120.55</v>
      </c>
      <c r="AF6" s="65">
        <f>VLOOKUP(AB6,'Feuerwaffen-Ressourcen'!$AO$3:$AP$9,2,1)</f>
        <v>4</v>
      </c>
      <c r="AG6" s="65">
        <v>0</v>
      </c>
    </row>
    <row r="7" spans="1:33">
      <c r="A7" s="59" t="s">
        <v>7119</v>
      </c>
      <c r="B7" s="59" t="s">
        <v>7114</v>
      </c>
      <c r="C7" s="59" t="s">
        <v>7118</v>
      </c>
      <c r="D7" s="59" t="s">
        <v>7219</v>
      </c>
      <c r="E7" s="59" t="s">
        <v>6501</v>
      </c>
      <c r="F7" s="59" t="s">
        <v>7221</v>
      </c>
      <c r="G7" s="59" t="s">
        <v>7217</v>
      </c>
      <c r="H7" s="59" t="s">
        <v>6514</v>
      </c>
      <c r="I7" s="59" t="s">
        <v>5768</v>
      </c>
      <c r="J7" s="59" t="s">
        <v>5748</v>
      </c>
      <c r="K7" s="61">
        <f>VLOOKUP(B7,'Feuerwaffen-Ressourcen'!$A$2:$AI$54,11,0)+VLOOKUP(C7,'Feuerwaffen-Ressourcen'!$A$2:$AI$54,11,0)+VLOOKUP(D7,'Feuerwaffen-Ressourcen'!$A$2:$AI$54,11,0)+VLOOKUP(E7,'Feuerwaffen-Ressourcen'!$A$2:$AI$54,11,0)+VLOOKUP(G7,'Feuerwaffen-Ressourcen'!$A$2:$AI$54,11,0)</f>
        <v>1.85</v>
      </c>
      <c r="L7" s="60">
        <f>VLOOKUP(B7,'Feuerwaffen-Ressourcen'!$A$2:$AI$54,12,0)+VLOOKUP(C7,'Feuerwaffen-Ressourcen'!$A$2:$AI$54,12,0)+VLOOKUP(D7,'Feuerwaffen-Ressourcen'!$A$2:$AI$54,12,0)+VLOOKUP(J7,'Feuerwaffen-Ressourcen'!$A$2:$AI$54,12,0)</f>
        <v>7</v>
      </c>
      <c r="M7" s="60" t="str">
        <f>VLOOKUP(VLOOKUP(B7,'Feuerwaffen-Ressourcen'!$A$2:$AI$54,13,0)+VLOOKUP(C7,'Feuerwaffen-Ressourcen'!$A$2:$AI$54,13,0)+VLOOKUP(D7,'Feuerwaffen-Ressourcen'!$A$2:$AI$54,13,0),'Feuerwaffen-Ressourcen'!$AJ$3:$AK$12,2,0)</f>
        <v>W8</v>
      </c>
      <c r="N7" s="60" t="str">
        <f>VLOOKUP(VLOOKUP(B7,'Feuerwaffen-Ressourcen'!$A$2:$AI$54,14,0)+VLOOKUP(C7,'Feuerwaffen-Ressourcen'!$A$2:$AI$54,14,0)+VLOOKUP(D7,'Feuerwaffen-Ressourcen'!$A$2:$AI$54,14,0),'Feuerwaffen-Ressourcen'!$AJ$3:$AK$12,2,0)</f>
        <v>W10</v>
      </c>
      <c r="O7" s="60">
        <f>VLOOKUP(B7,'Feuerwaffen-Ressourcen'!$A$2:$AI$54,15,0)+VLOOKUP(C7,'Feuerwaffen-Ressourcen'!$A$2:$AI$54,15,0)+VLOOKUP(D7,'Feuerwaffen-Ressourcen'!$A$2:$AI$54,15,0)</f>
        <v>1</v>
      </c>
      <c r="P7" s="60">
        <f>VLOOKUP(B7,'Feuerwaffen-Ressourcen'!$A$2:$AI$54,16,0)+VLOOKUP(C7,'Feuerwaffen-Ressourcen'!$A$2:$AI$54,16,0)+VLOOKUP(D7,'Feuerwaffen-Ressourcen'!$A$2:$AI$54,16,0)+VLOOKUP(E7,'Feuerwaffen-Ressourcen'!$A$2:$AI$54,16,0)</f>
        <v>6</v>
      </c>
      <c r="Q7" s="62">
        <f>VLOOKUP(B7,'Feuerwaffen-Ressourcen'!$A$2:$AI$54,17,0)+VLOOKUP(C7,'Feuerwaffen-Ressourcen'!$A$2:$AI$54,17,0)+VLOOKUP(D7,'Feuerwaffen-Ressourcen'!$A$2:$AI$54,17,0)+VLOOKUP(E7,'Feuerwaffen-Ressourcen'!$A$2:$AI$54,17,0)</f>
        <v>14</v>
      </c>
      <c r="R7" s="60">
        <f>VLOOKUP(B7,'Feuerwaffen-Ressourcen'!$A$2:$AI$54,18,0)+VLOOKUP(C7,'Feuerwaffen-Ressourcen'!$A$2:$AI$54,18,0)+VLOOKUP(D7,'Feuerwaffen-Ressourcen'!$A$2:$AI$54,18,0)+VLOOKUP(F7,'Feuerwaffen-Ressourcen'!$A$2:$AI$54,18,0)+VLOOKUP(G7,'Feuerwaffen-Ressourcen'!$A$2:$AI$54,18,0)+VLOOKUP(I7,'Feuerwaffen-Ressourcen'!$A$2:$AI$54,18,0)+VLOOKUP(J7,'Feuerwaffen-Ressourcen'!$A$2:$AI$54,18,0)</f>
        <v>6</v>
      </c>
      <c r="S7" s="60">
        <f>VLOOKUP(B7,'Feuerwaffen-Ressourcen'!$A$2:$AI$54,19,0)+VLOOKUP(C7,'Feuerwaffen-Ressourcen'!$A$2:$AI$54,19,0)+VLOOKUP(D7,'Feuerwaffen-Ressourcen'!$A$2:$AI$54,19,0)+VLOOKUP(F7,'Feuerwaffen-Ressourcen'!$A$2:$AI$54,19,0)+VLOOKUP(G7,'Feuerwaffen-Ressourcen'!$A$2:$AI$54,19,0)+VLOOKUP(I7,'Feuerwaffen-Ressourcen'!$A$2:$AI$54,19,0)+VLOOKUP(J7,'Feuerwaffen-Ressourcen'!$A$2:$AI$54,19,0)</f>
        <v>0</v>
      </c>
      <c r="T7" s="60">
        <f>VLOOKUP(B7,'Feuerwaffen-Ressourcen'!$A$2:$AI$54,20,0)+VLOOKUP(C7,'Feuerwaffen-Ressourcen'!$A$2:$AI$54,20,0)+VLOOKUP(D7,'Feuerwaffen-Ressourcen'!$A$2:$AI$54,20,0)+VLOOKUP(F7,'Feuerwaffen-Ressourcen'!$A$2:$AI$54,20,0)+VLOOKUP(G7,'Feuerwaffen-Ressourcen'!$A$2:$AI$54,20,0)+VLOOKUP(I7,'Feuerwaffen-Ressourcen'!$A$2:$AI$54,20,0)+VLOOKUP(J7,'Feuerwaffen-Ressourcen'!$A$2:$AI$54,20,0)</f>
        <v>-12</v>
      </c>
      <c r="U7" s="60">
        <f>VLOOKUP(B7,'Feuerwaffen-Ressourcen'!$A$2:$AI$54,21,0)+VLOOKUP(C7,'Feuerwaffen-Ressourcen'!$A$2:$AI$54,21,0)+VLOOKUP(D7,'Feuerwaffen-Ressourcen'!$A$2:$AI$54,21,0)+VLOOKUP(F7,'Feuerwaffen-Ressourcen'!$A$2:$AI$54,21,0)+VLOOKUP(G7,'Feuerwaffen-Ressourcen'!$A$2:$AI$54,21,0)+VLOOKUP(I7,'Feuerwaffen-Ressourcen'!$A$2:$AI$54,21,0)+VLOOKUP(J7,'Feuerwaffen-Ressourcen'!$A$2:$AI$54,21,0)</f>
        <v>-24</v>
      </c>
      <c r="V7" s="60">
        <f>VLOOKUP(B7,'Feuerwaffen-Ressourcen'!$A$2:$AI$54,22,0)+VLOOKUP(C7,'Feuerwaffen-Ressourcen'!$A$2:$AI$54,22,0)+VLOOKUP(D7,'Feuerwaffen-Ressourcen'!$A$2:$AI$54,22,0)+VLOOKUP(F7,'Feuerwaffen-Ressourcen'!$A$2:$AI$54,22,0)+VLOOKUP(G7,'Feuerwaffen-Ressourcen'!$A$2:$AI$54,22,0)+VLOOKUP(I7,'Feuerwaffen-Ressourcen'!$A$2:$AI$54,22,0)+VLOOKUP(J7,'Feuerwaffen-Ressourcen'!$A$2:$AI$54,22,0)</f>
        <v>-39</v>
      </c>
      <c r="W7" s="60">
        <f>VLOOKUP(B7,'Feuerwaffen-Ressourcen'!$A$2:$AI$54,23,0)+VLOOKUP(C7,'Feuerwaffen-Ressourcen'!$A$2:$AI$54,23,0)+VLOOKUP(D7,'Feuerwaffen-Ressourcen'!$A$2:$AI$54,23,0)+VLOOKUP(F7,'Feuerwaffen-Ressourcen'!$A$2:$AI$54,23,0)+VLOOKUP(G7,'Feuerwaffen-Ressourcen'!$A$2:$AI$54,23,0)+VLOOKUP(I7,'Feuerwaffen-Ressourcen'!$A$2:$AI$54,23,0)+VLOOKUP(J7,'Feuerwaffen-Ressourcen'!$A$2:$AI$54,23,0)</f>
        <v>-55</v>
      </c>
      <c r="X7" s="60">
        <f>VLOOKUP(B7,'Feuerwaffen-Ressourcen'!$A$2:$AI$54,24,0)+VLOOKUP(C7,'Feuerwaffen-Ressourcen'!$A$2:$AI$54,24,0)+VLOOKUP(D7,'Feuerwaffen-Ressourcen'!$A$2:$AI$54,24,0)+VLOOKUP(G7,'Feuerwaffen-Ressourcen'!$A$2:$AI$54,24,0)</f>
        <v>40</v>
      </c>
      <c r="Y7" s="60">
        <f>VLOOKUP(D7,'Feuerwaffen-Ressourcen'!$A$2:$AI$54,25,0)+VLOOKUP(E7,'Feuerwaffen-Ressourcen'!$A$2:$AI$54,25,0)+VLOOKUP(F7,'Feuerwaffen-Ressourcen'!$A$2:$AI$54,25,0)</f>
        <v>30</v>
      </c>
      <c r="Z7" s="60">
        <f>VLOOKUP(E7,'Feuerwaffen-Ressourcen'!$A$2:$AI$54,26,0)</f>
        <v>3</v>
      </c>
      <c r="AA7" s="60">
        <f>VLOOKUP(B7,'Feuerwaffen-Ressourcen'!$A$2:$AI$54,27,0)+VLOOKUP(D7,'Feuerwaffen-Ressourcen'!$A$2:$AI$54,27,0)+VLOOKUP(F7,'Feuerwaffen-Ressourcen'!$A$2:$AI$54,27,0)+VLOOKUP(I7,'Feuerwaffen-Ressourcen'!$A$2:$AI$54,27,0)</f>
        <v>3</v>
      </c>
      <c r="AB7" s="60">
        <f>VLOOKUP(B7,'Feuerwaffen-Ressourcen'!$A$2:$AI$54,28,0)+VLOOKUP(C7,'Feuerwaffen-Ressourcen'!$A$2:$AI$54,28,0)+VLOOKUP(D7,'Feuerwaffen-Ressourcen'!$A$2:$AI$54,28,0)+VLOOKUP(E7,'Feuerwaffen-Ressourcen'!$A$2:$AI$54,28,0)+VLOOKUP(F7,'Feuerwaffen-Ressourcen'!$A$2:$AI$54,28,0)+VLOOKUP(G7,'Feuerwaffen-Ressourcen'!$A$2:$AI$54,28,0)+VLOOKUP(I7,'Feuerwaffen-Ressourcen'!$A$2:$AI$54,28,0)+VLOOKUP(J7,'Feuerwaffen-Ressourcen'!$A$2:$AI$54,28,0)</f>
        <v>95</v>
      </c>
      <c r="AC7" s="63">
        <f>VLOOKUP(I7,'Feuerwaffen-Ressourcen'!$A$2:$AI$54,31,0)*AD7+AE7</f>
        <v>174.55</v>
      </c>
      <c r="AD7" s="64">
        <f>VLOOKUP(B7,'Feuerwaffen-Ressourcen'!$A$2:$AI$54,30,0)+VLOOKUP(C7,'Feuerwaffen-Ressourcen'!$A$2:$AI$54,30,0)+VLOOKUP(D7,'Feuerwaffen-Ressourcen'!$A$2:$AI$54,30,0)+VLOOKUP(F7,'Feuerwaffen-Ressourcen'!$A$2:$AI$54,30,0)+VLOOKUP(G7,'Feuerwaffen-Ressourcen'!$A$2:$AI$54,30,0)+VLOOKUP(I7,'Feuerwaffen-Ressourcen'!$A$2:$AI$54,30,0)+VLOOKUP(J7,'Feuerwaffen-Ressourcen'!$A$2:$AI$54,30,0)</f>
        <v>4.5</v>
      </c>
      <c r="AE7" s="63">
        <f>(VLOOKUP(C7,'Feuerwaffen-Ressourcen'!$A$2:$AI$54,32,0)+VLOOKUP(I7,'Feuerwaffen-Ressourcen'!$A$2:$AI$54,32,0))*(VLOOKUP(B7,'Feuerwaffen-Ressourcen'!$A$2:$AI$54,34,0)+VLOOKUP(C7,'Feuerwaffen-Ressourcen'!$A$2:$AI$54,34,0)+VLOOKUP(D7,'Feuerwaffen-Ressourcen'!$A$2:$AI$54,34,0)+VLOOKUP(E7,'Feuerwaffen-Ressourcen'!$A$2:$AI$54,34,0)+VLOOKUP(G7,'Feuerwaffen-Ressourcen'!$A$2:$AI$54,34,0))+VLOOKUP(B7,'Feuerwaffen-Ressourcen'!$A$2:$AI$54,35,0)+VLOOKUP(C7,'Feuerwaffen-Ressourcen'!$A$2:$AI$54,35,0)+VLOOKUP(D7,'Feuerwaffen-Ressourcen'!$A$2:$AI$54,35,0)</f>
        <v>156.55000000000001</v>
      </c>
      <c r="AF7" s="65">
        <f>VLOOKUP(AB7,'Feuerwaffen-Ressourcen'!$AO$3:$AP$9,2,1)</f>
        <v>5</v>
      </c>
      <c r="AG7" s="65">
        <v>0</v>
      </c>
    </row>
    <row r="8" spans="1:33">
      <c r="A8" s="59" t="s">
        <v>7120</v>
      </c>
      <c r="B8" s="59" t="s">
        <v>1418</v>
      </c>
      <c r="C8" s="59" t="s">
        <v>7215</v>
      </c>
      <c r="D8" s="59" t="s">
        <v>7222</v>
      </c>
      <c r="E8" s="59" t="s">
        <v>6505</v>
      </c>
      <c r="F8" s="59" t="s">
        <v>7223</v>
      </c>
      <c r="G8" s="59" t="s">
        <v>7217</v>
      </c>
      <c r="H8" s="59" t="s">
        <v>7121</v>
      </c>
      <c r="I8" s="59" t="s">
        <v>5768</v>
      </c>
      <c r="J8" s="59" t="s">
        <v>5748</v>
      </c>
      <c r="K8" s="61">
        <f>VLOOKUP(B8,'Feuerwaffen-Ressourcen'!$A$2:$AI$54,11,0)+VLOOKUP(C8,'Feuerwaffen-Ressourcen'!$A$2:$AI$54,11,0)+VLOOKUP(D8,'Feuerwaffen-Ressourcen'!$A$2:$AI$54,11,0)+VLOOKUP(E8,'Feuerwaffen-Ressourcen'!$A$2:$AI$54,11,0)+VLOOKUP(G8,'Feuerwaffen-Ressourcen'!$A$2:$AI$54,11,0)</f>
        <v>4</v>
      </c>
      <c r="L8" s="60">
        <f>VLOOKUP(B8,'Feuerwaffen-Ressourcen'!$A$2:$AI$54,12,0)+VLOOKUP(C8,'Feuerwaffen-Ressourcen'!$A$2:$AI$54,12,0)+VLOOKUP(D8,'Feuerwaffen-Ressourcen'!$A$2:$AI$54,12,0)+VLOOKUP(J8,'Feuerwaffen-Ressourcen'!$A$2:$AI$54,12,0)</f>
        <v>10</v>
      </c>
      <c r="M8" s="60" t="str">
        <f>VLOOKUP(VLOOKUP(B8,'Feuerwaffen-Ressourcen'!$A$2:$AI$54,13,0)+VLOOKUP(C8,'Feuerwaffen-Ressourcen'!$A$2:$AI$54,13,0)+VLOOKUP(D8,'Feuerwaffen-Ressourcen'!$A$2:$AI$54,13,0),'Feuerwaffen-Ressourcen'!$AJ$3:$AK$12,2,0)</f>
        <v>W12</v>
      </c>
      <c r="N8" s="60" t="str">
        <f>VLOOKUP(VLOOKUP(B8,'Feuerwaffen-Ressourcen'!$A$2:$AI$54,14,0)+VLOOKUP(C8,'Feuerwaffen-Ressourcen'!$A$2:$AI$54,14,0)+VLOOKUP(D8,'Feuerwaffen-Ressourcen'!$A$2:$AI$54,14,0),'Feuerwaffen-Ressourcen'!$AJ$3:$AK$12,2,0)</f>
        <v>W10</v>
      </c>
      <c r="O8" s="60">
        <f>VLOOKUP(B8,'Feuerwaffen-Ressourcen'!$A$2:$AI$54,15,0)+VLOOKUP(C8,'Feuerwaffen-Ressourcen'!$A$2:$AI$54,15,0)+VLOOKUP(D8,'Feuerwaffen-Ressourcen'!$A$2:$AI$54,15,0)</f>
        <v>1</v>
      </c>
      <c r="P8" s="60">
        <f>VLOOKUP(B8,'Feuerwaffen-Ressourcen'!$A$2:$AI$54,16,0)+VLOOKUP(C8,'Feuerwaffen-Ressourcen'!$A$2:$AI$54,16,0)+VLOOKUP(D8,'Feuerwaffen-Ressourcen'!$A$2:$AI$54,16,0)+VLOOKUP(E8,'Feuerwaffen-Ressourcen'!$A$2:$AI$54,16,0)</f>
        <v>11</v>
      </c>
      <c r="Q8" s="62">
        <f>VLOOKUP(B8,'Feuerwaffen-Ressourcen'!$A$2:$AI$54,17,0)+VLOOKUP(C8,'Feuerwaffen-Ressourcen'!$A$2:$AI$54,17,0)+VLOOKUP(D8,'Feuerwaffen-Ressourcen'!$A$2:$AI$54,17,0)+VLOOKUP(E8,'Feuerwaffen-Ressourcen'!$A$2:$AI$54,17,0)</f>
        <v>18</v>
      </c>
      <c r="R8" s="60">
        <f>VLOOKUP(B8,'Feuerwaffen-Ressourcen'!$A$2:$AI$54,18,0)+VLOOKUP(C8,'Feuerwaffen-Ressourcen'!$A$2:$AI$54,18,0)+VLOOKUP(D8,'Feuerwaffen-Ressourcen'!$A$2:$AI$54,18,0)+VLOOKUP(F8,'Feuerwaffen-Ressourcen'!$A$2:$AI$54,18,0)+VLOOKUP(G8,'Feuerwaffen-Ressourcen'!$A$2:$AI$54,18,0)+VLOOKUP(I8,'Feuerwaffen-Ressourcen'!$A$2:$AI$54,18,0)+VLOOKUP(J8,'Feuerwaffen-Ressourcen'!$A$2:$AI$54,18,0)</f>
        <v>9</v>
      </c>
      <c r="S8" s="60">
        <f>VLOOKUP(B8,'Feuerwaffen-Ressourcen'!$A$2:$AI$54,19,0)+VLOOKUP(C8,'Feuerwaffen-Ressourcen'!$A$2:$AI$54,19,0)+VLOOKUP(D8,'Feuerwaffen-Ressourcen'!$A$2:$AI$54,19,0)+VLOOKUP(F8,'Feuerwaffen-Ressourcen'!$A$2:$AI$54,19,0)+VLOOKUP(G8,'Feuerwaffen-Ressourcen'!$A$2:$AI$54,19,0)+VLOOKUP(I8,'Feuerwaffen-Ressourcen'!$A$2:$AI$54,19,0)+VLOOKUP(J8,'Feuerwaffen-Ressourcen'!$A$2:$AI$54,19,0)</f>
        <v>1</v>
      </c>
      <c r="T8" s="60">
        <f>VLOOKUP(B8,'Feuerwaffen-Ressourcen'!$A$2:$AI$54,20,0)+VLOOKUP(C8,'Feuerwaffen-Ressourcen'!$A$2:$AI$54,20,0)+VLOOKUP(D8,'Feuerwaffen-Ressourcen'!$A$2:$AI$54,20,0)+VLOOKUP(F8,'Feuerwaffen-Ressourcen'!$A$2:$AI$54,20,0)+VLOOKUP(G8,'Feuerwaffen-Ressourcen'!$A$2:$AI$54,20,0)+VLOOKUP(I8,'Feuerwaffen-Ressourcen'!$A$2:$AI$54,20,0)+VLOOKUP(J8,'Feuerwaffen-Ressourcen'!$A$2:$AI$54,20,0)</f>
        <v>-7</v>
      </c>
      <c r="U8" s="60">
        <f>VLOOKUP(B8,'Feuerwaffen-Ressourcen'!$A$2:$AI$54,21,0)+VLOOKUP(C8,'Feuerwaffen-Ressourcen'!$A$2:$AI$54,21,0)+VLOOKUP(D8,'Feuerwaffen-Ressourcen'!$A$2:$AI$54,21,0)+VLOOKUP(F8,'Feuerwaffen-Ressourcen'!$A$2:$AI$54,21,0)+VLOOKUP(G8,'Feuerwaffen-Ressourcen'!$A$2:$AI$54,21,0)+VLOOKUP(I8,'Feuerwaffen-Ressourcen'!$A$2:$AI$54,21,0)+VLOOKUP(J8,'Feuerwaffen-Ressourcen'!$A$2:$AI$54,21,0)</f>
        <v>-15</v>
      </c>
      <c r="V8" s="60">
        <f>VLOOKUP(B8,'Feuerwaffen-Ressourcen'!$A$2:$AI$54,22,0)+VLOOKUP(C8,'Feuerwaffen-Ressourcen'!$A$2:$AI$54,22,0)+VLOOKUP(D8,'Feuerwaffen-Ressourcen'!$A$2:$AI$54,22,0)+VLOOKUP(F8,'Feuerwaffen-Ressourcen'!$A$2:$AI$54,22,0)+VLOOKUP(G8,'Feuerwaffen-Ressourcen'!$A$2:$AI$54,22,0)+VLOOKUP(I8,'Feuerwaffen-Ressourcen'!$A$2:$AI$54,22,0)+VLOOKUP(J8,'Feuerwaffen-Ressourcen'!$A$2:$AI$54,22,0)</f>
        <v>-25</v>
      </c>
      <c r="W8" s="60">
        <f>VLOOKUP(B8,'Feuerwaffen-Ressourcen'!$A$2:$AI$54,23,0)+VLOOKUP(C8,'Feuerwaffen-Ressourcen'!$A$2:$AI$54,23,0)+VLOOKUP(D8,'Feuerwaffen-Ressourcen'!$A$2:$AI$54,23,0)+VLOOKUP(F8,'Feuerwaffen-Ressourcen'!$A$2:$AI$54,23,0)+VLOOKUP(G8,'Feuerwaffen-Ressourcen'!$A$2:$AI$54,23,0)+VLOOKUP(I8,'Feuerwaffen-Ressourcen'!$A$2:$AI$54,23,0)+VLOOKUP(J8,'Feuerwaffen-Ressourcen'!$A$2:$AI$54,23,0)</f>
        <v>-36</v>
      </c>
      <c r="X8" s="60">
        <f>VLOOKUP(B8,'Feuerwaffen-Ressourcen'!$A$2:$AI$54,24,0)+VLOOKUP(C8,'Feuerwaffen-Ressourcen'!$A$2:$AI$54,24,0)+VLOOKUP(D8,'Feuerwaffen-Ressourcen'!$A$2:$AI$54,24,0)+VLOOKUP(G8,'Feuerwaffen-Ressourcen'!$A$2:$AI$54,24,0)</f>
        <v>30</v>
      </c>
      <c r="Y8" s="60">
        <f>VLOOKUP(D8,'Feuerwaffen-Ressourcen'!$A$2:$AI$54,25,0)+VLOOKUP(E8,'Feuerwaffen-Ressourcen'!$A$2:$AI$54,25,0)+VLOOKUP(F8,'Feuerwaffen-Ressourcen'!$A$2:$AI$54,25,0)</f>
        <v>11</v>
      </c>
      <c r="Z8" s="60">
        <f>VLOOKUP(E8,'Feuerwaffen-Ressourcen'!$A$2:$AI$54,26,0)</f>
        <v>6</v>
      </c>
      <c r="AA8" s="60">
        <f>VLOOKUP(B8,'Feuerwaffen-Ressourcen'!$A$2:$AI$54,27,0)+VLOOKUP(D8,'Feuerwaffen-Ressourcen'!$A$2:$AI$54,27,0)+VLOOKUP(F8,'Feuerwaffen-Ressourcen'!$A$2:$AI$54,27,0)+VLOOKUP(I8,'Feuerwaffen-Ressourcen'!$A$2:$AI$54,27,0)</f>
        <v>-1</v>
      </c>
      <c r="AB8" s="60">
        <f>VLOOKUP(B8,'Feuerwaffen-Ressourcen'!$A$2:$AI$54,28,0)+VLOOKUP(C8,'Feuerwaffen-Ressourcen'!$A$2:$AI$54,28,0)+VLOOKUP(D8,'Feuerwaffen-Ressourcen'!$A$2:$AI$54,28,0)+VLOOKUP(E8,'Feuerwaffen-Ressourcen'!$A$2:$AI$54,28,0)+VLOOKUP(F8,'Feuerwaffen-Ressourcen'!$A$2:$AI$54,28,0)+VLOOKUP(G8,'Feuerwaffen-Ressourcen'!$A$2:$AI$54,28,0)+VLOOKUP(I8,'Feuerwaffen-Ressourcen'!$A$2:$AI$54,28,0)+VLOOKUP(J8,'Feuerwaffen-Ressourcen'!$A$2:$AI$54,28,0)</f>
        <v>60</v>
      </c>
      <c r="AC8" s="63">
        <f>VLOOKUP(I8,'Feuerwaffen-Ressourcen'!$A$2:$AI$54,31,0)*AD8+AE8</f>
        <v>298.59999999999991</v>
      </c>
      <c r="AD8" s="64">
        <f>VLOOKUP(B8,'Feuerwaffen-Ressourcen'!$A$2:$AI$54,30,0)+VLOOKUP(C8,'Feuerwaffen-Ressourcen'!$A$2:$AI$54,30,0)+VLOOKUP(D8,'Feuerwaffen-Ressourcen'!$A$2:$AI$54,30,0)+VLOOKUP(F8,'Feuerwaffen-Ressourcen'!$A$2:$AI$54,30,0)+VLOOKUP(G8,'Feuerwaffen-Ressourcen'!$A$2:$AI$54,30,0)+VLOOKUP(I8,'Feuerwaffen-Ressourcen'!$A$2:$AI$54,30,0)+VLOOKUP(J8,'Feuerwaffen-Ressourcen'!$A$2:$AI$54,30,0)</f>
        <v>8.1999999999999993</v>
      </c>
      <c r="AE8" s="63">
        <f>(VLOOKUP(C8,'Feuerwaffen-Ressourcen'!$A$2:$AI$54,32,0)+VLOOKUP(I8,'Feuerwaffen-Ressourcen'!$A$2:$AI$54,32,0))*(VLOOKUP(B8,'Feuerwaffen-Ressourcen'!$A$2:$AI$54,34,0)+VLOOKUP(C8,'Feuerwaffen-Ressourcen'!$A$2:$AI$54,34,0)+VLOOKUP(D8,'Feuerwaffen-Ressourcen'!$A$2:$AI$54,34,0)+VLOOKUP(E8,'Feuerwaffen-Ressourcen'!$A$2:$AI$54,34,0)+VLOOKUP(G8,'Feuerwaffen-Ressourcen'!$A$2:$AI$54,34,0))+VLOOKUP(B8,'Feuerwaffen-Ressourcen'!$A$2:$AI$54,35,0)+VLOOKUP(C8,'Feuerwaffen-Ressourcen'!$A$2:$AI$54,35,0)+VLOOKUP(D8,'Feuerwaffen-Ressourcen'!$A$2:$AI$54,35,0)</f>
        <v>265.7999999999999</v>
      </c>
      <c r="AF8" s="65">
        <f>VLOOKUP(AB8,'Feuerwaffen-Ressourcen'!$AO$3:$AP$9,2,1)</f>
        <v>7</v>
      </c>
      <c r="AG8" s="65">
        <v>0</v>
      </c>
    </row>
    <row r="9" spans="1:33">
      <c r="A9" s="59" t="s">
        <v>7122</v>
      </c>
      <c r="B9" s="59" t="s">
        <v>1418</v>
      </c>
      <c r="C9" s="59" t="s">
        <v>7215</v>
      </c>
      <c r="D9" s="59" t="s">
        <v>7222</v>
      </c>
      <c r="E9" s="59" t="s">
        <v>7123</v>
      </c>
      <c r="F9" s="59" t="s">
        <v>7224</v>
      </c>
      <c r="G9" s="59" t="s">
        <v>7225</v>
      </c>
      <c r="H9" s="59" t="s">
        <v>7124</v>
      </c>
      <c r="I9" s="59" t="s">
        <v>5768</v>
      </c>
      <c r="J9" s="59" t="s">
        <v>5748</v>
      </c>
      <c r="K9" s="61">
        <f>VLOOKUP(B9,'Feuerwaffen-Ressourcen'!$A$2:$AI$54,11,0)+VLOOKUP(C9,'Feuerwaffen-Ressourcen'!$A$2:$AI$54,11,0)+VLOOKUP(D9,'Feuerwaffen-Ressourcen'!$A$2:$AI$54,11,0)+VLOOKUP(E9,'Feuerwaffen-Ressourcen'!$A$2:$AI$54,11,0)+VLOOKUP(G9,'Feuerwaffen-Ressourcen'!$A$2:$AI$54,11,0)</f>
        <v>4.1500000000000004</v>
      </c>
      <c r="L9" s="60">
        <f>VLOOKUP(B9,'Feuerwaffen-Ressourcen'!$A$2:$AI$54,12,0)+VLOOKUP(C9,'Feuerwaffen-Ressourcen'!$A$2:$AI$54,12,0)+VLOOKUP(D9,'Feuerwaffen-Ressourcen'!$A$2:$AI$54,12,0)+VLOOKUP(J9,'Feuerwaffen-Ressourcen'!$A$2:$AI$54,12,0)</f>
        <v>10</v>
      </c>
      <c r="M9" s="60" t="str">
        <f>VLOOKUP(VLOOKUP(B9,'Feuerwaffen-Ressourcen'!$A$2:$AI$54,13,0)+VLOOKUP(C9,'Feuerwaffen-Ressourcen'!$A$2:$AI$54,13,0)+VLOOKUP(D9,'Feuerwaffen-Ressourcen'!$A$2:$AI$54,13,0),'Feuerwaffen-Ressourcen'!$AJ$3:$AK$12,2,0)</f>
        <v>W12</v>
      </c>
      <c r="N9" s="60" t="str">
        <f>VLOOKUP(VLOOKUP(B9,'Feuerwaffen-Ressourcen'!$A$2:$AI$54,14,0)+VLOOKUP(C9,'Feuerwaffen-Ressourcen'!$A$2:$AI$54,14,0)+VLOOKUP(D9,'Feuerwaffen-Ressourcen'!$A$2:$AI$54,14,0),'Feuerwaffen-Ressourcen'!$AJ$3:$AK$12,2,0)</f>
        <v>W10</v>
      </c>
      <c r="O9" s="60">
        <f>VLOOKUP(B9,'Feuerwaffen-Ressourcen'!$A$2:$AI$54,15,0)+VLOOKUP(C9,'Feuerwaffen-Ressourcen'!$A$2:$AI$54,15,0)+VLOOKUP(D9,'Feuerwaffen-Ressourcen'!$A$2:$AI$54,15,0)</f>
        <v>1</v>
      </c>
      <c r="P9" s="60">
        <f>VLOOKUP(B9,'Feuerwaffen-Ressourcen'!$A$2:$AI$54,16,0)+VLOOKUP(C9,'Feuerwaffen-Ressourcen'!$A$2:$AI$54,16,0)+VLOOKUP(D9,'Feuerwaffen-Ressourcen'!$A$2:$AI$54,16,0)+VLOOKUP(E9,'Feuerwaffen-Ressourcen'!$A$2:$AI$54,16,0)</f>
        <v>17</v>
      </c>
      <c r="Q9" s="62">
        <f>VLOOKUP(B9,'Feuerwaffen-Ressourcen'!$A$2:$AI$54,17,0)+VLOOKUP(C9,'Feuerwaffen-Ressourcen'!$A$2:$AI$54,17,0)+VLOOKUP(D9,'Feuerwaffen-Ressourcen'!$A$2:$AI$54,17,0)+VLOOKUP(E9,'Feuerwaffen-Ressourcen'!$A$2:$AI$54,17,0)</f>
        <v>12</v>
      </c>
      <c r="R9" s="60">
        <f>VLOOKUP(B9,'Feuerwaffen-Ressourcen'!$A$2:$AI$54,18,0)+VLOOKUP(C9,'Feuerwaffen-Ressourcen'!$A$2:$AI$54,18,0)+VLOOKUP(D9,'Feuerwaffen-Ressourcen'!$A$2:$AI$54,18,0)+VLOOKUP(F9,'Feuerwaffen-Ressourcen'!$A$2:$AI$54,18,0)+VLOOKUP(G9,'Feuerwaffen-Ressourcen'!$A$2:$AI$54,18,0)+VLOOKUP(I9,'Feuerwaffen-Ressourcen'!$A$2:$AI$54,18,0)+VLOOKUP(J9,'Feuerwaffen-Ressourcen'!$A$2:$AI$54,18,0)</f>
        <v>11</v>
      </c>
      <c r="S9" s="60">
        <f>VLOOKUP(B9,'Feuerwaffen-Ressourcen'!$A$2:$AI$54,19,0)+VLOOKUP(C9,'Feuerwaffen-Ressourcen'!$A$2:$AI$54,19,0)+VLOOKUP(D9,'Feuerwaffen-Ressourcen'!$A$2:$AI$54,19,0)+VLOOKUP(F9,'Feuerwaffen-Ressourcen'!$A$2:$AI$54,19,0)+VLOOKUP(G9,'Feuerwaffen-Ressourcen'!$A$2:$AI$54,19,0)+VLOOKUP(I9,'Feuerwaffen-Ressourcen'!$A$2:$AI$54,19,0)+VLOOKUP(J9,'Feuerwaffen-Ressourcen'!$A$2:$AI$54,19,0)</f>
        <v>4</v>
      </c>
      <c r="T9" s="60">
        <f>VLOOKUP(B9,'Feuerwaffen-Ressourcen'!$A$2:$AI$54,20,0)+VLOOKUP(C9,'Feuerwaffen-Ressourcen'!$A$2:$AI$54,20,0)+VLOOKUP(D9,'Feuerwaffen-Ressourcen'!$A$2:$AI$54,20,0)+VLOOKUP(F9,'Feuerwaffen-Ressourcen'!$A$2:$AI$54,20,0)+VLOOKUP(G9,'Feuerwaffen-Ressourcen'!$A$2:$AI$54,20,0)+VLOOKUP(I9,'Feuerwaffen-Ressourcen'!$A$2:$AI$54,20,0)+VLOOKUP(J9,'Feuerwaffen-Ressourcen'!$A$2:$AI$54,20,0)</f>
        <v>-4</v>
      </c>
      <c r="U9" s="60">
        <f>VLOOKUP(B9,'Feuerwaffen-Ressourcen'!$A$2:$AI$54,21,0)+VLOOKUP(C9,'Feuerwaffen-Ressourcen'!$A$2:$AI$54,21,0)+VLOOKUP(D9,'Feuerwaffen-Ressourcen'!$A$2:$AI$54,21,0)+VLOOKUP(F9,'Feuerwaffen-Ressourcen'!$A$2:$AI$54,21,0)+VLOOKUP(G9,'Feuerwaffen-Ressourcen'!$A$2:$AI$54,21,0)+VLOOKUP(I9,'Feuerwaffen-Ressourcen'!$A$2:$AI$54,21,0)+VLOOKUP(J9,'Feuerwaffen-Ressourcen'!$A$2:$AI$54,21,0)</f>
        <v>-13</v>
      </c>
      <c r="V9" s="60">
        <f>VLOOKUP(B9,'Feuerwaffen-Ressourcen'!$A$2:$AI$54,22,0)+VLOOKUP(C9,'Feuerwaffen-Ressourcen'!$A$2:$AI$54,22,0)+VLOOKUP(D9,'Feuerwaffen-Ressourcen'!$A$2:$AI$54,22,0)+VLOOKUP(F9,'Feuerwaffen-Ressourcen'!$A$2:$AI$54,22,0)+VLOOKUP(G9,'Feuerwaffen-Ressourcen'!$A$2:$AI$54,22,0)+VLOOKUP(I9,'Feuerwaffen-Ressourcen'!$A$2:$AI$54,22,0)+VLOOKUP(J9,'Feuerwaffen-Ressourcen'!$A$2:$AI$54,22,0)</f>
        <v>-24</v>
      </c>
      <c r="W9" s="60">
        <f>VLOOKUP(B9,'Feuerwaffen-Ressourcen'!$A$2:$AI$54,23,0)+VLOOKUP(C9,'Feuerwaffen-Ressourcen'!$A$2:$AI$54,23,0)+VLOOKUP(D9,'Feuerwaffen-Ressourcen'!$A$2:$AI$54,23,0)+VLOOKUP(F9,'Feuerwaffen-Ressourcen'!$A$2:$AI$54,23,0)+VLOOKUP(G9,'Feuerwaffen-Ressourcen'!$A$2:$AI$54,23,0)+VLOOKUP(I9,'Feuerwaffen-Ressourcen'!$A$2:$AI$54,23,0)+VLOOKUP(J9,'Feuerwaffen-Ressourcen'!$A$2:$AI$54,23,0)</f>
        <v>-35</v>
      </c>
      <c r="X9" s="60">
        <f>VLOOKUP(B9,'Feuerwaffen-Ressourcen'!$A$2:$AI$54,24,0)+VLOOKUP(C9,'Feuerwaffen-Ressourcen'!$A$2:$AI$54,24,0)+VLOOKUP(D9,'Feuerwaffen-Ressourcen'!$A$2:$AI$54,24,0)+VLOOKUP(G9,'Feuerwaffen-Ressourcen'!$A$2:$AI$54,24,0)</f>
        <v>60</v>
      </c>
      <c r="Y9" s="60">
        <f>VLOOKUP(D9,'Feuerwaffen-Ressourcen'!$A$2:$AI$54,25,0)+VLOOKUP(E9,'Feuerwaffen-Ressourcen'!$A$2:$AI$54,25,0)+VLOOKUP(F9,'Feuerwaffen-Ressourcen'!$A$2:$AI$54,25,0)</f>
        <v>9</v>
      </c>
      <c r="Z9" s="60">
        <f>VLOOKUP(E9,'Feuerwaffen-Ressourcen'!$A$2:$AI$54,26,0)</f>
        <v>6</v>
      </c>
      <c r="AA9" s="60">
        <f>VLOOKUP(B9,'Feuerwaffen-Ressourcen'!$A$2:$AI$54,27,0)+VLOOKUP(D9,'Feuerwaffen-Ressourcen'!$A$2:$AI$54,27,0)+VLOOKUP(F9,'Feuerwaffen-Ressourcen'!$A$2:$AI$54,27,0)+VLOOKUP(I9,'Feuerwaffen-Ressourcen'!$A$2:$AI$54,27,0)</f>
        <v>-2</v>
      </c>
      <c r="AB9" s="60">
        <f>VLOOKUP(B9,'Feuerwaffen-Ressourcen'!$A$2:$AI$54,28,0)+VLOOKUP(C9,'Feuerwaffen-Ressourcen'!$A$2:$AI$54,28,0)+VLOOKUP(D9,'Feuerwaffen-Ressourcen'!$A$2:$AI$54,28,0)+VLOOKUP(E9,'Feuerwaffen-Ressourcen'!$A$2:$AI$54,28,0)+VLOOKUP(F9,'Feuerwaffen-Ressourcen'!$A$2:$AI$54,28,0)+VLOOKUP(G9,'Feuerwaffen-Ressourcen'!$A$2:$AI$54,28,0)+VLOOKUP(I9,'Feuerwaffen-Ressourcen'!$A$2:$AI$54,28,0)+VLOOKUP(J9,'Feuerwaffen-Ressourcen'!$A$2:$AI$54,28,0)</f>
        <v>30</v>
      </c>
      <c r="AC9" s="63">
        <f>VLOOKUP(I9,'Feuerwaffen-Ressourcen'!$A$2:$AI$54,31,0)*AD9+AE9</f>
        <v>326.59999999999991</v>
      </c>
      <c r="AD9" s="64">
        <f>VLOOKUP(B9,'Feuerwaffen-Ressourcen'!$A$2:$AI$54,30,0)+VLOOKUP(C9,'Feuerwaffen-Ressourcen'!$A$2:$AI$54,30,0)+VLOOKUP(D9,'Feuerwaffen-Ressourcen'!$A$2:$AI$54,30,0)+VLOOKUP(F9,'Feuerwaffen-Ressourcen'!$A$2:$AI$54,30,0)+VLOOKUP(G9,'Feuerwaffen-Ressourcen'!$A$2:$AI$54,30,0)+VLOOKUP(I9,'Feuerwaffen-Ressourcen'!$A$2:$AI$54,30,0)+VLOOKUP(J9,'Feuerwaffen-Ressourcen'!$A$2:$AI$54,30,0)</f>
        <v>10.7</v>
      </c>
      <c r="AE9" s="63">
        <f>(VLOOKUP(C9,'Feuerwaffen-Ressourcen'!$A$2:$AI$54,32,0)+VLOOKUP(I9,'Feuerwaffen-Ressourcen'!$A$2:$AI$54,32,0))*(VLOOKUP(B9,'Feuerwaffen-Ressourcen'!$A$2:$AI$54,34,0)+VLOOKUP(C9,'Feuerwaffen-Ressourcen'!$A$2:$AI$54,34,0)+VLOOKUP(D9,'Feuerwaffen-Ressourcen'!$A$2:$AI$54,34,0)+VLOOKUP(E9,'Feuerwaffen-Ressourcen'!$A$2:$AI$54,34,0)+VLOOKUP(G9,'Feuerwaffen-Ressourcen'!$A$2:$AI$54,34,0))+VLOOKUP(B9,'Feuerwaffen-Ressourcen'!$A$2:$AI$54,35,0)+VLOOKUP(C9,'Feuerwaffen-Ressourcen'!$A$2:$AI$54,35,0)+VLOOKUP(D9,'Feuerwaffen-Ressourcen'!$A$2:$AI$54,35,0)</f>
        <v>283.7999999999999</v>
      </c>
      <c r="AF9" s="65">
        <f>VLOOKUP(AB9,'Feuerwaffen-Ressourcen'!$AO$3:$AP$9,2,1)</f>
        <v>7</v>
      </c>
      <c r="AG9" s="65">
        <v>0</v>
      </c>
    </row>
    <row r="10" spans="1:33">
      <c r="A10" s="59" t="s">
        <v>7125</v>
      </c>
      <c r="B10" s="59" t="s">
        <v>1418</v>
      </c>
      <c r="C10" s="59" t="s">
        <v>7215</v>
      </c>
      <c r="D10" s="59" t="s">
        <v>7206</v>
      </c>
      <c r="E10" s="59" t="s">
        <v>6501</v>
      </c>
      <c r="F10" s="59" t="s">
        <v>7221</v>
      </c>
      <c r="G10" s="59" t="s">
        <v>7217</v>
      </c>
      <c r="H10" s="59" t="s">
        <v>6514</v>
      </c>
      <c r="I10" s="59" t="s">
        <v>5768</v>
      </c>
      <c r="J10" s="59" t="s">
        <v>5748</v>
      </c>
      <c r="K10" s="61">
        <f>VLOOKUP(B10,'Feuerwaffen-Ressourcen'!$A$2:$AI$54,11,0)+VLOOKUP(C10,'Feuerwaffen-Ressourcen'!$A$2:$AI$54,11,0)+VLOOKUP(D10,'Feuerwaffen-Ressourcen'!$A$2:$AI$54,11,0)+VLOOKUP(E10,'Feuerwaffen-Ressourcen'!$A$2:$AI$54,11,0)+VLOOKUP(G10,'Feuerwaffen-Ressourcen'!$A$2:$AI$54,11,0)</f>
        <v>4.8</v>
      </c>
      <c r="L10" s="60">
        <f>VLOOKUP(B10,'Feuerwaffen-Ressourcen'!$A$2:$AI$54,12,0)+VLOOKUP(C10,'Feuerwaffen-Ressourcen'!$A$2:$AI$54,12,0)+VLOOKUP(D10,'Feuerwaffen-Ressourcen'!$A$2:$AI$54,12,0)+VLOOKUP(J10,'Feuerwaffen-Ressourcen'!$A$2:$AI$54,12,0)</f>
        <v>11</v>
      </c>
      <c r="M10" s="60" t="str">
        <f>VLOOKUP(VLOOKUP(B10,'Feuerwaffen-Ressourcen'!$A$2:$AI$54,13,0)+VLOOKUP(C10,'Feuerwaffen-Ressourcen'!$A$2:$AI$54,13,0)+VLOOKUP(D10,'Feuerwaffen-Ressourcen'!$A$2:$AI$54,13,0),'Feuerwaffen-Ressourcen'!$AJ$3:$AK$12,2,0)</f>
        <v>W12</v>
      </c>
      <c r="N10" s="60" t="str">
        <f>VLOOKUP(VLOOKUP(B10,'Feuerwaffen-Ressourcen'!$A$2:$AI$54,14,0)+VLOOKUP(C10,'Feuerwaffen-Ressourcen'!$A$2:$AI$54,14,0)+VLOOKUP(D10,'Feuerwaffen-Ressourcen'!$A$2:$AI$54,14,0),'Feuerwaffen-Ressourcen'!$AJ$3:$AK$12,2,0)</f>
        <v>W10</v>
      </c>
      <c r="O10" s="60">
        <f>VLOOKUP(B10,'Feuerwaffen-Ressourcen'!$A$2:$AI$54,15,0)+VLOOKUP(C10,'Feuerwaffen-Ressourcen'!$A$2:$AI$54,15,0)+VLOOKUP(D10,'Feuerwaffen-Ressourcen'!$A$2:$AI$54,15,0)</f>
        <v>1</v>
      </c>
      <c r="P10" s="60">
        <f>VLOOKUP(B10,'Feuerwaffen-Ressourcen'!$A$2:$AI$54,16,0)+VLOOKUP(C10,'Feuerwaffen-Ressourcen'!$A$2:$AI$54,16,0)+VLOOKUP(D10,'Feuerwaffen-Ressourcen'!$A$2:$AI$54,16,0)+VLOOKUP(E10,'Feuerwaffen-Ressourcen'!$A$2:$AI$54,16,0)</f>
        <v>11</v>
      </c>
      <c r="Q10" s="62">
        <f>VLOOKUP(B10,'Feuerwaffen-Ressourcen'!$A$2:$AI$54,17,0)+VLOOKUP(C10,'Feuerwaffen-Ressourcen'!$A$2:$AI$54,17,0)+VLOOKUP(D10,'Feuerwaffen-Ressourcen'!$A$2:$AI$54,17,0)+VLOOKUP(E10,'Feuerwaffen-Ressourcen'!$A$2:$AI$54,17,0)</f>
        <v>18</v>
      </c>
      <c r="R10" s="60">
        <f>VLOOKUP(B10,'Feuerwaffen-Ressourcen'!$A$2:$AI$54,18,0)+VLOOKUP(C10,'Feuerwaffen-Ressourcen'!$A$2:$AI$54,18,0)+VLOOKUP(D10,'Feuerwaffen-Ressourcen'!$A$2:$AI$54,18,0)+VLOOKUP(F10,'Feuerwaffen-Ressourcen'!$A$2:$AI$54,18,0)+VLOOKUP(G10,'Feuerwaffen-Ressourcen'!$A$2:$AI$54,18,0)+VLOOKUP(I10,'Feuerwaffen-Ressourcen'!$A$2:$AI$54,18,0)+VLOOKUP(J10,'Feuerwaffen-Ressourcen'!$A$2:$AI$54,18,0)</f>
        <v>5</v>
      </c>
      <c r="S10" s="60">
        <f>VLOOKUP(B10,'Feuerwaffen-Ressourcen'!$A$2:$AI$54,19,0)+VLOOKUP(C10,'Feuerwaffen-Ressourcen'!$A$2:$AI$54,19,0)+VLOOKUP(D10,'Feuerwaffen-Ressourcen'!$A$2:$AI$54,19,0)+VLOOKUP(F10,'Feuerwaffen-Ressourcen'!$A$2:$AI$54,19,0)+VLOOKUP(G10,'Feuerwaffen-Ressourcen'!$A$2:$AI$54,19,0)+VLOOKUP(I10,'Feuerwaffen-Ressourcen'!$A$2:$AI$54,19,0)+VLOOKUP(J10,'Feuerwaffen-Ressourcen'!$A$2:$AI$54,19,0)</f>
        <v>-1</v>
      </c>
      <c r="T10" s="60">
        <f>VLOOKUP(B10,'Feuerwaffen-Ressourcen'!$A$2:$AI$54,20,0)+VLOOKUP(C10,'Feuerwaffen-Ressourcen'!$A$2:$AI$54,20,0)+VLOOKUP(D10,'Feuerwaffen-Ressourcen'!$A$2:$AI$54,20,0)+VLOOKUP(F10,'Feuerwaffen-Ressourcen'!$A$2:$AI$54,20,0)+VLOOKUP(G10,'Feuerwaffen-Ressourcen'!$A$2:$AI$54,20,0)+VLOOKUP(I10,'Feuerwaffen-Ressourcen'!$A$2:$AI$54,20,0)+VLOOKUP(J10,'Feuerwaffen-Ressourcen'!$A$2:$AI$54,20,0)</f>
        <v>-7</v>
      </c>
      <c r="U10" s="60">
        <f>VLOOKUP(B10,'Feuerwaffen-Ressourcen'!$A$2:$AI$54,21,0)+VLOOKUP(C10,'Feuerwaffen-Ressourcen'!$A$2:$AI$54,21,0)+VLOOKUP(D10,'Feuerwaffen-Ressourcen'!$A$2:$AI$54,21,0)+VLOOKUP(F10,'Feuerwaffen-Ressourcen'!$A$2:$AI$54,21,0)+VLOOKUP(G10,'Feuerwaffen-Ressourcen'!$A$2:$AI$54,21,0)+VLOOKUP(I10,'Feuerwaffen-Ressourcen'!$A$2:$AI$54,21,0)+VLOOKUP(J10,'Feuerwaffen-Ressourcen'!$A$2:$AI$54,21,0)</f>
        <v>-13</v>
      </c>
      <c r="V10" s="60">
        <f>VLOOKUP(B10,'Feuerwaffen-Ressourcen'!$A$2:$AI$54,22,0)+VLOOKUP(C10,'Feuerwaffen-Ressourcen'!$A$2:$AI$54,22,0)+VLOOKUP(D10,'Feuerwaffen-Ressourcen'!$A$2:$AI$54,22,0)+VLOOKUP(F10,'Feuerwaffen-Ressourcen'!$A$2:$AI$54,22,0)+VLOOKUP(G10,'Feuerwaffen-Ressourcen'!$A$2:$AI$54,22,0)+VLOOKUP(I10,'Feuerwaffen-Ressourcen'!$A$2:$AI$54,22,0)+VLOOKUP(J10,'Feuerwaffen-Ressourcen'!$A$2:$AI$54,22,0)</f>
        <v>-21</v>
      </c>
      <c r="W10" s="60">
        <f>VLOOKUP(B10,'Feuerwaffen-Ressourcen'!$A$2:$AI$54,23,0)+VLOOKUP(C10,'Feuerwaffen-Ressourcen'!$A$2:$AI$54,23,0)+VLOOKUP(D10,'Feuerwaffen-Ressourcen'!$A$2:$AI$54,23,0)+VLOOKUP(F10,'Feuerwaffen-Ressourcen'!$A$2:$AI$54,23,0)+VLOOKUP(G10,'Feuerwaffen-Ressourcen'!$A$2:$AI$54,23,0)+VLOOKUP(I10,'Feuerwaffen-Ressourcen'!$A$2:$AI$54,23,0)+VLOOKUP(J10,'Feuerwaffen-Ressourcen'!$A$2:$AI$54,23,0)</f>
        <v>-30</v>
      </c>
      <c r="X10" s="60">
        <f>VLOOKUP(B10,'Feuerwaffen-Ressourcen'!$A$2:$AI$54,24,0)+VLOOKUP(C10,'Feuerwaffen-Ressourcen'!$A$2:$AI$54,24,0)+VLOOKUP(D10,'Feuerwaffen-Ressourcen'!$A$2:$AI$54,24,0)+VLOOKUP(G10,'Feuerwaffen-Ressourcen'!$A$2:$AI$54,24,0)</f>
        <v>40</v>
      </c>
      <c r="Y10" s="60">
        <f>VLOOKUP(D10,'Feuerwaffen-Ressourcen'!$A$2:$AI$54,25,0)+VLOOKUP(E10,'Feuerwaffen-Ressourcen'!$A$2:$AI$54,25,0)+VLOOKUP(F10,'Feuerwaffen-Ressourcen'!$A$2:$AI$54,25,0)</f>
        <v>30</v>
      </c>
      <c r="Z10" s="60">
        <f>VLOOKUP(E10,'Feuerwaffen-Ressourcen'!$A$2:$AI$54,26,0)</f>
        <v>3</v>
      </c>
      <c r="AA10" s="60">
        <f>VLOOKUP(B10,'Feuerwaffen-Ressourcen'!$A$2:$AI$54,27,0)+VLOOKUP(D10,'Feuerwaffen-Ressourcen'!$A$2:$AI$54,27,0)+VLOOKUP(F10,'Feuerwaffen-Ressourcen'!$A$2:$AI$54,27,0)+VLOOKUP(I10,'Feuerwaffen-Ressourcen'!$A$2:$AI$54,27,0)</f>
        <v>1</v>
      </c>
      <c r="AB10" s="60">
        <f>VLOOKUP(B10,'Feuerwaffen-Ressourcen'!$A$2:$AI$54,28,0)+VLOOKUP(C10,'Feuerwaffen-Ressourcen'!$A$2:$AI$54,28,0)+VLOOKUP(D10,'Feuerwaffen-Ressourcen'!$A$2:$AI$54,28,0)+VLOOKUP(E10,'Feuerwaffen-Ressourcen'!$A$2:$AI$54,28,0)+VLOOKUP(F10,'Feuerwaffen-Ressourcen'!$A$2:$AI$54,28,0)+VLOOKUP(G10,'Feuerwaffen-Ressourcen'!$A$2:$AI$54,28,0)+VLOOKUP(I10,'Feuerwaffen-Ressourcen'!$A$2:$AI$54,28,0)+VLOOKUP(J10,'Feuerwaffen-Ressourcen'!$A$2:$AI$54,28,0)</f>
        <v>100</v>
      </c>
      <c r="AC10" s="63">
        <f>VLOOKUP(I10,'Feuerwaffen-Ressourcen'!$A$2:$AI$54,31,0)*AD10+AE10</f>
        <v>374.7</v>
      </c>
      <c r="AD10" s="64">
        <f>VLOOKUP(B10,'Feuerwaffen-Ressourcen'!$A$2:$AI$54,30,0)+VLOOKUP(C10,'Feuerwaffen-Ressourcen'!$A$2:$AI$54,30,0)+VLOOKUP(D10,'Feuerwaffen-Ressourcen'!$A$2:$AI$54,30,0)+VLOOKUP(F10,'Feuerwaffen-Ressourcen'!$A$2:$AI$54,30,0)+VLOOKUP(G10,'Feuerwaffen-Ressourcen'!$A$2:$AI$54,30,0)+VLOOKUP(I10,'Feuerwaffen-Ressourcen'!$A$2:$AI$54,30,0)+VLOOKUP(J10,'Feuerwaffen-Ressourcen'!$A$2:$AI$54,30,0)</f>
        <v>6.1999999999999993</v>
      </c>
      <c r="AE10" s="63">
        <f>(VLOOKUP(C10,'Feuerwaffen-Ressourcen'!$A$2:$AI$54,32,0)+VLOOKUP(I10,'Feuerwaffen-Ressourcen'!$A$2:$AI$54,32,0))*(VLOOKUP(B10,'Feuerwaffen-Ressourcen'!$A$2:$AI$54,34,0)+VLOOKUP(C10,'Feuerwaffen-Ressourcen'!$A$2:$AI$54,34,0)+VLOOKUP(D10,'Feuerwaffen-Ressourcen'!$A$2:$AI$54,34,0)+VLOOKUP(E10,'Feuerwaffen-Ressourcen'!$A$2:$AI$54,34,0)+VLOOKUP(G10,'Feuerwaffen-Ressourcen'!$A$2:$AI$54,34,0))+VLOOKUP(B10,'Feuerwaffen-Ressourcen'!$A$2:$AI$54,35,0)+VLOOKUP(C10,'Feuerwaffen-Ressourcen'!$A$2:$AI$54,35,0)+VLOOKUP(D10,'Feuerwaffen-Ressourcen'!$A$2:$AI$54,35,0)</f>
        <v>349.9</v>
      </c>
      <c r="AF10" s="65">
        <f>VLOOKUP(AB10,'Feuerwaffen-Ressourcen'!$AO$3:$AP$9,2,1)</f>
        <v>5</v>
      </c>
      <c r="AG10" s="65">
        <v>0</v>
      </c>
    </row>
    <row r="11" spans="1:33">
      <c r="A11" s="59" t="s">
        <v>7126</v>
      </c>
      <c r="B11" s="59" t="s">
        <v>1418</v>
      </c>
      <c r="C11" s="59" t="s">
        <v>7215</v>
      </c>
      <c r="D11" s="59" t="s">
        <v>7206</v>
      </c>
      <c r="E11" s="59" t="s">
        <v>6505</v>
      </c>
      <c r="F11" s="59" t="s">
        <v>7223</v>
      </c>
      <c r="G11" s="59" t="s">
        <v>7217</v>
      </c>
      <c r="H11" s="59" t="s">
        <v>7121</v>
      </c>
      <c r="I11" s="59" t="s">
        <v>5768</v>
      </c>
      <c r="J11" s="59" t="s">
        <v>5748</v>
      </c>
      <c r="K11" s="61">
        <f>VLOOKUP(B11,'Feuerwaffen-Ressourcen'!$A$2:$AI$54,11,0)+VLOOKUP(C11,'Feuerwaffen-Ressourcen'!$A$2:$AI$54,11,0)+VLOOKUP(D11,'Feuerwaffen-Ressourcen'!$A$2:$AI$54,11,0)+VLOOKUP(E11,'Feuerwaffen-Ressourcen'!$A$2:$AI$54,11,0)+VLOOKUP(G11,'Feuerwaffen-Ressourcen'!$A$2:$AI$54,11,0)</f>
        <v>4.8999999999999995</v>
      </c>
      <c r="L11" s="60">
        <f>VLOOKUP(B11,'Feuerwaffen-Ressourcen'!$A$2:$AI$54,12,0)+VLOOKUP(C11,'Feuerwaffen-Ressourcen'!$A$2:$AI$54,12,0)+VLOOKUP(D11,'Feuerwaffen-Ressourcen'!$A$2:$AI$54,12,0)+VLOOKUP(J11,'Feuerwaffen-Ressourcen'!$A$2:$AI$54,12,0)</f>
        <v>11</v>
      </c>
      <c r="M11" s="60" t="str">
        <f>VLOOKUP(VLOOKUP(B11,'Feuerwaffen-Ressourcen'!$A$2:$AI$54,13,0)+VLOOKUP(C11,'Feuerwaffen-Ressourcen'!$A$2:$AI$54,13,0)+VLOOKUP(D11,'Feuerwaffen-Ressourcen'!$A$2:$AI$54,13,0),'Feuerwaffen-Ressourcen'!$AJ$3:$AK$12,2,0)</f>
        <v>W12</v>
      </c>
      <c r="N11" s="60" t="str">
        <f>VLOOKUP(VLOOKUP(B11,'Feuerwaffen-Ressourcen'!$A$2:$AI$54,14,0)+VLOOKUP(C11,'Feuerwaffen-Ressourcen'!$A$2:$AI$54,14,0)+VLOOKUP(D11,'Feuerwaffen-Ressourcen'!$A$2:$AI$54,14,0),'Feuerwaffen-Ressourcen'!$AJ$3:$AK$12,2,0)</f>
        <v>W10</v>
      </c>
      <c r="O11" s="60">
        <f>VLOOKUP(B11,'Feuerwaffen-Ressourcen'!$A$2:$AI$54,15,0)+VLOOKUP(C11,'Feuerwaffen-Ressourcen'!$A$2:$AI$54,15,0)+VLOOKUP(D11,'Feuerwaffen-Ressourcen'!$A$2:$AI$54,15,0)</f>
        <v>1</v>
      </c>
      <c r="P11" s="60">
        <f>VLOOKUP(B11,'Feuerwaffen-Ressourcen'!$A$2:$AI$54,16,0)+VLOOKUP(C11,'Feuerwaffen-Ressourcen'!$A$2:$AI$54,16,0)+VLOOKUP(D11,'Feuerwaffen-Ressourcen'!$A$2:$AI$54,16,0)+VLOOKUP(E11,'Feuerwaffen-Ressourcen'!$A$2:$AI$54,16,0)</f>
        <v>11</v>
      </c>
      <c r="Q11" s="62">
        <f>VLOOKUP(B11,'Feuerwaffen-Ressourcen'!$A$2:$AI$54,17,0)+VLOOKUP(C11,'Feuerwaffen-Ressourcen'!$A$2:$AI$54,17,0)+VLOOKUP(D11,'Feuerwaffen-Ressourcen'!$A$2:$AI$54,17,0)+VLOOKUP(E11,'Feuerwaffen-Ressourcen'!$A$2:$AI$54,17,0)</f>
        <v>18</v>
      </c>
      <c r="R11" s="60">
        <f>VLOOKUP(B11,'Feuerwaffen-Ressourcen'!$A$2:$AI$54,18,0)+VLOOKUP(C11,'Feuerwaffen-Ressourcen'!$A$2:$AI$54,18,0)+VLOOKUP(D11,'Feuerwaffen-Ressourcen'!$A$2:$AI$54,18,0)+VLOOKUP(F11,'Feuerwaffen-Ressourcen'!$A$2:$AI$54,18,0)+VLOOKUP(G11,'Feuerwaffen-Ressourcen'!$A$2:$AI$54,18,0)+VLOOKUP(I11,'Feuerwaffen-Ressourcen'!$A$2:$AI$54,18,0)+VLOOKUP(J11,'Feuerwaffen-Ressourcen'!$A$2:$AI$54,18,0)</f>
        <v>7</v>
      </c>
      <c r="S11" s="60">
        <f>VLOOKUP(B11,'Feuerwaffen-Ressourcen'!$A$2:$AI$54,19,0)+VLOOKUP(C11,'Feuerwaffen-Ressourcen'!$A$2:$AI$54,19,0)+VLOOKUP(D11,'Feuerwaffen-Ressourcen'!$A$2:$AI$54,19,0)+VLOOKUP(F11,'Feuerwaffen-Ressourcen'!$A$2:$AI$54,19,0)+VLOOKUP(G11,'Feuerwaffen-Ressourcen'!$A$2:$AI$54,19,0)+VLOOKUP(I11,'Feuerwaffen-Ressourcen'!$A$2:$AI$54,19,0)+VLOOKUP(J11,'Feuerwaffen-Ressourcen'!$A$2:$AI$54,19,0)</f>
        <v>1</v>
      </c>
      <c r="T11" s="60">
        <f>VLOOKUP(B11,'Feuerwaffen-Ressourcen'!$A$2:$AI$54,20,0)+VLOOKUP(C11,'Feuerwaffen-Ressourcen'!$A$2:$AI$54,20,0)+VLOOKUP(D11,'Feuerwaffen-Ressourcen'!$A$2:$AI$54,20,0)+VLOOKUP(F11,'Feuerwaffen-Ressourcen'!$A$2:$AI$54,20,0)+VLOOKUP(G11,'Feuerwaffen-Ressourcen'!$A$2:$AI$54,20,0)+VLOOKUP(I11,'Feuerwaffen-Ressourcen'!$A$2:$AI$54,20,0)+VLOOKUP(J11,'Feuerwaffen-Ressourcen'!$A$2:$AI$54,20,0)</f>
        <v>-5</v>
      </c>
      <c r="U11" s="60">
        <f>VLOOKUP(B11,'Feuerwaffen-Ressourcen'!$A$2:$AI$54,21,0)+VLOOKUP(C11,'Feuerwaffen-Ressourcen'!$A$2:$AI$54,21,0)+VLOOKUP(D11,'Feuerwaffen-Ressourcen'!$A$2:$AI$54,21,0)+VLOOKUP(F11,'Feuerwaffen-Ressourcen'!$A$2:$AI$54,21,0)+VLOOKUP(G11,'Feuerwaffen-Ressourcen'!$A$2:$AI$54,21,0)+VLOOKUP(I11,'Feuerwaffen-Ressourcen'!$A$2:$AI$54,21,0)+VLOOKUP(J11,'Feuerwaffen-Ressourcen'!$A$2:$AI$54,21,0)</f>
        <v>-11</v>
      </c>
      <c r="V11" s="60">
        <f>VLOOKUP(B11,'Feuerwaffen-Ressourcen'!$A$2:$AI$54,22,0)+VLOOKUP(C11,'Feuerwaffen-Ressourcen'!$A$2:$AI$54,22,0)+VLOOKUP(D11,'Feuerwaffen-Ressourcen'!$A$2:$AI$54,22,0)+VLOOKUP(F11,'Feuerwaffen-Ressourcen'!$A$2:$AI$54,22,0)+VLOOKUP(G11,'Feuerwaffen-Ressourcen'!$A$2:$AI$54,22,0)+VLOOKUP(I11,'Feuerwaffen-Ressourcen'!$A$2:$AI$54,22,0)+VLOOKUP(J11,'Feuerwaffen-Ressourcen'!$A$2:$AI$54,22,0)</f>
        <v>-19</v>
      </c>
      <c r="W11" s="60">
        <f>VLOOKUP(B11,'Feuerwaffen-Ressourcen'!$A$2:$AI$54,23,0)+VLOOKUP(C11,'Feuerwaffen-Ressourcen'!$A$2:$AI$54,23,0)+VLOOKUP(D11,'Feuerwaffen-Ressourcen'!$A$2:$AI$54,23,0)+VLOOKUP(F11,'Feuerwaffen-Ressourcen'!$A$2:$AI$54,23,0)+VLOOKUP(G11,'Feuerwaffen-Ressourcen'!$A$2:$AI$54,23,0)+VLOOKUP(I11,'Feuerwaffen-Ressourcen'!$A$2:$AI$54,23,0)+VLOOKUP(J11,'Feuerwaffen-Ressourcen'!$A$2:$AI$54,23,0)</f>
        <v>-28</v>
      </c>
      <c r="X11" s="60">
        <f>VLOOKUP(B11,'Feuerwaffen-Ressourcen'!$A$2:$AI$54,24,0)+VLOOKUP(C11,'Feuerwaffen-Ressourcen'!$A$2:$AI$54,24,0)+VLOOKUP(D11,'Feuerwaffen-Ressourcen'!$A$2:$AI$54,24,0)+VLOOKUP(G11,'Feuerwaffen-Ressourcen'!$A$2:$AI$54,24,0)</f>
        <v>40</v>
      </c>
      <c r="Y11" s="60">
        <f>VLOOKUP(D11,'Feuerwaffen-Ressourcen'!$A$2:$AI$54,25,0)+VLOOKUP(E11,'Feuerwaffen-Ressourcen'!$A$2:$AI$54,25,0)+VLOOKUP(F11,'Feuerwaffen-Ressourcen'!$A$2:$AI$54,25,0)</f>
        <v>11</v>
      </c>
      <c r="Z11" s="60">
        <f>VLOOKUP(E11,'Feuerwaffen-Ressourcen'!$A$2:$AI$54,26,0)</f>
        <v>6</v>
      </c>
      <c r="AA11" s="60">
        <f>VLOOKUP(B11,'Feuerwaffen-Ressourcen'!$A$2:$AI$54,27,0)+VLOOKUP(D11,'Feuerwaffen-Ressourcen'!$A$2:$AI$54,27,0)+VLOOKUP(F11,'Feuerwaffen-Ressourcen'!$A$2:$AI$54,27,0)+VLOOKUP(I11,'Feuerwaffen-Ressourcen'!$A$2:$AI$54,27,0)</f>
        <v>-1</v>
      </c>
      <c r="AB11" s="60">
        <f>VLOOKUP(B11,'Feuerwaffen-Ressourcen'!$A$2:$AI$54,28,0)+VLOOKUP(C11,'Feuerwaffen-Ressourcen'!$A$2:$AI$54,28,0)+VLOOKUP(D11,'Feuerwaffen-Ressourcen'!$A$2:$AI$54,28,0)+VLOOKUP(E11,'Feuerwaffen-Ressourcen'!$A$2:$AI$54,28,0)+VLOOKUP(F11,'Feuerwaffen-Ressourcen'!$A$2:$AI$54,28,0)+VLOOKUP(G11,'Feuerwaffen-Ressourcen'!$A$2:$AI$54,28,0)+VLOOKUP(I11,'Feuerwaffen-Ressourcen'!$A$2:$AI$54,28,0)+VLOOKUP(J11,'Feuerwaffen-Ressourcen'!$A$2:$AI$54,28,0)</f>
        <v>80</v>
      </c>
      <c r="AC11" s="63">
        <f>VLOOKUP(I11,'Feuerwaffen-Ressourcen'!$A$2:$AI$54,31,0)*AD11+AE11</f>
        <v>394.7</v>
      </c>
      <c r="AD11" s="64">
        <f>VLOOKUP(B11,'Feuerwaffen-Ressourcen'!$A$2:$AI$54,30,0)+VLOOKUP(C11,'Feuerwaffen-Ressourcen'!$A$2:$AI$54,30,0)+VLOOKUP(D11,'Feuerwaffen-Ressourcen'!$A$2:$AI$54,30,0)+VLOOKUP(F11,'Feuerwaffen-Ressourcen'!$A$2:$AI$54,30,0)+VLOOKUP(G11,'Feuerwaffen-Ressourcen'!$A$2:$AI$54,30,0)+VLOOKUP(I11,'Feuerwaffen-Ressourcen'!$A$2:$AI$54,30,0)+VLOOKUP(J11,'Feuerwaffen-Ressourcen'!$A$2:$AI$54,30,0)</f>
        <v>8.1999999999999993</v>
      </c>
      <c r="AE11" s="63">
        <f>(VLOOKUP(C11,'Feuerwaffen-Ressourcen'!$A$2:$AI$54,32,0)+VLOOKUP(I11,'Feuerwaffen-Ressourcen'!$A$2:$AI$54,32,0))*(VLOOKUP(B11,'Feuerwaffen-Ressourcen'!$A$2:$AI$54,34,0)+VLOOKUP(C11,'Feuerwaffen-Ressourcen'!$A$2:$AI$54,34,0)+VLOOKUP(D11,'Feuerwaffen-Ressourcen'!$A$2:$AI$54,34,0)+VLOOKUP(E11,'Feuerwaffen-Ressourcen'!$A$2:$AI$54,34,0)+VLOOKUP(G11,'Feuerwaffen-Ressourcen'!$A$2:$AI$54,34,0))+VLOOKUP(B11,'Feuerwaffen-Ressourcen'!$A$2:$AI$54,35,0)+VLOOKUP(C11,'Feuerwaffen-Ressourcen'!$A$2:$AI$54,35,0)+VLOOKUP(D11,'Feuerwaffen-Ressourcen'!$A$2:$AI$54,35,0)</f>
        <v>361.9</v>
      </c>
      <c r="AF11" s="65">
        <f>VLOOKUP(AB11,'Feuerwaffen-Ressourcen'!$AO$3:$AP$9,2,1)</f>
        <v>6</v>
      </c>
      <c r="AG11" s="65">
        <v>0</v>
      </c>
    </row>
    <row r="12" spans="1:33">
      <c r="A12" s="59" t="s">
        <v>7127</v>
      </c>
      <c r="B12" s="59" t="s">
        <v>1418</v>
      </c>
      <c r="C12" s="59" t="s">
        <v>7118</v>
      </c>
      <c r="D12" s="59" t="s">
        <v>7220</v>
      </c>
      <c r="E12" s="59" t="s">
        <v>7123</v>
      </c>
      <c r="F12" s="59" t="s">
        <v>7224</v>
      </c>
      <c r="G12" s="59" t="s">
        <v>7225</v>
      </c>
      <c r="H12" s="59" t="s">
        <v>7124</v>
      </c>
      <c r="I12" s="59" t="s">
        <v>5768</v>
      </c>
      <c r="J12" s="59" t="s">
        <v>5748</v>
      </c>
      <c r="K12" s="61">
        <f>VLOOKUP(B12,'Feuerwaffen-Ressourcen'!$A$2:$AI$54,11,0)+VLOOKUP(C12,'Feuerwaffen-Ressourcen'!$A$2:$AI$54,11,0)+VLOOKUP(D12,'Feuerwaffen-Ressourcen'!$A$2:$AI$54,11,0)+VLOOKUP(E12,'Feuerwaffen-Ressourcen'!$A$2:$AI$54,11,0)+VLOOKUP(G12,'Feuerwaffen-Ressourcen'!$A$2:$AI$54,11,0)</f>
        <v>2.8</v>
      </c>
      <c r="L12" s="60">
        <f>VLOOKUP(B12,'Feuerwaffen-Ressourcen'!$A$2:$AI$54,12,0)+VLOOKUP(C12,'Feuerwaffen-Ressourcen'!$A$2:$AI$54,12,0)+VLOOKUP(D12,'Feuerwaffen-Ressourcen'!$A$2:$AI$54,12,0)+VLOOKUP(J12,'Feuerwaffen-Ressourcen'!$A$2:$AI$54,12,0)</f>
        <v>8</v>
      </c>
      <c r="M12" s="60" t="str">
        <f>VLOOKUP(VLOOKUP(B12,'Feuerwaffen-Ressourcen'!$A$2:$AI$54,13,0)+VLOOKUP(C12,'Feuerwaffen-Ressourcen'!$A$2:$AI$54,13,0)+VLOOKUP(D12,'Feuerwaffen-Ressourcen'!$A$2:$AI$54,13,0),'Feuerwaffen-Ressourcen'!$AJ$3:$AK$12,2,0)</f>
        <v>W12</v>
      </c>
      <c r="N12" s="60" t="str">
        <f>VLOOKUP(VLOOKUP(B12,'Feuerwaffen-Ressourcen'!$A$2:$AI$54,14,0)+VLOOKUP(C12,'Feuerwaffen-Ressourcen'!$A$2:$AI$54,14,0)+VLOOKUP(D12,'Feuerwaffen-Ressourcen'!$A$2:$AI$54,14,0),'Feuerwaffen-Ressourcen'!$AJ$3:$AK$12,2,0)</f>
        <v>W10</v>
      </c>
      <c r="O12" s="60">
        <f>VLOOKUP(B12,'Feuerwaffen-Ressourcen'!$A$2:$AI$54,15,0)+VLOOKUP(C12,'Feuerwaffen-Ressourcen'!$A$2:$AI$54,15,0)+VLOOKUP(D12,'Feuerwaffen-Ressourcen'!$A$2:$AI$54,15,0)</f>
        <v>0</v>
      </c>
      <c r="P12" s="60">
        <f>VLOOKUP(B12,'Feuerwaffen-Ressourcen'!$A$2:$AI$54,16,0)+VLOOKUP(C12,'Feuerwaffen-Ressourcen'!$A$2:$AI$54,16,0)+VLOOKUP(D12,'Feuerwaffen-Ressourcen'!$A$2:$AI$54,16,0)+VLOOKUP(E12,'Feuerwaffen-Ressourcen'!$A$2:$AI$54,16,0)</f>
        <v>12</v>
      </c>
      <c r="Q12" s="62">
        <f>VLOOKUP(B12,'Feuerwaffen-Ressourcen'!$A$2:$AI$54,17,0)+VLOOKUP(C12,'Feuerwaffen-Ressourcen'!$A$2:$AI$54,17,0)+VLOOKUP(D12,'Feuerwaffen-Ressourcen'!$A$2:$AI$54,17,0)+VLOOKUP(E12,'Feuerwaffen-Ressourcen'!$A$2:$AI$54,17,0)</f>
        <v>9</v>
      </c>
      <c r="R12" s="60">
        <f>VLOOKUP(B12,'Feuerwaffen-Ressourcen'!$A$2:$AI$54,18,0)+VLOOKUP(C12,'Feuerwaffen-Ressourcen'!$A$2:$AI$54,18,0)+VLOOKUP(D12,'Feuerwaffen-Ressourcen'!$A$2:$AI$54,18,0)+VLOOKUP(F12,'Feuerwaffen-Ressourcen'!$A$2:$AI$54,18,0)+VLOOKUP(G12,'Feuerwaffen-Ressourcen'!$A$2:$AI$54,18,0)+VLOOKUP(I12,'Feuerwaffen-Ressourcen'!$A$2:$AI$54,18,0)+VLOOKUP(J12,'Feuerwaffen-Ressourcen'!$A$2:$AI$54,18,0)</f>
        <v>12</v>
      </c>
      <c r="S12" s="60">
        <f>VLOOKUP(B12,'Feuerwaffen-Ressourcen'!$A$2:$AI$54,19,0)+VLOOKUP(C12,'Feuerwaffen-Ressourcen'!$A$2:$AI$54,19,0)+VLOOKUP(D12,'Feuerwaffen-Ressourcen'!$A$2:$AI$54,19,0)+VLOOKUP(F12,'Feuerwaffen-Ressourcen'!$A$2:$AI$54,19,0)+VLOOKUP(G12,'Feuerwaffen-Ressourcen'!$A$2:$AI$54,19,0)+VLOOKUP(I12,'Feuerwaffen-Ressourcen'!$A$2:$AI$54,19,0)+VLOOKUP(J12,'Feuerwaffen-Ressourcen'!$A$2:$AI$54,19,0)</f>
        <v>4</v>
      </c>
      <c r="T12" s="60">
        <f>VLOOKUP(B12,'Feuerwaffen-Ressourcen'!$A$2:$AI$54,20,0)+VLOOKUP(C12,'Feuerwaffen-Ressourcen'!$A$2:$AI$54,20,0)+VLOOKUP(D12,'Feuerwaffen-Ressourcen'!$A$2:$AI$54,20,0)+VLOOKUP(F12,'Feuerwaffen-Ressourcen'!$A$2:$AI$54,20,0)+VLOOKUP(G12,'Feuerwaffen-Ressourcen'!$A$2:$AI$54,20,0)+VLOOKUP(I12,'Feuerwaffen-Ressourcen'!$A$2:$AI$54,20,0)+VLOOKUP(J12,'Feuerwaffen-Ressourcen'!$A$2:$AI$54,20,0)</f>
        <v>-7</v>
      </c>
      <c r="U12" s="60">
        <f>VLOOKUP(B12,'Feuerwaffen-Ressourcen'!$A$2:$AI$54,21,0)+VLOOKUP(C12,'Feuerwaffen-Ressourcen'!$A$2:$AI$54,21,0)+VLOOKUP(D12,'Feuerwaffen-Ressourcen'!$A$2:$AI$54,21,0)+VLOOKUP(F12,'Feuerwaffen-Ressourcen'!$A$2:$AI$54,21,0)+VLOOKUP(G12,'Feuerwaffen-Ressourcen'!$A$2:$AI$54,21,0)+VLOOKUP(I12,'Feuerwaffen-Ressourcen'!$A$2:$AI$54,21,0)+VLOOKUP(J12,'Feuerwaffen-Ressourcen'!$A$2:$AI$54,21,0)</f>
        <v>-20</v>
      </c>
      <c r="V12" s="60">
        <f>VLOOKUP(B12,'Feuerwaffen-Ressourcen'!$A$2:$AI$54,22,0)+VLOOKUP(C12,'Feuerwaffen-Ressourcen'!$A$2:$AI$54,22,0)+VLOOKUP(D12,'Feuerwaffen-Ressourcen'!$A$2:$AI$54,22,0)+VLOOKUP(F12,'Feuerwaffen-Ressourcen'!$A$2:$AI$54,22,0)+VLOOKUP(G12,'Feuerwaffen-Ressourcen'!$A$2:$AI$54,22,0)+VLOOKUP(I12,'Feuerwaffen-Ressourcen'!$A$2:$AI$54,22,0)+VLOOKUP(J12,'Feuerwaffen-Ressourcen'!$A$2:$AI$54,22,0)</f>
        <v>-36</v>
      </c>
      <c r="W12" s="60">
        <f>VLOOKUP(B12,'Feuerwaffen-Ressourcen'!$A$2:$AI$54,23,0)+VLOOKUP(C12,'Feuerwaffen-Ressourcen'!$A$2:$AI$54,23,0)+VLOOKUP(D12,'Feuerwaffen-Ressourcen'!$A$2:$AI$54,23,0)+VLOOKUP(F12,'Feuerwaffen-Ressourcen'!$A$2:$AI$54,23,0)+VLOOKUP(G12,'Feuerwaffen-Ressourcen'!$A$2:$AI$54,23,0)+VLOOKUP(I12,'Feuerwaffen-Ressourcen'!$A$2:$AI$54,23,0)+VLOOKUP(J12,'Feuerwaffen-Ressourcen'!$A$2:$AI$54,23,0)</f>
        <v>-53</v>
      </c>
      <c r="X12" s="60">
        <f>VLOOKUP(B12,'Feuerwaffen-Ressourcen'!$A$2:$AI$54,24,0)+VLOOKUP(C12,'Feuerwaffen-Ressourcen'!$A$2:$AI$54,24,0)+VLOOKUP(D12,'Feuerwaffen-Ressourcen'!$A$2:$AI$54,24,0)+VLOOKUP(G12,'Feuerwaffen-Ressourcen'!$A$2:$AI$54,24,0)</f>
        <v>60</v>
      </c>
      <c r="Y12" s="60">
        <f>VLOOKUP(D12,'Feuerwaffen-Ressourcen'!$A$2:$AI$54,25,0)+VLOOKUP(E12,'Feuerwaffen-Ressourcen'!$A$2:$AI$54,25,0)+VLOOKUP(F12,'Feuerwaffen-Ressourcen'!$A$2:$AI$54,25,0)</f>
        <v>9</v>
      </c>
      <c r="Z12" s="60">
        <f>VLOOKUP(E12,'Feuerwaffen-Ressourcen'!$A$2:$AI$54,26,0)</f>
        <v>6</v>
      </c>
      <c r="AA12" s="60">
        <f>VLOOKUP(B12,'Feuerwaffen-Ressourcen'!$A$2:$AI$54,27,0)+VLOOKUP(D12,'Feuerwaffen-Ressourcen'!$A$2:$AI$54,27,0)+VLOOKUP(F12,'Feuerwaffen-Ressourcen'!$A$2:$AI$54,27,0)+VLOOKUP(I12,'Feuerwaffen-Ressourcen'!$A$2:$AI$54,27,0)</f>
        <v>-2</v>
      </c>
      <c r="AB12" s="60">
        <f>VLOOKUP(B12,'Feuerwaffen-Ressourcen'!$A$2:$AI$54,28,0)+VLOOKUP(C12,'Feuerwaffen-Ressourcen'!$A$2:$AI$54,28,0)+VLOOKUP(D12,'Feuerwaffen-Ressourcen'!$A$2:$AI$54,28,0)+VLOOKUP(E12,'Feuerwaffen-Ressourcen'!$A$2:$AI$54,28,0)+VLOOKUP(F12,'Feuerwaffen-Ressourcen'!$A$2:$AI$54,28,0)+VLOOKUP(G12,'Feuerwaffen-Ressourcen'!$A$2:$AI$54,28,0)+VLOOKUP(I12,'Feuerwaffen-Ressourcen'!$A$2:$AI$54,28,0)+VLOOKUP(J12,'Feuerwaffen-Ressourcen'!$A$2:$AI$54,28,0)</f>
        <v>50</v>
      </c>
      <c r="AC12" s="63">
        <f>VLOOKUP(I12,'Feuerwaffen-Ressourcen'!$A$2:$AI$54,31,0)*AD12+AE12</f>
        <v>312.55</v>
      </c>
      <c r="AD12" s="64">
        <f>VLOOKUP(B12,'Feuerwaffen-Ressourcen'!$A$2:$AI$54,30,0)+VLOOKUP(C12,'Feuerwaffen-Ressourcen'!$A$2:$AI$54,30,0)+VLOOKUP(D12,'Feuerwaffen-Ressourcen'!$A$2:$AI$54,30,0)+VLOOKUP(F12,'Feuerwaffen-Ressourcen'!$A$2:$AI$54,30,0)+VLOOKUP(G12,'Feuerwaffen-Ressourcen'!$A$2:$AI$54,30,0)+VLOOKUP(I12,'Feuerwaffen-Ressourcen'!$A$2:$AI$54,30,0)+VLOOKUP(J12,'Feuerwaffen-Ressourcen'!$A$2:$AI$54,30,0)</f>
        <v>10.5</v>
      </c>
      <c r="AE12" s="63">
        <f>(VLOOKUP(C12,'Feuerwaffen-Ressourcen'!$A$2:$AI$54,32,0)+VLOOKUP(I12,'Feuerwaffen-Ressourcen'!$A$2:$AI$54,32,0))*(VLOOKUP(B12,'Feuerwaffen-Ressourcen'!$A$2:$AI$54,34,0)+VLOOKUP(C12,'Feuerwaffen-Ressourcen'!$A$2:$AI$54,34,0)+VLOOKUP(D12,'Feuerwaffen-Ressourcen'!$A$2:$AI$54,34,0)+VLOOKUP(E12,'Feuerwaffen-Ressourcen'!$A$2:$AI$54,34,0)+VLOOKUP(G12,'Feuerwaffen-Ressourcen'!$A$2:$AI$54,34,0))+VLOOKUP(B12,'Feuerwaffen-Ressourcen'!$A$2:$AI$54,35,0)+VLOOKUP(C12,'Feuerwaffen-Ressourcen'!$A$2:$AI$54,35,0)+VLOOKUP(D12,'Feuerwaffen-Ressourcen'!$A$2:$AI$54,35,0)</f>
        <v>270.55</v>
      </c>
      <c r="AF12" s="65">
        <f>VLOOKUP(AB12,'Feuerwaffen-Ressourcen'!$AO$3:$AP$9,2,1)</f>
        <v>7</v>
      </c>
      <c r="AG12" s="65">
        <v>0</v>
      </c>
    </row>
    <row r="13" spans="1:33">
      <c r="A13" s="59" t="s">
        <v>7128</v>
      </c>
      <c r="B13" s="59" t="s">
        <v>1418</v>
      </c>
      <c r="C13" s="59" t="s">
        <v>7118</v>
      </c>
      <c r="D13" s="59" t="s">
        <v>7226</v>
      </c>
      <c r="E13" s="59" t="s">
        <v>7123</v>
      </c>
      <c r="F13" s="59" t="s">
        <v>7224</v>
      </c>
      <c r="G13" s="59" t="s">
        <v>7225</v>
      </c>
      <c r="H13" s="59" t="s">
        <v>7124</v>
      </c>
      <c r="I13" s="59" t="s">
        <v>5768</v>
      </c>
      <c r="J13" s="59" t="s">
        <v>5748</v>
      </c>
      <c r="K13" s="61">
        <f>VLOOKUP(B13,'Feuerwaffen-Ressourcen'!$A$2:$AI$54,11,0)+VLOOKUP(C13,'Feuerwaffen-Ressourcen'!$A$2:$AI$54,11,0)+VLOOKUP(D13,'Feuerwaffen-Ressourcen'!$A$2:$AI$54,11,0)+VLOOKUP(E13,'Feuerwaffen-Ressourcen'!$A$2:$AI$54,11,0)+VLOOKUP(G13,'Feuerwaffen-Ressourcen'!$A$2:$AI$54,11,0)</f>
        <v>3.3</v>
      </c>
      <c r="L13" s="60">
        <f>VLOOKUP(B13,'Feuerwaffen-Ressourcen'!$A$2:$AI$54,12,0)+VLOOKUP(C13,'Feuerwaffen-Ressourcen'!$A$2:$AI$54,12,0)+VLOOKUP(D13,'Feuerwaffen-Ressourcen'!$A$2:$AI$54,12,0)+VLOOKUP(J13,'Feuerwaffen-Ressourcen'!$A$2:$AI$54,12,0)</f>
        <v>10</v>
      </c>
      <c r="M13" s="60" t="str">
        <f>VLOOKUP(VLOOKUP(B13,'Feuerwaffen-Ressourcen'!$A$2:$AI$54,13,0)+VLOOKUP(C13,'Feuerwaffen-Ressourcen'!$A$2:$AI$54,13,0)+VLOOKUP(D13,'Feuerwaffen-Ressourcen'!$A$2:$AI$54,13,0),'Feuerwaffen-Ressourcen'!$AJ$3:$AK$12,2,0)</f>
        <v>W15</v>
      </c>
      <c r="N13" s="60" t="str">
        <f>VLOOKUP(VLOOKUP(B13,'Feuerwaffen-Ressourcen'!$A$2:$AI$54,14,0)+VLOOKUP(C13,'Feuerwaffen-Ressourcen'!$A$2:$AI$54,14,0)+VLOOKUP(D13,'Feuerwaffen-Ressourcen'!$A$2:$AI$54,14,0),'Feuerwaffen-Ressourcen'!$AJ$3:$AK$12,2,0)</f>
        <v>W12</v>
      </c>
      <c r="O13" s="60">
        <f>VLOOKUP(B13,'Feuerwaffen-Ressourcen'!$A$2:$AI$54,15,0)+VLOOKUP(C13,'Feuerwaffen-Ressourcen'!$A$2:$AI$54,15,0)+VLOOKUP(D13,'Feuerwaffen-Ressourcen'!$A$2:$AI$54,15,0)</f>
        <v>1</v>
      </c>
      <c r="P13" s="60">
        <f>VLOOKUP(B13,'Feuerwaffen-Ressourcen'!$A$2:$AI$54,16,0)+VLOOKUP(C13,'Feuerwaffen-Ressourcen'!$A$2:$AI$54,16,0)+VLOOKUP(D13,'Feuerwaffen-Ressourcen'!$A$2:$AI$54,16,0)+VLOOKUP(E13,'Feuerwaffen-Ressourcen'!$A$2:$AI$54,16,0)</f>
        <v>13</v>
      </c>
      <c r="Q13" s="62">
        <f>VLOOKUP(B13,'Feuerwaffen-Ressourcen'!$A$2:$AI$54,17,0)+VLOOKUP(C13,'Feuerwaffen-Ressourcen'!$A$2:$AI$54,17,0)+VLOOKUP(D13,'Feuerwaffen-Ressourcen'!$A$2:$AI$54,17,0)+VLOOKUP(E13,'Feuerwaffen-Ressourcen'!$A$2:$AI$54,17,0)</f>
        <v>10</v>
      </c>
      <c r="R13" s="60">
        <f>VLOOKUP(B13,'Feuerwaffen-Ressourcen'!$A$2:$AI$54,18,0)+VLOOKUP(C13,'Feuerwaffen-Ressourcen'!$A$2:$AI$54,18,0)+VLOOKUP(D13,'Feuerwaffen-Ressourcen'!$A$2:$AI$54,18,0)+VLOOKUP(F13,'Feuerwaffen-Ressourcen'!$A$2:$AI$54,18,0)+VLOOKUP(G13,'Feuerwaffen-Ressourcen'!$A$2:$AI$54,18,0)+VLOOKUP(I13,'Feuerwaffen-Ressourcen'!$A$2:$AI$54,18,0)+VLOOKUP(J13,'Feuerwaffen-Ressourcen'!$A$2:$AI$54,18,0)</f>
        <v>10</v>
      </c>
      <c r="S13" s="60">
        <f>VLOOKUP(B13,'Feuerwaffen-Ressourcen'!$A$2:$AI$54,19,0)+VLOOKUP(C13,'Feuerwaffen-Ressourcen'!$A$2:$AI$54,19,0)+VLOOKUP(D13,'Feuerwaffen-Ressourcen'!$A$2:$AI$54,19,0)+VLOOKUP(F13,'Feuerwaffen-Ressourcen'!$A$2:$AI$54,19,0)+VLOOKUP(G13,'Feuerwaffen-Ressourcen'!$A$2:$AI$54,19,0)+VLOOKUP(I13,'Feuerwaffen-Ressourcen'!$A$2:$AI$54,19,0)+VLOOKUP(J13,'Feuerwaffen-Ressourcen'!$A$2:$AI$54,19,0)</f>
        <v>3</v>
      </c>
      <c r="T13" s="60">
        <f>VLOOKUP(B13,'Feuerwaffen-Ressourcen'!$A$2:$AI$54,20,0)+VLOOKUP(C13,'Feuerwaffen-Ressourcen'!$A$2:$AI$54,20,0)+VLOOKUP(D13,'Feuerwaffen-Ressourcen'!$A$2:$AI$54,20,0)+VLOOKUP(F13,'Feuerwaffen-Ressourcen'!$A$2:$AI$54,20,0)+VLOOKUP(G13,'Feuerwaffen-Ressourcen'!$A$2:$AI$54,20,0)+VLOOKUP(I13,'Feuerwaffen-Ressourcen'!$A$2:$AI$54,20,0)+VLOOKUP(J13,'Feuerwaffen-Ressourcen'!$A$2:$AI$54,20,0)</f>
        <v>-7</v>
      </c>
      <c r="U13" s="60">
        <f>VLOOKUP(B13,'Feuerwaffen-Ressourcen'!$A$2:$AI$54,21,0)+VLOOKUP(C13,'Feuerwaffen-Ressourcen'!$A$2:$AI$54,21,0)+VLOOKUP(D13,'Feuerwaffen-Ressourcen'!$A$2:$AI$54,21,0)+VLOOKUP(F13,'Feuerwaffen-Ressourcen'!$A$2:$AI$54,21,0)+VLOOKUP(G13,'Feuerwaffen-Ressourcen'!$A$2:$AI$54,21,0)+VLOOKUP(I13,'Feuerwaffen-Ressourcen'!$A$2:$AI$54,21,0)+VLOOKUP(J13,'Feuerwaffen-Ressourcen'!$A$2:$AI$54,21,0)</f>
        <v>-20</v>
      </c>
      <c r="V13" s="60">
        <f>VLOOKUP(B13,'Feuerwaffen-Ressourcen'!$A$2:$AI$54,22,0)+VLOOKUP(C13,'Feuerwaffen-Ressourcen'!$A$2:$AI$54,22,0)+VLOOKUP(D13,'Feuerwaffen-Ressourcen'!$A$2:$AI$54,22,0)+VLOOKUP(F13,'Feuerwaffen-Ressourcen'!$A$2:$AI$54,22,0)+VLOOKUP(G13,'Feuerwaffen-Ressourcen'!$A$2:$AI$54,22,0)+VLOOKUP(I13,'Feuerwaffen-Ressourcen'!$A$2:$AI$54,22,0)+VLOOKUP(J13,'Feuerwaffen-Ressourcen'!$A$2:$AI$54,22,0)</f>
        <v>-36</v>
      </c>
      <c r="W13" s="60">
        <f>VLOOKUP(B13,'Feuerwaffen-Ressourcen'!$A$2:$AI$54,23,0)+VLOOKUP(C13,'Feuerwaffen-Ressourcen'!$A$2:$AI$54,23,0)+VLOOKUP(D13,'Feuerwaffen-Ressourcen'!$A$2:$AI$54,23,0)+VLOOKUP(F13,'Feuerwaffen-Ressourcen'!$A$2:$AI$54,23,0)+VLOOKUP(G13,'Feuerwaffen-Ressourcen'!$A$2:$AI$54,23,0)+VLOOKUP(I13,'Feuerwaffen-Ressourcen'!$A$2:$AI$54,23,0)+VLOOKUP(J13,'Feuerwaffen-Ressourcen'!$A$2:$AI$54,23,0)</f>
        <v>-53</v>
      </c>
      <c r="X13" s="60">
        <f>VLOOKUP(B13,'Feuerwaffen-Ressourcen'!$A$2:$AI$54,24,0)+VLOOKUP(C13,'Feuerwaffen-Ressourcen'!$A$2:$AI$54,24,0)+VLOOKUP(D13,'Feuerwaffen-Ressourcen'!$A$2:$AI$54,24,0)+VLOOKUP(G13,'Feuerwaffen-Ressourcen'!$A$2:$AI$54,24,0)</f>
        <v>80</v>
      </c>
      <c r="Y13" s="60">
        <f>VLOOKUP(D13,'Feuerwaffen-Ressourcen'!$A$2:$AI$54,25,0)+VLOOKUP(E13,'Feuerwaffen-Ressourcen'!$A$2:$AI$54,25,0)+VLOOKUP(F13,'Feuerwaffen-Ressourcen'!$A$2:$AI$54,25,0)</f>
        <v>11</v>
      </c>
      <c r="Z13" s="60">
        <f>VLOOKUP(E13,'Feuerwaffen-Ressourcen'!$A$2:$AI$54,26,0)</f>
        <v>6</v>
      </c>
      <c r="AA13" s="60">
        <f>VLOOKUP(B13,'Feuerwaffen-Ressourcen'!$A$2:$AI$54,27,0)+VLOOKUP(D13,'Feuerwaffen-Ressourcen'!$A$2:$AI$54,27,0)+VLOOKUP(F13,'Feuerwaffen-Ressourcen'!$A$2:$AI$54,27,0)+VLOOKUP(I13,'Feuerwaffen-Ressourcen'!$A$2:$AI$54,27,0)</f>
        <v>-2</v>
      </c>
      <c r="AB13" s="60">
        <f>VLOOKUP(B13,'Feuerwaffen-Ressourcen'!$A$2:$AI$54,28,0)+VLOOKUP(C13,'Feuerwaffen-Ressourcen'!$A$2:$AI$54,28,0)+VLOOKUP(D13,'Feuerwaffen-Ressourcen'!$A$2:$AI$54,28,0)+VLOOKUP(E13,'Feuerwaffen-Ressourcen'!$A$2:$AI$54,28,0)+VLOOKUP(F13,'Feuerwaffen-Ressourcen'!$A$2:$AI$54,28,0)+VLOOKUP(G13,'Feuerwaffen-Ressourcen'!$A$2:$AI$54,28,0)+VLOOKUP(I13,'Feuerwaffen-Ressourcen'!$A$2:$AI$54,28,0)+VLOOKUP(J13,'Feuerwaffen-Ressourcen'!$A$2:$AI$54,28,0)</f>
        <v>40</v>
      </c>
      <c r="AC13" s="63">
        <f>VLOOKUP(I13,'Feuerwaffen-Ressourcen'!$A$2:$AI$54,31,0)*AD13+AE13</f>
        <v>374.55</v>
      </c>
      <c r="AD13" s="64">
        <f>VLOOKUP(B13,'Feuerwaffen-Ressourcen'!$A$2:$AI$54,30,0)+VLOOKUP(C13,'Feuerwaffen-Ressourcen'!$A$2:$AI$54,30,0)+VLOOKUP(D13,'Feuerwaffen-Ressourcen'!$A$2:$AI$54,30,0)+VLOOKUP(F13,'Feuerwaffen-Ressourcen'!$A$2:$AI$54,30,0)+VLOOKUP(G13,'Feuerwaffen-Ressourcen'!$A$2:$AI$54,30,0)+VLOOKUP(I13,'Feuerwaffen-Ressourcen'!$A$2:$AI$54,30,0)+VLOOKUP(J13,'Feuerwaffen-Ressourcen'!$A$2:$AI$54,30,0)</f>
        <v>11</v>
      </c>
      <c r="AE13" s="63">
        <f>(VLOOKUP(C13,'Feuerwaffen-Ressourcen'!$A$2:$AI$54,32,0)+VLOOKUP(I13,'Feuerwaffen-Ressourcen'!$A$2:$AI$54,32,0))*(VLOOKUP(B13,'Feuerwaffen-Ressourcen'!$A$2:$AI$54,34,0)+VLOOKUP(C13,'Feuerwaffen-Ressourcen'!$A$2:$AI$54,34,0)+VLOOKUP(D13,'Feuerwaffen-Ressourcen'!$A$2:$AI$54,34,0)+VLOOKUP(E13,'Feuerwaffen-Ressourcen'!$A$2:$AI$54,34,0)+VLOOKUP(G13,'Feuerwaffen-Ressourcen'!$A$2:$AI$54,34,0))+VLOOKUP(B13,'Feuerwaffen-Ressourcen'!$A$2:$AI$54,35,0)+VLOOKUP(C13,'Feuerwaffen-Ressourcen'!$A$2:$AI$54,35,0)+VLOOKUP(D13,'Feuerwaffen-Ressourcen'!$A$2:$AI$54,35,0)</f>
        <v>330.55</v>
      </c>
      <c r="AF13" s="65">
        <f>VLOOKUP(AB13,'Feuerwaffen-Ressourcen'!$AO$3:$AP$9,2,1)</f>
        <v>7</v>
      </c>
      <c r="AG13" s="65">
        <v>0</v>
      </c>
    </row>
    <row r="14" spans="1:33">
      <c r="A14" s="59" t="s">
        <v>7129</v>
      </c>
      <c r="B14" s="59" t="s">
        <v>1418</v>
      </c>
      <c r="C14" s="59" t="s">
        <v>7118</v>
      </c>
      <c r="D14" s="59" t="s">
        <v>7220</v>
      </c>
      <c r="E14" s="59" t="s">
        <v>6501</v>
      </c>
      <c r="F14" s="59" t="s">
        <v>7221</v>
      </c>
      <c r="G14" s="59" t="s">
        <v>7217</v>
      </c>
      <c r="H14" s="59" t="s">
        <v>6514</v>
      </c>
      <c r="I14" s="59" t="s">
        <v>5768</v>
      </c>
      <c r="J14" s="59" t="s">
        <v>5748</v>
      </c>
      <c r="K14" s="61">
        <f>VLOOKUP(B14,'Feuerwaffen-Ressourcen'!$A$2:$AI$54,11,0)+VLOOKUP(C14,'Feuerwaffen-Ressourcen'!$A$2:$AI$54,11,0)+VLOOKUP(D14,'Feuerwaffen-Ressourcen'!$A$2:$AI$54,11,0)+VLOOKUP(E14,'Feuerwaffen-Ressourcen'!$A$2:$AI$54,11,0)+VLOOKUP(G14,'Feuerwaffen-Ressourcen'!$A$2:$AI$54,11,0)</f>
        <v>2.5499999999999998</v>
      </c>
      <c r="L14" s="60">
        <f>VLOOKUP(B14,'Feuerwaffen-Ressourcen'!$A$2:$AI$54,12,0)+VLOOKUP(C14,'Feuerwaffen-Ressourcen'!$A$2:$AI$54,12,0)+VLOOKUP(D14,'Feuerwaffen-Ressourcen'!$A$2:$AI$54,12,0)+VLOOKUP(J14,'Feuerwaffen-Ressourcen'!$A$2:$AI$54,12,0)</f>
        <v>8</v>
      </c>
      <c r="M14" s="60" t="str">
        <f>VLOOKUP(VLOOKUP(B14,'Feuerwaffen-Ressourcen'!$A$2:$AI$54,13,0)+VLOOKUP(C14,'Feuerwaffen-Ressourcen'!$A$2:$AI$54,13,0)+VLOOKUP(D14,'Feuerwaffen-Ressourcen'!$A$2:$AI$54,13,0),'Feuerwaffen-Ressourcen'!$AJ$3:$AK$12,2,0)</f>
        <v>W12</v>
      </c>
      <c r="N14" s="60" t="str">
        <f>VLOOKUP(VLOOKUP(B14,'Feuerwaffen-Ressourcen'!$A$2:$AI$54,14,0)+VLOOKUP(C14,'Feuerwaffen-Ressourcen'!$A$2:$AI$54,14,0)+VLOOKUP(D14,'Feuerwaffen-Ressourcen'!$A$2:$AI$54,14,0),'Feuerwaffen-Ressourcen'!$AJ$3:$AK$12,2,0)</f>
        <v>W10</v>
      </c>
      <c r="O14" s="60">
        <f>VLOOKUP(B14,'Feuerwaffen-Ressourcen'!$A$2:$AI$54,15,0)+VLOOKUP(C14,'Feuerwaffen-Ressourcen'!$A$2:$AI$54,15,0)+VLOOKUP(D14,'Feuerwaffen-Ressourcen'!$A$2:$AI$54,15,0)</f>
        <v>0</v>
      </c>
      <c r="P14" s="60">
        <f>VLOOKUP(B14,'Feuerwaffen-Ressourcen'!$A$2:$AI$54,16,0)+VLOOKUP(C14,'Feuerwaffen-Ressourcen'!$A$2:$AI$54,16,0)+VLOOKUP(D14,'Feuerwaffen-Ressourcen'!$A$2:$AI$54,16,0)+VLOOKUP(E14,'Feuerwaffen-Ressourcen'!$A$2:$AI$54,16,0)</f>
        <v>6</v>
      </c>
      <c r="Q14" s="62">
        <f>VLOOKUP(B14,'Feuerwaffen-Ressourcen'!$A$2:$AI$54,17,0)+VLOOKUP(C14,'Feuerwaffen-Ressourcen'!$A$2:$AI$54,17,0)+VLOOKUP(D14,'Feuerwaffen-Ressourcen'!$A$2:$AI$54,17,0)+VLOOKUP(E14,'Feuerwaffen-Ressourcen'!$A$2:$AI$54,17,0)</f>
        <v>15</v>
      </c>
      <c r="R14" s="60">
        <f>VLOOKUP(B14,'Feuerwaffen-Ressourcen'!$A$2:$AI$54,18,0)+VLOOKUP(C14,'Feuerwaffen-Ressourcen'!$A$2:$AI$54,18,0)+VLOOKUP(D14,'Feuerwaffen-Ressourcen'!$A$2:$AI$54,18,0)+VLOOKUP(F14,'Feuerwaffen-Ressourcen'!$A$2:$AI$54,18,0)+VLOOKUP(G14,'Feuerwaffen-Ressourcen'!$A$2:$AI$54,18,0)+VLOOKUP(I14,'Feuerwaffen-Ressourcen'!$A$2:$AI$54,18,0)+VLOOKUP(J14,'Feuerwaffen-Ressourcen'!$A$2:$AI$54,18,0)</f>
        <v>8</v>
      </c>
      <c r="S14" s="60">
        <f>VLOOKUP(B14,'Feuerwaffen-Ressourcen'!$A$2:$AI$54,19,0)+VLOOKUP(C14,'Feuerwaffen-Ressourcen'!$A$2:$AI$54,19,0)+VLOOKUP(D14,'Feuerwaffen-Ressourcen'!$A$2:$AI$54,19,0)+VLOOKUP(F14,'Feuerwaffen-Ressourcen'!$A$2:$AI$54,19,0)+VLOOKUP(G14,'Feuerwaffen-Ressourcen'!$A$2:$AI$54,19,0)+VLOOKUP(I14,'Feuerwaffen-Ressourcen'!$A$2:$AI$54,19,0)+VLOOKUP(J14,'Feuerwaffen-Ressourcen'!$A$2:$AI$54,19,0)</f>
        <v>-1</v>
      </c>
      <c r="T14" s="60">
        <f>VLOOKUP(B14,'Feuerwaffen-Ressourcen'!$A$2:$AI$54,20,0)+VLOOKUP(C14,'Feuerwaffen-Ressourcen'!$A$2:$AI$54,20,0)+VLOOKUP(D14,'Feuerwaffen-Ressourcen'!$A$2:$AI$54,20,0)+VLOOKUP(F14,'Feuerwaffen-Ressourcen'!$A$2:$AI$54,20,0)+VLOOKUP(G14,'Feuerwaffen-Ressourcen'!$A$2:$AI$54,20,0)+VLOOKUP(I14,'Feuerwaffen-Ressourcen'!$A$2:$AI$54,20,0)+VLOOKUP(J14,'Feuerwaffen-Ressourcen'!$A$2:$AI$54,20,0)</f>
        <v>-12</v>
      </c>
      <c r="U14" s="60">
        <f>VLOOKUP(B14,'Feuerwaffen-Ressourcen'!$A$2:$AI$54,21,0)+VLOOKUP(C14,'Feuerwaffen-Ressourcen'!$A$2:$AI$54,21,0)+VLOOKUP(D14,'Feuerwaffen-Ressourcen'!$A$2:$AI$54,21,0)+VLOOKUP(F14,'Feuerwaffen-Ressourcen'!$A$2:$AI$54,21,0)+VLOOKUP(G14,'Feuerwaffen-Ressourcen'!$A$2:$AI$54,21,0)+VLOOKUP(I14,'Feuerwaffen-Ressourcen'!$A$2:$AI$54,21,0)+VLOOKUP(J14,'Feuerwaffen-Ressourcen'!$A$2:$AI$54,21,0)</f>
        <v>-24</v>
      </c>
      <c r="V14" s="60">
        <f>VLOOKUP(B14,'Feuerwaffen-Ressourcen'!$A$2:$AI$54,22,0)+VLOOKUP(C14,'Feuerwaffen-Ressourcen'!$A$2:$AI$54,22,0)+VLOOKUP(D14,'Feuerwaffen-Ressourcen'!$A$2:$AI$54,22,0)+VLOOKUP(F14,'Feuerwaffen-Ressourcen'!$A$2:$AI$54,22,0)+VLOOKUP(G14,'Feuerwaffen-Ressourcen'!$A$2:$AI$54,22,0)+VLOOKUP(I14,'Feuerwaffen-Ressourcen'!$A$2:$AI$54,22,0)+VLOOKUP(J14,'Feuerwaffen-Ressourcen'!$A$2:$AI$54,22,0)</f>
        <v>-39</v>
      </c>
      <c r="W14" s="60">
        <f>VLOOKUP(B14,'Feuerwaffen-Ressourcen'!$A$2:$AI$54,23,0)+VLOOKUP(C14,'Feuerwaffen-Ressourcen'!$A$2:$AI$54,23,0)+VLOOKUP(D14,'Feuerwaffen-Ressourcen'!$A$2:$AI$54,23,0)+VLOOKUP(F14,'Feuerwaffen-Ressourcen'!$A$2:$AI$54,23,0)+VLOOKUP(G14,'Feuerwaffen-Ressourcen'!$A$2:$AI$54,23,0)+VLOOKUP(I14,'Feuerwaffen-Ressourcen'!$A$2:$AI$54,23,0)+VLOOKUP(J14,'Feuerwaffen-Ressourcen'!$A$2:$AI$54,23,0)</f>
        <v>-56</v>
      </c>
      <c r="X14" s="60">
        <f>VLOOKUP(B14,'Feuerwaffen-Ressourcen'!$A$2:$AI$54,24,0)+VLOOKUP(C14,'Feuerwaffen-Ressourcen'!$A$2:$AI$54,24,0)+VLOOKUP(D14,'Feuerwaffen-Ressourcen'!$A$2:$AI$54,24,0)+VLOOKUP(G14,'Feuerwaffen-Ressourcen'!$A$2:$AI$54,24,0)</f>
        <v>30</v>
      </c>
      <c r="Y14" s="60">
        <f>VLOOKUP(D14,'Feuerwaffen-Ressourcen'!$A$2:$AI$54,25,0)+VLOOKUP(E14,'Feuerwaffen-Ressourcen'!$A$2:$AI$54,25,0)+VLOOKUP(F14,'Feuerwaffen-Ressourcen'!$A$2:$AI$54,25,0)</f>
        <v>30</v>
      </c>
      <c r="Z14" s="60">
        <f>VLOOKUP(E14,'Feuerwaffen-Ressourcen'!$A$2:$AI$54,26,0)</f>
        <v>3</v>
      </c>
      <c r="AA14" s="60">
        <f>VLOOKUP(B14,'Feuerwaffen-Ressourcen'!$A$2:$AI$54,27,0)+VLOOKUP(D14,'Feuerwaffen-Ressourcen'!$A$2:$AI$54,27,0)+VLOOKUP(F14,'Feuerwaffen-Ressourcen'!$A$2:$AI$54,27,0)+VLOOKUP(I14,'Feuerwaffen-Ressourcen'!$A$2:$AI$54,27,0)</f>
        <v>1</v>
      </c>
      <c r="AB14" s="60">
        <f>VLOOKUP(B14,'Feuerwaffen-Ressourcen'!$A$2:$AI$54,28,0)+VLOOKUP(C14,'Feuerwaffen-Ressourcen'!$A$2:$AI$54,28,0)+VLOOKUP(D14,'Feuerwaffen-Ressourcen'!$A$2:$AI$54,28,0)+VLOOKUP(E14,'Feuerwaffen-Ressourcen'!$A$2:$AI$54,28,0)+VLOOKUP(F14,'Feuerwaffen-Ressourcen'!$A$2:$AI$54,28,0)+VLOOKUP(G14,'Feuerwaffen-Ressourcen'!$A$2:$AI$54,28,0)+VLOOKUP(I14,'Feuerwaffen-Ressourcen'!$A$2:$AI$54,28,0)+VLOOKUP(J14,'Feuerwaffen-Ressourcen'!$A$2:$AI$54,28,0)</f>
        <v>100</v>
      </c>
      <c r="AC14" s="63">
        <f>VLOOKUP(I14,'Feuerwaffen-Ressourcen'!$A$2:$AI$54,31,0)*AD14+AE14</f>
        <v>264.55</v>
      </c>
      <c r="AD14" s="64">
        <f>VLOOKUP(B14,'Feuerwaffen-Ressourcen'!$A$2:$AI$54,30,0)+VLOOKUP(C14,'Feuerwaffen-Ressourcen'!$A$2:$AI$54,30,0)+VLOOKUP(D14,'Feuerwaffen-Ressourcen'!$A$2:$AI$54,30,0)+VLOOKUP(F14,'Feuerwaffen-Ressourcen'!$A$2:$AI$54,30,0)+VLOOKUP(G14,'Feuerwaffen-Ressourcen'!$A$2:$AI$54,30,0)+VLOOKUP(I14,'Feuerwaffen-Ressourcen'!$A$2:$AI$54,30,0)+VLOOKUP(J14,'Feuerwaffen-Ressourcen'!$A$2:$AI$54,30,0)</f>
        <v>6</v>
      </c>
      <c r="AE14" s="63">
        <f>(VLOOKUP(C14,'Feuerwaffen-Ressourcen'!$A$2:$AI$54,32,0)+VLOOKUP(I14,'Feuerwaffen-Ressourcen'!$A$2:$AI$54,32,0))*(VLOOKUP(B14,'Feuerwaffen-Ressourcen'!$A$2:$AI$54,34,0)+VLOOKUP(C14,'Feuerwaffen-Ressourcen'!$A$2:$AI$54,34,0)+VLOOKUP(D14,'Feuerwaffen-Ressourcen'!$A$2:$AI$54,34,0)+VLOOKUP(E14,'Feuerwaffen-Ressourcen'!$A$2:$AI$54,34,0)+VLOOKUP(G14,'Feuerwaffen-Ressourcen'!$A$2:$AI$54,34,0))+VLOOKUP(B14,'Feuerwaffen-Ressourcen'!$A$2:$AI$54,35,0)+VLOOKUP(C14,'Feuerwaffen-Ressourcen'!$A$2:$AI$54,35,0)+VLOOKUP(D14,'Feuerwaffen-Ressourcen'!$A$2:$AI$54,35,0)</f>
        <v>240.55</v>
      </c>
      <c r="AF14" s="65">
        <f>VLOOKUP(AB14,'Feuerwaffen-Ressourcen'!$AO$3:$AP$9,2,1)</f>
        <v>5</v>
      </c>
      <c r="AG14" s="65">
        <v>0</v>
      </c>
    </row>
    <row r="15" spans="1:33">
      <c r="A15" s="59" t="s">
        <v>7130</v>
      </c>
      <c r="B15" s="59" t="s">
        <v>1418</v>
      </c>
      <c r="C15" s="59" t="s">
        <v>7118</v>
      </c>
      <c r="D15" s="59" t="s">
        <v>7227</v>
      </c>
      <c r="E15" s="59" t="s">
        <v>7123</v>
      </c>
      <c r="F15" s="59" t="s">
        <v>7224</v>
      </c>
      <c r="G15" s="59" t="s">
        <v>7225</v>
      </c>
      <c r="H15" s="59" t="s">
        <v>7124</v>
      </c>
      <c r="I15" s="59" t="s">
        <v>5768</v>
      </c>
      <c r="J15" s="59" t="s">
        <v>5748</v>
      </c>
      <c r="K15" s="61">
        <f>VLOOKUP(B15,'Feuerwaffen-Ressourcen'!$A$2:$AI$54,11,0)+VLOOKUP(C15,'Feuerwaffen-Ressourcen'!$A$2:$AI$54,11,0)+VLOOKUP(D15,'Feuerwaffen-Ressourcen'!$A$2:$AI$54,11,0)+VLOOKUP(E15,'Feuerwaffen-Ressourcen'!$A$2:$AI$54,11,0)+VLOOKUP(G15,'Feuerwaffen-Ressourcen'!$A$2:$AI$54,11,0)</f>
        <v>2.1</v>
      </c>
      <c r="L15" s="60">
        <f>VLOOKUP(B15,'Feuerwaffen-Ressourcen'!$A$2:$AI$54,12,0)+VLOOKUP(C15,'Feuerwaffen-Ressourcen'!$A$2:$AI$54,12,0)+VLOOKUP(D15,'Feuerwaffen-Ressourcen'!$A$2:$AI$54,12,0)+VLOOKUP(J15,'Feuerwaffen-Ressourcen'!$A$2:$AI$54,12,0)</f>
        <v>6</v>
      </c>
      <c r="M15" s="60" t="str">
        <f>VLOOKUP(VLOOKUP(B15,'Feuerwaffen-Ressourcen'!$A$2:$AI$54,13,0)+VLOOKUP(C15,'Feuerwaffen-Ressourcen'!$A$2:$AI$54,13,0)+VLOOKUP(D15,'Feuerwaffen-Ressourcen'!$A$2:$AI$54,13,0),'Feuerwaffen-Ressourcen'!$AJ$3:$AK$12,2,0)</f>
        <v>W8</v>
      </c>
      <c r="N15" s="60" t="str">
        <f>VLOOKUP(VLOOKUP(B15,'Feuerwaffen-Ressourcen'!$A$2:$AI$54,14,0)+VLOOKUP(C15,'Feuerwaffen-Ressourcen'!$A$2:$AI$54,14,0)+VLOOKUP(D15,'Feuerwaffen-Ressourcen'!$A$2:$AI$54,14,0),'Feuerwaffen-Ressourcen'!$AJ$3:$AK$12,2,0)</f>
        <v>W6</v>
      </c>
      <c r="O15" s="60">
        <f>VLOOKUP(B15,'Feuerwaffen-Ressourcen'!$A$2:$AI$54,15,0)+VLOOKUP(C15,'Feuerwaffen-Ressourcen'!$A$2:$AI$54,15,0)+VLOOKUP(D15,'Feuerwaffen-Ressourcen'!$A$2:$AI$54,15,0)</f>
        <v>0</v>
      </c>
      <c r="P15" s="60">
        <f>VLOOKUP(B15,'Feuerwaffen-Ressourcen'!$A$2:$AI$54,16,0)+VLOOKUP(C15,'Feuerwaffen-Ressourcen'!$A$2:$AI$54,16,0)+VLOOKUP(D15,'Feuerwaffen-Ressourcen'!$A$2:$AI$54,16,0)+VLOOKUP(E15,'Feuerwaffen-Ressourcen'!$A$2:$AI$54,16,0)</f>
        <v>15</v>
      </c>
      <c r="Q15" s="62">
        <f>VLOOKUP(B15,'Feuerwaffen-Ressourcen'!$A$2:$AI$54,17,0)+VLOOKUP(C15,'Feuerwaffen-Ressourcen'!$A$2:$AI$54,17,0)+VLOOKUP(D15,'Feuerwaffen-Ressourcen'!$A$2:$AI$54,17,0)+VLOOKUP(E15,'Feuerwaffen-Ressourcen'!$A$2:$AI$54,17,0)</f>
        <v>7</v>
      </c>
      <c r="R15" s="60">
        <f>VLOOKUP(B15,'Feuerwaffen-Ressourcen'!$A$2:$AI$54,18,0)+VLOOKUP(C15,'Feuerwaffen-Ressourcen'!$A$2:$AI$54,18,0)+VLOOKUP(D15,'Feuerwaffen-Ressourcen'!$A$2:$AI$54,18,0)+VLOOKUP(F15,'Feuerwaffen-Ressourcen'!$A$2:$AI$54,18,0)+VLOOKUP(G15,'Feuerwaffen-Ressourcen'!$A$2:$AI$54,18,0)+VLOOKUP(I15,'Feuerwaffen-Ressourcen'!$A$2:$AI$54,18,0)+VLOOKUP(J15,'Feuerwaffen-Ressourcen'!$A$2:$AI$54,18,0)</f>
        <v>16</v>
      </c>
      <c r="S15" s="60">
        <f>VLOOKUP(B15,'Feuerwaffen-Ressourcen'!$A$2:$AI$54,19,0)+VLOOKUP(C15,'Feuerwaffen-Ressourcen'!$A$2:$AI$54,19,0)+VLOOKUP(D15,'Feuerwaffen-Ressourcen'!$A$2:$AI$54,19,0)+VLOOKUP(F15,'Feuerwaffen-Ressourcen'!$A$2:$AI$54,19,0)+VLOOKUP(G15,'Feuerwaffen-Ressourcen'!$A$2:$AI$54,19,0)+VLOOKUP(I15,'Feuerwaffen-Ressourcen'!$A$2:$AI$54,19,0)+VLOOKUP(J15,'Feuerwaffen-Ressourcen'!$A$2:$AI$54,19,0)</f>
        <v>-1</v>
      </c>
      <c r="T15" s="60">
        <f>VLOOKUP(B15,'Feuerwaffen-Ressourcen'!$A$2:$AI$54,20,0)+VLOOKUP(C15,'Feuerwaffen-Ressourcen'!$A$2:$AI$54,20,0)+VLOOKUP(D15,'Feuerwaffen-Ressourcen'!$A$2:$AI$54,20,0)+VLOOKUP(F15,'Feuerwaffen-Ressourcen'!$A$2:$AI$54,20,0)+VLOOKUP(G15,'Feuerwaffen-Ressourcen'!$A$2:$AI$54,20,0)+VLOOKUP(I15,'Feuerwaffen-Ressourcen'!$A$2:$AI$54,20,0)+VLOOKUP(J15,'Feuerwaffen-Ressourcen'!$A$2:$AI$54,20,0)</f>
        <v>-17</v>
      </c>
      <c r="U15" s="60">
        <f>VLOOKUP(B15,'Feuerwaffen-Ressourcen'!$A$2:$AI$54,21,0)+VLOOKUP(C15,'Feuerwaffen-Ressourcen'!$A$2:$AI$54,21,0)+VLOOKUP(D15,'Feuerwaffen-Ressourcen'!$A$2:$AI$54,21,0)+VLOOKUP(F15,'Feuerwaffen-Ressourcen'!$A$2:$AI$54,21,0)+VLOOKUP(G15,'Feuerwaffen-Ressourcen'!$A$2:$AI$54,21,0)+VLOOKUP(I15,'Feuerwaffen-Ressourcen'!$A$2:$AI$54,21,0)+VLOOKUP(J15,'Feuerwaffen-Ressourcen'!$A$2:$AI$54,21,0)</f>
        <v>-40</v>
      </c>
      <c r="V15" s="60">
        <f>VLOOKUP(B15,'Feuerwaffen-Ressourcen'!$A$2:$AI$54,22,0)+VLOOKUP(C15,'Feuerwaffen-Ressourcen'!$A$2:$AI$54,22,0)+VLOOKUP(D15,'Feuerwaffen-Ressourcen'!$A$2:$AI$54,22,0)+VLOOKUP(F15,'Feuerwaffen-Ressourcen'!$A$2:$AI$54,22,0)+VLOOKUP(G15,'Feuerwaffen-Ressourcen'!$A$2:$AI$54,22,0)+VLOOKUP(I15,'Feuerwaffen-Ressourcen'!$A$2:$AI$54,22,0)+VLOOKUP(J15,'Feuerwaffen-Ressourcen'!$A$2:$AI$54,22,0)</f>
        <v>-76</v>
      </c>
      <c r="W15" s="60">
        <f>VLOOKUP(B15,'Feuerwaffen-Ressourcen'!$A$2:$AI$54,23,0)+VLOOKUP(C15,'Feuerwaffen-Ressourcen'!$A$2:$AI$54,23,0)+VLOOKUP(D15,'Feuerwaffen-Ressourcen'!$A$2:$AI$54,23,0)+VLOOKUP(F15,'Feuerwaffen-Ressourcen'!$A$2:$AI$54,23,0)+VLOOKUP(G15,'Feuerwaffen-Ressourcen'!$A$2:$AI$54,23,0)+VLOOKUP(I15,'Feuerwaffen-Ressourcen'!$A$2:$AI$54,23,0)+VLOOKUP(J15,'Feuerwaffen-Ressourcen'!$A$2:$AI$54,23,0)</f>
        <v>-133</v>
      </c>
      <c r="X15" s="60">
        <f>VLOOKUP(B15,'Feuerwaffen-Ressourcen'!$A$2:$AI$54,24,0)+VLOOKUP(C15,'Feuerwaffen-Ressourcen'!$A$2:$AI$54,24,0)+VLOOKUP(D15,'Feuerwaffen-Ressourcen'!$A$2:$AI$54,24,0)+VLOOKUP(G15,'Feuerwaffen-Ressourcen'!$A$2:$AI$54,24,0)</f>
        <v>50</v>
      </c>
      <c r="Y15" s="60">
        <f>VLOOKUP(D15,'Feuerwaffen-Ressourcen'!$A$2:$AI$54,25,0)+VLOOKUP(E15,'Feuerwaffen-Ressourcen'!$A$2:$AI$54,25,0)+VLOOKUP(F15,'Feuerwaffen-Ressourcen'!$A$2:$AI$54,25,0)</f>
        <v>8</v>
      </c>
      <c r="Z15" s="60">
        <f>VLOOKUP(E15,'Feuerwaffen-Ressourcen'!$A$2:$AI$54,26,0)</f>
        <v>6</v>
      </c>
      <c r="AA15" s="60">
        <f>VLOOKUP(B15,'Feuerwaffen-Ressourcen'!$A$2:$AI$54,27,0)+VLOOKUP(D15,'Feuerwaffen-Ressourcen'!$A$2:$AI$54,27,0)+VLOOKUP(F15,'Feuerwaffen-Ressourcen'!$A$2:$AI$54,27,0)+VLOOKUP(I15,'Feuerwaffen-Ressourcen'!$A$2:$AI$54,27,0)</f>
        <v>-4</v>
      </c>
      <c r="AB15" s="60">
        <f>VLOOKUP(B15,'Feuerwaffen-Ressourcen'!$A$2:$AI$54,28,0)+VLOOKUP(C15,'Feuerwaffen-Ressourcen'!$A$2:$AI$54,28,0)+VLOOKUP(D15,'Feuerwaffen-Ressourcen'!$A$2:$AI$54,28,0)+VLOOKUP(E15,'Feuerwaffen-Ressourcen'!$A$2:$AI$54,28,0)+VLOOKUP(F15,'Feuerwaffen-Ressourcen'!$A$2:$AI$54,28,0)+VLOOKUP(G15,'Feuerwaffen-Ressourcen'!$A$2:$AI$54,28,0)+VLOOKUP(I15,'Feuerwaffen-Ressourcen'!$A$2:$AI$54,28,0)+VLOOKUP(J15,'Feuerwaffen-Ressourcen'!$A$2:$AI$54,28,0)</f>
        <v>35</v>
      </c>
      <c r="AC15" s="63">
        <f>VLOOKUP(I15,'Feuerwaffen-Ressourcen'!$A$2:$AI$54,31,0)*AD15+AE15</f>
        <v>268.35000000000002</v>
      </c>
      <c r="AD15" s="64">
        <f>VLOOKUP(B15,'Feuerwaffen-Ressourcen'!$A$2:$AI$54,30,0)+VLOOKUP(C15,'Feuerwaffen-Ressourcen'!$A$2:$AI$54,30,0)+VLOOKUP(D15,'Feuerwaffen-Ressourcen'!$A$2:$AI$54,30,0)+VLOOKUP(F15,'Feuerwaffen-Ressourcen'!$A$2:$AI$54,30,0)+VLOOKUP(G15,'Feuerwaffen-Ressourcen'!$A$2:$AI$54,30,0)+VLOOKUP(I15,'Feuerwaffen-Ressourcen'!$A$2:$AI$54,30,0)+VLOOKUP(J15,'Feuerwaffen-Ressourcen'!$A$2:$AI$54,30,0)</f>
        <v>14.5</v>
      </c>
      <c r="AE15" s="63">
        <f>(VLOOKUP(C15,'Feuerwaffen-Ressourcen'!$A$2:$AI$54,32,0)+VLOOKUP(I15,'Feuerwaffen-Ressourcen'!$A$2:$AI$54,32,0))*(VLOOKUP(B15,'Feuerwaffen-Ressourcen'!$A$2:$AI$54,34,0)+VLOOKUP(C15,'Feuerwaffen-Ressourcen'!$A$2:$AI$54,34,0)+VLOOKUP(D15,'Feuerwaffen-Ressourcen'!$A$2:$AI$54,34,0)+VLOOKUP(E15,'Feuerwaffen-Ressourcen'!$A$2:$AI$54,34,0)+VLOOKUP(G15,'Feuerwaffen-Ressourcen'!$A$2:$AI$54,34,0))+VLOOKUP(B15,'Feuerwaffen-Ressourcen'!$A$2:$AI$54,35,0)+VLOOKUP(C15,'Feuerwaffen-Ressourcen'!$A$2:$AI$54,35,0)+VLOOKUP(D15,'Feuerwaffen-Ressourcen'!$A$2:$AI$54,35,0)</f>
        <v>210.35000000000002</v>
      </c>
      <c r="AF15" s="65">
        <f>VLOOKUP(AB15,'Feuerwaffen-Ressourcen'!$AO$3:$AP$9,2,1)</f>
        <v>7</v>
      </c>
      <c r="AG15" s="65">
        <v>0</v>
      </c>
    </row>
    <row r="16" spans="1:33">
      <c r="A16" s="59" t="s">
        <v>7131</v>
      </c>
      <c r="B16" s="59" t="s">
        <v>1421</v>
      </c>
      <c r="C16" s="59" t="s">
        <v>7215</v>
      </c>
      <c r="D16" s="59" t="s">
        <v>7206</v>
      </c>
      <c r="E16" s="59" t="s">
        <v>6501</v>
      </c>
      <c r="F16" s="59" t="s">
        <v>7221</v>
      </c>
      <c r="G16" s="59" t="s">
        <v>7217</v>
      </c>
      <c r="H16" s="59" t="s">
        <v>6514</v>
      </c>
      <c r="I16" s="59" t="s">
        <v>5768</v>
      </c>
      <c r="J16" s="59" t="s">
        <v>5748</v>
      </c>
      <c r="K16" s="61">
        <f>VLOOKUP(B16,'Feuerwaffen-Ressourcen'!$A$2:$AI$54,11,0)+VLOOKUP(C16,'Feuerwaffen-Ressourcen'!$A$2:$AI$54,11,0)+VLOOKUP(D16,'Feuerwaffen-Ressourcen'!$A$2:$AI$54,11,0)+VLOOKUP(E16,'Feuerwaffen-Ressourcen'!$A$2:$AI$54,11,0)+VLOOKUP(G16,'Feuerwaffen-Ressourcen'!$A$2:$AI$54,11,0)</f>
        <v>3.8</v>
      </c>
      <c r="L16" s="60">
        <f>VLOOKUP(B16,'Feuerwaffen-Ressourcen'!$A$2:$AI$54,12,0)+VLOOKUP(C16,'Feuerwaffen-Ressourcen'!$A$2:$AI$54,12,0)+VLOOKUP(D16,'Feuerwaffen-Ressourcen'!$A$2:$AI$54,12,0)+VLOOKUP(J16,'Feuerwaffen-Ressourcen'!$A$2:$AI$54,12,0)</f>
        <v>10</v>
      </c>
      <c r="M16" s="60" t="str">
        <f>VLOOKUP(VLOOKUP(B16,'Feuerwaffen-Ressourcen'!$A$2:$AI$54,13,0)+VLOOKUP(C16,'Feuerwaffen-Ressourcen'!$A$2:$AI$54,13,0)+VLOOKUP(D16,'Feuerwaffen-Ressourcen'!$A$2:$AI$54,13,0),'Feuerwaffen-Ressourcen'!$AJ$3:$AK$12,2,0)</f>
        <v>W8</v>
      </c>
      <c r="N16" s="60" t="str">
        <f>VLOOKUP(VLOOKUP(B16,'Feuerwaffen-Ressourcen'!$A$2:$AI$54,14,0)+VLOOKUP(C16,'Feuerwaffen-Ressourcen'!$A$2:$AI$54,14,0)+VLOOKUP(D16,'Feuerwaffen-Ressourcen'!$A$2:$AI$54,14,0),'Feuerwaffen-Ressourcen'!$AJ$3:$AK$12,2,0)</f>
        <v>W8</v>
      </c>
      <c r="O16" s="60">
        <f>VLOOKUP(B16,'Feuerwaffen-Ressourcen'!$A$2:$AI$54,15,0)+VLOOKUP(C16,'Feuerwaffen-Ressourcen'!$A$2:$AI$54,15,0)+VLOOKUP(D16,'Feuerwaffen-Ressourcen'!$A$2:$AI$54,15,0)</f>
        <v>1</v>
      </c>
      <c r="P16" s="60">
        <f>VLOOKUP(B16,'Feuerwaffen-Ressourcen'!$A$2:$AI$54,16,0)+VLOOKUP(C16,'Feuerwaffen-Ressourcen'!$A$2:$AI$54,16,0)+VLOOKUP(D16,'Feuerwaffen-Ressourcen'!$A$2:$AI$54,16,0)+VLOOKUP(E16,'Feuerwaffen-Ressourcen'!$A$2:$AI$54,16,0)</f>
        <v>11</v>
      </c>
      <c r="Q16" s="62">
        <f>VLOOKUP(B16,'Feuerwaffen-Ressourcen'!$A$2:$AI$54,17,0)+VLOOKUP(C16,'Feuerwaffen-Ressourcen'!$A$2:$AI$54,17,0)+VLOOKUP(D16,'Feuerwaffen-Ressourcen'!$A$2:$AI$54,17,0)+VLOOKUP(E16,'Feuerwaffen-Ressourcen'!$A$2:$AI$54,17,0)</f>
        <v>17</v>
      </c>
      <c r="R16" s="60">
        <f>VLOOKUP(B16,'Feuerwaffen-Ressourcen'!$A$2:$AI$54,18,0)+VLOOKUP(C16,'Feuerwaffen-Ressourcen'!$A$2:$AI$54,18,0)+VLOOKUP(D16,'Feuerwaffen-Ressourcen'!$A$2:$AI$54,18,0)+VLOOKUP(F16,'Feuerwaffen-Ressourcen'!$A$2:$AI$54,18,0)+VLOOKUP(G16,'Feuerwaffen-Ressourcen'!$A$2:$AI$54,18,0)+VLOOKUP(I16,'Feuerwaffen-Ressourcen'!$A$2:$AI$54,18,0)+VLOOKUP(J16,'Feuerwaffen-Ressourcen'!$A$2:$AI$54,18,0)</f>
        <v>6</v>
      </c>
      <c r="S16" s="60">
        <f>VLOOKUP(B16,'Feuerwaffen-Ressourcen'!$A$2:$AI$54,19,0)+VLOOKUP(C16,'Feuerwaffen-Ressourcen'!$A$2:$AI$54,19,0)+VLOOKUP(D16,'Feuerwaffen-Ressourcen'!$A$2:$AI$54,19,0)+VLOOKUP(F16,'Feuerwaffen-Ressourcen'!$A$2:$AI$54,19,0)+VLOOKUP(G16,'Feuerwaffen-Ressourcen'!$A$2:$AI$54,19,0)+VLOOKUP(I16,'Feuerwaffen-Ressourcen'!$A$2:$AI$54,19,0)+VLOOKUP(J16,'Feuerwaffen-Ressourcen'!$A$2:$AI$54,19,0)</f>
        <v>1</v>
      </c>
      <c r="T16" s="60">
        <f>VLOOKUP(B16,'Feuerwaffen-Ressourcen'!$A$2:$AI$54,20,0)+VLOOKUP(C16,'Feuerwaffen-Ressourcen'!$A$2:$AI$54,20,0)+VLOOKUP(D16,'Feuerwaffen-Ressourcen'!$A$2:$AI$54,20,0)+VLOOKUP(F16,'Feuerwaffen-Ressourcen'!$A$2:$AI$54,20,0)+VLOOKUP(G16,'Feuerwaffen-Ressourcen'!$A$2:$AI$54,20,0)+VLOOKUP(I16,'Feuerwaffen-Ressourcen'!$A$2:$AI$54,20,0)+VLOOKUP(J16,'Feuerwaffen-Ressourcen'!$A$2:$AI$54,20,0)</f>
        <v>-4</v>
      </c>
      <c r="U16" s="60">
        <f>VLOOKUP(B16,'Feuerwaffen-Ressourcen'!$A$2:$AI$54,21,0)+VLOOKUP(C16,'Feuerwaffen-Ressourcen'!$A$2:$AI$54,21,0)+VLOOKUP(D16,'Feuerwaffen-Ressourcen'!$A$2:$AI$54,21,0)+VLOOKUP(F16,'Feuerwaffen-Ressourcen'!$A$2:$AI$54,21,0)+VLOOKUP(G16,'Feuerwaffen-Ressourcen'!$A$2:$AI$54,21,0)+VLOOKUP(I16,'Feuerwaffen-Ressourcen'!$A$2:$AI$54,21,0)+VLOOKUP(J16,'Feuerwaffen-Ressourcen'!$A$2:$AI$54,21,0)</f>
        <v>-10</v>
      </c>
      <c r="V16" s="60">
        <f>VLOOKUP(B16,'Feuerwaffen-Ressourcen'!$A$2:$AI$54,22,0)+VLOOKUP(C16,'Feuerwaffen-Ressourcen'!$A$2:$AI$54,22,0)+VLOOKUP(D16,'Feuerwaffen-Ressourcen'!$A$2:$AI$54,22,0)+VLOOKUP(F16,'Feuerwaffen-Ressourcen'!$A$2:$AI$54,22,0)+VLOOKUP(G16,'Feuerwaffen-Ressourcen'!$A$2:$AI$54,22,0)+VLOOKUP(I16,'Feuerwaffen-Ressourcen'!$A$2:$AI$54,22,0)+VLOOKUP(J16,'Feuerwaffen-Ressourcen'!$A$2:$AI$54,22,0)</f>
        <v>-17</v>
      </c>
      <c r="W16" s="60">
        <f>VLOOKUP(B16,'Feuerwaffen-Ressourcen'!$A$2:$AI$54,23,0)+VLOOKUP(C16,'Feuerwaffen-Ressourcen'!$A$2:$AI$54,23,0)+VLOOKUP(D16,'Feuerwaffen-Ressourcen'!$A$2:$AI$54,23,0)+VLOOKUP(F16,'Feuerwaffen-Ressourcen'!$A$2:$AI$54,23,0)+VLOOKUP(G16,'Feuerwaffen-Ressourcen'!$A$2:$AI$54,23,0)+VLOOKUP(I16,'Feuerwaffen-Ressourcen'!$A$2:$AI$54,23,0)+VLOOKUP(J16,'Feuerwaffen-Ressourcen'!$A$2:$AI$54,23,0)</f>
        <v>-25</v>
      </c>
      <c r="X16" s="60">
        <f>VLOOKUP(B16,'Feuerwaffen-Ressourcen'!$A$2:$AI$54,24,0)+VLOOKUP(C16,'Feuerwaffen-Ressourcen'!$A$2:$AI$54,24,0)+VLOOKUP(D16,'Feuerwaffen-Ressourcen'!$A$2:$AI$54,24,0)+VLOOKUP(G16,'Feuerwaffen-Ressourcen'!$A$2:$AI$54,24,0)</f>
        <v>60</v>
      </c>
      <c r="Y16" s="60">
        <f>VLOOKUP(D16,'Feuerwaffen-Ressourcen'!$A$2:$AI$54,25,0)+VLOOKUP(E16,'Feuerwaffen-Ressourcen'!$A$2:$AI$54,25,0)+VLOOKUP(F16,'Feuerwaffen-Ressourcen'!$A$2:$AI$54,25,0)</f>
        <v>30</v>
      </c>
      <c r="Z16" s="60">
        <f>VLOOKUP(E16,'Feuerwaffen-Ressourcen'!$A$2:$AI$54,26,0)</f>
        <v>3</v>
      </c>
      <c r="AA16" s="60">
        <f>VLOOKUP(B16,'Feuerwaffen-Ressourcen'!$A$2:$AI$54,27,0)+VLOOKUP(D16,'Feuerwaffen-Ressourcen'!$A$2:$AI$54,27,0)+VLOOKUP(F16,'Feuerwaffen-Ressourcen'!$A$2:$AI$54,27,0)+VLOOKUP(I16,'Feuerwaffen-Ressourcen'!$A$2:$AI$54,27,0)</f>
        <v>1</v>
      </c>
      <c r="AB16" s="60">
        <f>VLOOKUP(B16,'Feuerwaffen-Ressourcen'!$A$2:$AI$54,28,0)+VLOOKUP(C16,'Feuerwaffen-Ressourcen'!$A$2:$AI$54,28,0)+VLOOKUP(D16,'Feuerwaffen-Ressourcen'!$A$2:$AI$54,28,0)+VLOOKUP(E16,'Feuerwaffen-Ressourcen'!$A$2:$AI$54,28,0)+VLOOKUP(F16,'Feuerwaffen-Ressourcen'!$A$2:$AI$54,28,0)+VLOOKUP(G16,'Feuerwaffen-Ressourcen'!$A$2:$AI$54,28,0)+VLOOKUP(I16,'Feuerwaffen-Ressourcen'!$A$2:$AI$54,28,0)+VLOOKUP(J16,'Feuerwaffen-Ressourcen'!$A$2:$AI$54,28,0)</f>
        <v>120</v>
      </c>
      <c r="AC16" s="63">
        <f>VLOOKUP(I16,'Feuerwaffen-Ressourcen'!$A$2:$AI$54,31,0)*AD16+AE16</f>
        <v>254.7</v>
      </c>
      <c r="AD16" s="64">
        <f>VLOOKUP(B16,'Feuerwaffen-Ressourcen'!$A$2:$AI$54,30,0)+VLOOKUP(C16,'Feuerwaffen-Ressourcen'!$A$2:$AI$54,30,0)+VLOOKUP(D16,'Feuerwaffen-Ressourcen'!$A$2:$AI$54,30,0)+VLOOKUP(F16,'Feuerwaffen-Ressourcen'!$A$2:$AI$54,30,0)+VLOOKUP(G16,'Feuerwaffen-Ressourcen'!$A$2:$AI$54,30,0)+VLOOKUP(I16,'Feuerwaffen-Ressourcen'!$A$2:$AI$54,30,0)+VLOOKUP(J16,'Feuerwaffen-Ressourcen'!$A$2:$AI$54,30,0)</f>
        <v>6.1999999999999993</v>
      </c>
      <c r="AE16" s="63">
        <f>(VLOOKUP(C16,'Feuerwaffen-Ressourcen'!$A$2:$AI$54,32,0)+VLOOKUP(I16,'Feuerwaffen-Ressourcen'!$A$2:$AI$54,32,0))*(VLOOKUP(B16,'Feuerwaffen-Ressourcen'!$A$2:$AI$54,34,0)+VLOOKUP(C16,'Feuerwaffen-Ressourcen'!$A$2:$AI$54,34,0)+VLOOKUP(D16,'Feuerwaffen-Ressourcen'!$A$2:$AI$54,34,0)+VLOOKUP(E16,'Feuerwaffen-Ressourcen'!$A$2:$AI$54,34,0)+VLOOKUP(G16,'Feuerwaffen-Ressourcen'!$A$2:$AI$54,34,0))+VLOOKUP(B16,'Feuerwaffen-Ressourcen'!$A$2:$AI$54,35,0)+VLOOKUP(C16,'Feuerwaffen-Ressourcen'!$A$2:$AI$54,35,0)+VLOOKUP(D16,'Feuerwaffen-Ressourcen'!$A$2:$AI$54,35,0)</f>
        <v>229.9</v>
      </c>
      <c r="AF16" s="65">
        <f>VLOOKUP(AB16,'Feuerwaffen-Ressourcen'!$AO$3:$AP$9,2,1)</f>
        <v>4</v>
      </c>
      <c r="AG16" s="65">
        <v>0</v>
      </c>
    </row>
    <row r="17" spans="1:33">
      <c r="A17" s="59" t="s">
        <v>7132</v>
      </c>
      <c r="B17" s="59" t="s">
        <v>1421</v>
      </c>
      <c r="C17" s="59" t="s">
        <v>7215</v>
      </c>
      <c r="D17" s="59" t="s">
        <v>7222</v>
      </c>
      <c r="E17" s="59" t="s">
        <v>7123</v>
      </c>
      <c r="F17" s="59" t="s">
        <v>7224</v>
      </c>
      <c r="G17" s="59" t="s">
        <v>7225</v>
      </c>
      <c r="H17" s="59" t="s">
        <v>7124</v>
      </c>
      <c r="I17" s="59" t="s">
        <v>5768</v>
      </c>
      <c r="J17" s="59" t="s">
        <v>5748</v>
      </c>
      <c r="K17" s="61">
        <f>VLOOKUP(B17,'Feuerwaffen-Ressourcen'!$A$2:$AI$54,11,0)+VLOOKUP(C17,'Feuerwaffen-Ressourcen'!$A$2:$AI$54,11,0)+VLOOKUP(D17,'Feuerwaffen-Ressourcen'!$A$2:$AI$54,11,0)+VLOOKUP(E17,'Feuerwaffen-Ressourcen'!$A$2:$AI$54,11,0)+VLOOKUP(G17,'Feuerwaffen-Ressourcen'!$A$2:$AI$54,11,0)</f>
        <v>3.15</v>
      </c>
      <c r="L17" s="60">
        <f>VLOOKUP(B17,'Feuerwaffen-Ressourcen'!$A$2:$AI$54,12,0)+VLOOKUP(C17,'Feuerwaffen-Ressourcen'!$A$2:$AI$54,12,0)+VLOOKUP(D17,'Feuerwaffen-Ressourcen'!$A$2:$AI$54,12,0)+VLOOKUP(J17,'Feuerwaffen-Ressourcen'!$A$2:$AI$54,12,0)</f>
        <v>9</v>
      </c>
      <c r="M17" s="60" t="str">
        <f>VLOOKUP(VLOOKUP(B17,'Feuerwaffen-Ressourcen'!$A$2:$AI$54,13,0)+VLOOKUP(C17,'Feuerwaffen-Ressourcen'!$A$2:$AI$54,13,0)+VLOOKUP(D17,'Feuerwaffen-Ressourcen'!$A$2:$AI$54,13,0),'Feuerwaffen-Ressourcen'!$AJ$3:$AK$12,2,0)</f>
        <v>W8</v>
      </c>
      <c r="N17" s="60" t="str">
        <f>VLOOKUP(VLOOKUP(B17,'Feuerwaffen-Ressourcen'!$A$2:$AI$54,14,0)+VLOOKUP(C17,'Feuerwaffen-Ressourcen'!$A$2:$AI$54,14,0)+VLOOKUP(D17,'Feuerwaffen-Ressourcen'!$A$2:$AI$54,14,0),'Feuerwaffen-Ressourcen'!$AJ$3:$AK$12,2,0)</f>
        <v>W8</v>
      </c>
      <c r="O17" s="60">
        <f>VLOOKUP(B17,'Feuerwaffen-Ressourcen'!$A$2:$AI$54,15,0)+VLOOKUP(C17,'Feuerwaffen-Ressourcen'!$A$2:$AI$54,15,0)+VLOOKUP(D17,'Feuerwaffen-Ressourcen'!$A$2:$AI$54,15,0)</f>
        <v>1</v>
      </c>
      <c r="P17" s="60">
        <f>VLOOKUP(B17,'Feuerwaffen-Ressourcen'!$A$2:$AI$54,16,0)+VLOOKUP(C17,'Feuerwaffen-Ressourcen'!$A$2:$AI$54,16,0)+VLOOKUP(D17,'Feuerwaffen-Ressourcen'!$A$2:$AI$54,16,0)+VLOOKUP(E17,'Feuerwaffen-Ressourcen'!$A$2:$AI$54,16,0)</f>
        <v>17</v>
      </c>
      <c r="Q17" s="62">
        <f>VLOOKUP(B17,'Feuerwaffen-Ressourcen'!$A$2:$AI$54,17,0)+VLOOKUP(C17,'Feuerwaffen-Ressourcen'!$A$2:$AI$54,17,0)+VLOOKUP(D17,'Feuerwaffen-Ressourcen'!$A$2:$AI$54,17,0)+VLOOKUP(E17,'Feuerwaffen-Ressourcen'!$A$2:$AI$54,17,0)</f>
        <v>11</v>
      </c>
      <c r="R17" s="60">
        <f>VLOOKUP(B17,'Feuerwaffen-Ressourcen'!$A$2:$AI$54,18,0)+VLOOKUP(C17,'Feuerwaffen-Ressourcen'!$A$2:$AI$54,18,0)+VLOOKUP(D17,'Feuerwaffen-Ressourcen'!$A$2:$AI$54,18,0)+VLOOKUP(F17,'Feuerwaffen-Ressourcen'!$A$2:$AI$54,18,0)+VLOOKUP(G17,'Feuerwaffen-Ressourcen'!$A$2:$AI$54,18,0)+VLOOKUP(I17,'Feuerwaffen-Ressourcen'!$A$2:$AI$54,18,0)+VLOOKUP(J17,'Feuerwaffen-Ressourcen'!$A$2:$AI$54,18,0)</f>
        <v>12</v>
      </c>
      <c r="S17" s="60">
        <f>VLOOKUP(B17,'Feuerwaffen-Ressourcen'!$A$2:$AI$54,19,0)+VLOOKUP(C17,'Feuerwaffen-Ressourcen'!$A$2:$AI$54,19,0)+VLOOKUP(D17,'Feuerwaffen-Ressourcen'!$A$2:$AI$54,19,0)+VLOOKUP(F17,'Feuerwaffen-Ressourcen'!$A$2:$AI$54,19,0)+VLOOKUP(G17,'Feuerwaffen-Ressourcen'!$A$2:$AI$54,19,0)+VLOOKUP(I17,'Feuerwaffen-Ressourcen'!$A$2:$AI$54,19,0)+VLOOKUP(J17,'Feuerwaffen-Ressourcen'!$A$2:$AI$54,19,0)</f>
        <v>6</v>
      </c>
      <c r="T17" s="60">
        <f>VLOOKUP(B17,'Feuerwaffen-Ressourcen'!$A$2:$AI$54,20,0)+VLOOKUP(C17,'Feuerwaffen-Ressourcen'!$A$2:$AI$54,20,0)+VLOOKUP(D17,'Feuerwaffen-Ressourcen'!$A$2:$AI$54,20,0)+VLOOKUP(F17,'Feuerwaffen-Ressourcen'!$A$2:$AI$54,20,0)+VLOOKUP(G17,'Feuerwaffen-Ressourcen'!$A$2:$AI$54,20,0)+VLOOKUP(I17,'Feuerwaffen-Ressourcen'!$A$2:$AI$54,20,0)+VLOOKUP(J17,'Feuerwaffen-Ressourcen'!$A$2:$AI$54,20,0)</f>
        <v>-1</v>
      </c>
      <c r="U17" s="60">
        <f>VLOOKUP(B17,'Feuerwaffen-Ressourcen'!$A$2:$AI$54,21,0)+VLOOKUP(C17,'Feuerwaffen-Ressourcen'!$A$2:$AI$54,21,0)+VLOOKUP(D17,'Feuerwaffen-Ressourcen'!$A$2:$AI$54,21,0)+VLOOKUP(F17,'Feuerwaffen-Ressourcen'!$A$2:$AI$54,21,0)+VLOOKUP(G17,'Feuerwaffen-Ressourcen'!$A$2:$AI$54,21,0)+VLOOKUP(I17,'Feuerwaffen-Ressourcen'!$A$2:$AI$54,21,0)+VLOOKUP(J17,'Feuerwaffen-Ressourcen'!$A$2:$AI$54,21,0)</f>
        <v>-10</v>
      </c>
      <c r="V17" s="60">
        <f>VLOOKUP(B17,'Feuerwaffen-Ressourcen'!$A$2:$AI$54,22,0)+VLOOKUP(C17,'Feuerwaffen-Ressourcen'!$A$2:$AI$54,22,0)+VLOOKUP(D17,'Feuerwaffen-Ressourcen'!$A$2:$AI$54,22,0)+VLOOKUP(F17,'Feuerwaffen-Ressourcen'!$A$2:$AI$54,22,0)+VLOOKUP(G17,'Feuerwaffen-Ressourcen'!$A$2:$AI$54,22,0)+VLOOKUP(I17,'Feuerwaffen-Ressourcen'!$A$2:$AI$54,22,0)+VLOOKUP(J17,'Feuerwaffen-Ressourcen'!$A$2:$AI$54,22,0)</f>
        <v>-20</v>
      </c>
      <c r="W17" s="60">
        <f>VLOOKUP(B17,'Feuerwaffen-Ressourcen'!$A$2:$AI$54,23,0)+VLOOKUP(C17,'Feuerwaffen-Ressourcen'!$A$2:$AI$54,23,0)+VLOOKUP(D17,'Feuerwaffen-Ressourcen'!$A$2:$AI$54,23,0)+VLOOKUP(F17,'Feuerwaffen-Ressourcen'!$A$2:$AI$54,23,0)+VLOOKUP(G17,'Feuerwaffen-Ressourcen'!$A$2:$AI$54,23,0)+VLOOKUP(I17,'Feuerwaffen-Ressourcen'!$A$2:$AI$54,23,0)+VLOOKUP(J17,'Feuerwaffen-Ressourcen'!$A$2:$AI$54,23,0)</f>
        <v>-30</v>
      </c>
      <c r="X17" s="60">
        <f>VLOOKUP(B17,'Feuerwaffen-Ressourcen'!$A$2:$AI$54,24,0)+VLOOKUP(C17,'Feuerwaffen-Ressourcen'!$A$2:$AI$54,24,0)+VLOOKUP(D17,'Feuerwaffen-Ressourcen'!$A$2:$AI$54,24,0)+VLOOKUP(G17,'Feuerwaffen-Ressourcen'!$A$2:$AI$54,24,0)</f>
        <v>80</v>
      </c>
      <c r="Y17" s="60">
        <f>VLOOKUP(D17,'Feuerwaffen-Ressourcen'!$A$2:$AI$54,25,0)+VLOOKUP(E17,'Feuerwaffen-Ressourcen'!$A$2:$AI$54,25,0)+VLOOKUP(F17,'Feuerwaffen-Ressourcen'!$A$2:$AI$54,25,0)</f>
        <v>9</v>
      </c>
      <c r="Z17" s="60">
        <f>VLOOKUP(E17,'Feuerwaffen-Ressourcen'!$A$2:$AI$54,26,0)</f>
        <v>6</v>
      </c>
      <c r="AA17" s="60">
        <f>VLOOKUP(B17,'Feuerwaffen-Ressourcen'!$A$2:$AI$54,27,0)+VLOOKUP(D17,'Feuerwaffen-Ressourcen'!$A$2:$AI$54,27,0)+VLOOKUP(F17,'Feuerwaffen-Ressourcen'!$A$2:$AI$54,27,0)+VLOOKUP(I17,'Feuerwaffen-Ressourcen'!$A$2:$AI$54,27,0)</f>
        <v>-2</v>
      </c>
      <c r="AB17" s="60">
        <f>VLOOKUP(B17,'Feuerwaffen-Ressourcen'!$A$2:$AI$54,28,0)+VLOOKUP(C17,'Feuerwaffen-Ressourcen'!$A$2:$AI$54,28,0)+VLOOKUP(D17,'Feuerwaffen-Ressourcen'!$A$2:$AI$54,28,0)+VLOOKUP(E17,'Feuerwaffen-Ressourcen'!$A$2:$AI$54,28,0)+VLOOKUP(F17,'Feuerwaffen-Ressourcen'!$A$2:$AI$54,28,0)+VLOOKUP(G17,'Feuerwaffen-Ressourcen'!$A$2:$AI$54,28,0)+VLOOKUP(I17,'Feuerwaffen-Ressourcen'!$A$2:$AI$54,28,0)+VLOOKUP(J17,'Feuerwaffen-Ressourcen'!$A$2:$AI$54,28,0)</f>
        <v>50</v>
      </c>
      <c r="AC17" s="63">
        <f>VLOOKUP(I17,'Feuerwaffen-Ressourcen'!$A$2:$AI$54,31,0)*AD17+AE17</f>
        <v>206.59999999999997</v>
      </c>
      <c r="AD17" s="64">
        <f>VLOOKUP(B17,'Feuerwaffen-Ressourcen'!$A$2:$AI$54,30,0)+VLOOKUP(C17,'Feuerwaffen-Ressourcen'!$A$2:$AI$54,30,0)+VLOOKUP(D17,'Feuerwaffen-Ressourcen'!$A$2:$AI$54,30,0)+VLOOKUP(F17,'Feuerwaffen-Ressourcen'!$A$2:$AI$54,30,0)+VLOOKUP(G17,'Feuerwaffen-Ressourcen'!$A$2:$AI$54,30,0)+VLOOKUP(I17,'Feuerwaffen-Ressourcen'!$A$2:$AI$54,30,0)+VLOOKUP(J17,'Feuerwaffen-Ressourcen'!$A$2:$AI$54,30,0)</f>
        <v>10.7</v>
      </c>
      <c r="AE17" s="63">
        <f>(VLOOKUP(C17,'Feuerwaffen-Ressourcen'!$A$2:$AI$54,32,0)+VLOOKUP(I17,'Feuerwaffen-Ressourcen'!$A$2:$AI$54,32,0))*(VLOOKUP(B17,'Feuerwaffen-Ressourcen'!$A$2:$AI$54,34,0)+VLOOKUP(C17,'Feuerwaffen-Ressourcen'!$A$2:$AI$54,34,0)+VLOOKUP(D17,'Feuerwaffen-Ressourcen'!$A$2:$AI$54,34,0)+VLOOKUP(E17,'Feuerwaffen-Ressourcen'!$A$2:$AI$54,34,0)+VLOOKUP(G17,'Feuerwaffen-Ressourcen'!$A$2:$AI$54,34,0))+VLOOKUP(B17,'Feuerwaffen-Ressourcen'!$A$2:$AI$54,35,0)+VLOOKUP(C17,'Feuerwaffen-Ressourcen'!$A$2:$AI$54,35,0)+VLOOKUP(D17,'Feuerwaffen-Ressourcen'!$A$2:$AI$54,35,0)</f>
        <v>163.79999999999998</v>
      </c>
      <c r="AF17" s="65">
        <f>VLOOKUP(AB17,'Feuerwaffen-Ressourcen'!$AO$3:$AP$9,2,1)</f>
        <v>7</v>
      </c>
      <c r="AG17" s="65">
        <v>0</v>
      </c>
    </row>
    <row r="18" spans="1:33">
      <c r="A18" s="59" t="s">
        <v>7133</v>
      </c>
      <c r="B18" s="59" t="s">
        <v>1421</v>
      </c>
      <c r="C18" s="59" t="s">
        <v>7215</v>
      </c>
      <c r="D18" s="59" t="s">
        <v>7228</v>
      </c>
      <c r="E18" s="59" t="s">
        <v>6501</v>
      </c>
      <c r="F18" s="59" t="s">
        <v>7229</v>
      </c>
      <c r="G18" s="59" t="s">
        <v>7225</v>
      </c>
      <c r="H18" s="59" t="s">
        <v>6514</v>
      </c>
      <c r="I18" s="59" t="s">
        <v>5768</v>
      </c>
      <c r="J18" s="59" t="s">
        <v>5748</v>
      </c>
      <c r="K18" s="61">
        <f>VLOOKUP(B18,'Feuerwaffen-Ressourcen'!$A$2:$AI$54,11,0)+VLOOKUP(C18,'Feuerwaffen-Ressourcen'!$A$2:$AI$54,11,0)+VLOOKUP(D18,'Feuerwaffen-Ressourcen'!$A$2:$AI$54,11,0)+VLOOKUP(E18,'Feuerwaffen-Ressourcen'!$A$2:$AI$54,11,0)+VLOOKUP(G18,'Feuerwaffen-Ressourcen'!$A$2:$AI$54,11,0)</f>
        <v>3.9499999999999997</v>
      </c>
      <c r="L18" s="60">
        <f>VLOOKUP(B18,'Feuerwaffen-Ressourcen'!$A$2:$AI$54,12,0)+VLOOKUP(C18,'Feuerwaffen-Ressourcen'!$A$2:$AI$54,12,0)+VLOOKUP(D18,'Feuerwaffen-Ressourcen'!$A$2:$AI$54,12,0)+VLOOKUP(J18,'Feuerwaffen-Ressourcen'!$A$2:$AI$54,12,0)</f>
        <v>10</v>
      </c>
      <c r="M18" s="60" t="str">
        <f>VLOOKUP(VLOOKUP(B18,'Feuerwaffen-Ressourcen'!$A$2:$AI$54,13,0)+VLOOKUP(C18,'Feuerwaffen-Ressourcen'!$A$2:$AI$54,13,0)+VLOOKUP(D18,'Feuerwaffen-Ressourcen'!$A$2:$AI$54,13,0),'Feuerwaffen-Ressourcen'!$AJ$3:$AK$12,2,0)</f>
        <v>W8</v>
      </c>
      <c r="N18" s="60" t="str">
        <f>VLOOKUP(VLOOKUP(B18,'Feuerwaffen-Ressourcen'!$A$2:$AI$54,14,0)+VLOOKUP(C18,'Feuerwaffen-Ressourcen'!$A$2:$AI$54,14,0)+VLOOKUP(D18,'Feuerwaffen-Ressourcen'!$A$2:$AI$54,14,0),'Feuerwaffen-Ressourcen'!$AJ$3:$AK$12,2,0)</f>
        <v>W8</v>
      </c>
      <c r="O18" s="60">
        <f>VLOOKUP(B18,'Feuerwaffen-Ressourcen'!$A$2:$AI$54,15,0)+VLOOKUP(C18,'Feuerwaffen-Ressourcen'!$A$2:$AI$54,15,0)+VLOOKUP(D18,'Feuerwaffen-Ressourcen'!$A$2:$AI$54,15,0)</f>
        <v>2</v>
      </c>
      <c r="P18" s="60">
        <f>VLOOKUP(B18,'Feuerwaffen-Ressourcen'!$A$2:$AI$54,16,0)+VLOOKUP(C18,'Feuerwaffen-Ressourcen'!$A$2:$AI$54,16,0)+VLOOKUP(D18,'Feuerwaffen-Ressourcen'!$A$2:$AI$54,16,0)+VLOOKUP(E18,'Feuerwaffen-Ressourcen'!$A$2:$AI$54,16,0)</f>
        <v>11</v>
      </c>
      <c r="Q18" s="62">
        <f>VLOOKUP(B18,'Feuerwaffen-Ressourcen'!$A$2:$AI$54,17,0)+VLOOKUP(C18,'Feuerwaffen-Ressourcen'!$A$2:$AI$54,17,0)+VLOOKUP(D18,'Feuerwaffen-Ressourcen'!$A$2:$AI$54,17,0)+VLOOKUP(E18,'Feuerwaffen-Ressourcen'!$A$2:$AI$54,17,0)</f>
        <v>17</v>
      </c>
      <c r="R18" s="60">
        <f>VLOOKUP(B18,'Feuerwaffen-Ressourcen'!$A$2:$AI$54,18,0)+VLOOKUP(C18,'Feuerwaffen-Ressourcen'!$A$2:$AI$54,18,0)+VLOOKUP(D18,'Feuerwaffen-Ressourcen'!$A$2:$AI$54,18,0)+VLOOKUP(F18,'Feuerwaffen-Ressourcen'!$A$2:$AI$54,18,0)+VLOOKUP(G18,'Feuerwaffen-Ressourcen'!$A$2:$AI$54,18,0)+VLOOKUP(I18,'Feuerwaffen-Ressourcen'!$A$2:$AI$54,18,0)+VLOOKUP(J18,'Feuerwaffen-Ressourcen'!$A$2:$AI$54,18,0)</f>
        <v>8</v>
      </c>
      <c r="S18" s="60">
        <f>VLOOKUP(B18,'Feuerwaffen-Ressourcen'!$A$2:$AI$54,19,0)+VLOOKUP(C18,'Feuerwaffen-Ressourcen'!$A$2:$AI$54,19,0)+VLOOKUP(D18,'Feuerwaffen-Ressourcen'!$A$2:$AI$54,19,0)+VLOOKUP(F18,'Feuerwaffen-Ressourcen'!$A$2:$AI$54,19,0)+VLOOKUP(G18,'Feuerwaffen-Ressourcen'!$A$2:$AI$54,19,0)+VLOOKUP(I18,'Feuerwaffen-Ressourcen'!$A$2:$AI$54,19,0)+VLOOKUP(J18,'Feuerwaffen-Ressourcen'!$A$2:$AI$54,19,0)</f>
        <v>5</v>
      </c>
      <c r="T18" s="60">
        <f>VLOOKUP(B18,'Feuerwaffen-Ressourcen'!$A$2:$AI$54,20,0)+VLOOKUP(C18,'Feuerwaffen-Ressourcen'!$A$2:$AI$54,20,0)+VLOOKUP(D18,'Feuerwaffen-Ressourcen'!$A$2:$AI$54,20,0)+VLOOKUP(F18,'Feuerwaffen-Ressourcen'!$A$2:$AI$54,20,0)+VLOOKUP(G18,'Feuerwaffen-Ressourcen'!$A$2:$AI$54,20,0)+VLOOKUP(I18,'Feuerwaffen-Ressourcen'!$A$2:$AI$54,20,0)+VLOOKUP(J18,'Feuerwaffen-Ressourcen'!$A$2:$AI$54,20,0)</f>
        <v>1</v>
      </c>
      <c r="U18" s="60">
        <f>VLOOKUP(B18,'Feuerwaffen-Ressourcen'!$A$2:$AI$54,21,0)+VLOOKUP(C18,'Feuerwaffen-Ressourcen'!$A$2:$AI$54,21,0)+VLOOKUP(D18,'Feuerwaffen-Ressourcen'!$A$2:$AI$54,21,0)+VLOOKUP(F18,'Feuerwaffen-Ressourcen'!$A$2:$AI$54,21,0)+VLOOKUP(G18,'Feuerwaffen-Ressourcen'!$A$2:$AI$54,21,0)+VLOOKUP(I18,'Feuerwaffen-Ressourcen'!$A$2:$AI$54,21,0)+VLOOKUP(J18,'Feuerwaffen-Ressourcen'!$A$2:$AI$54,21,0)</f>
        <v>-5</v>
      </c>
      <c r="V18" s="60">
        <f>VLOOKUP(B18,'Feuerwaffen-Ressourcen'!$A$2:$AI$54,22,0)+VLOOKUP(C18,'Feuerwaffen-Ressourcen'!$A$2:$AI$54,22,0)+VLOOKUP(D18,'Feuerwaffen-Ressourcen'!$A$2:$AI$54,22,0)+VLOOKUP(F18,'Feuerwaffen-Ressourcen'!$A$2:$AI$54,22,0)+VLOOKUP(G18,'Feuerwaffen-Ressourcen'!$A$2:$AI$54,22,0)+VLOOKUP(I18,'Feuerwaffen-Ressourcen'!$A$2:$AI$54,22,0)+VLOOKUP(J18,'Feuerwaffen-Ressourcen'!$A$2:$AI$54,22,0)</f>
        <v>-12</v>
      </c>
      <c r="W18" s="60">
        <f>VLOOKUP(B18,'Feuerwaffen-Ressourcen'!$A$2:$AI$54,23,0)+VLOOKUP(C18,'Feuerwaffen-Ressourcen'!$A$2:$AI$54,23,0)+VLOOKUP(D18,'Feuerwaffen-Ressourcen'!$A$2:$AI$54,23,0)+VLOOKUP(F18,'Feuerwaffen-Ressourcen'!$A$2:$AI$54,23,0)+VLOOKUP(G18,'Feuerwaffen-Ressourcen'!$A$2:$AI$54,23,0)+VLOOKUP(I18,'Feuerwaffen-Ressourcen'!$A$2:$AI$54,23,0)+VLOOKUP(J18,'Feuerwaffen-Ressourcen'!$A$2:$AI$54,23,0)</f>
        <v>-19</v>
      </c>
      <c r="X18" s="60">
        <f>VLOOKUP(B18,'Feuerwaffen-Ressourcen'!$A$2:$AI$54,24,0)+VLOOKUP(C18,'Feuerwaffen-Ressourcen'!$A$2:$AI$54,24,0)+VLOOKUP(D18,'Feuerwaffen-Ressourcen'!$A$2:$AI$54,24,0)+VLOOKUP(G18,'Feuerwaffen-Ressourcen'!$A$2:$AI$54,24,0)</f>
        <v>100</v>
      </c>
      <c r="Y18" s="60">
        <f>VLOOKUP(D18,'Feuerwaffen-Ressourcen'!$A$2:$AI$54,25,0)+VLOOKUP(E18,'Feuerwaffen-Ressourcen'!$A$2:$AI$54,25,0)+VLOOKUP(F18,'Feuerwaffen-Ressourcen'!$A$2:$AI$54,25,0)</f>
        <v>29</v>
      </c>
      <c r="Z18" s="60">
        <f>VLOOKUP(E18,'Feuerwaffen-Ressourcen'!$A$2:$AI$54,26,0)</f>
        <v>3</v>
      </c>
      <c r="AA18" s="60">
        <f>VLOOKUP(B18,'Feuerwaffen-Ressourcen'!$A$2:$AI$54,27,0)+VLOOKUP(D18,'Feuerwaffen-Ressourcen'!$A$2:$AI$54,27,0)+VLOOKUP(F18,'Feuerwaffen-Ressourcen'!$A$2:$AI$54,27,0)+VLOOKUP(I18,'Feuerwaffen-Ressourcen'!$A$2:$AI$54,27,0)</f>
        <v>0</v>
      </c>
      <c r="AB18" s="60">
        <f>VLOOKUP(B18,'Feuerwaffen-Ressourcen'!$A$2:$AI$54,28,0)+VLOOKUP(C18,'Feuerwaffen-Ressourcen'!$A$2:$AI$54,28,0)+VLOOKUP(D18,'Feuerwaffen-Ressourcen'!$A$2:$AI$54,28,0)+VLOOKUP(E18,'Feuerwaffen-Ressourcen'!$A$2:$AI$54,28,0)+VLOOKUP(F18,'Feuerwaffen-Ressourcen'!$A$2:$AI$54,28,0)+VLOOKUP(G18,'Feuerwaffen-Ressourcen'!$A$2:$AI$54,28,0)+VLOOKUP(I18,'Feuerwaffen-Ressourcen'!$A$2:$AI$54,28,0)+VLOOKUP(J18,'Feuerwaffen-Ressourcen'!$A$2:$AI$54,28,0)</f>
        <v>85</v>
      </c>
      <c r="AC18" s="63">
        <f>VLOOKUP(I18,'Feuerwaffen-Ressourcen'!$A$2:$AI$54,31,0)*AD18+AE18</f>
        <v>290.7</v>
      </c>
      <c r="AD18" s="64">
        <f>VLOOKUP(B18,'Feuerwaffen-Ressourcen'!$A$2:$AI$54,30,0)+VLOOKUP(C18,'Feuerwaffen-Ressourcen'!$A$2:$AI$54,30,0)+VLOOKUP(D18,'Feuerwaffen-Ressourcen'!$A$2:$AI$54,30,0)+VLOOKUP(F18,'Feuerwaffen-Ressourcen'!$A$2:$AI$54,30,0)+VLOOKUP(G18,'Feuerwaffen-Ressourcen'!$A$2:$AI$54,30,0)+VLOOKUP(I18,'Feuerwaffen-Ressourcen'!$A$2:$AI$54,30,0)+VLOOKUP(J18,'Feuerwaffen-Ressourcen'!$A$2:$AI$54,30,0)</f>
        <v>10.7</v>
      </c>
      <c r="AE18" s="63">
        <f>(VLOOKUP(C18,'Feuerwaffen-Ressourcen'!$A$2:$AI$54,32,0)+VLOOKUP(I18,'Feuerwaffen-Ressourcen'!$A$2:$AI$54,32,0))*(VLOOKUP(B18,'Feuerwaffen-Ressourcen'!$A$2:$AI$54,34,0)+VLOOKUP(C18,'Feuerwaffen-Ressourcen'!$A$2:$AI$54,34,0)+VLOOKUP(D18,'Feuerwaffen-Ressourcen'!$A$2:$AI$54,34,0)+VLOOKUP(E18,'Feuerwaffen-Ressourcen'!$A$2:$AI$54,34,0)+VLOOKUP(G18,'Feuerwaffen-Ressourcen'!$A$2:$AI$54,34,0))+VLOOKUP(B18,'Feuerwaffen-Ressourcen'!$A$2:$AI$54,35,0)+VLOOKUP(C18,'Feuerwaffen-Ressourcen'!$A$2:$AI$54,35,0)+VLOOKUP(D18,'Feuerwaffen-Ressourcen'!$A$2:$AI$54,35,0)</f>
        <v>247.89999999999998</v>
      </c>
      <c r="AF18" s="65">
        <f>VLOOKUP(AB18,'Feuerwaffen-Ressourcen'!$AO$3:$AP$9,2,1)</f>
        <v>6</v>
      </c>
      <c r="AG18" s="65">
        <v>0</v>
      </c>
    </row>
    <row r="19" spans="1:33">
      <c r="A19" s="59" t="s">
        <v>7134</v>
      </c>
      <c r="B19" s="59" t="s">
        <v>1421</v>
      </c>
      <c r="C19" s="59" t="s">
        <v>7215</v>
      </c>
      <c r="D19" s="59" t="s">
        <v>7230</v>
      </c>
      <c r="E19" s="59" t="s">
        <v>7123</v>
      </c>
      <c r="F19" s="59" t="s">
        <v>7224</v>
      </c>
      <c r="G19" s="59" t="s">
        <v>7225</v>
      </c>
      <c r="H19" s="59" t="s">
        <v>7124</v>
      </c>
      <c r="I19" s="59" t="s">
        <v>5768</v>
      </c>
      <c r="J19" s="59" t="s">
        <v>5748</v>
      </c>
      <c r="K19" s="61">
        <f>VLOOKUP(B19,'Feuerwaffen-Ressourcen'!$A$2:$AI$54,11,0)+VLOOKUP(C19,'Feuerwaffen-Ressourcen'!$A$2:$AI$54,11,0)+VLOOKUP(D19,'Feuerwaffen-Ressourcen'!$A$2:$AI$54,11,0)+VLOOKUP(E19,'Feuerwaffen-Ressourcen'!$A$2:$AI$54,11,0)+VLOOKUP(G19,'Feuerwaffen-Ressourcen'!$A$2:$AI$54,11,0)</f>
        <v>4.75</v>
      </c>
      <c r="L19" s="60">
        <f>VLOOKUP(B19,'Feuerwaffen-Ressourcen'!$A$2:$AI$54,12,0)+VLOOKUP(C19,'Feuerwaffen-Ressourcen'!$A$2:$AI$54,12,0)+VLOOKUP(D19,'Feuerwaffen-Ressourcen'!$A$2:$AI$54,12,0)+VLOOKUP(J19,'Feuerwaffen-Ressourcen'!$A$2:$AI$54,12,0)</f>
        <v>10</v>
      </c>
      <c r="M19" s="60" t="str">
        <f>VLOOKUP(VLOOKUP(B19,'Feuerwaffen-Ressourcen'!$A$2:$AI$54,13,0)+VLOOKUP(C19,'Feuerwaffen-Ressourcen'!$A$2:$AI$54,13,0)+VLOOKUP(D19,'Feuerwaffen-Ressourcen'!$A$2:$AI$54,13,0),'Feuerwaffen-Ressourcen'!$AJ$3:$AK$12,2,0)</f>
        <v>W8</v>
      </c>
      <c r="N19" s="60" t="str">
        <f>VLOOKUP(VLOOKUP(B19,'Feuerwaffen-Ressourcen'!$A$2:$AI$54,14,0)+VLOOKUP(C19,'Feuerwaffen-Ressourcen'!$A$2:$AI$54,14,0)+VLOOKUP(D19,'Feuerwaffen-Ressourcen'!$A$2:$AI$54,14,0),'Feuerwaffen-Ressourcen'!$AJ$3:$AK$12,2,0)</f>
        <v>W8</v>
      </c>
      <c r="O19" s="60">
        <f>VLOOKUP(B19,'Feuerwaffen-Ressourcen'!$A$2:$AI$54,15,0)+VLOOKUP(C19,'Feuerwaffen-Ressourcen'!$A$2:$AI$54,15,0)+VLOOKUP(D19,'Feuerwaffen-Ressourcen'!$A$2:$AI$54,15,0)</f>
        <v>3</v>
      </c>
      <c r="P19" s="60">
        <f>VLOOKUP(B19,'Feuerwaffen-Ressourcen'!$A$2:$AI$54,16,0)+VLOOKUP(C19,'Feuerwaffen-Ressourcen'!$A$2:$AI$54,16,0)+VLOOKUP(D19,'Feuerwaffen-Ressourcen'!$A$2:$AI$54,16,0)+VLOOKUP(E19,'Feuerwaffen-Ressourcen'!$A$2:$AI$54,16,0)</f>
        <v>17</v>
      </c>
      <c r="Q19" s="62">
        <f>VLOOKUP(B19,'Feuerwaffen-Ressourcen'!$A$2:$AI$54,17,0)+VLOOKUP(C19,'Feuerwaffen-Ressourcen'!$A$2:$AI$54,17,0)+VLOOKUP(D19,'Feuerwaffen-Ressourcen'!$A$2:$AI$54,17,0)+VLOOKUP(E19,'Feuerwaffen-Ressourcen'!$A$2:$AI$54,17,0)</f>
        <v>11</v>
      </c>
      <c r="R19" s="60">
        <f>VLOOKUP(B19,'Feuerwaffen-Ressourcen'!$A$2:$AI$54,18,0)+VLOOKUP(C19,'Feuerwaffen-Ressourcen'!$A$2:$AI$54,18,0)+VLOOKUP(D19,'Feuerwaffen-Ressourcen'!$A$2:$AI$54,18,0)+VLOOKUP(F19,'Feuerwaffen-Ressourcen'!$A$2:$AI$54,18,0)+VLOOKUP(G19,'Feuerwaffen-Ressourcen'!$A$2:$AI$54,18,0)+VLOOKUP(I19,'Feuerwaffen-Ressourcen'!$A$2:$AI$54,18,0)+VLOOKUP(J19,'Feuerwaffen-Ressourcen'!$A$2:$AI$54,18,0)</f>
        <v>8</v>
      </c>
      <c r="S19" s="60">
        <f>VLOOKUP(B19,'Feuerwaffen-Ressourcen'!$A$2:$AI$54,19,0)+VLOOKUP(C19,'Feuerwaffen-Ressourcen'!$A$2:$AI$54,19,0)+VLOOKUP(D19,'Feuerwaffen-Ressourcen'!$A$2:$AI$54,19,0)+VLOOKUP(F19,'Feuerwaffen-Ressourcen'!$A$2:$AI$54,19,0)+VLOOKUP(G19,'Feuerwaffen-Ressourcen'!$A$2:$AI$54,19,0)+VLOOKUP(I19,'Feuerwaffen-Ressourcen'!$A$2:$AI$54,19,0)+VLOOKUP(J19,'Feuerwaffen-Ressourcen'!$A$2:$AI$54,19,0)</f>
        <v>6</v>
      </c>
      <c r="T19" s="60">
        <f>VLOOKUP(B19,'Feuerwaffen-Ressourcen'!$A$2:$AI$54,20,0)+VLOOKUP(C19,'Feuerwaffen-Ressourcen'!$A$2:$AI$54,20,0)+VLOOKUP(D19,'Feuerwaffen-Ressourcen'!$A$2:$AI$54,20,0)+VLOOKUP(F19,'Feuerwaffen-Ressourcen'!$A$2:$AI$54,20,0)+VLOOKUP(G19,'Feuerwaffen-Ressourcen'!$A$2:$AI$54,20,0)+VLOOKUP(I19,'Feuerwaffen-Ressourcen'!$A$2:$AI$54,20,0)+VLOOKUP(J19,'Feuerwaffen-Ressourcen'!$A$2:$AI$54,20,0)</f>
        <v>3</v>
      </c>
      <c r="U19" s="60">
        <f>VLOOKUP(B19,'Feuerwaffen-Ressourcen'!$A$2:$AI$54,21,0)+VLOOKUP(C19,'Feuerwaffen-Ressourcen'!$A$2:$AI$54,21,0)+VLOOKUP(D19,'Feuerwaffen-Ressourcen'!$A$2:$AI$54,21,0)+VLOOKUP(F19,'Feuerwaffen-Ressourcen'!$A$2:$AI$54,21,0)+VLOOKUP(G19,'Feuerwaffen-Ressourcen'!$A$2:$AI$54,21,0)+VLOOKUP(I19,'Feuerwaffen-Ressourcen'!$A$2:$AI$54,21,0)+VLOOKUP(J19,'Feuerwaffen-Ressourcen'!$A$2:$AI$54,21,0)</f>
        <v>-3</v>
      </c>
      <c r="V19" s="60">
        <f>VLOOKUP(B19,'Feuerwaffen-Ressourcen'!$A$2:$AI$54,22,0)+VLOOKUP(C19,'Feuerwaffen-Ressourcen'!$A$2:$AI$54,22,0)+VLOOKUP(D19,'Feuerwaffen-Ressourcen'!$A$2:$AI$54,22,0)+VLOOKUP(F19,'Feuerwaffen-Ressourcen'!$A$2:$AI$54,22,0)+VLOOKUP(G19,'Feuerwaffen-Ressourcen'!$A$2:$AI$54,22,0)+VLOOKUP(I19,'Feuerwaffen-Ressourcen'!$A$2:$AI$54,22,0)+VLOOKUP(J19,'Feuerwaffen-Ressourcen'!$A$2:$AI$54,22,0)</f>
        <v>-10</v>
      </c>
      <c r="W19" s="60">
        <f>VLOOKUP(B19,'Feuerwaffen-Ressourcen'!$A$2:$AI$54,23,0)+VLOOKUP(C19,'Feuerwaffen-Ressourcen'!$A$2:$AI$54,23,0)+VLOOKUP(D19,'Feuerwaffen-Ressourcen'!$A$2:$AI$54,23,0)+VLOOKUP(F19,'Feuerwaffen-Ressourcen'!$A$2:$AI$54,23,0)+VLOOKUP(G19,'Feuerwaffen-Ressourcen'!$A$2:$AI$54,23,0)+VLOOKUP(I19,'Feuerwaffen-Ressourcen'!$A$2:$AI$54,23,0)+VLOOKUP(J19,'Feuerwaffen-Ressourcen'!$A$2:$AI$54,23,0)</f>
        <v>-17</v>
      </c>
      <c r="X19" s="60">
        <f>VLOOKUP(B19,'Feuerwaffen-Ressourcen'!$A$2:$AI$54,24,0)+VLOOKUP(C19,'Feuerwaffen-Ressourcen'!$A$2:$AI$54,24,0)+VLOOKUP(D19,'Feuerwaffen-Ressourcen'!$A$2:$AI$54,24,0)+VLOOKUP(G19,'Feuerwaffen-Ressourcen'!$A$2:$AI$54,24,0)</f>
        <v>120</v>
      </c>
      <c r="Y19" s="60">
        <f>VLOOKUP(D19,'Feuerwaffen-Ressourcen'!$A$2:$AI$54,25,0)+VLOOKUP(E19,'Feuerwaffen-Ressourcen'!$A$2:$AI$54,25,0)+VLOOKUP(F19,'Feuerwaffen-Ressourcen'!$A$2:$AI$54,25,0)</f>
        <v>10</v>
      </c>
      <c r="Z19" s="60">
        <f>VLOOKUP(E19,'Feuerwaffen-Ressourcen'!$A$2:$AI$54,26,0)</f>
        <v>6</v>
      </c>
      <c r="AA19" s="60">
        <f>VLOOKUP(B19,'Feuerwaffen-Ressourcen'!$A$2:$AI$54,27,0)+VLOOKUP(D19,'Feuerwaffen-Ressourcen'!$A$2:$AI$54,27,0)+VLOOKUP(F19,'Feuerwaffen-Ressourcen'!$A$2:$AI$54,27,0)+VLOOKUP(I19,'Feuerwaffen-Ressourcen'!$A$2:$AI$54,27,0)</f>
        <v>-2</v>
      </c>
      <c r="AB19" s="60">
        <f>VLOOKUP(B19,'Feuerwaffen-Ressourcen'!$A$2:$AI$54,28,0)+VLOOKUP(C19,'Feuerwaffen-Ressourcen'!$A$2:$AI$54,28,0)+VLOOKUP(D19,'Feuerwaffen-Ressourcen'!$A$2:$AI$54,28,0)+VLOOKUP(E19,'Feuerwaffen-Ressourcen'!$A$2:$AI$54,28,0)+VLOOKUP(F19,'Feuerwaffen-Ressourcen'!$A$2:$AI$54,28,0)+VLOOKUP(G19,'Feuerwaffen-Ressourcen'!$A$2:$AI$54,28,0)+VLOOKUP(I19,'Feuerwaffen-Ressourcen'!$A$2:$AI$54,28,0)+VLOOKUP(J19,'Feuerwaffen-Ressourcen'!$A$2:$AI$54,28,0)</f>
        <v>40</v>
      </c>
      <c r="AC19" s="63">
        <f>VLOOKUP(I19,'Feuerwaffen-Ressourcen'!$A$2:$AI$54,31,0)*AD19+AE19</f>
        <v>398.69999999999993</v>
      </c>
      <c r="AD19" s="64">
        <f>VLOOKUP(B19,'Feuerwaffen-Ressourcen'!$A$2:$AI$54,30,0)+VLOOKUP(C19,'Feuerwaffen-Ressourcen'!$A$2:$AI$54,30,0)+VLOOKUP(D19,'Feuerwaffen-Ressourcen'!$A$2:$AI$54,30,0)+VLOOKUP(F19,'Feuerwaffen-Ressourcen'!$A$2:$AI$54,30,0)+VLOOKUP(G19,'Feuerwaffen-Ressourcen'!$A$2:$AI$54,30,0)+VLOOKUP(I19,'Feuerwaffen-Ressourcen'!$A$2:$AI$54,30,0)+VLOOKUP(J19,'Feuerwaffen-Ressourcen'!$A$2:$AI$54,30,0)</f>
        <v>13.7</v>
      </c>
      <c r="AE19" s="63">
        <f>(VLOOKUP(C19,'Feuerwaffen-Ressourcen'!$A$2:$AI$54,32,0)+VLOOKUP(I19,'Feuerwaffen-Ressourcen'!$A$2:$AI$54,32,0))*(VLOOKUP(B19,'Feuerwaffen-Ressourcen'!$A$2:$AI$54,34,0)+VLOOKUP(C19,'Feuerwaffen-Ressourcen'!$A$2:$AI$54,34,0)+VLOOKUP(D19,'Feuerwaffen-Ressourcen'!$A$2:$AI$54,34,0)+VLOOKUP(E19,'Feuerwaffen-Ressourcen'!$A$2:$AI$54,34,0)+VLOOKUP(G19,'Feuerwaffen-Ressourcen'!$A$2:$AI$54,34,0))+VLOOKUP(B19,'Feuerwaffen-Ressourcen'!$A$2:$AI$54,35,0)+VLOOKUP(C19,'Feuerwaffen-Ressourcen'!$A$2:$AI$54,35,0)+VLOOKUP(D19,'Feuerwaffen-Ressourcen'!$A$2:$AI$54,35,0)</f>
        <v>343.89999999999992</v>
      </c>
      <c r="AF19" s="65">
        <f>VLOOKUP(AB19,'Feuerwaffen-Ressourcen'!$AO$3:$AP$9,2,1)</f>
        <v>7</v>
      </c>
      <c r="AG19" s="65">
        <v>0</v>
      </c>
    </row>
    <row r="20" spans="1:33">
      <c r="A20" s="59" t="s">
        <v>7135</v>
      </c>
      <c r="B20" s="59" t="s">
        <v>1421</v>
      </c>
      <c r="C20" s="59" t="s">
        <v>7215</v>
      </c>
      <c r="D20" s="59" t="s">
        <v>7228</v>
      </c>
      <c r="E20" s="59" t="s">
        <v>7123</v>
      </c>
      <c r="F20" s="59" t="s">
        <v>7224</v>
      </c>
      <c r="G20" s="59" t="s">
        <v>7225</v>
      </c>
      <c r="H20" s="59" t="s">
        <v>7124</v>
      </c>
      <c r="I20" s="59" t="s">
        <v>5768</v>
      </c>
      <c r="J20" s="59" t="s">
        <v>5748</v>
      </c>
      <c r="K20" s="61">
        <f>VLOOKUP(B20,'Feuerwaffen-Ressourcen'!$A$2:$AI$54,11,0)+VLOOKUP(C20,'Feuerwaffen-Ressourcen'!$A$2:$AI$54,11,0)+VLOOKUP(D20,'Feuerwaffen-Ressourcen'!$A$2:$AI$54,11,0)+VLOOKUP(E20,'Feuerwaffen-Ressourcen'!$A$2:$AI$54,11,0)+VLOOKUP(G20,'Feuerwaffen-Ressourcen'!$A$2:$AI$54,11,0)</f>
        <v>4.05</v>
      </c>
      <c r="L20" s="60">
        <f>VLOOKUP(B20,'Feuerwaffen-Ressourcen'!$A$2:$AI$54,12,0)+VLOOKUP(C20,'Feuerwaffen-Ressourcen'!$A$2:$AI$54,12,0)+VLOOKUP(D20,'Feuerwaffen-Ressourcen'!$A$2:$AI$54,12,0)+VLOOKUP(J20,'Feuerwaffen-Ressourcen'!$A$2:$AI$54,12,0)</f>
        <v>10</v>
      </c>
      <c r="M20" s="60" t="str">
        <f>VLOOKUP(VLOOKUP(B20,'Feuerwaffen-Ressourcen'!$A$2:$AI$54,13,0)+VLOOKUP(C20,'Feuerwaffen-Ressourcen'!$A$2:$AI$54,13,0)+VLOOKUP(D20,'Feuerwaffen-Ressourcen'!$A$2:$AI$54,13,0),'Feuerwaffen-Ressourcen'!$AJ$3:$AK$12,2,0)</f>
        <v>W8</v>
      </c>
      <c r="N20" s="60" t="str">
        <f>VLOOKUP(VLOOKUP(B20,'Feuerwaffen-Ressourcen'!$A$2:$AI$54,14,0)+VLOOKUP(C20,'Feuerwaffen-Ressourcen'!$A$2:$AI$54,14,0)+VLOOKUP(D20,'Feuerwaffen-Ressourcen'!$A$2:$AI$54,14,0),'Feuerwaffen-Ressourcen'!$AJ$3:$AK$12,2,0)</f>
        <v>W8</v>
      </c>
      <c r="O20" s="60">
        <f>VLOOKUP(B20,'Feuerwaffen-Ressourcen'!$A$2:$AI$54,15,0)+VLOOKUP(C20,'Feuerwaffen-Ressourcen'!$A$2:$AI$54,15,0)+VLOOKUP(D20,'Feuerwaffen-Ressourcen'!$A$2:$AI$54,15,0)</f>
        <v>2</v>
      </c>
      <c r="P20" s="60">
        <f>VLOOKUP(B20,'Feuerwaffen-Ressourcen'!$A$2:$AI$54,16,0)+VLOOKUP(C20,'Feuerwaffen-Ressourcen'!$A$2:$AI$54,16,0)+VLOOKUP(D20,'Feuerwaffen-Ressourcen'!$A$2:$AI$54,16,0)+VLOOKUP(E20,'Feuerwaffen-Ressourcen'!$A$2:$AI$54,16,0)</f>
        <v>17</v>
      </c>
      <c r="Q20" s="62">
        <f>VLOOKUP(B20,'Feuerwaffen-Ressourcen'!$A$2:$AI$54,17,0)+VLOOKUP(C20,'Feuerwaffen-Ressourcen'!$A$2:$AI$54,17,0)+VLOOKUP(D20,'Feuerwaffen-Ressourcen'!$A$2:$AI$54,17,0)+VLOOKUP(E20,'Feuerwaffen-Ressourcen'!$A$2:$AI$54,17,0)</f>
        <v>11</v>
      </c>
      <c r="R20" s="60">
        <f>VLOOKUP(B20,'Feuerwaffen-Ressourcen'!$A$2:$AI$54,18,0)+VLOOKUP(C20,'Feuerwaffen-Ressourcen'!$A$2:$AI$54,18,0)+VLOOKUP(D20,'Feuerwaffen-Ressourcen'!$A$2:$AI$54,18,0)+VLOOKUP(F20,'Feuerwaffen-Ressourcen'!$A$2:$AI$54,18,0)+VLOOKUP(G20,'Feuerwaffen-Ressourcen'!$A$2:$AI$54,18,0)+VLOOKUP(I20,'Feuerwaffen-Ressourcen'!$A$2:$AI$54,18,0)+VLOOKUP(J20,'Feuerwaffen-Ressourcen'!$A$2:$AI$54,18,0)</f>
        <v>9</v>
      </c>
      <c r="S20" s="60">
        <f>VLOOKUP(B20,'Feuerwaffen-Ressourcen'!$A$2:$AI$54,19,0)+VLOOKUP(C20,'Feuerwaffen-Ressourcen'!$A$2:$AI$54,19,0)+VLOOKUP(D20,'Feuerwaffen-Ressourcen'!$A$2:$AI$54,19,0)+VLOOKUP(F20,'Feuerwaffen-Ressourcen'!$A$2:$AI$54,19,0)+VLOOKUP(G20,'Feuerwaffen-Ressourcen'!$A$2:$AI$54,19,0)+VLOOKUP(I20,'Feuerwaffen-Ressourcen'!$A$2:$AI$54,19,0)+VLOOKUP(J20,'Feuerwaffen-Ressourcen'!$A$2:$AI$54,19,0)</f>
        <v>6</v>
      </c>
      <c r="T20" s="60">
        <f>VLOOKUP(B20,'Feuerwaffen-Ressourcen'!$A$2:$AI$54,20,0)+VLOOKUP(C20,'Feuerwaffen-Ressourcen'!$A$2:$AI$54,20,0)+VLOOKUP(D20,'Feuerwaffen-Ressourcen'!$A$2:$AI$54,20,0)+VLOOKUP(F20,'Feuerwaffen-Ressourcen'!$A$2:$AI$54,20,0)+VLOOKUP(G20,'Feuerwaffen-Ressourcen'!$A$2:$AI$54,20,0)+VLOOKUP(I20,'Feuerwaffen-Ressourcen'!$A$2:$AI$54,20,0)+VLOOKUP(J20,'Feuerwaffen-Ressourcen'!$A$2:$AI$54,20,0)</f>
        <v>2</v>
      </c>
      <c r="U20" s="60">
        <f>VLOOKUP(B20,'Feuerwaffen-Ressourcen'!$A$2:$AI$54,21,0)+VLOOKUP(C20,'Feuerwaffen-Ressourcen'!$A$2:$AI$54,21,0)+VLOOKUP(D20,'Feuerwaffen-Ressourcen'!$A$2:$AI$54,21,0)+VLOOKUP(F20,'Feuerwaffen-Ressourcen'!$A$2:$AI$54,21,0)+VLOOKUP(G20,'Feuerwaffen-Ressourcen'!$A$2:$AI$54,21,0)+VLOOKUP(I20,'Feuerwaffen-Ressourcen'!$A$2:$AI$54,21,0)+VLOOKUP(J20,'Feuerwaffen-Ressourcen'!$A$2:$AI$54,21,0)</f>
        <v>-4</v>
      </c>
      <c r="V20" s="60">
        <f>VLOOKUP(B20,'Feuerwaffen-Ressourcen'!$A$2:$AI$54,22,0)+VLOOKUP(C20,'Feuerwaffen-Ressourcen'!$A$2:$AI$54,22,0)+VLOOKUP(D20,'Feuerwaffen-Ressourcen'!$A$2:$AI$54,22,0)+VLOOKUP(F20,'Feuerwaffen-Ressourcen'!$A$2:$AI$54,22,0)+VLOOKUP(G20,'Feuerwaffen-Ressourcen'!$A$2:$AI$54,22,0)+VLOOKUP(I20,'Feuerwaffen-Ressourcen'!$A$2:$AI$54,22,0)+VLOOKUP(J20,'Feuerwaffen-Ressourcen'!$A$2:$AI$54,22,0)</f>
        <v>-11</v>
      </c>
      <c r="W20" s="60">
        <f>VLOOKUP(B20,'Feuerwaffen-Ressourcen'!$A$2:$AI$54,23,0)+VLOOKUP(C20,'Feuerwaffen-Ressourcen'!$A$2:$AI$54,23,0)+VLOOKUP(D20,'Feuerwaffen-Ressourcen'!$A$2:$AI$54,23,0)+VLOOKUP(F20,'Feuerwaffen-Ressourcen'!$A$2:$AI$54,23,0)+VLOOKUP(G20,'Feuerwaffen-Ressourcen'!$A$2:$AI$54,23,0)+VLOOKUP(I20,'Feuerwaffen-Ressourcen'!$A$2:$AI$54,23,0)+VLOOKUP(J20,'Feuerwaffen-Ressourcen'!$A$2:$AI$54,23,0)</f>
        <v>-18</v>
      </c>
      <c r="X20" s="60">
        <f>VLOOKUP(B20,'Feuerwaffen-Ressourcen'!$A$2:$AI$54,24,0)+VLOOKUP(C20,'Feuerwaffen-Ressourcen'!$A$2:$AI$54,24,0)+VLOOKUP(D20,'Feuerwaffen-Ressourcen'!$A$2:$AI$54,24,0)+VLOOKUP(G20,'Feuerwaffen-Ressourcen'!$A$2:$AI$54,24,0)</f>
        <v>100</v>
      </c>
      <c r="Y20" s="60">
        <f>VLOOKUP(D20,'Feuerwaffen-Ressourcen'!$A$2:$AI$54,25,0)+VLOOKUP(E20,'Feuerwaffen-Ressourcen'!$A$2:$AI$54,25,0)+VLOOKUP(F20,'Feuerwaffen-Ressourcen'!$A$2:$AI$54,25,0)</f>
        <v>9</v>
      </c>
      <c r="Z20" s="60">
        <f>VLOOKUP(E20,'Feuerwaffen-Ressourcen'!$A$2:$AI$54,26,0)</f>
        <v>6</v>
      </c>
      <c r="AA20" s="60">
        <f>VLOOKUP(B20,'Feuerwaffen-Ressourcen'!$A$2:$AI$54,27,0)+VLOOKUP(D20,'Feuerwaffen-Ressourcen'!$A$2:$AI$54,27,0)+VLOOKUP(F20,'Feuerwaffen-Ressourcen'!$A$2:$AI$54,27,0)+VLOOKUP(I20,'Feuerwaffen-Ressourcen'!$A$2:$AI$54,27,0)</f>
        <v>-2</v>
      </c>
      <c r="AB20" s="60">
        <f>VLOOKUP(B20,'Feuerwaffen-Ressourcen'!$A$2:$AI$54,28,0)+VLOOKUP(C20,'Feuerwaffen-Ressourcen'!$A$2:$AI$54,28,0)+VLOOKUP(D20,'Feuerwaffen-Ressourcen'!$A$2:$AI$54,28,0)+VLOOKUP(E20,'Feuerwaffen-Ressourcen'!$A$2:$AI$54,28,0)+VLOOKUP(F20,'Feuerwaffen-Ressourcen'!$A$2:$AI$54,28,0)+VLOOKUP(G20,'Feuerwaffen-Ressourcen'!$A$2:$AI$54,28,0)+VLOOKUP(I20,'Feuerwaffen-Ressourcen'!$A$2:$AI$54,28,0)+VLOOKUP(J20,'Feuerwaffen-Ressourcen'!$A$2:$AI$54,28,0)</f>
        <v>55</v>
      </c>
      <c r="AC20" s="63">
        <f>VLOOKUP(I20,'Feuerwaffen-Ressourcen'!$A$2:$AI$54,31,0)*AD20+AE20</f>
        <v>310.7</v>
      </c>
      <c r="AD20" s="64">
        <f>VLOOKUP(B20,'Feuerwaffen-Ressourcen'!$A$2:$AI$54,30,0)+VLOOKUP(C20,'Feuerwaffen-Ressourcen'!$A$2:$AI$54,30,0)+VLOOKUP(D20,'Feuerwaffen-Ressourcen'!$A$2:$AI$54,30,0)+VLOOKUP(F20,'Feuerwaffen-Ressourcen'!$A$2:$AI$54,30,0)+VLOOKUP(G20,'Feuerwaffen-Ressourcen'!$A$2:$AI$54,30,0)+VLOOKUP(I20,'Feuerwaffen-Ressourcen'!$A$2:$AI$54,30,0)+VLOOKUP(J20,'Feuerwaffen-Ressourcen'!$A$2:$AI$54,30,0)</f>
        <v>12.7</v>
      </c>
      <c r="AE20" s="63">
        <f>(VLOOKUP(C20,'Feuerwaffen-Ressourcen'!$A$2:$AI$54,32,0)+VLOOKUP(I20,'Feuerwaffen-Ressourcen'!$A$2:$AI$54,32,0))*(VLOOKUP(B20,'Feuerwaffen-Ressourcen'!$A$2:$AI$54,34,0)+VLOOKUP(C20,'Feuerwaffen-Ressourcen'!$A$2:$AI$54,34,0)+VLOOKUP(D20,'Feuerwaffen-Ressourcen'!$A$2:$AI$54,34,0)+VLOOKUP(E20,'Feuerwaffen-Ressourcen'!$A$2:$AI$54,34,0)+VLOOKUP(G20,'Feuerwaffen-Ressourcen'!$A$2:$AI$54,34,0))+VLOOKUP(B20,'Feuerwaffen-Ressourcen'!$A$2:$AI$54,35,0)+VLOOKUP(C20,'Feuerwaffen-Ressourcen'!$A$2:$AI$54,35,0)+VLOOKUP(D20,'Feuerwaffen-Ressourcen'!$A$2:$AI$54,35,0)</f>
        <v>259.89999999999998</v>
      </c>
      <c r="AF20" s="65">
        <f>VLOOKUP(AB20,'Feuerwaffen-Ressourcen'!$AO$3:$AP$9,2,1)</f>
        <v>7</v>
      </c>
      <c r="AG20" s="65">
        <v>0</v>
      </c>
    </row>
    <row r="21" spans="1:33">
      <c r="A21" s="59" t="s">
        <v>7136</v>
      </c>
      <c r="B21" s="59" t="s">
        <v>1421</v>
      </c>
      <c r="C21" s="59" t="s">
        <v>7215</v>
      </c>
      <c r="D21" s="59" t="s">
        <v>7231</v>
      </c>
      <c r="E21" s="59" t="s">
        <v>6501</v>
      </c>
      <c r="F21" s="59" t="s">
        <v>7229</v>
      </c>
      <c r="G21" s="59" t="s">
        <v>7225</v>
      </c>
      <c r="H21" s="59" t="s">
        <v>6514</v>
      </c>
      <c r="I21" s="59" t="s">
        <v>5768</v>
      </c>
      <c r="J21" s="59" t="s">
        <v>5748</v>
      </c>
      <c r="K21" s="61">
        <f>VLOOKUP(B21,'Feuerwaffen-Ressourcen'!$A$2:$AI$54,11,0)+VLOOKUP(C21,'Feuerwaffen-Ressourcen'!$A$2:$AI$54,11,0)+VLOOKUP(D21,'Feuerwaffen-Ressourcen'!$A$2:$AI$54,11,0)+VLOOKUP(E21,'Feuerwaffen-Ressourcen'!$A$2:$AI$54,11,0)+VLOOKUP(G21,'Feuerwaffen-Ressourcen'!$A$2:$AI$54,11,0)</f>
        <v>3.05</v>
      </c>
      <c r="L21" s="60">
        <f>VLOOKUP(B21,'Feuerwaffen-Ressourcen'!$A$2:$AI$54,12,0)+VLOOKUP(C21,'Feuerwaffen-Ressourcen'!$A$2:$AI$54,12,0)+VLOOKUP(D21,'Feuerwaffen-Ressourcen'!$A$2:$AI$54,12,0)+VLOOKUP(J21,'Feuerwaffen-Ressourcen'!$A$2:$AI$54,12,0)</f>
        <v>9</v>
      </c>
      <c r="M21" s="60" t="str">
        <f>VLOOKUP(VLOOKUP(B21,'Feuerwaffen-Ressourcen'!$A$2:$AI$54,13,0)+VLOOKUP(C21,'Feuerwaffen-Ressourcen'!$A$2:$AI$54,13,0)+VLOOKUP(D21,'Feuerwaffen-Ressourcen'!$A$2:$AI$54,13,0),'Feuerwaffen-Ressourcen'!$AJ$3:$AK$12,2,0)</f>
        <v>W8</v>
      </c>
      <c r="N21" s="60" t="str">
        <f>VLOOKUP(VLOOKUP(B21,'Feuerwaffen-Ressourcen'!$A$2:$AI$54,14,0)+VLOOKUP(C21,'Feuerwaffen-Ressourcen'!$A$2:$AI$54,14,0)+VLOOKUP(D21,'Feuerwaffen-Ressourcen'!$A$2:$AI$54,14,0),'Feuerwaffen-Ressourcen'!$AJ$3:$AK$12,2,0)</f>
        <v>W8</v>
      </c>
      <c r="O21" s="60">
        <f>VLOOKUP(B21,'Feuerwaffen-Ressourcen'!$A$2:$AI$54,15,0)+VLOOKUP(C21,'Feuerwaffen-Ressourcen'!$A$2:$AI$54,15,0)+VLOOKUP(D21,'Feuerwaffen-Ressourcen'!$A$2:$AI$54,15,0)</f>
        <v>1</v>
      </c>
      <c r="P21" s="60">
        <f>VLOOKUP(B21,'Feuerwaffen-Ressourcen'!$A$2:$AI$54,16,0)+VLOOKUP(C21,'Feuerwaffen-Ressourcen'!$A$2:$AI$54,16,0)+VLOOKUP(D21,'Feuerwaffen-Ressourcen'!$A$2:$AI$54,16,0)+VLOOKUP(E21,'Feuerwaffen-Ressourcen'!$A$2:$AI$54,16,0)</f>
        <v>11</v>
      </c>
      <c r="Q21" s="62">
        <f>VLOOKUP(B21,'Feuerwaffen-Ressourcen'!$A$2:$AI$54,17,0)+VLOOKUP(C21,'Feuerwaffen-Ressourcen'!$A$2:$AI$54,17,0)+VLOOKUP(D21,'Feuerwaffen-Ressourcen'!$A$2:$AI$54,17,0)+VLOOKUP(E21,'Feuerwaffen-Ressourcen'!$A$2:$AI$54,17,0)</f>
        <v>17</v>
      </c>
      <c r="R21" s="60">
        <f>VLOOKUP(B21,'Feuerwaffen-Ressourcen'!$A$2:$AI$54,18,0)+VLOOKUP(C21,'Feuerwaffen-Ressourcen'!$A$2:$AI$54,18,0)+VLOOKUP(D21,'Feuerwaffen-Ressourcen'!$A$2:$AI$54,18,0)+VLOOKUP(F21,'Feuerwaffen-Ressourcen'!$A$2:$AI$54,18,0)+VLOOKUP(G21,'Feuerwaffen-Ressourcen'!$A$2:$AI$54,18,0)+VLOOKUP(I21,'Feuerwaffen-Ressourcen'!$A$2:$AI$54,18,0)+VLOOKUP(J21,'Feuerwaffen-Ressourcen'!$A$2:$AI$54,18,0)</f>
        <v>11</v>
      </c>
      <c r="S21" s="60">
        <f>VLOOKUP(B21,'Feuerwaffen-Ressourcen'!$A$2:$AI$54,19,0)+VLOOKUP(C21,'Feuerwaffen-Ressourcen'!$A$2:$AI$54,19,0)+VLOOKUP(D21,'Feuerwaffen-Ressourcen'!$A$2:$AI$54,19,0)+VLOOKUP(F21,'Feuerwaffen-Ressourcen'!$A$2:$AI$54,19,0)+VLOOKUP(G21,'Feuerwaffen-Ressourcen'!$A$2:$AI$54,19,0)+VLOOKUP(I21,'Feuerwaffen-Ressourcen'!$A$2:$AI$54,19,0)+VLOOKUP(J21,'Feuerwaffen-Ressourcen'!$A$2:$AI$54,19,0)</f>
        <v>5</v>
      </c>
      <c r="T21" s="60">
        <f>VLOOKUP(B21,'Feuerwaffen-Ressourcen'!$A$2:$AI$54,20,0)+VLOOKUP(C21,'Feuerwaffen-Ressourcen'!$A$2:$AI$54,20,0)+VLOOKUP(D21,'Feuerwaffen-Ressourcen'!$A$2:$AI$54,20,0)+VLOOKUP(F21,'Feuerwaffen-Ressourcen'!$A$2:$AI$54,20,0)+VLOOKUP(G21,'Feuerwaffen-Ressourcen'!$A$2:$AI$54,20,0)+VLOOKUP(I21,'Feuerwaffen-Ressourcen'!$A$2:$AI$54,20,0)+VLOOKUP(J21,'Feuerwaffen-Ressourcen'!$A$2:$AI$54,20,0)</f>
        <v>-2</v>
      </c>
      <c r="U21" s="60">
        <f>VLOOKUP(B21,'Feuerwaffen-Ressourcen'!$A$2:$AI$54,21,0)+VLOOKUP(C21,'Feuerwaffen-Ressourcen'!$A$2:$AI$54,21,0)+VLOOKUP(D21,'Feuerwaffen-Ressourcen'!$A$2:$AI$54,21,0)+VLOOKUP(F21,'Feuerwaffen-Ressourcen'!$A$2:$AI$54,21,0)+VLOOKUP(G21,'Feuerwaffen-Ressourcen'!$A$2:$AI$54,21,0)+VLOOKUP(I21,'Feuerwaffen-Ressourcen'!$A$2:$AI$54,21,0)+VLOOKUP(J21,'Feuerwaffen-Ressourcen'!$A$2:$AI$54,21,0)</f>
        <v>-11</v>
      </c>
      <c r="V21" s="60">
        <f>VLOOKUP(B21,'Feuerwaffen-Ressourcen'!$A$2:$AI$54,22,0)+VLOOKUP(C21,'Feuerwaffen-Ressourcen'!$A$2:$AI$54,22,0)+VLOOKUP(D21,'Feuerwaffen-Ressourcen'!$A$2:$AI$54,22,0)+VLOOKUP(F21,'Feuerwaffen-Ressourcen'!$A$2:$AI$54,22,0)+VLOOKUP(G21,'Feuerwaffen-Ressourcen'!$A$2:$AI$54,22,0)+VLOOKUP(I21,'Feuerwaffen-Ressourcen'!$A$2:$AI$54,22,0)+VLOOKUP(J21,'Feuerwaffen-Ressourcen'!$A$2:$AI$54,22,0)</f>
        <v>-21</v>
      </c>
      <c r="W21" s="60">
        <f>VLOOKUP(B21,'Feuerwaffen-Ressourcen'!$A$2:$AI$54,23,0)+VLOOKUP(C21,'Feuerwaffen-Ressourcen'!$A$2:$AI$54,23,0)+VLOOKUP(D21,'Feuerwaffen-Ressourcen'!$A$2:$AI$54,23,0)+VLOOKUP(F21,'Feuerwaffen-Ressourcen'!$A$2:$AI$54,23,0)+VLOOKUP(G21,'Feuerwaffen-Ressourcen'!$A$2:$AI$54,23,0)+VLOOKUP(I21,'Feuerwaffen-Ressourcen'!$A$2:$AI$54,23,0)+VLOOKUP(J21,'Feuerwaffen-Ressourcen'!$A$2:$AI$54,23,0)</f>
        <v>-31</v>
      </c>
      <c r="X21" s="60">
        <f>VLOOKUP(B21,'Feuerwaffen-Ressourcen'!$A$2:$AI$54,24,0)+VLOOKUP(C21,'Feuerwaffen-Ressourcen'!$A$2:$AI$54,24,0)+VLOOKUP(D21,'Feuerwaffen-Ressourcen'!$A$2:$AI$54,24,0)+VLOOKUP(G21,'Feuerwaffen-Ressourcen'!$A$2:$AI$54,24,0)</f>
        <v>80</v>
      </c>
      <c r="Y21" s="60">
        <f>VLOOKUP(D21,'Feuerwaffen-Ressourcen'!$A$2:$AI$54,25,0)+VLOOKUP(E21,'Feuerwaffen-Ressourcen'!$A$2:$AI$54,25,0)+VLOOKUP(F21,'Feuerwaffen-Ressourcen'!$A$2:$AI$54,25,0)</f>
        <v>28</v>
      </c>
      <c r="Z21" s="60">
        <f>VLOOKUP(E21,'Feuerwaffen-Ressourcen'!$A$2:$AI$54,26,0)</f>
        <v>3</v>
      </c>
      <c r="AA21" s="60">
        <f>VLOOKUP(B21,'Feuerwaffen-Ressourcen'!$A$2:$AI$54,27,0)+VLOOKUP(D21,'Feuerwaffen-Ressourcen'!$A$2:$AI$54,27,0)+VLOOKUP(F21,'Feuerwaffen-Ressourcen'!$A$2:$AI$54,27,0)+VLOOKUP(I21,'Feuerwaffen-Ressourcen'!$A$2:$AI$54,27,0)</f>
        <v>0</v>
      </c>
      <c r="AB21" s="60">
        <f>VLOOKUP(B21,'Feuerwaffen-Ressourcen'!$A$2:$AI$54,28,0)+VLOOKUP(C21,'Feuerwaffen-Ressourcen'!$A$2:$AI$54,28,0)+VLOOKUP(D21,'Feuerwaffen-Ressourcen'!$A$2:$AI$54,28,0)+VLOOKUP(E21,'Feuerwaffen-Ressourcen'!$A$2:$AI$54,28,0)+VLOOKUP(F21,'Feuerwaffen-Ressourcen'!$A$2:$AI$54,28,0)+VLOOKUP(G21,'Feuerwaffen-Ressourcen'!$A$2:$AI$54,28,0)+VLOOKUP(I21,'Feuerwaffen-Ressourcen'!$A$2:$AI$54,28,0)+VLOOKUP(J21,'Feuerwaffen-Ressourcen'!$A$2:$AI$54,28,0)</f>
        <v>90</v>
      </c>
      <c r="AC21" s="63">
        <f>VLOOKUP(I21,'Feuerwaffen-Ressourcen'!$A$2:$AI$54,31,0)*AD21+AE21</f>
        <v>186.59999999999997</v>
      </c>
      <c r="AD21" s="64">
        <f>VLOOKUP(B21,'Feuerwaffen-Ressourcen'!$A$2:$AI$54,30,0)+VLOOKUP(C21,'Feuerwaffen-Ressourcen'!$A$2:$AI$54,30,0)+VLOOKUP(D21,'Feuerwaffen-Ressourcen'!$A$2:$AI$54,30,0)+VLOOKUP(F21,'Feuerwaffen-Ressourcen'!$A$2:$AI$54,30,0)+VLOOKUP(G21,'Feuerwaffen-Ressourcen'!$A$2:$AI$54,30,0)+VLOOKUP(I21,'Feuerwaffen-Ressourcen'!$A$2:$AI$54,30,0)+VLOOKUP(J21,'Feuerwaffen-Ressourcen'!$A$2:$AI$54,30,0)</f>
        <v>8.6999999999999993</v>
      </c>
      <c r="AE21" s="63">
        <f>(VLOOKUP(C21,'Feuerwaffen-Ressourcen'!$A$2:$AI$54,32,0)+VLOOKUP(I21,'Feuerwaffen-Ressourcen'!$A$2:$AI$54,32,0))*(VLOOKUP(B21,'Feuerwaffen-Ressourcen'!$A$2:$AI$54,34,0)+VLOOKUP(C21,'Feuerwaffen-Ressourcen'!$A$2:$AI$54,34,0)+VLOOKUP(D21,'Feuerwaffen-Ressourcen'!$A$2:$AI$54,34,0)+VLOOKUP(E21,'Feuerwaffen-Ressourcen'!$A$2:$AI$54,34,0)+VLOOKUP(G21,'Feuerwaffen-Ressourcen'!$A$2:$AI$54,34,0))+VLOOKUP(B21,'Feuerwaffen-Ressourcen'!$A$2:$AI$54,35,0)+VLOOKUP(C21,'Feuerwaffen-Ressourcen'!$A$2:$AI$54,35,0)+VLOOKUP(D21,'Feuerwaffen-Ressourcen'!$A$2:$AI$54,35,0)</f>
        <v>151.79999999999998</v>
      </c>
      <c r="AF21" s="65">
        <f>VLOOKUP(AB21,'Feuerwaffen-Ressourcen'!$AO$3:$AP$9,2,1)</f>
        <v>5</v>
      </c>
      <c r="AG21" s="65">
        <v>0</v>
      </c>
    </row>
    <row r="22" spans="1:33">
      <c r="A22" s="59" t="s">
        <v>6876</v>
      </c>
      <c r="B22" s="59" t="s">
        <v>1421</v>
      </c>
      <c r="C22" s="59" t="s">
        <v>7118</v>
      </c>
      <c r="D22" s="59" t="s">
        <v>7220</v>
      </c>
      <c r="E22" s="59" t="s">
        <v>7123</v>
      </c>
      <c r="F22" s="59" t="s">
        <v>7224</v>
      </c>
      <c r="G22" s="59" t="s">
        <v>7225</v>
      </c>
      <c r="H22" s="59" t="s">
        <v>7124</v>
      </c>
      <c r="I22" s="59" t="s">
        <v>5768</v>
      </c>
      <c r="J22" s="59" t="s">
        <v>5748</v>
      </c>
      <c r="K22" s="61">
        <f>VLOOKUP(B22,'Feuerwaffen-Ressourcen'!$A$2:$AI$54,11,0)+VLOOKUP(C22,'Feuerwaffen-Ressourcen'!$A$2:$AI$54,11,0)+VLOOKUP(D22,'Feuerwaffen-Ressourcen'!$A$2:$AI$54,11,0)+VLOOKUP(E22,'Feuerwaffen-Ressourcen'!$A$2:$AI$54,11,0)+VLOOKUP(G22,'Feuerwaffen-Ressourcen'!$A$2:$AI$54,11,0)</f>
        <v>1.8</v>
      </c>
      <c r="L22" s="60">
        <f>VLOOKUP(B22,'Feuerwaffen-Ressourcen'!$A$2:$AI$54,12,0)+VLOOKUP(C22,'Feuerwaffen-Ressourcen'!$A$2:$AI$54,12,0)+VLOOKUP(D22,'Feuerwaffen-Ressourcen'!$A$2:$AI$54,12,0)+VLOOKUP(J22,'Feuerwaffen-Ressourcen'!$A$2:$AI$54,12,0)</f>
        <v>7</v>
      </c>
      <c r="M22" s="60" t="str">
        <f>VLOOKUP(VLOOKUP(B22,'Feuerwaffen-Ressourcen'!$A$2:$AI$54,13,0)+VLOOKUP(C22,'Feuerwaffen-Ressourcen'!$A$2:$AI$54,13,0)+VLOOKUP(D22,'Feuerwaffen-Ressourcen'!$A$2:$AI$54,13,0),'Feuerwaffen-Ressourcen'!$AJ$3:$AK$12,2,0)</f>
        <v>W8</v>
      </c>
      <c r="N22" s="60" t="str">
        <f>VLOOKUP(VLOOKUP(B22,'Feuerwaffen-Ressourcen'!$A$2:$AI$54,14,0)+VLOOKUP(C22,'Feuerwaffen-Ressourcen'!$A$2:$AI$54,14,0)+VLOOKUP(D22,'Feuerwaffen-Ressourcen'!$A$2:$AI$54,14,0),'Feuerwaffen-Ressourcen'!$AJ$3:$AK$12,2,0)</f>
        <v>W8</v>
      </c>
      <c r="O22" s="60">
        <f>VLOOKUP(B22,'Feuerwaffen-Ressourcen'!$A$2:$AI$54,15,0)+VLOOKUP(C22,'Feuerwaffen-Ressourcen'!$A$2:$AI$54,15,0)+VLOOKUP(D22,'Feuerwaffen-Ressourcen'!$A$2:$AI$54,15,0)</f>
        <v>0</v>
      </c>
      <c r="P22" s="60">
        <f>VLOOKUP(B22,'Feuerwaffen-Ressourcen'!$A$2:$AI$54,16,0)+VLOOKUP(C22,'Feuerwaffen-Ressourcen'!$A$2:$AI$54,16,0)+VLOOKUP(D22,'Feuerwaffen-Ressourcen'!$A$2:$AI$54,16,0)+VLOOKUP(E22,'Feuerwaffen-Ressourcen'!$A$2:$AI$54,16,0)</f>
        <v>12</v>
      </c>
      <c r="Q22" s="62">
        <f>VLOOKUP(B22,'Feuerwaffen-Ressourcen'!$A$2:$AI$54,17,0)+VLOOKUP(C22,'Feuerwaffen-Ressourcen'!$A$2:$AI$54,17,0)+VLOOKUP(D22,'Feuerwaffen-Ressourcen'!$A$2:$AI$54,17,0)+VLOOKUP(E22,'Feuerwaffen-Ressourcen'!$A$2:$AI$54,17,0)</f>
        <v>8</v>
      </c>
      <c r="R22" s="60">
        <f>VLOOKUP(B22,'Feuerwaffen-Ressourcen'!$A$2:$AI$54,18,0)+VLOOKUP(C22,'Feuerwaffen-Ressourcen'!$A$2:$AI$54,18,0)+VLOOKUP(D22,'Feuerwaffen-Ressourcen'!$A$2:$AI$54,18,0)+VLOOKUP(F22,'Feuerwaffen-Ressourcen'!$A$2:$AI$54,18,0)+VLOOKUP(G22,'Feuerwaffen-Ressourcen'!$A$2:$AI$54,18,0)+VLOOKUP(I22,'Feuerwaffen-Ressourcen'!$A$2:$AI$54,18,0)+VLOOKUP(J22,'Feuerwaffen-Ressourcen'!$A$2:$AI$54,18,0)</f>
        <v>13</v>
      </c>
      <c r="S22" s="60">
        <f>VLOOKUP(B22,'Feuerwaffen-Ressourcen'!$A$2:$AI$54,19,0)+VLOOKUP(C22,'Feuerwaffen-Ressourcen'!$A$2:$AI$54,19,0)+VLOOKUP(D22,'Feuerwaffen-Ressourcen'!$A$2:$AI$54,19,0)+VLOOKUP(F22,'Feuerwaffen-Ressourcen'!$A$2:$AI$54,19,0)+VLOOKUP(G22,'Feuerwaffen-Ressourcen'!$A$2:$AI$54,19,0)+VLOOKUP(I22,'Feuerwaffen-Ressourcen'!$A$2:$AI$54,19,0)+VLOOKUP(J22,'Feuerwaffen-Ressourcen'!$A$2:$AI$54,19,0)</f>
        <v>6</v>
      </c>
      <c r="T22" s="60">
        <f>VLOOKUP(B22,'Feuerwaffen-Ressourcen'!$A$2:$AI$54,20,0)+VLOOKUP(C22,'Feuerwaffen-Ressourcen'!$A$2:$AI$54,20,0)+VLOOKUP(D22,'Feuerwaffen-Ressourcen'!$A$2:$AI$54,20,0)+VLOOKUP(F22,'Feuerwaffen-Ressourcen'!$A$2:$AI$54,20,0)+VLOOKUP(G22,'Feuerwaffen-Ressourcen'!$A$2:$AI$54,20,0)+VLOOKUP(I22,'Feuerwaffen-Ressourcen'!$A$2:$AI$54,20,0)+VLOOKUP(J22,'Feuerwaffen-Ressourcen'!$A$2:$AI$54,20,0)</f>
        <v>-4</v>
      </c>
      <c r="U22" s="60">
        <f>VLOOKUP(B22,'Feuerwaffen-Ressourcen'!$A$2:$AI$54,21,0)+VLOOKUP(C22,'Feuerwaffen-Ressourcen'!$A$2:$AI$54,21,0)+VLOOKUP(D22,'Feuerwaffen-Ressourcen'!$A$2:$AI$54,21,0)+VLOOKUP(F22,'Feuerwaffen-Ressourcen'!$A$2:$AI$54,21,0)+VLOOKUP(G22,'Feuerwaffen-Ressourcen'!$A$2:$AI$54,21,0)+VLOOKUP(I22,'Feuerwaffen-Ressourcen'!$A$2:$AI$54,21,0)+VLOOKUP(J22,'Feuerwaffen-Ressourcen'!$A$2:$AI$54,21,0)</f>
        <v>-17</v>
      </c>
      <c r="V22" s="60">
        <f>VLOOKUP(B22,'Feuerwaffen-Ressourcen'!$A$2:$AI$54,22,0)+VLOOKUP(C22,'Feuerwaffen-Ressourcen'!$A$2:$AI$54,22,0)+VLOOKUP(D22,'Feuerwaffen-Ressourcen'!$A$2:$AI$54,22,0)+VLOOKUP(F22,'Feuerwaffen-Ressourcen'!$A$2:$AI$54,22,0)+VLOOKUP(G22,'Feuerwaffen-Ressourcen'!$A$2:$AI$54,22,0)+VLOOKUP(I22,'Feuerwaffen-Ressourcen'!$A$2:$AI$54,22,0)+VLOOKUP(J22,'Feuerwaffen-Ressourcen'!$A$2:$AI$54,22,0)</f>
        <v>-32</v>
      </c>
      <c r="W22" s="60">
        <f>VLOOKUP(B22,'Feuerwaffen-Ressourcen'!$A$2:$AI$54,23,0)+VLOOKUP(C22,'Feuerwaffen-Ressourcen'!$A$2:$AI$54,23,0)+VLOOKUP(D22,'Feuerwaffen-Ressourcen'!$A$2:$AI$54,23,0)+VLOOKUP(F22,'Feuerwaffen-Ressourcen'!$A$2:$AI$54,23,0)+VLOOKUP(G22,'Feuerwaffen-Ressourcen'!$A$2:$AI$54,23,0)+VLOOKUP(I22,'Feuerwaffen-Ressourcen'!$A$2:$AI$54,23,0)+VLOOKUP(J22,'Feuerwaffen-Ressourcen'!$A$2:$AI$54,23,0)</f>
        <v>-48</v>
      </c>
      <c r="X22" s="60">
        <f>VLOOKUP(B22,'Feuerwaffen-Ressourcen'!$A$2:$AI$54,24,0)+VLOOKUP(C22,'Feuerwaffen-Ressourcen'!$A$2:$AI$54,24,0)+VLOOKUP(D22,'Feuerwaffen-Ressourcen'!$A$2:$AI$54,24,0)+VLOOKUP(G22,'Feuerwaffen-Ressourcen'!$A$2:$AI$54,24,0)</f>
        <v>80</v>
      </c>
      <c r="Y22" s="60">
        <f>VLOOKUP(D22,'Feuerwaffen-Ressourcen'!$A$2:$AI$54,25,0)+VLOOKUP(E22,'Feuerwaffen-Ressourcen'!$A$2:$AI$54,25,0)+VLOOKUP(F22,'Feuerwaffen-Ressourcen'!$A$2:$AI$54,25,0)</f>
        <v>9</v>
      </c>
      <c r="Z22" s="60">
        <f>VLOOKUP(E22,'Feuerwaffen-Ressourcen'!$A$2:$AI$54,26,0)</f>
        <v>6</v>
      </c>
      <c r="AA22" s="60">
        <f>VLOOKUP(B22,'Feuerwaffen-Ressourcen'!$A$2:$AI$54,27,0)+VLOOKUP(D22,'Feuerwaffen-Ressourcen'!$A$2:$AI$54,27,0)+VLOOKUP(F22,'Feuerwaffen-Ressourcen'!$A$2:$AI$54,27,0)+VLOOKUP(I22,'Feuerwaffen-Ressourcen'!$A$2:$AI$54,27,0)</f>
        <v>-2</v>
      </c>
      <c r="AB22" s="60">
        <f>VLOOKUP(B22,'Feuerwaffen-Ressourcen'!$A$2:$AI$54,28,0)+VLOOKUP(C22,'Feuerwaffen-Ressourcen'!$A$2:$AI$54,28,0)+VLOOKUP(D22,'Feuerwaffen-Ressourcen'!$A$2:$AI$54,28,0)+VLOOKUP(E22,'Feuerwaffen-Ressourcen'!$A$2:$AI$54,28,0)+VLOOKUP(F22,'Feuerwaffen-Ressourcen'!$A$2:$AI$54,28,0)+VLOOKUP(G22,'Feuerwaffen-Ressourcen'!$A$2:$AI$54,28,0)+VLOOKUP(I22,'Feuerwaffen-Ressourcen'!$A$2:$AI$54,28,0)+VLOOKUP(J22,'Feuerwaffen-Ressourcen'!$A$2:$AI$54,28,0)</f>
        <v>70</v>
      </c>
      <c r="AC22" s="63">
        <f>VLOOKUP(I22,'Feuerwaffen-Ressourcen'!$A$2:$AI$54,31,0)*AD22+AE22</f>
        <v>192.55</v>
      </c>
      <c r="AD22" s="64">
        <f>VLOOKUP(B22,'Feuerwaffen-Ressourcen'!$A$2:$AI$54,30,0)+VLOOKUP(C22,'Feuerwaffen-Ressourcen'!$A$2:$AI$54,30,0)+VLOOKUP(D22,'Feuerwaffen-Ressourcen'!$A$2:$AI$54,30,0)+VLOOKUP(F22,'Feuerwaffen-Ressourcen'!$A$2:$AI$54,30,0)+VLOOKUP(G22,'Feuerwaffen-Ressourcen'!$A$2:$AI$54,30,0)+VLOOKUP(I22,'Feuerwaffen-Ressourcen'!$A$2:$AI$54,30,0)+VLOOKUP(J22,'Feuerwaffen-Ressourcen'!$A$2:$AI$54,30,0)</f>
        <v>10.5</v>
      </c>
      <c r="AE22" s="63">
        <f>(VLOOKUP(C22,'Feuerwaffen-Ressourcen'!$A$2:$AI$54,32,0)+VLOOKUP(I22,'Feuerwaffen-Ressourcen'!$A$2:$AI$54,32,0))*(VLOOKUP(B22,'Feuerwaffen-Ressourcen'!$A$2:$AI$54,34,0)+VLOOKUP(C22,'Feuerwaffen-Ressourcen'!$A$2:$AI$54,34,0)+VLOOKUP(D22,'Feuerwaffen-Ressourcen'!$A$2:$AI$54,34,0)+VLOOKUP(E22,'Feuerwaffen-Ressourcen'!$A$2:$AI$54,34,0)+VLOOKUP(G22,'Feuerwaffen-Ressourcen'!$A$2:$AI$54,34,0))+VLOOKUP(B22,'Feuerwaffen-Ressourcen'!$A$2:$AI$54,35,0)+VLOOKUP(C22,'Feuerwaffen-Ressourcen'!$A$2:$AI$54,35,0)+VLOOKUP(D22,'Feuerwaffen-Ressourcen'!$A$2:$AI$54,35,0)</f>
        <v>150.55000000000001</v>
      </c>
      <c r="AF22" s="65">
        <f>VLOOKUP(AB22,'Feuerwaffen-Ressourcen'!$AO$3:$AP$9,2,1)</f>
        <v>6</v>
      </c>
      <c r="AG22" s="65">
        <v>0</v>
      </c>
    </row>
    <row r="23" spans="1:33">
      <c r="A23" s="59" t="s">
        <v>7137</v>
      </c>
      <c r="B23" s="59" t="s">
        <v>1421</v>
      </c>
      <c r="C23" s="59" t="s">
        <v>7118</v>
      </c>
      <c r="D23" s="59" t="s">
        <v>7219</v>
      </c>
      <c r="E23" s="59" t="s">
        <v>6501</v>
      </c>
      <c r="F23" s="59" t="s">
        <v>7232</v>
      </c>
      <c r="G23" s="59" t="s">
        <v>7225</v>
      </c>
      <c r="H23" s="59" t="s">
        <v>6514</v>
      </c>
      <c r="I23" s="59" t="s">
        <v>5768</v>
      </c>
      <c r="J23" s="59" t="s">
        <v>5748</v>
      </c>
      <c r="K23" s="61">
        <f>VLOOKUP(B23,'Feuerwaffen-Ressourcen'!$A$2:$AI$54,11,0)+VLOOKUP(C23,'Feuerwaffen-Ressourcen'!$A$2:$AI$54,11,0)+VLOOKUP(D23,'Feuerwaffen-Ressourcen'!$A$2:$AI$54,11,0)+VLOOKUP(E23,'Feuerwaffen-Ressourcen'!$A$2:$AI$54,11,0)+VLOOKUP(G23,'Feuerwaffen-Ressourcen'!$A$2:$AI$54,11,0)</f>
        <v>2</v>
      </c>
      <c r="L23" s="60">
        <f>VLOOKUP(B23,'Feuerwaffen-Ressourcen'!$A$2:$AI$54,12,0)+VLOOKUP(C23,'Feuerwaffen-Ressourcen'!$A$2:$AI$54,12,0)+VLOOKUP(D23,'Feuerwaffen-Ressourcen'!$A$2:$AI$54,12,0)+VLOOKUP(J23,'Feuerwaffen-Ressourcen'!$A$2:$AI$54,12,0)</f>
        <v>7</v>
      </c>
      <c r="M23" s="60" t="str">
        <f>VLOOKUP(VLOOKUP(B23,'Feuerwaffen-Ressourcen'!$A$2:$AI$54,13,0)+VLOOKUP(C23,'Feuerwaffen-Ressourcen'!$A$2:$AI$54,13,0)+VLOOKUP(D23,'Feuerwaffen-Ressourcen'!$A$2:$AI$54,13,0),'Feuerwaffen-Ressourcen'!$AJ$3:$AK$12,2,0)</f>
        <v>W8</v>
      </c>
      <c r="N23" s="60" t="str">
        <f>VLOOKUP(VLOOKUP(B23,'Feuerwaffen-Ressourcen'!$A$2:$AI$54,14,0)+VLOOKUP(C23,'Feuerwaffen-Ressourcen'!$A$2:$AI$54,14,0)+VLOOKUP(D23,'Feuerwaffen-Ressourcen'!$A$2:$AI$54,14,0),'Feuerwaffen-Ressourcen'!$AJ$3:$AK$12,2,0)</f>
        <v>W10</v>
      </c>
      <c r="O23" s="60">
        <f>VLOOKUP(B23,'Feuerwaffen-Ressourcen'!$A$2:$AI$54,15,0)+VLOOKUP(C23,'Feuerwaffen-Ressourcen'!$A$2:$AI$54,15,0)+VLOOKUP(D23,'Feuerwaffen-Ressourcen'!$A$2:$AI$54,15,0)</f>
        <v>1</v>
      </c>
      <c r="P23" s="60">
        <f>VLOOKUP(B23,'Feuerwaffen-Ressourcen'!$A$2:$AI$54,16,0)+VLOOKUP(C23,'Feuerwaffen-Ressourcen'!$A$2:$AI$54,16,0)+VLOOKUP(D23,'Feuerwaffen-Ressourcen'!$A$2:$AI$54,16,0)+VLOOKUP(E23,'Feuerwaffen-Ressourcen'!$A$2:$AI$54,16,0)</f>
        <v>6</v>
      </c>
      <c r="Q23" s="62">
        <f>VLOOKUP(B23,'Feuerwaffen-Ressourcen'!$A$2:$AI$54,17,0)+VLOOKUP(C23,'Feuerwaffen-Ressourcen'!$A$2:$AI$54,17,0)+VLOOKUP(D23,'Feuerwaffen-Ressourcen'!$A$2:$AI$54,17,0)+VLOOKUP(E23,'Feuerwaffen-Ressourcen'!$A$2:$AI$54,17,0)</f>
        <v>14</v>
      </c>
      <c r="R23" s="60">
        <f>VLOOKUP(B23,'Feuerwaffen-Ressourcen'!$A$2:$AI$54,18,0)+VLOOKUP(C23,'Feuerwaffen-Ressourcen'!$A$2:$AI$54,18,0)+VLOOKUP(D23,'Feuerwaffen-Ressourcen'!$A$2:$AI$54,18,0)+VLOOKUP(F23,'Feuerwaffen-Ressourcen'!$A$2:$AI$54,18,0)+VLOOKUP(G23,'Feuerwaffen-Ressourcen'!$A$2:$AI$54,18,0)+VLOOKUP(I23,'Feuerwaffen-Ressourcen'!$A$2:$AI$54,18,0)+VLOOKUP(J23,'Feuerwaffen-Ressourcen'!$A$2:$AI$54,18,0)</f>
        <v>12</v>
      </c>
      <c r="S23" s="60">
        <f>VLOOKUP(B23,'Feuerwaffen-Ressourcen'!$A$2:$AI$54,19,0)+VLOOKUP(C23,'Feuerwaffen-Ressourcen'!$A$2:$AI$54,19,0)+VLOOKUP(D23,'Feuerwaffen-Ressourcen'!$A$2:$AI$54,19,0)+VLOOKUP(F23,'Feuerwaffen-Ressourcen'!$A$2:$AI$54,19,0)+VLOOKUP(G23,'Feuerwaffen-Ressourcen'!$A$2:$AI$54,19,0)+VLOOKUP(I23,'Feuerwaffen-Ressourcen'!$A$2:$AI$54,19,0)+VLOOKUP(J23,'Feuerwaffen-Ressourcen'!$A$2:$AI$54,19,0)</f>
        <v>8</v>
      </c>
      <c r="T23" s="60">
        <f>VLOOKUP(B23,'Feuerwaffen-Ressourcen'!$A$2:$AI$54,20,0)+VLOOKUP(C23,'Feuerwaffen-Ressourcen'!$A$2:$AI$54,20,0)+VLOOKUP(D23,'Feuerwaffen-Ressourcen'!$A$2:$AI$54,20,0)+VLOOKUP(F23,'Feuerwaffen-Ressourcen'!$A$2:$AI$54,20,0)+VLOOKUP(G23,'Feuerwaffen-Ressourcen'!$A$2:$AI$54,20,0)+VLOOKUP(I23,'Feuerwaffen-Ressourcen'!$A$2:$AI$54,20,0)+VLOOKUP(J23,'Feuerwaffen-Ressourcen'!$A$2:$AI$54,20,0)</f>
        <v>-3</v>
      </c>
      <c r="U23" s="60">
        <f>VLOOKUP(B23,'Feuerwaffen-Ressourcen'!$A$2:$AI$54,21,0)+VLOOKUP(C23,'Feuerwaffen-Ressourcen'!$A$2:$AI$54,21,0)+VLOOKUP(D23,'Feuerwaffen-Ressourcen'!$A$2:$AI$54,21,0)+VLOOKUP(F23,'Feuerwaffen-Ressourcen'!$A$2:$AI$54,21,0)+VLOOKUP(G23,'Feuerwaffen-Ressourcen'!$A$2:$AI$54,21,0)+VLOOKUP(I23,'Feuerwaffen-Ressourcen'!$A$2:$AI$54,21,0)+VLOOKUP(J23,'Feuerwaffen-Ressourcen'!$A$2:$AI$54,21,0)</f>
        <v>-16</v>
      </c>
      <c r="V23" s="60">
        <f>VLOOKUP(B23,'Feuerwaffen-Ressourcen'!$A$2:$AI$54,22,0)+VLOOKUP(C23,'Feuerwaffen-Ressourcen'!$A$2:$AI$54,22,0)+VLOOKUP(D23,'Feuerwaffen-Ressourcen'!$A$2:$AI$54,22,0)+VLOOKUP(F23,'Feuerwaffen-Ressourcen'!$A$2:$AI$54,22,0)+VLOOKUP(G23,'Feuerwaffen-Ressourcen'!$A$2:$AI$54,22,0)+VLOOKUP(I23,'Feuerwaffen-Ressourcen'!$A$2:$AI$54,22,0)+VLOOKUP(J23,'Feuerwaffen-Ressourcen'!$A$2:$AI$54,22,0)</f>
        <v>-31</v>
      </c>
      <c r="W23" s="60">
        <f>VLOOKUP(B23,'Feuerwaffen-Ressourcen'!$A$2:$AI$54,23,0)+VLOOKUP(C23,'Feuerwaffen-Ressourcen'!$A$2:$AI$54,23,0)+VLOOKUP(D23,'Feuerwaffen-Ressourcen'!$A$2:$AI$54,23,0)+VLOOKUP(F23,'Feuerwaffen-Ressourcen'!$A$2:$AI$54,23,0)+VLOOKUP(G23,'Feuerwaffen-Ressourcen'!$A$2:$AI$54,23,0)+VLOOKUP(I23,'Feuerwaffen-Ressourcen'!$A$2:$AI$54,23,0)+VLOOKUP(J23,'Feuerwaffen-Ressourcen'!$A$2:$AI$54,23,0)</f>
        <v>-47</v>
      </c>
      <c r="X23" s="60">
        <f>VLOOKUP(B23,'Feuerwaffen-Ressourcen'!$A$2:$AI$54,24,0)+VLOOKUP(C23,'Feuerwaffen-Ressourcen'!$A$2:$AI$54,24,0)+VLOOKUP(D23,'Feuerwaffen-Ressourcen'!$A$2:$AI$54,24,0)+VLOOKUP(G23,'Feuerwaffen-Ressourcen'!$A$2:$AI$54,24,0)</f>
        <v>90</v>
      </c>
      <c r="Y23" s="60">
        <f>VLOOKUP(D23,'Feuerwaffen-Ressourcen'!$A$2:$AI$54,25,0)+VLOOKUP(E23,'Feuerwaffen-Ressourcen'!$A$2:$AI$54,25,0)+VLOOKUP(F23,'Feuerwaffen-Ressourcen'!$A$2:$AI$54,25,0)</f>
        <v>33</v>
      </c>
      <c r="Z23" s="60">
        <f>VLOOKUP(E23,'Feuerwaffen-Ressourcen'!$A$2:$AI$54,26,0)</f>
        <v>3</v>
      </c>
      <c r="AA23" s="60">
        <f>VLOOKUP(B23,'Feuerwaffen-Ressourcen'!$A$2:$AI$54,27,0)+VLOOKUP(D23,'Feuerwaffen-Ressourcen'!$A$2:$AI$54,27,0)+VLOOKUP(F23,'Feuerwaffen-Ressourcen'!$A$2:$AI$54,27,0)+VLOOKUP(I23,'Feuerwaffen-Ressourcen'!$A$2:$AI$54,27,0)</f>
        <v>1</v>
      </c>
      <c r="AB23" s="60">
        <f>VLOOKUP(B23,'Feuerwaffen-Ressourcen'!$A$2:$AI$54,28,0)+VLOOKUP(C23,'Feuerwaffen-Ressourcen'!$A$2:$AI$54,28,0)+VLOOKUP(D23,'Feuerwaffen-Ressourcen'!$A$2:$AI$54,28,0)+VLOOKUP(E23,'Feuerwaffen-Ressourcen'!$A$2:$AI$54,28,0)+VLOOKUP(F23,'Feuerwaffen-Ressourcen'!$A$2:$AI$54,28,0)+VLOOKUP(G23,'Feuerwaffen-Ressourcen'!$A$2:$AI$54,28,0)+VLOOKUP(I23,'Feuerwaffen-Ressourcen'!$A$2:$AI$54,28,0)+VLOOKUP(J23,'Feuerwaffen-Ressourcen'!$A$2:$AI$54,28,0)</f>
        <v>65</v>
      </c>
      <c r="AC23" s="63">
        <f>VLOOKUP(I23,'Feuerwaffen-Ressourcen'!$A$2:$AI$54,31,0)*AD23+AE23</f>
        <v>246.55</v>
      </c>
      <c r="AD23" s="64">
        <f>VLOOKUP(B23,'Feuerwaffen-Ressourcen'!$A$2:$AI$54,30,0)+VLOOKUP(C23,'Feuerwaffen-Ressourcen'!$A$2:$AI$54,30,0)+VLOOKUP(D23,'Feuerwaffen-Ressourcen'!$A$2:$AI$54,30,0)+VLOOKUP(F23,'Feuerwaffen-Ressourcen'!$A$2:$AI$54,30,0)+VLOOKUP(G23,'Feuerwaffen-Ressourcen'!$A$2:$AI$54,30,0)+VLOOKUP(I23,'Feuerwaffen-Ressourcen'!$A$2:$AI$54,30,0)+VLOOKUP(J23,'Feuerwaffen-Ressourcen'!$A$2:$AI$54,30,0)</f>
        <v>18</v>
      </c>
      <c r="AE23" s="63">
        <f>(VLOOKUP(C23,'Feuerwaffen-Ressourcen'!$A$2:$AI$54,32,0)+VLOOKUP(I23,'Feuerwaffen-Ressourcen'!$A$2:$AI$54,32,0))*(VLOOKUP(B23,'Feuerwaffen-Ressourcen'!$A$2:$AI$54,34,0)+VLOOKUP(C23,'Feuerwaffen-Ressourcen'!$A$2:$AI$54,34,0)+VLOOKUP(D23,'Feuerwaffen-Ressourcen'!$A$2:$AI$54,34,0)+VLOOKUP(E23,'Feuerwaffen-Ressourcen'!$A$2:$AI$54,34,0)+VLOOKUP(G23,'Feuerwaffen-Ressourcen'!$A$2:$AI$54,34,0))+VLOOKUP(B23,'Feuerwaffen-Ressourcen'!$A$2:$AI$54,35,0)+VLOOKUP(C23,'Feuerwaffen-Ressourcen'!$A$2:$AI$54,35,0)+VLOOKUP(D23,'Feuerwaffen-Ressourcen'!$A$2:$AI$54,35,0)</f>
        <v>174.55</v>
      </c>
      <c r="AF23" s="65">
        <f>VLOOKUP(AB23,'Feuerwaffen-Ressourcen'!$AO$3:$AP$9,2,1)</f>
        <v>7</v>
      </c>
      <c r="AG23" s="65">
        <v>0</v>
      </c>
    </row>
    <row r="24" spans="1:33">
      <c r="A24" s="59" t="s">
        <v>7138</v>
      </c>
      <c r="B24" s="59" t="s">
        <v>1421</v>
      </c>
      <c r="C24" s="59" t="s">
        <v>7118</v>
      </c>
      <c r="D24" s="59" t="s">
        <v>7219</v>
      </c>
      <c r="E24" s="59" t="s">
        <v>7123</v>
      </c>
      <c r="F24" s="59" t="s">
        <v>7224</v>
      </c>
      <c r="G24" s="59" t="s">
        <v>7225</v>
      </c>
      <c r="H24" s="59" t="s">
        <v>7124</v>
      </c>
      <c r="I24" s="59" t="s">
        <v>5768</v>
      </c>
      <c r="J24" s="59" t="s">
        <v>5748</v>
      </c>
      <c r="K24" s="61">
        <f>VLOOKUP(B24,'Feuerwaffen-Ressourcen'!$A$2:$AI$54,11,0)+VLOOKUP(C24,'Feuerwaffen-Ressourcen'!$A$2:$AI$54,11,0)+VLOOKUP(D24,'Feuerwaffen-Ressourcen'!$A$2:$AI$54,11,0)+VLOOKUP(E24,'Feuerwaffen-Ressourcen'!$A$2:$AI$54,11,0)+VLOOKUP(G24,'Feuerwaffen-Ressourcen'!$A$2:$AI$54,11,0)</f>
        <v>2.1</v>
      </c>
      <c r="L24" s="60">
        <f>VLOOKUP(B24,'Feuerwaffen-Ressourcen'!$A$2:$AI$54,12,0)+VLOOKUP(C24,'Feuerwaffen-Ressourcen'!$A$2:$AI$54,12,0)+VLOOKUP(D24,'Feuerwaffen-Ressourcen'!$A$2:$AI$54,12,0)+VLOOKUP(J24,'Feuerwaffen-Ressourcen'!$A$2:$AI$54,12,0)</f>
        <v>7</v>
      </c>
      <c r="M24" s="60" t="str">
        <f>VLOOKUP(VLOOKUP(B24,'Feuerwaffen-Ressourcen'!$A$2:$AI$54,13,0)+VLOOKUP(C24,'Feuerwaffen-Ressourcen'!$A$2:$AI$54,13,0)+VLOOKUP(D24,'Feuerwaffen-Ressourcen'!$A$2:$AI$54,13,0),'Feuerwaffen-Ressourcen'!$AJ$3:$AK$12,2,0)</f>
        <v>W8</v>
      </c>
      <c r="N24" s="60" t="str">
        <f>VLOOKUP(VLOOKUP(B24,'Feuerwaffen-Ressourcen'!$A$2:$AI$54,14,0)+VLOOKUP(C24,'Feuerwaffen-Ressourcen'!$A$2:$AI$54,14,0)+VLOOKUP(D24,'Feuerwaffen-Ressourcen'!$A$2:$AI$54,14,0),'Feuerwaffen-Ressourcen'!$AJ$3:$AK$12,2,0)</f>
        <v>W10</v>
      </c>
      <c r="O24" s="60">
        <f>VLOOKUP(B24,'Feuerwaffen-Ressourcen'!$A$2:$AI$54,15,0)+VLOOKUP(C24,'Feuerwaffen-Ressourcen'!$A$2:$AI$54,15,0)+VLOOKUP(D24,'Feuerwaffen-Ressourcen'!$A$2:$AI$54,15,0)</f>
        <v>1</v>
      </c>
      <c r="P24" s="60">
        <f>VLOOKUP(B24,'Feuerwaffen-Ressourcen'!$A$2:$AI$54,16,0)+VLOOKUP(C24,'Feuerwaffen-Ressourcen'!$A$2:$AI$54,16,0)+VLOOKUP(D24,'Feuerwaffen-Ressourcen'!$A$2:$AI$54,16,0)+VLOOKUP(E24,'Feuerwaffen-Ressourcen'!$A$2:$AI$54,16,0)</f>
        <v>12</v>
      </c>
      <c r="Q24" s="62">
        <f>VLOOKUP(B24,'Feuerwaffen-Ressourcen'!$A$2:$AI$54,17,0)+VLOOKUP(C24,'Feuerwaffen-Ressourcen'!$A$2:$AI$54,17,0)+VLOOKUP(D24,'Feuerwaffen-Ressourcen'!$A$2:$AI$54,17,0)+VLOOKUP(E24,'Feuerwaffen-Ressourcen'!$A$2:$AI$54,17,0)</f>
        <v>8</v>
      </c>
      <c r="R24" s="60">
        <f>VLOOKUP(B24,'Feuerwaffen-Ressourcen'!$A$2:$AI$54,18,0)+VLOOKUP(C24,'Feuerwaffen-Ressourcen'!$A$2:$AI$54,18,0)+VLOOKUP(D24,'Feuerwaffen-Ressourcen'!$A$2:$AI$54,18,0)+VLOOKUP(F24,'Feuerwaffen-Ressourcen'!$A$2:$AI$54,18,0)+VLOOKUP(G24,'Feuerwaffen-Ressourcen'!$A$2:$AI$54,18,0)+VLOOKUP(I24,'Feuerwaffen-Ressourcen'!$A$2:$AI$54,18,0)+VLOOKUP(J24,'Feuerwaffen-Ressourcen'!$A$2:$AI$54,18,0)</f>
        <v>12</v>
      </c>
      <c r="S24" s="60">
        <f>VLOOKUP(B24,'Feuerwaffen-Ressourcen'!$A$2:$AI$54,19,0)+VLOOKUP(C24,'Feuerwaffen-Ressourcen'!$A$2:$AI$54,19,0)+VLOOKUP(D24,'Feuerwaffen-Ressourcen'!$A$2:$AI$54,19,0)+VLOOKUP(F24,'Feuerwaffen-Ressourcen'!$A$2:$AI$54,19,0)+VLOOKUP(G24,'Feuerwaffen-Ressourcen'!$A$2:$AI$54,19,0)+VLOOKUP(I24,'Feuerwaffen-Ressourcen'!$A$2:$AI$54,19,0)+VLOOKUP(J24,'Feuerwaffen-Ressourcen'!$A$2:$AI$54,19,0)</f>
        <v>8</v>
      </c>
      <c r="T24" s="60">
        <f>VLOOKUP(B24,'Feuerwaffen-Ressourcen'!$A$2:$AI$54,20,0)+VLOOKUP(C24,'Feuerwaffen-Ressourcen'!$A$2:$AI$54,20,0)+VLOOKUP(D24,'Feuerwaffen-Ressourcen'!$A$2:$AI$54,20,0)+VLOOKUP(F24,'Feuerwaffen-Ressourcen'!$A$2:$AI$54,20,0)+VLOOKUP(G24,'Feuerwaffen-Ressourcen'!$A$2:$AI$54,20,0)+VLOOKUP(I24,'Feuerwaffen-Ressourcen'!$A$2:$AI$54,20,0)+VLOOKUP(J24,'Feuerwaffen-Ressourcen'!$A$2:$AI$54,20,0)</f>
        <v>-3</v>
      </c>
      <c r="U24" s="60">
        <f>VLOOKUP(B24,'Feuerwaffen-Ressourcen'!$A$2:$AI$54,21,0)+VLOOKUP(C24,'Feuerwaffen-Ressourcen'!$A$2:$AI$54,21,0)+VLOOKUP(D24,'Feuerwaffen-Ressourcen'!$A$2:$AI$54,21,0)+VLOOKUP(F24,'Feuerwaffen-Ressourcen'!$A$2:$AI$54,21,0)+VLOOKUP(G24,'Feuerwaffen-Ressourcen'!$A$2:$AI$54,21,0)+VLOOKUP(I24,'Feuerwaffen-Ressourcen'!$A$2:$AI$54,21,0)+VLOOKUP(J24,'Feuerwaffen-Ressourcen'!$A$2:$AI$54,21,0)</f>
        <v>-16</v>
      </c>
      <c r="V24" s="60">
        <f>VLOOKUP(B24,'Feuerwaffen-Ressourcen'!$A$2:$AI$54,22,0)+VLOOKUP(C24,'Feuerwaffen-Ressourcen'!$A$2:$AI$54,22,0)+VLOOKUP(D24,'Feuerwaffen-Ressourcen'!$A$2:$AI$54,22,0)+VLOOKUP(F24,'Feuerwaffen-Ressourcen'!$A$2:$AI$54,22,0)+VLOOKUP(G24,'Feuerwaffen-Ressourcen'!$A$2:$AI$54,22,0)+VLOOKUP(I24,'Feuerwaffen-Ressourcen'!$A$2:$AI$54,22,0)+VLOOKUP(J24,'Feuerwaffen-Ressourcen'!$A$2:$AI$54,22,0)</f>
        <v>-31</v>
      </c>
      <c r="W24" s="60">
        <f>VLOOKUP(B24,'Feuerwaffen-Ressourcen'!$A$2:$AI$54,23,0)+VLOOKUP(C24,'Feuerwaffen-Ressourcen'!$A$2:$AI$54,23,0)+VLOOKUP(D24,'Feuerwaffen-Ressourcen'!$A$2:$AI$54,23,0)+VLOOKUP(F24,'Feuerwaffen-Ressourcen'!$A$2:$AI$54,23,0)+VLOOKUP(G24,'Feuerwaffen-Ressourcen'!$A$2:$AI$54,23,0)+VLOOKUP(I24,'Feuerwaffen-Ressourcen'!$A$2:$AI$54,23,0)+VLOOKUP(J24,'Feuerwaffen-Ressourcen'!$A$2:$AI$54,23,0)</f>
        <v>-47</v>
      </c>
      <c r="X24" s="60">
        <f>VLOOKUP(B24,'Feuerwaffen-Ressourcen'!$A$2:$AI$54,24,0)+VLOOKUP(C24,'Feuerwaffen-Ressourcen'!$A$2:$AI$54,24,0)+VLOOKUP(D24,'Feuerwaffen-Ressourcen'!$A$2:$AI$54,24,0)+VLOOKUP(G24,'Feuerwaffen-Ressourcen'!$A$2:$AI$54,24,0)</f>
        <v>90</v>
      </c>
      <c r="Y24" s="60">
        <f>VLOOKUP(D24,'Feuerwaffen-Ressourcen'!$A$2:$AI$54,25,0)+VLOOKUP(E24,'Feuerwaffen-Ressourcen'!$A$2:$AI$54,25,0)+VLOOKUP(F24,'Feuerwaffen-Ressourcen'!$A$2:$AI$54,25,0)</f>
        <v>9</v>
      </c>
      <c r="Z24" s="60">
        <f>VLOOKUP(E24,'Feuerwaffen-Ressourcen'!$A$2:$AI$54,26,0)</f>
        <v>6</v>
      </c>
      <c r="AA24" s="60">
        <f>VLOOKUP(B24,'Feuerwaffen-Ressourcen'!$A$2:$AI$54,27,0)+VLOOKUP(D24,'Feuerwaffen-Ressourcen'!$A$2:$AI$54,27,0)+VLOOKUP(F24,'Feuerwaffen-Ressourcen'!$A$2:$AI$54,27,0)+VLOOKUP(I24,'Feuerwaffen-Ressourcen'!$A$2:$AI$54,27,0)</f>
        <v>-2</v>
      </c>
      <c r="AB24" s="60">
        <f>VLOOKUP(B24,'Feuerwaffen-Ressourcen'!$A$2:$AI$54,28,0)+VLOOKUP(C24,'Feuerwaffen-Ressourcen'!$A$2:$AI$54,28,0)+VLOOKUP(D24,'Feuerwaffen-Ressourcen'!$A$2:$AI$54,28,0)+VLOOKUP(E24,'Feuerwaffen-Ressourcen'!$A$2:$AI$54,28,0)+VLOOKUP(F24,'Feuerwaffen-Ressourcen'!$A$2:$AI$54,28,0)+VLOOKUP(G24,'Feuerwaffen-Ressourcen'!$A$2:$AI$54,28,0)+VLOOKUP(I24,'Feuerwaffen-Ressourcen'!$A$2:$AI$54,28,0)+VLOOKUP(J24,'Feuerwaffen-Ressourcen'!$A$2:$AI$54,28,0)</f>
        <v>55</v>
      </c>
      <c r="AC24" s="63">
        <f>VLOOKUP(I24,'Feuerwaffen-Ressourcen'!$A$2:$AI$54,31,0)*AD24+AE24</f>
        <v>230.55</v>
      </c>
      <c r="AD24" s="64">
        <f>VLOOKUP(B24,'Feuerwaffen-Ressourcen'!$A$2:$AI$54,30,0)+VLOOKUP(C24,'Feuerwaffen-Ressourcen'!$A$2:$AI$54,30,0)+VLOOKUP(D24,'Feuerwaffen-Ressourcen'!$A$2:$AI$54,30,0)+VLOOKUP(F24,'Feuerwaffen-Ressourcen'!$A$2:$AI$54,30,0)+VLOOKUP(G24,'Feuerwaffen-Ressourcen'!$A$2:$AI$54,30,0)+VLOOKUP(I24,'Feuerwaffen-Ressourcen'!$A$2:$AI$54,30,0)+VLOOKUP(J24,'Feuerwaffen-Ressourcen'!$A$2:$AI$54,30,0)</f>
        <v>11</v>
      </c>
      <c r="AE24" s="63">
        <f>(VLOOKUP(C24,'Feuerwaffen-Ressourcen'!$A$2:$AI$54,32,0)+VLOOKUP(I24,'Feuerwaffen-Ressourcen'!$A$2:$AI$54,32,0))*(VLOOKUP(B24,'Feuerwaffen-Ressourcen'!$A$2:$AI$54,34,0)+VLOOKUP(C24,'Feuerwaffen-Ressourcen'!$A$2:$AI$54,34,0)+VLOOKUP(D24,'Feuerwaffen-Ressourcen'!$A$2:$AI$54,34,0)+VLOOKUP(E24,'Feuerwaffen-Ressourcen'!$A$2:$AI$54,34,0)+VLOOKUP(G24,'Feuerwaffen-Ressourcen'!$A$2:$AI$54,34,0))+VLOOKUP(B24,'Feuerwaffen-Ressourcen'!$A$2:$AI$54,35,0)+VLOOKUP(C24,'Feuerwaffen-Ressourcen'!$A$2:$AI$54,35,0)+VLOOKUP(D24,'Feuerwaffen-Ressourcen'!$A$2:$AI$54,35,0)</f>
        <v>186.55</v>
      </c>
      <c r="AF24" s="65">
        <f>VLOOKUP(AB24,'Feuerwaffen-Ressourcen'!$AO$3:$AP$9,2,1)</f>
        <v>7</v>
      </c>
      <c r="AG24" s="65">
        <v>0</v>
      </c>
    </row>
    <row r="25" spans="1:33">
      <c r="A25" s="59" t="s">
        <v>7139</v>
      </c>
      <c r="B25" s="59" t="s">
        <v>1421</v>
      </c>
      <c r="C25" s="59" t="s">
        <v>7118</v>
      </c>
      <c r="D25" s="59" t="s">
        <v>7220</v>
      </c>
      <c r="E25" s="59" t="s">
        <v>6501</v>
      </c>
      <c r="F25" s="59" t="s">
        <v>7221</v>
      </c>
      <c r="G25" s="59" t="s">
        <v>7217</v>
      </c>
      <c r="H25" s="59" t="s">
        <v>6514</v>
      </c>
      <c r="I25" s="59" t="s">
        <v>5768</v>
      </c>
      <c r="J25" s="59" t="s">
        <v>5748</v>
      </c>
      <c r="K25" s="61">
        <f>VLOOKUP(B25,'Feuerwaffen-Ressourcen'!$A$2:$AI$54,11,0)+VLOOKUP(C25,'Feuerwaffen-Ressourcen'!$A$2:$AI$54,11,0)+VLOOKUP(D25,'Feuerwaffen-Ressourcen'!$A$2:$AI$54,11,0)+VLOOKUP(E25,'Feuerwaffen-Ressourcen'!$A$2:$AI$54,11,0)+VLOOKUP(G25,'Feuerwaffen-Ressourcen'!$A$2:$AI$54,11,0)</f>
        <v>1.55</v>
      </c>
      <c r="L25" s="60">
        <f>VLOOKUP(B25,'Feuerwaffen-Ressourcen'!$A$2:$AI$54,12,0)+VLOOKUP(C25,'Feuerwaffen-Ressourcen'!$A$2:$AI$54,12,0)+VLOOKUP(D25,'Feuerwaffen-Ressourcen'!$A$2:$AI$54,12,0)+VLOOKUP(J25,'Feuerwaffen-Ressourcen'!$A$2:$AI$54,12,0)</f>
        <v>7</v>
      </c>
      <c r="M25" s="60" t="str">
        <f>VLOOKUP(VLOOKUP(B25,'Feuerwaffen-Ressourcen'!$A$2:$AI$54,13,0)+VLOOKUP(C25,'Feuerwaffen-Ressourcen'!$A$2:$AI$54,13,0)+VLOOKUP(D25,'Feuerwaffen-Ressourcen'!$A$2:$AI$54,13,0),'Feuerwaffen-Ressourcen'!$AJ$3:$AK$12,2,0)</f>
        <v>W8</v>
      </c>
      <c r="N25" s="60" t="str">
        <f>VLOOKUP(VLOOKUP(B25,'Feuerwaffen-Ressourcen'!$A$2:$AI$54,14,0)+VLOOKUP(C25,'Feuerwaffen-Ressourcen'!$A$2:$AI$54,14,0)+VLOOKUP(D25,'Feuerwaffen-Ressourcen'!$A$2:$AI$54,14,0),'Feuerwaffen-Ressourcen'!$AJ$3:$AK$12,2,0)</f>
        <v>W8</v>
      </c>
      <c r="O25" s="60">
        <f>VLOOKUP(B25,'Feuerwaffen-Ressourcen'!$A$2:$AI$54,15,0)+VLOOKUP(C25,'Feuerwaffen-Ressourcen'!$A$2:$AI$54,15,0)+VLOOKUP(D25,'Feuerwaffen-Ressourcen'!$A$2:$AI$54,15,0)</f>
        <v>0</v>
      </c>
      <c r="P25" s="60">
        <f>VLOOKUP(B25,'Feuerwaffen-Ressourcen'!$A$2:$AI$54,16,0)+VLOOKUP(C25,'Feuerwaffen-Ressourcen'!$A$2:$AI$54,16,0)+VLOOKUP(D25,'Feuerwaffen-Ressourcen'!$A$2:$AI$54,16,0)+VLOOKUP(E25,'Feuerwaffen-Ressourcen'!$A$2:$AI$54,16,0)</f>
        <v>6</v>
      </c>
      <c r="Q25" s="62">
        <f>VLOOKUP(B25,'Feuerwaffen-Ressourcen'!$A$2:$AI$54,17,0)+VLOOKUP(C25,'Feuerwaffen-Ressourcen'!$A$2:$AI$54,17,0)+VLOOKUP(D25,'Feuerwaffen-Ressourcen'!$A$2:$AI$54,17,0)+VLOOKUP(E25,'Feuerwaffen-Ressourcen'!$A$2:$AI$54,17,0)</f>
        <v>14</v>
      </c>
      <c r="R25" s="60">
        <f>VLOOKUP(B25,'Feuerwaffen-Ressourcen'!$A$2:$AI$54,18,0)+VLOOKUP(C25,'Feuerwaffen-Ressourcen'!$A$2:$AI$54,18,0)+VLOOKUP(D25,'Feuerwaffen-Ressourcen'!$A$2:$AI$54,18,0)+VLOOKUP(F25,'Feuerwaffen-Ressourcen'!$A$2:$AI$54,18,0)+VLOOKUP(G25,'Feuerwaffen-Ressourcen'!$A$2:$AI$54,18,0)+VLOOKUP(I25,'Feuerwaffen-Ressourcen'!$A$2:$AI$54,18,0)+VLOOKUP(J25,'Feuerwaffen-Ressourcen'!$A$2:$AI$54,18,0)</f>
        <v>9</v>
      </c>
      <c r="S25" s="60">
        <f>VLOOKUP(B25,'Feuerwaffen-Ressourcen'!$A$2:$AI$54,19,0)+VLOOKUP(C25,'Feuerwaffen-Ressourcen'!$A$2:$AI$54,19,0)+VLOOKUP(D25,'Feuerwaffen-Ressourcen'!$A$2:$AI$54,19,0)+VLOOKUP(F25,'Feuerwaffen-Ressourcen'!$A$2:$AI$54,19,0)+VLOOKUP(G25,'Feuerwaffen-Ressourcen'!$A$2:$AI$54,19,0)+VLOOKUP(I25,'Feuerwaffen-Ressourcen'!$A$2:$AI$54,19,0)+VLOOKUP(J25,'Feuerwaffen-Ressourcen'!$A$2:$AI$54,19,0)</f>
        <v>1</v>
      </c>
      <c r="T25" s="60">
        <f>VLOOKUP(B25,'Feuerwaffen-Ressourcen'!$A$2:$AI$54,20,0)+VLOOKUP(C25,'Feuerwaffen-Ressourcen'!$A$2:$AI$54,20,0)+VLOOKUP(D25,'Feuerwaffen-Ressourcen'!$A$2:$AI$54,20,0)+VLOOKUP(F25,'Feuerwaffen-Ressourcen'!$A$2:$AI$54,20,0)+VLOOKUP(G25,'Feuerwaffen-Ressourcen'!$A$2:$AI$54,20,0)+VLOOKUP(I25,'Feuerwaffen-Ressourcen'!$A$2:$AI$54,20,0)+VLOOKUP(J25,'Feuerwaffen-Ressourcen'!$A$2:$AI$54,20,0)</f>
        <v>-9</v>
      </c>
      <c r="U25" s="60">
        <f>VLOOKUP(B25,'Feuerwaffen-Ressourcen'!$A$2:$AI$54,21,0)+VLOOKUP(C25,'Feuerwaffen-Ressourcen'!$A$2:$AI$54,21,0)+VLOOKUP(D25,'Feuerwaffen-Ressourcen'!$A$2:$AI$54,21,0)+VLOOKUP(F25,'Feuerwaffen-Ressourcen'!$A$2:$AI$54,21,0)+VLOOKUP(G25,'Feuerwaffen-Ressourcen'!$A$2:$AI$54,21,0)+VLOOKUP(I25,'Feuerwaffen-Ressourcen'!$A$2:$AI$54,21,0)+VLOOKUP(J25,'Feuerwaffen-Ressourcen'!$A$2:$AI$54,21,0)</f>
        <v>-21</v>
      </c>
      <c r="V25" s="60">
        <f>VLOOKUP(B25,'Feuerwaffen-Ressourcen'!$A$2:$AI$54,22,0)+VLOOKUP(C25,'Feuerwaffen-Ressourcen'!$A$2:$AI$54,22,0)+VLOOKUP(D25,'Feuerwaffen-Ressourcen'!$A$2:$AI$54,22,0)+VLOOKUP(F25,'Feuerwaffen-Ressourcen'!$A$2:$AI$54,22,0)+VLOOKUP(G25,'Feuerwaffen-Ressourcen'!$A$2:$AI$54,22,0)+VLOOKUP(I25,'Feuerwaffen-Ressourcen'!$A$2:$AI$54,22,0)+VLOOKUP(J25,'Feuerwaffen-Ressourcen'!$A$2:$AI$54,22,0)</f>
        <v>-35</v>
      </c>
      <c r="W25" s="60">
        <f>VLOOKUP(B25,'Feuerwaffen-Ressourcen'!$A$2:$AI$54,23,0)+VLOOKUP(C25,'Feuerwaffen-Ressourcen'!$A$2:$AI$54,23,0)+VLOOKUP(D25,'Feuerwaffen-Ressourcen'!$A$2:$AI$54,23,0)+VLOOKUP(F25,'Feuerwaffen-Ressourcen'!$A$2:$AI$54,23,0)+VLOOKUP(G25,'Feuerwaffen-Ressourcen'!$A$2:$AI$54,23,0)+VLOOKUP(I25,'Feuerwaffen-Ressourcen'!$A$2:$AI$54,23,0)+VLOOKUP(J25,'Feuerwaffen-Ressourcen'!$A$2:$AI$54,23,0)</f>
        <v>-51</v>
      </c>
      <c r="X25" s="60">
        <f>VLOOKUP(B25,'Feuerwaffen-Ressourcen'!$A$2:$AI$54,24,0)+VLOOKUP(C25,'Feuerwaffen-Ressourcen'!$A$2:$AI$54,24,0)+VLOOKUP(D25,'Feuerwaffen-Ressourcen'!$A$2:$AI$54,24,0)+VLOOKUP(G25,'Feuerwaffen-Ressourcen'!$A$2:$AI$54,24,0)</f>
        <v>50</v>
      </c>
      <c r="Y25" s="60">
        <f>VLOOKUP(D25,'Feuerwaffen-Ressourcen'!$A$2:$AI$54,25,0)+VLOOKUP(E25,'Feuerwaffen-Ressourcen'!$A$2:$AI$54,25,0)+VLOOKUP(F25,'Feuerwaffen-Ressourcen'!$A$2:$AI$54,25,0)</f>
        <v>30</v>
      </c>
      <c r="Z25" s="60">
        <f>VLOOKUP(E25,'Feuerwaffen-Ressourcen'!$A$2:$AI$54,26,0)</f>
        <v>3</v>
      </c>
      <c r="AA25" s="60">
        <f>VLOOKUP(B25,'Feuerwaffen-Ressourcen'!$A$2:$AI$54,27,0)+VLOOKUP(D25,'Feuerwaffen-Ressourcen'!$A$2:$AI$54,27,0)+VLOOKUP(F25,'Feuerwaffen-Ressourcen'!$A$2:$AI$54,27,0)+VLOOKUP(I25,'Feuerwaffen-Ressourcen'!$A$2:$AI$54,27,0)</f>
        <v>1</v>
      </c>
      <c r="AB25" s="60">
        <f>VLOOKUP(B25,'Feuerwaffen-Ressourcen'!$A$2:$AI$54,28,0)+VLOOKUP(C25,'Feuerwaffen-Ressourcen'!$A$2:$AI$54,28,0)+VLOOKUP(D25,'Feuerwaffen-Ressourcen'!$A$2:$AI$54,28,0)+VLOOKUP(E25,'Feuerwaffen-Ressourcen'!$A$2:$AI$54,28,0)+VLOOKUP(F25,'Feuerwaffen-Ressourcen'!$A$2:$AI$54,28,0)+VLOOKUP(G25,'Feuerwaffen-Ressourcen'!$A$2:$AI$54,28,0)+VLOOKUP(I25,'Feuerwaffen-Ressourcen'!$A$2:$AI$54,28,0)+VLOOKUP(J25,'Feuerwaffen-Ressourcen'!$A$2:$AI$54,28,0)</f>
        <v>120</v>
      </c>
      <c r="AC25" s="63">
        <f>VLOOKUP(I25,'Feuerwaffen-Ressourcen'!$A$2:$AI$54,31,0)*AD25+AE25</f>
        <v>144.55000000000001</v>
      </c>
      <c r="AD25" s="64">
        <f>VLOOKUP(B25,'Feuerwaffen-Ressourcen'!$A$2:$AI$54,30,0)+VLOOKUP(C25,'Feuerwaffen-Ressourcen'!$A$2:$AI$54,30,0)+VLOOKUP(D25,'Feuerwaffen-Ressourcen'!$A$2:$AI$54,30,0)+VLOOKUP(F25,'Feuerwaffen-Ressourcen'!$A$2:$AI$54,30,0)+VLOOKUP(G25,'Feuerwaffen-Ressourcen'!$A$2:$AI$54,30,0)+VLOOKUP(I25,'Feuerwaffen-Ressourcen'!$A$2:$AI$54,30,0)+VLOOKUP(J25,'Feuerwaffen-Ressourcen'!$A$2:$AI$54,30,0)</f>
        <v>6</v>
      </c>
      <c r="AE25" s="63">
        <f>(VLOOKUP(C25,'Feuerwaffen-Ressourcen'!$A$2:$AI$54,32,0)+VLOOKUP(I25,'Feuerwaffen-Ressourcen'!$A$2:$AI$54,32,0))*(VLOOKUP(B25,'Feuerwaffen-Ressourcen'!$A$2:$AI$54,34,0)+VLOOKUP(C25,'Feuerwaffen-Ressourcen'!$A$2:$AI$54,34,0)+VLOOKUP(D25,'Feuerwaffen-Ressourcen'!$A$2:$AI$54,34,0)+VLOOKUP(E25,'Feuerwaffen-Ressourcen'!$A$2:$AI$54,34,0)+VLOOKUP(G25,'Feuerwaffen-Ressourcen'!$A$2:$AI$54,34,0))+VLOOKUP(B25,'Feuerwaffen-Ressourcen'!$A$2:$AI$54,35,0)+VLOOKUP(C25,'Feuerwaffen-Ressourcen'!$A$2:$AI$54,35,0)+VLOOKUP(D25,'Feuerwaffen-Ressourcen'!$A$2:$AI$54,35,0)</f>
        <v>120.55</v>
      </c>
      <c r="AF25" s="65">
        <f>VLOOKUP(AB25,'Feuerwaffen-Ressourcen'!$AO$3:$AP$9,2,1)</f>
        <v>4</v>
      </c>
      <c r="AG25" s="65">
        <v>0</v>
      </c>
    </row>
    <row r="26" spans="1:33">
      <c r="A26" s="59" t="s">
        <v>7140</v>
      </c>
      <c r="B26" s="59" t="s">
        <v>1425</v>
      </c>
      <c r="C26" s="59" t="s">
        <v>7215</v>
      </c>
      <c r="D26" s="59" t="s">
        <v>7206</v>
      </c>
      <c r="E26" s="59" t="s">
        <v>7141</v>
      </c>
      <c r="F26" s="59" t="s">
        <v>7224</v>
      </c>
      <c r="G26" s="59" t="s">
        <v>7225</v>
      </c>
      <c r="H26" s="59" t="s">
        <v>7124</v>
      </c>
      <c r="I26" s="59" t="s">
        <v>5768</v>
      </c>
      <c r="J26" s="59" t="s">
        <v>5748</v>
      </c>
      <c r="K26" s="61">
        <f>VLOOKUP(B26,'Feuerwaffen-Ressourcen'!$A$2:$AI$54,11,0)+VLOOKUP(C26,'Feuerwaffen-Ressourcen'!$A$2:$AI$54,11,0)+VLOOKUP(D26,'Feuerwaffen-Ressourcen'!$A$2:$AI$54,11,0)+VLOOKUP(E26,'Feuerwaffen-Ressourcen'!$A$2:$AI$54,11,0)+VLOOKUP(G26,'Feuerwaffen-Ressourcen'!$A$2:$AI$54,11,0)</f>
        <v>3.3499999999999996</v>
      </c>
      <c r="L26" s="60">
        <f>VLOOKUP(B26,'Feuerwaffen-Ressourcen'!$A$2:$AI$54,12,0)+VLOOKUP(C26,'Feuerwaffen-Ressourcen'!$A$2:$AI$54,12,0)+VLOOKUP(D26,'Feuerwaffen-Ressourcen'!$A$2:$AI$54,12,0)+VLOOKUP(J26,'Feuerwaffen-Ressourcen'!$A$2:$AI$54,12,0)</f>
        <v>7</v>
      </c>
      <c r="M26" s="60" t="str">
        <f>VLOOKUP(VLOOKUP(B26,'Feuerwaffen-Ressourcen'!$A$2:$AI$54,13,0)+VLOOKUP(C26,'Feuerwaffen-Ressourcen'!$A$2:$AI$54,13,0)+VLOOKUP(D26,'Feuerwaffen-Ressourcen'!$A$2:$AI$54,13,0),'Feuerwaffen-Ressourcen'!$AJ$3:$AK$12,2,0)</f>
        <v>W8</v>
      </c>
      <c r="N26" s="60" t="str">
        <f>VLOOKUP(VLOOKUP(B26,'Feuerwaffen-Ressourcen'!$A$2:$AI$54,14,0)+VLOOKUP(C26,'Feuerwaffen-Ressourcen'!$A$2:$AI$54,14,0)+VLOOKUP(D26,'Feuerwaffen-Ressourcen'!$A$2:$AI$54,14,0),'Feuerwaffen-Ressourcen'!$AJ$3:$AK$12,2,0)</f>
        <v>W8</v>
      </c>
      <c r="O26" s="60">
        <f>VLOOKUP(B26,'Feuerwaffen-Ressourcen'!$A$2:$AI$54,15,0)+VLOOKUP(C26,'Feuerwaffen-Ressourcen'!$A$2:$AI$54,15,0)+VLOOKUP(D26,'Feuerwaffen-Ressourcen'!$A$2:$AI$54,15,0)</f>
        <v>1</v>
      </c>
      <c r="P26" s="60">
        <f>VLOOKUP(B26,'Feuerwaffen-Ressourcen'!$A$2:$AI$54,16,0)+VLOOKUP(C26,'Feuerwaffen-Ressourcen'!$A$2:$AI$54,16,0)+VLOOKUP(D26,'Feuerwaffen-Ressourcen'!$A$2:$AI$54,16,0)+VLOOKUP(E26,'Feuerwaffen-Ressourcen'!$A$2:$AI$54,16,0)</f>
        <v>20</v>
      </c>
      <c r="Q26" s="62">
        <f>VLOOKUP(B26,'Feuerwaffen-Ressourcen'!$A$2:$AI$54,17,0)+VLOOKUP(C26,'Feuerwaffen-Ressourcen'!$A$2:$AI$54,17,0)+VLOOKUP(D26,'Feuerwaffen-Ressourcen'!$A$2:$AI$54,17,0)+VLOOKUP(E26,'Feuerwaffen-Ressourcen'!$A$2:$AI$54,17,0)</f>
        <v>10</v>
      </c>
      <c r="R26" s="60">
        <f>VLOOKUP(B26,'Feuerwaffen-Ressourcen'!$A$2:$AI$54,18,0)+VLOOKUP(C26,'Feuerwaffen-Ressourcen'!$A$2:$AI$54,18,0)+VLOOKUP(D26,'Feuerwaffen-Ressourcen'!$A$2:$AI$54,18,0)+VLOOKUP(F26,'Feuerwaffen-Ressourcen'!$A$2:$AI$54,18,0)+VLOOKUP(G26,'Feuerwaffen-Ressourcen'!$A$2:$AI$54,18,0)+VLOOKUP(I26,'Feuerwaffen-Ressourcen'!$A$2:$AI$54,18,0)+VLOOKUP(J26,'Feuerwaffen-Ressourcen'!$A$2:$AI$54,18,0)</f>
        <v>6</v>
      </c>
      <c r="S26" s="60">
        <f>VLOOKUP(B26,'Feuerwaffen-Ressourcen'!$A$2:$AI$54,19,0)+VLOOKUP(C26,'Feuerwaffen-Ressourcen'!$A$2:$AI$54,19,0)+VLOOKUP(D26,'Feuerwaffen-Ressourcen'!$A$2:$AI$54,19,0)+VLOOKUP(F26,'Feuerwaffen-Ressourcen'!$A$2:$AI$54,19,0)+VLOOKUP(G26,'Feuerwaffen-Ressourcen'!$A$2:$AI$54,19,0)+VLOOKUP(I26,'Feuerwaffen-Ressourcen'!$A$2:$AI$54,19,0)+VLOOKUP(J26,'Feuerwaffen-Ressourcen'!$A$2:$AI$54,19,0)</f>
        <v>2</v>
      </c>
      <c r="T26" s="60">
        <f>VLOOKUP(B26,'Feuerwaffen-Ressourcen'!$A$2:$AI$54,20,0)+VLOOKUP(C26,'Feuerwaffen-Ressourcen'!$A$2:$AI$54,20,0)+VLOOKUP(D26,'Feuerwaffen-Ressourcen'!$A$2:$AI$54,20,0)+VLOOKUP(F26,'Feuerwaffen-Ressourcen'!$A$2:$AI$54,20,0)+VLOOKUP(G26,'Feuerwaffen-Ressourcen'!$A$2:$AI$54,20,0)+VLOOKUP(I26,'Feuerwaffen-Ressourcen'!$A$2:$AI$54,20,0)+VLOOKUP(J26,'Feuerwaffen-Ressourcen'!$A$2:$AI$54,20,0)</f>
        <v>-3</v>
      </c>
      <c r="U26" s="60">
        <f>VLOOKUP(B26,'Feuerwaffen-Ressourcen'!$A$2:$AI$54,21,0)+VLOOKUP(C26,'Feuerwaffen-Ressourcen'!$A$2:$AI$54,21,0)+VLOOKUP(D26,'Feuerwaffen-Ressourcen'!$A$2:$AI$54,21,0)+VLOOKUP(F26,'Feuerwaffen-Ressourcen'!$A$2:$AI$54,21,0)+VLOOKUP(G26,'Feuerwaffen-Ressourcen'!$A$2:$AI$54,21,0)+VLOOKUP(I26,'Feuerwaffen-Ressourcen'!$A$2:$AI$54,21,0)+VLOOKUP(J26,'Feuerwaffen-Ressourcen'!$A$2:$AI$54,21,0)</f>
        <v>-11</v>
      </c>
      <c r="V26" s="60">
        <f>VLOOKUP(B26,'Feuerwaffen-Ressourcen'!$A$2:$AI$54,22,0)+VLOOKUP(C26,'Feuerwaffen-Ressourcen'!$A$2:$AI$54,22,0)+VLOOKUP(D26,'Feuerwaffen-Ressourcen'!$A$2:$AI$54,22,0)+VLOOKUP(F26,'Feuerwaffen-Ressourcen'!$A$2:$AI$54,22,0)+VLOOKUP(G26,'Feuerwaffen-Ressourcen'!$A$2:$AI$54,22,0)+VLOOKUP(I26,'Feuerwaffen-Ressourcen'!$A$2:$AI$54,22,0)+VLOOKUP(J26,'Feuerwaffen-Ressourcen'!$A$2:$AI$54,22,0)</f>
        <v>-19</v>
      </c>
      <c r="W26" s="60">
        <f>VLOOKUP(B26,'Feuerwaffen-Ressourcen'!$A$2:$AI$54,23,0)+VLOOKUP(C26,'Feuerwaffen-Ressourcen'!$A$2:$AI$54,23,0)+VLOOKUP(D26,'Feuerwaffen-Ressourcen'!$A$2:$AI$54,23,0)+VLOOKUP(F26,'Feuerwaffen-Ressourcen'!$A$2:$AI$54,23,0)+VLOOKUP(G26,'Feuerwaffen-Ressourcen'!$A$2:$AI$54,23,0)+VLOOKUP(I26,'Feuerwaffen-Ressourcen'!$A$2:$AI$54,23,0)+VLOOKUP(J26,'Feuerwaffen-Ressourcen'!$A$2:$AI$54,23,0)</f>
        <v>-27</v>
      </c>
      <c r="X26" s="60">
        <f>VLOOKUP(B26,'Feuerwaffen-Ressourcen'!$A$2:$AI$54,24,0)+VLOOKUP(C26,'Feuerwaffen-Ressourcen'!$A$2:$AI$54,24,0)+VLOOKUP(D26,'Feuerwaffen-Ressourcen'!$A$2:$AI$54,24,0)+VLOOKUP(G26,'Feuerwaffen-Ressourcen'!$A$2:$AI$54,24,0)</f>
        <v>70</v>
      </c>
      <c r="Y26" s="60">
        <f>VLOOKUP(D26,'Feuerwaffen-Ressourcen'!$A$2:$AI$54,25,0)+VLOOKUP(E26,'Feuerwaffen-Ressourcen'!$A$2:$AI$54,25,0)+VLOOKUP(F26,'Feuerwaffen-Ressourcen'!$A$2:$AI$54,25,0)</f>
        <v>8</v>
      </c>
      <c r="Z26" s="60">
        <f>VLOOKUP(E26,'Feuerwaffen-Ressourcen'!$A$2:$AI$54,26,0)</f>
        <v>6</v>
      </c>
      <c r="AA26" s="60">
        <f>VLOOKUP(B26,'Feuerwaffen-Ressourcen'!$A$2:$AI$54,27,0)+VLOOKUP(D26,'Feuerwaffen-Ressourcen'!$A$2:$AI$54,27,0)+VLOOKUP(F26,'Feuerwaffen-Ressourcen'!$A$2:$AI$54,27,0)+VLOOKUP(I26,'Feuerwaffen-Ressourcen'!$A$2:$AI$54,27,0)</f>
        <v>1</v>
      </c>
      <c r="AB26" s="60">
        <f>VLOOKUP(B26,'Feuerwaffen-Ressourcen'!$A$2:$AI$54,28,0)+VLOOKUP(C26,'Feuerwaffen-Ressourcen'!$A$2:$AI$54,28,0)+VLOOKUP(D26,'Feuerwaffen-Ressourcen'!$A$2:$AI$54,28,0)+VLOOKUP(E26,'Feuerwaffen-Ressourcen'!$A$2:$AI$54,28,0)+VLOOKUP(F26,'Feuerwaffen-Ressourcen'!$A$2:$AI$54,28,0)+VLOOKUP(G26,'Feuerwaffen-Ressourcen'!$A$2:$AI$54,28,0)+VLOOKUP(I26,'Feuerwaffen-Ressourcen'!$A$2:$AI$54,28,0)+VLOOKUP(J26,'Feuerwaffen-Ressourcen'!$A$2:$AI$54,28,0)</f>
        <v>80</v>
      </c>
      <c r="AC26" s="63">
        <f>VLOOKUP(I26,'Feuerwaffen-Ressourcen'!$A$2:$AI$54,31,0)*AD26+AE26</f>
        <v>222.5</v>
      </c>
      <c r="AD26" s="64">
        <f>VLOOKUP(B26,'Feuerwaffen-Ressourcen'!$A$2:$AI$54,30,0)+VLOOKUP(C26,'Feuerwaffen-Ressourcen'!$A$2:$AI$54,30,0)+VLOOKUP(D26,'Feuerwaffen-Ressourcen'!$A$2:$AI$54,30,0)+VLOOKUP(F26,'Feuerwaffen-Ressourcen'!$A$2:$AI$54,30,0)+VLOOKUP(G26,'Feuerwaffen-Ressourcen'!$A$2:$AI$54,30,0)+VLOOKUP(I26,'Feuerwaffen-Ressourcen'!$A$2:$AI$54,30,0)+VLOOKUP(J26,'Feuerwaffen-Ressourcen'!$A$2:$AI$54,30,0)</f>
        <v>5.6999999999999993</v>
      </c>
      <c r="AE26" s="63">
        <f>(VLOOKUP(C26,'Feuerwaffen-Ressourcen'!$A$2:$AI$54,32,0)+VLOOKUP(I26,'Feuerwaffen-Ressourcen'!$A$2:$AI$54,32,0))*(VLOOKUP(B26,'Feuerwaffen-Ressourcen'!$A$2:$AI$54,34,0)+VLOOKUP(C26,'Feuerwaffen-Ressourcen'!$A$2:$AI$54,34,0)+VLOOKUP(D26,'Feuerwaffen-Ressourcen'!$A$2:$AI$54,34,0)+VLOOKUP(E26,'Feuerwaffen-Ressourcen'!$A$2:$AI$54,34,0)+VLOOKUP(G26,'Feuerwaffen-Ressourcen'!$A$2:$AI$54,34,0))+VLOOKUP(B26,'Feuerwaffen-Ressourcen'!$A$2:$AI$54,35,0)+VLOOKUP(C26,'Feuerwaffen-Ressourcen'!$A$2:$AI$54,35,0)+VLOOKUP(D26,'Feuerwaffen-Ressourcen'!$A$2:$AI$54,35,0)</f>
        <v>199.70000000000002</v>
      </c>
      <c r="AF26" s="65">
        <f>VLOOKUP(AB26,'Feuerwaffen-Ressourcen'!$AO$3:$AP$9,2,1)</f>
        <v>6</v>
      </c>
      <c r="AG26" s="65">
        <v>0</v>
      </c>
    </row>
    <row r="27" spans="1:33">
      <c r="A27" s="59" t="s">
        <v>7142</v>
      </c>
      <c r="B27" s="59" t="s">
        <v>1425</v>
      </c>
      <c r="C27" s="59" t="s">
        <v>7215</v>
      </c>
      <c r="D27" s="59" t="s">
        <v>7233</v>
      </c>
      <c r="E27" s="59" t="s">
        <v>6501</v>
      </c>
      <c r="F27" s="59" t="s">
        <v>7221</v>
      </c>
      <c r="G27" s="59" t="s">
        <v>7217</v>
      </c>
      <c r="H27" s="59" t="s">
        <v>6514</v>
      </c>
      <c r="I27" s="59" t="s">
        <v>5768</v>
      </c>
      <c r="J27" s="59" t="s">
        <v>5748</v>
      </c>
      <c r="K27" s="61">
        <f>VLOOKUP(B27,'Feuerwaffen-Ressourcen'!$A$2:$AI$54,11,0)+VLOOKUP(C27,'Feuerwaffen-Ressourcen'!$A$2:$AI$54,11,0)+VLOOKUP(D27,'Feuerwaffen-Ressourcen'!$A$2:$AI$54,11,0)+VLOOKUP(E27,'Feuerwaffen-Ressourcen'!$A$2:$AI$54,11,0)+VLOOKUP(G27,'Feuerwaffen-Ressourcen'!$A$2:$AI$54,11,0)</f>
        <v>4.0999999999999996</v>
      </c>
      <c r="L27" s="60">
        <f>VLOOKUP(B27,'Feuerwaffen-Ressourcen'!$A$2:$AI$54,12,0)+VLOOKUP(C27,'Feuerwaffen-Ressourcen'!$A$2:$AI$54,12,0)+VLOOKUP(D27,'Feuerwaffen-Ressourcen'!$A$2:$AI$54,12,0)+VLOOKUP(J27,'Feuerwaffen-Ressourcen'!$A$2:$AI$54,12,0)</f>
        <v>9</v>
      </c>
      <c r="M27" s="60" t="str">
        <f>VLOOKUP(VLOOKUP(B27,'Feuerwaffen-Ressourcen'!$A$2:$AI$54,13,0)+VLOOKUP(C27,'Feuerwaffen-Ressourcen'!$A$2:$AI$54,13,0)+VLOOKUP(D27,'Feuerwaffen-Ressourcen'!$A$2:$AI$54,13,0),'Feuerwaffen-Ressourcen'!$AJ$3:$AK$12,2,0)</f>
        <v>W10</v>
      </c>
      <c r="N27" s="60" t="str">
        <f>VLOOKUP(VLOOKUP(B27,'Feuerwaffen-Ressourcen'!$A$2:$AI$54,14,0)+VLOOKUP(C27,'Feuerwaffen-Ressourcen'!$A$2:$AI$54,14,0)+VLOOKUP(D27,'Feuerwaffen-Ressourcen'!$A$2:$AI$54,14,0),'Feuerwaffen-Ressourcen'!$AJ$3:$AK$12,2,0)</f>
        <v>W10</v>
      </c>
      <c r="O27" s="60">
        <f>VLOOKUP(B27,'Feuerwaffen-Ressourcen'!$A$2:$AI$54,15,0)+VLOOKUP(C27,'Feuerwaffen-Ressourcen'!$A$2:$AI$54,15,0)+VLOOKUP(D27,'Feuerwaffen-Ressourcen'!$A$2:$AI$54,15,0)</f>
        <v>4</v>
      </c>
      <c r="P27" s="60">
        <f>VLOOKUP(B27,'Feuerwaffen-Ressourcen'!$A$2:$AI$54,16,0)+VLOOKUP(C27,'Feuerwaffen-Ressourcen'!$A$2:$AI$54,16,0)+VLOOKUP(D27,'Feuerwaffen-Ressourcen'!$A$2:$AI$54,16,0)+VLOOKUP(E27,'Feuerwaffen-Ressourcen'!$A$2:$AI$54,16,0)</f>
        <v>11</v>
      </c>
      <c r="Q27" s="62">
        <f>VLOOKUP(B27,'Feuerwaffen-Ressourcen'!$A$2:$AI$54,17,0)+VLOOKUP(C27,'Feuerwaffen-Ressourcen'!$A$2:$AI$54,17,0)+VLOOKUP(D27,'Feuerwaffen-Ressourcen'!$A$2:$AI$54,17,0)+VLOOKUP(E27,'Feuerwaffen-Ressourcen'!$A$2:$AI$54,17,0)</f>
        <v>19</v>
      </c>
      <c r="R27" s="60">
        <f>VLOOKUP(B27,'Feuerwaffen-Ressourcen'!$A$2:$AI$54,18,0)+VLOOKUP(C27,'Feuerwaffen-Ressourcen'!$A$2:$AI$54,18,0)+VLOOKUP(D27,'Feuerwaffen-Ressourcen'!$A$2:$AI$54,18,0)+VLOOKUP(F27,'Feuerwaffen-Ressourcen'!$A$2:$AI$54,18,0)+VLOOKUP(G27,'Feuerwaffen-Ressourcen'!$A$2:$AI$54,18,0)+VLOOKUP(I27,'Feuerwaffen-Ressourcen'!$A$2:$AI$54,18,0)+VLOOKUP(J27,'Feuerwaffen-Ressourcen'!$A$2:$AI$54,18,0)</f>
        <v>2</v>
      </c>
      <c r="S27" s="60">
        <f>VLOOKUP(B27,'Feuerwaffen-Ressourcen'!$A$2:$AI$54,19,0)+VLOOKUP(C27,'Feuerwaffen-Ressourcen'!$A$2:$AI$54,19,0)+VLOOKUP(D27,'Feuerwaffen-Ressourcen'!$A$2:$AI$54,19,0)+VLOOKUP(F27,'Feuerwaffen-Ressourcen'!$A$2:$AI$54,19,0)+VLOOKUP(G27,'Feuerwaffen-Ressourcen'!$A$2:$AI$54,19,0)+VLOOKUP(I27,'Feuerwaffen-Ressourcen'!$A$2:$AI$54,19,0)+VLOOKUP(J27,'Feuerwaffen-Ressourcen'!$A$2:$AI$54,19,0)</f>
        <v>-8</v>
      </c>
      <c r="T27" s="60">
        <f>VLOOKUP(B27,'Feuerwaffen-Ressourcen'!$A$2:$AI$54,20,0)+VLOOKUP(C27,'Feuerwaffen-Ressourcen'!$A$2:$AI$54,20,0)+VLOOKUP(D27,'Feuerwaffen-Ressourcen'!$A$2:$AI$54,20,0)+VLOOKUP(F27,'Feuerwaffen-Ressourcen'!$A$2:$AI$54,20,0)+VLOOKUP(G27,'Feuerwaffen-Ressourcen'!$A$2:$AI$54,20,0)+VLOOKUP(I27,'Feuerwaffen-Ressourcen'!$A$2:$AI$54,20,0)+VLOOKUP(J27,'Feuerwaffen-Ressourcen'!$A$2:$AI$54,20,0)</f>
        <v>-18</v>
      </c>
      <c r="U27" s="60">
        <f>VLOOKUP(B27,'Feuerwaffen-Ressourcen'!$A$2:$AI$54,21,0)+VLOOKUP(C27,'Feuerwaffen-Ressourcen'!$A$2:$AI$54,21,0)+VLOOKUP(D27,'Feuerwaffen-Ressourcen'!$A$2:$AI$54,21,0)+VLOOKUP(F27,'Feuerwaffen-Ressourcen'!$A$2:$AI$54,21,0)+VLOOKUP(G27,'Feuerwaffen-Ressourcen'!$A$2:$AI$54,21,0)+VLOOKUP(I27,'Feuerwaffen-Ressourcen'!$A$2:$AI$54,21,0)+VLOOKUP(J27,'Feuerwaffen-Ressourcen'!$A$2:$AI$54,21,0)</f>
        <v>-30</v>
      </c>
      <c r="V27" s="60">
        <f>VLOOKUP(B27,'Feuerwaffen-Ressourcen'!$A$2:$AI$54,22,0)+VLOOKUP(C27,'Feuerwaffen-Ressourcen'!$A$2:$AI$54,22,0)+VLOOKUP(D27,'Feuerwaffen-Ressourcen'!$A$2:$AI$54,22,0)+VLOOKUP(F27,'Feuerwaffen-Ressourcen'!$A$2:$AI$54,22,0)+VLOOKUP(G27,'Feuerwaffen-Ressourcen'!$A$2:$AI$54,22,0)+VLOOKUP(I27,'Feuerwaffen-Ressourcen'!$A$2:$AI$54,22,0)+VLOOKUP(J27,'Feuerwaffen-Ressourcen'!$A$2:$AI$54,22,0)</f>
        <v>-42</v>
      </c>
      <c r="W27" s="60">
        <f>VLOOKUP(B27,'Feuerwaffen-Ressourcen'!$A$2:$AI$54,23,0)+VLOOKUP(C27,'Feuerwaffen-Ressourcen'!$A$2:$AI$54,23,0)+VLOOKUP(D27,'Feuerwaffen-Ressourcen'!$A$2:$AI$54,23,0)+VLOOKUP(F27,'Feuerwaffen-Ressourcen'!$A$2:$AI$54,23,0)+VLOOKUP(G27,'Feuerwaffen-Ressourcen'!$A$2:$AI$54,23,0)+VLOOKUP(I27,'Feuerwaffen-Ressourcen'!$A$2:$AI$54,23,0)+VLOOKUP(J27,'Feuerwaffen-Ressourcen'!$A$2:$AI$54,23,0)</f>
        <v>-55</v>
      </c>
      <c r="X27" s="60">
        <f>VLOOKUP(B27,'Feuerwaffen-Ressourcen'!$A$2:$AI$54,24,0)+VLOOKUP(C27,'Feuerwaffen-Ressourcen'!$A$2:$AI$54,24,0)+VLOOKUP(D27,'Feuerwaffen-Ressourcen'!$A$2:$AI$54,24,0)+VLOOKUP(G27,'Feuerwaffen-Ressourcen'!$A$2:$AI$54,24,0)</f>
        <v>20</v>
      </c>
      <c r="Y27" s="60">
        <f>VLOOKUP(D27,'Feuerwaffen-Ressourcen'!$A$2:$AI$54,25,0)+VLOOKUP(E27,'Feuerwaffen-Ressourcen'!$A$2:$AI$54,25,0)+VLOOKUP(F27,'Feuerwaffen-Ressourcen'!$A$2:$AI$54,25,0)</f>
        <v>32</v>
      </c>
      <c r="Z27" s="60">
        <f>VLOOKUP(E27,'Feuerwaffen-Ressourcen'!$A$2:$AI$54,26,0)</f>
        <v>3</v>
      </c>
      <c r="AA27" s="60">
        <f>VLOOKUP(B27,'Feuerwaffen-Ressourcen'!$A$2:$AI$54,27,0)+VLOOKUP(D27,'Feuerwaffen-Ressourcen'!$A$2:$AI$54,27,0)+VLOOKUP(F27,'Feuerwaffen-Ressourcen'!$A$2:$AI$54,27,0)+VLOOKUP(I27,'Feuerwaffen-Ressourcen'!$A$2:$AI$54,27,0)</f>
        <v>4</v>
      </c>
      <c r="AB27" s="60">
        <f>VLOOKUP(B27,'Feuerwaffen-Ressourcen'!$A$2:$AI$54,28,0)+VLOOKUP(C27,'Feuerwaffen-Ressourcen'!$A$2:$AI$54,28,0)+VLOOKUP(D27,'Feuerwaffen-Ressourcen'!$A$2:$AI$54,28,0)+VLOOKUP(E27,'Feuerwaffen-Ressourcen'!$A$2:$AI$54,28,0)+VLOOKUP(F27,'Feuerwaffen-Ressourcen'!$A$2:$AI$54,28,0)+VLOOKUP(G27,'Feuerwaffen-Ressourcen'!$A$2:$AI$54,28,0)+VLOOKUP(I27,'Feuerwaffen-Ressourcen'!$A$2:$AI$54,28,0)+VLOOKUP(J27,'Feuerwaffen-Ressourcen'!$A$2:$AI$54,28,0)</f>
        <v>125</v>
      </c>
      <c r="AC27" s="63">
        <f>VLOOKUP(I27,'Feuerwaffen-Ressourcen'!$A$2:$AI$54,31,0)*AD27+AE27</f>
        <v>298.5</v>
      </c>
      <c r="AD27" s="64">
        <f>VLOOKUP(B27,'Feuerwaffen-Ressourcen'!$A$2:$AI$54,30,0)+VLOOKUP(C27,'Feuerwaffen-Ressourcen'!$A$2:$AI$54,30,0)+VLOOKUP(D27,'Feuerwaffen-Ressourcen'!$A$2:$AI$54,30,0)+VLOOKUP(F27,'Feuerwaffen-Ressourcen'!$A$2:$AI$54,30,0)+VLOOKUP(G27,'Feuerwaffen-Ressourcen'!$A$2:$AI$54,30,0)+VLOOKUP(I27,'Feuerwaffen-Ressourcen'!$A$2:$AI$54,30,0)+VLOOKUP(J27,'Feuerwaffen-Ressourcen'!$A$2:$AI$54,30,0)</f>
        <v>2.2000000000000002</v>
      </c>
      <c r="AE27" s="63">
        <f>(VLOOKUP(C27,'Feuerwaffen-Ressourcen'!$A$2:$AI$54,32,0)+VLOOKUP(I27,'Feuerwaffen-Ressourcen'!$A$2:$AI$54,32,0))*(VLOOKUP(B27,'Feuerwaffen-Ressourcen'!$A$2:$AI$54,34,0)+VLOOKUP(C27,'Feuerwaffen-Ressourcen'!$A$2:$AI$54,34,0)+VLOOKUP(D27,'Feuerwaffen-Ressourcen'!$A$2:$AI$54,34,0)+VLOOKUP(E27,'Feuerwaffen-Ressourcen'!$A$2:$AI$54,34,0)+VLOOKUP(G27,'Feuerwaffen-Ressourcen'!$A$2:$AI$54,34,0))+VLOOKUP(B27,'Feuerwaffen-Ressourcen'!$A$2:$AI$54,35,0)+VLOOKUP(C27,'Feuerwaffen-Ressourcen'!$A$2:$AI$54,35,0)+VLOOKUP(D27,'Feuerwaffen-Ressourcen'!$A$2:$AI$54,35,0)</f>
        <v>289.7</v>
      </c>
      <c r="AF27" s="65">
        <f>VLOOKUP(AB27,'Feuerwaffen-Ressourcen'!$AO$3:$AP$9,2,1)</f>
        <v>4</v>
      </c>
      <c r="AG27" s="65">
        <v>0</v>
      </c>
    </row>
    <row r="28" spans="1:33">
      <c r="A28" s="59" t="s">
        <v>7143</v>
      </c>
      <c r="B28" s="59" t="s">
        <v>1425</v>
      </c>
      <c r="C28" s="59" t="s">
        <v>7215</v>
      </c>
      <c r="D28" s="59" t="s">
        <v>7230</v>
      </c>
      <c r="E28" s="59" t="s">
        <v>7123</v>
      </c>
      <c r="F28" s="59" t="s">
        <v>7224</v>
      </c>
      <c r="G28" s="59" t="s">
        <v>7225</v>
      </c>
      <c r="H28" s="59" t="s">
        <v>7124</v>
      </c>
      <c r="I28" s="59" t="s">
        <v>5768</v>
      </c>
      <c r="J28" s="59" t="s">
        <v>5748</v>
      </c>
      <c r="K28" s="61">
        <f>VLOOKUP(B28,'Feuerwaffen-Ressourcen'!$A$2:$AI$54,11,0)+VLOOKUP(C28,'Feuerwaffen-Ressourcen'!$A$2:$AI$54,11,0)+VLOOKUP(D28,'Feuerwaffen-Ressourcen'!$A$2:$AI$54,11,0)+VLOOKUP(E28,'Feuerwaffen-Ressourcen'!$A$2:$AI$54,11,0)+VLOOKUP(G28,'Feuerwaffen-Ressourcen'!$A$2:$AI$54,11,0)</f>
        <v>4.05</v>
      </c>
      <c r="L28" s="60">
        <f>VLOOKUP(B28,'Feuerwaffen-Ressourcen'!$A$2:$AI$54,12,0)+VLOOKUP(C28,'Feuerwaffen-Ressourcen'!$A$2:$AI$54,12,0)+VLOOKUP(D28,'Feuerwaffen-Ressourcen'!$A$2:$AI$54,12,0)+VLOOKUP(J28,'Feuerwaffen-Ressourcen'!$A$2:$AI$54,12,0)</f>
        <v>7</v>
      </c>
      <c r="M28" s="60" t="str">
        <f>VLOOKUP(VLOOKUP(B28,'Feuerwaffen-Ressourcen'!$A$2:$AI$54,13,0)+VLOOKUP(C28,'Feuerwaffen-Ressourcen'!$A$2:$AI$54,13,0)+VLOOKUP(D28,'Feuerwaffen-Ressourcen'!$A$2:$AI$54,13,0),'Feuerwaffen-Ressourcen'!$AJ$3:$AK$12,2,0)</f>
        <v>W8</v>
      </c>
      <c r="N28" s="60" t="str">
        <f>VLOOKUP(VLOOKUP(B28,'Feuerwaffen-Ressourcen'!$A$2:$AI$54,14,0)+VLOOKUP(C28,'Feuerwaffen-Ressourcen'!$A$2:$AI$54,14,0)+VLOOKUP(D28,'Feuerwaffen-Ressourcen'!$A$2:$AI$54,14,0),'Feuerwaffen-Ressourcen'!$AJ$3:$AK$12,2,0)</f>
        <v>W8</v>
      </c>
      <c r="O28" s="60">
        <f>VLOOKUP(B28,'Feuerwaffen-Ressourcen'!$A$2:$AI$54,15,0)+VLOOKUP(C28,'Feuerwaffen-Ressourcen'!$A$2:$AI$54,15,0)+VLOOKUP(D28,'Feuerwaffen-Ressourcen'!$A$2:$AI$54,15,0)</f>
        <v>3</v>
      </c>
      <c r="P28" s="60">
        <f>VLOOKUP(B28,'Feuerwaffen-Ressourcen'!$A$2:$AI$54,16,0)+VLOOKUP(C28,'Feuerwaffen-Ressourcen'!$A$2:$AI$54,16,0)+VLOOKUP(D28,'Feuerwaffen-Ressourcen'!$A$2:$AI$54,16,0)+VLOOKUP(E28,'Feuerwaffen-Ressourcen'!$A$2:$AI$54,16,0)</f>
        <v>20</v>
      </c>
      <c r="Q28" s="62">
        <f>VLOOKUP(B28,'Feuerwaffen-Ressourcen'!$A$2:$AI$54,17,0)+VLOOKUP(C28,'Feuerwaffen-Ressourcen'!$A$2:$AI$54,17,0)+VLOOKUP(D28,'Feuerwaffen-Ressourcen'!$A$2:$AI$54,17,0)+VLOOKUP(E28,'Feuerwaffen-Ressourcen'!$A$2:$AI$54,17,0)</f>
        <v>10</v>
      </c>
      <c r="R28" s="60">
        <f>VLOOKUP(B28,'Feuerwaffen-Ressourcen'!$A$2:$AI$54,18,0)+VLOOKUP(C28,'Feuerwaffen-Ressourcen'!$A$2:$AI$54,18,0)+VLOOKUP(D28,'Feuerwaffen-Ressourcen'!$A$2:$AI$54,18,0)+VLOOKUP(F28,'Feuerwaffen-Ressourcen'!$A$2:$AI$54,18,0)+VLOOKUP(G28,'Feuerwaffen-Ressourcen'!$A$2:$AI$54,18,0)+VLOOKUP(I28,'Feuerwaffen-Ressourcen'!$A$2:$AI$54,18,0)+VLOOKUP(J28,'Feuerwaffen-Ressourcen'!$A$2:$AI$54,18,0)</f>
        <v>4</v>
      </c>
      <c r="S28" s="60">
        <f>VLOOKUP(B28,'Feuerwaffen-Ressourcen'!$A$2:$AI$54,19,0)+VLOOKUP(C28,'Feuerwaffen-Ressourcen'!$A$2:$AI$54,19,0)+VLOOKUP(D28,'Feuerwaffen-Ressourcen'!$A$2:$AI$54,19,0)+VLOOKUP(F28,'Feuerwaffen-Ressourcen'!$A$2:$AI$54,19,0)+VLOOKUP(G28,'Feuerwaffen-Ressourcen'!$A$2:$AI$54,19,0)+VLOOKUP(I28,'Feuerwaffen-Ressourcen'!$A$2:$AI$54,19,0)+VLOOKUP(J28,'Feuerwaffen-Ressourcen'!$A$2:$AI$54,19,0)</f>
        <v>2</v>
      </c>
      <c r="T28" s="60">
        <f>VLOOKUP(B28,'Feuerwaffen-Ressourcen'!$A$2:$AI$54,20,0)+VLOOKUP(C28,'Feuerwaffen-Ressourcen'!$A$2:$AI$54,20,0)+VLOOKUP(D28,'Feuerwaffen-Ressourcen'!$A$2:$AI$54,20,0)+VLOOKUP(F28,'Feuerwaffen-Ressourcen'!$A$2:$AI$54,20,0)+VLOOKUP(G28,'Feuerwaffen-Ressourcen'!$A$2:$AI$54,20,0)+VLOOKUP(I28,'Feuerwaffen-Ressourcen'!$A$2:$AI$54,20,0)+VLOOKUP(J28,'Feuerwaffen-Ressourcen'!$A$2:$AI$54,20,0)</f>
        <v>-1</v>
      </c>
      <c r="U28" s="60">
        <f>VLOOKUP(B28,'Feuerwaffen-Ressourcen'!$A$2:$AI$54,21,0)+VLOOKUP(C28,'Feuerwaffen-Ressourcen'!$A$2:$AI$54,21,0)+VLOOKUP(D28,'Feuerwaffen-Ressourcen'!$A$2:$AI$54,21,0)+VLOOKUP(F28,'Feuerwaffen-Ressourcen'!$A$2:$AI$54,21,0)+VLOOKUP(G28,'Feuerwaffen-Ressourcen'!$A$2:$AI$54,21,0)+VLOOKUP(I28,'Feuerwaffen-Ressourcen'!$A$2:$AI$54,21,0)+VLOOKUP(J28,'Feuerwaffen-Ressourcen'!$A$2:$AI$54,21,0)</f>
        <v>-8</v>
      </c>
      <c r="V28" s="60">
        <f>VLOOKUP(B28,'Feuerwaffen-Ressourcen'!$A$2:$AI$54,22,0)+VLOOKUP(C28,'Feuerwaffen-Ressourcen'!$A$2:$AI$54,22,0)+VLOOKUP(D28,'Feuerwaffen-Ressourcen'!$A$2:$AI$54,22,0)+VLOOKUP(F28,'Feuerwaffen-Ressourcen'!$A$2:$AI$54,22,0)+VLOOKUP(G28,'Feuerwaffen-Ressourcen'!$A$2:$AI$54,22,0)+VLOOKUP(I28,'Feuerwaffen-Ressourcen'!$A$2:$AI$54,22,0)+VLOOKUP(J28,'Feuerwaffen-Ressourcen'!$A$2:$AI$54,22,0)</f>
        <v>-15</v>
      </c>
      <c r="W28" s="60">
        <f>VLOOKUP(B28,'Feuerwaffen-Ressourcen'!$A$2:$AI$54,23,0)+VLOOKUP(C28,'Feuerwaffen-Ressourcen'!$A$2:$AI$54,23,0)+VLOOKUP(D28,'Feuerwaffen-Ressourcen'!$A$2:$AI$54,23,0)+VLOOKUP(F28,'Feuerwaffen-Ressourcen'!$A$2:$AI$54,23,0)+VLOOKUP(G28,'Feuerwaffen-Ressourcen'!$A$2:$AI$54,23,0)+VLOOKUP(I28,'Feuerwaffen-Ressourcen'!$A$2:$AI$54,23,0)+VLOOKUP(J28,'Feuerwaffen-Ressourcen'!$A$2:$AI$54,23,0)</f>
        <v>-22</v>
      </c>
      <c r="X28" s="60">
        <f>VLOOKUP(B28,'Feuerwaffen-Ressourcen'!$A$2:$AI$54,24,0)+VLOOKUP(C28,'Feuerwaffen-Ressourcen'!$A$2:$AI$54,24,0)+VLOOKUP(D28,'Feuerwaffen-Ressourcen'!$A$2:$AI$54,24,0)+VLOOKUP(G28,'Feuerwaffen-Ressourcen'!$A$2:$AI$54,24,0)</f>
        <v>100</v>
      </c>
      <c r="Y28" s="60">
        <f>VLOOKUP(D28,'Feuerwaffen-Ressourcen'!$A$2:$AI$54,25,0)+VLOOKUP(E28,'Feuerwaffen-Ressourcen'!$A$2:$AI$54,25,0)+VLOOKUP(F28,'Feuerwaffen-Ressourcen'!$A$2:$AI$54,25,0)</f>
        <v>10</v>
      </c>
      <c r="Z28" s="60">
        <f>VLOOKUP(E28,'Feuerwaffen-Ressourcen'!$A$2:$AI$54,26,0)</f>
        <v>6</v>
      </c>
      <c r="AA28" s="60">
        <f>VLOOKUP(B28,'Feuerwaffen-Ressourcen'!$A$2:$AI$54,27,0)+VLOOKUP(D28,'Feuerwaffen-Ressourcen'!$A$2:$AI$54,27,0)+VLOOKUP(F28,'Feuerwaffen-Ressourcen'!$A$2:$AI$54,27,0)+VLOOKUP(I28,'Feuerwaffen-Ressourcen'!$A$2:$AI$54,27,0)</f>
        <v>1</v>
      </c>
      <c r="AB28" s="60">
        <f>VLOOKUP(B28,'Feuerwaffen-Ressourcen'!$A$2:$AI$54,28,0)+VLOOKUP(C28,'Feuerwaffen-Ressourcen'!$A$2:$AI$54,28,0)+VLOOKUP(D28,'Feuerwaffen-Ressourcen'!$A$2:$AI$54,28,0)+VLOOKUP(E28,'Feuerwaffen-Ressourcen'!$A$2:$AI$54,28,0)+VLOOKUP(F28,'Feuerwaffen-Ressourcen'!$A$2:$AI$54,28,0)+VLOOKUP(G28,'Feuerwaffen-Ressourcen'!$A$2:$AI$54,28,0)+VLOOKUP(I28,'Feuerwaffen-Ressourcen'!$A$2:$AI$54,28,0)+VLOOKUP(J28,'Feuerwaffen-Ressourcen'!$A$2:$AI$54,28,0)</f>
        <v>60</v>
      </c>
      <c r="AC28" s="63">
        <f>VLOOKUP(I28,'Feuerwaffen-Ressourcen'!$A$2:$AI$54,31,0)*AD28+AE28</f>
        <v>318.49999999999994</v>
      </c>
      <c r="AD28" s="64">
        <f>VLOOKUP(B28,'Feuerwaffen-Ressourcen'!$A$2:$AI$54,30,0)+VLOOKUP(C28,'Feuerwaffen-Ressourcen'!$A$2:$AI$54,30,0)+VLOOKUP(D28,'Feuerwaffen-Ressourcen'!$A$2:$AI$54,30,0)+VLOOKUP(F28,'Feuerwaffen-Ressourcen'!$A$2:$AI$54,30,0)+VLOOKUP(G28,'Feuerwaffen-Ressourcen'!$A$2:$AI$54,30,0)+VLOOKUP(I28,'Feuerwaffen-Ressourcen'!$A$2:$AI$54,30,0)+VLOOKUP(J28,'Feuerwaffen-Ressourcen'!$A$2:$AI$54,30,0)</f>
        <v>8.6999999999999993</v>
      </c>
      <c r="AE28" s="63">
        <f>(VLOOKUP(C28,'Feuerwaffen-Ressourcen'!$A$2:$AI$54,32,0)+VLOOKUP(I28,'Feuerwaffen-Ressourcen'!$A$2:$AI$54,32,0))*(VLOOKUP(B28,'Feuerwaffen-Ressourcen'!$A$2:$AI$54,34,0)+VLOOKUP(C28,'Feuerwaffen-Ressourcen'!$A$2:$AI$54,34,0)+VLOOKUP(D28,'Feuerwaffen-Ressourcen'!$A$2:$AI$54,34,0)+VLOOKUP(E28,'Feuerwaffen-Ressourcen'!$A$2:$AI$54,34,0)+VLOOKUP(G28,'Feuerwaffen-Ressourcen'!$A$2:$AI$54,34,0))+VLOOKUP(B28,'Feuerwaffen-Ressourcen'!$A$2:$AI$54,35,0)+VLOOKUP(C28,'Feuerwaffen-Ressourcen'!$A$2:$AI$54,35,0)+VLOOKUP(D28,'Feuerwaffen-Ressourcen'!$A$2:$AI$54,35,0)</f>
        <v>283.69999999999993</v>
      </c>
      <c r="AF28" s="65">
        <f>VLOOKUP(AB28,'Feuerwaffen-Ressourcen'!$AO$3:$AP$9,2,1)</f>
        <v>7</v>
      </c>
      <c r="AG28" s="65">
        <v>0</v>
      </c>
    </row>
    <row r="29" spans="1:33">
      <c r="A29" s="59" t="s">
        <v>7144</v>
      </c>
      <c r="B29" s="59" t="s">
        <v>1425</v>
      </c>
      <c r="C29" s="59" t="s">
        <v>7215</v>
      </c>
      <c r="D29" s="59" t="s">
        <v>7234</v>
      </c>
      <c r="E29" s="59" t="s">
        <v>6501</v>
      </c>
      <c r="F29" s="59" t="s">
        <v>7221</v>
      </c>
      <c r="G29" s="59" t="s">
        <v>7217</v>
      </c>
      <c r="H29" s="59" t="s">
        <v>6514</v>
      </c>
      <c r="I29" s="59" t="s">
        <v>5768</v>
      </c>
      <c r="J29" s="59" t="s">
        <v>5748</v>
      </c>
      <c r="K29" s="61">
        <f>VLOOKUP(B29,'Feuerwaffen-Ressourcen'!$A$2:$AI$54,11,0)+VLOOKUP(C29,'Feuerwaffen-Ressourcen'!$A$2:$AI$54,11,0)+VLOOKUP(D29,'Feuerwaffen-Ressourcen'!$A$2:$AI$54,11,0)+VLOOKUP(E29,'Feuerwaffen-Ressourcen'!$A$2:$AI$54,11,0)+VLOOKUP(G29,'Feuerwaffen-Ressourcen'!$A$2:$AI$54,11,0)</f>
        <v>4.5999999999999996</v>
      </c>
      <c r="L29" s="60">
        <f>VLOOKUP(B29,'Feuerwaffen-Ressourcen'!$A$2:$AI$54,12,0)+VLOOKUP(C29,'Feuerwaffen-Ressourcen'!$A$2:$AI$54,12,0)+VLOOKUP(D29,'Feuerwaffen-Ressourcen'!$A$2:$AI$54,12,0)+VLOOKUP(J29,'Feuerwaffen-Ressourcen'!$A$2:$AI$54,12,0)</f>
        <v>8</v>
      </c>
      <c r="M29" s="60" t="str">
        <f>VLOOKUP(VLOOKUP(B29,'Feuerwaffen-Ressourcen'!$A$2:$AI$54,13,0)+VLOOKUP(C29,'Feuerwaffen-Ressourcen'!$A$2:$AI$54,13,0)+VLOOKUP(D29,'Feuerwaffen-Ressourcen'!$A$2:$AI$54,13,0),'Feuerwaffen-Ressourcen'!$AJ$3:$AK$12,2,0)</f>
        <v>W8</v>
      </c>
      <c r="N29" s="60" t="str">
        <f>VLOOKUP(VLOOKUP(B29,'Feuerwaffen-Ressourcen'!$A$2:$AI$54,14,0)+VLOOKUP(C29,'Feuerwaffen-Ressourcen'!$A$2:$AI$54,14,0)+VLOOKUP(D29,'Feuerwaffen-Ressourcen'!$A$2:$AI$54,14,0),'Feuerwaffen-Ressourcen'!$AJ$3:$AK$12,2,0)</f>
        <v>W6</v>
      </c>
      <c r="O29" s="60">
        <f>VLOOKUP(B29,'Feuerwaffen-Ressourcen'!$A$2:$AI$54,15,0)+VLOOKUP(C29,'Feuerwaffen-Ressourcen'!$A$2:$AI$54,15,0)+VLOOKUP(D29,'Feuerwaffen-Ressourcen'!$A$2:$AI$54,15,0)</f>
        <v>1</v>
      </c>
      <c r="P29" s="60">
        <f>VLOOKUP(B29,'Feuerwaffen-Ressourcen'!$A$2:$AI$54,16,0)+VLOOKUP(C29,'Feuerwaffen-Ressourcen'!$A$2:$AI$54,16,0)+VLOOKUP(D29,'Feuerwaffen-Ressourcen'!$A$2:$AI$54,16,0)+VLOOKUP(E29,'Feuerwaffen-Ressourcen'!$A$2:$AI$54,16,0)</f>
        <v>14</v>
      </c>
      <c r="Q29" s="62">
        <f>VLOOKUP(B29,'Feuerwaffen-Ressourcen'!$A$2:$AI$54,17,0)+VLOOKUP(C29,'Feuerwaffen-Ressourcen'!$A$2:$AI$54,17,0)+VLOOKUP(D29,'Feuerwaffen-Ressourcen'!$A$2:$AI$54,17,0)+VLOOKUP(E29,'Feuerwaffen-Ressourcen'!$A$2:$AI$54,17,0)</f>
        <v>15</v>
      </c>
      <c r="R29" s="60">
        <f>VLOOKUP(B29,'Feuerwaffen-Ressourcen'!$A$2:$AI$54,18,0)+VLOOKUP(C29,'Feuerwaffen-Ressourcen'!$A$2:$AI$54,18,0)+VLOOKUP(D29,'Feuerwaffen-Ressourcen'!$A$2:$AI$54,18,0)+VLOOKUP(F29,'Feuerwaffen-Ressourcen'!$A$2:$AI$54,18,0)+VLOOKUP(G29,'Feuerwaffen-Ressourcen'!$A$2:$AI$54,18,0)+VLOOKUP(I29,'Feuerwaffen-Ressourcen'!$A$2:$AI$54,18,0)+VLOOKUP(J29,'Feuerwaffen-Ressourcen'!$A$2:$AI$54,18,0)</f>
        <v>1</v>
      </c>
      <c r="S29" s="60">
        <f>VLOOKUP(B29,'Feuerwaffen-Ressourcen'!$A$2:$AI$54,19,0)+VLOOKUP(C29,'Feuerwaffen-Ressourcen'!$A$2:$AI$54,19,0)+VLOOKUP(D29,'Feuerwaffen-Ressourcen'!$A$2:$AI$54,19,0)+VLOOKUP(F29,'Feuerwaffen-Ressourcen'!$A$2:$AI$54,19,0)+VLOOKUP(G29,'Feuerwaffen-Ressourcen'!$A$2:$AI$54,19,0)+VLOOKUP(I29,'Feuerwaffen-Ressourcen'!$A$2:$AI$54,19,0)+VLOOKUP(J29,'Feuerwaffen-Ressourcen'!$A$2:$AI$54,19,0)</f>
        <v>-4</v>
      </c>
      <c r="T29" s="60">
        <f>VLOOKUP(B29,'Feuerwaffen-Ressourcen'!$A$2:$AI$54,20,0)+VLOOKUP(C29,'Feuerwaffen-Ressourcen'!$A$2:$AI$54,20,0)+VLOOKUP(D29,'Feuerwaffen-Ressourcen'!$A$2:$AI$54,20,0)+VLOOKUP(F29,'Feuerwaffen-Ressourcen'!$A$2:$AI$54,20,0)+VLOOKUP(G29,'Feuerwaffen-Ressourcen'!$A$2:$AI$54,20,0)+VLOOKUP(I29,'Feuerwaffen-Ressourcen'!$A$2:$AI$54,20,0)+VLOOKUP(J29,'Feuerwaffen-Ressourcen'!$A$2:$AI$54,20,0)</f>
        <v>-9</v>
      </c>
      <c r="U29" s="60">
        <f>VLOOKUP(B29,'Feuerwaffen-Ressourcen'!$A$2:$AI$54,21,0)+VLOOKUP(C29,'Feuerwaffen-Ressourcen'!$A$2:$AI$54,21,0)+VLOOKUP(D29,'Feuerwaffen-Ressourcen'!$A$2:$AI$54,21,0)+VLOOKUP(F29,'Feuerwaffen-Ressourcen'!$A$2:$AI$54,21,0)+VLOOKUP(G29,'Feuerwaffen-Ressourcen'!$A$2:$AI$54,21,0)+VLOOKUP(I29,'Feuerwaffen-Ressourcen'!$A$2:$AI$54,21,0)+VLOOKUP(J29,'Feuerwaffen-Ressourcen'!$A$2:$AI$54,21,0)</f>
        <v>-16</v>
      </c>
      <c r="V29" s="60">
        <f>VLOOKUP(B29,'Feuerwaffen-Ressourcen'!$A$2:$AI$54,22,0)+VLOOKUP(C29,'Feuerwaffen-Ressourcen'!$A$2:$AI$54,22,0)+VLOOKUP(D29,'Feuerwaffen-Ressourcen'!$A$2:$AI$54,22,0)+VLOOKUP(F29,'Feuerwaffen-Ressourcen'!$A$2:$AI$54,22,0)+VLOOKUP(G29,'Feuerwaffen-Ressourcen'!$A$2:$AI$54,22,0)+VLOOKUP(I29,'Feuerwaffen-Ressourcen'!$A$2:$AI$54,22,0)+VLOOKUP(J29,'Feuerwaffen-Ressourcen'!$A$2:$AI$54,22,0)</f>
        <v>-23</v>
      </c>
      <c r="W29" s="60">
        <f>VLOOKUP(B29,'Feuerwaffen-Ressourcen'!$A$2:$AI$54,23,0)+VLOOKUP(C29,'Feuerwaffen-Ressourcen'!$A$2:$AI$54,23,0)+VLOOKUP(D29,'Feuerwaffen-Ressourcen'!$A$2:$AI$54,23,0)+VLOOKUP(F29,'Feuerwaffen-Ressourcen'!$A$2:$AI$54,23,0)+VLOOKUP(G29,'Feuerwaffen-Ressourcen'!$A$2:$AI$54,23,0)+VLOOKUP(I29,'Feuerwaffen-Ressourcen'!$A$2:$AI$54,23,0)+VLOOKUP(J29,'Feuerwaffen-Ressourcen'!$A$2:$AI$54,23,0)</f>
        <v>-31</v>
      </c>
      <c r="X29" s="60">
        <f>VLOOKUP(B29,'Feuerwaffen-Ressourcen'!$A$2:$AI$54,24,0)+VLOOKUP(C29,'Feuerwaffen-Ressourcen'!$A$2:$AI$54,24,0)+VLOOKUP(D29,'Feuerwaffen-Ressourcen'!$A$2:$AI$54,24,0)+VLOOKUP(G29,'Feuerwaffen-Ressourcen'!$A$2:$AI$54,24,0)</f>
        <v>40</v>
      </c>
      <c r="Y29" s="60">
        <f>VLOOKUP(D29,'Feuerwaffen-Ressourcen'!$A$2:$AI$54,25,0)+VLOOKUP(E29,'Feuerwaffen-Ressourcen'!$A$2:$AI$54,25,0)+VLOOKUP(F29,'Feuerwaffen-Ressourcen'!$A$2:$AI$54,25,0)</f>
        <v>34</v>
      </c>
      <c r="Z29" s="60">
        <f>VLOOKUP(E29,'Feuerwaffen-Ressourcen'!$A$2:$AI$54,26,0)</f>
        <v>3</v>
      </c>
      <c r="AA29" s="60">
        <f>VLOOKUP(B29,'Feuerwaffen-Ressourcen'!$A$2:$AI$54,27,0)+VLOOKUP(D29,'Feuerwaffen-Ressourcen'!$A$2:$AI$54,27,0)+VLOOKUP(F29,'Feuerwaffen-Ressourcen'!$A$2:$AI$54,27,0)+VLOOKUP(I29,'Feuerwaffen-Ressourcen'!$A$2:$AI$54,27,0)</f>
        <v>4</v>
      </c>
      <c r="AB29" s="60">
        <f>VLOOKUP(B29,'Feuerwaffen-Ressourcen'!$A$2:$AI$54,28,0)+VLOOKUP(C29,'Feuerwaffen-Ressourcen'!$A$2:$AI$54,28,0)+VLOOKUP(D29,'Feuerwaffen-Ressourcen'!$A$2:$AI$54,28,0)+VLOOKUP(E29,'Feuerwaffen-Ressourcen'!$A$2:$AI$54,28,0)+VLOOKUP(F29,'Feuerwaffen-Ressourcen'!$A$2:$AI$54,28,0)+VLOOKUP(G29,'Feuerwaffen-Ressourcen'!$A$2:$AI$54,28,0)+VLOOKUP(I29,'Feuerwaffen-Ressourcen'!$A$2:$AI$54,28,0)+VLOOKUP(J29,'Feuerwaffen-Ressourcen'!$A$2:$AI$54,28,0)</f>
        <v>110</v>
      </c>
      <c r="AC29" s="63">
        <f>VLOOKUP(I29,'Feuerwaffen-Ressourcen'!$A$2:$AI$54,31,0)*AD29+AE29</f>
        <v>362.5</v>
      </c>
      <c r="AD29" s="64">
        <f>VLOOKUP(B29,'Feuerwaffen-Ressourcen'!$A$2:$AI$54,30,0)+VLOOKUP(C29,'Feuerwaffen-Ressourcen'!$A$2:$AI$54,30,0)+VLOOKUP(D29,'Feuerwaffen-Ressourcen'!$A$2:$AI$54,30,0)+VLOOKUP(F29,'Feuerwaffen-Ressourcen'!$A$2:$AI$54,30,0)+VLOOKUP(G29,'Feuerwaffen-Ressourcen'!$A$2:$AI$54,30,0)+VLOOKUP(I29,'Feuerwaffen-Ressourcen'!$A$2:$AI$54,30,0)+VLOOKUP(J29,'Feuerwaffen-Ressourcen'!$A$2:$AI$54,30,0)</f>
        <v>3.2</v>
      </c>
      <c r="AE29" s="63">
        <f>(VLOOKUP(C29,'Feuerwaffen-Ressourcen'!$A$2:$AI$54,32,0)+VLOOKUP(I29,'Feuerwaffen-Ressourcen'!$A$2:$AI$54,32,0))*(VLOOKUP(B29,'Feuerwaffen-Ressourcen'!$A$2:$AI$54,34,0)+VLOOKUP(C29,'Feuerwaffen-Ressourcen'!$A$2:$AI$54,34,0)+VLOOKUP(D29,'Feuerwaffen-Ressourcen'!$A$2:$AI$54,34,0)+VLOOKUP(E29,'Feuerwaffen-Ressourcen'!$A$2:$AI$54,34,0)+VLOOKUP(G29,'Feuerwaffen-Ressourcen'!$A$2:$AI$54,34,0))+VLOOKUP(B29,'Feuerwaffen-Ressourcen'!$A$2:$AI$54,35,0)+VLOOKUP(C29,'Feuerwaffen-Ressourcen'!$A$2:$AI$54,35,0)+VLOOKUP(D29,'Feuerwaffen-Ressourcen'!$A$2:$AI$54,35,0)</f>
        <v>349.7</v>
      </c>
      <c r="AF29" s="65">
        <f>VLOOKUP(AB29,'Feuerwaffen-Ressourcen'!$AO$3:$AP$9,2,1)</f>
        <v>4</v>
      </c>
      <c r="AG29" s="65">
        <v>0</v>
      </c>
    </row>
    <row r="30" spans="1:33">
      <c r="A30" s="59" t="s">
        <v>7145</v>
      </c>
      <c r="B30" s="59" t="s">
        <v>1425</v>
      </c>
      <c r="C30" s="59" t="s">
        <v>7215</v>
      </c>
      <c r="D30" s="59" t="s">
        <v>7222</v>
      </c>
      <c r="E30" s="59" t="s">
        <v>6505</v>
      </c>
      <c r="F30" s="59" t="s">
        <v>7223</v>
      </c>
      <c r="G30" s="59" t="s">
        <v>7225</v>
      </c>
      <c r="H30" s="59" t="s">
        <v>7121</v>
      </c>
      <c r="I30" s="59" t="s">
        <v>5768</v>
      </c>
      <c r="J30" s="59" t="s">
        <v>5748</v>
      </c>
      <c r="K30" s="61">
        <f>VLOOKUP(B30,'Feuerwaffen-Ressourcen'!$A$2:$AI$54,11,0)+VLOOKUP(C30,'Feuerwaffen-Ressourcen'!$A$2:$AI$54,11,0)+VLOOKUP(D30,'Feuerwaffen-Ressourcen'!$A$2:$AI$54,11,0)+VLOOKUP(E30,'Feuerwaffen-Ressourcen'!$A$2:$AI$54,11,0)+VLOOKUP(G30,'Feuerwaffen-Ressourcen'!$A$2:$AI$54,11,0)</f>
        <v>2.4499999999999997</v>
      </c>
      <c r="L30" s="60">
        <f>VLOOKUP(B30,'Feuerwaffen-Ressourcen'!$A$2:$AI$54,12,0)+VLOOKUP(C30,'Feuerwaffen-Ressourcen'!$A$2:$AI$54,12,0)+VLOOKUP(D30,'Feuerwaffen-Ressourcen'!$A$2:$AI$54,12,0)+VLOOKUP(J30,'Feuerwaffen-Ressourcen'!$A$2:$AI$54,12,0)</f>
        <v>6</v>
      </c>
      <c r="M30" s="60" t="str">
        <f>VLOOKUP(VLOOKUP(B30,'Feuerwaffen-Ressourcen'!$A$2:$AI$54,13,0)+VLOOKUP(C30,'Feuerwaffen-Ressourcen'!$A$2:$AI$54,13,0)+VLOOKUP(D30,'Feuerwaffen-Ressourcen'!$A$2:$AI$54,13,0),'Feuerwaffen-Ressourcen'!$AJ$3:$AK$12,2,0)</f>
        <v>W8</v>
      </c>
      <c r="N30" s="60" t="str">
        <f>VLOOKUP(VLOOKUP(B30,'Feuerwaffen-Ressourcen'!$A$2:$AI$54,14,0)+VLOOKUP(C30,'Feuerwaffen-Ressourcen'!$A$2:$AI$54,14,0)+VLOOKUP(D30,'Feuerwaffen-Ressourcen'!$A$2:$AI$54,14,0),'Feuerwaffen-Ressourcen'!$AJ$3:$AK$12,2,0)</f>
        <v>W8</v>
      </c>
      <c r="O30" s="60">
        <f>VLOOKUP(B30,'Feuerwaffen-Ressourcen'!$A$2:$AI$54,15,0)+VLOOKUP(C30,'Feuerwaffen-Ressourcen'!$A$2:$AI$54,15,0)+VLOOKUP(D30,'Feuerwaffen-Ressourcen'!$A$2:$AI$54,15,0)</f>
        <v>1</v>
      </c>
      <c r="P30" s="60">
        <f>VLOOKUP(B30,'Feuerwaffen-Ressourcen'!$A$2:$AI$54,16,0)+VLOOKUP(C30,'Feuerwaffen-Ressourcen'!$A$2:$AI$54,16,0)+VLOOKUP(D30,'Feuerwaffen-Ressourcen'!$A$2:$AI$54,16,0)+VLOOKUP(E30,'Feuerwaffen-Ressourcen'!$A$2:$AI$54,16,0)</f>
        <v>14</v>
      </c>
      <c r="Q30" s="62">
        <f>VLOOKUP(B30,'Feuerwaffen-Ressourcen'!$A$2:$AI$54,17,0)+VLOOKUP(C30,'Feuerwaffen-Ressourcen'!$A$2:$AI$54,17,0)+VLOOKUP(D30,'Feuerwaffen-Ressourcen'!$A$2:$AI$54,17,0)+VLOOKUP(E30,'Feuerwaffen-Ressourcen'!$A$2:$AI$54,17,0)</f>
        <v>16</v>
      </c>
      <c r="R30" s="60">
        <f>VLOOKUP(B30,'Feuerwaffen-Ressourcen'!$A$2:$AI$54,18,0)+VLOOKUP(C30,'Feuerwaffen-Ressourcen'!$A$2:$AI$54,18,0)+VLOOKUP(D30,'Feuerwaffen-Ressourcen'!$A$2:$AI$54,18,0)+VLOOKUP(F30,'Feuerwaffen-Ressourcen'!$A$2:$AI$54,18,0)+VLOOKUP(G30,'Feuerwaffen-Ressourcen'!$A$2:$AI$54,18,0)+VLOOKUP(I30,'Feuerwaffen-Ressourcen'!$A$2:$AI$54,18,0)+VLOOKUP(J30,'Feuerwaffen-Ressourcen'!$A$2:$AI$54,18,0)</f>
        <v>8</v>
      </c>
      <c r="S30" s="60">
        <f>VLOOKUP(B30,'Feuerwaffen-Ressourcen'!$A$2:$AI$54,19,0)+VLOOKUP(C30,'Feuerwaffen-Ressourcen'!$A$2:$AI$54,19,0)+VLOOKUP(D30,'Feuerwaffen-Ressourcen'!$A$2:$AI$54,19,0)+VLOOKUP(F30,'Feuerwaffen-Ressourcen'!$A$2:$AI$54,19,0)+VLOOKUP(G30,'Feuerwaffen-Ressourcen'!$A$2:$AI$54,19,0)+VLOOKUP(I30,'Feuerwaffen-Ressourcen'!$A$2:$AI$54,19,0)+VLOOKUP(J30,'Feuerwaffen-Ressourcen'!$A$2:$AI$54,19,0)</f>
        <v>2</v>
      </c>
      <c r="T30" s="60">
        <f>VLOOKUP(B30,'Feuerwaffen-Ressourcen'!$A$2:$AI$54,20,0)+VLOOKUP(C30,'Feuerwaffen-Ressourcen'!$A$2:$AI$54,20,0)+VLOOKUP(D30,'Feuerwaffen-Ressourcen'!$A$2:$AI$54,20,0)+VLOOKUP(F30,'Feuerwaffen-Ressourcen'!$A$2:$AI$54,20,0)+VLOOKUP(G30,'Feuerwaffen-Ressourcen'!$A$2:$AI$54,20,0)+VLOOKUP(I30,'Feuerwaffen-Ressourcen'!$A$2:$AI$54,20,0)+VLOOKUP(J30,'Feuerwaffen-Ressourcen'!$A$2:$AI$54,20,0)</f>
        <v>-5</v>
      </c>
      <c r="U30" s="60">
        <f>VLOOKUP(B30,'Feuerwaffen-Ressourcen'!$A$2:$AI$54,21,0)+VLOOKUP(C30,'Feuerwaffen-Ressourcen'!$A$2:$AI$54,21,0)+VLOOKUP(D30,'Feuerwaffen-Ressourcen'!$A$2:$AI$54,21,0)+VLOOKUP(F30,'Feuerwaffen-Ressourcen'!$A$2:$AI$54,21,0)+VLOOKUP(G30,'Feuerwaffen-Ressourcen'!$A$2:$AI$54,21,0)+VLOOKUP(I30,'Feuerwaffen-Ressourcen'!$A$2:$AI$54,21,0)+VLOOKUP(J30,'Feuerwaffen-Ressourcen'!$A$2:$AI$54,21,0)</f>
        <v>-15</v>
      </c>
      <c r="V30" s="60">
        <f>VLOOKUP(B30,'Feuerwaffen-Ressourcen'!$A$2:$AI$54,22,0)+VLOOKUP(C30,'Feuerwaffen-Ressourcen'!$A$2:$AI$54,22,0)+VLOOKUP(D30,'Feuerwaffen-Ressourcen'!$A$2:$AI$54,22,0)+VLOOKUP(F30,'Feuerwaffen-Ressourcen'!$A$2:$AI$54,22,0)+VLOOKUP(G30,'Feuerwaffen-Ressourcen'!$A$2:$AI$54,22,0)+VLOOKUP(I30,'Feuerwaffen-Ressourcen'!$A$2:$AI$54,22,0)+VLOOKUP(J30,'Feuerwaffen-Ressourcen'!$A$2:$AI$54,22,0)</f>
        <v>-25</v>
      </c>
      <c r="W30" s="60">
        <f>VLOOKUP(B30,'Feuerwaffen-Ressourcen'!$A$2:$AI$54,23,0)+VLOOKUP(C30,'Feuerwaffen-Ressourcen'!$A$2:$AI$54,23,0)+VLOOKUP(D30,'Feuerwaffen-Ressourcen'!$A$2:$AI$54,23,0)+VLOOKUP(F30,'Feuerwaffen-Ressourcen'!$A$2:$AI$54,23,0)+VLOOKUP(G30,'Feuerwaffen-Ressourcen'!$A$2:$AI$54,23,0)+VLOOKUP(I30,'Feuerwaffen-Ressourcen'!$A$2:$AI$54,23,0)+VLOOKUP(J30,'Feuerwaffen-Ressourcen'!$A$2:$AI$54,23,0)</f>
        <v>-35</v>
      </c>
      <c r="X30" s="60">
        <f>VLOOKUP(B30,'Feuerwaffen-Ressourcen'!$A$2:$AI$54,24,0)+VLOOKUP(C30,'Feuerwaffen-Ressourcen'!$A$2:$AI$54,24,0)+VLOOKUP(D30,'Feuerwaffen-Ressourcen'!$A$2:$AI$54,24,0)+VLOOKUP(G30,'Feuerwaffen-Ressourcen'!$A$2:$AI$54,24,0)</f>
        <v>60</v>
      </c>
      <c r="Y30" s="60">
        <f>VLOOKUP(D30,'Feuerwaffen-Ressourcen'!$A$2:$AI$54,25,0)+VLOOKUP(E30,'Feuerwaffen-Ressourcen'!$A$2:$AI$54,25,0)+VLOOKUP(F30,'Feuerwaffen-Ressourcen'!$A$2:$AI$54,25,0)</f>
        <v>11</v>
      </c>
      <c r="Z30" s="60">
        <f>VLOOKUP(E30,'Feuerwaffen-Ressourcen'!$A$2:$AI$54,26,0)</f>
        <v>6</v>
      </c>
      <c r="AA30" s="60">
        <f>VLOOKUP(B30,'Feuerwaffen-Ressourcen'!$A$2:$AI$54,27,0)+VLOOKUP(D30,'Feuerwaffen-Ressourcen'!$A$2:$AI$54,27,0)+VLOOKUP(F30,'Feuerwaffen-Ressourcen'!$A$2:$AI$54,27,0)+VLOOKUP(I30,'Feuerwaffen-Ressourcen'!$A$2:$AI$54,27,0)</f>
        <v>2</v>
      </c>
      <c r="AB30" s="60">
        <f>VLOOKUP(B30,'Feuerwaffen-Ressourcen'!$A$2:$AI$54,28,0)+VLOOKUP(C30,'Feuerwaffen-Ressourcen'!$A$2:$AI$54,28,0)+VLOOKUP(D30,'Feuerwaffen-Ressourcen'!$A$2:$AI$54,28,0)+VLOOKUP(E30,'Feuerwaffen-Ressourcen'!$A$2:$AI$54,28,0)+VLOOKUP(F30,'Feuerwaffen-Ressourcen'!$A$2:$AI$54,28,0)+VLOOKUP(G30,'Feuerwaffen-Ressourcen'!$A$2:$AI$54,28,0)+VLOOKUP(I30,'Feuerwaffen-Ressourcen'!$A$2:$AI$54,28,0)+VLOOKUP(J30,'Feuerwaffen-Ressourcen'!$A$2:$AI$54,28,0)</f>
        <v>90</v>
      </c>
      <c r="AC30" s="63">
        <f>VLOOKUP(I30,'Feuerwaffen-Ressourcen'!$A$2:$AI$54,31,0)*AD30+AE30</f>
        <v>122.39999999999999</v>
      </c>
      <c r="AD30" s="64">
        <f>VLOOKUP(B30,'Feuerwaffen-Ressourcen'!$A$2:$AI$54,30,0)+VLOOKUP(C30,'Feuerwaffen-Ressourcen'!$A$2:$AI$54,30,0)+VLOOKUP(D30,'Feuerwaffen-Ressourcen'!$A$2:$AI$54,30,0)+VLOOKUP(F30,'Feuerwaffen-Ressourcen'!$A$2:$AI$54,30,0)+VLOOKUP(G30,'Feuerwaffen-Ressourcen'!$A$2:$AI$54,30,0)+VLOOKUP(I30,'Feuerwaffen-Ressourcen'!$A$2:$AI$54,30,0)+VLOOKUP(J30,'Feuerwaffen-Ressourcen'!$A$2:$AI$54,30,0)</f>
        <v>4.7</v>
      </c>
      <c r="AE30" s="63">
        <f>(VLOOKUP(C30,'Feuerwaffen-Ressourcen'!$A$2:$AI$54,32,0)+VLOOKUP(I30,'Feuerwaffen-Ressourcen'!$A$2:$AI$54,32,0))*(VLOOKUP(B30,'Feuerwaffen-Ressourcen'!$A$2:$AI$54,34,0)+VLOOKUP(C30,'Feuerwaffen-Ressourcen'!$A$2:$AI$54,34,0)+VLOOKUP(D30,'Feuerwaffen-Ressourcen'!$A$2:$AI$54,34,0)+VLOOKUP(E30,'Feuerwaffen-Ressourcen'!$A$2:$AI$54,34,0)+VLOOKUP(G30,'Feuerwaffen-Ressourcen'!$A$2:$AI$54,34,0))+VLOOKUP(B30,'Feuerwaffen-Ressourcen'!$A$2:$AI$54,35,0)+VLOOKUP(C30,'Feuerwaffen-Ressourcen'!$A$2:$AI$54,35,0)+VLOOKUP(D30,'Feuerwaffen-Ressourcen'!$A$2:$AI$54,35,0)</f>
        <v>103.6</v>
      </c>
      <c r="AF30" s="65">
        <f>VLOOKUP(AB30,'Feuerwaffen-Ressourcen'!$AO$3:$AP$9,2,1)</f>
        <v>5</v>
      </c>
      <c r="AG30" s="65">
        <v>0</v>
      </c>
    </row>
    <row r="31" spans="1:33">
      <c r="A31" s="59" t="s">
        <v>7146</v>
      </c>
      <c r="B31" s="59" t="s">
        <v>1425</v>
      </c>
      <c r="C31" s="59" t="s">
        <v>7215</v>
      </c>
      <c r="D31" s="59" t="s">
        <v>7206</v>
      </c>
      <c r="E31" s="59" t="s">
        <v>6505</v>
      </c>
      <c r="F31" s="59" t="s">
        <v>7223</v>
      </c>
      <c r="G31" s="59" t="s">
        <v>7225</v>
      </c>
      <c r="H31" s="59" t="s">
        <v>7121</v>
      </c>
      <c r="I31" s="59" t="s">
        <v>5768</v>
      </c>
      <c r="J31" s="59" t="s">
        <v>5748</v>
      </c>
      <c r="K31" s="61">
        <f>VLOOKUP(B31,'Feuerwaffen-Ressourcen'!$A$2:$AI$54,11,0)+VLOOKUP(C31,'Feuerwaffen-Ressourcen'!$A$2:$AI$54,11,0)+VLOOKUP(D31,'Feuerwaffen-Ressourcen'!$A$2:$AI$54,11,0)+VLOOKUP(E31,'Feuerwaffen-Ressourcen'!$A$2:$AI$54,11,0)+VLOOKUP(G31,'Feuerwaffen-Ressourcen'!$A$2:$AI$54,11,0)</f>
        <v>3.3499999999999996</v>
      </c>
      <c r="L31" s="60">
        <f>VLOOKUP(B31,'Feuerwaffen-Ressourcen'!$A$2:$AI$54,12,0)+VLOOKUP(C31,'Feuerwaffen-Ressourcen'!$A$2:$AI$54,12,0)+VLOOKUP(D31,'Feuerwaffen-Ressourcen'!$A$2:$AI$54,12,0)+VLOOKUP(J31,'Feuerwaffen-Ressourcen'!$A$2:$AI$54,12,0)</f>
        <v>7</v>
      </c>
      <c r="M31" s="60" t="str">
        <f>VLOOKUP(VLOOKUP(B31,'Feuerwaffen-Ressourcen'!$A$2:$AI$54,13,0)+VLOOKUP(C31,'Feuerwaffen-Ressourcen'!$A$2:$AI$54,13,0)+VLOOKUP(D31,'Feuerwaffen-Ressourcen'!$A$2:$AI$54,13,0),'Feuerwaffen-Ressourcen'!$AJ$3:$AK$12,2,0)</f>
        <v>W8</v>
      </c>
      <c r="N31" s="60" t="str">
        <f>VLOOKUP(VLOOKUP(B31,'Feuerwaffen-Ressourcen'!$A$2:$AI$54,14,0)+VLOOKUP(C31,'Feuerwaffen-Ressourcen'!$A$2:$AI$54,14,0)+VLOOKUP(D31,'Feuerwaffen-Ressourcen'!$A$2:$AI$54,14,0),'Feuerwaffen-Ressourcen'!$AJ$3:$AK$12,2,0)</f>
        <v>W8</v>
      </c>
      <c r="O31" s="60">
        <f>VLOOKUP(B31,'Feuerwaffen-Ressourcen'!$A$2:$AI$54,15,0)+VLOOKUP(C31,'Feuerwaffen-Ressourcen'!$A$2:$AI$54,15,0)+VLOOKUP(D31,'Feuerwaffen-Ressourcen'!$A$2:$AI$54,15,0)</f>
        <v>1</v>
      </c>
      <c r="P31" s="60">
        <f>VLOOKUP(B31,'Feuerwaffen-Ressourcen'!$A$2:$AI$54,16,0)+VLOOKUP(C31,'Feuerwaffen-Ressourcen'!$A$2:$AI$54,16,0)+VLOOKUP(D31,'Feuerwaffen-Ressourcen'!$A$2:$AI$54,16,0)+VLOOKUP(E31,'Feuerwaffen-Ressourcen'!$A$2:$AI$54,16,0)</f>
        <v>14</v>
      </c>
      <c r="Q31" s="62">
        <f>VLOOKUP(B31,'Feuerwaffen-Ressourcen'!$A$2:$AI$54,17,0)+VLOOKUP(C31,'Feuerwaffen-Ressourcen'!$A$2:$AI$54,17,0)+VLOOKUP(D31,'Feuerwaffen-Ressourcen'!$A$2:$AI$54,17,0)+VLOOKUP(E31,'Feuerwaffen-Ressourcen'!$A$2:$AI$54,17,0)</f>
        <v>16</v>
      </c>
      <c r="R31" s="60">
        <f>VLOOKUP(B31,'Feuerwaffen-Ressourcen'!$A$2:$AI$54,18,0)+VLOOKUP(C31,'Feuerwaffen-Ressourcen'!$A$2:$AI$54,18,0)+VLOOKUP(D31,'Feuerwaffen-Ressourcen'!$A$2:$AI$54,18,0)+VLOOKUP(F31,'Feuerwaffen-Ressourcen'!$A$2:$AI$54,18,0)+VLOOKUP(G31,'Feuerwaffen-Ressourcen'!$A$2:$AI$54,18,0)+VLOOKUP(I31,'Feuerwaffen-Ressourcen'!$A$2:$AI$54,18,0)+VLOOKUP(J31,'Feuerwaffen-Ressourcen'!$A$2:$AI$54,18,0)</f>
        <v>6</v>
      </c>
      <c r="S31" s="60">
        <f>VLOOKUP(B31,'Feuerwaffen-Ressourcen'!$A$2:$AI$54,19,0)+VLOOKUP(C31,'Feuerwaffen-Ressourcen'!$A$2:$AI$54,19,0)+VLOOKUP(D31,'Feuerwaffen-Ressourcen'!$A$2:$AI$54,19,0)+VLOOKUP(F31,'Feuerwaffen-Ressourcen'!$A$2:$AI$54,19,0)+VLOOKUP(G31,'Feuerwaffen-Ressourcen'!$A$2:$AI$54,19,0)+VLOOKUP(I31,'Feuerwaffen-Ressourcen'!$A$2:$AI$54,19,0)+VLOOKUP(J31,'Feuerwaffen-Ressourcen'!$A$2:$AI$54,19,0)</f>
        <v>2</v>
      </c>
      <c r="T31" s="60">
        <f>VLOOKUP(B31,'Feuerwaffen-Ressourcen'!$A$2:$AI$54,20,0)+VLOOKUP(C31,'Feuerwaffen-Ressourcen'!$A$2:$AI$54,20,0)+VLOOKUP(D31,'Feuerwaffen-Ressourcen'!$A$2:$AI$54,20,0)+VLOOKUP(F31,'Feuerwaffen-Ressourcen'!$A$2:$AI$54,20,0)+VLOOKUP(G31,'Feuerwaffen-Ressourcen'!$A$2:$AI$54,20,0)+VLOOKUP(I31,'Feuerwaffen-Ressourcen'!$A$2:$AI$54,20,0)+VLOOKUP(J31,'Feuerwaffen-Ressourcen'!$A$2:$AI$54,20,0)</f>
        <v>-3</v>
      </c>
      <c r="U31" s="60">
        <f>VLOOKUP(B31,'Feuerwaffen-Ressourcen'!$A$2:$AI$54,21,0)+VLOOKUP(C31,'Feuerwaffen-Ressourcen'!$A$2:$AI$54,21,0)+VLOOKUP(D31,'Feuerwaffen-Ressourcen'!$A$2:$AI$54,21,0)+VLOOKUP(F31,'Feuerwaffen-Ressourcen'!$A$2:$AI$54,21,0)+VLOOKUP(G31,'Feuerwaffen-Ressourcen'!$A$2:$AI$54,21,0)+VLOOKUP(I31,'Feuerwaffen-Ressourcen'!$A$2:$AI$54,21,0)+VLOOKUP(J31,'Feuerwaffen-Ressourcen'!$A$2:$AI$54,21,0)</f>
        <v>-11</v>
      </c>
      <c r="V31" s="60">
        <f>VLOOKUP(B31,'Feuerwaffen-Ressourcen'!$A$2:$AI$54,22,0)+VLOOKUP(C31,'Feuerwaffen-Ressourcen'!$A$2:$AI$54,22,0)+VLOOKUP(D31,'Feuerwaffen-Ressourcen'!$A$2:$AI$54,22,0)+VLOOKUP(F31,'Feuerwaffen-Ressourcen'!$A$2:$AI$54,22,0)+VLOOKUP(G31,'Feuerwaffen-Ressourcen'!$A$2:$AI$54,22,0)+VLOOKUP(I31,'Feuerwaffen-Ressourcen'!$A$2:$AI$54,22,0)+VLOOKUP(J31,'Feuerwaffen-Ressourcen'!$A$2:$AI$54,22,0)</f>
        <v>-19</v>
      </c>
      <c r="W31" s="60">
        <f>VLOOKUP(B31,'Feuerwaffen-Ressourcen'!$A$2:$AI$54,23,0)+VLOOKUP(C31,'Feuerwaffen-Ressourcen'!$A$2:$AI$54,23,0)+VLOOKUP(D31,'Feuerwaffen-Ressourcen'!$A$2:$AI$54,23,0)+VLOOKUP(F31,'Feuerwaffen-Ressourcen'!$A$2:$AI$54,23,0)+VLOOKUP(G31,'Feuerwaffen-Ressourcen'!$A$2:$AI$54,23,0)+VLOOKUP(I31,'Feuerwaffen-Ressourcen'!$A$2:$AI$54,23,0)+VLOOKUP(J31,'Feuerwaffen-Ressourcen'!$A$2:$AI$54,23,0)</f>
        <v>-27</v>
      </c>
      <c r="X31" s="60">
        <f>VLOOKUP(B31,'Feuerwaffen-Ressourcen'!$A$2:$AI$54,24,0)+VLOOKUP(C31,'Feuerwaffen-Ressourcen'!$A$2:$AI$54,24,0)+VLOOKUP(D31,'Feuerwaffen-Ressourcen'!$A$2:$AI$54,24,0)+VLOOKUP(G31,'Feuerwaffen-Ressourcen'!$A$2:$AI$54,24,0)</f>
        <v>70</v>
      </c>
      <c r="Y31" s="60">
        <f>VLOOKUP(D31,'Feuerwaffen-Ressourcen'!$A$2:$AI$54,25,0)+VLOOKUP(E31,'Feuerwaffen-Ressourcen'!$A$2:$AI$54,25,0)+VLOOKUP(F31,'Feuerwaffen-Ressourcen'!$A$2:$AI$54,25,0)</f>
        <v>11</v>
      </c>
      <c r="Z31" s="60">
        <f>VLOOKUP(E31,'Feuerwaffen-Ressourcen'!$A$2:$AI$54,26,0)</f>
        <v>6</v>
      </c>
      <c r="AA31" s="60">
        <f>VLOOKUP(B31,'Feuerwaffen-Ressourcen'!$A$2:$AI$54,27,0)+VLOOKUP(D31,'Feuerwaffen-Ressourcen'!$A$2:$AI$54,27,0)+VLOOKUP(F31,'Feuerwaffen-Ressourcen'!$A$2:$AI$54,27,0)+VLOOKUP(I31,'Feuerwaffen-Ressourcen'!$A$2:$AI$54,27,0)</f>
        <v>2</v>
      </c>
      <c r="AB31" s="60">
        <f>VLOOKUP(B31,'Feuerwaffen-Ressourcen'!$A$2:$AI$54,28,0)+VLOOKUP(C31,'Feuerwaffen-Ressourcen'!$A$2:$AI$54,28,0)+VLOOKUP(D31,'Feuerwaffen-Ressourcen'!$A$2:$AI$54,28,0)+VLOOKUP(E31,'Feuerwaffen-Ressourcen'!$A$2:$AI$54,28,0)+VLOOKUP(F31,'Feuerwaffen-Ressourcen'!$A$2:$AI$54,28,0)+VLOOKUP(G31,'Feuerwaffen-Ressourcen'!$A$2:$AI$54,28,0)+VLOOKUP(I31,'Feuerwaffen-Ressourcen'!$A$2:$AI$54,28,0)+VLOOKUP(J31,'Feuerwaffen-Ressourcen'!$A$2:$AI$54,28,0)</f>
        <v>110</v>
      </c>
      <c r="AC31" s="63">
        <f>VLOOKUP(I31,'Feuerwaffen-Ressourcen'!$A$2:$AI$54,31,0)*AD31+AE31</f>
        <v>218.50000000000003</v>
      </c>
      <c r="AD31" s="64">
        <f>VLOOKUP(B31,'Feuerwaffen-Ressourcen'!$A$2:$AI$54,30,0)+VLOOKUP(C31,'Feuerwaffen-Ressourcen'!$A$2:$AI$54,30,0)+VLOOKUP(D31,'Feuerwaffen-Ressourcen'!$A$2:$AI$54,30,0)+VLOOKUP(F31,'Feuerwaffen-Ressourcen'!$A$2:$AI$54,30,0)+VLOOKUP(G31,'Feuerwaffen-Ressourcen'!$A$2:$AI$54,30,0)+VLOOKUP(I31,'Feuerwaffen-Ressourcen'!$A$2:$AI$54,30,0)+VLOOKUP(J31,'Feuerwaffen-Ressourcen'!$A$2:$AI$54,30,0)</f>
        <v>4.7</v>
      </c>
      <c r="AE31" s="63">
        <f>(VLOOKUP(C31,'Feuerwaffen-Ressourcen'!$A$2:$AI$54,32,0)+VLOOKUP(I31,'Feuerwaffen-Ressourcen'!$A$2:$AI$54,32,0))*(VLOOKUP(B31,'Feuerwaffen-Ressourcen'!$A$2:$AI$54,34,0)+VLOOKUP(C31,'Feuerwaffen-Ressourcen'!$A$2:$AI$54,34,0)+VLOOKUP(D31,'Feuerwaffen-Ressourcen'!$A$2:$AI$54,34,0)+VLOOKUP(E31,'Feuerwaffen-Ressourcen'!$A$2:$AI$54,34,0)+VLOOKUP(G31,'Feuerwaffen-Ressourcen'!$A$2:$AI$54,34,0))+VLOOKUP(B31,'Feuerwaffen-Ressourcen'!$A$2:$AI$54,35,0)+VLOOKUP(C31,'Feuerwaffen-Ressourcen'!$A$2:$AI$54,35,0)+VLOOKUP(D31,'Feuerwaffen-Ressourcen'!$A$2:$AI$54,35,0)</f>
        <v>199.70000000000002</v>
      </c>
      <c r="AF31" s="65">
        <f>VLOOKUP(AB31,'Feuerwaffen-Ressourcen'!$AO$3:$AP$9,2,1)</f>
        <v>4</v>
      </c>
      <c r="AG31" s="65">
        <v>0</v>
      </c>
    </row>
    <row r="32" spans="1:33">
      <c r="A32" s="59" t="s">
        <v>7147</v>
      </c>
      <c r="B32" s="59" t="s">
        <v>1425</v>
      </c>
      <c r="C32" s="59" t="s">
        <v>7215</v>
      </c>
      <c r="D32" s="59" t="s">
        <v>7235</v>
      </c>
      <c r="E32" s="59" t="s">
        <v>6501</v>
      </c>
      <c r="F32" s="59" t="s">
        <v>7221</v>
      </c>
      <c r="G32" s="59" t="s">
        <v>7217</v>
      </c>
      <c r="H32" s="59" t="s">
        <v>6514</v>
      </c>
      <c r="I32" s="59" t="s">
        <v>5768</v>
      </c>
      <c r="J32" s="59" t="s">
        <v>5748</v>
      </c>
      <c r="K32" s="61">
        <f>VLOOKUP(B32,'Feuerwaffen-Ressourcen'!$A$2:$AI$54,11,0)+VLOOKUP(C32,'Feuerwaffen-Ressourcen'!$A$2:$AI$54,11,0)+VLOOKUP(D32,'Feuerwaffen-Ressourcen'!$A$2:$AI$54,11,0)+VLOOKUP(E32,'Feuerwaffen-Ressourcen'!$A$2:$AI$54,11,0)+VLOOKUP(G32,'Feuerwaffen-Ressourcen'!$A$2:$AI$54,11,0)</f>
        <v>2.5999999999999996</v>
      </c>
      <c r="L32" s="60">
        <f>VLOOKUP(B32,'Feuerwaffen-Ressourcen'!$A$2:$AI$54,12,0)+VLOOKUP(C32,'Feuerwaffen-Ressourcen'!$A$2:$AI$54,12,0)+VLOOKUP(D32,'Feuerwaffen-Ressourcen'!$A$2:$AI$54,12,0)+VLOOKUP(J32,'Feuerwaffen-Ressourcen'!$A$2:$AI$54,12,0)</f>
        <v>6</v>
      </c>
      <c r="M32" s="60" t="str">
        <f>VLOOKUP(VLOOKUP(B32,'Feuerwaffen-Ressourcen'!$A$2:$AI$54,13,0)+VLOOKUP(C32,'Feuerwaffen-Ressourcen'!$A$2:$AI$54,13,0)+VLOOKUP(D32,'Feuerwaffen-Ressourcen'!$A$2:$AI$54,13,0),'Feuerwaffen-Ressourcen'!$AJ$3:$AK$12,2,0)</f>
        <v>W8</v>
      </c>
      <c r="N32" s="60" t="str">
        <f>VLOOKUP(VLOOKUP(B32,'Feuerwaffen-Ressourcen'!$A$2:$AI$54,14,0)+VLOOKUP(C32,'Feuerwaffen-Ressourcen'!$A$2:$AI$54,14,0)+VLOOKUP(D32,'Feuerwaffen-Ressourcen'!$A$2:$AI$54,14,0),'Feuerwaffen-Ressourcen'!$AJ$3:$AK$12,2,0)</f>
        <v>W8</v>
      </c>
      <c r="O32" s="60">
        <f>VLOOKUP(B32,'Feuerwaffen-Ressourcen'!$A$2:$AI$54,15,0)+VLOOKUP(C32,'Feuerwaffen-Ressourcen'!$A$2:$AI$54,15,0)+VLOOKUP(D32,'Feuerwaffen-Ressourcen'!$A$2:$AI$54,15,0)</f>
        <v>1</v>
      </c>
      <c r="P32" s="60">
        <f>VLOOKUP(B32,'Feuerwaffen-Ressourcen'!$A$2:$AI$54,16,0)+VLOOKUP(C32,'Feuerwaffen-Ressourcen'!$A$2:$AI$54,16,0)+VLOOKUP(D32,'Feuerwaffen-Ressourcen'!$A$2:$AI$54,16,0)+VLOOKUP(E32,'Feuerwaffen-Ressourcen'!$A$2:$AI$54,16,0)</f>
        <v>14</v>
      </c>
      <c r="Q32" s="62">
        <f>VLOOKUP(B32,'Feuerwaffen-Ressourcen'!$A$2:$AI$54,17,0)+VLOOKUP(C32,'Feuerwaffen-Ressourcen'!$A$2:$AI$54,17,0)+VLOOKUP(D32,'Feuerwaffen-Ressourcen'!$A$2:$AI$54,17,0)+VLOOKUP(E32,'Feuerwaffen-Ressourcen'!$A$2:$AI$54,17,0)</f>
        <v>16</v>
      </c>
      <c r="R32" s="60">
        <f>VLOOKUP(B32,'Feuerwaffen-Ressourcen'!$A$2:$AI$54,18,0)+VLOOKUP(C32,'Feuerwaffen-Ressourcen'!$A$2:$AI$54,18,0)+VLOOKUP(D32,'Feuerwaffen-Ressourcen'!$A$2:$AI$54,18,0)+VLOOKUP(F32,'Feuerwaffen-Ressourcen'!$A$2:$AI$54,18,0)+VLOOKUP(G32,'Feuerwaffen-Ressourcen'!$A$2:$AI$54,18,0)+VLOOKUP(I32,'Feuerwaffen-Ressourcen'!$A$2:$AI$54,18,0)+VLOOKUP(J32,'Feuerwaffen-Ressourcen'!$A$2:$AI$54,18,0)</f>
        <v>1</v>
      </c>
      <c r="S32" s="60">
        <f>VLOOKUP(B32,'Feuerwaffen-Ressourcen'!$A$2:$AI$54,19,0)+VLOOKUP(C32,'Feuerwaffen-Ressourcen'!$A$2:$AI$54,19,0)+VLOOKUP(D32,'Feuerwaffen-Ressourcen'!$A$2:$AI$54,19,0)+VLOOKUP(F32,'Feuerwaffen-Ressourcen'!$A$2:$AI$54,19,0)+VLOOKUP(G32,'Feuerwaffen-Ressourcen'!$A$2:$AI$54,19,0)+VLOOKUP(I32,'Feuerwaffen-Ressourcen'!$A$2:$AI$54,19,0)+VLOOKUP(J32,'Feuerwaffen-Ressourcen'!$A$2:$AI$54,19,0)</f>
        <v>-4</v>
      </c>
      <c r="T32" s="60">
        <f>VLOOKUP(B32,'Feuerwaffen-Ressourcen'!$A$2:$AI$54,20,0)+VLOOKUP(C32,'Feuerwaffen-Ressourcen'!$A$2:$AI$54,20,0)+VLOOKUP(D32,'Feuerwaffen-Ressourcen'!$A$2:$AI$54,20,0)+VLOOKUP(F32,'Feuerwaffen-Ressourcen'!$A$2:$AI$54,20,0)+VLOOKUP(G32,'Feuerwaffen-Ressourcen'!$A$2:$AI$54,20,0)+VLOOKUP(I32,'Feuerwaffen-Ressourcen'!$A$2:$AI$54,20,0)+VLOOKUP(J32,'Feuerwaffen-Ressourcen'!$A$2:$AI$54,20,0)</f>
        <v>-10</v>
      </c>
      <c r="U32" s="60">
        <f>VLOOKUP(B32,'Feuerwaffen-Ressourcen'!$A$2:$AI$54,21,0)+VLOOKUP(C32,'Feuerwaffen-Ressourcen'!$A$2:$AI$54,21,0)+VLOOKUP(D32,'Feuerwaffen-Ressourcen'!$A$2:$AI$54,21,0)+VLOOKUP(F32,'Feuerwaffen-Ressourcen'!$A$2:$AI$54,21,0)+VLOOKUP(G32,'Feuerwaffen-Ressourcen'!$A$2:$AI$54,21,0)+VLOOKUP(I32,'Feuerwaffen-Ressourcen'!$A$2:$AI$54,21,0)+VLOOKUP(J32,'Feuerwaffen-Ressourcen'!$A$2:$AI$54,21,0)</f>
        <v>-17</v>
      </c>
      <c r="V32" s="60">
        <f>VLOOKUP(B32,'Feuerwaffen-Ressourcen'!$A$2:$AI$54,22,0)+VLOOKUP(C32,'Feuerwaffen-Ressourcen'!$A$2:$AI$54,22,0)+VLOOKUP(D32,'Feuerwaffen-Ressourcen'!$A$2:$AI$54,22,0)+VLOOKUP(F32,'Feuerwaffen-Ressourcen'!$A$2:$AI$54,22,0)+VLOOKUP(G32,'Feuerwaffen-Ressourcen'!$A$2:$AI$54,22,0)+VLOOKUP(I32,'Feuerwaffen-Ressourcen'!$A$2:$AI$54,22,0)+VLOOKUP(J32,'Feuerwaffen-Ressourcen'!$A$2:$AI$54,22,0)</f>
        <v>-25</v>
      </c>
      <c r="W32" s="60">
        <f>VLOOKUP(B32,'Feuerwaffen-Ressourcen'!$A$2:$AI$54,23,0)+VLOOKUP(C32,'Feuerwaffen-Ressourcen'!$A$2:$AI$54,23,0)+VLOOKUP(D32,'Feuerwaffen-Ressourcen'!$A$2:$AI$54,23,0)+VLOOKUP(F32,'Feuerwaffen-Ressourcen'!$A$2:$AI$54,23,0)+VLOOKUP(G32,'Feuerwaffen-Ressourcen'!$A$2:$AI$54,23,0)+VLOOKUP(I32,'Feuerwaffen-Ressourcen'!$A$2:$AI$54,23,0)+VLOOKUP(J32,'Feuerwaffen-Ressourcen'!$A$2:$AI$54,23,0)</f>
        <v>-33</v>
      </c>
      <c r="X32" s="60">
        <f>VLOOKUP(B32,'Feuerwaffen-Ressourcen'!$A$2:$AI$54,24,0)+VLOOKUP(C32,'Feuerwaffen-Ressourcen'!$A$2:$AI$54,24,0)+VLOOKUP(D32,'Feuerwaffen-Ressourcen'!$A$2:$AI$54,24,0)+VLOOKUP(G32,'Feuerwaffen-Ressourcen'!$A$2:$AI$54,24,0)</f>
        <v>30</v>
      </c>
      <c r="Y32" s="60">
        <f>VLOOKUP(D32,'Feuerwaffen-Ressourcen'!$A$2:$AI$54,25,0)+VLOOKUP(E32,'Feuerwaffen-Ressourcen'!$A$2:$AI$54,25,0)+VLOOKUP(F32,'Feuerwaffen-Ressourcen'!$A$2:$AI$54,25,0)</f>
        <v>30</v>
      </c>
      <c r="Z32" s="60">
        <f>VLOOKUP(E32,'Feuerwaffen-Ressourcen'!$A$2:$AI$54,26,0)</f>
        <v>3</v>
      </c>
      <c r="AA32" s="60">
        <f>VLOOKUP(B32,'Feuerwaffen-Ressourcen'!$A$2:$AI$54,27,0)+VLOOKUP(D32,'Feuerwaffen-Ressourcen'!$A$2:$AI$54,27,0)+VLOOKUP(F32,'Feuerwaffen-Ressourcen'!$A$2:$AI$54,27,0)+VLOOKUP(I32,'Feuerwaffen-Ressourcen'!$A$2:$AI$54,27,0)</f>
        <v>5</v>
      </c>
      <c r="AB32" s="60">
        <f>VLOOKUP(B32,'Feuerwaffen-Ressourcen'!$A$2:$AI$54,28,0)+VLOOKUP(C32,'Feuerwaffen-Ressourcen'!$A$2:$AI$54,28,0)+VLOOKUP(D32,'Feuerwaffen-Ressourcen'!$A$2:$AI$54,28,0)+VLOOKUP(E32,'Feuerwaffen-Ressourcen'!$A$2:$AI$54,28,0)+VLOOKUP(F32,'Feuerwaffen-Ressourcen'!$A$2:$AI$54,28,0)+VLOOKUP(G32,'Feuerwaffen-Ressourcen'!$A$2:$AI$54,28,0)+VLOOKUP(I32,'Feuerwaffen-Ressourcen'!$A$2:$AI$54,28,0)+VLOOKUP(J32,'Feuerwaffen-Ressourcen'!$A$2:$AI$54,28,0)</f>
        <v>150</v>
      </c>
      <c r="AC32" s="63">
        <f>VLOOKUP(I32,'Feuerwaffen-Ressourcen'!$A$2:$AI$54,31,0)*AD32+AE32</f>
        <v>112.49999999999999</v>
      </c>
      <c r="AD32" s="64">
        <f>VLOOKUP(B32,'Feuerwaffen-Ressourcen'!$A$2:$AI$54,30,0)+VLOOKUP(C32,'Feuerwaffen-Ressourcen'!$A$2:$AI$54,30,0)+VLOOKUP(D32,'Feuerwaffen-Ressourcen'!$A$2:$AI$54,30,0)+VLOOKUP(F32,'Feuerwaffen-Ressourcen'!$A$2:$AI$54,30,0)+VLOOKUP(G32,'Feuerwaffen-Ressourcen'!$A$2:$AI$54,30,0)+VLOOKUP(I32,'Feuerwaffen-Ressourcen'!$A$2:$AI$54,30,0)+VLOOKUP(J32,'Feuerwaffen-Ressourcen'!$A$2:$AI$54,30,0)</f>
        <v>0.70000000000000018</v>
      </c>
      <c r="AE32" s="63">
        <f>(VLOOKUP(C32,'Feuerwaffen-Ressourcen'!$A$2:$AI$54,32,0)+VLOOKUP(I32,'Feuerwaffen-Ressourcen'!$A$2:$AI$54,32,0))*(VLOOKUP(B32,'Feuerwaffen-Ressourcen'!$A$2:$AI$54,34,0)+VLOOKUP(C32,'Feuerwaffen-Ressourcen'!$A$2:$AI$54,34,0)+VLOOKUP(D32,'Feuerwaffen-Ressourcen'!$A$2:$AI$54,34,0)+VLOOKUP(E32,'Feuerwaffen-Ressourcen'!$A$2:$AI$54,34,0)+VLOOKUP(G32,'Feuerwaffen-Ressourcen'!$A$2:$AI$54,34,0))+VLOOKUP(B32,'Feuerwaffen-Ressourcen'!$A$2:$AI$54,35,0)+VLOOKUP(C32,'Feuerwaffen-Ressourcen'!$A$2:$AI$54,35,0)+VLOOKUP(D32,'Feuerwaffen-Ressourcen'!$A$2:$AI$54,35,0)</f>
        <v>109.69999999999999</v>
      </c>
      <c r="AF32" s="65">
        <f>VLOOKUP(AB32,'Feuerwaffen-Ressourcen'!$AO$3:$AP$9,2,1)</f>
        <v>2</v>
      </c>
      <c r="AG32" s="65">
        <v>0</v>
      </c>
    </row>
    <row r="33" spans="1:33">
      <c r="A33" s="59" t="s">
        <v>7148</v>
      </c>
      <c r="B33" s="59" t="s">
        <v>1425</v>
      </c>
      <c r="C33" s="59" t="s">
        <v>7215</v>
      </c>
      <c r="D33" s="59" t="s">
        <v>7206</v>
      </c>
      <c r="E33" s="59" t="s">
        <v>6501</v>
      </c>
      <c r="F33" s="59" t="s">
        <v>7221</v>
      </c>
      <c r="G33" s="59" t="s">
        <v>7217</v>
      </c>
      <c r="H33" s="59" t="s">
        <v>6514</v>
      </c>
      <c r="I33" s="59" t="s">
        <v>5768</v>
      </c>
      <c r="J33" s="59" t="s">
        <v>5748</v>
      </c>
      <c r="K33" s="61">
        <f>VLOOKUP(B33,'Feuerwaffen-Ressourcen'!$A$2:$AI$54,11,0)+VLOOKUP(C33,'Feuerwaffen-Ressourcen'!$A$2:$AI$54,11,0)+VLOOKUP(D33,'Feuerwaffen-Ressourcen'!$A$2:$AI$54,11,0)+VLOOKUP(E33,'Feuerwaffen-Ressourcen'!$A$2:$AI$54,11,0)+VLOOKUP(G33,'Feuerwaffen-Ressourcen'!$A$2:$AI$54,11,0)</f>
        <v>3.0999999999999996</v>
      </c>
      <c r="L33" s="60">
        <f>VLOOKUP(B33,'Feuerwaffen-Ressourcen'!$A$2:$AI$54,12,0)+VLOOKUP(C33,'Feuerwaffen-Ressourcen'!$A$2:$AI$54,12,0)+VLOOKUP(D33,'Feuerwaffen-Ressourcen'!$A$2:$AI$54,12,0)+VLOOKUP(J33,'Feuerwaffen-Ressourcen'!$A$2:$AI$54,12,0)</f>
        <v>7</v>
      </c>
      <c r="M33" s="60" t="str">
        <f>VLOOKUP(VLOOKUP(B33,'Feuerwaffen-Ressourcen'!$A$2:$AI$54,13,0)+VLOOKUP(C33,'Feuerwaffen-Ressourcen'!$A$2:$AI$54,13,0)+VLOOKUP(D33,'Feuerwaffen-Ressourcen'!$A$2:$AI$54,13,0),'Feuerwaffen-Ressourcen'!$AJ$3:$AK$12,2,0)</f>
        <v>W8</v>
      </c>
      <c r="N33" s="60" t="str">
        <f>VLOOKUP(VLOOKUP(B33,'Feuerwaffen-Ressourcen'!$A$2:$AI$54,14,0)+VLOOKUP(C33,'Feuerwaffen-Ressourcen'!$A$2:$AI$54,14,0)+VLOOKUP(D33,'Feuerwaffen-Ressourcen'!$A$2:$AI$54,14,0),'Feuerwaffen-Ressourcen'!$AJ$3:$AK$12,2,0)</f>
        <v>W8</v>
      </c>
      <c r="O33" s="60">
        <f>VLOOKUP(B33,'Feuerwaffen-Ressourcen'!$A$2:$AI$54,15,0)+VLOOKUP(C33,'Feuerwaffen-Ressourcen'!$A$2:$AI$54,15,0)+VLOOKUP(D33,'Feuerwaffen-Ressourcen'!$A$2:$AI$54,15,0)</f>
        <v>1</v>
      </c>
      <c r="P33" s="60">
        <f>VLOOKUP(B33,'Feuerwaffen-Ressourcen'!$A$2:$AI$54,16,0)+VLOOKUP(C33,'Feuerwaffen-Ressourcen'!$A$2:$AI$54,16,0)+VLOOKUP(D33,'Feuerwaffen-Ressourcen'!$A$2:$AI$54,16,0)+VLOOKUP(E33,'Feuerwaffen-Ressourcen'!$A$2:$AI$54,16,0)</f>
        <v>14</v>
      </c>
      <c r="Q33" s="62">
        <f>VLOOKUP(B33,'Feuerwaffen-Ressourcen'!$A$2:$AI$54,17,0)+VLOOKUP(C33,'Feuerwaffen-Ressourcen'!$A$2:$AI$54,17,0)+VLOOKUP(D33,'Feuerwaffen-Ressourcen'!$A$2:$AI$54,17,0)+VLOOKUP(E33,'Feuerwaffen-Ressourcen'!$A$2:$AI$54,17,0)</f>
        <v>16</v>
      </c>
      <c r="R33" s="60">
        <f>VLOOKUP(B33,'Feuerwaffen-Ressourcen'!$A$2:$AI$54,18,0)+VLOOKUP(C33,'Feuerwaffen-Ressourcen'!$A$2:$AI$54,18,0)+VLOOKUP(D33,'Feuerwaffen-Ressourcen'!$A$2:$AI$54,18,0)+VLOOKUP(F33,'Feuerwaffen-Ressourcen'!$A$2:$AI$54,18,0)+VLOOKUP(G33,'Feuerwaffen-Ressourcen'!$A$2:$AI$54,18,0)+VLOOKUP(I33,'Feuerwaffen-Ressourcen'!$A$2:$AI$54,18,0)+VLOOKUP(J33,'Feuerwaffen-Ressourcen'!$A$2:$AI$54,18,0)</f>
        <v>2</v>
      </c>
      <c r="S33" s="60">
        <f>VLOOKUP(B33,'Feuerwaffen-Ressourcen'!$A$2:$AI$54,19,0)+VLOOKUP(C33,'Feuerwaffen-Ressourcen'!$A$2:$AI$54,19,0)+VLOOKUP(D33,'Feuerwaffen-Ressourcen'!$A$2:$AI$54,19,0)+VLOOKUP(F33,'Feuerwaffen-Ressourcen'!$A$2:$AI$54,19,0)+VLOOKUP(G33,'Feuerwaffen-Ressourcen'!$A$2:$AI$54,19,0)+VLOOKUP(I33,'Feuerwaffen-Ressourcen'!$A$2:$AI$54,19,0)+VLOOKUP(J33,'Feuerwaffen-Ressourcen'!$A$2:$AI$54,19,0)</f>
        <v>-3</v>
      </c>
      <c r="T33" s="60">
        <f>VLOOKUP(B33,'Feuerwaffen-Ressourcen'!$A$2:$AI$54,20,0)+VLOOKUP(C33,'Feuerwaffen-Ressourcen'!$A$2:$AI$54,20,0)+VLOOKUP(D33,'Feuerwaffen-Ressourcen'!$A$2:$AI$54,20,0)+VLOOKUP(F33,'Feuerwaffen-Ressourcen'!$A$2:$AI$54,20,0)+VLOOKUP(G33,'Feuerwaffen-Ressourcen'!$A$2:$AI$54,20,0)+VLOOKUP(I33,'Feuerwaffen-Ressourcen'!$A$2:$AI$54,20,0)+VLOOKUP(J33,'Feuerwaffen-Ressourcen'!$A$2:$AI$54,20,0)</f>
        <v>-8</v>
      </c>
      <c r="U33" s="60">
        <f>VLOOKUP(B33,'Feuerwaffen-Ressourcen'!$A$2:$AI$54,21,0)+VLOOKUP(C33,'Feuerwaffen-Ressourcen'!$A$2:$AI$54,21,0)+VLOOKUP(D33,'Feuerwaffen-Ressourcen'!$A$2:$AI$54,21,0)+VLOOKUP(F33,'Feuerwaffen-Ressourcen'!$A$2:$AI$54,21,0)+VLOOKUP(G33,'Feuerwaffen-Ressourcen'!$A$2:$AI$54,21,0)+VLOOKUP(I33,'Feuerwaffen-Ressourcen'!$A$2:$AI$54,21,0)+VLOOKUP(J33,'Feuerwaffen-Ressourcen'!$A$2:$AI$54,21,0)</f>
        <v>-15</v>
      </c>
      <c r="V33" s="60">
        <f>VLOOKUP(B33,'Feuerwaffen-Ressourcen'!$A$2:$AI$54,22,0)+VLOOKUP(C33,'Feuerwaffen-Ressourcen'!$A$2:$AI$54,22,0)+VLOOKUP(D33,'Feuerwaffen-Ressourcen'!$A$2:$AI$54,22,0)+VLOOKUP(F33,'Feuerwaffen-Ressourcen'!$A$2:$AI$54,22,0)+VLOOKUP(G33,'Feuerwaffen-Ressourcen'!$A$2:$AI$54,22,0)+VLOOKUP(I33,'Feuerwaffen-Ressourcen'!$A$2:$AI$54,22,0)+VLOOKUP(J33,'Feuerwaffen-Ressourcen'!$A$2:$AI$54,22,0)</f>
        <v>-22</v>
      </c>
      <c r="W33" s="60">
        <f>VLOOKUP(B33,'Feuerwaffen-Ressourcen'!$A$2:$AI$54,23,0)+VLOOKUP(C33,'Feuerwaffen-Ressourcen'!$A$2:$AI$54,23,0)+VLOOKUP(D33,'Feuerwaffen-Ressourcen'!$A$2:$AI$54,23,0)+VLOOKUP(F33,'Feuerwaffen-Ressourcen'!$A$2:$AI$54,23,0)+VLOOKUP(G33,'Feuerwaffen-Ressourcen'!$A$2:$AI$54,23,0)+VLOOKUP(I33,'Feuerwaffen-Ressourcen'!$A$2:$AI$54,23,0)+VLOOKUP(J33,'Feuerwaffen-Ressourcen'!$A$2:$AI$54,23,0)</f>
        <v>-30</v>
      </c>
      <c r="X33" s="60">
        <f>VLOOKUP(B33,'Feuerwaffen-Ressourcen'!$A$2:$AI$54,24,0)+VLOOKUP(C33,'Feuerwaffen-Ressourcen'!$A$2:$AI$54,24,0)+VLOOKUP(D33,'Feuerwaffen-Ressourcen'!$A$2:$AI$54,24,0)+VLOOKUP(G33,'Feuerwaffen-Ressourcen'!$A$2:$AI$54,24,0)</f>
        <v>40</v>
      </c>
      <c r="Y33" s="60">
        <f>VLOOKUP(D33,'Feuerwaffen-Ressourcen'!$A$2:$AI$54,25,0)+VLOOKUP(E33,'Feuerwaffen-Ressourcen'!$A$2:$AI$54,25,0)+VLOOKUP(F33,'Feuerwaffen-Ressourcen'!$A$2:$AI$54,25,0)</f>
        <v>30</v>
      </c>
      <c r="Z33" s="60">
        <f>VLOOKUP(E33,'Feuerwaffen-Ressourcen'!$A$2:$AI$54,26,0)</f>
        <v>3</v>
      </c>
      <c r="AA33" s="60">
        <f>VLOOKUP(B33,'Feuerwaffen-Ressourcen'!$A$2:$AI$54,27,0)+VLOOKUP(D33,'Feuerwaffen-Ressourcen'!$A$2:$AI$54,27,0)+VLOOKUP(F33,'Feuerwaffen-Ressourcen'!$A$2:$AI$54,27,0)+VLOOKUP(I33,'Feuerwaffen-Ressourcen'!$A$2:$AI$54,27,0)</f>
        <v>4</v>
      </c>
      <c r="AB33" s="60">
        <f>VLOOKUP(B33,'Feuerwaffen-Ressourcen'!$A$2:$AI$54,28,0)+VLOOKUP(C33,'Feuerwaffen-Ressourcen'!$A$2:$AI$54,28,0)+VLOOKUP(D33,'Feuerwaffen-Ressourcen'!$A$2:$AI$54,28,0)+VLOOKUP(E33,'Feuerwaffen-Ressourcen'!$A$2:$AI$54,28,0)+VLOOKUP(F33,'Feuerwaffen-Ressourcen'!$A$2:$AI$54,28,0)+VLOOKUP(G33,'Feuerwaffen-Ressourcen'!$A$2:$AI$54,28,0)+VLOOKUP(I33,'Feuerwaffen-Ressourcen'!$A$2:$AI$54,28,0)+VLOOKUP(J33,'Feuerwaffen-Ressourcen'!$A$2:$AI$54,28,0)</f>
        <v>140</v>
      </c>
      <c r="AC33" s="63">
        <f>VLOOKUP(I33,'Feuerwaffen-Ressourcen'!$A$2:$AI$54,31,0)*AD33+AE33</f>
        <v>174.50000000000003</v>
      </c>
      <c r="AD33" s="64">
        <f>VLOOKUP(B33,'Feuerwaffen-Ressourcen'!$A$2:$AI$54,30,0)+VLOOKUP(C33,'Feuerwaffen-Ressourcen'!$A$2:$AI$54,30,0)+VLOOKUP(D33,'Feuerwaffen-Ressourcen'!$A$2:$AI$54,30,0)+VLOOKUP(F33,'Feuerwaffen-Ressourcen'!$A$2:$AI$54,30,0)+VLOOKUP(G33,'Feuerwaffen-Ressourcen'!$A$2:$AI$54,30,0)+VLOOKUP(I33,'Feuerwaffen-Ressourcen'!$A$2:$AI$54,30,0)+VLOOKUP(J33,'Feuerwaffen-Ressourcen'!$A$2:$AI$54,30,0)</f>
        <v>1.2000000000000002</v>
      </c>
      <c r="AE33" s="63">
        <f>(VLOOKUP(C33,'Feuerwaffen-Ressourcen'!$A$2:$AI$54,32,0)+VLOOKUP(I33,'Feuerwaffen-Ressourcen'!$A$2:$AI$54,32,0))*(VLOOKUP(B33,'Feuerwaffen-Ressourcen'!$A$2:$AI$54,34,0)+VLOOKUP(C33,'Feuerwaffen-Ressourcen'!$A$2:$AI$54,34,0)+VLOOKUP(D33,'Feuerwaffen-Ressourcen'!$A$2:$AI$54,34,0)+VLOOKUP(E33,'Feuerwaffen-Ressourcen'!$A$2:$AI$54,34,0)+VLOOKUP(G33,'Feuerwaffen-Ressourcen'!$A$2:$AI$54,34,0))+VLOOKUP(B33,'Feuerwaffen-Ressourcen'!$A$2:$AI$54,35,0)+VLOOKUP(C33,'Feuerwaffen-Ressourcen'!$A$2:$AI$54,35,0)+VLOOKUP(D33,'Feuerwaffen-Ressourcen'!$A$2:$AI$54,35,0)</f>
        <v>169.70000000000002</v>
      </c>
      <c r="AF33" s="65">
        <f>VLOOKUP(AB33,'Feuerwaffen-Ressourcen'!$AO$3:$AP$9,2,1)</f>
        <v>3</v>
      </c>
      <c r="AG33" s="65">
        <v>0</v>
      </c>
    </row>
    <row r="34" spans="1:33">
      <c r="A34" s="59" t="s">
        <v>7149</v>
      </c>
      <c r="B34" s="59" t="s">
        <v>1425</v>
      </c>
      <c r="C34" s="59" t="s">
        <v>7215</v>
      </c>
      <c r="D34" s="59" t="s">
        <v>7206</v>
      </c>
      <c r="E34" s="59" t="s">
        <v>7123</v>
      </c>
      <c r="F34" s="59" t="s">
        <v>7224</v>
      </c>
      <c r="G34" s="59" t="s">
        <v>7225</v>
      </c>
      <c r="H34" s="59" t="s">
        <v>7124</v>
      </c>
      <c r="I34" s="59" t="s">
        <v>5768</v>
      </c>
      <c r="J34" s="59" t="s">
        <v>5748</v>
      </c>
      <c r="K34" s="61">
        <f>VLOOKUP(B34,'Feuerwaffen-Ressourcen'!$A$2:$AI$54,11,0)+VLOOKUP(C34,'Feuerwaffen-Ressourcen'!$A$2:$AI$54,11,0)+VLOOKUP(D34,'Feuerwaffen-Ressourcen'!$A$2:$AI$54,11,0)+VLOOKUP(E34,'Feuerwaffen-Ressourcen'!$A$2:$AI$54,11,0)+VLOOKUP(G34,'Feuerwaffen-Ressourcen'!$A$2:$AI$54,11,0)</f>
        <v>3.3499999999999996</v>
      </c>
      <c r="L34" s="60">
        <f>VLOOKUP(B34,'Feuerwaffen-Ressourcen'!$A$2:$AI$54,12,0)+VLOOKUP(C34,'Feuerwaffen-Ressourcen'!$A$2:$AI$54,12,0)+VLOOKUP(D34,'Feuerwaffen-Ressourcen'!$A$2:$AI$54,12,0)+VLOOKUP(J34,'Feuerwaffen-Ressourcen'!$A$2:$AI$54,12,0)</f>
        <v>7</v>
      </c>
      <c r="M34" s="60" t="str">
        <f>VLOOKUP(VLOOKUP(B34,'Feuerwaffen-Ressourcen'!$A$2:$AI$54,13,0)+VLOOKUP(C34,'Feuerwaffen-Ressourcen'!$A$2:$AI$54,13,0)+VLOOKUP(D34,'Feuerwaffen-Ressourcen'!$A$2:$AI$54,13,0),'Feuerwaffen-Ressourcen'!$AJ$3:$AK$12,2,0)</f>
        <v>W8</v>
      </c>
      <c r="N34" s="60" t="str">
        <f>VLOOKUP(VLOOKUP(B34,'Feuerwaffen-Ressourcen'!$A$2:$AI$54,14,0)+VLOOKUP(C34,'Feuerwaffen-Ressourcen'!$A$2:$AI$54,14,0)+VLOOKUP(D34,'Feuerwaffen-Ressourcen'!$A$2:$AI$54,14,0),'Feuerwaffen-Ressourcen'!$AJ$3:$AK$12,2,0)</f>
        <v>W8</v>
      </c>
      <c r="O34" s="60">
        <f>VLOOKUP(B34,'Feuerwaffen-Ressourcen'!$A$2:$AI$54,15,0)+VLOOKUP(C34,'Feuerwaffen-Ressourcen'!$A$2:$AI$54,15,0)+VLOOKUP(D34,'Feuerwaffen-Ressourcen'!$A$2:$AI$54,15,0)</f>
        <v>1</v>
      </c>
      <c r="P34" s="60">
        <f>VLOOKUP(B34,'Feuerwaffen-Ressourcen'!$A$2:$AI$54,16,0)+VLOOKUP(C34,'Feuerwaffen-Ressourcen'!$A$2:$AI$54,16,0)+VLOOKUP(D34,'Feuerwaffen-Ressourcen'!$A$2:$AI$54,16,0)+VLOOKUP(E34,'Feuerwaffen-Ressourcen'!$A$2:$AI$54,16,0)</f>
        <v>20</v>
      </c>
      <c r="Q34" s="62">
        <f>VLOOKUP(B34,'Feuerwaffen-Ressourcen'!$A$2:$AI$54,17,0)+VLOOKUP(C34,'Feuerwaffen-Ressourcen'!$A$2:$AI$54,17,0)+VLOOKUP(D34,'Feuerwaffen-Ressourcen'!$A$2:$AI$54,17,0)+VLOOKUP(E34,'Feuerwaffen-Ressourcen'!$A$2:$AI$54,17,0)</f>
        <v>10</v>
      </c>
      <c r="R34" s="60">
        <f>VLOOKUP(B34,'Feuerwaffen-Ressourcen'!$A$2:$AI$54,18,0)+VLOOKUP(C34,'Feuerwaffen-Ressourcen'!$A$2:$AI$54,18,0)+VLOOKUP(D34,'Feuerwaffen-Ressourcen'!$A$2:$AI$54,18,0)+VLOOKUP(F34,'Feuerwaffen-Ressourcen'!$A$2:$AI$54,18,0)+VLOOKUP(G34,'Feuerwaffen-Ressourcen'!$A$2:$AI$54,18,0)+VLOOKUP(I34,'Feuerwaffen-Ressourcen'!$A$2:$AI$54,18,0)+VLOOKUP(J34,'Feuerwaffen-Ressourcen'!$A$2:$AI$54,18,0)</f>
        <v>6</v>
      </c>
      <c r="S34" s="60">
        <f>VLOOKUP(B34,'Feuerwaffen-Ressourcen'!$A$2:$AI$54,19,0)+VLOOKUP(C34,'Feuerwaffen-Ressourcen'!$A$2:$AI$54,19,0)+VLOOKUP(D34,'Feuerwaffen-Ressourcen'!$A$2:$AI$54,19,0)+VLOOKUP(F34,'Feuerwaffen-Ressourcen'!$A$2:$AI$54,19,0)+VLOOKUP(G34,'Feuerwaffen-Ressourcen'!$A$2:$AI$54,19,0)+VLOOKUP(I34,'Feuerwaffen-Ressourcen'!$A$2:$AI$54,19,0)+VLOOKUP(J34,'Feuerwaffen-Ressourcen'!$A$2:$AI$54,19,0)</f>
        <v>2</v>
      </c>
      <c r="T34" s="60">
        <f>VLOOKUP(B34,'Feuerwaffen-Ressourcen'!$A$2:$AI$54,20,0)+VLOOKUP(C34,'Feuerwaffen-Ressourcen'!$A$2:$AI$54,20,0)+VLOOKUP(D34,'Feuerwaffen-Ressourcen'!$A$2:$AI$54,20,0)+VLOOKUP(F34,'Feuerwaffen-Ressourcen'!$A$2:$AI$54,20,0)+VLOOKUP(G34,'Feuerwaffen-Ressourcen'!$A$2:$AI$54,20,0)+VLOOKUP(I34,'Feuerwaffen-Ressourcen'!$A$2:$AI$54,20,0)+VLOOKUP(J34,'Feuerwaffen-Ressourcen'!$A$2:$AI$54,20,0)</f>
        <v>-3</v>
      </c>
      <c r="U34" s="60">
        <f>VLOOKUP(B34,'Feuerwaffen-Ressourcen'!$A$2:$AI$54,21,0)+VLOOKUP(C34,'Feuerwaffen-Ressourcen'!$A$2:$AI$54,21,0)+VLOOKUP(D34,'Feuerwaffen-Ressourcen'!$A$2:$AI$54,21,0)+VLOOKUP(F34,'Feuerwaffen-Ressourcen'!$A$2:$AI$54,21,0)+VLOOKUP(G34,'Feuerwaffen-Ressourcen'!$A$2:$AI$54,21,0)+VLOOKUP(I34,'Feuerwaffen-Ressourcen'!$A$2:$AI$54,21,0)+VLOOKUP(J34,'Feuerwaffen-Ressourcen'!$A$2:$AI$54,21,0)</f>
        <v>-11</v>
      </c>
      <c r="V34" s="60">
        <f>VLOOKUP(B34,'Feuerwaffen-Ressourcen'!$A$2:$AI$54,22,0)+VLOOKUP(C34,'Feuerwaffen-Ressourcen'!$A$2:$AI$54,22,0)+VLOOKUP(D34,'Feuerwaffen-Ressourcen'!$A$2:$AI$54,22,0)+VLOOKUP(F34,'Feuerwaffen-Ressourcen'!$A$2:$AI$54,22,0)+VLOOKUP(G34,'Feuerwaffen-Ressourcen'!$A$2:$AI$54,22,0)+VLOOKUP(I34,'Feuerwaffen-Ressourcen'!$A$2:$AI$54,22,0)+VLOOKUP(J34,'Feuerwaffen-Ressourcen'!$A$2:$AI$54,22,0)</f>
        <v>-19</v>
      </c>
      <c r="W34" s="60">
        <f>VLOOKUP(B34,'Feuerwaffen-Ressourcen'!$A$2:$AI$54,23,0)+VLOOKUP(C34,'Feuerwaffen-Ressourcen'!$A$2:$AI$54,23,0)+VLOOKUP(D34,'Feuerwaffen-Ressourcen'!$A$2:$AI$54,23,0)+VLOOKUP(F34,'Feuerwaffen-Ressourcen'!$A$2:$AI$54,23,0)+VLOOKUP(G34,'Feuerwaffen-Ressourcen'!$A$2:$AI$54,23,0)+VLOOKUP(I34,'Feuerwaffen-Ressourcen'!$A$2:$AI$54,23,0)+VLOOKUP(J34,'Feuerwaffen-Ressourcen'!$A$2:$AI$54,23,0)</f>
        <v>-27</v>
      </c>
      <c r="X34" s="60">
        <f>VLOOKUP(B34,'Feuerwaffen-Ressourcen'!$A$2:$AI$54,24,0)+VLOOKUP(C34,'Feuerwaffen-Ressourcen'!$A$2:$AI$54,24,0)+VLOOKUP(D34,'Feuerwaffen-Ressourcen'!$A$2:$AI$54,24,0)+VLOOKUP(G34,'Feuerwaffen-Ressourcen'!$A$2:$AI$54,24,0)</f>
        <v>70</v>
      </c>
      <c r="Y34" s="60">
        <f>VLOOKUP(D34,'Feuerwaffen-Ressourcen'!$A$2:$AI$54,25,0)+VLOOKUP(E34,'Feuerwaffen-Ressourcen'!$A$2:$AI$54,25,0)+VLOOKUP(F34,'Feuerwaffen-Ressourcen'!$A$2:$AI$54,25,0)</f>
        <v>9</v>
      </c>
      <c r="Z34" s="60">
        <f>VLOOKUP(E34,'Feuerwaffen-Ressourcen'!$A$2:$AI$54,26,0)</f>
        <v>6</v>
      </c>
      <c r="AA34" s="60">
        <f>VLOOKUP(B34,'Feuerwaffen-Ressourcen'!$A$2:$AI$54,27,0)+VLOOKUP(D34,'Feuerwaffen-Ressourcen'!$A$2:$AI$54,27,0)+VLOOKUP(F34,'Feuerwaffen-Ressourcen'!$A$2:$AI$54,27,0)+VLOOKUP(I34,'Feuerwaffen-Ressourcen'!$A$2:$AI$54,27,0)</f>
        <v>1</v>
      </c>
      <c r="AB34" s="60">
        <f>VLOOKUP(B34,'Feuerwaffen-Ressourcen'!$A$2:$AI$54,28,0)+VLOOKUP(C34,'Feuerwaffen-Ressourcen'!$A$2:$AI$54,28,0)+VLOOKUP(D34,'Feuerwaffen-Ressourcen'!$A$2:$AI$54,28,0)+VLOOKUP(E34,'Feuerwaffen-Ressourcen'!$A$2:$AI$54,28,0)+VLOOKUP(F34,'Feuerwaffen-Ressourcen'!$A$2:$AI$54,28,0)+VLOOKUP(G34,'Feuerwaffen-Ressourcen'!$A$2:$AI$54,28,0)+VLOOKUP(I34,'Feuerwaffen-Ressourcen'!$A$2:$AI$54,28,0)+VLOOKUP(J34,'Feuerwaffen-Ressourcen'!$A$2:$AI$54,28,0)</f>
        <v>90</v>
      </c>
      <c r="AC34" s="63">
        <f>VLOOKUP(I34,'Feuerwaffen-Ressourcen'!$A$2:$AI$54,31,0)*AD34+AE34</f>
        <v>222.5</v>
      </c>
      <c r="AD34" s="64">
        <f>VLOOKUP(B34,'Feuerwaffen-Ressourcen'!$A$2:$AI$54,30,0)+VLOOKUP(C34,'Feuerwaffen-Ressourcen'!$A$2:$AI$54,30,0)+VLOOKUP(D34,'Feuerwaffen-Ressourcen'!$A$2:$AI$54,30,0)+VLOOKUP(F34,'Feuerwaffen-Ressourcen'!$A$2:$AI$54,30,0)+VLOOKUP(G34,'Feuerwaffen-Ressourcen'!$A$2:$AI$54,30,0)+VLOOKUP(I34,'Feuerwaffen-Ressourcen'!$A$2:$AI$54,30,0)+VLOOKUP(J34,'Feuerwaffen-Ressourcen'!$A$2:$AI$54,30,0)</f>
        <v>5.6999999999999993</v>
      </c>
      <c r="AE34" s="63">
        <f>(VLOOKUP(C34,'Feuerwaffen-Ressourcen'!$A$2:$AI$54,32,0)+VLOOKUP(I34,'Feuerwaffen-Ressourcen'!$A$2:$AI$54,32,0))*(VLOOKUP(B34,'Feuerwaffen-Ressourcen'!$A$2:$AI$54,34,0)+VLOOKUP(C34,'Feuerwaffen-Ressourcen'!$A$2:$AI$54,34,0)+VLOOKUP(D34,'Feuerwaffen-Ressourcen'!$A$2:$AI$54,34,0)+VLOOKUP(E34,'Feuerwaffen-Ressourcen'!$A$2:$AI$54,34,0)+VLOOKUP(G34,'Feuerwaffen-Ressourcen'!$A$2:$AI$54,34,0))+VLOOKUP(B34,'Feuerwaffen-Ressourcen'!$A$2:$AI$54,35,0)+VLOOKUP(C34,'Feuerwaffen-Ressourcen'!$A$2:$AI$54,35,0)+VLOOKUP(D34,'Feuerwaffen-Ressourcen'!$A$2:$AI$54,35,0)</f>
        <v>199.70000000000002</v>
      </c>
      <c r="AF34" s="65">
        <f>VLOOKUP(AB34,'Feuerwaffen-Ressourcen'!$AO$3:$AP$9,2,1)</f>
        <v>5</v>
      </c>
      <c r="AG34" s="65">
        <v>0</v>
      </c>
    </row>
    <row r="35" spans="1:33">
      <c r="A35" s="59" t="s">
        <v>7150</v>
      </c>
      <c r="B35" s="59" t="s">
        <v>1425</v>
      </c>
      <c r="C35" s="59" t="s">
        <v>7215</v>
      </c>
      <c r="D35" s="59" t="s">
        <v>7113</v>
      </c>
      <c r="E35" s="59" t="s">
        <v>6501</v>
      </c>
      <c r="F35" s="59" t="s">
        <v>7221</v>
      </c>
      <c r="G35" s="59" t="s">
        <v>7217</v>
      </c>
      <c r="H35" s="59" t="s">
        <v>6514</v>
      </c>
      <c r="I35" s="59" t="s">
        <v>5768</v>
      </c>
      <c r="J35" s="59" t="s">
        <v>5748</v>
      </c>
      <c r="K35" s="61">
        <f>VLOOKUP(B35,'Feuerwaffen-Ressourcen'!$A$2:$AI$54,11,0)+VLOOKUP(C35,'Feuerwaffen-Ressourcen'!$A$2:$AI$54,11,0)+VLOOKUP(D35,'Feuerwaffen-Ressourcen'!$A$2:$AI$54,11,0)+VLOOKUP(E35,'Feuerwaffen-Ressourcen'!$A$2:$AI$54,11,0)+VLOOKUP(G35,'Feuerwaffen-Ressourcen'!$A$2:$AI$54,11,0)</f>
        <v>6.1</v>
      </c>
      <c r="L35" s="60">
        <f>VLOOKUP(B35,'Feuerwaffen-Ressourcen'!$A$2:$AI$54,12,0)+VLOOKUP(C35,'Feuerwaffen-Ressourcen'!$A$2:$AI$54,12,0)+VLOOKUP(D35,'Feuerwaffen-Ressourcen'!$A$2:$AI$54,12,0)+VLOOKUP(J35,'Feuerwaffen-Ressourcen'!$A$2:$AI$54,12,0)</f>
        <v>11</v>
      </c>
      <c r="M35" s="60" t="str">
        <f>VLOOKUP(VLOOKUP(B35,'Feuerwaffen-Ressourcen'!$A$2:$AI$54,13,0)+VLOOKUP(C35,'Feuerwaffen-Ressourcen'!$A$2:$AI$54,13,0)+VLOOKUP(D35,'Feuerwaffen-Ressourcen'!$A$2:$AI$54,13,0),'Feuerwaffen-Ressourcen'!$AJ$3:$AK$12,2,0)</f>
        <v>W12</v>
      </c>
      <c r="N35" s="60" t="str">
        <f>VLOOKUP(VLOOKUP(B35,'Feuerwaffen-Ressourcen'!$A$2:$AI$54,14,0)+VLOOKUP(C35,'Feuerwaffen-Ressourcen'!$A$2:$AI$54,14,0)+VLOOKUP(D35,'Feuerwaffen-Ressourcen'!$A$2:$AI$54,14,0),'Feuerwaffen-Ressourcen'!$AJ$3:$AK$12,2,0)</f>
        <v>W10</v>
      </c>
      <c r="O35" s="60">
        <f>VLOOKUP(B35,'Feuerwaffen-Ressourcen'!$A$2:$AI$54,15,0)+VLOOKUP(C35,'Feuerwaffen-Ressourcen'!$A$2:$AI$54,15,0)+VLOOKUP(D35,'Feuerwaffen-Ressourcen'!$A$2:$AI$54,15,0)</f>
        <v>2</v>
      </c>
      <c r="P35" s="60">
        <f>VLOOKUP(B35,'Feuerwaffen-Ressourcen'!$A$2:$AI$54,16,0)+VLOOKUP(C35,'Feuerwaffen-Ressourcen'!$A$2:$AI$54,16,0)+VLOOKUP(D35,'Feuerwaffen-Ressourcen'!$A$2:$AI$54,16,0)+VLOOKUP(E35,'Feuerwaffen-Ressourcen'!$A$2:$AI$54,16,0)</f>
        <v>17</v>
      </c>
      <c r="Q35" s="62">
        <f>VLOOKUP(B35,'Feuerwaffen-Ressourcen'!$A$2:$AI$54,17,0)+VLOOKUP(C35,'Feuerwaffen-Ressourcen'!$A$2:$AI$54,17,0)+VLOOKUP(D35,'Feuerwaffen-Ressourcen'!$A$2:$AI$54,17,0)+VLOOKUP(E35,'Feuerwaffen-Ressourcen'!$A$2:$AI$54,17,0)</f>
        <v>18</v>
      </c>
      <c r="R35" s="60">
        <f>VLOOKUP(B35,'Feuerwaffen-Ressourcen'!$A$2:$AI$54,18,0)+VLOOKUP(C35,'Feuerwaffen-Ressourcen'!$A$2:$AI$54,18,0)+VLOOKUP(D35,'Feuerwaffen-Ressourcen'!$A$2:$AI$54,18,0)+VLOOKUP(F35,'Feuerwaffen-Ressourcen'!$A$2:$AI$54,18,0)+VLOOKUP(G35,'Feuerwaffen-Ressourcen'!$A$2:$AI$54,18,0)+VLOOKUP(I35,'Feuerwaffen-Ressourcen'!$A$2:$AI$54,18,0)+VLOOKUP(J35,'Feuerwaffen-Ressourcen'!$A$2:$AI$54,18,0)</f>
        <v>-2</v>
      </c>
      <c r="S35" s="60">
        <f>VLOOKUP(B35,'Feuerwaffen-Ressourcen'!$A$2:$AI$54,19,0)+VLOOKUP(C35,'Feuerwaffen-Ressourcen'!$A$2:$AI$54,19,0)+VLOOKUP(D35,'Feuerwaffen-Ressourcen'!$A$2:$AI$54,19,0)+VLOOKUP(F35,'Feuerwaffen-Ressourcen'!$A$2:$AI$54,19,0)+VLOOKUP(G35,'Feuerwaffen-Ressourcen'!$A$2:$AI$54,19,0)+VLOOKUP(I35,'Feuerwaffen-Ressourcen'!$A$2:$AI$54,19,0)+VLOOKUP(J35,'Feuerwaffen-Ressourcen'!$A$2:$AI$54,19,0)</f>
        <v>-5</v>
      </c>
      <c r="T35" s="60">
        <f>VLOOKUP(B35,'Feuerwaffen-Ressourcen'!$A$2:$AI$54,20,0)+VLOOKUP(C35,'Feuerwaffen-Ressourcen'!$A$2:$AI$54,20,0)+VLOOKUP(D35,'Feuerwaffen-Ressourcen'!$A$2:$AI$54,20,0)+VLOOKUP(F35,'Feuerwaffen-Ressourcen'!$A$2:$AI$54,20,0)+VLOOKUP(G35,'Feuerwaffen-Ressourcen'!$A$2:$AI$54,20,0)+VLOOKUP(I35,'Feuerwaffen-Ressourcen'!$A$2:$AI$54,20,0)+VLOOKUP(J35,'Feuerwaffen-Ressourcen'!$A$2:$AI$54,20,0)</f>
        <v>-8</v>
      </c>
      <c r="U35" s="60">
        <f>VLOOKUP(B35,'Feuerwaffen-Ressourcen'!$A$2:$AI$54,21,0)+VLOOKUP(C35,'Feuerwaffen-Ressourcen'!$A$2:$AI$54,21,0)+VLOOKUP(D35,'Feuerwaffen-Ressourcen'!$A$2:$AI$54,21,0)+VLOOKUP(F35,'Feuerwaffen-Ressourcen'!$A$2:$AI$54,21,0)+VLOOKUP(G35,'Feuerwaffen-Ressourcen'!$A$2:$AI$54,21,0)+VLOOKUP(I35,'Feuerwaffen-Ressourcen'!$A$2:$AI$54,21,0)+VLOOKUP(J35,'Feuerwaffen-Ressourcen'!$A$2:$AI$54,21,0)</f>
        <v>-15</v>
      </c>
      <c r="V35" s="60">
        <f>VLOOKUP(B35,'Feuerwaffen-Ressourcen'!$A$2:$AI$54,22,0)+VLOOKUP(C35,'Feuerwaffen-Ressourcen'!$A$2:$AI$54,22,0)+VLOOKUP(D35,'Feuerwaffen-Ressourcen'!$A$2:$AI$54,22,0)+VLOOKUP(F35,'Feuerwaffen-Ressourcen'!$A$2:$AI$54,22,0)+VLOOKUP(G35,'Feuerwaffen-Ressourcen'!$A$2:$AI$54,22,0)+VLOOKUP(I35,'Feuerwaffen-Ressourcen'!$A$2:$AI$54,22,0)+VLOOKUP(J35,'Feuerwaffen-Ressourcen'!$A$2:$AI$54,22,0)</f>
        <v>-22</v>
      </c>
      <c r="W35" s="60">
        <f>VLOOKUP(B35,'Feuerwaffen-Ressourcen'!$A$2:$AI$54,23,0)+VLOOKUP(C35,'Feuerwaffen-Ressourcen'!$A$2:$AI$54,23,0)+VLOOKUP(D35,'Feuerwaffen-Ressourcen'!$A$2:$AI$54,23,0)+VLOOKUP(F35,'Feuerwaffen-Ressourcen'!$A$2:$AI$54,23,0)+VLOOKUP(G35,'Feuerwaffen-Ressourcen'!$A$2:$AI$54,23,0)+VLOOKUP(I35,'Feuerwaffen-Ressourcen'!$A$2:$AI$54,23,0)+VLOOKUP(J35,'Feuerwaffen-Ressourcen'!$A$2:$AI$54,23,0)</f>
        <v>-30</v>
      </c>
      <c r="X35" s="60">
        <f>VLOOKUP(B35,'Feuerwaffen-Ressourcen'!$A$2:$AI$54,24,0)+VLOOKUP(C35,'Feuerwaffen-Ressourcen'!$A$2:$AI$54,24,0)+VLOOKUP(D35,'Feuerwaffen-Ressourcen'!$A$2:$AI$54,24,0)+VLOOKUP(G35,'Feuerwaffen-Ressourcen'!$A$2:$AI$54,24,0)</f>
        <v>60</v>
      </c>
      <c r="Y35" s="60">
        <f>VLOOKUP(D35,'Feuerwaffen-Ressourcen'!$A$2:$AI$54,25,0)+VLOOKUP(E35,'Feuerwaffen-Ressourcen'!$A$2:$AI$54,25,0)+VLOOKUP(F35,'Feuerwaffen-Ressourcen'!$A$2:$AI$54,25,0)</f>
        <v>38</v>
      </c>
      <c r="Z35" s="60">
        <f>VLOOKUP(E35,'Feuerwaffen-Ressourcen'!$A$2:$AI$54,26,0)</f>
        <v>3</v>
      </c>
      <c r="AA35" s="60">
        <f>VLOOKUP(B35,'Feuerwaffen-Ressourcen'!$A$2:$AI$54,27,0)+VLOOKUP(D35,'Feuerwaffen-Ressourcen'!$A$2:$AI$54,27,0)+VLOOKUP(F35,'Feuerwaffen-Ressourcen'!$A$2:$AI$54,27,0)+VLOOKUP(I35,'Feuerwaffen-Ressourcen'!$A$2:$AI$54,27,0)</f>
        <v>4</v>
      </c>
      <c r="AB35" s="60">
        <f>VLOOKUP(B35,'Feuerwaffen-Ressourcen'!$A$2:$AI$54,28,0)+VLOOKUP(C35,'Feuerwaffen-Ressourcen'!$A$2:$AI$54,28,0)+VLOOKUP(D35,'Feuerwaffen-Ressourcen'!$A$2:$AI$54,28,0)+VLOOKUP(E35,'Feuerwaffen-Ressourcen'!$A$2:$AI$54,28,0)+VLOOKUP(F35,'Feuerwaffen-Ressourcen'!$A$2:$AI$54,28,0)+VLOOKUP(G35,'Feuerwaffen-Ressourcen'!$A$2:$AI$54,28,0)+VLOOKUP(I35,'Feuerwaffen-Ressourcen'!$A$2:$AI$54,28,0)+VLOOKUP(J35,'Feuerwaffen-Ressourcen'!$A$2:$AI$54,28,0)</f>
        <v>115</v>
      </c>
      <c r="AC35" s="63">
        <f>VLOOKUP(I35,'Feuerwaffen-Ressourcen'!$A$2:$AI$54,31,0)*AD35+AE35</f>
        <v>546.49999999999989</v>
      </c>
      <c r="AD35" s="64">
        <f>VLOOKUP(B35,'Feuerwaffen-Ressourcen'!$A$2:$AI$54,30,0)+VLOOKUP(C35,'Feuerwaffen-Ressourcen'!$A$2:$AI$54,30,0)+VLOOKUP(D35,'Feuerwaffen-Ressourcen'!$A$2:$AI$54,30,0)+VLOOKUP(F35,'Feuerwaffen-Ressourcen'!$A$2:$AI$54,30,0)+VLOOKUP(G35,'Feuerwaffen-Ressourcen'!$A$2:$AI$54,30,0)+VLOOKUP(I35,'Feuerwaffen-Ressourcen'!$A$2:$AI$54,30,0)+VLOOKUP(J35,'Feuerwaffen-Ressourcen'!$A$2:$AI$54,30,0)</f>
        <v>4.2</v>
      </c>
      <c r="AE35" s="63">
        <f>(VLOOKUP(C35,'Feuerwaffen-Ressourcen'!$A$2:$AI$54,32,0)+VLOOKUP(I35,'Feuerwaffen-Ressourcen'!$A$2:$AI$54,32,0))*(VLOOKUP(B35,'Feuerwaffen-Ressourcen'!$A$2:$AI$54,34,0)+VLOOKUP(C35,'Feuerwaffen-Ressourcen'!$A$2:$AI$54,34,0)+VLOOKUP(D35,'Feuerwaffen-Ressourcen'!$A$2:$AI$54,34,0)+VLOOKUP(E35,'Feuerwaffen-Ressourcen'!$A$2:$AI$54,34,0)+VLOOKUP(G35,'Feuerwaffen-Ressourcen'!$A$2:$AI$54,34,0))+VLOOKUP(B35,'Feuerwaffen-Ressourcen'!$A$2:$AI$54,35,0)+VLOOKUP(C35,'Feuerwaffen-Ressourcen'!$A$2:$AI$54,35,0)+VLOOKUP(D35,'Feuerwaffen-Ressourcen'!$A$2:$AI$54,35,0)</f>
        <v>529.69999999999993</v>
      </c>
      <c r="AF35" s="65">
        <f>VLOOKUP(AB35,'Feuerwaffen-Ressourcen'!$AO$3:$AP$9,2,1)</f>
        <v>4</v>
      </c>
      <c r="AG35" s="65">
        <v>0</v>
      </c>
    </row>
    <row r="36" spans="1:33">
      <c r="A36" s="59" t="s">
        <v>7151</v>
      </c>
      <c r="B36" s="59" t="s">
        <v>1425</v>
      </c>
      <c r="C36" s="59" t="s">
        <v>7215</v>
      </c>
      <c r="D36" s="59" t="s">
        <v>7218</v>
      </c>
      <c r="E36" s="59" t="s">
        <v>7141</v>
      </c>
      <c r="F36" s="59" t="s">
        <v>7224</v>
      </c>
      <c r="G36" s="59" t="s">
        <v>7225</v>
      </c>
      <c r="H36" s="59" t="s">
        <v>7124</v>
      </c>
      <c r="I36" s="59" t="s">
        <v>5768</v>
      </c>
      <c r="J36" s="59" t="s">
        <v>5748</v>
      </c>
      <c r="K36" s="61">
        <f>VLOOKUP(B36,'Feuerwaffen-Ressourcen'!$A$2:$AI$54,11,0)+VLOOKUP(C36,'Feuerwaffen-Ressourcen'!$A$2:$AI$54,11,0)+VLOOKUP(D36,'Feuerwaffen-Ressourcen'!$A$2:$AI$54,11,0)+VLOOKUP(E36,'Feuerwaffen-Ressourcen'!$A$2:$AI$54,11,0)+VLOOKUP(G36,'Feuerwaffen-Ressourcen'!$A$2:$AI$54,11,0)</f>
        <v>4.3499999999999996</v>
      </c>
      <c r="L36" s="60">
        <f>VLOOKUP(B36,'Feuerwaffen-Ressourcen'!$A$2:$AI$54,12,0)+VLOOKUP(C36,'Feuerwaffen-Ressourcen'!$A$2:$AI$54,12,0)+VLOOKUP(D36,'Feuerwaffen-Ressourcen'!$A$2:$AI$54,12,0)+VLOOKUP(J36,'Feuerwaffen-Ressourcen'!$A$2:$AI$54,12,0)</f>
        <v>9</v>
      </c>
      <c r="M36" s="60" t="str">
        <f>VLOOKUP(VLOOKUP(B36,'Feuerwaffen-Ressourcen'!$A$2:$AI$54,13,0)+VLOOKUP(C36,'Feuerwaffen-Ressourcen'!$A$2:$AI$54,13,0)+VLOOKUP(D36,'Feuerwaffen-Ressourcen'!$A$2:$AI$54,13,0),'Feuerwaffen-Ressourcen'!$AJ$3:$AK$12,2,0)</f>
        <v>W10</v>
      </c>
      <c r="N36" s="60" t="str">
        <f>VLOOKUP(VLOOKUP(B36,'Feuerwaffen-Ressourcen'!$A$2:$AI$54,14,0)+VLOOKUP(C36,'Feuerwaffen-Ressourcen'!$A$2:$AI$54,14,0)+VLOOKUP(D36,'Feuerwaffen-Ressourcen'!$A$2:$AI$54,14,0),'Feuerwaffen-Ressourcen'!$AJ$3:$AK$12,2,0)</f>
        <v>W10</v>
      </c>
      <c r="O36" s="60">
        <f>VLOOKUP(B36,'Feuerwaffen-Ressourcen'!$A$2:$AI$54,15,0)+VLOOKUP(C36,'Feuerwaffen-Ressourcen'!$A$2:$AI$54,15,0)+VLOOKUP(D36,'Feuerwaffen-Ressourcen'!$A$2:$AI$54,15,0)</f>
        <v>2</v>
      </c>
      <c r="P36" s="60">
        <f>VLOOKUP(B36,'Feuerwaffen-Ressourcen'!$A$2:$AI$54,16,0)+VLOOKUP(C36,'Feuerwaffen-Ressourcen'!$A$2:$AI$54,16,0)+VLOOKUP(D36,'Feuerwaffen-Ressourcen'!$A$2:$AI$54,16,0)+VLOOKUP(E36,'Feuerwaffen-Ressourcen'!$A$2:$AI$54,16,0)</f>
        <v>21</v>
      </c>
      <c r="Q36" s="62">
        <f>VLOOKUP(B36,'Feuerwaffen-Ressourcen'!$A$2:$AI$54,17,0)+VLOOKUP(C36,'Feuerwaffen-Ressourcen'!$A$2:$AI$54,17,0)+VLOOKUP(D36,'Feuerwaffen-Ressourcen'!$A$2:$AI$54,17,0)+VLOOKUP(E36,'Feuerwaffen-Ressourcen'!$A$2:$AI$54,17,0)</f>
        <v>11</v>
      </c>
      <c r="R36" s="60">
        <f>VLOOKUP(B36,'Feuerwaffen-Ressourcen'!$A$2:$AI$54,18,0)+VLOOKUP(C36,'Feuerwaffen-Ressourcen'!$A$2:$AI$54,18,0)+VLOOKUP(D36,'Feuerwaffen-Ressourcen'!$A$2:$AI$54,18,0)+VLOOKUP(F36,'Feuerwaffen-Ressourcen'!$A$2:$AI$54,18,0)+VLOOKUP(G36,'Feuerwaffen-Ressourcen'!$A$2:$AI$54,18,0)+VLOOKUP(I36,'Feuerwaffen-Ressourcen'!$A$2:$AI$54,18,0)+VLOOKUP(J36,'Feuerwaffen-Ressourcen'!$A$2:$AI$54,18,0)</f>
        <v>4</v>
      </c>
      <c r="S36" s="60">
        <f>VLOOKUP(B36,'Feuerwaffen-Ressourcen'!$A$2:$AI$54,19,0)+VLOOKUP(C36,'Feuerwaffen-Ressourcen'!$A$2:$AI$54,19,0)+VLOOKUP(D36,'Feuerwaffen-Ressourcen'!$A$2:$AI$54,19,0)+VLOOKUP(F36,'Feuerwaffen-Ressourcen'!$A$2:$AI$54,19,0)+VLOOKUP(G36,'Feuerwaffen-Ressourcen'!$A$2:$AI$54,19,0)+VLOOKUP(I36,'Feuerwaffen-Ressourcen'!$A$2:$AI$54,19,0)+VLOOKUP(J36,'Feuerwaffen-Ressourcen'!$A$2:$AI$54,19,0)</f>
        <v>1</v>
      </c>
      <c r="T36" s="60">
        <f>VLOOKUP(B36,'Feuerwaffen-Ressourcen'!$A$2:$AI$54,20,0)+VLOOKUP(C36,'Feuerwaffen-Ressourcen'!$A$2:$AI$54,20,0)+VLOOKUP(D36,'Feuerwaffen-Ressourcen'!$A$2:$AI$54,20,0)+VLOOKUP(F36,'Feuerwaffen-Ressourcen'!$A$2:$AI$54,20,0)+VLOOKUP(G36,'Feuerwaffen-Ressourcen'!$A$2:$AI$54,20,0)+VLOOKUP(I36,'Feuerwaffen-Ressourcen'!$A$2:$AI$54,20,0)+VLOOKUP(J36,'Feuerwaffen-Ressourcen'!$A$2:$AI$54,20,0)</f>
        <v>-3</v>
      </c>
      <c r="U36" s="60">
        <f>VLOOKUP(B36,'Feuerwaffen-Ressourcen'!$A$2:$AI$54,21,0)+VLOOKUP(C36,'Feuerwaffen-Ressourcen'!$A$2:$AI$54,21,0)+VLOOKUP(D36,'Feuerwaffen-Ressourcen'!$A$2:$AI$54,21,0)+VLOOKUP(F36,'Feuerwaffen-Ressourcen'!$A$2:$AI$54,21,0)+VLOOKUP(G36,'Feuerwaffen-Ressourcen'!$A$2:$AI$54,21,0)+VLOOKUP(I36,'Feuerwaffen-Ressourcen'!$A$2:$AI$54,21,0)+VLOOKUP(J36,'Feuerwaffen-Ressourcen'!$A$2:$AI$54,21,0)</f>
        <v>-11</v>
      </c>
      <c r="V36" s="60">
        <f>VLOOKUP(B36,'Feuerwaffen-Ressourcen'!$A$2:$AI$54,22,0)+VLOOKUP(C36,'Feuerwaffen-Ressourcen'!$A$2:$AI$54,22,0)+VLOOKUP(D36,'Feuerwaffen-Ressourcen'!$A$2:$AI$54,22,0)+VLOOKUP(F36,'Feuerwaffen-Ressourcen'!$A$2:$AI$54,22,0)+VLOOKUP(G36,'Feuerwaffen-Ressourcen'!$A$2:$AI$54,22,0)+VLOOKUP(I36,'Feuerwaffen-Ressourcen'!$A$2:$AI$54,22,0)+VLOOKUP(J36,'Feuerwaffen-Ressourcen'!$A$2:$AI$54,22,0)</f>
        <v>-19</v>
      </c>
      <c r="W36" s="60">
        <f>VLOOKUP(B36,'Feuerwaffen-Ressourcen'!$A$2:$AI$54,23,0)+VLOOKUP(C36,'Feuerwaffen-Ressourcen'!$A$2:$AI$54,23,0)+VLOOKUP(D36,'Feuerwaffen-Ressourcen'!$A$2:$AI$54,23,0)+VLOOKUP(F36,'Feuerwaffen-Ressourcen'!$A$2:$AI$54,23,0)+VLOOKUP(G36,'Feuerwaffen-Ressourcen'!$A$2:$AI$54,23,0)+VLOOKUP(I36,'Feuerwaffen-Ressourcen'!$A$2:$AI$54,23,0)+VLOOKUP(J36,'Feuerwaffen-Ressourcen'!$A$2:$AI$54,23,0)</f>
        <v>-27</v>
      </c>
      <c r="X36" s="60">
        <f>VLOOKUP(B36,'Feuerwaffen-Ressourcen'!$A$2:$AI$54,24,0)+VLOOKUP(C36,'Feuerwaffen-Ressourcen'!$A$2:$AI$54,24,0)+VLOOKUP(D36,'Feuerwaffen-Ressourcen'!$A$2:$AI$54,24,0)+VLOOKUP(G36,'Feuerwaffen-Ressourcen'!$A$2:$AI$54,24,0)</f>
        <v>90</v>
      </c>
      <c r="Y36" s="60">
        <f>VLOOKUP(D36,'Feuerwaffen-Ressourcen'!$A$2:$AI$54,25,0)+VLOOKUP(E36,'Feuerwaffen-Ressourcen'!$A$2:$AI$54,25,0)+VLOOKUP(F36,'Feuerwaffen-Ressourcen'!$A$2:$AI$54,25,0)</f>
        <v>10</v>
      </c>
      <c r="Z36" s="60">
        <f>VLOOKUP(E36,'Feuerwaffen-Ressourcen'!$A$2:$AI$54,26,0)</f>
        <v>6</v>
      </c>
      <c r="AA36" s="60">
        <f>VLOOKUP(B36,'Feuerwaffen-Ressourcen'!$A$2:$AI$54,27,0)+VLOOKUP(D36,'Feuerwaffen-Ressourcen'!$A$2:$AI$54,27,0)+VLOOKUP(F36,'Feuerwaffen-Ressourcen'!$A$2:$AI$54,27,0)+VLOOKUP(I36,'Feuerwaffen-Ressourcen'!$A$2:$AI$54,27,0)</f>
        <v>1</v>
      </c>
      <c r="AB36" s="60">
        <f>VLOOKUP(B36,'Feuerwaffen-Ressourcen'!$A$2:$AI$54,28,0)+VLOOKUP(C36,'Feuerwaffen-Ressourcen'!$A$2:$AI$54,28,0)+VLOOKUP(D36,'Feuerwaffen-Ressourcen'!$A$2:$AI$54,28,0)+VLOOKUP(E36,'Feuerwaffen-Ressourcen'!$A$2:$AI$54,28,0)+VLOOKUP(F36,'Feuerwaffen-Ressourcen'!$A$2:$AI$54,28,0)+VLOOKUP(G36,'Feuerwaffen-Ressourcen'!$A$2:$AI$54,28,0)+VLOOKUP(I36,'Feuerwaffen-Ressourcen'!$A$2:$AI$54,28,0)+VLOOKUP(J36,'Feuerwaffen-Ressourcen'!$A$2:$AI$54,28,0)</f>
        <v>70</v>
      </c>
      <c r="AC36" s="63">
        <f>VLOOKUP(I36,'Feuerwaffen-Ressourcen'!$A$2:$AI$54,31,0)*AD36+AE36</f>
        <v>346.5</v>
      </c>
      <c r="AD36" s="64">
        <f>VLOOKUP(B36,'Feuerwaffen-Ressourcen'!$A$2:$AI$54,30,0)+VLOOKUP(C36,'Feuerwaffen-Ressourcen'!$A$2:$AI$54,30,0)+VLOOKUP(D36,'Feuerwaffen-Ressourcen'!$A$2:$AI$54,30,0)+VLOOKUP(F36,'Feuerwaffen-Ressourcen'!$A$2:$AI$54,30,0)+VLOOKUP(G36,'Feuerwaffen-Ressourcen'!$A$2:$AI$54,30,0)+VLOOKUP(I36,'Feuerwaffen-Ressourcen'!$A$2:$AI$54,30,0)+VLOOKUP(J36,'Feuerwaffen-Ressourcen'!$A$2:$AI$54,30,0)</f>
        <v>6.6999999999999993</v>
      </c>
      <c r="AE36" s="63">
        <f>(VLOOKUP(C36,'Feuerwaffen-Ressourcen'!$A$2:$AI$54,32,0)+VLOOKUP(I36,'Feuerwaffen-Ressourcen'!$A$2:$AI$54,32,0))*(VLOOKUP(B36,'Feuerwaffen-Ressourcen'!$A$2:$AI$54,34,0)+VLOOKUP(C36,'Feuerwaffen-Ressourcen'!$A$2:$AI$54,34,0)+VLOOKUP(D36,'Feuerwaffen-Ressourcen'!$A$2:$AI$54,34,0)+VLOOKUP(E36,'Feuerwaffen-Ressourcen'!$A$2:$AI$54,34,0)+VLOOKUP(G36,'Feuerwaffen-Ressourcen'!$A$2:$AI$54,34,0))+VLOOKUP(B36,'Feuerwaffen-Ressourcen'!$A$2:$AI$54,35,0)+VLOOKUP(C36,'Feuerwaffen-Ressourcen'!$A$2:$AI$54,35,0)+VLOOKUP(D36,'Feuerwaffen-Ressourcen'!$A$2:$AI$54,35,0)</f>
        <v>319.7</v>
      </c>
      <c r="AF36" s="65">
        <f>VLOOKUP(AB36,'Feuerwaffen-Ressourcen'!$AO$3:$AP$9,2,1)</f>
        <v>6</v>
      </c>
      <c r="AG36" s="65">
        <v>0</v>
      </c>
    </row>
    <row r="37" spans="1:33">
      <c r="A37" s="59" t="s">
        <v>7152</v>
      </c>
      <c r="B37" s="59" t="s">
        <v>1425</v>
      </c>
      <c r="C37" s="59" t="s">
        <v>7215</v>
      </c>
      <c r="D37" s="59" t="s">
        <v>7228</v>
      </c>
      <c r="E37" s="59" t="s">
        <v>7123</v>
      </c>
      <c r="F37" s="59" t="s">
        <v>7224</v>
      </c>
      <c r="G37" s="59" t="s">
        <v>7225</v>
      </c>
      <c r="H37" s="59" t="s">
        <v>7124</v>
      </c>
      <c r="I37" s="59" t="s">
        <v>5768</v>
      </c>
      <c r="J37" s="59" t="s">
        <v>5748</v>
      </c>
      <c r="K37" s="61">
        <f>VLOOKUP(B37,'Feuerwaffen-Ressourcen'!$A$2:$AI$54,11,0)+VLOOKUP(C37,'Feuerwaffen-Ressourcen'!$A$2:$AI$54,11,0)+VLOOKUP(D37,'Feuerwaffen-Ressourcen'!$A$2:$AI$54,11,0)+VLOOKUP(E37,'Feuerwaffen-Ressourcen'!$A$2:$AI$54,11,0)+VLOOKUP(G37,'Feuerwaffen-Ressourcen'!$A$2:$AI$54,11,0)</f>
        <v>3.3499999999999996</v>
      </c>
      <c r="L37" s="60">
        <f>VLOOKUP(B37,'Feuerwaffen-Ressourcen'!$A$2:$AI$54,12,0)+VLOOKUP(C37,'Feuerwaffen-Ressourcen'!$A$2:$AI$54,12,0)+VLOOKUP(D37,'Feuerwaffen-Ressourcen'!$A$2:$AI$54,12,0)+VLOOKUP(J37,'Feuerwaffen-Ressourcen'!$A$2:$AI$54,12,0)</f>
        <v>7</v>
      </c>
      <c r="M37" s="60" t="str">
        <f>VLOOKUP(VLOOKUP(B37,'Feuerwaffen-Ressourcen'!$A$2:$AI$54,13,0)+VLOOKUP(C37,'Feuerwaffen-Ressourcen'!$A$2:$AI$54,13,0)+VLOOKUP(D37,'Feuerwaffen-Ressourcen'!$A$2:$AI$54,13,0),'Feuerwaffen-Ressourcen'!$AJ$3:$AK$12,2,0)</f>
        <v>W8</v>
      </c>
      <c r="N37" s="60" t="str">
        <f>VLOOKUP(VLOOKUP(B37,'Feuerwaffen-Ressourcen'!$A$2:$AI$54,14,0)+VLOOKUP(C37,'Feuerwaffen-Ressourcen'!$A$2:$AI$54,14,0)+VLOOKUP(D37,'Feuerwaffen-Ressourcen'!$A$2:$AI$54,14,0),'Feuerwaffen-Ressourcen'!$AJ$3:$AK$12,2,0)</f>
        <v>W8</v>
      </c>
      <c r="O37" s="60">
        <f>VLOOKUP(B37,'Feuerwaffen-Ressourcen'!$A$2:$AI$54,15,0)+VLOOKUP(C37,'Feuerwaffen-Ressourcen'!$A$2:$AI$54,15,0)+VLOOKUP(D37,'Feuerwaffen-Ressourcen'!$A$2:$AI$54,15,0)</f>
        <v>2</v>
      </c>
      <c r="P37" s="60">
        <f>VLOOKUP(B37,'Feuerwaffen-Ressourcen'!$A$2:$AI$54,16,0)+VLOOKUP(C37,'Feuerwaffen-Ressourcen'!$A$2:$AI$54,16,0)+VLOOKUP(D37,'Feuerwaffen-Ressourcen'!$A$2:$AI$54,16,0)+VLOOKUP(E37,'Feuerwaffen-Ressourcen'!$A$2:$AI$54,16,0)</f>
        <v>20</v>
      </c>
      <c r="Q37" s="62">
        <f>VLOOKUP(B37,'Feuerwaffen-Ressourcen'!$A$2:$AI$54,17,0)+VLOOKUP(C37,'Feuerwaffen-Ressourcen'!$A$2:$AI$54,17,0)+VLOOKUP(D37,'Feuerwaffen-Ressourcen'!$A$2:$AI$54,17,0)+VLOOKUP(E37,'Feuerwaffen-Ressourcen'!$A$2:$AI$54,17,0)</f>
        <v>10</v>
      </c>
      <c r="R37" s="60">
        <f>VLOOKUP(B37,'Feuerwaffen-Ressourcen'!$A$2:$AI$54,18,0)+VLOOKUP(C37,'Feuerwaffen-Ressourcen'!$A$2:$AI$54,18,0)+VLOOKUP(D37,'Feuerwaffen-Ressourcen'!$A$2:$AI$54,18,0)+VLOOKUP(F37,'Feuerwaffen-Ressourcen'!$A$2:$AI$54,18,0)+VLOOKUP(G37,'Feuerwaffen-Ressourcen'!$A$2:$AI$54,18,0)+VLOOKUP(I37,'Feuerwaffen-Ressourcen'!$A$2:$AI$54,18,0)+VLOOKUP(J37,'Feuerwaffen-Ressourcen'!$A$2:$AI$54,18,0)</f>
        <v>5</v>
      </c>
      <c r="S37" s="60">
        <f>VLOOKUP(B37,'Feuerwaffen-Ressourcen'!$A$2:$AI$54,19,0)+VLOOKUP(C37,'Feuerwaffen-Ressourcen'!$A$2:$AI$54,19,0)+VLOOKUP(D37,'Feuerwaffen-Ressourcen'!$A$2:$AI$54,19,0)+VLOOKUP(F37,'Feuerwaffen-Ressourcen'!$A$2:$AI$54,19,0)+VLOOKUP(G37,'Feuerwaffen-Ressourcen'!$A$2:$AI$54,19,0)+VLOOKUP(I37,'Feuerwaffen-Ressourcen'!$A$2:$AI$54,19,0)+VLOOKUP(J37,'Feuerwaffen-Ressourcen'!$A$2:$AI$54,19,0)</f>
        <v>2</v>
      </c>
      <c r="T37" s="60">
        <f>VLOOKUP(B37,'Feuerwaffen-Ressourcen'!$A$2:$AI$54,20,0)+VLOOKUP(C37,'Feuerwaffen-Ressourcen'!$A$2:$AI$54,20,0)+VLOOKUP(D37,'Feuerwaffen-Ressourcen'!$A$2:$AI$54,20,0)+VLOOKUP(F37,'Feuerwaffen-Ressourcen'!$A$2:$AI$54,20,0)+VLOOKUP(G37,'Feuerwaffen-Ressourcen'!$A$2:$AI$54,20,0)+VLOOKUP(I37,'Feuerwaffen-Ressourcen'!$A$2:$AI$54,20,0)+VLOOKUP(J37,'Feuerwaffen-Ressourcen'!$A$2:$AI$54,20,0)</f>
        <v>-2</v>
      </c>
      <c r="U37" s="60">
        <f>VLOOKUP(B37,'Feuerwaffen-Ressourcen'!$A$2:$AI$54,21,0)+VLOOKUP(C37,'Feuerwaffen-Ressourcen'!$A$2:$AI$54,21,0)+VLOOKUP(D37,'Feuerwaffen-Ressourcen'!$A$2:$AI$54,21,0)+VLOOKUP(F37,'Feuerwaffen-Ressourcen'!$A$2:$AI$54,21,0)+VLOOKUP(G37,'Feuerwaffen-Ressourcen'!$A$2:$AI$54,21,0)+VLOOKUP(I37,'Feuerwaffen-Ressourcen'!$A$2:$AI$54,21,0)+VLOOKUP(J37,'Feuerwaffen-Ressourcen'!$A$2:$AI$54,21,0)</f>
        <v>-9</v>
      </c>
      <c r="V37" s="60">
        <f>VLOOKUP(B37,'Feuerwaffen-Ressourcen'!$A$2:$AI$54,22,0)+VLOOKUP(C37,'Feuerwaffen-Ressourcen'!$A$2:$AI$54,22,0)+VLOOKUP(D37,'Feuerwaffen-Ressourcen'!$A$2:$AI$54,22,0)+VLOOKUP(F37,'Feuerwaffen-Ressourcen'!$A$2:$AI$54,22,0)+VLOOKUP(G37,'Feuerwaffen-Ressourcen'!$A$2:$AI$54,22,0)+VLOOKUP(I37,'Feuerwaffen-Ressourcen'!$A$2:$AI$54,22,0)+VLOOKUP(J37,'Feuerwaffen-Ressourcen'!$A$2:$AI$54,22,0)</f>
        <v>-16</v>
      </c>
      <c r="W37" s="60">
        <f>VLOOKUP(B37,'Feuerwaffen-Ressourcen'!$A$2:$AI$54,23,0)+VLOOKUP(C37,'Feuerwaffen-Ressourcen'!$A$2:$AI$54,23,0)+VLOOKUP(D37,'Feuerwaffen-Ressourcen'!$A$2:$AI$54,23,0)+VLOOKUP(F37,'Feuerwaffen-Ressourcen'!$A$2:$AI$54,23,0)+VLOOKUP(G37,'Feuerwaffen-Ressourcen'!$A$2:$AI$54,23,0)+VLOOKUP(I37,'Feuerwaffen-Ressourcen'!$A$2:$AI$54,23,0)+VLOOKUP(J37,'Feuerwaffen-Ressourcen'!$A$2:$AI$54,23,0)</f>
        <v>-23</v>
      </c>
      <c r="X37" s="60">
        <f>VLOOKUP(B37,'Feuerwaffen-Ressourcen'!$A$2:$AI$54,24,0)+VLOOKUP(C37,'Feuerwaffen-Ressourcen'!$A$2:$AI$54,24,0)+VLOOKUP(D37,'Feuerwaffen-Ressourcen'!$A$2:$AI$54,24,0)+VLOOKUP(G37,'Feuerwaffen-Ressourcen'!$A$2:$AI$54,24,0)</f>
        <v>80</v>
      </c>
      <c r="Y37" s="60">
        <f>VLOOKUP(D37,'Feuerwaffen-Ressourcen'!$A$2:$AI$54,25,0)+VLOOKUP(E37,'Feuerwaffen-Ressourcen'!$A$2:$AI$54,25,0)+VLOOKUP(F37,'Feuerwaffen-Ressourcen'!$A$2:$AI$54,25,0)</f>
        <v>9</v>
      </c>
      <c r="Z37" s="60">
        <f>VLOOKUP(E37,'Feuerwaffen-Ressourcen'!$A$2:$AI$54,26,0)</f>
        <v>6</v>
      </c>
      <c r="AA37" s="60">
        <f>VLOOKUP(B37,'Feuerwaffen-Ressourcen'!$A$2:$AI$54,27,0)+VLOOKUP(D37,'Feuerwaffen-Ressourcen'!$A$2:$AI$54,27,0)+VLOOKUP(F37,'Feuerwaffen-Ressourcen'!$A$2:$AI$54,27,0)+VLOOKUP(I37,'Feuerwaffen-Ressourcen'!$A$2:$AI$54,27,0)</f>
        <v>1</v>
      </c>
      <c r="AB37" s="60">
        <f>VLOOKUP(B37,'Feuerwaffen-Ressourcen'!$A$2:$AI$54,28,0)+VLOOKUP(C37,'Feuerwaffen-Ressourcen'!$A$2:$AI$54,28,0)+VLOOKUP(D37,'Feuerwaffen-Ressourcen'!$A$2:$AI$54,28,0)+VLOOKUP(E37,'Feuerwaffen-Ressourcen'!$A$2:$AI$54,28,0)+VLOOKUP(F37,'Feuerwaffen-Ressourcen'!$A$2:$AI$54,28,0)+VLOOKUP(G37,'Feuerwaffen-Ressourcen'!$A$2:$AI$54,28,0)+VLOOKUP(I37,'Feuerwaffen-Ressourcen'!$A$2:$AI$54,28,0)+VLOOKUP(J37,'Feuerwaffen-Ressourcen'!$A$2:$AI$54,28,0)</f>
        <v>75</v>
      </c>
      <c r="AC37" s="63">
        <f>VLOOKUP(I37,'Feuerwaffen-Ressourcen'!$A$2:$AI$54,31,0)*AD37+AE37</f>
        <v>230.5</v>
      </c>
      <c r="AD37" s="64">
        <f>VLOOKUP(B37,'Feuerwaffen-Ressourcen'!$A$2:$AI$54,30,0)+VLOOKUP(C37,'Feuerwaffen-Ressourcen'!$A$2:$AI$54,30,0)+VLOOKUP(D37,'Feuerwaffen-Ressourcen'!$A$2:$AI$54,30,0)+VLOOKUP(F37,'Feuerwaffen-Ressourcen'!$A$2:$AI$54,30,0)+VLOOKUP(G37,'Feuerwaffen-Ressourcen'!$A$2:$AI$54,30,0)+VLOOKUP(I37,'Feuerwaffen-Ressourcen'!$A$2:$AI$54,30,0)+VLOOKUP(J37,'Feuerwaffen-Ressourcen'!$A$2:$AI$54,30,0)</f>
        <v>7.6999999999999993</v>
      </c>
      <c r="AE37" s="63">
        <f>(VLOOKUP(C37,'Feuerwaffen-Ressourcen'!$A$2:$AI$54,32,0)+VLOOKUP(I37,'Feuerwaffen-Ressourcen'!$A$2:$AI$54,32,0))*(VLOOKUP(B37,'Feuerwaffen-Ressourcen'!$A$2:$AI$54,34,0)+VLOOKUP(C37,'Feuerwaffen-Ressourcen'!$A$2:$AI$54,34,0)+VLOOKUP(D37,'Feuerwaffen-Ressourcen'!$A$2:$AI$54,34,0)+VLOOKUP(E37,'Feuerwaffen-Ressourcen'!$A$2:$AI$54,34,0)+VLOOKUP(G37,'Feuerwaffen-Ressourcen'!$A$2:$AI$54,34,0))+VLOOKUP(B37,'Feuerwaffen-Ressourcen'!$A$2:$AI$54,35,0)+VLOOKUP(C37,'Feuerwaffen-Ressourcen'!$A$2:$AI$54,35,0)+VLOOKUP(D37,'Feuerwaffen-Ressourcen'!$A$2:$AI$54,35,0)</f>
        <v>199.70000000000002</v>
      </c>
      <c r="AF37" s="65">
        <f>VLOOKUP(AB37,'Feuerwaffen-Ressourcen'!$AO$3:$AP$9,2,1)</f>
        <v>6</v>
      </c>
      <c r="AG37" s="65">
        <v>0</v>
      </c>
    </row>
    <row r="38" spans="1:33">
      <c r="A38" s="59" t="s">
        <v>7153</v>
      </c>
      <c r="B38" s="59" t="s">
        <v>1425</v>
      </c>
      <c r="C38" s="59" t="s">
        <v>7215</v>
      </c>
      <c r="D38" s="59" t="s">
        <v>7236</v>
      </c>
      <c r="E38" s="59" t="s">
        <v>6501</v>
      </c>
      <c r="F38" s="59" t="s">
        <v>7221</v>
      </c>
      <c r="G38" s="59" t="s">
        <v>7217</v>
      </c>
      <c r="H38" s="59" t="s">
        <v>6514</v>
      </c>
      <c r="I38" s="59" t="s">
        <v>5768</v>
      </c>
      <c r="J38" s="59" t="s">
        <v>5748</v>
      </c>
      <c r="K38" s="61">
        <f>VLOOKUP(B38,'Feuerwaffen-Ressourcen'!$A$2:$AI$54,11,0)+VLOOKUP(C38,'Feuerwaffen-Ressourcen'!$A$2:$AI$54,11,0)+VLOOKUP(D38,'Feuerwaffen-Ressourcen'!$A$2:$AI$54,11,0)+VLOOKUP(E38,'Feuerwaffen-Ressourcen'!$A$2:$AI$54,11,0)+VLOOKUP(G38,'Feuerwaffen-Ressourcen'!$A$2:$AI$54,11,0)</f>
        <v>11.1</v>
      </c>
      <c r="L38" s="60">
        <f>VLOOKUP(B38,'Feuerwaffen-Ressourcen'!$A$2:$AI$54,12,0)+VLOOKUP(C38,'Feuerwaffen-Ressourcen'!$A$2:$AI$54,12,0)+VLOOKUP(D38,'Feuerwaffen-Ressourcen'!$A$2:$AI$54,12,0)+VLOOKUP(J38,'Feuerwaffen-Ressourcen'!$A$2:$AI$54,12,0)</f>
        <v>15</v>
      </c>
      <c r="M38" s="60" t="str">
        <f>VLOOKUP(VLOOKUP(B38,'Feuerwaffen-Ressourcen'!$A$2:$AI$54,13,0)+VLOOKUP(C38,'Feuerwaffen-Ressourcen'!$A$2:$AI$54,13,0)+VLOOKUP(D38,'Feuerwaffen-Ressourcen'!$A$2:$AI$54,13,0),'Feuerwaffen-Ressourcen'!$AJ$3:$AK$12,2,0)</f>
        <v>W12</v>
      </c>
      <c r="N38" s="60" t="str">
        <f>VLOOKUP(VLOOKUP(B38,'Feuerwaffen-Ressourcen'!$A$2:$AI$54,14,0)+VLOOKUP(C38,'Feuerwaffen-Ressourcen'!$A$2:$AI$54,14,0)+VLOOKUP(D38,'Feuerwaffen-Ressourcen'!$A$2:$AI$54,14,0),'Feuerwaffen-Ressourcen'!$AJ$3:$AK$12,2,0)</f>
        <v>W12</v>
      </c>
      <c r="O38" s="60">
        <f>VLOOKUP(B38,'Feuerwaffen-Ressourcen'!$A$2:$AI$54,15,0)+VLOOKUP(C38,'Feuerwaffen-Ressourcen'!$A$2:$AI$54,15,0)+VLOOKUP(D38,'Feuerwaffen-Ressourcen'!$A$2:$AI$54,15,0)</f>
        <v>3</v>
      </c>
      <c r="P38" s="60">
        <f>VLOOKUP(B38,'Feuerwaffen-Ressourcen'!$A$2:$AI$54,16,0)+VLOOKUP(C38,'Feuerwaffen-Ressourcen'!$A$2:$AI$54,16,0)+VLOOKUP(D38,'Feuerwaffen-Ressourcen'!$A$2:$AI$54,16,0)+VLOOKUP(E38,'Feuerwaffen-Ressourcen'!$A$2:$AI$54,16,0)</f>
        <v>18</v>
      </c>
      <c r="Q38" s="62">
        <f>VLOOKUP(B38,'Feuerwaffen-Ressourcen'!$A$2:$AI$54,17,0)+VLOOKUP(C38,'Feuerwaffen-Ressourcen'!$A$2:$AI$54,17,0)+VLOOKUP(D38,'Feuerwaffen-Ressourcen'!$A$2:$AI$54,17,0)+VLOOKUP(E38,'Feuerwaffen-Ressourcen'!$A$2:$AI$54,17,0)</f>
        <v>20</v>
      </c>
      <c r="R38" s="60">
        <f>VLOOKUP(B38,'Feuerwaffen-Ressourcen'!$A$2:$AI$54,18,0)+VLOOKUP(C38,'Feuerwaffen-Ressourcen'!$A$2:$AI$54,18,0)+VLOOKUP(D38,'Feuerwaffen-Ressourcen'!$A$2:$AI$54,18,0)+VLOOKUP(F38,'Feuerwaffen-Ressourcen'!$A$2:$AI$54,18,0)+VLOOKUP(G38,'Feuerwaffen-Ressourcen'!$A$2:$AI$54,18,0)+VLOOKUP(I38,'Feuerwaffen-Ressourcen'!$A$2:$AI$54,18,0)+VLOOKUP(J38,'Feuerwaffen-Ressourcen'!$A$2:$AI$54,18,0)</f>
        <v>-4</v>
      </c>
      <c r="S38" s="60">
        <f>VLOOKUP(B38,'Feuerwaffen-Ressourcen'!$A$2:$AI$54,19,0)+VLOOKUP(C38,'Feuerwaffen-Ressourcen'!$A$2:$AI$54,19,0)+VLOOKUP(D38,'Feuerwaffen-Ressourcen'!$A$2:$AI$54,19,0)+VLOOKUP(F38,'Feuerwaffen-Ressourcen'!$A$2:$AI$54,19,0)+VLOOKUP(G38,'Feuerwaffen-Ressourcen'!$A$2:$AI$54,19,0)+VLOOKUP(I38,'Feuerwaffen-Ressourcen'!$A$2:$AI$54,19,0)+VLOOKUP(J38,'Feuerwaffen-Ressourcen'!$A$2:$AI$54,19,0)</f>
        <v>-6</v>
      </c>
      <c r="T38" s="60">
        <f>VLOOKUP(B38,'Feuerwaffen-Ressourcen'!$A$2:$AI$54,20,0)+VLOOKUP(C38,'Feuerwaffen-Ressourcen'!$A$2:$AI$54,20,0)+VLOOKUP(D38,'Feuerwaffen-Ressourcen'!$A$2:$AI$54,20,0)+VLOOKUP(F38,'Feuerwaffen-Ressourcen'!$A$2:$AI$54,20,0)+VLOOKUP(G38,'Feuerwaffen-Ressourcen'!$A$2:$AI$54,20,0)+VLOOKUP(I38,'Feuerwaffen-Ressourcen'!$A$2:$AI$54,20,0)+VLOOKUP(J38,'Feuerwaffen-Ressourcen'!$A$2:$AI$54,20,0)</f>
        <v>-9</v>
      </c>
      <c r="U38" s="60">
        <f>VLOOKUP(B38,'Feuerwaffen-Ressourcen'!$A$2:$AI$54,21,0)+VLOOKUP(C38,'Feuerwaffen-Ressourcen'!$A$2:$AI$54,21,0)+VLOOKUP(D38,'Feuerwaffen-Ressourcen'!$A$2:$AI$54,21,0)+VLOOKUP(F38,'Feuerwaffen-Ressourcen'!$A$2:$AI$54,21,0)+VLOOKUP(G38,'Feuerwaffen-Ressourcen'!$A$2:$AI$54,21,0)+VLOOKUP(I38,'Feuerwaffen-Ressourcen'!$A$2:$AI$54,21,0)+VLOOKUP(J38,'Feuerwaffen-Ressourcen'!$A$2:$AI$54,21,0)</f>
        <v>-15</v>
      </c>
      <c r="V38" s="60">
        <f>VLOOKUP(B38,'Feuerwaffen-Ressourcen'!$A$2:$AI$54,22,0)+VLOOKUP(C38,'Feuerwaffen-Ressourcen'!$A$2:$AI$54,22,0)+VLOOKUP(D38,'Feuerwaffen-Ressourcen'!$A$2:$AI$54,22,0)+VLOOKUP(F38,'Feuerwaffen-Ressourcen'!$A$2:$AI$54,22,0)+VLOOKUP(G38,'Feuerwaffen-Ressourcen'!$A$2:$AI$54,22,0)+VLOOKUP(I38,'Feuerwaffen-Ressourcen'!$A$2:$AI$54,22,0)+VLOOKUP(J38,'Feuerwaffen-Ressourcen'!$A$2:$AI$54,22,0)</f>
        <v>-22</v>
      </c>
      <c r="W38" s="60">
        <f>VLOOKUP(B38,'Feuerwaffen-Ressourcen'!$A$2:$AI$54,23,0)+VLOOKUP(C38,'Feuerwaffen-Ressourcen'!$A$2:$AI$54,23,0)+VLOOKUP(D38,'Feuerwaffen-Ressourcen'!$A$2:$AI$54,23,0)+VLOOKUP(F38,'Feuerwaffen-Ressourcen'!$A$2:$AI$54,23,0)+VLOOKUP(G38,'Feuerwaffen-Ressourcen'!$A$2:$AI$54,23,0)+VLOOKUP(I38,'Feuerwaffen-Ressourcen'!$A$2:$AI$54,23,0)+VLOOKUP(J38,'Feuerwaffen-Ressourcen'!$A$2:$AI$54,23,0)</f>
        <v>-30</v>
      </c>
      <c r="X38" s="60">
        <f>VLOOKUP(B38,'Feuerwaffen-Ressourcen'!$A$2:$AI$54,24,0)+VLOOKUP(C38,'Feuerwaffen-Ressourcen'!$A$2:$AI$54,24,0)+VLOOKUP(D38,'Feuerwaffen-Ressourcen'!$A$2:$AI$54,24,0)+VLOOKUP(G38,'Feuerwaffen-Ressourcen'!$A$2:$AI$54,24,0)</f>
        <v>90</v>
      </c>
      <c r="Y38" s="60">
        <f>VLOOKUP(D38,'Feuerwaffen-Ressourcen'!$A$2:$AI$54,25,0)+VLOOKUP(E38,'Feuerwaffen-Ressourcen'!$A$2:$AI$54,25,0)+VLOOKUP(F38,'Feuerwaffen-Ressourcen'!$A$2:$AI$54,25,0)</f>
        <v>42</v>
      </c>
      <c r="Z38" s="60">
        <f>VLOOKUP(E38,'Feuerwaffen-Ressourcen'!$A$2:$AI$54,26,0)</f>
        <v>3</v>
      </c>
      <c r="AA38" s="60">
        <f>VLOOKUP(B38,'Feuerwaffen-Ressourcen'!$A$2:$AI$54,27,0)+VLOOKUP(D38,'Feuerwaffen-Ressourcen'!$A$2:$AI$54,27,0)+VLOOKUP(F38,'Feuerwaffen-Ressourcen'!$A$2:$AI$54,27,0)+VLOOKUP(I38,'Feuerwaffen-Ressourcen'!$A$2:$AI$54,27,0)</f>
        <v>4</v>
      </c>
      <c r="AB38" s="60">
        <f>VLOOKUP(B38,'Feuerwaffen-Ressourcen'!$A$2:$AI$54,28,0)+VLOOKUP(C38,'Feuerwaffen-Ressourcen'!$A$2:$AI$54,28,0)+VLOOKUP(D38,'Feuerwaffen-Ressourcen'!$A$2:$AI$54,28,0)+VLOOKUP(E38,'Feuerwaffen-Ressourcen'!$A$2:$AI$54,28,0)+VLOOKUP(F38,'Feuerwaffen-Ressourcen'!$A$2:$AI$54,28,0)+VLOOKUP(G38,'Feuerwaffen-Ressourcen'!$A$2:$AI$54,28,0)+VLOOKUP(I38,'Feuerwaffen-Ressourcen'!$A$2:$AI$54,28,0)+VLOOKUP(J38,'Feuerwaffen-Ressourcen'!$A$2:$AI$54,28,0)</f>
        <v>115</v>
      </c>
      <c r="AC38" s="63">
        <f>VLOOKUP(I38,'Feuerwaffen-Ressourcen'!$A$2:$AI$54,31,0)*AD38+AE38</f>
        <v>1158.5</v>
      </c>
      <c r="AD38" s="64">
        <f>VLOOKUP(B38,'Feuerwaffen-Ressourcen'!$A$2:$AI$54,30,0)+VLOOKUP(C38,'Feuerwaffen-Ressourcen'!$A$2:$AI$54,30,0)+VLOOKUP(D38,'Feuerwaffen-Ressourcen'!$A$2:$AI$54,30,0)+VLOOKUP(F38,'Feuerwaffen-Ressourcen'!$A$2:$AI$54,30,0)+VLOOKUP(G38,'Feuerwaffen-Ressourcen'!$A$2:$AI$54,30,0)+VLOOKUP(I38,'Feuerwaffen-Ressourcen'!$A$2:$AI$54,30,0)+VLOOKUP(J38,'Feuerwaffen-Ressourcen'!$A$2:$AI$54,30,0)</f>
        <v>7.1999999999999993</v>
      </c>
      <c r="AE38" s="63">
        <f>(VLOOKUP(C38,'Feuerwaffen-Ressourcen'!$A$2:$AI$54,32,0)+VLOOKUP(I38,'Feuerwaffen-Ressourcen'!$A$2:$AI$54,32,0))*(VLOOKUP(B38,'Feuerwaffen-Ressourcen'!$A$2:$AI$54,34,0)+VLOOKUP(C38,'Feuerwaffen-Ressourcen'!$A$2:$AI$54,34,0)+VLOOKUP(D38,'Feuerwaffen-Ressourcen'!$A$2:$AI$54,34,0)+VLOOKUP(E38,'Feuerwaffen-Ressourcen'!$A$2:$AI$54,34,0)+VLOOKUP(G38,'Feuerwaffen-Ressourcen'!$A$2:$AI$54,34,0))+VLOOKUP(B38,'Feuerwaffen-Ressourcen'!$A$2:$AI$54,35,0)+VLOOKUP(C38,'Feuerwaffen-Ressourcen'!$A$2:$AI$54,35,0)+VLOOKUP(D38,'Feuerwaffen-Ressourcen'!$A$2:$AI$54,35,0)</f>
        <v>1129.7</v>
      </c>
      <c r="AF38" s="65">
        <f>VLOOKUP(AB38,'Feuerwaffen-Ressourcen'!$AO$3:$AP$9,2,1)</f>
        <v>4</v>
      </c>
      <c r="AG38" s="65">
        <v>0</v>
      </c>
    </row>
    <row r="39" spans="1:33">
      <c r="A39" s="59" t="s">
        <v>7154</v>
      </c>
      <c r="B39" s="59" t="s">
        <v>1425</v>
      </c>
      <c r="C39" s="59" t="s">
        <v>7215</v>
      </c>
      <c r="D39" s="59" t="s">
        <v>7234</v>
      </c>
      <c r="E39" s="59" t="s">
        <v>7123</v>
      </c>
      <c r="F39" s="59" t="s">
        <v>7224</v>
      </c>
      <c r="G39" s="59" t="s">
        <v>7225</v>
      </c>
      <c r="H39" s="59" t="s">
        <v>7124</v>
      </c>
      <c r="I39" s="59" t="s">
        <v>5768</v>
      </c>
      <c r="J39" s="59" t="s">
        <v>5748</v>
      </c>
      <c r="K39" s="61">
        <f>VLOOKUP(B39,'Feuerwaffen-Ressourcen'!$A$2:$AI$54,11,0)+VLOOKUP(C39,'Feuerwaffen-Ressourcen'!$A$2:$AI$54,11,0)+VLOOKUP(D39,'Feuerwaffen-Ressourcen'!$A$2:$AI$54,11,0)+VLOOKUP(E39,'Feuerwaffen-Ressourcen'!$A$2:$AI$54,11,0)+VLOOKUP(G39,'Feuerwaffen-Ressourcen'!$A$2:$AI$54,11,0)</f>
        <v>4.8499999999999996</v>
      </c>
      <c r="L39" s="60">
        <f>VLOOKUP(B39,'Feuerwaffen-Ressourcen'!$A$2:$AI$54,12,0)+VLOOKUP(C39,'Feuerwaffen-Ressourcen'!$A$2:$AI$54,12,0)+VLOOKUP(D39,'Feuerwaffen-Ressourcen'!$A$2:$AI$54,12,0)+VLOOKUP(J39,'Feuerwaffen-Ressourcen'!$A$2:$AI$54,12,0)</f>
        <v>8</v>
      </c>
      <c r="M39" s="60" t="str">
        <f>VLOOKUP(VLOOKUP(B39,'Feuerwaffen-Ressourcen'!$A$2:$AI$54,13,0)+VLOOKUP(C39,'Feuerwaffen-Ressourcen'!$A$2:$AI$54,13,0)+VLOOKUP(D39,'Feuerwaffen-Ressourcen'!$A$2:$AI$54,13,0),'Feuerwaffen-Ressourcen'!$AJ$3:$AK$12,2,0)</f>
        <v>W8</v>
      </c>
      <c r="N39" s="60" t="str">
        <f>VLOOKUP(VLOOKUP(B39,'Feuerwaffen-Ressourcen'!$A$2:$AI$54,14,0)+VLOOKUP(C39,'Feuerwaffen-Ressourcen'!$A$2:$AI$54,14,0)+VLOOKUP(D39,'Feuerwaffen-Ressourcen'!$A$2:$AI$54,14,0),'Feuerwaffen-Ressourcen'!$AJ$3:$AK$12,2,0)</f>
        <v>W6</v>
      </c>
      <c r="O39" s="60">
        <f>VLOOKUP(B39,'Feuerwaffen-Ressourcen'!$A$2:$AI$54,15,0)+VLOOKUP(C39,'Feuerwaffen-Ressourcen'!$A$2:$AI$54,15,0)+VLOOKUP(D39,'Feuerwaffen-Ressourcen'!$A$2:$AI$54,15,0)</f>
        <v>1</v>
      </c>
      <c r="P39" s="60">
        <f>VLOOKUP(B39,'Feuerwaffen-Ressourcen'!$A$2:$AI$54,16,0)+VLOOKUP(C39,'Feuerwaffen-Ressourcen'!$A$2:$AI$54,16,0)+VLOOKUP(D39,'Feuerwaffen-Ressourcen'!$A$2:$AI$54,16,0)+VLOOKUP(E39,'Feuerwaffen-Ressourcen'!$A$2:$AI$54,16,0)</f>
        <v>20</v>
      </c>
      <c r="Q39" s="62">
        <f>VLOOKUP(B39,'Feuerwaffen-Ressourcen'!$A$2:$AI$54,17,0)+VLOOKUP(C39,'Feuerwaffen-Ressourcen'!$A$2:$AI$54,17,0)+VLOOKUP(D39,'Feuerwaffen-Ressourcen'!$A$2:$AI$54,17,0)+VLOOKUP(E39,'Feuerwaffen-Ressourcen'!$A$2:$AI$54,17,0)</f>
        <v>9</v>
      </c>
      <c r="R39" s="60">
        <f>VLOOKUP(B39,'Feuerwaffen-Ressourcen'!$A$2:$AI$54,18,0)+VLOOKUP(C39,'Feuerwaffen-Ressourcen'!$A$2:$AI$54,18,0)+VLOOKUP(D39,'Feuerwaffen-Ressourcen'!$A$2:$AI$54,18,0)+VLOOKUP(F39,'Feuerwaffen-Ressourcen'!$A$2:$AI$54,18,0)+VLOOKUP(G39,'Feuerwaffen-Ressourcen'!$A$2:$AI$54,18,0)+VLOOKUP(I39,'Feuerwaffen-Ressourcen'!$A$2:$AI$54,18,0)+VLOOKUP(J39,'Feuerwaffen-Ressourcen'!$A$2:$AI$54,18,0)</f>
        <v>5</v>
      </c>
      <c r="S39" s="60">
        <f>VLOOKUP(B39,'Feuerwaffen-Ressourcen'!$A$2:$AI$54,19,0)+VLOOKUP(C39,'Feuerwaffen-Ressourcen'!$A$2:$AI$54,19,0)+VLOOKUP(D39,'Feuerwaffen-Ressourcen'!$A$2:$AI$54,19,0)+VLOOKUP(F39,'Feuerwaffen-Ressourcen'!$A$2:$AI$54,19,0)+VLOOKUP(G39,'Feuerwaffen-Ressourcen'!$A$2:$AI$54,19,0)+VLOOKUP(I39,'Feuerwaffen-Ressourcen'!$A$2:$AI$54,19,0)+VLOOKUP(J39,'Feuerwaffen-Ressourcen'!$A$2:$AI$54,19,0)</f>
        <v>1</v>
      </c>
      <c r="T39" s="60">
        <f>VLOOKUP(B39,'Feuerwaffen-Ressourcen'!$A$2:$AI$54,20,0)+VLOOKUP(C39,'Feuerwaffen-Ressourcen'!$A$2:$AI$54,20,0)+VLOOKUP(D39,'Feuerwaffen-Ressourcen'!$A$2:$AI$54,20,0)+VLOOKUP(F39,'Feuerwaffen-Ressourcen'!$A$2:$AI$54,20,0)+VLOOKUP(G39,'Feuerwaffen-Ressourcen'!$A$2:$AI$54,20,0)+VLOOKUP(I39,'Feuerwaffen-Ressourcen'!$A$2:$AI$54,20,0)+VLOOKUP(J39,'Feuerwaffen-Ressourcen'!$A$2:$AI$54,20,0)</f>
        <v>-4</v>
      </c>
      <c r="U39" s="60">
        <f>VLOOKUP(B39,'Feuerwaffen-Ressourcen'!$A$2:$AI$54,21,0)+VLOOKUP(C39,'Feuerwaffen-Ressourcen'!$A$2:$AI$54,21,0)+VLOOKUP(D39,'Feuerwaffen-Ressourcen'!$A$2:$AI$54,21,0)+VLOOKUP(F39,'Feuerwaffen-Ressourcen'!$A$2:$AI$54,21,0)+VLOOKUP(G39,'Feuerwaffen-Ressourcen'!$A$2:$AI$54,21,0)+VLOOKUP(I39,'Feuerwaffen-Ressourcen'!$A$2:$AI$54,21,0)+VLOOKUP(J39,'Feuerwaffen-Ressourcen'!$A$2:$AI$54,21,0)</f>
        <v>-12</v>
      </c>
      <c r="V39" s="60">
        <f>VLOOKUP(B39,'Feuerwaffen-Ressourcen'!$A$2:$AI$54,22,0)+VLOOKUP(C39,'Feuerwaffen-Ressourcen'!$A$2:$AI$54,22,0)+VLOOKUP(D39,'Feuerwaffen-Ressourcen'!$A$2:$AI$54,22,0)+VLOOKUP(F39,'Feuerwaffen-Ressourcen'!$A$2:$AI$54,22,0)+VLOOKUP(G39,'Feuerwaffen-Ressourcen'!$A$2:$AI$54,22,0)+VLOOKUP(I39,'Feuerwaffen-Ressourcen'!$A$2:$AI$54,22,0)+VLOOKUP(J39,'Feuerwaffen-Ressourcen'!$A$2:$AI$54,22,0)</f>
        <v>-20</v>
      </c>
      <c r="W39" s="60">
        <f>VLOOKUP(B39,'Feuerwaffen-Ressourcen'!$A$2:$AI$54,23,0)+VLOOKUP(C39,'Feuerwaffen-Ressourcen'!$A$2:$AI$54,23,0)+VLOOKUP(D39,'Feuerwaffen-Ressourcen'!$A$2:$AI$54,23,0)+VLOOKUP(F39,'Feuerwaffen-Ressourcen'!$A$2:$AI$54,23,0)+VLOOKUP(G39,'Feuerwaffen-Ressourcen'!$A$2:$AI$54,23,0)+VLOOKUP(I39,'Feuerwaffen-Ressourcen'!$A$2:$AI$54,23,0)+VLOOKUP(J39,'Feuerwaffen-Ressourcen'!$A$2:$AI$54,23,0)</f>
        <v>-28</v>
      </c>
      <c r="X39" s="60">
        <f>VLOOKUP(B39,'Feuerwaffen-Ressourcen'!$A$2:$AI$54,24,0)+VLOOKUP(C39,'Feuerwaffen-Ressourcen'!$A$2:$AI$54,24,0)+VLOOKUP(D39,'Feuerwaffen-Ressourcen'!$A$2:$AI$54,24,0)+VLOOKUP(G39,'Feuerwaffen-Ressourcen'!$A$2:$AI$54,24,0)</f>
        <v>70</v>
      </c>
      <c r="Y39" s="60">
        <f>VLOOKUP(D39,'Feuerwaffen-Ressourcen'!$A$2:$AI$54,25,0)+VLOOKUP(E39,'Feuerwaffen-Ressourcen'!$A$2:$AI$54,25,0)+VLOOKUP(F39,'Feuerwaffen-Ressourcen'!$A$2:$AI$54,25,0)</f>
        <v>13</v>
      </c>
      <c r="Z39" s="60">
        <f>VLOOKUP(E39,'Feuerwaffen-Ressourcen'!$A$2:$AI$54,26,0)</f>
        <v>6</v>
      </c>
      <c r="AA39" s="60">
        <f>VLOOKUP(B39,'Feuerwaffen-Ressourcen'!$A$2:$AI$54,27,0)+VLOOKUP(D39,'Feuerwaffen-Ressourcen'!$A$2:$AI$54,27,0)+VLOOKUP(F39,'Feuerwaffen-Ressourcen'!$A$2:$AI$54,27,0)+VLOOKUP(I39,'Feuerwaffen-Ressourcen'!$A$2:$AI$54,27,0)</f>
        <v>1</v>
      </c>
      <c r="AB39" s="60">
        <f>VLOOKUP(B39,'Feuerwaffen-Ressourcen'!$A$2:$AI$54,28,0)+VLOOKUP(C39,'Feuerwaffen-Ressourcen'!$A$2:$AI$54,28,0)+VLOOKUP(D39,'Feuerwaffen-Ressourcen'!$A$2:$AI$54,28,0)+VLOOKUP(E39,'Feuerwaffen-Ressourcen'!$A$2:$AI$54,28,0)+VLOOKUP(F39,'Feuerwaffen-Ressourcen'!$A$2:$AI$54,28,0)+VLOOKUP(G39,'Feuerwaffen-Ressourcen'!$A$2:$AI$54,28,0)+VLOOKUP(I39,'Feuerwaffen-Ressourcen'!$A$2:$AI$54,28,0)+VLOOKUP(J39,'Feuerwaffen-Ressourcen'!$A$2:$AI$54,28,0)</f>
        <v>60</v>
      </c>
      <c r="AC39" s="63">
        <f>VLOOKUP(I39,'Feuerwaffen-Ressourcen'!$A$2:$AI$54,31,0)*AD39+AE39</f>
        <v>410.5</v>
      </c>
      <c r="AD39" s="64">
        <f>VLOOKUP(B39,'Feuerwaffen-Ressourcen'!$A$2:$AI$54,30,0)+VLOOKUP(C39,'Feuerwaffen-Ressourcen'!$A$2:$AI$54,30,0)+VLOOKUP(D39,'Feuerwaffen-Ressourcen'!$A$2:$AI$54,30,0)+VLOOKUP(F39,'Feuerwaffen-Ressourcen'!$A$2:$AI$54,30,0)+VLOOKUP(G39,'Feuerwaffen-Ressourcen'!$A$2:$AI$54,30,0)+VLOOKUP(I39,'Feuerwaffen-Ressourcen'!$A$2:$AI$54,30,0)+VLOOKUP(J39,'Feuerwaffen-Ressourcen'!$A$2:$AI$54,30,0)</f>
        <v>7.6999999999999993</v>
      </c>
      <c r="AE39" s="63">
        <f>(VLOOKUP(C39,'Feuerwaffen-Ressourcen'!$A$2:$AI$54,32,0)+VLOOKUP(I39,'Feuerwaffen-Ressourcen'!$A$2:$AI$54,32,0))*(VLOOKUP(B39,'Feuerwaffen-Ressourcen'!$A$2:$AI$54,34,0)+VLOOKUP(C39,'Feuerwaffen-Ressourcen'!$A$2:$AI$54,34,0)+VLOOKUP(D39,'Feuerwaffen-Ressourcen'!$A$2:$AI$54,34,0)+VLOOKUP(E39,'Feuerwaffen-Ressourcen'!$A$2:$AI$54,34,0)+VLOOKUP(G39,'Feuerwaffen-Ressourcen'!$A$2:$AI$54,34,0))+VLOOKUP(B39,'Feuerwaffen-Ressourcen'!$A$2:$AI$54,35,0)+VLOOKUP(C39,'Feuerwaffen-Ressourcen'!$A$2:$AI$54,35,0)+VLOOKUP(D39,'Feuerwaffen-Ressourcen'!$A$2:$AI$54,35,0)</f>
        <v>379.7</v>
      </c>
      <c r="AF39" s="65">
        <f>VLOOKUP(AB39,'Feuerwaffen-Ressourcen'!$AO$3:$AP$9,2,1)</f>
        <v>7</v>
      </c>
      <c r="AG39" s="65">
        <v>0</v>
      </c>
    </row>
    <row r="40" spans="1:33">
      <c r="A40" s="59" t="s">
        <v>7155</v>
      </c>
      <c r="B40" s="59" t="s">
        <v>1425</v>
      </c>
      <c r="C40" s="59" t="s">
        <v>7215</v>
      </c>
      <c r="D40" s="59" t="s">
        <v>7228</v>
      </c>
      <c r="E40" s="59" t="s">
        <v>6501</v>
      </c>
      <c r="F40" s="59" t="s">
        <v>7221</v>
      </c>
      <c r="G40" s="59" t="s">
        <v>7217</v>
      </c>
      <c r="H40" s="59" t="s">
        <v>6514</v>
      </c>
      <c r="I40" s="59" t="s">
        <v>5768</v>
      </c>
      <c r="J40" s="59" t="s">
        <v>5748</v>
      </c>
      <c r="K40" s="61">
        <f>VLOOKUP(B40,'Feuerwaffen-Ressourcen'!$A$2:$AI$54,11,0)+VLOOKUP(C40,'Feuerwaffen-Ressourcen'!$A$2:$AI$54,11,0)+VLOOKUP(D40,'Feuerwaffen-Ressourcen'!$A$2:$AI$54,11,0)+VLOOKUP(E40,'Feuerwaffen-Ressourcen'!$A$2:$AI$54,11,0)+VLOOKUP(G40,'Feuerwaffen-Ressourcen'!$A$2:$AI$54,11,0)</f>
        <v>3.0999999999999996</v>
      </c>
      <c r="L40" s="60">
        <f>VLOOKUP(B40,'Feuerwaffen-Ressourcen'!$A$2:$AI$54,12,0)+VLOOKUP(C40,'Feuerwaffen-Ressourcen'!$A$2:$AI$54,12,0)+VLOOKUP(D40,'Feuerwaffen-Ressourcen'!$A$2:$AI$54,12,0)+VLOOKUP(J40,'Feuerwaffen-Ressourcen'!$A$2:$AI$54,12,0)</f>
        <v>7</v>
      </c>
      <c r="M40" s="60" t="str">
        <f>VLOOKUP(VLOOKUP(B40,'Feuerwaffen-Ressourcen'!$A$2:$AI$54,13,0)+VLOOKUP(C40,'Feuerwaffen-Ressourcen'!$A$2:$AI$54,13,0)+VLOOKUP(D40,'Feuerwaffen-Ressourcen'!$A$2:$AI$54,13,0),'Feuerwaffen-Ressourcen'!$AJ$3:$AK$12,2,0)</f>
        <v>W8</v>
      </c>
      <c r="N40" s="60" t="str">
        <f>VLOOKUP(VLOOKUP(B40,'Feuerwaffen-Ressourcen'!$A$2:$AI$54,14,0)+VLOOKUP(C40,'Feuerwaffen-Ressourcen'!$A$2:$AI$54,14,0)+VLOOKUP(D40,'Feuerwaffen-Ressourcen'!$A$2:$AI$54,14,0),'Feuerwaffen-Ressourcen'!$AJ$3:$AK$12,2,0)</f>
        <v>W8</v>
      </c>
      <c r="O40" s="60">
        <f>VLOOKUP(B40,'Feuerwaffen-Ressourcen'!$A$2:$AI$54,15,0)+VLOOKUP(C40,'Feuerwaffen-Ressourcen'!$A$2:$AI$54,15,0)+VLOOKUP(D40,'Feuerwaffen-Ressourcen'!$A$2:$AI$54,15,0)</f>
        <v>2</v>
      </c>
      <c r="P40" s="60">
        <f>VLOOKUP(B40,'Feuerwaffen-Ressourcen'!$A$2:$AI$54,16,0)+VLOOKUP(C40,'Feuerwaffen-Ressourcen'!$A$2:$AI$54,16,0)+VLOOKUP(D40,'Feuerwaffen-Ressourcen'!$A$2:$AI$54,16,0)+VLOOKUP(E40,'Feuerwaffen-Ressourcen'!$A$2:$AI$54,16,0)</f>
        <v>14</v>
      </c>
      <c r="Q40" s="62">
        <f>VLOOKUP(B40,'Feuerwaffen-Ressourcen'!$A$2:$AI$54,17,0)+VLOOKUP(C40,'Feuerwaffen-Ressourcen'!$A$2:$AI$54,17,0)+VLOOKUP(D40,'Feuerwaffen-Ressourcen'!$A$2:$AI$54,17,0)+VLOOKUP(E40,'Feuerwaffen-Ressourcen'!$A$2:$AI$54,17,0)</f>
        <v>16</v>
      </c>
      <c r="R40" s="60">
        <f>VLOOKUP(B40,'Feuerwaffen-Ressourcen'!$A$2:$AI$54,18,0)+VLOOKUP(C40,'Feuerwaffen-Ressourcen'!$A$2:$AI$54,18,0)+VLOOKUP(D40,'Feuerwaffen-Ressourcen'!$A$2:$AI$54,18,0)+VLOOKUP(F40,'Feuerwaffen-Ressourcen'!$A$2:$AI$54,18,0)+VLOOKUP(G40,'Feuerwaffen-Ressourcen'!$A$2:$AI$54,18,0)+VLOOKUP(I40,'Feuerwaffen-Ressourcen'!$A$2:$AI$54,18,0)+VLOOKUP(J40,'Feuerwaffen-Ressourcen'!$A$2:$AI$54,18,0)</f>
        <v>1</v>
      </c>
      <c r="S40" s="60">
        <f>VLOOKUP(B40,'Feuerwaffen-Ressourcen'!$A$2:$AI$54,19,0)+VLOOKUP(C40,'Feuerwaffen-Ressourcen'!$A$2:$AI$54,19,0)+VLOOKUP(D40,'Feuerwaffen-Ressourcen'!$A$2:$AI$54,19,0)+VLOOKUP(F40,'Feuerwaffen-Ressourcen'!$A$2:$AI$54,19,0)+VLOOKUP(G40,'Feuerwaffen-Ressourcen'!$A$2:$AI$54,19,0)+VLOOKUP(I40,'Feuerwaffen-Ressourcen'!$A$2:$AI$54,19,0)+VLOOKUP(J40,'Feuerwaffen-Ressourcen'!$A$2:$AI$54,19,0)</f>
        <v>-3</v>
      </c>
      <c r="T40" s="60">
        <f>VLOOKUP(B40,'Feuerwaffen-Ressourcen'!$A$2:$AI$54,20,0)+VLOOKUP(C40,'Feuerwaffen-Ressourcen'!$A$2:$AI$54,20,0)+VLOOKUP(D40,'Feuerwaffen-Ressourcen'!$A$2:$AI$54,20,0)+VLOOKUP(F40,'Feuerwaffen-Ressourcen'!$A$2:$AI$54,20,0)+VLOOKUP(G40,'Feuerwaffen-Ressourcen'!$A$2:$AI$54,20,0)+VLOOKUP(I40,'Feuerwaffen-Ressourcen'!$A$2:$AI$54,20,0)+VLOOKUP(J40,'Feuerwaffen-Ressourcen'!$A$2:$AI$54,20,0)</f>
        <v>-7</v>
      </c>
      <c r="U40" s="60">
        <f>VLOOKUP(B40,'Feuerwaffen-Ressourcen'!$A$2:$AI$54,21,0)+VLOOKUP(C40,'Feuerwaffen-Ressourcen'!$A$2:$AI$54,21,0)+VLOOKUP(D40,'Feuerwaffen-Ressourcen'!$A$2:$AI$54,21,0)+VLOOKUP(F40,'Feuerwaffen-Ressourcen'!$A$2:$AI$54,21,0)+VLOOKUP(G40,'Feuerwaffen-Ressourcen'!$A$2:$AI$54,21,0)+VLOOKUP(I40,'Feuerwaffen-Ressourcen'!$A$2:$AI$54,21,0)+VLOOKUP(J40,'Feuerwaffen-Ressourcen'!$A$2:$AI$54,21,0)</f>
        <v>-13</v>
      </c>
      <c r="V40" s="60">
        <f>VLOOKUP(B40,'Feuerwaffen-Ressourcen'!$A$2:$AI$54,22,0)+VLOOKUP(C40,'Feuerwaffen-Ressourcen'!$A$2:$AI$54,22,0)+VLOOKUP(D40,'Feuerwaffen-Ressourcen'!$A$2:$AI$54,22,0)+VLOOKUP(F40,'Feuerwaffen-Ressourcen'!$A$2:$AI$54,22,0)+VLOOKUP(G40,'Feuerwaffen-Ressourcen'!$A$2:$AI$54,22,0)+VLOOKUP(I40,'Feuerwaffen-Ressourcen'!$A$2:$AI$54,22,0)+VLOOKUP(J40,'Feuerwaffen-Ressourcen'!$A$2:$AI$54,22,0)</f>
        <v>-19</v>
      </c>
      <c r="W40" s="60">
        <f>VLOOKUP(B40,'Feuerwaffen-Ressourcen'!$A$2:$AI$54,23,0)+VLOOKUP(C40,'Feuerwaffen-Ressourcen'!$A$2:$AI$54,23,0)+VLOOKUP(D40,'Feuerwaffen-Ressourcen'!$A$2:$AI$54,23,0)+VLOOKUP(F40,'Feuerwaffen-Ressourcen'!$A$2:$AI$54,23,0)+VLOOKUP(G40,'Feuerwaffen-Ressourcen'!$A$2:$AI$54,23,0)+VLOOKUP(I40,'Feuerwaffen-Ressourcen'!$A$2:$AI$54,23,0)+VLOOKUP(J40,'Feuerwaffen-Ressourcen'!$A$2:$AI$54,23,0)</f>
        <v>-26</v>
      </c>
      <c r="X40" s="60">
        <f>VLOOKUP(B40,'Feuerwaffen-Ressourcen'!$A$2:$AI$54,24,0)+VLOOKUP(C40,'Feuerwaffen-Ressourcen'!$A$2:$AI$54,24,0)+VLOOKUP(D40,'Feuerwaffen-Ressourcen'!$A$2:$AI$54,24,0)+VLOOKUP(G40,'Feuerwaffen-Ressourcen'!$A$2:$AI$54,24,0)</f>
        <v>50</v>
      </c>
      <c r="Y40" s="60">
        <f>VLOOKUP(D40,'Feuerwaffen-Ressourcen'!$A$2:$AI$54,25,0)+VLOOKUP(E40,'Feuerwaffen-Ressourcen'!$A$2:$AI$54,25,0)+VLOOKUP(F40,'Feuerwaffen-Ressourcen'!$A$2:$AI$54,25,0)</f>
        <v>30</v>
      </c>
      <c r="Z40" s="60">
        <f>VLOOKUP(E40,'Feuerwaffen-Ressourcen'!$A$2:$AI$54,26,0)</f>
        <v>3</v>
      </c>
      <c r="AA40" s="60">
        <f>VLOOKUP(B40,'Feuerwaffen-Ressourcen'!$A$2:$AI$54,27,0)+VLOOKUP(D40,'Feuerwaffen-Ressourcen'!$A$2:$AI$54,27,0)+VLOOKUP(F40,'Feuerwaffen-Ressourcen'!$A$2:$AI$54,27,0)+VLOOKUP(I40,'Feuerwaffen-Ressourcen'!$A$2:$AI$54,27,0)</f>
        <v>4</v>
      </c>
      <c r="AB40" s="60">
        <f>VLOOKUP(B40,'Feuerwaffen-Ressourcen'!$A$2:$AI$54,28,0)+VLOOKUP(C40,'Feuerwaffen-Ressourcen'!$A$2:$AI$54,28,0)+VLOOKUP(D40,'Feuerwaffen-Ressourcen'!$A$2:$AI$54,28,0)+VLOOKUP(E40,'Feuerwaffen-Ressourcen'!$A$2:$AI$54,28,0)+VLOOKUP(F40,'Feuerwaffen-Ressourcen'!$A$2:$AI$54,28,0)+VLOOKUP(G40,'Feuerwaffen-Ressourcen'!$A$2:$AI$54,28,0)+VLOOKUP(I40,'Feuerwaffen-Ressourcen'!$A$2:$AI$54,28,0)+VLOOKUP(J40,'Feuerwaffen-Ressourcen'!$A$2:$AI$54,28,0)</f>
        <v>125</v>
      </c>
      <c r="AC40" s="63">
        <f>VLOOKUP(I40,'Feuerwaffen-Ressourcen'!$A$2:$AI$54,31,0)*AD40+AE40</f>
        <v>182.50000000000003</v>
      </c>
      <c r="AD40" s="64">
        <f>VLOOKUP(B40,'Feuerwaffen-Ressourcen'!$A$2:$AI$54,30,0)+VLOOKUP(C40,'Feuerwaffen-Ressourcen'!$A$2:$AI$54,30,0)+VLOOKUP(D40,'Feuerwaffen-Ressourcen'!$A$2:$AI$54,30,0)+VLOOKUP(F40,'Feuerwaffen-Ressourcen'!$A$2:$AI$54,30,0)+VLOOKUP(G40,'Feuerwaffen-Ressourcen'!$A$2:$AI$54,30,0)+VLOOKUP(I40,'Feuerwaffen-Ressourcen'!$A$2:$AI$54,30,0)+VLOOKUP(J40,'Feuerwaffen-Ressourcen'!$A$2:$AI$54,30,0)</f>
        <v>3.2</v>
      </c>
      <c r="AE40" s="63">
        <f>(VLOOKUP(C40,'Feuerwaffen-Ressourcen'!$A$2:$AI$54,32,0)+VLOOKUP(I40,'Feuerwaffen-Ressourcen'!$A$2:$AI$54,32,0))*(VLOOKUP(B40,'Feuerwaffen-Ressourcen'!$A$2:$AI$54,34,0)+VLOOKUP(C40,'Feuerwaffen-Ressourcen'!$A$2:$AI$54,34,0)+VLOOKUP(D40,'Feuerwaffen-Ressourcen'!$A$2:$AI$54,34,0)+VLOOKUP(E40,'Feuerwaffen-Ressourcen'!$A$2:$AI$54,34,0)+VLOOKUP(G40,'Feuerwaffen-Ressourcen'!$A$2:$AI$54,34,0))+VLOOKUP(B40,'Feuerwaffen-Ressourcen'!$A$2:$AI$54,35,0)+VLOOKUP(C40,'Feuerwaffen-Ressourcen'!$A$2:$AI$54,35,0)+VLOOKUP(D40,'Feuerwaffen-Ressourcen'!$A$2:$AI$54,35,0)</f>
        <v>169.70000000000002</v>
      </c>
      <c r="AF40" s="65">
        <f>VLOOKUP(AB40,'Feuerwaffen-Ressourcen'!$AO$3:$AP$9,2,1)</f>
        <v>4</v>
      </c>
      <c r="AG40" s="65">
        <v>0</v>
      </c>
    </row>
    <row r="41" spans="1:33">
      <c r="A41" s="59" t="s">
        <v>7156</v>
      </c>
      <c r="B41" s="59" t="s">
        <v>1425</v>
      </c>
      <c r="C41" s="59" t="s">
        <v>7215</v>
      </c>
      <c r="D41" s="59" t="s">
        <v>6509</v>
      </c>
      <c r="E41" s="59" t="s">
        <v>6501</v>
      </c>
      <c r="F41" s="59" t="s">
        <v>7232</v>
      </c>
      <c r="G41" s="59" t="s">
        <v>7217</v>
      </c>
      <c r="H41" s="59" t="s">
        <v>6510</v>
      </c>
      <c r="I41" s="59" t="s">
        <v>5768</v>
      </c>
      <c r="J41" s="59" t="s">
        <v>5748</v>
      </c>
      <c r="K41" s="61">
        <f>VLOOKUP(B41,'Feuerwaffen-Ressourcen'!$A$2:$AI$54,11,0)+VLOOKUP(C41,'Feuerwaffen-Ressourcen'!$A$2:$AI$54,11,0)+VLOOKUP(D41,'Feuerwaffen-Ressourcen'!$A$2:$AI$54,11,0)+VLOOKUP(E41,'Feuerwaffen-Ressourcen'!$A$2:$AI$54,11,0)+VLOOKUP(G41,'Feuerwaffen-Ressourcen'!$A$2:$AI$54,11,0)</f>
        <v>3.0999999999999996</v>
      </c>
      <c r="L41" s="60">
        <f>VLOOKUP(B41,'Feuerwaffen-Ressourcen'!$A$2:$AI$54,12,0)+VLOOKUP(C41,'Feuerwaffen-Ressourcen'!$A$2:$AI$54,12,0)+VLOOKUP(D41,'Feuerwaffen-Ressourcen'!$A$2:$AI$54,12,0)+VLOOKUP(J41,'Feuerwaffen-Ressourcen'!$A$2:$AI$54,12,0)</f>
        <v>7</v>
      </c>
      <c r="M41" s="60" t="str">
        <f>VLOOKUP(VLOOKUP(B41,'Feuerwaffen-Ressourcen'!$A$2:$AI$54,13,0)+VLOOKUP(C41,'Feuerwaffen-Ressourcen'!$A$2:$AI$54,13,0)+VLOOKUP(D41,'Feuerwaffen-Ressourcen'!$A$2:$AI$54,13,0),'Feuerwaffen-Ressourcen'!$AJ$3:$AK$12,2,0)</f>
        <v>W8</v>
      </c>
      <c r="N41" s="60" t="str">
        <f>VLOOKUP(VLOOKUP(B41,'Feuerwaffen-Ressourcen'!$A$2:$AI$54,14,0)+VLOOKUP(C41,'Feuerwaffen-Ressourcen'!$A$2:$AI$54,14,0)+VLOOKUP(D41,'Feuerwaffen-Ressourcen'!$A$2:$AI$54,14,0),'Feuerwaffen-Ressourcen'!$AJ$3:$AK$12,2,0)</f>
        <v>W8</v>
      </c>
      <c r="O41" s="60">
        <f>VLOOKUP(B41,'Feuerwaffen-Ressourcen'!$A$2:$AI$54,15,0)+VLOOKUP(C41,'Feuerwaffen-Ressourcen'!$A$2:$AI$54,15,0)+VLOOKUP(D41,'Feuerwaffen-Ressourcen'!$A$2:$AI$54,15,0)</f>
        <v>1</v>
      </c>
      <c r="P41" s="60">
        <f>VLOOKUP(B41,'Feuerwaffen-Ressourcen'!$A$2:$AI$54,16,0)+VLOOKUP(C41,'Feuerwaffen-Ressourcen'!$A$2:$AI$54,16,0)+VLOOKUP(D41,'Feuerwaffen-Ressourcen'!$A$2:$AI$54,16,0)+VLOOKUP(E41,'Feuerwaffen-Ressourcen'!$A$2:$AI$54,16,0)</f>
        <v>14</v>
      </c>
      <c r="Q41" s="62">
        <f>VLOOKUP(B41,'Feuerwaffen-Ressourcen'!$A$2:$AI$54,17,0)+VLOOKUP(C41,'Feuerwaffen-Ressourcen'!$A$2:$AI$54,17,0)+VLOOKUP(D41,'Feuerwaffen-Ressourcen'!$A$2:$AI$54,17,0)+VLOOKUP(E41,'Feuerwaffen-Ressourcen'!$A$2:$AI$54,17,0)</f>
        <v>16</v>
      </c>
      <c r="R41" s="60">
        <f>VLOOKUP(B41,'Feuerwaffen-Ressourcen'!$A$2:$AI$54,18,0)+VLOOKUP(C41,'Feuerwaffen-Ressourcen'!$A$2:$AI$54,18,0)+VLOOKUP(D41,'Feuerwaffen-Ressourcen'!$A$2:$AI$54,18,0)+VLOOKUP(F41,'Feuerwaffen-Ressourcen'!$A$2:$AI$54,18,0)+VLOOKUP(G41,'Feuerwaffen-Ressourcen'!$A$2:$AI$54,18,0)+VLOOKUP(I41,'Feuerwaffen-Ressourcen'!$A$2:$AI$54,18,0)+VLOOKUP(J41,'Feuerwaffen-Ressourcen'!$A$2:$AI$54,18,0)</f>
        <v>4</v>
      </c>
      <c r="S41" s="60">
        <f>VLOOKUP(B41,'Feuerwaffen-Ressourcen'!$A$2:$AI$54,19,0)+VLOOKUP(C41,'Feuerwaffen-Ressourcen'!$A$2:$AI$54,19,0)+VLOOKUP(D41,'Feuerwaffen-Ressourcen'!$A$2:$AI$54,19,0)+VLOOKUP(F41,'Feuerwaffen-Ressourcen'!$A$2:$AI$54,19,0)+VLOOKUP(G41,'Feuerwaffen-Ressourcen'!$A$2:$AI$54,19,0)+VLOOKUP(I41,'Feuerwaffen-Ressourcen'!$A$2:$AI$54,19,0)+VLOOKUP(J41,'Feuerwaffen-Ressourcen'!$A$2:$AI$54,19,0)</f>
        <v>-1</v>
      </c>
      <c r="T41" s="60">
        <f>VLOOKUP(B41,'Feuerwaffen-Ressourcen'!$A$2:$AI$54,20,0)+VLOOKUP(C41,'Feuerwaffen-Ressourcen'!$A$2:$AI$54,20,0)+VLOOKUP(D41,'Feuerwaffen-Ressourcen'!$A$2:$AI$54,20,0)+VLOOKUP(F41,'Feuerwaffen-Ressourcen'!$A$2:$AI$54,20,0)+VLOOKUP(G41,'Feuerwaffen-Ressourcen'!$A$2:$AI$54,20,0)+VLOOKUP(I41,'Feuerwaffen-Ressourcen'!$A$2:$AI$54,20,0)+VLOOKUP(J41,'Feuerwaffen-Ressourcen'!$A$2:$AI$54,20,0)</f>
        <v>-6</v>
      </c>
      <c r="U41" s="60">
        <f>VLOOKUP(B41,'Feuerwaffen-Ressourcen'!$A$2:$AI$54,21,0)+VLOOKUP(C41,'Feuerwaffen-Ressourcen'!$A$2:$AI$54,21,0)+VLOOKUP(D41,'Feuerwaffen-Ressourcen'!$A$2:$AI$54,21,0)+VLOOKUP(F41,'Feuerwaffen-Ressourcen'!$A$2:$AI$54,21,0)+VLOOKUP(G41,'Feuerwaffen-Ressourcen'!$A$2:$AI$54,21,0)+VLOOKUP(I41,'Feuerwaffen-Ressourcen'!$A$2:$AI$54,21,0)+VLOOKUP(J41,'Feuerwaffen-Ressourcen'!$A$2:$AI$54,21,0)</f>
        <v>-13</v>
      </c>
      <c r="V41" s="60">
        <f>VLOOKUP(B41,'Feuerwaffen-Ressourcen'!$A$2:$AI$54,22,0)+VLOOKUP(C41,'Feuerwaffen-Ressourcen'!$A$2:$AI$54,22,0)+VLOOKUP(D41,'Feuerwaffen-Ressourcen'!$A$2:$AI$54,22,0)+VLOOKUP(F41,'Feuerwaffen-Ressourcen'!$A$2:$AI$54,22,0)+VLOOKUP(G41,'Feuerwaffen-Ressourcen'!$A$2:$AI$54,22,0)+VLOOKUP(I41,'Feuerwaffen-Ressourcen'!$A$2:$AI$54,22,0)+VLOOKUP(J41,'Feuerwaffen-Ressourcen'!$A$2:$AI$54,22,0)</f>
        <v>-20</v>
      </c>
      <c r="W41" s="60">
        <f>VLOOKUP(B41,'Feuerwaffen-Ressourcen'!$A$2:$AI$54,23,0)+VLOOKUP(C41,'Feuerwaffen-Ressourcen'!$A$2:$AI$54,23,0)+VLOOKUP(D41,'Feuerwaffen-Ressourcen'!$A$2:$AI$54,23,0)+VLOOKUP(F41,'Feuerwaffen-Ressourcen'!$A$2:$AI$54,23,0)+VLOOKUP(G41,'Feuerwaffen-Ressourcen'!$A$2:$AI$54,23,0)+VLOOKUP(I41,'Feuerwaffen-Ressourcen'!$A$2:$AI$54,23,0)+VLOOKUP(J41,'Feuerwaffen-Ressourcen'!$A$2:$AI$54,23,0)</f>
        <v>-28</v>
      </c>
      <c r="X41" s="60">
        <f>VLOOKUP(B41,'Feuerwaffen-Ressourcen'!$A$2:$AI$54,24,0)+VLOOKUP(C41,'Feuerwaffen-Ressourcen'!$A$2:$AI$54,24,0)+VLOOKUP(D41,'Feuerwaffen-Ressourcen'!$A$2:$AI$54,24,0)+VLOOKUP(G41,'Feuerwaffen-Ressourcen'!$A$2:$AI$54,24,0)</f>
        <v>40</v>
      </c>
      <c r="Y41" s="60">
        <f>VLOOKUP(D41,'Feuerwaffen-Ressourcen'!$A$2:$AI$54,25,0)+VLOOKUP(E41,'Feuerwaffen-Ressourcen'!$A$2:$AI$54,25,0)+VLOOKUP(F41,'Feuerwaffen-Ressourcen'!$A$2:$AI$54,25,0)</f>
        <v>33</v>
      </c>
      <c r="Z41" s="60">
        <f>VLOOKUP(E41,'Feuerwaffen-Ressourcen'!$A$2:$AI$54,26,0)</f>
        <v>3</v>
      </c>
      <c r="AA41" s="60">
        <f>VLOOKUP(B41,'Feuerwaffen-Ressourcen'!$A$2:$AI$54,27,0)+VLOOKUP(D41,'Feuerwaffen-Ressourcen'!$A$2:$AI$54,27,0)+VLOOKUP(F41,'Feuerwaffen-Ressourcen'!$A$2:$AI$54,27,0)+VLOOKUP(I41,'Feuerwaffen-Ressourcen'!$A$2:$AI$54,27,0)</f>
        <v>4</v>
      </c>
      <c r="AB41" s="60">
        <f>VLOOKUP(B41,'Feuerwaffen-Ressourcen'!$A$2:$AI$54,28,0)+VLOOKUP(C41,'Feuerwaffen-Ressourcen'!$A$2:$AI$54,28,0)+VLOOKUP(D41,'Feuerwaffen-Ressourcen'!$A$2:$AI$54,28,0)+VLOOKUP(E41,'Feuerwaffen-Ressourcen'!$A$2:$AI$54,28,0)+VLOOKUP(F41,'Feuerwaffen-Ressourcen'!$A$2:$AI$54,28,0)+VLOOKUP(G41,'Feuerwaffen-Ressourcen'!$A$2:$AI$54,28,0)+VLOOKUP(I41,'Feuerwaffen-Ressourcen'!$A$2:$AI$54,28,0)+VLOOKUP(J41,'Feuerwaffen-Ressourcen'!$A$2:$AI$54,28,0)</f>
        <v>60</v>
      </c>
      <c r="AC41" s="63">
        <f>VLOOKUP(I41,'Feuerwaffen-Ressourcen'!$A$2:$AI$54,31,0)*AD41+AE41</f>
        <v>214.5</v>
      </c>
      <c r="AD41" s="64">
        <f>VLOOKUP(B41,'Feuerwaffen-Ressourcen'!$A$2:$AI$54,30,0)+VLOOKUP(C41,'Feuerwaffen-Ressourcen'!$A$2:$AI$54,30,0)+VLOOKUP(D41,'Feuerwaffen-Ressourcen'!$A$2:$AI$54,30,0)+VLOOKUP(F41,'Feuerwaffen-Ressourcen'!$A$2:$AI$54,30,0)+VLOOKUP(G41,'Feuerwaffen-Ressourcen'!$A$2:$AI$54,30,0)+VLOOKUP(I41,'Feuerwaffen-Ressourcen'!$A$2:$AI$54,30,0)+VLOOKUP(J41,'Feuerwaffen-Ressourcen'!$A$2:$AI$54,30,0)</f>
        <v>11.2</v>
      </c>
      <c r="AE41" s="63">
        <f>(VLOOKUP(C41,'Feuerwaffen-Ressourcen'!$A$2:$AI$54,32,0)+VLOOKUP(I41,'Feuerwaffen-Ressourcen'!$A$2:$AI$54,32,0))*(VLOOKUP(B41,'Feuerwaffen-Ressourcen'!$A$2:$AI$54,34,0)+VLOOKUP(C41,'Feuerwaffen-Ressourcen'!$A$2:$AI$54,34,0)+VLOOKUP(D41,'Feuerwaffen-Ressourcen'!$A$2:$AI$54,34,0)+VLOOKUP(E41,'Feuerwaffen-Ressourcen'!$A$2:$AI$54,34,0)+VLOOKUP(G41,'Feuerwaffen-Ressourcen'!$A$2:$AI$54,34,0))+VLOOKUP(B41,'Feuerwaffen-Ressourcen'!$A$2:$AI$54,35,0)+VLOOKUP(C41,'Feuerwaffen-Ressourcen'!$A$2:$AI$54,35,0)+VLOOKUP(D41,'Feuerwaffen-Ressourcen'!$A$2:$AI$54,35,0)</f>
        <v>169.70000000000002</v>
      </c>
      <c r="AF41" s="65">
        <f>VLOOKUP(AB41,'Feuerwaffen-Ressourcen'!$AO$3:$AP$9,2,1)</f>
        <v>7</v>
      </c>
      <c r="AG41" s="65">
        <v>0</v>
      </c>
    </row>
    <row r="42" spans="1:33">
      <c r="A42" s="59" t="s">
        <v>7158</v>
      </c>
      <c r="B42" s="59" t="s">
        <v>1425</v>
      </c>
      <c r="C42" s="59" t="s">
        <v>7215</v>
      </c>
      <c r="D42" s="59" t="s">
        <v>7222</v>
      </c>
      <c r="E42" s="59" t="s">
        <v>7141</v>
      </c>
      <c r="F42" s="59" t="s">
        <v>7224</v>
      </c>
      <c r="G42" s="59" t="s">
        <v>7225</v>
      </c>
      <c r="H42" s="59" t="s">
        <v>7124</v>
      </c>
      <c r="I42" s="59" t="s">
        <v>5768</v>
      </c>
      <c r="J42" s="59" t="s">
        <v>5748</v>
      </c>
      <c r="K42" s="61">
        <f>VLOOKUP(B42,'Feuerwaffen-Ressourcen'!$A$2:$AI$54,11,0)+VLOOKUP(C42,'Feuerwaffen-Ressourcen'!$A$2:$AI$54,11,0)+VLOOKUP(D42,'Feuerwaffen-Ressourcen'!$A$2:$AI$54,11,0)+VLOOKUP(E42,'Feuerwaffen-Ressourcen'!$A$2:$AI$54,11,0)+VLOOKUP(G42,'Feuerwaffen-Ressourcen'!$A$2:$AI$54,11,0)</f>
        <v>2.4499999999999997</v>
      </c>
      <c r="L42" s="60">
        <f>VLOOKUP(B42,'Feuerwaffen-Ressourcen'!$A$2:$AI$54,12,0)+VLOOKUP(C42,'Feuerwaffen-Ressourcen'!$A$2:$AI$54,12,0)+VLOOKUP(D42,'Feuerwaffen-Ressourcen'!$A$2:$AI$54,12,0)+VLOOKUP(J42,'Feuerwaffen-Ressourcen'!$A$2:$AI$54,12,0)</f>
        <v>6</v>
      </c>
      <c r="M42" s="60" t="str">
        <f>VLOOKUP(VLOOKUP(B42,'Feuerwaffen-Ressourcen'!$A$2:$AI$54,13,0)+VLOOKUP(C42,'Feuerwaffen-Ressourcen'!$A$2:$AI$54,13,0)+VLOOKUP(D42,'Feuerwaffen-Ressourcen'!$A$2:$AI$54,13,0),'Feuerwaffen-Ressourcen'!$AJ$3:$AK$12,2,0)</f>
        <v>W8</v>
      </c>
      <c r="N42" s="60" t="str">
        <f>VLOOKUP(VLOOKUP(B42,'Feuerwaffen-Ressourcen'!$A$2:$AI$54,14,0)+VLOOKUP(C42,'Feuerwaffen-Ressourcen'!$A$2:$AI$54,14,0)+VLOOKUP(D42,'Feuerwaffen-Ressourcen'!$A$2:$AI$54,14,0),'Feuerwaffen-Ressourcen'!$AJ$3:$AK$12,2,0)</f>
        <v>W8</v>
      </c>
      <c r="O42" s="60">
        <f>VLOOKUP(B42,'Feuerwaffen-Ressourcen'!$A$2:$AI$54,15,0)+VLOOKUP(C42,'Feuerwaffen-Ressourcen'!$A$2:$AI$54,15,0)+VLOOKUP(D42,'Feuerwaffen-Ressourcen'!$A$2:$AI$54,15,0)</f>
        <v>1</v>
      </c>
      <c r="P42" s="60">
        <f>VLOOKUP(B42,'Feuerwaffen-Ressourcen'!$A$2:$AI$54,16,0)+VLOOKUP(C42,'Feuerwaffen-Ressourcen'!$A$2:$AI$54,16,0)+VLOOKUP(D42,'Feuerwaffen-Ressourcen'!$A$2:$AI$54,16,0)+VLOOKUP(E42,'Feuerwaffen-Ressourcen'!$A$2:$AI$54,16,0)</f>
        <v>20</v>
      </c>
      <c r="Q42" s="62">
        <f>VLOOKUP(B42,'Feuerwaffen-Ressourcen'!$A$2:$AI$54,17,0)+VLOOKUP(C42,'Feuerwaffen-Ressourcen'!$A$2:$AI$54,17,0)+VLOOKUP(D42,'Feuerwaffen-Ressourcen'!$A$2:$AI$54,17,0)+VLOOKUP(E42,'Feuerwaffen-Ressourcen'!$A$2:$AI$54,17,0)</f>
        <v>10</v>
      </c>
      <c r="R42" s="60">
        <f>VLOOKUP(B42,'Feuerwaffen-Ressourcen'!$A$2:$AI$54,18,0)+VLOOKUP(C42,'Feuerwaffen-Ressourcen'!$A$2:$AI$54,18,0)+VLOOKUP(D42,'Feuerwaffen-Ressourcen'!$A$2:$AI$54,18,0)+VLOOKUP(F42,'Feuerwaffen-Ressourcen'!$A$2:$AI$54,18,0)+VLOOKUP(G42,'Feuerwaffen-Ressourcen'!$A$2:$AI$54,18,0)+VLOOKUP(I42,'Feuerwaffen-Ressourcen'!$A$2:$AI$54,18,0)+VLOOKUP(J42,'Feuerwaffen-Ressourcen'!$A$2:$AI$54,18,0)</f>
        <v>8</v>
      </c>
      <c r="S42" s="60">
        <f>VLOOKUP(B42,'Feuerwaffen-Ressourcen'!$A$2:$AI$54,19,0)+VLOOKUP(C42,'Feuerwaffen-Ressourcen'!$A$2:$AI$54,19,0)+VLOOKUP(D42,'Feuerwaffen-Ressourcen'!$A$2:$AI$54,19,0)+VLOOKUP(F42,'Feuerwaffen-Ressourcen'!$A$2:$AI$54,19,0)+VLOOKUP(G42,'Feuerwaffen-Ressourcen'!$A$2:$AI$54,19,0)+VLOOKUP(I42,'Feuerwaffen-Ressourcen'!$A$2:$AI$54,19,0)+VLOOKUP(J42,'Feuerwaffen-Ressourcen'!$A$2:$AI$54,19,0)</f>
        <v>2</v>
      </c>
      <c r="T42" s="60">
        <f>VLOOKUP(B42,'Feuerwaffen-Ressourcen'!$A$2:$AI$54,20,0)+VLOOKUP(C42,'Feuerwaffen-Ressourcen'!$A$2:$AI$54,20,0)+VLOOKUP(D42,'Feuerwaffen-Ressourcen'!$A$2:$AI$54,20,0)+VLOOKUP(F42,'Feuerwaffen-Ressourcen'!$A$2:$AI$54,20,0)+VLOOKUP(G42,'Feuerwaffen-Ressourcen'!$A$2:$AI$54,20,0)+VLOOKUP(I42,'Feuerwaffen-Ressourcen'!$A$2:$AI$54,20,0)+VLOOKUP(J42,'Feuerwaffen-Ressourcen'!$A$2:$AI$54,20,0)</f>
        <v>-5</v>
      </c>
      <c r="U42" s="60">
        <f>VLOOKUP(B42,'Feuerwaffen-Ressourcen'!$A$2:$AI$54,21,0)+VLOOKUP(C42,'Feuerwaffen-Ressourcen'!$A$2:$AI$54,21,0)+VLOOKUP(D42,'Feuerwaffen-Ressourcen'!$A$2:$AI$54,21,0)+VLOOKUP(F42,'Feuerwaffen-Ressourcen'!$A$2:$AI$54,21,0)+VLOOKUP(G42,'Feuerwaffen-Ressourcen'!$A$2:$AI$54,21,0)+VLOOKUP(I42,'Feuerwaffen-Ressourcen'!$A$2:$AI$54,21,0)+VLOOKUP(J42,'Feuerwaffen-Ressourcen'!$A$2:$AI$54,21,0)</f>
        <v>-15</v>
      </c>
      <c r="V42" s="60">
        <f>VLOOKUP(B42,'Feuerwaffen-Ressourcen'!$A$2:$AI$54,22,0)+VLOOKUP(C42,'Feuerwaffen-Ressourcen'!$A$2:$AI$54,22,0)+VLOOKUP(D42,'Feuerwaffen-Ressourcen'!$A$2:$AI$54,22,0)+VLOOKUP(F42,'Feuerwaffen-Ressourcen'!$A$2:$AI$54,22,0)+VLOOKUP(G42,'Feuerwaffen-Ressourcen'!$A$2:$AI$54,22,0)+VLOOKUP(I42,'Feuerwaffen-Ressourcen'!$A$2:$AI$54,22,0)+VLOOKUP(J42,'Feuerwaffen-Ressourcen'!$A$2:$AI$54,22,0)</f>
        <v>-25</v>
      </c>
      <c r="W42" s="60">
        <f>VLOOKUP(B42,'Feuerwaffen-Ressourcen'!$A$2:$AI$54,23,0)+VLOOKUP(C42,'Feuerwaffen-Ressourcen'!$A$2:$AI$54,23,0)+VLOOKUP(D42,'Feuerwaffen-Ressourcen'!$A$2:$AI$54,23,0)+VLOOKUP(F42,'Feuerwaffen-Ressourcen'!$A$2:$AI$54,23,0)+VLOOKUP(G42,'Feuerwaffen-Ressourcen'!$A$2:$AI$54,23,0)+VLOOKUP(I42,'Feuerwaffen-Ressourcen'!$A$2:$AI$54,23,0)+VLOOKUP(J42,'Feuerwaffen-Ressourcen'!$A$2:$AI$54,23,0)</f>
        <v>-35</v>
      </c>
      <c r="X42" s="60">
        <f>VLOOKUP(B42,'Feuerwaffen-Ressourcen'!$A$2:$AI$54,24,0)+VLOOKUP(C42,'Feuerwaffen-Ressourcen'!$A$2:$AI$54,24,0)+VLOOKUP(D42,'Feuerwaffen-Ressourcen'!$A$2:$AI$54,24,0)+VLOOKUP(G42,'Feuerwaffen-Ressourcen'!$A$2:$AI$54,24,0)</f>
        <v>60</v>
      </c>
      <c r="Y42" s="60">
        <f>VLOOKUP(D42,'Feuerwaffen-Ressourcen'!$A$2:$AI$54,25,0)+VLOOKUP(E42,'Feuerwaffen-Ressourcen'!$A$2:$AI$54,25,0)+VLOOKUP(F42,'Feuerwaffen-Ressourcen'!$A$2:$AI$54,25,0)</f>
        <v>8</v>
      </c>
      <c r="Z42" s="60">
        <f>VLOOKUP(E42,'Feuerwaffen-Ressourcen'!$A$2:$AI$54,26,0)</f>
        <v>6</v>
      </c>
      <c r="AA42" s="60">
        <f>VLOOKUP(B42,'Feuerwaffen-Ressourcen'!$A$2:$AI$54,27,0)+VLOOKUP(D42,'Feuerwaffen-Ressourcen'!$A$2:$AI$54,27,0)+VLOOKUP(F42,'Feuerwaffen-Ressourcen'!$A$2:$AI$54,27,0)+VLOOKUP(I42,'Feuerwaffen-Ressourcen'!$A$2:$AI$54,27,0)</f>
        <v>1</v>
      </c>
      <c r="AB42" s="60">
        <f>VLOOKUP(B42,'Feuerwaffen-Ressourcen'!$A$2:$AI$54,28,0)+VLOOKUP(C42,'Feuerwaffen-Ressourcen'!$A$2:$AI$54,28,0)+VLOOKUP(D42,'Feuerwaffen-Ressourcen'!$A$2:$AI$54,28,0)+VLOOKUP(E42,'Feuerwaffen-Ressourcen'!$A$2:$AI$54,28,0)+VLOOKUP(F42,'Feuerwaffen-Ressourcen'!$A$2:$AI$54,28,0)+VLOOKUP(G42,'Feuerwaffen-Ressourcen'!$A$2:$AI$54,28,0)+VLOOKUP(I42,'Feuerwaffen-Ressourcen'!$A$2:$AI$54,28,0)+VLOOKUP(J42,'Feuerwaffen-Ressourcen'!$A$2:$AI$54,28,0)</f>
        <v>60</v>
      </c>
      <c r="AC42" s="63">
        <f>VLOOKUP(I42,'Feuerwaffen-Ressourcen'!$A$2:$AI$54,31,0)*AD42+AE42</f>
        <v>126.39999999999999</v>
      </c>
      <c r="AD42" s="64">
        <f>VLOOKUP(B42,'Feuerwaffen-Ressourcen'!$A$2:$AI$54,30,0)+VLOOKUP(C42,'Feuerwaffen-Ressourcen'!$A$2:$AI$54,30,0)+VLOOKUP(D42,'Feuerwaffen-Ressourcen'!$A$2:$AI$54,30,0)+VLOOKUP(F42,'Feuerwaffen-Ressourcen'!$A$2:$AI$54,30,0)+VLOOKUP(G42,'Feuerwaffen-Ressourcen'!$A$2:$AI$54,30,0)+VLOOKUP(I42,'Feuerwaffen-Ressourcen'!$A$2:$AI$54,30,0)+VLOOKUP(J42,'Feuerwaffen-Ressourcen'!$A$2:$AI$54,30,0)</f>
        <v>5.6999999999999993</v>
      </c>
      <c r="AE42" s="63">
        <f>(VLOOKUP(C42,'Feuerwaffen-Ressourcen'!$A$2:$AI$54,32,0)+VLOOKUP(I42,'Feuerwaffen-Ressourcen'!$A$2:$AI$54,32,0))*(VLOOKUP(B42,'Feuerwaffen-Ressourcen'!$A$2:$AI$54,34,0)+VLOOKUP(C42,'Feuerwaffen-Ressourcen'!$A$2:$AI$54,34,0)+VLOOKUP(D42,'Feuerwaffen-Ressourcen'!$A$2:$AI$54,34,0)+VLOOKUP(E42,'Feuerwaffen-Ressourcen'!$A$2:$AI$54,34,0)+VLOOKUP(G42,'Feuerwaffen-Ressourcen'!$A$2:$AI$54,34,0))+VLOOKUP(B42,'Feuerwaffen-Ressourcen'!$A$2:$AI$54,35,0)+VLOOKUP(C42,'Feuerwaffen-Ressourcen'!$A$2:$AI$54,35,0)+VLOOKUP(D42,'Feuerwaffen-Ressourcen'!$A$2:$AI$54,35,0)</f>
        <v>103.6</v>
      </c>
      <c r="AF42" s="65">
        <f>VLOOKUP(AB42,'Feuerwaffen-Ressourcen'!$AO$3:$AP$9,2,1)</f>
        <v>7</v>
      </c>
      <c r="AG42" s="65">
        <v>0</v>
      </c>
    </row>
    <row r="43" spans="1:33">
      <c r="A43" s="59" t="s">
        <v>7159</v>
      </c>
      <c r="B43" s="59" t="s">
        <v>1425</v>
      </c>
      <c r="C43" s="59" t="s">
        <v>7215</v>
      </c>
      <c r="D43" s="59" t="s">
        <v>7231</v>
      </c>
      <c r="E43" s="59" t="s">
        <v>6501</v>
      </c>
      <c r="F43" s="59" t="s">
        <v>7229</v>
      </c>
      <c r="G43" s="59" t="s">
        <v>7225</v>
      </c>
      <c r="H43" s="59" t="s">
        <v>6514</v>
      </c>
      <c r="I43" s="59" t="s">
        <v>5768</v>
      </c>
      <c r="J43" s="59" t="s">
        <v>5748</v>
      </c>
      <c r="K43" s="61">
        <f>VLOOKUP(B43,'Feuerwaffen-Ressourcen'!$A$2:$AI$54,11,0)+VLOOKUP(C43,'Feuerwaffen-Ressourcen'!$A$2:$AI$54,11,0)+VLOOKUP(D43,'Feuerwaffen-Ressourcen'!$A$2:$AI$54,11,0)+VLOOKUP(E43,'Feuerwaffen-Ressourcen'!$A$2:$AI$54,11,0)+VLOOKUP(G43,'Feuerwaffen-Ressourcen'!$A$2:$AI$54,11,0)</f>
        <v>2.3499999999999996</v>
      </c>
      <c r="L43" s="60">
        <f>VLOOKUP(B43,'Feuerwaffen-Ressourcen'!$A$2:$AI$54,12,0)+VLOOKUP(C43,'Feuerwaffen-Ressourcen'!$A$2:$AI$54,12,0)+VLOOKUP(D43,'Feuerwaffen-Ressourcen'!$A$2:$AI$54,12,0)+VLOOKUP(J43,'Feuerwaffen-Ressourcen'!$A$2:$AI$54,12,0)</f>
        <v>6</v>
      </c>
      <c r="M43" s="60" t="str">
        <f>VLOOKUP(VLOOKUP(B43,'Feuerwaffen-Ressourcen'!$A$2:$AI$54,13,0)+VLOOKUP(C43,'Feuerwaffen-Ressourcen'!$A$2:$AI$54,13,0)+VLOOKUP(D43,'Feuerwaffen-Ressourcen'!$A$2:$AI$54,13,0),'Feuerwaffen-Ressourcen'!$AJ$3:$AK$12,2,0)</f>
        <v>W8</v>
      </c>
      <c r="N43" s="60" t="str">
        <f>VLOOKUP(VLOOKUP(B43,'Feuerwaffen-Ressourcen'!$A$2:$AI$54,14,0)+VLOOKUP(C43,'Feuerwaffen-Ressourcen'!$A$2:$AI$54,14,0)+VLOOKUP(D43,'Feuerwaffen-Ressourcen'!$A$2:$AI$54,14,0),'Feuerwaffen-Ressourcen'!$AJ$3:$AK$12,2,0)</f>
        <v>W8</v>
      </c>
      <c r="O43" s="60">
        <f>VLOOKUP(B43,'Feuerwaffen-Ressourcen'!$A$2:$AI$54,15,0)+VLOOKUP(C43,'Feuerwaffen-Ressourcen'!$A$2:$AI$54,15,0)+VLOOKUP(D43,'Feuerwaffen-Ressourcen'!$A$2:$AI$54,15,0)</f>
        <v>1</v>
      </c>
      <c r="P43" s="60">
        <f>VLOOKUP(B43,'Feuerwaffen-Ressourcen'!$A$2:$AI$54,16,0)+VLOOKUP(C43,'Feuerwaffen-Ressourcen'!$A$2:$AI$54,16,0)+VLOOKUP(D43,'Feuerwaffen-Ressourcen'!$A$2:$AI$54,16,0)+VLOOKUP(E43,'Feuerwaffen-Ressourcen'!$A$2:$AI$54,16,0)</f>
        <v>14</v>
      </c>
      <c r="Q43" s="62">
        <f>VLOOKUP(B43,'Feuerwaffen-Ressourcen'!$A$2:$AI$54,17,0)+VLOOKUP(C43,'Feuerwaffen-Ressourcen'!$A$2:$AI$54,17,0)+VLOOKUP(D43,'Feuerwaffen-Ressourcen'!$A$2:$AI$54,17,0)+VLOOKUP(E43,'Feuerwaffen-Ressourcen'!$A$2:$AI$54,17,0)</f>
        <v>16</v>
      </c>
      <c r="R43" s="60">
        <f>VLOOKUP(B43,'Feuerwaffen-Ressourcen'!$A$2:$AI$54,18,0)+VLOOKUP(C43,'Feuerwaffen-Ressourcen'!$A$2:$AI$54,18,0)+VLOOKUP(D43,'Feuerwaffen-Ressourcen'!$A$2:$AI$54,18,0)+VLOOKUP(F43,'Feuerwaffen-Ressourcen'!$A$2:$AI$54,18,0)+VLOOKUP(G43,'Feuerwaffen-Ressourcen'!$A$2:$AI$54,18,0)+VLOOKUP(I43,'Feuerwaffen-Ressourcen'!$A$2:$AI$54,18,0)+VLOOKUP(J43,'Feuerwaffen-Ressourcen'!$A$2:$AI$54,18,0)</f>
        <v>7</v>
      </c>
      <c r="S43" s="60">
        <f>VLOOKUP(B43,'Feuerwaffen-Ressourcen'!$A$2:$AI$54,19,0)+VLOOKUP(C43,'Feuerwaffen-Ressourcen'!$A$2:$AI$54,19,0)+VLOOKUP(D43,'Feuerwaffen-Ressourcen'!$A$2:$AI$54,19,0)+VLOOKUP(F43,'Feuerwaffen-Ressourcen'!$A$2:$AI$54,19,0)+VLOOKUP(G43,'Feuerwaffen-Ressourcen'!$A$2:$AI$54,19,0)+VLOOKUP(I43,'Feuerwaffen-Ressourcen'!$A$2:$AI$54,19,0)+VLOOKUP(J43,'Feuerwaffen-Ressourcen'!$A$2:$AI$54,19,0)</f>
        <v>1</v>
      </c>
      <c r="T43" s="60">
        <f>VLOOKUP(B43,'Feuerwaffen-Ressourcen'!$A$2:$AI$54,20,0)+VLOOKUP(C43,'Feuerwaffen-Ressourcen'!$A$2:$AI$54,20,0)+VLOOKUP(D43,'Feuerwaffen-Ressourcen'!$A$2:$AI$54,20,0)+VLOOKUP(F43,'Feuerwaffen-Ressourcen'!$A$2:$AI$54,20,0)+VLOOKUP(G43,'Feuerwaffen-Ressourcen'!$A$2:$AI$54,20,0)+VLOOKUP(I43,'Feuerwaffen-Ressourcen'!$A$2:$AI$54,20,0)+VLOOKUP(J43,'Feuerwaffen-Ressourcen'!$A$2:$AI$54,20,0)</f>
        <v>-6</v>
      </c>
      <c r="U43" s="60">
        <f>VLOOKUP(B43,'Feuerwaffen-Ressourcen'!$A$2:$AI$54,21,0)+VLOOKUP(C43,'Feuerwaffen-Ressourcen'!$A$2:$AI$54,21,0)+VLOOKUP(D43,'Feuerwaffen-Ressourcen'!$A$2:$AI$54,21,0)+VLOOKUP(F43,'Feuerwaffen-Ressourcen'!$A$2:$AI$54,21,0)+VLOOKUP(G43,'Feuerwaffen-Ressourcen'!$A$2:$AI$54,21,0)+VLOOKUP(I43,'Feuerwaffen-Ressourcen'!$A$2:$AI$54,21,0)+VLOOKUP(J43,'Feuerwaffen-Ressourcen'!$A$2:$AI$54,21,0)</f>
        <v>-16</v>
      </c>
      <c r="V43" s="60">
        <f>VLOOKUP(B43,'Feuerwaffen-Ressourcen'!$A$2:$AI$54,22,0)+VLOOKUP(C43,'Feuerwaffen-Ressourcen'!$A$2:$AI$54,22,0)+VLOOKUP(D43,'Feuerwaffen-Ressourcen'!$A$2:$AI$54,22,0)+VLOOKUP(F43,'Feuerwaffen-Ressourcen'!$A$2:$AI$54,22,0)+VLOOKUP(G43,'Feuerwaffen-Ressourcen'!$A$2:$AI$54,22,0)+VLOOKUP(I43,'Feuerwaffen-Ressourcen'!$A$2:$AI$54,22,0)+VLOOKUP(J43,'Feuerwaffen-Ressourcen'!$A$2:$AI$54,22,0)</f>
        <v>-26</v>
      </c>
      <c r="W43" s="60">
        <f>VLOOKUP(B43,'Feuerwaffen-Ressourcen'!$A$2:$AI$54,23,0)+VLOOKUP(C43,'Feuerwaffen-Ressourcen'!$A$2:$AI$54,23,0)+VLOOKUP(D43,'Feuerwaffen-Ressourcen'!$A$2:$AI$54,23,0)+VLOOKUP(F43,'Feuerwaffen-Ressourcen'!$A$2:$AI$54,23,0)+VLOOKUP(G43,'Feuerwaffen-Ressourcen'!$A$2:$AI$54,23,0)+VLOOKUP(I43,'Feuerwaffen-Ressourcen'!$A$2:$AI$54,23,0)+VLOOKUP(J43,'Feuerwaffen-Ressourcen'!$A$2:$AI$54,23,0)</f>
        <v>-36</v>
      </c>
      <c r="X43" s="60">
        <f>VLOOKUP(B43,'Feuerwaffen-Ressourcen'!$A$2:$AI$54,24,0)+VLOOKUP(C43,'Feuerwaffen-Ressourcen'!$A$2:$AI$54,24,0)+VLOOKUP(D43,'Feuerwaffen-Ressourcen'!$A$2:$AI$54,24,0)+VLOOKUP(G43,'Feuerwaffen-Ressourcen'!$A$2:$AI$54,24,0)</f>
        <v>60</v>
      </c>
      <c r="Y43" s="60">
        <f>VLOOKUP(D43,'Feuerwaffen-Ressourcen'!$A$2:$AI$54,25,0)+VLOOKUP(E43,'Feuerwaffen-Ressourcen'!$A$2:$AI$54,25,0)+VLOOKUP(F43,'Feuerwaffen-Ressourcen'!$A$2:$AI$54,25,0)</f>
        <v>28</v>
      </c>
      <c r="Z43" s="60">
        <f>VLOOKUP(E43,'Feuerwaffen-Ressourcen'!$A$2:$AI$54,26,0)</f>
        <v>3</v>
      </c>
      <c r="AA43" s="60">
        <f>VLOOKUP(B43,'Feuerwaffen-Ressourcen'!$A$2:$AI$54,27,0)+VLOOKUP(D43,'Feuerwaffen-Ressourcen'!$A$2:$AI$54,27,0)+VLOOKUP(F43,'Feuerwaffen-Ressourcen'!$A$2:$AI$54,27,0)+VLOOKUP(I43,'Feuerwaffen-Ressourcen'!$A$2:$AI$54,27,0)</f>
        <v>3</v>
      </c>
      <c r="AB43" s="60">
        <f>VLOOKUP(B43,'Feuerwaffen-Ressourcen'!$A$2:$AI$54,28,0)+VLOOKUP(C43,'Feuerwaffen-Ressourcen'!$A$2:$AI$54,28,0)+VLOOKUP(D43,'Feuerwaffen-Ressourcen'!$A$2:$AI$54,28,0)+VLOOKUP(E43,'Feuerwaffen-Ressourcen'!$A$2:$AI$54,28,0)+VLOOKUP(F43,'Feuerwaffen-Ressourcen'!$A$2:$AI$54,28,0)+VLOOKUP(G43,'Feuerwaffen-Ressourcen'!$A$2:$AI$54,28,0)+VLOOKUP(I43,'Feuerwaffen-Ressourcen'!$A$2:$AI$54,28,0)+VLOOKUP(J43,'Feuerwaffen-Ressourcen'!$A$2:$AI$54,28,0)</f>
        <v>110</v>
      </c>
      <c r="AC43" s="63">
        <f>VLOOKUP(I43,'Feuerwaffen-Ressourcen'!$A$2:$AI$54,31,0)*AD43+AE43</f>
        <v>106.39999999999999</v>
      </c>
      <c r="AD43" s="64">
        <f>VLOOKUP(B43,'Feuerwaffen-Ressourcen'!$A$2:$AI$54,30,0)+VLOOKUP(C43,'Feuerwaffen-Ressourcen'!$A$2:$AI$54,30,0)+VLOOKUP(D43,'Feuerwaffen-Ressourcen'!$A$2:$AI$54,30,0)+VLOOKUP(F43,'Feuerwaffen-Ressourcen'!$A$2:$AI$54,30,0)+VLOOKUP(G43,'Feuerwaffen-Ressourcen'!$A$2:$AI$54,30,0)+VLOOKUP(I43,'Feuerwaffen-Ressourcen'!$A$2:$AI$54,30,0)+VLOOKUP(J43,'Feuerwaffen-Ressourcen'!$A$2:$AI$54,30,0)</f>
        <v>3.7</v>
      </c>
      <c r="AE43" s="63">
        <f>(VLOOKUP(C43,'Feuerwaffen-Ressourcen'!$A$2:$AI$54,32,0)+VLOOKUP(I43,'Feuerwaffen-Ressourcen'!$A$2:$AI$54,32,0))*(VLOOKUP(B43,'Feuerwaffen-Ressourcen'!$A$2:$AI$54,34,0)+VLOOKUP(C43,'Feuerwaffen-Ressourcen'!$A$2:$AI$54,34,0)+VLOOKUP(D43,'Feuerwaffen-Ressourcen'!$A$2:$AI$54,34,0)+VLOOKUP(E43,'Feuerwaffen-Ressourcen'!$A$2:$AI$54,34,0)+VLOOKUP(G43,'Feuerwaffen-Ressourcen'!$A$2:$AI$54,34,0))+VLOOKUP(B43,'Feuerwaffen-Ressourcen'!$A$2:$AI$54,35,0)+VLOOKUP(C43,'Feuerwaffen-Ressourcen'!$A$2:$AI$54,35,0)+VLOOKUP(D43,'Feuerwaffen-Ressourcen'!$A$2:$AI$54,35,0)</f>
        <v>91.6</v>
      </c>
      <c r="AF43" s="65">
        <f>VLOOKUP(AB43,'Feuerwaffen-Ressourcen'!$AO$3:$AP$9,2,1)</f>
        <v>4</v>
      </c>
      <c r="AG43" s="65">
        <v>0</v>
      </c>
    </row>
    <row r="44" spans="1:33">
      <c r="A44" s="59" t="s">
        <v>7160</v>
      </c>
      <c r="B44" s="59" t="s">
        <v>1425</v>
      </c>
      <c r="C44" s="59" t="s">
        <v>7215</v>
      </c>
      <c r="D44" s="59" t="s">
        <v>7218</v>
      </c>
      <c r="E44" s="59" t="s">
        <v>6501</v>
      </c>
      <c r="F44" s="59" t="s">
        <v>7221</v>
      </c>
      <c r="G44" s="59" t="s">
        <v>7217</v>
      </c>
      <c r="H44" s="59" t="s">
        <v>6514</v>
      </c>
      <c r="I44" s="59" t="s">
        <v>5768</v>
      </c>
      <c r="J44" s="59" t="s">
        <v>5748</v>
      </c>
      <c r="K44" s="61">
        <f>VLOOKUP(B44,'Feuerwaffen-Ressourcen'!$A$2:$AI$54,11,0)+VLOOKUP(C44,'Feuerwaffen-Ressourcen'!$A$2:$AI$54,11,0)+VLOOKUP(D44,'Feuerwaffen-Ressourcen'!$A$2:$AI$54,11,0)+VLOOKUP(E44,'Feuerwaffen-Ressourcen'!$A$2:$AI$54,11,0)+VLOOKUP(G44,'Feuerwaffen-Ressourcen'!$A$2:$AI$54,11,0)</f>
        <v>4.0999999999999996</v>
      </c>
      <c r="L44" s="60">
        <f>VLOOKUP(B44,'Feuerwaffen-Ressourcen'!$A$2:$AI$54,12,0)+VLOOKUP(C44,'Feuerwaffen-Ressourcen'!$A$2:$AI$54,12,0)+VLOOKUP(D44,'Feuerwaffen-Ressourcen'!$A$2:$AI$54,12,0)+VLOOKUP(J44,'Feuerwaffen-Ressourcen'!$A$2:$AI$54,12,0)</f>
        <v>9</v>
      </c>
      <c r="M44" s="60" t="str">
        <f>VLOOKUP(VLOOKUP(B44,'Feuerwaffen-Ressourcen'!$A$2:$AI$54,13,0)+VLOOKUP(C44,'Feuerwaffen-Ressourcen'!$A$2:$AI$54,13,0)+VLOOKUP(D44,'Feuerwaffen-Ressourcen'!$A$2:$AI$54,13,0),'Feuerwaffen-Ressourcen'!$AJ$3:$AK$12,2,0)</f>
        <v>W10</v>
      </c>
      <c r="N44" s="60" t="str">
        <f>VLOOKUP(VLOOKUP(B44,'Feuerwaffen-Ressourcen'!$A$2:$AI$54,14,0)+VLOOKUP(C44,'Feuerwaffen-Ressourcen'!$A$2:$AI$54,14,0)+VLOOKUP(D44,'Feuerwaffen-Ressourcen'!$A$2:$AI$54,14,0),'Feuerwaffen-Ressourcen'!$AJ$3:$AK$12,2,0)</f>
        <v>W10</v>
      </c>
      <c r="O44" s="60">
        <f>VLOOKUP(B44,'Feuerwaffen-Ressourcen'!$A$2:$AI$54,15,0)+VLOOKUP(C44,'Feuerwaffen-Ressourcen'!$A$2:$AI$54,15,0)+VLOOKUP(D44,'Feuerwaffen-Ressourcen'!$A$2:$AI$54,15,0)</f>
        <v>2</v>
      </c>
      <c r="P44" s="60">
        <f>VLOOKUP(B44,'Feuerwaffen-Ressourcen'!$A$2:$AI$54,16,0)+VLOOKUP(C44,'Feuerwaffen-Ressourcen'!$A$2:$AI$54,16,0)+VLOOKUP(D44,'Feuerwaffen-Ressourcen'!$A$2:$AI$54,16,0)+VLOOKUP(E44,'Feuerwaffen-Ressourcen'!$A$2:$AI$54,16,0)</f>
        <v>15</v>
      </c>
      <c r="Q44" s="62">
        <f>VLOOKUP(B44,'Feuerwaffen-Ressourcen'!$A$2:$AI$54,17,0)+VLOOKUP(C44,'Feuerwaffen-Ressourcen'!$A$2:$AI$54,17,0)+VLOOKUP(D44,'Feuerwaffen-Ressourcen'!$A$2:$AI$54,17,0)+VLOOKUP(E44,'Feuerwaffen-Ressourcen'!$A$2:$AI$54,17,0)</f>
        <v>17</v>
      </c>
      <c r="R44" s="60">
        <f>VLOOKUP(B44,'Feuerwaffen-Ressourcen'!$A$2:$AI$54,18,0)+VLOOKUP(C44,'Feuerwaffen-Ressourcen'!$A$2:$AI$54,18,0)+VLOOKUP(D44,'Feuerwaffen-Ressourcen'!$A$2:$AI$54,18,0)+VLOOKUP(F44,'Feuerwaffen-Ressourcen'!$A$2:$AI$54,18,0)+VLOOKUP(G44,'Feuerwaffen-Ressourcen'!$A$2:$AI$54,18,0)+VLOOKUP(I44,'Feuerwaffen-Ressourcen'!$A$2:$AI$54,18,0)+VLOOKUP(J44,'Feuerwaffen-Ressourcen'!$A$2:$AI$54,18,0)</f>
        <v>0</v>
      </c>
      <c r="S44" s="60">
        <f>VLOOKUP(B44,'Feuerwaffen-Ressourcen'!$A$2:$AI$54,19,0)+VLOOKUP(C44,'Feuerwaffen-Ressourcen'!$A$2:$AI$54,19,0)+VLOOKUP(D44,'Feuerwaffen-Ressourcen'!$A$2:$AI$54,19,0)+VLOOKUP(F44,'Feuerwaffen-Ressourcen'!$A$2:$AI$54,19,0)+VLOOKUP(G44,'Feuerwaffen-Ressourcen'!$A$2:$AI$54,19,0)+VLOOKUP(I44,'Feuerwaffen-Ressourcen'!$A$2:$AI$54,19,0)+VLOOKUP(J44,'Feuerwaffen-Ressourcen'!$A$2:$AI$54,19,0)</f>
        <v>-4</v>
      </c>
      <c r="T44" s="60">
        <f>VLOOKUP(B44,'Feuerwaffen-Ressourcen'!$A$2:$AI$54,20,0)+VLOOKUP(C44,'Feuerwaffen-Ressourcen'!$A$2:$AI$54,20,0)+VLOOKUP(D44,'Feuerwaffen-Ressourcen'!$A$2:$AI$54,20,0)+VLOOKUP(F44,'Feuerwaffen-Ressourcen'!$A$2:$AI$54,20,0)+VLOOKUP(G44,'Feuerwaffen-Ressourcen'!$A$2:$AI$54,20,0)+VLOOKUP(I44,'Feuerwaffen-Ressourcen'!$A$2:$AI$54,20,0)+VLOOKUP(J44,'Feuerwaffen-Ressourcen'!$A$2:$AI$54,20,0)</f>
        <v>-8</v>
      </c>
      <c r="U44" s="60">
        <f>VLOOKUP(B44,'Feuerwaffen-Ressourcen'!$A$2:$AI$54,21,0)+VLOOKUP(C44,'Feuerwaffen-Ressourcen'!$A$2:$AI$54,21,0)+VLOOKUP(D44,'Feuerwaffen-Ressourcen'!$A$2:$AI$54,21,0)+VLOOKUP(F44,'Feuerwaffen-Ressourcen'!$A$2:$AI$54,21,0)+VLOOKUP(G44,'Feuerwaffen-Ressourcen'!$A$2:$AI$54,21,0)+VLOOKUP(I44,'Feuerwaffen-Ressourcen'!$A$2:$AI$54,21,0)+VLOOKUP(J44,'Feuerwaffen-Ressourcen'!$A$2:$AI$54,21,0)</f>
        <v>-15</v>
      </c>
      <c r="V44" s="60">
        <f>VLOOKUP(B44,'Feuerwaffen-Ressourcen'!$A$2:$AI$54,22,0)+VLOOKUP(C44,'Feuerwaffen-Ressourcen'!$A$2:$AI$54,22,0)+VLOOKUP(D44,'Feuerwaffen-Ressourcen'!$A$2:$AI$54,22,0)+VLOOKUP(F44,'Feuerwaffen-Ressourcen'!$A$2:$AI$54,22,0)+VLOOKUP(G44,'Feuerwaffen-Ressourcen'!$A$2:$AI$54,22,0)+VLOOKUP(I44,'Feuerwaffen-Ressourcen'!$A$2:$AI$54,22,0)+VLOOKUP(J44,'Feuerwaffen-Ressourcen'!$A$2:$AI$54,22,0)</f>
        <v>-22</v>
      </c>
      <c r="W44" s="60">
        <f>VLOOKUP(B44,'Feuerwaffen-Ressourcen'!$A$2:$AI$54,23,0)+VLOOKUP(C44,'Feuerwaffen-Ressourcen'!$A$2:$AI$54,23,0)+VLOOKUP(D44,'Feuerwaffen-Ressourcen'!$A$2:$AI$54,23,0)+VLOOKUP(F44,'Feuerwaffen-Ressourcen'!$A$2:$AI$54,23,0)+VLOOKUP(G44,'Feuerwaffen-Ressourcen'!$A$2:$AI$54,23,0)+VLOOKUP(I44,'Feuerwaffen-Ressourcen'!$A$2:$AI$54,23,0)+VLOOKUP(J44,'Feuerwaffen-Ressourcen'!$A$2:$AI$54,23,0)</f>
        <v>-30</v>
      </c>
      <c r="X44" s="60">
        <f>VLOOKUP(B44,'Feuerwaffen-Ressourcen'!$A$2:$AI$54,24,0)+VLOOKUP(C44,'Feuerwaffen-Ressourcen'!$A$2:$AI$54,24,0)+VLOOKUP(D44,'Feuerwaffen-Ressourcen'!$A$2:$AI$54,24,0)+VLOOKUP(G44,'Feuerwaffen-Ressourcen'!$A$2:$AI$54,24,0)</f>
        <v>60</v>
      </c>
      <c r="Y44" s="60">
        <f>VLOOKUP(D44,'Feuerwaffen-Ressourcen'!$A$2:$AI$54,25,0)+VLOOKUP(E44,'Feuerwaffen-Ressourcen'!$A$2:$AI$54,25,0)+VLOOKUP(F44,'Feuerwaffen-Ressourcen'!$A$2:$AI$54,25,0)</f>
        <v>32</v>
      </c>
      <c r="Z44" s="60">
        <f>VLOOKUP(E44,'Feuerwaffen-Ressourcen'!$A$2:$AI$54,26,0)</f>
        <v>3</v>
      </c>
      <c r="AA44" s="60">
        <f>VLOOKUP(B44,'Feuerwaffen-Ressourcen'!$A$2:$AI$54,27,0)+VLOOKUP(D44,'Feuerwaffen-Ressourcen'!$A$2:$AI$54,27,0)+VLOOKUP(F44,'Feuerwaffen-Ressourcen'!$A$2:$AI$54,27,0)+VLOOKUP(I44,'Feuerwaffen-Ressourcen'!$A$2:$AI$54,27,0)</f>
        <v>4</v>
      </c>
      <c r="AB44" s="60">
        <f>VLOOKUP(B44,'Feuerwaffen-Ressourcen'!$A$2:$AI$54,28,0)+VLOOKUP(C44,'Feuerwaffen-Ressourcen'!$A$2:$AI$54,28,0)+VLOOKUP(D44,'Feuerwaffen-Ressourcen'!$A$2:$AI$54,28,0)+VLOOKUP(E44,'Feuerwaffen-Ressourcen'!$A$2:$AI$54,28,0)+VLOOKUP(F44,'Feuerwaffen-Ressourcen'!$A$2:$AI$54,28,0)+VLOOKUP(G44,'Feuerwaffen-Ressourcen'!$A$2:$AI$54,28,0)+VLOOKUP(I44,'Feuerwaffen-Ressourcen'!$A$2:$AI$54,28,0)+VLOOKUP(J44,'Feuerwaffen-Ressourcen'!$A$2:$AI$54,28,0)</f>
        <v>130</v>
      </c>
      <c r="AC44" s="63">
        <f>VLOOKUP(I44,'Feuerwaffen-Ressourcen'!$A$2:$AI$54,31,0)*AD44+AE44</f>
        <v>298.5</v>
      </c>
      <c r="AD44" s="64">
        <f>VLOOKUP(B44,'Feuerwaffen-Ressourcen'!$A$2:$AI$54,30,0)+VLOOKUP(C44,'Feuerwaffen-Ressourcen'!$A$2:$AI$54,30,0)+VLOOKUP(D44,'Feuerwaffen-Ressourcen'!$A$2:$AI$54,30,0)+VLOOKUP(F44,'Feuerwaffen-Ressourcen'!$A$2:$AI$54,30,0)+VLOOKUP(G44,'Feuerwaffen-Ressourcen'!$A$2:$AI$54,30,0)+VLOOKUP(I44,'Feuerwaffen-Ressourcen'!$A$2:$AI$54,30,0)+VLOOKUP(J44,'Feuerwaffen-Ressourcen'!$A$2:$AI$54,30,0)</f>
        <v>2.2000000000000002</v>
      </c>
      <c r="AE44" s="63">
        <f>(VLOOKUP(C44,'Feuerwaffen-Ressourcen'!$A$2:$AI$54,32,0)+VLOOKUP(I44,'Feuerwaffen-Ressourcen'!$A$2:$AI$54,32,0))*(VLOOKUP(B44,'Feuerwaffen-Ressourcen'!$A$2:$AI$54,34,0)+VLOOKUP(C44,'Feuerwaffen-Ressourcen'!$A$2:$AI$54,34,0)+VLOOKUP(D44,'Feuerwaffen-Ressourcen'!$A$2:$AI$54,34,0)+VLOOKUP(E44,'Feuerwaffen-Ressourcen'!$A$2:$AI$54,34,0)+VLOOKUP(G44,'Feuerwaffen-Ressourcen'!$A$2:$AI$54,34,0))+VLOOKUP(B44,'Feuerwaffen-Ressourcen'!$A$2:$AI$54,35,0)+VLOOKUP(C44,'Feuerwaffen-Ressourcen'!$A$2:$AI$54,35,0)+VLOOKUP(D44,'Feuerwaffen-Ressourcen'!$A$2:$AI$54,35,0)</f>
        <v>289.7</v>
      </c>
      <c r="AF44" s="65">
        <f>VLOOKUP(AB44,'Feuerwaffen-Ressourcen'!$AO$3:$AP$9,2,1)</f>
        <v>3</v>
      </c>
      <c r="AG44" s="65">
        <v>0</v>
      </c>
    </row>
    <row r="45" spans="1:33">
      <c r="A45" s="59" t="s">
        <v>7161</v>
      </c>
      <c r="B45" s="59" t="s">
        <v>1425</v>
      </c>
      <c r="C45" s="59" t="s">
        <v>7118</v>
      </c>
      <c r="D45" s="59" t="s">
        <v>7219</v>
      </c>
      <c r="E45" s="59" t="s">
        <v>7123</v>
      </c>
      <c r="F45" s="59" t="s">
        <v>7224</v>
      </c>
      <c r="G45" s="59" t="s">
        <v>7225</v>
      </c>
      <c r="H45" s="59" t="s">
        <v>7124</v>
      </c>
      <c r="I45" s="59" t="s">
        <v>5768</v>
      </c>
      <c r="J45" s="59" t="s">
        <v>5748</v>
      </c>
      <c r="K45" s="61">
        <f>VLOOKUP(B45,'Feuerwaffen-Ressourcen'!$A$2:$AI$54,11,0)+VLOOKUP(C45,'Feuerwaffen-Ressourcen'!$A$2:$AI$54,11,0)+VLOOKUP(D45,'Feuerwaffen-Ressourcen'!$A$2:$AI$54,11,0)+VLOOKUP(E45,'Feuerwaffen-Ressourcen'!$A$2:$AI$54,11,0)+VLOOKUP(G45,'Feuerwaffen-Ressourcen'!$A$2:$AI$54,11,0)</f>
        <v>1.4000000000000001</v>
      </c>
      <c r="L45" s="60">
        <f>VLOOKUP(B45,'Feuerwaffen-Ressourcen'!$A$2:$AI$54,12,0)+VLOOKUP(C45,'Feuerwaffen-Ressourcen'!$A$2:$AI$54,12,0)+VLOOKUP(D45,'Feuerwaffen-Ressourcen'!$A$2:$AI$54,12,0)+VLOOKUP(J45,'Feuerwaffen-Ressourcen'!$A$2:$AI$54,12,0)</f>
        <v>4</v>
      </c>
      <c r="M45" s="60" t="str">
        <f>VLOOKUP(VLOOKUP(B45,'Feuerwaffen-Ressourcen'!$A$2:$AI$54,13,0)+VLOOKUP(C45,'Feuerwaffen-Ressourcen'!$A$2:$AI$54,13,0)+VLOOKUP(D45,'Feuerwaffen-Ressourcen'!$A$2:$AI$54,13,0),'Feuerwaffen-Ressourcen'!$AJ$3:$AK$12,2,0)</f>
        <v>W8</v>
      </c>
      <c r="N45" s="60" t="str">
        <f>VLOOKUP(VLOOKUP(B45,'Feuerwaffen-Ressourcen'!$A$2:$AI$54,14,0)+VLOOKUP(C45,'Feuerwaffen-Ressourcen'!$A$2:$AI$54,14,0)+VLOOKUP(D45,'Feuerwaffen-Ressourcen'!$A$2:$AI$54,14,0),'Feuerwaffen-Ressourcen'!$AJ$3:$AK$12,2,0)</f>
        <v>W10</v>
      </c>
      <c r="O45" s="60">
        <f>VLOOKUP(B45,'Feuerwaffen-Ressourcen'!$A$2:$AI$54,15,0)+VLOOKUP(C45,'Feuerwaffen-Ressourcen'!$A$2:$AI$54,15,0)+VLOOKUP(D45,'Feuerwaffen-Ressourcen'!$A$2:$AI$54,15,0)</f>
        <v>1</v>
      </c>
      <c r="P45" s="60">
        <f>VLOOKUP(B45,'Feuerwaffen-Ressourcen'!$A$2:$AI$54,16,0)+VLOOKUP(C45,'Feuerwaffen-Ressourcen'!$A$2:$AI$54,16,0)+VLOOKUP(D45,'Feuerwaffen-Ressourcen'!$A$2:$AI$54,16,0)+VLOOKUP(E45,'Feuerwaffen-Ressourcen'!$A$2:$AI$54,16,0)</f>
        <v>15</v>
      </c>
      <c r="Q45" s="62">
        <f>VLOOKUP(B45,'Feuerwaffen-Ressourcen'!$A$2:$AI$54,17,0)+VLOOKUP(C45,'Feuerwaffen-Ressourcen'!$A$2:$AI$54,17,0)+VLOOKUP(D45,'Feuerwaffen-Ressourcen'!$A$2:$AI$54,17,0)+VLOOKUP(E45,'Feuerwaffen-Ressourcen'!$A$2:$AI$54,17,0)</f>
        <v>7</v>
      </c>
      <c r="R45" s="60">
        <f>VLOOKUP(B45,'Feuerwaffen-Ressourcen'!$A$2:$AI$54,18,0)+VLOOKUP(C45,'Feuerwaffen-Ressourcen'!$A$2:$AI$54,18,0)+VLOOKUP(D45,'Feuerwaffen-Ressourcen'!$A$2:$AI$54,18,0)+VLOOKUP(F45,'Feuerwaffen-Ressourcen'!$A$2:$AI$54,18,0)+VLOOKUP(G45,'Feuerwaffen-Ressourcen'!$A$2:$AI$54,18,0)+VLOOKUP(I45,'Feuerwaffen-Ressourcen'!$A$2:$AI$54,18,0)+VLOOKUP(J45,'Feuerwaffen-Ressourcen'!$A$2:$AI$54,18,0)</f>
        <v>8</v>
      </c>
      <c r="S45" s="60">
        <f>VLOOKUP(B45,'Feuerwaffen-Ressourcen'!$A$2:$AI$54,19,0)+VLOOKUP(C45,'Feuerwaffen-Ressourcen'!$A$2:$AI$54,19,0)+VLOOKUP(D45,'Feuerwaffen-Ressourcen'!$A$2:$AI$54,19,0)+VLOOKUP(F45,'Feuerwaffen-Ressourcen'!$A$2:$AI$54,19,0)+VLOOKUP(G45,'Feuerwaffen-Ressourcen'!$A$2:$AI$54,19,0)+VLOOKUP(I45,'Feuerwaffen-Ressourcen'!$A$2:$AI$54,19,0)+VLOOKUP(J45,'Feuerwaffen-Ressourcen'!$A$2:$AI$54,19,0)</f>
        <v>4</v>
      </c>
      <c r="T45" s="60">
        <f>VLOOKUP(B45,'Feuerwaffen-Ressourcen'!$A$2:$AI$54,20,0)+VLOOKUP(C45,'Feuerwaffen-Ressourcen'!$A$2:$AI$54,20,0)+VLOOKUP(D45,'Feuerwaffen-Ressourcen'!$A$2:$AI$54,20,0)+VLOOKUP(F45,'Feuerwaffen-Ressourcen'!$A$2:$AI$54,20,0)+VLOOKUP(G45,'Feuerwaffen-Ressourcen'!$A$2:$AI$54,20,0)+VLOOKUP(I45,'Feuerwaffen-Ressourcen'!$A$2:$AI$54,20,0)+VLOOKUP(J45,'Feuerwaffen-Ressourcen'!$A$2:$AI$54,20,0)</f>
        <v>-7</v>
      </c>
      <c r="U45" s="60">
        <f>VLOOKUP(B45,'Feuerwaffen-Ressourcen'!$A$2:$AI$54,21,0)+VLOOKUP(C45,'Feuerwaffen-Ressourcen'!$A$2:$AI$54,21,0)+VLOOKUP(D45,'Feuerwaffen-Ressourcen'!$A$2:$AI$54,21,0)+VLOOKUP(F45,'Feuerwaffen-Ressourcen'!$A$2:$AI$54,21,0)+VLOOKUP(G45,'Feuerwaffen-Ressourcen'!$A$2:$AI$54,21,0)+VLOOKUP(I45,'Feuerwaffen-Ressourcen'!$A$2:$AI$54,21,0)+VLOOKUP(J45,'Feuerwaffen-Ressourcen'!$A$2:$AI$54,21,0)</f>
        <v>-21</v>
      </c>
      <c r="V45" s="60">
        <f>VLOOKUP(B45,'Feuerwaffen-Ressourcen'!$A$2:$AI$54,22,0)+VLOOKUP(C45,'Feuerwaffen-Ressourcen'!$A$2:$AI$54,22,0)+VLOOKUP(D45,'Feuerwaffen-Ressourcen'!$A$2:$AI$54,22,0)+VLOOKUP(F45,'Feuerwaffen-Ressourcen'!$A$2:$AI$54,22,0)+VLOOKUP(G45,'Feuerwaffen-Ressourcen'!$A$2:$AI$54,22,0)+VLOOKUP(I45,'Feuerwaffen-Ressourcen'!$A$2:$AI$54,22,0)+VLOOKUP(J45,'Feuerwaffen-Ressourcen'!$A$2:$AI$54,22,0)</f>
        <v>-36</v>
      </c>
      <c r="W45" s="60">
        <f>VLOOKUP(B45,'Feuerwaffen-Ressourcen'!$A$2:$AI$54,23,0)+VLOOKUP(C45,'Feuerwaffen-Ressourcen'!$A$2:$AI$54,23,0)+VLOOKUP(D45,'Feuerwaffen-Ressourcen'!$A$2:$AI$54,23,0)+VLOOKUP(F45,'Feuerwaffen-Ressourcen'!$A$2:$AI$54,23,0)+VLOOKUP(G45,'Feuerwaffen-Ressourcen'!$A$2:$AI$54,23,0)+VLOOKUP(I45,'Feuerwaffen-Ressourcen'!$A$2:$AI$54,23,0)+VLOOKUP(J45,'Feuerwaffen-Ressourcen'!$A$2:$AI$54,23,0)</f>
        <v>-52</v>
      </c>
      <c r="X45" s="60">
        <f>VLOOKUP(B45,'Feuerwaffen-Ressourcen'!$A$2:$AI$54,24,0)+VLOOKUP(C45,'Feuerwaffen-Ressourcen'!$A$2:$AI$54,24,0)+VLOOKUP(D45,'Feuerwaffen-Ressourcen'!$A$2:$AI$54,24,0)+VLOOKUP(G45,'Feuerwaffen-Ressourcen'!$A$2:$AI$54,24,0)</f>
        <v>70</v>
      </c>
      <c r="Y45" s="60">
        <f>VLOOKUP(D45,'Feuerwaffen-Ressourcen'!$A$2:$AI$54,25,0)+VLOOKUP(E45,'Feuerwaffen-Ressourcen'!$A$2:$AI$54,25,0)+VLOOKUP(F45,'Feuerwaffen-Ressourcen'!$A$2:$AI$54,25,0)</f>
        <v>9</v>
      </c>
      <c r="Z45" s="60">
        <f>VLOOKUP(E45,'Feuerwaffen-Ressourcen'!$A$2:$AI$54,26,0)</f>
        <v>6</v>
      </c>
      <c r="AA45" s="60">
        <f>VLOOKUP(B45,'Feuerwaffen-Ressourcen'!$A$2:$AI$54,27,0)+VLOOKUP(D45,'Feuerwaffen-Ressourcen'!$A$2:$AI$54,27,0)+VLOOKUP(F45,'Feuerwaffen-Ressourcen'!$A$2:$AI$54,27,0)+VLOOKUP(I45,'Feuerwaffen-Ressourcen'!$A$2:$AI$54,27,0)</f>
        <v>1</v>
      </c>
      <c r="AB45" s="60">
        <f>VLOOKUP(B45,'Feuerwaffen-Ressourcen'!$A$2:$AI$54,28,0)+VLOOKUP(C45,'Feuerwaffen-Ressourcen'!$A$2:$AI$54,28,0)+VLOOKUP(D45,'Feuerwaffen-Ressourcen'!$A$2:$AI$54,28,0)+VLOOKUP(E45,'Feuerwaffen-Ressourcen'!$A$2:$AI$54,28,0)+VLOOKUP(F45,'Feuerwaffen-Ressourcen'!$A$2:$AI$54,28,0)+VLOOKUP(G45,'Feuerwaffen-Ressourcen'!$A$2:$AI$54,28,0)+VLOOKUP(I45,'Feuerwaffen-Ressourcen'!$A$2:$AI$54,28,0)+VLOOKUP(J45,'Feuerwaffen-Ressourcen'!$A$2:$AI$54,28,0)</f>
        <v>75</v>
      </c>
      <c r="AC45" s="63">
        <f>VLOOKUP(I45,'Feuerwaffen-Ressourcen'!$A$2:$AI$54,31,0)*AD45+AE45</f>
        <v>150.35</v>
      </c>
      <c r="AD45" s="64">
        <f>VLOOKUP(B45,'Feuerwaffen-Ressourcen'!$A$2:$AI$54,30,0)+VLOOKUP(C45,'Feuerwaffen-Ressourcen'!$A$2:$AI$54,30,0)+VLOOKUP(D45,'Feuerwaffen-Ressourcen'!$A$2:$AI$54,30,0)+VLOOKUP(F45,'Feuerwaffen-Ressourcen'!$A$2:$AI$54,30,0)+VLOOKUP(G45,'Feuerwaffen-Ressourcen'!$A$2:$AI$54,30,0)+VLOOKUP(I45,'Feuerwaffen-Ressourcen'!$A$2:$AI$54,30,0)+VLOOKUP(J45,'Feuerwaffen-Ressourcen'!$A$2:$AI$54,30,0)</f>
        <v>6</v>
      </c>
      <c r="AE45" s="63">
        <f>(VLOOKUP(C45,'Feuerwaffen-Ressourcen'!$A$2:$AI$54,32,0)+VLOOKUP(I45,'Feuerwaffen-Ressourcen'!$A$2:$AI$54,32,0))*(VLOOKUP(B45,'Feuerwaffen-Ressourcen'!$A$2:$AI$54,34,0)+VLOOKUP(C45,'Feuerwaffen-Ressourcen'!$A$2:$AI$54,34,0)+VLOOKUP(D45,'Feuerwaffen-Ressourcen'!$A$2:$AI$54,34,0)+VLOOKUP(E45,'Feuerwaffen-Ressourcen'!$A$2:$AI$54,34,0)+VLOOKUP(G45,'Feuerwaffen-Ressourcen'!$A$2:$AI$54,34,0))+VLOOKUP(B45,'Feuerwaffen-Ressourcen'!$A$2:$AI$54,35,0)+VLOOKUP(C45,'Feuerwaffen-Ressourcen'!$A$2:$AI$54,35,0)+VLOOKUP(D45,'Feuerwaffen-Ressourcen'!$A$2:$AI$54,35,0)</f>
        <v>126.35</v>
      </c>
      <c r="AF45" s="65">
        <f>VLOOKUP(AB45,'Feuerwaffen-Ressourcen'!$AO$3:$AP$9,2,1)</f>
        <v>6</v>
      </c>
      <c r="AG45" s="65">
        <v>0</v>
      </c>
    </row>
    <row r="46" spans="1:33">
      <c r="A46" s="59" t="s">
        <v>7162</v>
      </c>
      <c r="B46" s="59" t="s">
        <v>1425</v>
      </c>
      <c r="C46" s="59" t="s">
        <v>7118</v>
      </c>
      <c r="D46" s="59" t="s">
        <v>7219</v>
      </c>
      <c r="E46" s="59" t="s">
        <v>6501</v>
      </c>
      <c r="F46" s="59" t="s">
        <v>7229</v>
      </c>
      <c r="G46" s="59" t="s">
        <v>7225</v>
      </c>
      <c r="H46" s="59" t="s">
        <v>6514</v>
      </c>
      <c r="I46" s="59" t="s">
        <v>5768</v>
      </c>
      <c r="J46" s="59" t="s">
        <v>5748</v>
      </c>
      <c r="K46" s="61">
        <f>VLOOKUP(B46,'Feuerwaffen-Ressourcen'!$A$2:$AI$54,11,0)+VLOOKUP(C46,'Feuerwaffen-Ressourcen'!$A$2:$AI$54,11,0)+VLOOKUP(D46,'Feuerwaffen-Ressourcen'!$A$2:$AI$54,11,0)+VLOOKUP(E46,'Feuerwaffen-Ressourcen'!$A$2:$AI$54,11,0)+VLOOKUP(G46,'Feuerwaffen-Ressourcen'!$A$2:$AI$54,11,0)</f>
        <v>1.3</v>
      </c>
      <c r="L46" s="60">
        <f>VLOOKUP(B46,'Feuerwaffen-Ressourcen'!$A$2:$AI$54,12,0)+VLOOKUP(C46,'Feuerwaffen-Ressourcen'!$A$2:$AI$54,12,0)+VLOOKUP(D46,'Feuerwaffen-Ressourcen'!$A$2:$AI$54,12,0)+VLOOKUP(J46,'Feuerwaffen-Ressourcen'!$A$2:$AI$54,12,0)</f>
        <v>4</v>
      </c>
      <c r="M46" s="60" t="str">
        <f>VLOOKUP(VLOOKUP(B46,'Feuerwaffen-Ressourcen'!$A$2:$AI$54,13,0)+VLOOKUP(C46,'Feuerwaffen-Ressourcen'!$A$2:$AI$54,13,0)+VLOOKUP(D46,'Feuerwaffen-Ressourcen'!$A$2:$AI$54,13,0),'Feuerwaffen-Ressourcen'!$AJ$3:$AK$12,2,0)</f>
        <v>W8</v>
      </c>
      <c r="N46" s="60" t="str">
        <f>VLOOKUP(VLOOKUP(B46,'Feuerwaffen-Ressourcen'!$A$2:$AI$54,14,0)+VLOOKUP(C46,'Feuerwaffen-Ressourcen'!$A$2:$AI$54,14,0)+VLOOKUP(D46,'Feuerwaffen-Ressourcen'!$A$2:$AI$54,14,0),'Feuerwaffen-Ressourcen'!$AJ$3:$AK$12,2,0)</f>
        <v>W10</v>
      </c>
      <c r="O46" s="60">
        <f>VLOOKUP(B46,'Feuerwaffen-Ressourcen'!$A$2:$AI$54,15,0)+VLOOKUP(C46,'Feuerwaffen-Ressourcen'!$A$2:$AI$54,15,0)+VLOOKUP(D46,'Feuerwaffen-Ressourcen'!$A$2:$AI$54,15,0)</f>
        <v>1</v>
      </c>
      <c r="P46" s="60">
        <f>VLOOKUP(B46,'Feuerwaffen-Ressourcen'!$A$2:$AI$54,16,0)+VLOOKUP(C46,'Feuerwaffen-Ressourcen'!$A$2:$AI$54,16,0)+VLOOKUP(D46,'Feuerwaffen-Ressourcen'!$A$2:$AI$54,16,0)+VLOOKUP(E46,'Feuerwaffen-Ressourcen'!$A$2:$AI$54,16,0)</f>
        <v>9</v>
      </c>
      <c r="Q46" s="62">
        <f>VLOOKUP(B46,'Feuerwaffen-Ressourcen'!$A$2:$AI$54,17,0)+VLOOKUP(C46,'Feuerwaffen-Ressourcen'!$A$2:$AI$54,17,0)+VLOOKUP(D46,'Feuerwaffen-Ressourcen'!$A$2:$AI$54,17,0)+VLOOKUP(E46,'Feuerwaffen-Ressourcen'!$A$2:$AI$54,17,0)</f>
        <v>13</v>
      </c>
      <c r="R46" s="60">
        <f>VLOOKUP(B46,'Feuerwaffen-Ressourcen'!$A$2:$AI$54,18,0)+VLOOKUP(C46,'Feuerwaffen-Ressourcen'!$A$2:$AI$54,18,0)+VLOOKUP(D46,'Feuerwaffen-Ressourcen'!$A$2:$AI$54,18,0)+VLOOKUP(F46,'Feuerwaffen-Ressourcen'!$A$2:$AI$54,18,0)+VLOOKUP(G46,'Feuerwaffen-Ressourcen'!$A$2:$AI$54,18,0)+VLOOKUP(I46,'Feuerwaffen-Ressourcen'!$A$2:$AI$54,18,0)+VLOOKUP(J46,'Feuerwaffen-Ressourcen'!$A$2:$AI$54,18,0)</f>
        <v>7</v>
      </c>
      <c r="S46" s="60">
        <f>VLOOKUP(B46,'Feuerwaffen-Ressourcen'!$A$2:$AI$54,19,0)+VLOOKUP(C46,'Feuerwaffen-Ressourcen'!$A$2:$AI$54,19,0)+VLOOKUP(D46,'Feuerwaffen-Ressourcen'!$A$2:$AI$54,19,0)+VLOOKUP(F46,'Feuerwaffen-Ressourcen'!$A$2:$AI$54,19,0)+VLOOKUP(G46,'Feuerwaffen-Ressourcen'!$A$2:$AI$54,19,0)+VLOOKUP(I46,'Feuerwaffen-Ressourcen'!$A$2:$AI$54,19,0)+VLOOKUP(J46,'Feuerwaffen-Ressourcen'!$A$2:$AI$54,19,0)</f>
        <v>3</v>
      </c>
      <c r="T46" s="60">
        <f>VLOOKUP(B46,'Feuerwaffen-Ressourcen'!$A$2:$AI$54,20,0)+VLOOKUP(C46,'Feuerwaffen-Ressourcen'!$A$2:$AI$54,20,0)+VLOOKUP(D46,'Feuerwaffen-Ressourcen'!$A$2:$AI$54,20,0)+VLOOKUP(F46,'Feuerwaffen-Ressourcen'!$A$2:$AI$54,20,0)+VLOOKUP(G46,'Feuerwaffen-Ressourcen'!$A$2:$AI$54,20,0)+VLOOKUP(I46,'Feuerwaffen-Ressourcen'!$A$2:$AI$54,20,0)+VLOOKUP(J46,'Feuerwaffen-Ressourcen'!$A$2:$AI$54,20,0)</f>
        <v>-8</v>
      </c>
      <c r="U46" s="60">
        <f>VLOOKUP(B46,'Feuerwaffen-Ressourcen'!$A$2:$AI$54,21,0)+VLOOKUP(C46,'Feuerwaffen-Ressourcen'!$A$2:$AI$54,21,0)+VLOOKUP(D46,'Feuerwaffen-Ressourcen'!$A$2:$AI$54,21,0)+VLOOKUP(F46,'Feuerwaffen-Ressourcen'!$A$2:$AI$54,21,0)+VLOOKUP(G46,'Feuerwaffen-Ressourcen'!$A$2:$AI$54,21,0)+VLOOKUP(I46,'Feuerwaffen-Ressourcen'!$A$2:$AI$54,21,0)+VLOOKUP(J46,'Feuerwaffen-Ressourcen'!$A$2:$AI$54,21,0)</f>
        <v>-22</v>
      </c>
      <c r="V46" s="60">
        <f>VLOOKUP(B46,'Feuerwaffen-Ressourcen'!$A$2:$AI$54,22,0)+VLOOKUP(C46,'Feuerwaffen-Ressourcen'!$A$2:$AI$54,22,0)+VLOOKUP(D46,'Feuerwaffen-Ressourcen'!$A$2:$AI$54,22,0)+VLOOKUP(F46,'Feuerwaffen-Ressourcen'!$A$2:$AI$54,22,0)+VLOOKUP(G46,'Feuerwaffen-Ressourcen'!$A$2:$AI$54,22,0)+VLOOKUP(I46,'Feuerwaffen-Ressourcen'!$A$2:$AI$54,22,0)+VLOOKUP(J46,'Feuerwaffen-Ressourcen'!$A$2:$AI$54,22,0)</f>
        <v>-37</v>
      </c>
      <c r="W46" s="60">
        <f>VLOOKUP(B46,'Feuerwaffen-Ressourcen'!$A$2:$AI$54,23,0)+VLOOKUP(C46,'Feuerwaffen-Ressourcen'!$A$2:$AI$54,23,0)+VLOOKUP(D46,'Feuerwaffen-Ressourcen'!$A$2:$AI$54,23,0)+VLOOKUP(F46,'Feuerwaffen-Ressourcen'!$A$2:$AI$54,23,0)+VLOOKUP(G46,'Feuerwaffen-Ressourcen'!$A$2:$AI$54,23,0)+VLOOKUP(I46,'Feuerwaffen-Ressourcen'!$A$2:$AI$54,23,0)+VLOOKUP(J46,'Feuerwaffen-Ressourcen'!$A$2:$AI$54,23,0)</f>
        <v>-53</v>
      </c>
      <c r="X46" s="60">
        <f>VLOOKUP(B46,'Feuerwaffen-Ressourcen'!$A$2:$AI$54,24,0)+VLOOKUP(C46,'Feuerwaffen-Ressourcen'!$A$2:$AI$54,24,0)+VLOOKUP(D46,'Feuerwaffen-Ressourcen'!$A$2:$AI$54,24,0)+VLOOKUP(G46,'Feuerwaffen-Ressourcen'!$A$2:$AI$54,24,0)</f>
        <v>70</v>
      </c>
      <c r="Y46" s="60">
        <f>VLOOKUP(D46,'Feuerwaffen-Ressourcen'!$A$2:$AI$54,25,0)+VLOOKUP(E46,'Feuerwaffen-Ressourcen'!$A$2:$AI$54,25,0)+VLOOKUP(F46,'Feuerwaffen-Ressourcen'!$A$2:$AI$54,25,0)</f>
        <v>29</v>
      </c>
      <c r="Z46" s="60">
        <f>VLOOKUP(E46,'Feuerwaffen-Ressourcen'!$A$2:$AI$54,26,0)</f>
        <v>3</v>
      </c>
      <c r="AA46" s="60">
        <f>VLOOKUP(B46,'Feuerwaffen-Ressourcen'!$A$2:$AI$54,27,0)+VLOOKUP(D46,'Feuerwaffen-Ressourcen'!$A$2:$AI$54,27,0)+VLOOKUP(F46,'Feuerwaffen-Ressourcen'!$A$2:$AI$54,27,0)+VLOOKUP(I46,'Feuerwaffen-Ressourcen'!$A$2:$AI$54,27,0)</f>
        <v>3</v>
      </c>
      <c r="AB46" s="60">
        <f>VLOOKUP(B46,'Feuerwaffen-Ressourcen'!$A$2:$AI$54,28,0)+VLOOKUP(C46,'Feuerwaffen-Ressourcen'!$A$2:$AI$54,28,0)+VLOOKUP(D46,'Feuerwaffen-Ressourcen'!$A$2:$AI$54,28,0)+VLOOKUP(E46,'Feuerwaffen-Ressourcen'!$A$2:$AI$54,28,0)+VLOOKUP(F46,'Feuerwaffen-Ressourcen'!$A$2:$AI$54,28,0)+VLOOKUP(G46,'Feuerwaffen-Ressourcen'!$A$2:$AI$54,28,0)+VLOOKUP(I46,'Feuerwaffen-Ressourcen'!$A$2:$AI$54,28,0)+VLOOKUP(J46,'Feuerwaffen-Ressourcen'!$A$2:$AI$54,28,0)</f>
        <v>105</v>
      </c>
      <c r="AC46" s="63">
        <f>VLOOKUP(I46,'Feuerwaffen-Ressourcen'!$A$2:$AI$54,31,0)*AD46+AE46</f>
        <v>130.35000000000002</v>
      </c>
      <c r="AD46" s="64">
        <f>VLOOKUP(B46,'Feuerwaffen-Ressourcen'!$A$2:$AI$54,30,0)+VLOOKUP(C46,'Feuerwaffen-Ressourcen'!$A$2:$AI$54,30,0)+VLOOKUP(D46,'Feuerwaffen-Ressourcen'!$A$2:$AI$54,30,0)+VLOOKUP(F46,'Feuerwaffen-Ressourcen'!$A$2:$AI$54,30,0)+VLOOKUP(G46,'Feuerwaffen-Ressourcen'!$A$2:$AI$54,30,0)+VLOOKUP(I46,'Feuerwaffen-Ressourcen'!$A$2:$AI$54,30,0)+VLOOKUP(J46,'Feuerwaffen-Ressourcen'!$A$2:$AI$54,30,0)</f>
        <v>4</v>
      </c>
      <c r="AE46" s="63">
        <f>(VLOOKUP(C46,'Feuerwaffen-Ressourcen'!$A$2:$AI$54,32,0)+VLOOKUP(I46,'Feuerwaffen-Ressourcen'!$A$2:$AI$54,32,0))*(VLOOKUP(B46,'Feuerwaffen-Ressourcen'!$A$2:$AI$54,34,0)+VLOOKUP(C46,'Feuerwaffen-Ressourcen'!$A$2:$AI$54,34,0)+VLOOKUP(D46,'Feuerwaffen-Ressourcen'!$A$2:$AI$54,34,0)+VLOOKUP(E46,'Feuerwaffen-Ressourcen'!$A$2:$AI$54,34,0)+VLOOKUP(G46,'Feuerwaffen-Ressourcen'!$A$2:$AI$54,34,0))+VLOOKUP(B46,'Feuerwaffen-Ressourcen'!$A$2:$AI$54,35,0)+VLOOKUP(C46,'Feuerwaffen-Ressourcen'!$A$2:$AI$54,35,0)+VLOOKUP(D46,'Feuerwaffen-Ressourcen'!$A$2:$AI$54,35,0)</f>
        <v>114.35000000000001</v>
      </c>
      <c r="AF46" s="65">
        <f>VLOOKUP(AB46,'Feuerwaffen-Ressourcen'!$AO$3:$AP$9,2,1)</f>
        <v>5</v>
      </c>
      <c r="AG46" s="65">
        <v>0</v>
      </c>
    </row>
    <row r="47" spans="1:33">
      <c r="A47" s="59" t="s">
        <v>7163</v>
      </c>
      <c r="B47" s="59" t="s">
        <v>1425</v>
      </c>
      <c r="C47" s="59" t="s">
        <v>7118</v>
      </c>
      <c r="D47" s="59" t="s">
        <v>7237</v>
      </c>
      <c r="E47" s="59" t="s">
        <v>6501</v>
      </c>
      <c r="F47" s="59" t="s">
        <v>7221</v>
      </c>
      <c r="G47" s="59" t="s">
        <v>7217</v>
      </c>
      <c r="H47" s="59" t="s">
        <v>6514</v>
      </c>
      <c r="I47" s="59" t="s">
        <v>5768</v>
      </c>
      <c r="J47" s="59" t="s">
        <v>5748</v>
      </c>
      <c r="K47" s="61">
        <f>VLOOKUP(B47,'Feuerwaffen-Ressourcen'!$A$2:$AI$54,11,0)+VLOOKUP(C47,'Feuerwaffen-Ressourcen'!$A$2:$AI$54,11,0)+VLOOKUP(D47,'Feuerwaffen-Ressourcen'!$A$2:$AI$54,11,0)+VLOOKUP(E47,'Feuerwaffen-Ressourcen'!$A$2:$AI$54,11,0)+VLOOKUP(G47,'Feuerwaffen-Ressourcen'!$A$2:$AI$54,11,0)</f>
        <v>1.1500000000000001</v>
      </c>
      <c r="L47" s="60">
        <f>VLOOKUP(B47,'Feuerwaffen-Ressourcen'!$A$2:$AI$54,12,0)+VLOOKUP(C47,'Feuerwaffen-Ressourcen'!$A$2:$AI$54,12,0)+VLOOKUP(D47,'Feuerwaffen-Ressourcen'!$A$2:$AI$54,12,0)+VLOOKUP(J47,'Feuerwaffen-Ressourcen'!$A$2:$AI$54,12,0)</f>
        <v>6</v>
      </c>
      <c r="M47" s="60" t="str">
        <f>VLOOKUP(VLOOKUP(B47,'Feuerwaffen-Ressourcen'!$A$2:$AI$54,13,0)+VLOOKUP(C47,'Feuerwaffen-Ressourcen'!$A$2:$AI$54,13,0)+VLOOKUP(D47,'Feuerwaffen-Ressourcen'!$A$2:$AI$54,13,0),'Feuerwaffen-Ressourcen'!$AJ$3:$AK$12,2,0)</f>
        <v>W10</v>
      </c>
      <c r="N47" s="60" t="str">
        <f>VLOOKUP(VLOOKUP(B47,'Feuerwaffen-Ressourcen'!$A$2:$AI$54,14,0)+VLOOKUP(C47,'Feuerwaffen-Ressourcen'!$A$2:$AI$54,14,0)+VLOOKUP(D47,'Feuerwaffen-Ressourcen'!$A$2:$AI$54,14,0),'Feuerwaffen-Ressourcen'!$AJ$3:$AK$12,2,0)</f>
        <v>W10</v>
      </c>
      <c r="O47" s="60">
        <f>VLOOKUP(B47,'Feuerwaffen-Ressourcen'!$A$2:$AI$54,15,0)+VLOOKUP(C47,'Feuerwaffen-Ressourcen'!$A$2:$AI$54,15,0)+VLOOKUP(D47,'Feuerwaffen-Ressourcen'!$A$2:$AI$54,15,0)</f>
        <v>3</v>
      </c>
      <c r="P47" s="60">
        <f>VLOOKUP(B47,'Feuerwaffen-Ressourcen'!$A$2:$AI$54,16,0)+VLOOKUP(C47,'Feuerwaffen-Ressourcen'!$A$2:$AI$54,16,0)+VLOOKUP(D47,'Feuerwaffen-Ressourcen'!$A$2:$AI$54,16,0)+VLOOKUP(E47,'Feuerwaffen-Ressourcen'!$A$2:$AI$54,16,0)</f>
        <v>6</v>
      </c>
      <c r="Q47" s="62">
        <f>VLOOKUP(B47,'Feuerwaffen-Ressourcen'!$A$2:$AI$54,17,0)+VLOOKUP(C47,'Feuerwaffen-Ressourcen'!$A$2:$AI$54,17,0)+VLOOKUP(D47,'Feuerwaffen-Ressourcen'!$A$2:$AI$54,17,0)+VLOOKUP(E47,'Feuerwaffen-Ressourcen'!$A$2:$AI$54,17,0)</f>
        <v>16</v>
      </c>
      <c r="R47" s="60">
        <f>VLOOKUP(B47,'Feuerwaffen-Ressourcen'!$A$2:$AI$54,18,0)+VLOOKUP(C47,'Feuerwaffen-Ressourcen'!$A$2:$AI$54,18,0)+VLOOKUP(D47,'Feuerwaffen-Ressourcen'!$A$2:$AI$54,18,0)+VLOOKUP(F47,'Feuerwaffen-Ressourcen'!$A$2:$AI$54,18,0)+VLOOKUP(G47,'Feuerwaffen-Ressourcen'!$A$2:$AI$54,18,0)+VLOOKUP(I47,'Feuerwaffen-Ressourcen'!$A$2:$AI$54,18,0)+VLOOKUP(J47,'Feuerwaffen-Ressourcen'!$A$2:$AI$54,18,0)</f>
        <v>5</v>
      </c>
      <c r="S47" s="60">
        <f>VLOOKUP(B47,'Feuerwaffen-Ressourcen'!$A$2:$AI$54,19,0)+VLOOKUP(C47,'Feuerwaffen-Ressourcen'!$A$2:$AI$54,19,0)+VLOOKUP(D47,'Feuerwaffen-Ressourcen'!$A$2:$AI$54,19,0)+VLOOKUP(F47,'Feuerwaffen-Ressourcen'!$A$2:$AI$54,19,0)+VLOOKUP(G47,'Feuerwaffen-Ressourcen'!$A$2:$AI$54,19,0)+VLOOKUP(I47,'Feuerwaffen-Ressourcen'!$A$2:$AI$54,19,0)+VLOOKUP(J47,'Feuerwaffen-Ressourcen'!$A$2:$AI$54,19,0)</f>
        <v>-8</v>
      </c>
      <c r="T47" s="60">
        <f>VLOOKUP(B47,'Feuerwaffen-Ressourcen'!$A$2:$AI$54,20,0)+VLOOKUP(C47,'Feuerwaffen-Ressourcen'!$A$2:$AI$54,20,0)+VLOOKUP(D47,'Feuerwaffen-Ressourcen'!$A$2:$AI$54,20,0)+VLOOKUP(F47,'Feuerwaffen-Ressourcen'!$A$2:$AI$54,20,0)+VLOOKUP(G47,'Feuerwaffen-Ressourcen'!$A$2:$AI$54,20,0)+VLOOKUP(I47,'Feuerwaffen-Ressourcen'!$A$2:$AI$54,20,0)+VLOOKUP(J47,'Feuerwaffen-Ressourcen'!$A$2:$AI$54,20,0)</f>
        <v>-23</v>
      </c>
      <c r="U47" s="60">
        <f>VLOOKUP(B47,'Feuerwaffen-Ressourcen'!$A$2:$AI$54,21,0)+VLOOKUP(C47,'Feuerwaffen-Ressourcen'!$A$2:$AI$54,21,0)+VLOOKUP(D47,'Feuerwaffen-Ressourcen'!$A$2:$AI$54,21,0)+VLOOKUP(F47,'Feuerwaffen-Ressourcen'!$A$2:$AI$54,21,0)+VLOOKUP(G47,'Feuerwaffen-Ressourcen'!$A$2:$AI$54,21,0)+VLOOKUP(I47,'Feuerwaffen-Ressourcen'!$A$2:$AI$54,21,0)+VLOOKUP(J47,'Feuerwaffen-Ressourcen'!$A$2:$AI$54,21,0)</f>
        <v>-41</v>
      </c>
      <c r="V47" s="60">
        <f>VLOOKUP(B47,'Feuerwaffen-Ressourcen'!$A$2:$AI$54,22,0)+VLOOKUP(C47,'Feuerwaffen-Ressourcen'!$A$2:$AI$54,22,0)+VLOOKUP(D47,'Feuerwaffen-Ressourcen'!$A$2:$AI$54,22,0)+VLOOKUP(F47,'Feuerwaffen-Ressourcen'!$A$2:$AI$54,22,0)+VLOOKUP(G47,'Feuerwaffen-Ressourcen'!$A$2:$AI$54,22,0)+VLOOKUP(I47,'Feuerwaffen-Ressourcen'!$A$2:$AI$54,22,0)+VLOOKUP(J47,'Feuerwaffen-Ressourcen'!$A$2:$AI$54,22,0)</f>
        <v>-60</v>
      </c>
      <c r="W47" s="60">
        <f>VLOOKUP(B47,'Feuerwaffen-Ressourcen'!$A$2:$AI$54,23,0)+VLOOKUP(C47,'Feuerwaffen-Ressourcen'!$A$2:$AI$54,23,0)+VLOOKUP(D47,'Feuerwaffen-Ressourcen'!$A$2:$AI$54,23,0)+VLOOKUP(F47,'Feuerwaffen-Ressourcen'!$A$2:$AI$54,23,0)+VLOOKUP(G47,'Feuerwaffen-Ressourcen'!$A$2:$AI$54,23,0)+VLOOKUP(I47,'Feuerwaffen-Ressourcen'!$A$2:$AI$54,23,0)+VLOOKUP(J47,'Feuerwaffen-Ressourcen'!$A$2:$AI$54,23,0)</f>
        <v>-81</v>
      </c>
      <c r="X47" s="60">
        <f>VLOOKUP(B47,'Feuerwaffen-Ressourcen'!$A$2:$AI$54,24,0)+VLOOKUP(C47,'Feuerwaffen-Ressourcen'!$A$2:$AI$54,24,0)+VLOOKUP(D47,'Feuerwaffen-Ressourcen'!$A$2:$AI$54,24,0)+VLOOKUP(G47,'Feuerwaffen-Ressourcen'!$A$2:$AI$54,24,0)</f>
        <v>20</v>
      </c>
      <c r="Y47" s="60">
        <f>VLOOKUP(D47,'Feuerwaffen-Ressourcen'!$A$2:$AI$54,25,0)+VLOOKUP(E47,'Feuerwaffen-Ressourcen'!$A$2:$AI$54,25,0)+VLOOKUP(F47,'Feuerwaffen-Ressourcen'!$A$2:$AI$54,25,0)</f>
        <v>32</v>
      </c>
      <c r="Z47" s="60">
        <f>VLOOKUP(E47,'Feuerwaffen-Ressourcen'!$A$2:$AI$54,26,0)</f>
        <v>3</v>
      </c>
      <c r="AA47" s="60">
        <f>VLOOKUP(B47,'Feuerwaffen-Ressourcen'!$A$2:$AI$54,27,0)+VLOOKUP(D47,'Feuerwaffen-Ressourcen'!$A$2:$AI$54,27,0)+VLOOKUP(F47,'Feuerwaffen-Ressourcen'!$A$2:$AI$54,27,0)+VLOOKUP(I47,'Feuerwaffen-Ressourcen'!$A$2:$AI$54,27,0)</f>
        <v>4</v>
      </c>
      <c r="AB47" s="60">
        <f>VLOOKUP(B47,'Feuerwaffen-Ressourcen'!$A$2:$AI$54,28,0)+VLOOKUP(C47,'Feuerwaffen-Ressourcen'!$A$2:$AI$54,28,0)+VLOOKUP(D47,'Feuerwaffen-Ressourcen'!$A$2:$AI$54,28,0)+VLOOKUP(E47,'Feuerwaffen-Ressourcen'!$A$2:$AI$54,28,0)+VLOOKUP(F47,'Feuerwaffen-Ressourcen'!$A$2:$AI$54,28,0)+VLOOKUP(G47,'Feuerwaffen-Ressourcen'!$A$2:$AI$54,28,0)+VLOOKUP(I47,'Feuerwaffen-Ressourcen'!$A$2:$AI$54,28,0)+VLOOKUP(J47,'Feuerwaffen-Ressourcen'!$A$2:$AI$54,28,0)</f>
        <v>130</v>
      </c>
      <c r="AC47" s="63">
        <f>VLOOKUP(I47,'Feuerwaffen-Ressourcen'!$A$2:$AI$54,31,0)*AD47+AE47</f>
        <v>104.35</v>
      </c>
      <c r="AD47" s="64">
        <f>VLOOKUP(B47,'Feuerwaffen-Ressourcen'!$A$2:$AI$54,30,0)+VLOOKUP(C47,'Feuerwaffen-Ressourcen'!$A$2:$AI$54,30,0)+VLOOKUP(D47,'Feuerwaffen-Ressourcen'!$A$2:$AI$54,30,0)+VLOOKUP(F47,'Feuerwaffen-Ressourcen'!$A$2:$AI$54,30,0)+VLOOKUP(G47,'Feuerwaffen-Ressourcen'!$A$2:$AI$54,30,0)+VLOOKUP(I47,'Feuerwaffen-Ressourcen'!$A$2:$AI$54,30,0)+VLOOKUP(J47,'Feuerwaffen-Ressourcen'!$A$2:$AI$54,30,0)</f>
        <v>2</v>
      </c>
      <c r="AE47" s="63">
        <f>(VLOOKUP(C47,'Feuerwaffen-Ressourcen'!$A$2:$AI$54,32,0)+VLOOKUP(I47,'Feuerwaffen-Ressourcen'!$A$2:$AI$54,32,0))*(VLOOKUP(B47,'Feuerwaffen-Ressourcen'!$A$2:$AI$54,34,0)+VLOOKUP(C47,'Feuerwaffen-Ressourcen'!$A$2:$AI$54,34,0)+VLOOKUP(D47,'Feuerwaffen-Ressourcen'!$A$2:$AI$54,34,0)+VLOOKUP(E47,'Feuerwaffen-Ressourcen'!$A$2:$AI$54,34,0)+VLOOKUP(G47,'Feuerwaffen-Ressourcen'!$A$2:$AI$54,34,0))+VLOOKUP(B47,'Feuerwaffen-Ressourcen'!$A$2:$AI$54,35,0)+VLOOKUP(C47,'Feuerwaffen-Ressourcen'!$A$2:$AI$54,35,0)+VLOOKUP(D47,'Feuerwaffen-Ressourcen'!$A$2:$AI$54,35,0)</f>
        <v>96.35</v>
      </c>
      <c r="AF47" s="65">
        <f>VLOOKUP(AB47,'Feuerwaffen-Ressourcen'!$AO$3:$AP$9,2,1)</f>
        <v>3</v>
      </c>
      <c r="AG47" s="65">
        <v>0</v>
      </c>
    </row>
    <row r="48" spans="1:33">
      <c r="A48" s="59" t="s">
        <v>7164</v>
      </c>
      <c r="B48" s="59" t="s">
        <v>1425</v>
      </c>
      <c r="C48" s="59" t="s">
        <v>7118</v>
      </c>
      <c r="D48" s="59" t="s">
        <v>7238</v>
      </c>
      <c r="E48" s="59" t="s">
        <v>6501</v>
      </c>
      <c r="F48" s="59" t="s">
        <v>7221</v>
      </c>
      <c r="G48" s="59" t="s">
        <v>7217</v>
      </c>
      <c r="H48" s="59" t="s">
        <v>6514</v>
      </c>
      <c r="I48" s="59" t="s">
        <v>5768</v>
      </c>
      <c r="J48" s="59" t="s">
        <v>5748</v>
      </c>
      <c r="K48" s="61">
        <f>VLOOKUP(B48,'Feuerwaffen-Ressourcen'!$A$2:$AI$54,11,0)+VLOOKUP(C48,'Feuerwaffen-Ressourcen'!$A$2:$AI$54,11,0)+VLOOKUP(D48,'Feuerwaffen-Ressourcen'!$A$2:$AI$54,11,0)+VLOOKUP(E48,'Feuerwaffen-Ressourcen'!$A$2:$AI$54,11,0)+VLOOKUP(G48,'Feuerwaffen-Ressourcen'!$A$2:$AI$54,11,0)</f>
        <v>1.4500000000000002</v>
      </c>
      <c r="L48" s="60">
        <f>VLOOKUP(B48,'Feuerwaffen-Ressourcen'!$A$2:$AI$54,12,0)+VLOOKUP(C48,'Feuerwaffen-Ressourcen'!$A$2:$AI$54,12,0)+VLOOKUP(D48,'Feuerwaffen-Ressourcen'!$A$2:$AI$54,12,0)+VLOOKUP(J48,'Feuerwaffen-Ressourcen'!$A$2:$AI$54,12,0)</f>
        <v>5</v>
      </c>
      <c r="M48" s="60" t="str">
        <f>VLOOKUP(VLOOKUP(B48,'Feuerwaffen-Ressourcen'!$A$2:$AI$54,13,0)+VLOOKUP(C48,'Feuerwaffen-Ressourcen'!$A$2:$AI$54,13,0)+VLOOKUP(D48,'Feuerwaffen-Ressourcen'!$A$2:$AI$54,13,0),'Feuerwaffen-Ressourcen'!$AJ$3:$AK$12,2,0)</f>
        <v>W8</v>
      </c>
      <c r="N48" s="60" t="str">
        <f>VLOOKUP(VLOOKUP(B48,'Feuerwaffen-Ressourcen'!$A$2:$AI$54,14,0)+VLOOKUP(C48,'Feuerwaffen-Ressourcen'!$A$2:$AI$54,14,0)+VLOOKUP(D48,'Feuerwaffen-Ressourcen'!$A$2:$AI$54,14,0),'Feuerwaffen-Ressourcen'!$AJ$3:$AK$12,2,0)</f>
        <v>W6</v>
      </c>
      <c r="O48" s="60">
        <f>VLOOKUP(B48,'Feuerwaffen-Ressourcen'!$A$2:$AI$54,15,0)+VLOOKUP(C48,'Feuerwaffen-Ressourcen'!$A$2:$AI$54,15,0)+VLOOKUP(D48,'Feuerwaffen-Ressourcen'!$A$2:$AI$54,15,0)</f>
        <v>0</v>
      </c>
      <c r="P48" s="60">
        <f>VLOOKUP(B48,'Feuerwaffen-Ressourcen'!$A$2:$AI$54,16,0)+VLOOKUP(C48,'Feuerwaffen-Ressourcen'!$A$2:$AI$54,16,0)+VLOOKUP(D48,'Feuerwaffen-Ressourcen'!$A$2:$AI$54,16,0)+VLOOKUP(E48,'Feuerwaffen-Ressourcen'!$A$2:$AI$54,16,0)</f>
        <v>9</v>
      </c>
      <c r="Q48" s="62">
        <f>VLOOKUP(B48,'Feuerwaffen-Ressourcen'!$A$2:$AI$54,17,0)+VLOOKUP(C48,'Feuerwaffen-Ressourcen'!$A$2:$AI$54,17,0)+VLOOKUP(D48,'Feuerwaffen-Ressourcen'!$A$2:$AI$54,17,0)+VLOOKUP(E48,'Feuerwaffen-Ressourcen'!$A$2:$AI$54,17,0)</f>
        <v>12</v>
      </c>
      <c r="R48" s="60">
        <f>VLOOKUP(B48,'Feuerwaffen-Ressourcen'!$A$2:$AI$54,18,0)+VLOOKUP(C48,'Feuerwaffen-Ressourcen'!$A$2:$AI$54,18,0)+VLOOKUP(D48,'Feuerwaffen-Ressourcen'!$A$2:$AI$54,18,0)+VLOOKUP(F48,'Feuerwaffen-Ressourcen'!$A$2:$AI$54,18,0)+VLOOKUP(G48,'Feuerwaffen-Ressourcen'!$A$2:$AI$54,18,0)+VLOOKUP(I48,'Feuerwaffen-Ressourcen'!$A$2:$AI$54,18,0)+VLOOKUP(J48,'Feuerwaffen-Ressourcen'!$A$2:$AI$54,18,0)</f>
        <v>4</v>
      </c>
      <c r="S48" s="60">
        <f>VLOOKUP(B48,'Feuerwaffen-Ressourcen'!$A$2:$AI$54,19,0)+VLOOKUP(C48,'Feuerwaffen-Ressourcen'!$A$2:$AI$54,19,0)+VLOOKUP(D48,'Feuerwaffen-Ressourcen'!$A$2:$AI$54,19,0)+VLOOKUP(F48,'Feuerwaffen-Ressourcen'!$A$2:$AI$54,19,0)+VLOOKUP(G48,'Feuerwaffen-Ressourcen'!$A$2:$AI$54,19,0)+VLOOKUP(I48,'Feuerwaffen-Ressourcen'!$A$2:$AI$54,19,0)+VLOOKUP(J48,'Feuerwaffen-Ressourcen'!$A$2:$AI$54,19,0)</f>
        <v>-4</v>
      </c>
      <c r="T48" s="60">
        <f>VLOOKUP(B48,'Feuerwaffen-Ressourcen'!$A$2:$AI$54,20,0)+VLOOKUP(C48,'Feuerwaffen-Ressourcen'!$A$2:$AI$54,20,0)+VLOOKUP(D48,'Feuerwaffen-Ressourcen'!$A$2:$AI$54,20,0)+VLOOKUP(F48,'Feuerwaffen-Ressourcen'!$A$2:$AI$54,20,0)+VLOOKUP(G48,'Feuerwaffen-Ressourcen'!$A$2:$AI$54,20,0)+VLOOKUP(I48,'Feuerwaffen-Ressourcen'!$A$2:$AI$54,20,0)+VLOOKUP(J48,'Feuerwaffen-Ressourcen'!$A$2:$AI$54,20,0)</f>
        <v>-14</v>
      </c>
      <c r="U48" s="60">
        <f>VLOOKUP(B48,'Feuerwaffen-Ressourcen'!$A$2:$AI$54,21,0)+VLOOKUP(C48,'Feuerwaffen-Ressourcen'!$A$2:$AI$54,21,0)+VLOOKUP(D48,'Feuerwaffen-Ressourcen'!$A$2:$AI$54,21,0)+VLOOKUP(F48,'Feuerwaffen-Ressourcen'!$A$2:$AI$54,21,0)+VLOOKUP(G48,'Feuerwaffen-Ressourcen'!$A$2:$AI$54,21,0)+VLOOKUP(I48,'Feuerwaffen-Ressourcen'!$A$2:$AI$54,21,0)+VLOOKUP(J48,'Feuerwaffen-Ressourcen'!$A$2:$AI$54,21,0)</f>
        <v>-27</v>
      </c>
      <c r="V48" s="60">
        <f>VLOOKUP(B48,'Feuerwaffen-Ressourcen'!$A$2:$AI$54,22,0)+VLOOKUP(C48,'Feuerwaffen-Ressourcen'!$A$2:$AI$54,22,0)+VLOOKUP(D48,'Feuerwaffen-Ressourcen'!$A$2:$AI$54,22,0)+VLOOKUP(F48,'Feuerwaffen-Ressourcen'!$A$2:$AI$54,22,0)+VLOOKUP(G48,'Feuerwaffen-Ressourcen'!$A$2:$AI$54,22,0)+VLOOKUP(I48,'Feuerwaffen-Ressourcen'!$A$2:$AI$54,22,0)+VLOOKUP(J48,'Feuerwaffen-Ressourcen'!$A$2:$AI$54,22,0)</f>
        <v>-41</v>
      </c>
      <c r="W48" s="60">
        <f>VLOOKUP(B48,'Feuerwaffen-Ressourcen'!$A$2:$AI$54,23,0)+VLOOKUP(C48,'Feuerwaffen-Ressourcen'!$A$2:$AI$54,23,0)+VLOOKUP(D48,'Feuerwaffen-Ressourcen'!$A$2:$AI$54,23,0)+VLOOKUP(F48,'Feuerwaffen-Ressourcen'!$A$2:$AI$54,23,0)+VLOOKUP(G48,'Feuerwaffen-Ressourcen'!$A$2:$AI$54,23,0)+VLOOKUP(I48,'Feuerwaffen-Ressourcen'!$A$2:$AI$54,23,0)+VLOOKUP(J48,'Feuerwaffen-Ressourcen'!$A$2:$AI$54,23,0)</f>
        <v>-57</v>
      </c>
      <c r="X48" s="60">
        <f>VLOOKUP(B48,'Feuerwaffen-Ressourcen'!$A$2:$AI$54,24,0)+VLOOKUP(C48,'Feuerwaffen-Ressourcen'!$A$2:$AI$54,24,0)+VLOOKUP(D48,'Feuerwaffen-Ressourcen'!$A$2:$AI$54,24,0)+VLOOKUP(G48,'Feuerwaffen-Ressourcen'!$A$2:$AI$54,24,0)</f>
        <v>30</v>
      </c>
      <c r="Y48" s="60">
        <f>VLOOKUP(D48,'Feuerwaffen-Ressourcen'!$A$2:$AI$54,25,0)+VLOOKUP(E48,'Feuerwaffen-Ressourcen'!$A$2:$AI$54,25,0)+VLOOKUP(F48,'Feuerwaffen-Ressourcen'!$A$2:$AI$54,25,0)</f>
        <v>33</v>
      </c>
      <c r="Z48" s="60">
        <f>VLOOKUP(E48,'Feuerwaffen-Ressourcen'!$A$2:$AI$54,26,0)</f>
        <v>3</v>
      </c>
      <c r="AA48" s="60">
        <f>VLOOKUP(B48,'Feuerwaffen-Ressourcen'!$A$2:$AI$54,27,0)+VLOOKUP(D48,'Feuerwaffen-Ressourcen'!$A$2:$AI$54,27,0)+VLOOKUP(F48,'Feuerwaffen-Ressourcen'!$A$2:$AI$54,27,0)+VLOOKUP(I48,'Feuerwaffen-Ressourcen'!$A$2:$AI$54,27,0)</f>
        <v>4</v>
      </c>
      <c r="AB48" s="60">
        <f>VLOOKUP(B48,'Feuerwaffen-Ressourcen'!$A$2:$AI$54,28,0)+VLOOKUP(C48,'Feuerwaffen-Ressourcen'!$A$2:$AI$54,28,0)+VLOOKUP(D48,'Feuerwaffen-Ressourcen'!$A$2:$AI$54,28,0)+VLOOKUP(E48,'Feuerwaffen-Ressourcen'!$A$2:$AI$54,28,0)+VLOOKUP(F48,'Feuerwaffen-Ressourcen'!$A$2:$AI$54,28,0)+VLOOKUP(G48,'Feuerwaffen-Ressourcen'!$A$2:$AI$54,28,0)+VLOOKUP(I48,'Feuerwaffen-Ressourcen'!$A$2:$AI$54,28,0)+VLOOKUP(J48,'Feuerwaffen-Ressourcen'!$A$2:$AI$54,28,0)</f>
        <v>110</v>
      </c>
      <c r="AC48" s="63">
        <f>VLOOKUP(I48,'Feuerwaffen-Ressourcen'!$A$2:$AI$54,31,0)*AD48+AE48</f>
        <v>140.35000000000002</v>
      </c>
      <c r="AD48" s="64">
        <f>VLOOKUP(B48,'Feuerwaffen-Ressourcen'!$A$2:$AI$54,30,0)+VLOOKUP(C48,'Feuerwaffen-Ressourcen'!$A$2:$AI$54,30,0)+VLOOKUP(D48,'Feuerwaffen-Ressourcen'!$A$2:$AI$54,30,0)+VLOOKUP(F48,'Feuerwaffen-Ressourcen'!$A$2:$AI$54,30,0)+VLOOKUP(G48,'Feuerwaffen-Ressourcen'!$A$2:$AI$54,30,0)+VLOOKUP(I48,'Feuerwaffen-Ressourcen'!$A$2:$AI$54,30,0)+VLOOKUP(J48,'Feuerwaffen-Ressourcen'!$A$2:$AI$54,30,0)</f>
        <v>2</v>
      </c>
      <c r="AE48" s="63">
        <f>(VLOOKUP(C48,'Feuerwaffen-Ressourcen'!$A$2:$AI$54,32,0)+VLOOKUP(I48,'Feuerwaffen-Ressourcen'!$A$2:$AI$54,32,0))*(VLOOKUP(B48,'Feuerwaffen-Ressourcen'!$A$2:$AI$54,34,0)+VLOOKUP(C48,'Feuerwaffen-Ressourcen'!$A$2:$AI$54,34,0)+VLOOKUP(D48,'Feuerwaffen-Ressourcen'!$A$2:$AI$54,34,0)+VLOOKUP(E48,'Feuerwaffen-Ressourcen'!$A$2:$AI$54,34,0)+VLOOKUP(G48,'Feuerwaffen-Ressourcen'!$A$2:$AI$54,34,0))+VLOOKUP(B48,'Feuerwaffen-Ressourcen'!$A$2:$AI$54,35,0)+VLOOKUP(C48,'Feuerwaffen-Ressourcen'!$A$2:$AI$54,35,0)+VLOOKUP(D48,'Feuerwaffen-Ressourcen'!$A$2:$AI$54,35,0)</f>
        <v>132.35000000000002</v>
      </c>
      <c r="AF48" s="65">
        <f>VLOOKUP(AB48,'Feuerwaffen-Ressourcen'!$AO$3:$AP$9,2,1)</f>
        <v>4</v>
      </c>
      <c r="AG48" s="65">
        <v>0</v>
      </c>
    </row>
    <row r="49" spans="1:33">
      <c r="A49" s="59" t="s">
        <v>7165</v>
      </c>
      <c r="B49" s="59" t="s">
        <v>1425</v>
      </c>
      <c r="C49" s="59" t="s">
        <v>7118</v>
      </c>
      <c r="D49" s="59" t="s">
        <v>7238</v>
      </c>
      <c r="E49" s="59" t="s">
        <v>7123</v>
      </c>
      <c r="F49" s="59" t="s">
        <v>7224</v>
      </c>
      <c r="G49" s="59" t="s">
        <v>7225</v>
      </c>
      <c r="H49" s="59" t="s">
        <v>7124</v>
      </c>
      <c r="I49" s="59" t="s">
        <v>5768</v>
      </c>
      <c r="J49" s="59" t="s">
        <v>5748</v>
      </c>
      <c r="K49" s="61">
        <f>VLOOKUP(B49,'Feuerwaffen-Ressourcen'!$A$2:$AI$54,11,0)+VLOOKUP(C49,'Feuerwaffen-Ressourcen'!$A$2:$AI$54,11,0)+VLOOKUP(D49,'Feuerwaffen-Ressourcen'!$A$2:$AI$54,11,0)+VLOOKUP(E49,'Feuerwaffen-Ressourcen'!$A$2:$AI$54,11,0)+VLOOKUP(G49,'Feuerwaffen-Ressourcen'!$A$2:$AI$54,11,0)</f>
        <v>1.7000000000000002</v>
      </c>
      <c r="L49" s="60">
        <f>VLOOKUP(B49,'Feuerwaffen-Ressourcen'!$A$2:$AI$54,12,0)+VLOOKUP(C49,'Feuerwaffen-Ressourcen'!$A$2:$AI$54,12,0)+VLOOKUP(D49,'Feuerwaffen-Ressourcen'!$A$2:$AI$54,12,0)+VLOOKUP(J49,'Feuerwaffen-Ressourcen'!$A$2:$AI$54,12,0)</f>
        <v>5</v>
      </c>
      <c r="M49" s="60" t="str">
        <f>VLOOKUP(VLOOKUP(B49,'Feuerwaffen-Ressourcen'!$A$2:$AI$54,13,0)+VLOOKUP(C49,'Feuerwaffen-Ressourcen'!$A$2:$AI$54,13,0)+VLOOKUP(D49,'Feuerwaffen-Ressourcen'!$A$2:$AI$54,13,0),'Feuerwaffen-Ressourcen'!$AJ$3:$AK$12,2,0)</f>
        <v>W8</v>
      </c>
      <c r="N49" s="60" t="str">
        <f>VLOOKUP(VLOOKUP(B49,'Feuerwaffen-Ressourcen'!$A$2:$AI$54,14,0)+VLOOKUP(C49,'Feuerwaffen-Ressourcen'!$A$2:$AI$54,14,0)+VLOOKUP(D49,'Feuerwaffen-Ressourcen'!$A$2:$AI$54,14,0),'Feuerwaffen-Ressourcen'!$AJ$3:$AK$12,2,0)</f>
        <v>W6</v>
      </c>
      <c r="O49" s="60">
        <f>VLOOKUP(B49,'Feuerwaffen-Ressourcen'!$A$2:$AI$54,15,0)+VLOOKUP(C49,'Feuerwaffen-Ressourcen'!$A$2:$AI$54,15,0)+VLOOKUP(D49,'Feuerwaffen-Ressourcen'!$A$2:$AI$54,15,0)</f>
        <v>0</v>
      </c>
      <c r="P49" s="60">
        <f>VLOOKUP(B49,'Feuerwaffen-Ressourcen'!$A$2:$AI$54,16,0)+VLOOKUP(C49,'Feuerwaffen-Ressourcen'!$A$2:$AI$54,16,0)+VLOOKUP(D49,'Feuerwaffen-Ressourcen'!$A$2:$AI$54,16,0)+VLOOKUP(E49,'Feuerwaffen-Ressourcen'!$A$2:$AI$54,16,0)</f>
        <v>15</v>
      </c>
      <c r="Q49" s="62">
        <f>VLOOKUP(B49,'Feuerwaffen-Ressourcen'!$A$2:$AI$54,17,0)+VLOOKUP(C49,'Feuerwaffen-Ressourcen'!$A$2:$AI$54,17,0)+VLOOKUP(D49,'Feuerwaffen-Ressourcen'!$A$2:$AI$54,17,0)+VLOOKUP(E49,'Feuerwaffen-Ressourcen'!$A$2:$AI$54,17,0)</f>
        <v>6</v>
      </c>
      <c r="R49" s="60">
        <f>VLOOKUP(B49,'Feuerwaffen-Ressourcen'!$A$2:$AI$54,18,0)+VLOOKUP(C49,'Feuerwaffen-Ressourcen'!$A$2:$AI$54,18,0)+VLOOKUP(D49,'Feuerwaffen-Ressourcen'!$A$2:$AI$54,18,0)+VLOOKUP(F49,'Feuerwaffen-Ressourcen'!$A$2:$AI$54,18,0)+VLOOKUP(G49,'Feuerwaffen-Ressourcen'!$A$2:$AI$54,18,0)+VLOOKUP(I49,'Feuerwaffen-Ressourcen'!$A$2:$AI$54,18,0)+VLOOKUP(J49,'Feuerwaffen-Ressourcen'!$A$2:$AI$54,18,0)</f>
        <v>8</v>
      </c>
      <c r="S49" s="60">
        <f>VLOOKUP(B49,'Feuerwaffen-Ressourcen'!$A$2:$AI$54,19,0)+VLOOKUP(C49,'Feuerwaffen-Ressourcen'!$A$2:$AI$54,19,0)+VLOOKUP(D49,'Feuerwaffen-Ressourcen'!$A$2:$AI$54,19,0)+VLOOKUP(F49,'Feuerwaffen-Ressourcen'!$A$2:$AI$54,19,0)+VLOOKUP(G49,'Feuerwaffen-Ressourcen'!$A$2:$AI$54,19,0)+VLOOKUP(I49,'Feuerwaffen-Ressourcen'!$A$2:$AI$54,19,0)+VLOOKUP(J49,'Feuerwaffen-Ressourcen'!$A$2:$AI$54,19,0)</f>
        <v>1</v>
      </c>
      <c r="T49" s="60">
        <f>VLOOKUP(B49,'Feuerwaffen-Ressourcen'!$A$2:$AI$54,20,0)+VLOOKUP(C49,'Feuerwaffen-Ressourcen'!$A$2:$AI$54,20,0)+VLOOKUP(D49,'Feuerwaffen-Ressourcen'!$A$2:$AI$54,20,0)+VLOOKUP(F49,'Feuerwaffen-Ressourcen'!$A$2:$AI$54,20,0)+VLOOKUP(G49,'Feuerwaffen-Ressourcen'!$A$2:$AI$54,20,0)+VLOOKUP(I49,'Feuerwaffen-Ressourcen'!$A$2:$AI$54,20,0)+VLOOKUP(J49,'Feuerwaffen-Ressourcen'!$A$2:$AI$54,20,0)</f>
        <v>-9</v>
      </c>
      <c r="U49" s="60">
        <f>VLOOKUP(B49,'Feuerwaffen-Ressourcen'!$A$2:$AI$54,21,0)+VLOOKUP(C49,'Feuerwaffen-Ressourcen'!$A$2:$AI$54,21,0)+VLOOKUP(D49,'Feuerwaffen-Ressourcen'!$A$2:$AI$54,21,0)+VLOOKUP(F49,'Feuerwaffen-Ressourcen'!$A$2:$AI$54,21,0)+VLOOKUP(G49,'Feuerwaffen-Ressourcen'!$A$2:$AI$54,21,0)+VLOOKUP(I49,'Feuerwaffen-Ressourcen'!$A$2:$AI$54,21,0)+VLOOKUP(J49,'Feuerwaffen-Ressourcen'!$A$2:$AI$54,21,0)</f>
        <v>-23</v>
      </c>
      <c r="V49" s="60">
        <f>VLOOKUP(B49,'Feuerwaffen-Ressourcen'!$A$2:$AI$54,22,0)+VLOOKUP(C49,'Feuerwaffen-Ressourcen'!$A$2:$AI$54,22,0)+VLOOKUP(D49,'Feuerwaffen-Ressourcen'!$A$2:$AI$54,22,0)+VLOOKUP(F49,'Feuerwaffen-Ressourcen'!$A$2:$AI$54,22,0)+VLOOKUP(G49,'Feuerwaffen-Ressourcen'!$A$2:$AI$54,22,0)+VLOOKUP(I49,'Feuerwaffen-Ressourcen'!$A$2:$AI$54,22,0)+VLOOKUP(J49,'Feuerwaffen-Ressourcen'!$A$2:$AI$54,22,0)</f>
        <v>-38</v>
      </c>
      <c r="W49" s="60">
        <f>VLOOKUP(B49,'Feuerwaffen-Ressourcen'!$A$2:$AI$54,23,0)+VLOOKUP(C49,'Feuerwaffen-Ressourcen'!$A$2:$AI$54,23,0)+VLOOKUP(D49,'Feuerwaffen-Ressourcen'!$A$2:$AI$54,23,0)+VLOOKUP(F49,'Feuerwaffen-Ressourcen'!$A$2:$AI$54,23,0)+VLOOKUP(G49,'Feuerwaffen-Ressourcen'!$A$2:$AI$54,23,0)+VLOOKUP(I49,'Feuerwaffen-Ressourcen'!$A$2:$AI$54,23,0)+VLOOKUP(J49,'Feuerwaffen-Ressourcen'!$A$2:$AI$54,23,0)</f>
        <v>-54</v>
      </c>
      <c r="X49" s="60">
        <f>VLOOKUP(B49,'Feuerwaffen-Ressourcen'!$A$2:$AI$54,24,0)+VLOOKUP(C49,'Feuerwaffen-Ressourcen'!$A$2:$AI$54,24,0)+VLOOKUP(D49,'Feuerwaffen-Ressourcen'!$A$2:$AI$54,24,0)+VLOOKUP(G49,'Feuerwaffen-Ressourcen'!$A$2:$AI$54,24,0)</f>
        <v>60</v>
      </c>
      <c r="Y49" s="60">
        <f>VLOOKUP(D49,'Feuerwaffen-Ressourcen'!$A$2:$AI$54,25,0)+VLOOKUP(E49,'Feuerwaffen-Ressourcen'!$A$2:$AI$54,25,0)+VLOOKUP(F49,'Feuerwaffen-Ressourcen'!$A$2:$AI$54,25,0)</f>
        <v>12</v>
      </c>
      <c r="Z49" s="60">
        <f>VLOOKUP(E49,'Feuerwaffen-Ressourcen'!$A$2:$AI$54,26,0)</f>
        <v>6</v>
      </c>
      <c r="AA49" s="60">
        <f>VLOOKUP(B49,'Feuerwaffen-Ressourcen'!$A$2:$AI$54,27,0)+VLOOKUP(D49,'Feuerwaffen-Ressourcen'!$A$2:$AI$54,27,0)+VLOOKUP(F49,'Feuerwaffen-Ressourcen'!$A$2:$AI$54,27,0)+VLOOKUP(I49,'Feuerwaffen-Ressourcen'!$A$2:$AI$54,27,0)</f>
        <v>1</v>
      </c>
      <c r="AB49" s="60">
        <f>VLOOKUP(B49,'Feuerwaffen-Ressourcen'!$A$2:$AI$54,28,0)+VLOOKUP(C49,'Feuerwaffen-Ressourcen'!$A$2:$AI$54,28,0)+VLOOKUP(D49,'Feuerwaffen-Ressourcen'!$A$2:$AI$54,28,0)+VLOOKUP(E49,'Feuerwaffen-Ressourcen'!$A$2:$AI$54,28,0)+VLOOKUP(F49,'Feuerwaffen-Ressourcen'!$A$2:$AI$54,28,0)+VLOOKUP(G49,'Feuerwaffen-Ressourcen'!$A$2:$AI$54,28,0)+VLOOKUP(I49,'Feuerwaffen-Ressourcen'!$A$2:$AI$54,28,0)+VLOOKUP(J49,'Feuerwaffen-Ressourcen'!$A$2:$AI$54,28,0)</f>
        <v>60</v>
      </c>
      <c r="AC49" s="63">
        <f>VLOOKUP(I49,'Feuerwaffen-Ressourcen'!$A$2:$AI$54,31,0)*AD49+AE49</f>
        <v>188.35000000000002</v>
      </c>
      <c r="AD49" s="64">
        <f>VLOOKUP(B49,'Feuerwaffen-Ressourcen'!$A$2:$AI$54,30,0)+VLOOKUP(C49,'Feuerwaffen-Ressourcen'!$A$2:$AI$54,30,0)+VLOOKUP(D49,'Feuerwaffen-Ressourcen'!$A$2:$AI$54,30,0)+VLOOKUP(F49,'Feuerwaffen-Ressourcen'!$A$2:$AI$54,30,0)+VLOOKUP(G49,'Feuerwaffen-Ressourcen'!$A$2:$AI$54,30,0)+VLOOKUP(I49,'Feuerwaffen-Ressourcen'!$A$2:$AI$54,30,0)+VLOOKUP(J49,'Feuerwaffen-Ressourcen'!$A$2:$AI$54,30,0)</f>
        <v>6.5</v>
      </c>
      <c r="AE49" s="63">
        <f>(VLOOKUP(C49,'Feuerwaffen-Ressourcen'!$A$2:$AI$54,32,0)+VLOOKUP(I49,'Feuerwaffen-Ressourcen'!$A$2:$AI$54,32,0))*(VLOOKUP(B49,'Feuerwaffen-Ressourcen'!$A$2:$AI$54,34,0)+VLOOKUP(C49,'Feuerwaffen-Ressourcen'!$A$2:$AI$54,34,0)+VLOOKUP(D49,'Feuerwaffen-Ressourcen'!$A$2:$AI$54,34,0)+VLOOKUP(E49,'Feuerwaffen-Ressourcen'!$A$2:$AI$54,34,0)+VLOOKUP(G49,'Feuerwaffen-Ressourcen'!$A$2:$AI$54,34,0))+VLOOKUP(B49,'Feuerwaffen-Ressourcen'!$A$2:$AI$54,35,0)+VLOOKUP(C49,'Feuerwaffen-Ressourcen'!$A$2:$AI$54,35,0)+VLOOKUP(D49,'Feuerwaffen-Ressourcen'!$A$2:$AI$54,35,0)</f>
        <v>162.35000000000002</v>
      </c>
      <c r="AF49" s="65">
        <f>VLOOKUP(AB49,'Feuerwaffen-Ressourcen'!$AO$3:$AP$9,2,1)</f>
        <v>7</v>
      </c>
      <c r="AG49" s="65">
        <v>0</v>
      </c>
    </row>
    <row r="50" spans="1:33">
      <c r="A50" s="59" t="s">
        <v>7167</v>
      </c>
      <c r="B50" s="59" t="s">
        <v>1425</v>
      </c>
      <c r="C50" s="59" t="s">
        <v>7118</v>
      </c>
      <c r="D50" s="59" t="s">
        <v>7227</v>
      </c>
      <c r="E50" s="59" t="s">
        <v>7123</v>
      </c>
      <c r="F50" s="59" t="s">
        <v>7224</v>
      </c>
      <c r="G50" s="59" t="s">
        <v>7225</v>
      </c>
      <c r="H50" s="59" t="s">
        <v>7124</v>
      </c>
      <c r="I50" s="59" t="s">
        <v>5768</v>
      </c>
      <c r="J50" s="59" t="s">
        <v>5748</v>
      </c>
      <c r="K50" s="61">
        <f>VLOOKUP(B50,'Feuerwaffen-Ressourcen'!$A$2:$AI$54,11,0)+VLOOKUP(C50,'Feuerwaffen-Ressourcen'!$A$2:$AI$54,11,0)+VLOOKUP(D50,'Feuerwaffen-Ressourcen'!$A$2:$AI$54,11,0)+VLOOKUP(E50,'Feuerwaffen-Ressourcen'!$A$2:$AI$54,11,0)+VLOOKUP(G50,'Feuerwaffen-Ressourcen'!$A$2:$AI$54,11,0)</f>
        <v>0.40000000000000013</v>
      </c>
      <c r="L50" s="60">
        <f>VLOOKUP(B50,'Feuerwaffen-Ressourcen'!$A$2:$AI$54,12,0)+VLOOKUP(C50,'Feuerwaffen-Ressourcen'!$A$2:$AI$54,12,0)+VLOOKUP(D50,'Feuerwaffen-Ressourcen'!$A$2:$AI$54,12,0)+VLOOKUP(J50,'Feuerwaffen-Ressourcen'!$A$2:$AI$54,12,0)</f>
        <v>2</v>
      </c>
      <c r="M50" s="60" t="str">
        <f>VLOOKUP(VLOOKUP(B50,'Feuerwaffen-Ressourcen'!$A$2:$AI$54,13,0)+VLOOKUP(C50,'Feuerwaffen-Ressourcen'!$A$2:$AI$54,13,0)+VLOOKUP(D50,'Feuerwaffen-Ressourcen'!$A$2:$AI$54,13,0),'Feuerwaffen-Ressourcen'!$AJ$3:$AK$12,2,0)</f>
        <v>W4</v>
      </c>
      <c r="N50" s="60" t="str">
        <f>VLOOKUP(VLOOKUP(B50,'Feuerwaffen-Ressourcen'!$A$2:$AI$54,14,0)+VLOOKUP(C50,'Feuerwaffen-Ressourcen'!$A$2:$AI$54,14,0)+VLOOKUP(D50,'Feuerwaffen-Ressourcen'!$A$2:$AI$54,14,0),'Feuerwaffen-Ressourcen'!$AJ$3:$AK$12,2,0)</f>
        <v>W4</v>
      </c>
      <c r="O50" s="60">
        <f>VLOOKUP(B50,'Feuerwaffen-Ressourcen'!$A$2:$AI$54,15,0)+VLOOKUP(C50,'Feuerwaffen-Ressourcen'!$A$2:$AI$54,15,0)+VLOOKUP(D50,'Feuerwaffen-Ressourcen'!$A$2:$AI$54,15,0)</f>
        <v>0</v>
      </c>
      <c r="P50" s="60">
        <f>VLOOKUP(B50,'Feuerwaffen-Ressourcen'!$A$2:$AI$54,16,0)+VLOOKUP(C50,'Feuerwaffen-Ressourcen'!$A$2:$AI$54,16,0)+VLOOKUP(D50,'Feuerwaffen-Ressourcen'!$A$2:$AI$54,16,0)+VLOOKUP(E50,'Feuerwaffen-Ressourcen'!$A$2:$AI$54,16,0)</f>
        <v>18</v>
      </c>
      <c r="Q50" s="62">
        <f>VLOOKUP(B50,'Feuerwaffen-Ressourcen'!$A$2:$AI$54,17,0)+VLOOKUP(C50,'Feuerwaffen-Ressourcen'!$A$2:$AI$54,17,0)+VLOOKUP(D50,'Feuerwaffen-Ressourcen'!$A$2:$AI$54,17,0)+VLOOKUP(E50,'Feuerwaffen-Ressourcen'!$A$2:$AI$54,17,0)</f>
        <v>5</v>
      </c>
      <c r="R50" s="60">
        <f>VLOOKUP(B50,'Feuerwaffen-Ressourcen'!$A$2:$AI$54,18,0)+VLOOKUP(C50,'Feuerwaffen-Ressourcen'!$A$2:$AI$54,18,0)+VLOOKUP(D50,'Feuerwaffen-Ressourcen'!$A$2:$AI$54,18,0)+VLOOKUP(F50,'Feuerwaffen-Ressourcen'!$A$2:$AI$54,18,0)+VLOOKUP(G50,'Feuerwaffen-Ressourcen'!$A$2:$AI$54,18,0)+VLOOKUP(I50,'Feuerwaffen-Ressourcen'!$A$2:$AI$54,18,0)+VLOOKUP(J50,'Feuerwaffen-Ressourcen'!$A$2:$AI$54,18,0)</f>
        <v>13</v>
      </c>
      <c r="S50" s="60">
        <f>VLOOKUP(B50,'Feuerwaffen-Ressourcen'!$A$2:$AI$54,19,0)+VLOOKUP(C50,'Feuerwaffen-Ressourcen'!$A$2:$AI$54,19,0)+VLOOKUP(D50,'Feuerwaffen-Ressourcen'!$A$2:$AI$54,19,0)+VLOOKUP(F50,'Feuerwaffen-Ressourcen'!$A$2:$AI$54,19,0)+VLOOKUP(G50,'Feuerwaffen-Ressourcen'!$A$2:$AI$54,19,0)+VLOOKUP(I50,'Feuerwaffen-Ressourcen'!$A$2:$AI$54,19,0)+VLOOKUP(J50,'Feuerwaffen-Ressourcen'!$A$2:$AI$54,19,0)</f>
        <v>-3</v>
      </c>
      <c r="T50" s="60">
        <f>VLOOKUP(B50,'Feuerwaffen-Ressourcen'!$A$2:$AI$54,20,0)+VLOOKUP(C50,'Feuerwaffen-Ressourcen'!$A$2:$AI$54,20,0)+VLOOKUP(D50,'Feuerwaffen-Ressourcen'!$A$2:$AI$54,20,0)+VLOOKUP(F50,'Feuerwaffen-Ressourcen'!$A$2:$AI$54,20,0)+VLOOKUP(G50,'Feuerwaffen-Ressourcen'!$A$2:$AI$54,20,0)+VLOOKUP(I50,'Feuerwaffen-Ressourcen'!$A$2:$AI$54,20,0)+VLOOKUP(J50,'Feuerwaffen-Ressourcen'!$A$2:$AI$54,20,0)</f>
        <v>-18</v>
      </c>
      <c r="U50" s="60">
        <f>VLOOKUP(B50,'Feuerwaffen-Ressourcen'!$A$2:$AI$54,21,0)+VLOOKUP(C50,'Feuerwaffen-Ressourcen'!$A$2:$AI$54,21,0)+VLOOKUP(D50,'Feuerwaffen-Ressourcen'!$A$2:$AI$54,21,0)+VLOOKUP(F50,'Feuerwaffen-Ressourcen'!$A$2:$AI$54,21,0)+VLOOKUP(G50,'Feuerwaffen-Ressourcen'!$A$2:$AI$54,21,0)+VLOOKUP(I50,'Feuerwaffen-Ressourcen'!$A$2:$AI$54,21,0)+VLOOKUP(J50,'Feuerwaffen-Ressourcen'!$A$2:$AI$54,21,0)</f>
        <v>-42</v>
      </c>
      <c r="V50" s="60">
        <f>VLOOKUP(B50,'Feuerwaffen-Ressourcen'!$A$2:$AI$54,22,0)+VLOOKUP(C50,'Feuerwaffen-Ressourcen'!$A$2:$AI$54,22,0)+VLOOKUP(D50,'Feuerwaffen-Ressourcen'!$A$2:$AI$54,22,0)+VLOOKUP(F50,'Feuerwaffen-Ressourcen'!$A$2:$AI$54,22,0)+VLOOKUP(G50,'Feuerwaffen-Ressourcen'!$A$2:$AI$54,22,0)+VLOOKUP(I50,'Feuerwaffen-Ressourcen'!$A$2:$AI$54,22,0)+VLOOKUP(J50,'Feuerwaffen-Ressourcen'!$A$2:$AI$54,22,0)</f>
        <v>-77</v>
      </c>
      <c r="W50" s="60">
        <f>VLOOKUP(B50,'Feuerwaffen-Ressourcen'!$A$2:$AI$54,23,0)+VLOOKUP(C50,'Feuerwaffen-Ressourcen'!$A$2:$AI$54,23,0)+VLOOKUP(D50,'Feuerwaffen-Ressourcen'!$A$2:$AI$54,23,0)+VLOOKUP(F50,'Feuerwaffen-Ressourcen'!$A$2:$AI$54,23,0)+VLOOKUP(G50,'Feuerwaffen-Ressourcen'!$A$2:$AI$54,23,0)+VLOOKUP(I50,'Feuerwaffen-Ressourcen'!$A$2:$AI$54,23,0)+VLOOKUP(J50,'Feuerwaffen-Ressourcen'!$A$2:$AI$54,23,0)</f>
        <v>-133</v>
      </c>
      <c r="X50" s="60">
        <f>VLOOKUP(B50,'Feuerwaffen-Ressourcen'!$A$2:$AI$54,24,0)+VLOOKUP(C50,'Feuerwaffen-Ressourcen'!$A$2:$AI$54,24,0)+VLOOKUP(D50,'Feuerwaffen-Ressourcen'!$A$2:$AI$54,24,0)+VLOOKUP(G50,'Feuerwaffen-Ressourcen'!$A$2:$AI$54,24,0)</f>
        <v>50</v>
      </c>
      <c r="Y50" s="60">
        <f>VLOOKUP(D50,'Feuerwaffen-Ressourcen'!$A$2:$AI$54,25,0)+VLOOKUP(E50,'Feuerwaffen-Ressourcen'!$A$2:$AI$54,25,0)+VLOOKUP(F50,'Feuerwaffen-Ressourcen'!$A$2:$AI$54,25,0)</f>
        <v>8</v>
      </c>
      <c r="Z50" s="60">
        <f>VLOOKUP(E50,'Feuerwaffen-Ressourcen'!$A$2:$AI$54,26,0)</f>
        <v>6</v>
      </c>
      <c r="AA50" s="60">
        <f>VLOOKUP(B50,'Feuerwaffen-Ressourcen'!$A$2:$AI$54,27,0)+VLOOKUP(D50,'Feuerwaffen-Ressourcen'!$A$2:$AI$54,27,0)+VLOOKUP(F50,'Feuerwaffen-Ressourcen'!$A$2:$AI$54,27,0)+VLOOKUP(I50,'Feuerwaffen-Ressourcen'!$A$2:$AI$54,27,0)</f>
        <v>-1</v>
      </c>
      <c r="AB50" s="60">
        <f>VLOOKUP(B50,'Feuerwaffen-Ressourcen'!$A$2:$AI$54,28,0)+VLOOKUP(C50,'Feuerwaffen-Ressourcen'!$A$2:$AI$54,28,0)+VLOOKUP(D50,'Feuerwaffen-Ressourcen'!$A$2:$AI$54,28,0)+VLOOKUP(E50,'Feuerwaffen-Ressourcen'!$A$2:$AI$54,28,0)+VLOOKUP(F50,'Feuerwaffen-Ressourcen'!$A$2:$AI$54,28,0)+VLOOKUP(G50,'Feuerwaffen-Ressourcen'!$A$2:$AI$54,28,0)+VLOOKUP(I50,'Feuerwaffen-Ressourcen'!$A$2:$AI$54,28,0)+VLOOKUP(J50,'Feuerwaffen-Ressourcen'!$A$2:$AI$54,28,0)</f>
        <v>75</v>
      </c>
      <c r="AC50" s="63">
        <f>VLOOKUP(I50,'Feuerwaffen-Ressourcen'!$A$2:$AI$54,31,0)*AD50+AE50</f>
        <v>68.150000000000006</v>
      </c>
      <c r="AD50" s="64">
        <f>VLOOKUP(B50,'Feuerwaffen-Ressourcen'!$A$2:$AI$54,30,0)+VLOOKUP(C50,'Feuerwaffen-Ressourcen'!$A$2:$AI$54,30,0)+VLOOKUP(D50,'Feuerwaffen-Ressourcen'!$A$2:$AI$54,30,0)+VLOOKUP(F50,'Feuerwaffen-Ressourcen'!$A$2:$AI$54,30,0)+VLOOKUP(G50,'Feuerwaffen-Ressourcen'!$A$2:$AI$54,30,0)+VLOOKUP(I50,'Feuerwaffen-Ressourcen'!$A$2:$AI$54,30,0)+VLOOKUP(J50,'Feuerwaffen-Ressourcen'!$A$2:$AI$54,30,0)</f>
        <v>9.5</v>
      </c>
      <c r="AE50" s="63">
        <f>(VLOOKUP(C50,'Feuerwaffen-Ressourcen'!$A$2:$AI$54,32,0)+VLOOKUP(I50,'Feuerwaffen-Ressourcen'!$A$2:$AI$54,32,0))*(VLOOKUP(B50,'Feuerwaffen-Ressourcen'!$A$2:$AI$54,34,0)+VLOOKUP(C50,'Feuerwaffen-Ressourcen'!$A$2:$AI$54,34,0)+VLOOKUP(D50,'Feuerwaffen-Ressourcen'!$A$2:$AI$54,34,0)+VLOOKUP(E50,'Feuerwaffen-Ressourcen'!$A$2:$AI$54,34,0)+VLOOKUP(G50,'Feuerwaffen-Ressourcen'!$A$2:$AI$54,34,0))+VLOOKUP(B50,'Feuerwaffen-Ressourcen'!$A$2:$AI$54,35,0)+VLOOKUP(C50,'Feuerwaffen-Ressourcen'!$A$2:$AI$54,35,0)+VLOOKUP(D50,'Feuerwaffen-Ressourcen'!$A$2:$AI$54,35,0)</f>
        <v>30.150000000000002</v>
      </c>
      <c r="AF50" s="65">
        <f>VLOOKUP(AB50,'Feuerwaffen-Ressourcen'!$AO$3:$AP$9,2,1)</f>
        <v>6</v>
      </c>
      <c r="AG50" s="65">
        <v>0</v>
      </c>
    </row>
    <row r="51" spans="1:33">
      <c r="A51" s="59" t="s">
        <v>7169</v>
      </c>
      <c r="B51" s="59" t="s">
        <v>1425</v>
      </c>
      <c r="C51" s="59" t="s">
        <v>7118</v>
      </c>
      <c r="D51" s="59" t="s">
        <v>7239</v>
      </c>
      <c r="E51" s="59" t="s">
        <v>6501</v>
      </c>
      <c r="F51" s="59" t="s">
        <v>7232</v>
      </c>
      <c r="G51" s="59" t="s">
        <v>7217</v>
      </c>
      <c r="H51" s="59" t="s">
        <v>6514</v>
      </c>
      <c r="I51" s="59" t="s">
        <v>5768</v>
      </c>
      <c r="J51" s="59" t="s">
        <v>5748</v>
      </c>
      <c r="K51" s="61">
        <f>VLOOKUP(B51,'Feuerwaffen-Ressourcen'!$A$2:$AI$54,11,0)+VLOOKUP(C51,'Feuerwaffen-Ressourcen'!$A$2:$AI$54,11,0)+VLOOKUP(D51,'Feuerwaffen-Ressourcen'!$A$2:$AI$54,11,0)+VLOOKUP(E51,'Feuerwaffen-Ressourcen'!$A$2:$AI$54,11,0)+VLOOKUP(G51,'Feuerwaffen-Ressourcen'!$A$2:$AI$54,11,0)</f>
        <v>2.95</v>
      </c>
      <c r="L51" s="60">
        <f>VLOOKUP(B51,'Feuerwaffen-Ressourcen'!$A$2:$AI$54,12,0)+VLOOKUP(C51,'Feuerwaffen-Ressourcen'!$A$2:$AI$54,12,0)+VLOOKUP(D51,'Feuerwaffen-Ressourcen'!$A$2:$AI$54,12,0)+VLOOKUP(J51,'Feuerwaffen-Ressourcen'!$A$2:$AI$54,12,0)</f>
        <v>6</v>
      </c>
      <c r="M51" s="60" t="str">
        <f>VLOOKUP(VLOOKUP(B51,'Feuerwaffen-Ressourcen'!$A$2:$AI$54,13,0)+VLOOKUP(C51,'Feuerwaffen-Ressourcen'!$A$2:$AI$54,13,0)+VLOOKUP(D51,'Feuerwaffen-Ressourcen'!$A$2:$AI$54,13,0),'Feuerwaffen-Ressourcen'!$AJ$3:$AK$12,2,0)</f>
        <v>W6</v>
      </c>
      <c r="N51" s="60" t="str">
        <f>VLOOKUP(VLOOKUP(B51,'Feuerwaffen-Ressourcen'!$A$2:$AI$54,14,0)+VLOOKUP(C51,'Feuerwaffen-Ressourcen'!$A$2:$AI$54,14,0)+VLOOKUP(D51,'Feuerwaffen-Ressourcen'!$A$2:$AI$54,14,0),'Feuerwaffen-Ressourcen'!$AJ$3:$AK$12,2,0)</f>
        <v>W6</v>
      </c>
      <c r="O51" s="60">
        <f>VLOOKUP(B51,'Feuerwaffen-Ressourcen'!$A$2:$AI$54,15,0)+VLOOKUP(C51,'Feuerwaffen-Ressourcen'!$A$2:$AI$54,15,0)+VLOOKUP(D51,'Feuerwaffen-Ressourcen'!$A$2:$AI$54,15,0)</f>
        <v>0</v>
      </c>
      <c r="P51" s="60">
        <f>VLOOKUP(B51,'Feuerwaffen-Ressourcen'!$A$2:$AI$54,16,0)+VLOOKUP(C51,'Feuerwaffen-Ressourcen'!$A$2:$AI$54,16,0)+VLOOKUP(D51,'Feuerwaffen-Ressourcen'!$A$2:$AI$54,16,0)+VLOOKUP(E51,'Feuerwaffen-Ressourcen'!$A$2:$AI$54,16,0)</f>
        <v>9</v>
      </c>
      <c r="Q51" s="62">
        <f>VLOOKUP(B51,'Feuerwaffen-Ressourcen'!$A$2:$AI$54,17,0)+VLOOKUP(C51,'Feuerwaffen-Ressourcen'!$A$2:$AI$54,17,0)+VLOOKUP(D51,'Feuerwaffen-Ressourcen'!$A$2:$AI$54,17,0)+VLOOKUP(E51,'Feuerwaffen-Ressourcen'!$A$2:$AI$54,17,0)</f>
        <v>12</v>
      </c>
      <c r="R51" s="60">
        <f>VLOOKUP(B51,'Feuerwaffen-Ressourcen'!$A$2:$AI$54,18,0)+VLOOKUP(C51,'Feuerwaffen-Ressourcen'!$A$2:$AI$54,18,0)+VLOOKUP(D51,'Feuerwaffen-Ressourcen'!$A$2:$AI$54,18,0)+VLOOKUP(F51,'Feuerwaffen-Ressourcen'!$A$2:$AI$54,18,0)+VLOOKUP(G51,'Feuerwaffen-Ressourcen'!$A$2:$AI$54,18,0)+VLOOKUP(I51,'Feuerwaffen-Ressourcen'!$A$2:$AI$54,18,0)+VLOOKUP(J51,'Feuerwaffen-Ressourcen'!$A$2:$AI$54,18,0)</f>
        <v>5</v>
      </c>
      <c r="S51" s="60">
        <f>VLOOKUP(B51,'Feuerwaffen-Ressourcen'!$A$2:$AI$54,19,0)+VLOOKUP(C51,'Feuerwaffen-Ressourcen'!$A$2:$AI$54,19,0)+VLOOKUP(D51,'Feuerwaffen-Ressourcen'!$A$2:$AI$54,19,0)+VLOOKUP(F51,'Feuerwaffen-Ressourcen'!$A$2:$AI$54,19,0)+VLOOKUP(G51,'Feuerwaffen-Ressourcen'!$A$2:$AI$54,19,0)+VLOOKUP(I51,'Feuerwaffen-Ressourcen'!$A$2:$AI$54,19,0)+VLOOKUP(J51,'Feuerwaffen-Ressourcen'!$A$2:$AI$54,19,0)</f>
        <v>-3</v>
      </c>
      <c r="T51" s="60">
        <f>VLOOKUP(B51,'Feuerwaffen-Ressourcen'!$A$2:$AI$54,20,0)+VLOOKUP(C51,'Feuerwaffen-Ressourcen'!$A$2:$AI$54,20,0)+VLOOKUP(D51,'Feuerwaffen-Ressourcen'!$A$2:$AI$54,20,0)+VLOOKUP(F51,'Feuerwaffen-Ressourcen'!$A$2:$AI$54,20,0)+VLOOKUP(G51,'Feuerwaffen-Ressourcen'!$A$2:$AI$54,20,0)+VLOOKUP(I51,'Feuerwaffen-Ressourcen'!$A$2:$AI$54,20,0)+VLOOKUP(J51,'Feuerwaffen-Ressourcen'!$A$2:$AI$54,20,0)</f>
        <v>-13</v>
      </c>
      <c r="U51" s="60">
        <f>VLOOKUP(B51,'Feuerwaffen-Ressourcen'!$A$2:$AI$54,21,0)+VLOOKUP(C51,'Feuerwaffen-Ressourcen'!$A$2:$AI$54,21,0)+VLOOKUP(D51,'Feuerwaffen-Ressourcen'!$A$2:$AI$54,21,0)+VLOOKUP(F51,'Feuerwaffen-Ressourcen'!$A$2:$AI$54,21,0)+VLOOKUP(G51,'Feuerwaffen-Ressourcen'!$A$2:$AI$54,21,0)+VLOOKUP(I51,'Feuerwaffen-Ressourcen'!$A$2:$AI$54,21,0)+VLOOKUP(J51,'Feuerwaffen-Ressourcen'!$A$2:$AI$54,21,0)</f>
        <v>-26</v>
      </c>
      <c r="V51" s="60">
        <f>VLOOKUP(B51,'Feuerwaffen-Ressourcen'!$A$2:$AI$54,22,0)+VLOOKUP(C51,'Feuerwaffen-Ressourcen'!$A$2:$AI$54,22,0)+VLOOKUP(D51,'Feuerwaffen-Ressourcen'!$A$2:$AI$54,22,0)+VLOOKUP(F51,'Feuerwaffen-Ressourcen'!$A$2:$AI$54,22,0)+VLOOKUP(G51,'Feuerwaffen-Ressourcen'!$A$2:$AI$54,22,0)+VLOOKUP(I51,'Feuerwaffen-Ressourcen'!$A$2:$AI$54,22,0)+VLOOKUP(J51,'Feuerwaffen-Ressourcen'!$A$2:$AI$54,22,0)</f>
        <v>-40</v>
      </c>
      <c r="W51" s="60">
        <f>VLOOKUP(B51,'Feuerwaffen-Ressourcen'!$A$2:$AI$54,23,0)+VLOOKUP(C51,'Feuerwaffen-Ressourcen'!$A$2:$AI$54,23,0)+VLOOKUP(D51,'Feuerwaffen-Ressourcen'!$A$2:$AI$54,23,0)+VLOOKUP(F51,'Feuerwaffen-Ressourcen'!$A$2:$AI$54,23,0)+VLOOKUP(G51,'Feuerwaffen-Ressourcen'!$A$2:$AI$54,23,0)+VLOOKUP(I51,'Feuerwaffen-Ressourcen'!$A$2:$AI$54,23,0)+VLOOKUP(J51,'Feuerwaffen-Ressourcen'!$A$2:$AI$54,23,0)</f>
        <v>-56</v>
      </c>
      <c r="X51" s="60">
        <f>VLOOKUP(B51,'Feuerwaffen-Ressourcen'!$A$2:$AI$54,24,0)+VLOOKUP(C51,'Feuerwaffen-Ressourcen'!$A$2:$AI$54,24,0)+VLOOKUP(D51,'Feuerwaffen-Ressourcen'!$A$2:$AI$54,24,0)+VLOOKUP(G51,'Feuerwaffen-Ressourcen'!$A$2:$AI$54,24,0)</f>
        <v>30</v>
      </c>
      <c r="Y51" s="60">
        <f>VLOOKUP(D51,'Feuerwaffen-Ressourcen'!$A$2:$AI$54,25,0)+VLOOKUP(E51,'Feuerwaffen-Ressourcen'!$A$2:$AI$54,25,0)+VLOOKUP(F51,'Feuerwaffen-Ressourcen'!$A$2:$AI$54,25,0)</f>
        <v>38</v>
      </c>
      <c r="Z51" s="60">
        <f>VLOOKUP(E51,'Feuerwaffen-Ressourcen'!$A$2:$AI$54,26,0)</f>
        <v>3</v>
      </c>
      <c r="AA51" s="60">
        <f>VLOOKUP(B51,'Feuerwaffen-Ressourcen'!$A$2:$AI$54,27,0)+VLOOKUP(D51,'Feuerwaffen-Ressourcen'!$A$2:$AI$54,27,0)+VLOOKUP(F51,'Feuerwaffen-Ressourcen'!$A$2:$AI$54,27,0)+VLOOKUP(I51,'Feuerwaffen-Ressourcen'!$A$2:$AI$54,27,0)</f>
        <v>4</v>
      </c>
      <c r="AB51" s="60">
        <f>VLOOKUP(B51,'Feuerwaffen-Ressourcen'!$A$2:$AI$54,28,0)+VLOOKUP(C51,'Feuerwaffen-Ressourcen'!$A$2:$AI$54,28,0)+VLOOKUP(D51,'Feuerwaffen-Ressourcen'!$A$2:$AI$54,28,0)+VLOOKUP(E51,'Feuerwaffen-Ressourcen'!$A$2:$AI$54,28,0)+VLOOKUP(F51,'Feuerwaffen-Ressourcen'!$A$2:$AI$54,28,0)+VLOOKUP(G51,'Feuerwaffen-Ressourcen'!$A$2:$AI$54,28,0)+VLOOKUP(I51,'Feuerwaffen-Ressourcen'!$A$2:$AI$54,28,0)+VLOOKUP(J51,'Feuerwaffen-Ressourcen'!$A$2:$AI$54,28,0)</f>
        <v>70</v>
      </c>
      <c r="AC51" s="63">
        <f>VLOOKUP(I51,'Feuerwaffen-Ressourcen'!$A$2:$AI$54,31,0)*AD51+AE51</f>
        <v>380.35</v>
      </c>
      <c r="AD51" s="64">
        <f>VLOOKUP(B51,'Feuerwaffen-Ressourcen'!$A$2:$AI$54,30,0)+VLOOKUP(C51,'Feuerwaffen-Ressourcen'!$A$2:$AI$54,30,0)+VLOOKUP(D51,'Feuerwaffen-Ressourcen'!$A$2:$AI$54,30,0)+VLOOKUP(F51,'Feuerwaffen-Ressourcen'!$A$2:$AI$54,30,0)+VLOOKUP(G51,'Feuerwaffen-Ressourcen'!$A$2:$AI$54,30,0)+VLOOKUP(I51,'Feuerwaffen-Ressourcen'!$A$2:$AI$54,30,0)+VLOOKUP(J51,'Feuerwaffen-Ressourcen'!$A$2:$AI$54,30,0)</f>
        <v>17</v>
      </c>
      <c r="AE51" s="63">
        <f>(VLOOKUP(C51,'Feuerwaffen-Ressourcen'!$A$2:$AI$54,32,0)+VLOOKUP(I51,'Feuerwaffen-Ressourcen'!$A$2:$AI$54,32,0))*(VLOOKUP(B51,'Feuerwaffen-Ressourcen'!$A$2:$AI$54,34,0)+VLOOKUP(C51,'Feuerwaffen-Ressourcen'!$A$2:$AI$54,34,0)+VLOOKUP(D51,'Feuerwaffen-Ressourcen'!$A$2:$AI$54,34,0)+VLOOKUP(E51,'Feuerwaffen-Ressourcen'!$A$2:$AI$54,34,0)+VLOOKUP(G51,'Feuerwaffen-Ressourcen'!$A$2:$AI$54,34,0))+VLOOKUP(B51,'Feuerwaffen-Ressourcen'!$A$2:$AI$54,35,0)+VLOOKUP(C51,'Feuerwaffen-Ressourcen'!$A$2:$AI$54,35,0)+VLOOKUP(D51,'Feuerwaffen-Ressourcen'!$A$2:$AI$54,35,0)</f>
        <v>312.35000000000002</v>
      </c>
      <c r="AF51" s="65">
        <f>VLOOKUP(AB51,'Feuerwaffen-Ressourcen'!$AO$3:$AP$9,2,1)</f>
        <v>6</v>
      </c>
      <c r="AG51" s="65">
        <v>0</v>
      </c>
    </row>
    <row r="52" spans="1:33">
      <c r="A52" s="59" t="s">
        <v>7170</v>
      </c>
      <c r="B52" s="59" t="s">
        <v>1425</v>
      </c>
      <c r="C52" s="59" t="s">
        <v>7118</v>
      </c>
      <c r="D52" s="59" t="s">
        <v>7219</v>
      </c>
      <c r="E52" s="59" t="s">
        <v>6501</v>
      </c>
      <c r="F52" s="59" t="s">
        <v>7232</v>
      </c>
      <c r="G52" s="59" t="s">
        <v>7217</v>
      </c>
      <c r="H52" s="59" t="s">
        <v>6514</v>
      </c>
      <c r="I52" s="59" t="s">
        <v>5768</v>
      </c>
      <c r="J52" s="59" t="s">
        <v>5748</v>
      </c>
      <c r="K52" s="61">
        <f>VLOOKUP(B52,'Feuerwaffen-Ressourcen'!$A$2:$AI$54,11,0)+VLOOKUP(C52,'Feuerwaffen-Ressourcen'!$A$2:$AI$54,11,0)+VLOOKUP(D52,'Feuerwaffen-Ressourcen'!$A$2:$AI$54,11,0)+VLOOKUP(E52,'Feuerwaffen-Ressourcen'!$A$2:$AI$54,11,0)+VLOOKUP(G52,'Feuerwaffen-Ressourcen'!$A$2:$AI$54,11,0)</f>
        <v>1.1500000000000001</v>
      </c>
      <c r="L52" s="60">
        <f>VLOOKUP(B52,'Feuerwaffen-Ressourcen'!$A$2:$AI$54,12,0)+VLOOKUP(C52,'Feuerwaffen-Ressourcen'!$A$2:$AI$54,12,0)+VLOOKUP(D52,'Feuerwaffen-Ressourcen'!$A$2:$AI$54,12,0)+VLOOKUP(J52,'Feuerwaffen-Ressourcen'!$A$2:$AI$54,12,0)</f>
        <v>4</v>
      </c>
      <c r="M52" s="60" t="str">
        <f>VLOOKUP(VLOOKUP(B52,'Feuerwaffen-Ressourcen'!$A$2:$AI$54,13,0)+VLOOKUP(C52,'Feuerwaffen-Ressourcen'!$A$2:$AI$54,13,0)+VLOOKUP(D52,'Feuerwaffen-Ressourcen'!$A$2:$AI$54,13,0),'Feuerwaffen-Ressourcen'!$AJ$3:$AK$12,2,0)</f>
        <v>W8</v>
      </c>
      <c r="N52" s="60" t="str">
        <f>VLOOKUP(VLOOKUP(B52,'Feuerwaffen-Ressourcen'!$A$2:$AI$54,14,0)+VLOOKUP(C52,'Feuerwaffen-Ressourcen'!$A$2:$AI$54,14,0)+VLOOKUP(D52,'Feuerwaffen-Ressourcen'!$A$2:$AI$54,14,0),'Feuerwaffen-Ressourcen'!$AJ$3:$AK$12,2,0)</f>
        <v>W10</v>
      </c>
      <c r="O52" s="60">
        <f>VLOOKUP(B52,'Feuerwaffen-Ressourcen'!$A$2:$AI$54,15,0)+VLOOKUP(C52,'Feuerwaffen-Ressourcen'!$A$2:$AI$54,15,0)+VLOOKUP(D52,'Feuerwaffen-Ressourcen'!$A$2:$AI$54,15,0)</f>
        <v>1</v>
      </c>
      <c r="P52" s="60">
        <f>VLOOKUP(B52,'Feuerwaffen-Ressourcen'!$A$2:$AI$54,16,0)+VLOOKUP(C52,'Feuerwaffen-Ressourcen'!$A$2:$AI$54,16,0)+VLOOKUP(D52,'Feuerwaffen-Ressourcen'!$A$2:$AI$54,16,0)+VLOOKUP(E52,'Feuerwaffen-Ressourcen'!$A$2:$AI$54,16,0)</f>
        <v>9</v>
      </c>
      <c r="Q52" s="62">
        <f>VLOOKUP(B52,'Feuerwaffen-Ressourcen'!$A$2:$AI$54,17,0)+VLOOKUP(C52,'Feuerwaffen-Ressourcen'!$A$2:$AI$54,17,0)+VLOOKUP(D52,'Feuerwaffen-Ressourcen'!$A$2:$AI$54,17,0)+VLOOKUP(E52,'Feuerwaffen-Ressourcen'!$A$2:$AI$54,17,0)</f>
        <v>13</v>
      </c>
      <c r="R52" s="60">
        <f>VLOOKUP(B52,'Feuerwaffen-Ressourcen'!$A$2:$AI$54,18,0)+VLOOKUP(C52,'Feuerwaffen-Ressourcen'!$A$2:$AI$54,18,0)+VLOOKUP(D52,'Feuerwaffen-Ressourcen'!$A$2:$AI$54,18,0)+VLOOKUP(F52,'Feuerwaffen-Ressourcen'!$A$2:$AI$54,18,0)+VLOOKUP(G52,'Feuerwaffen-Ressourcen'!$A$2:$AI$54,18,0)+VLOOKUP(I52,'Feuerwaffen-Ressourcen'!$A$2:$AI$54,18,0)+VLOOKUP(J52,'Feuerwaffen-Ressourcen'!$A$2:$AI$54,18,0)</f>
        <v>6</v>
      </c>
      <c r="S52" s="60">
        <f>VLOOKUP(B52,'Feuerwaffen-Ressourcen'!$A$2:$AI$54,19,0)+VLOOKUP(C52,'Feuerwaffen-Ressourcen'!$A$2:$AI$54,19,0)+VLOOKUP(D52,'Feuerwaffen-Ressourcen'!$A$2:$AI$54,19,0)+VLOOKUP(F52,'Feuerwaffen-Ressourcen'!$A$2:$AI$54,19,0)+VLOOKUP(G52,'Feuerwaffen-Ressourcen'!$A$2:$AI$54,19,0)+VLOOKUP(I52,'Feuerwaffen-Ressourcen'!$A$2:$AI$54,19,0)+VLOOKUP(J52,'Feuerwaffen-Ressourcen'!$A$2:$AI$54,19,0)</f>
        <v>1</v>
      </c>
      <c r="T52" s="60">
        <f>VLOOKUP(B52,'Feuerwaffen-Ressourcen'!$A$2:$AI$54,20,0)+VLOOKUP(C52,'Feuerwaffen-Ressourcen'!$A$2:$AI$54,20,0)+VLOOKUP(D52,'Feuerwaffen-Ressourcen'!$A$2:$AI$54,20,0)+VLOOKUP(F52,'Feuerwaffen-Ressourcen'!$A$2:$AI$54,20,0)+VLOOKUP(G52,'Feuerwaffen-Ressourcen'!$A$2:$AI$54,20,0)+VLOOKUP(I52,'Feuerwaffen-Ressourcen'!$A$2:$AI$54,20,0)+VLOOKUP(J52,'Feuerwaffen-Ressourcen'!$A$2:$AI$54,20,0)</f>
        <v>-10</v>
      </c>
      <c r="U52" s="60">
        <f>VLOOKUP(B52,'Feuerwaffen-Ressourcen'!$A$2:$AI$54,21,0)+VLOOKUP(C52,'Feuerwaffen-Ressourcen'!$A$2:$AI$54,21,0)+VLOOKUP(D52,'Feuerwaffen-Ressourcen'!$A$2:$AI$54,21,0)+VLOOKUP(F52,'Feuerwaffen-Ressourcen'!$A$2:$AI$54,21,0)+VLOOKUP(G52,'Feuerwaffen-Ressourcen'!$A$2:$AI$54,21,0)+VLOOKUP(I52,'Feuerwaffen-Ressourcen'!$A$2:$AI$54,21,0)+VLOOKUP(J52,'Feuerwaffen-Ressourcen'!$A$2:$AI$54,21,0)</f>
        <v>-23</v>
      </c>
      <c r="V52" s="60">
        <f>VLOOKUP(B52,'Feuerwaffen-Ressourcen'!$A$2:$AI$54,22,0)+VLOOKUP(C52,'Feuerwaffen-Ressourcen'!$A$2:$AI$54,22,0)+VLOOKUP(D52,'Feuerwaffen-Ressourcen'!$A$2:$AI$54,22,0)+VLOOKUP(F52,'Feuerwaffen-Ressourcen'!$A$2:$AI$54,22,0)+VLOOKUP(G52,'Feuerwaffen-Ressourcen'!$A$2:$AI$54,22,0)+VLOOKUP(I52,'Feuerwaffen-Ressourcen'!$A$2:$AI$54,22,0)+VLOOKUP(J52,'Feuerwaffen-Ressourcen'!$A$2:$AI$54,22,0)</f>
        <v>-37</v>
      </c>
      <c r="W52" s="60">
        <f>VLOOKUP(B52,'Feuerwaffen-Ressourcen'!$A$2:$AI$54,23,0)+VLOOKUP(C52,'Feuerwaffen-Ressourcen'!$A$2:$AI$54,23,0)+VLOOKUP(D52,'Feuerwaffen-Ressourcen'!$A$2:$AI$54,23,0)+VLOOKUP(F52,'Feuerwaffen-Ressourcen'!$A$2:$AI$54,23,0)+VLOOKUP(G52,'Feuerwaffen-Ressourcen'!$A$2:$AI$54,23,0)+VLOOKUP(I52,'Feuerwaffen-Ressourcen'!$A$2:$AI$54,23,0)+VLOOKUP(J52,'Feuerwaffen-Ressourcen'!$A$2:$AI$54,23,0)</f>
        <v>-53</v>
      </c>
      <c r="X52" s="60">
        <f>VLOOKUP(B52,'Feuerwaffen-Ressourcen'!$A$2:$AI$54,24,0)+VLOOKUP(C52,'Feuerwaffen-Ressourcen'!$A$2:$AI$54,24,0)+VLOOKUP(D52,'Feuerwaffen-Ressourcen'!$A$2:$AI$54,24,0)+VLOOKUP(G52,'Feuerwaffen-Ressourcen'!$A$2:$AI$54,24,0)</f>
        <v>40</v>
      </c>
      <c r="Y52" s="60">
        <f>VLOOKUP(D52,'Feuerwaffen-Ressourcen'!$A$2:$AI$54,25,0)+VLOOKUP(E52,'Feuerwaffen-Ressourcen'!$A$2:$AI$54,25,0)+VLOOKUP(F52,'Feuerwaffen-Ressourcen'!$A$2:$AI$54,25,0)</f>
        <v>33</v>
      </c>
      <c r="Z52" s="60">
        <f>VLOOKUP(E52,'Feuerwaffen-Ressourcen'!$A$2:$AI$54,26,0)</f>
        <v>3</v>
      </c>
      <c r="AA52" s="60">
        <f>VLOOKUP(B52,'Feuerwaffen-Ressourcen'!$A$2:$AI$54,27,0)+VLOOKUP(D52,'Feuerwaffen-Ressourcen'!$A$2:$AI$54,27,0)+VLOOKUP(F52,'Feuerwaffen-Ressourcen'!$A$2:$AI$54,27,0)+VLOOKUP(I52,'Feuerwaffen-Ressourcen'!$A$2:$AI$54,27,0)</f>
        <v>4</v>
      </c>
      <c r="AB52" s="60">
        <f>VLOOKUP(B52,'Feuerwaffen-Ressourcen'!$A$2:$AI$54,28,0)+VLOOKUP(C52,'Feuerwaffen-Ressourcen'!$A$2:$AI$54,28,0)+VLOOKUP(D52,'Feuerwaffen-Ressourcen'!$A$2:$AI$54,28,0)+VLOOKUP(E52,'Feuerwaffen-Ressourcen'!$A$2:$AI$54,28,0)+VLOOKUP(F52,'Feuerwaffen-Ressourcen'!$A$2:$AI$54,28,0)+VLOOKUP(G52,'Feuerwaffen-Ressourcen'!$A$2:$AI$54,28,0)+VLOOKUP(I52,'Feuerwaffen-Ressourcen'!$A$2:$AI$54,28,0)+VLOOKUP(J52,'Feuerwaffen-Ressourcen'!$A$2:$AI$54,28,0)</f>
        <v>95</v>
      </c>
      <c r="AC52" s="63">
        <f>VLOOKUP(I52,'Feuerwaffen-Ressourcen'!$A$2:$AI$54,31,0)*AD52+AE52</f>
        <v>142.35</v>
      </c>
      <c r="AD52" s="64">
        <f>VLOOKUP(B52,'Feuerwaffen-Ressourcen'!$A$2:$AI$54,30,0)+VLOOKUP(C52,'Feuerwaffen-Ressourcen'!$A$2:$AI$54,30,0)+VLOOKUP(D52,'Feuerwaffen-Ressourcen'!$A$2:$AI$54,30,0)+VLOOKUP(F52,'Feuerwaffen-Ressourcen'!$A$2:$AI$54,30,0)+VLOOKUP(G52,'Feuerwaffen-Ressourcen'!$A$2:$AI$54,30,0)+VLOOKUP(I52,'Feuerwaffen-Ressourcen'!$A$2:$AI$54,30,0)+VLOOKUP(J52,'Feuerwaffen-Ressourcen'!$A$2:$AI$54,30,0)</f>
        <v>11.5</v>
      </c>
      <c r="AE52" s="63">
        <f>(VLOOKUP(C52,'Feuerwaffen-Ressourcen'!$A$2:$AI$54,32,0)+VLOOKUP(I52,'Feuerwaffen-Ressourcen'!$A$2:$AI$54,32,0))*(VLOOKUP(B52,'Feuerwaffen-Ressourcen'!$A$2:$AI$54,34,0)+VLOOKUP(C52,'Feuerwaffen-Ressourcen'!$A$2:$AI$54,34,0)+VLOOKUP(D52,'Feuerwaffen-Ressourcen'!$A$2:$AI$54,34,0)+VLOOKUP(E52,'Feuerwaffen-Ressourcen'!$A$2:$AI$54,34,0)+VLOOKUP(G52,'Feuerwaffen-Ressourcen'!$A$2:$AI$54,34,0))+VLOOKUP(B52,'Feuerwaffen-Ressourcen'!$A$2:$AI$54,35,0)+VLOOKUP(C52,'Feuerwaffen-Ressourcen'!$A$2:$AI$54,35,0)+VLOOKUP(D52,'Feuerwaffen-Ressourcen'!$A$2:$AI$54,35,0)</f>
        <v>96.35</v>
      </c>
      <c r="AF52" s="65">
        <f>VLOOKUP(AB52,'Feuerwaffen-Ressourcen'!$AO$3:$AP$9,2,1)</f>
        <v>5</v>
      </c>
      <c r="AG52" s="65">
        <v>0</v>
      </c>
    </row>
    <row r="53" spans="1:33">
      <c r="A53" s="59" t="s">
        <v>7171</v>
      </c>
      <c r="B53" s="59" t="s">
        <v>1425</v>
      </c>
      <c r="C53" s="59" t="s">
        <v>7118</v>
      </c>
      <c r="D53" s="59" t="s">
        <v>7220</v>
      </c>
      <c r="E53" s="59" t="s">
        <v>6501</v>
      </c>
      <c r="F53" s="59" t="s">
        <v>7221</v>
      </c>
      <c r="G53" s="59" t="s">
        <v>7217</v>
      </c>
      <c r="H53" s="59" t="s">
        <v>6514</v>
      </c>
      <c r="I53" s="59" t="s">
        <v>5768</v>
      </c>
      <c r="J53" s="59" t="s">
        <v>5748</v>
      </c>
      <c r="K53" s="61">
        <f>VLOOKUP(B53,'Feuerwaffen-Ressourcen'!$A$2:$AI$54,11,0)+VLOOKUP(C53,'Feuerwaffen-Ressourcen'!$A$2:$AI$54,11,0)+VLOOKUP(D53,'Feuerwaffen-Ressourcen'!$A$2:$AI$54,11,0)+VLOOKUP(E53,'Feuerwaffen-Ressourcen'!$A$2:$AI$54,11,0)+VLOOKUP(G53,'Feuerwaffen-Ressourcen'!$A$2:$AI$54,11,0)</f>
        <v>0.85000000000000009</v>
      </c>
      <c r="L53" s="60">
        <f>VLOOKUP(B53,'Feuerwaffen-Ressourcen'!$A$2:$AI$54,12,0)+VLOOKUP(C53,'Feuerwaffen-Ressourcen'!$A$2:$AI$54,12,0)+VLOOKUP(D53,'Feuerwaffen-Ressourcen'!$A$2:$AI$54,12,0)+VLOOKUP(J53,'Feuerwaffen-Ressourcen'!$A$2:$AI$54,12,0)</f>
        <v>4</v>
      </c>
      <c r="M53" s="60" t="str">
        <f>VLOOKUP(VLOOKUP(B53,'Feuerwaffen-Ressourcen'!$A$2:$AI$54,13,0)+VLOOKUP(C53,'Feuerwaffen-Ressourcen'!$A$2:$AI$54,13,0)+VLOOKUP(D53,'Feuerwaffen-Ressourcen'!$A$2:$AI$54,13,0),'Feuerwaffen-Ressourcen'!$AJ$3:$AK$12,2,0)</f>
        <v>W8</v>
      </c>
      <c r="N53" s="60" t="str">
        <f>VLOOKUP(VLOOKUP(B53,'Feuerwaffen-Ressourcen'!$A$2:$AI$54,14,0)+VLOOKUP(C53,'Feuerwaffen-Ressourcen'!$A$2:$AI$54,14,0)+VLOOKUP(D53,'Feuerwaffen-Ressourcen'!$A$2:$AI$54,14,0),'Feuerwaffen-Ressourcen'!$AJ$3:$AK$12,2,0)</f>
        <v>W8</v>
      </c>
      <c r="O53" s="60">
        <f>VLOOKUP(B53,'Feuerwaffen-Ressourcen'!$A$2:$AI$54,15,0)+VLOOKUP(C53,'Feuerwaffen-Ressourcen'!$A$2:$AI$54,15,0)+VLOOKUP(D53,'Feuerwaffen-Ressourcen'!$A$2:$AI$54,15,0)</f>
        <v>0</v>
      </c>
      <c r="P53" s="60">
        <f>VLOOKUP(B53,'Feuerwaffen-Ressourcen'!$A$2:$AI$54,16,0)+VLOOKUP(C53,'Feuerwaffen-Ressourcen'!$A$2:$AI$54,16,0)+VLOOKUP(D53,'Feuerwaffen-Ressourcen'!$A$2:$AI$54,16,0)+VLOOKUP(E53,'Feuerwaffen-Ressourcen'!$A$2:$AI$54,16,0)</f>
        <v>9</v>
      </c>
      <c r="Q53" s="62">
        <f>VLOOKUP(B53,'Feuerwaffen-Ressourcen'!$A$2:$AI$54,17,0)+VLOOKUP(C53,'Feuerwaffen-Ressourcen'!$A$2:$AI$54,17,0)+VLOOKUP(D53,'Feuerwaffen-Ressourcen'!$A$2:$AI$54,17,0)+VLOOKUP(E53,'Feuerwaffen-Ressourcen'!$A$2:$AI$54,17,0)</f>
        <v>13</v>
      </c>
      <c r="R53" s="60">
        <f>VLOOKUP(B53,'Feuerwaffen-Ressourcen'!$A$2:$AI$54,18,0)+VLOOKUP(C53,'Feuerwaffen-Ressourcen'!$A$2:$AI$54,18,0)+VLOOKUP(D53,'Feuerwaffen-Ressourcen'!$A$2:$AI$54,18,0)+VLOOKUP(F53,'Feuerwaffen-Ressourcen'!$A$2:$AI$54,18,0)+VLOOKUP(G53,'Feuerwaffen-Ressourcen'!$A$2:$AI$54,18,0)+VLOOKUP(I53,'Feuerwaffen-Ressourcen'!$A$2:$AI$54,18,0)+VLOOKUP(J53,'Feuerwaffen-Ressourcen'!$A$2:$AI$54,18,0)</f>
        <v>5</v>
      </c>
      <c r="S53" s="60">
        <f>VLOOKUP(B53,'Feuerwaffen-Ressourcen'!$A$2:$AI$54,19,0)+VLOOKUP(C53,'Feuerwaffen-Ressourcen'!$A$2:$AI$54,19,0)+VLOOKUP(D53,'Feuerwaffen-Ressourcen'!$A$2:$AI$54,19,0)+VLOOKUP(F53,'Feuerwaffen-Ressourcen'!$A$2:$AI$54,19,0)+VLOOKUP(G53,'Feuerwaffen-Ressourcen'!$A$2:$AI$54,19,0)+VLOOKUP(I53,'Feuerwaffen-Ressourcen'!$A$2:$AI$54,19,0)+VLOOKUP(J53,'Feuerwaffen-Ressourcen'!$A$2:$AI$54,19,0)</f>
        <v>-3</v>
      </c>
      <c r="T53" s="60">
        <f>VLOOKUP(B53,'Feuerwaffen-Ressourcen'!$A$2:$AI$54,20,0)+VLOOKUP(C53,'Feuerwaffen-Ressourcen'!$A$2:$AI$54,20,0)+VLOOKUP(D53,'Feuerwaffen-Ressourcen'!$A$2:$AI$54,20,0)+VLOOKUP(F53,'Feuerwaffen-Ressourcen'!$A$2:$AI$54,20,0)+VLOOKUP(G53,'Feuerwaffen-Ressourcen'!$A$2:$AI$54,20,0)+VLOOKUP(I53,'Feuerwaffen-Ressourcen'!$A$2:$AI$54,20,0)+VLOOKUP(J53,'Feuerwaffen-Ressourcen'!$A$2:$AI$54,20,0)</f>
        <v>-13</v>
      </c>
      <c r="U53" s="60">
        <f>VLOOKUP(B53,'Feuerwaffen-Ressourcen'!$A$2:$AI$54,21,0)+VLOOKUP(C53,'Feuerwaffen-Ressourcen'!$A$2:$AI$54,21,0)+VLOOKUP(D53,'Feuerwaffen-Ressourcen'!$A$2:$AI$54,21,0)+VLOOKUP(F53,'Feuerwaffen-Ressourcen'!$A$2:$AI$54,21,0)+VLOOKUP(G53,'Feuerwaffen-Ressourcen'!$A$2:$AI$54,21,0)+VLOOKUP(I53,'Feuerwaffen-Ressourcen'!$A$2:$AI$54,21,0)+VLOOKUP(J53,'Feuerwaffen-Ressourcen'!$A$2:$AI$54,21,0)</f>
        <v>-26</v>
      </c>
      <c r="V53" s="60">
        <f>VLOOKUP(B53,'Feuerwaffen-Ressourcen'!$A$2:$AI$54,22,0)+VLOOKUP(C53,'Feuerwaffen-Ressourcen'!$A$2:$AI$54,22,0)+VLOOKUP(D53,'Feuerwaffen-Ressourcen'!$A$2:$AI$54,22,0)+VLOOKUP(F53,'Feuerwaffen-Ressourcen'!$A$2:$AI$54,22,0)+VLOOKUP(G53,'Feuerwaffen-Ressourcen'!$A$2:$AI$54,22,0)+VLOOKUP(I53,'Feuerwaffen-Ressourcen'!$A$2:$AI$54,22,0)+VLOOKUP(J53,'Feuerwaffen-Ressourcen'!$A$2:$AI$54,22,0)</f>
        <v>-40</v>
      </c>
      <c r="W53" s="60">
        <f>VLOOKUP(B53,'Feuerwaffen-Ressourcen'!$A$2:$AI$54,23,0)+VLOOKUP(C53,'Feuerwaffen-Ressourcen'!$A$2:$AI$54,23,0)+VLOOKUP(D53,'Feuerwaffen-Ressourcen'!$A$2:$AI$54,23,0)+VLOOKUP(F53,'Feuerwaffen-Ressourcen'!$A$2:$AI$54,23,0)+VLOOKUP(G53,'Feuerwaffen-Ressourcen'!$A$2:$AI$54,23,0)+VLOOKUP(I53,'Feuerwaffen-Ressourcen'!$A$2:$AI$54,23,0)+VLOOKUP(J53,'Feuerwaffen-Ressourcen'!$A$2:$AI$54,23,0)</f>
        <v>-56</v>
      </c>
      <c r="X53" s="60">
        <f>VLOOKUP(B53,'Feuerwaffen-Ressourcen'!$A$2:$AI$54,24,0)+VLOOKUP(C53,'Feuerwaffen-Ressourcen'!$A$2:$AI$54,24,0)+VLOOKUP(D53,'Feuerwaffen-Ressourcen'!$A$2:$AI$54,24,0)+VLOOKUP(G53,'Feuerwaffen-Ressourcen'!$A$2:$AI$54,24,0)</f>
        <v>30</v>
      </c>
      <c r="Y53" s="60">
        <f>VLOOKUP(D53,'Feuerwaffen-Ressourcen'!$A$2:$AI$54,25,0)+VLOOKUP(E53,'Feuerwaffen-Ressourcen'!$A$2:$AI$54,25,0)+VLOOKUP(F53,'Feuerwaffen-Ressourcen'!$A$2:$AI$54,25,0)</f>
        <v>30</v>
      </c>
      <c r="Z53" s="60">
        <f>VLOOKUP(E53,'Feuerwaffen-Ressourcen'!$A$2:$AI$54,26,0)</f>
        <v>3</v>
      </c>
      <c r="AA53" s="60">
        <f>VLOOKUP(B53,'Feuerwaffen-Ressourcen'!$A$2:$AI$54,27,0)+VLOOKUP(D53,'Feuerwaffen-Ressourcen'!$A$2:$AI$54,27,0)+VLOOKUP(F53,'Feuerwaffen-Ressourcen'!$A$2:$AI$54,27,0)+VLOOKUP(I53,'Feuerwaffen-Ressourcen'!$A$2:$AI$54,27,0)</f>
        <v>4</v>
      </c>
      <c r="AB53" s="60">
        <f>VLOOKUP(B53,'Feuerwaffen-Ressourcen'!$A$2:$AI$54,28,0)+VLOOKUP(C53,'Feuerwaffen-Ressourcen'!$A$2:$AI$54,28,0)+VLOOKUP(D53,'Feuerwaffen-Ressourcen'!$A$2:$AI$54,28,0)+VLOOKUP(E53,'Feuerwaffen-Ressourcen'!$A$2:$AI$54,28,0)+VLOOKUP(F53,'Feuerwaffen-Ressourcen'!$A$2:$AI$54,28,0)+VLOOKUP(G53,'Feuerwaffen-Ressourcen'!$A$2:$AI$54,28,0)+VLOOKUP(I53,'Feuerwaffen-Ressourcen'!$A$2:$AI$54,28,0)+VLOOKUP(J53,'Feuerwaffen-Ressourcen'!$A$2:$AI$54,28,0)</f>
        <v>140</v>
      </c>
      <c r="AC53" s="63">
        <f>VLOOKUP(I53,'Feuerwaffen-Ressourcen'!$A$2:$AI$54,31,0)*AD53+AE53</f>
        <v>64.349999999999994</v>
      </c>
      <c r="AD53" s="64">
        <f>VLOOKUP(B53,'Feuerwaffen-Ressourcen'!$A$2:$AI$54,30,0)+VLOOKUP(C53,'Feuerwaffen-Ressourcen'!$A$2:$AI$54,30,0)+VLOOKUP(D53,'Feuerwaffen-Ressourcen'!$A$2:$AI$54,30,0)+VLOOKUP(F53,'Feuerwaffen-Ressourcen'!$A$2:$AI$54,30,0)+VLOOKUP(G53,'Feuerwaffen-Ressourcen'!$A$2:$AI$54,30,0)+VLOOKUP(I53,'Feuerwaffen-Ressourcen'!$A$2:$AI$54,30,0)+VLOOKUP(J53,'Feuerwaffen-Ressourcen'!$A$2:$AI$54,30,0)</f>
        <v>1</v>
      </c>
      <c r="AE53" s="63">
        <f>(VLOOKUP(C53,'Feuerwaffen-Ressourcen'!$A$2:$AI$54,32,0)+VLOOKUP(I53,'Feuerwaffen-Ressourcen'!$A$2:$AI$54,32,0))*(VLOOKUP(B53,'Feuerwaffen-Ressourcen'!$A$2:$AI$54,34,0)+VLOOKUP(C53,'Feuerwaffen-Ressourcen'!$A$2:$AI$54,34,0)+VLOOKUP(D53,'Feuerwaffen-Ressourcen'!$A$2:$AI$54,34,0)+VLOOKUP(E53,'Feuerwaffen-Ressourcen'!$A$2:$AI$54,34,0)+VLOOKUP(G53,'Feuerwaffen-Ressourcen'!$A$2:$AI$54,34,0))+VLOOKUP(B53,'Feuerwaffen-Ressourcen'!$A$2:$AI$54,35,0)+VLOOKUP(C53,'Feuerwaffen-Ressourcen'!$A$2:$AI$54,35,0)+VLOOKUP(D53,'Feuerwaffen-Ressourcen'!$A$2:$AI$54,35,0)</f>
        <v>60.349999999999994</v>
      </c>
      <c r="AF53" s="65">
        <f>VLOOKUP(AB53,'Feuerwaffen-Ressourcen'!$AO$3:$AP$9,2,1)</f>
        <v>3</v>
      </c>
      <c r="AG53" s="65">
        <v>0</v>
      </c>
    </row>
    <row r="54" spans="1:33">
      <c r="A54" s="59" t="s">
        <v>7172</v>
      </c>
      <c r="B54" s="59" t="s">
        <v>1425</v>
      </c>
      <c r="C54" s="59" t="s">
        <v>7118</v>
      </c>
      <c r="D54" s="59" t="s">
        <v>7220</v>
      </c>
      <c r="E54" s="59" t="s">
        <v>6501</v>
      </c>
      <c r="F54" s="59" t="s">
        <v>7229</v>
      </c>
      <c r="G54" s="59" t="s">
        <v>7225</v>
      </c>
      <c r="H54" s="59" t="s">
        <v>6514</v>
      </c>
      <c r="I54" s="59" t="s">
        <v>5768</v>
      </c>
      <c r="J54" s="59" t="s">
        <v>5748</v>
      </c>
      <c r="K54" s="61">
        <f>VLOOKUP(B54,'Feuerwaffen-Ressourcen'!$A$2:$AI$54,11,0)+VLOOKUP(C54,'Feuerwaffen-Ressourcen'!$A$2:$AI$54,11,0)+VLOOKUP(D54,'Feuerwaffen-Ressourcen'!$A$2:$AI$54,11,0)+VLOOKUP(E54,'Feuerwaffen-Ressourcen'!$A$2:$AI$54,11,0)+VLOOKUP(G54,'Feuerwaffen-Ressourcen'!$A$2:$AI$54,11,0)</f>
        <v>1</v>
      </c>
      <c r="L54" s="60">
        <f>VLOOKUP(B54,'Feuerwaffen-Ressourcen'!$A$2:$AI$54,12,0)+VLOOKUP(C54,'Feuerwaffen-Ressourcen'!$A$2:$AI$54,12,0)+VLOOKUP(D54,'Feuerwaffen-Ressourcen'!$A$2:$AI$54,12,0)+VLOOKUP(J54,'Feuerwaffen-Ressourcen'!$A$2:$AI$54,12,0)</f>
        <v>4</v>
      </c>
      <c r="M54" s="60" t="str">
        <f>VLOOKUP(VLOOKUP(B54,'Feuerwaffen-Ressourcen'!$A$2:$AI$54,13,0)+VLOOKUP(C54,'Feuerwaffen-Ressourcen'!$A$2:$AI$54,13,0)+VLOOKUP(D54,'Feuerwaffen-Ressourcen'!$A$2:$AI$54,13,0),'Feuerwaffen-Ressourcen'!$AJ$3:$AK$12,2,0)</f>
        <v>W8</v>
      </c>
      <c r="N54" s="60" t="str">
        <f>VLOOKUP(VLOOKUP(B54,'Feuerwaffen-Ressourcen'!$A$2:$AI$54,14,0)+VLOOKUP(C54,'Feuerwaffen-Ressourcen'!$A$2:$AI$54,14,0)+VLOOKUP(D54,'Feuerwaffen-Ressourcen'!$A$2:$AI$54,14,0),'Feuerwaffen-Ressourcen'!$AJ$3:$AK$12,2,0)</f>
        <v>W8</v>
      </c>
      <c r="O54" s="60">
        <f>VLOOKUP(B54,'Feuerwaffen-Ressourcen'!$A$2:$AI$54,15,0)+VLOOKUP(C54,'Feuerwaffen-Ressourcen'!$A$2:$AI$54,15,0)+VLOOKUP(D54,'Feuerwaffen-Ressourcen'!$A$2:$AI$54,15,0)</f>
        <v>0</v>
      </c>
      <c r="P54" s="60">
        <f>VLOOKUP(B54,'Feuerwaffen-Ressourcen'!$A$2:$AI$54,16,0)+VLOOKUP(C54,'Feuerwaffen-Ressourcen'!$A$2:$AI$54,16,0)+VLOOKUP(D54,'Feuerwaffen-Ressourcen'!$A$2:$AI$54,16,0)+VLOOKUP(E54,'Feuerwaffen-Ressourcen'!$A$2:$AI$54,16,0)</f>
        <v>9</v>
      </c>
      <c r="Q54" s="62">
        <f>VLOOKUP(B54,'Feuerwaffen-Ressourcen'!$A$2:$AI$54,17,0)+VLOOKUP(C54,'Feuerwaffen-Ressourcen'!$A$2:$AI$54,17,0)+VLOOKUP(D54,'Feuerwaffen-Ressourcen'!$A$2:$AI$54,17,0)+VLOOKUP(E54,'Feuerwaffen-Ressourcen'!$A$2:$AI$54,17,0)</f>
        <v>13</v>
      </c>
      <c r="R54" s="60">
        <f>VLOOKUP(B54,'Feuerwaffen-Ressourcen'!$A$2:$AI$54,18,0)+VLOOKUP(C54,'Feuerwaffen-Ressourcen'!$A$2:$AI$54,18,0)+VLOOKUP(D54,'Feuerwaffen-Ressourcen'!$A$2:$AI$54,18,0)+VLOOKUP(F54,'Feuerwaffen-Ressourcen'!$A$2:$AI$54,18,0)+VLOOKUP(G54,'Feuerwaffen-Ressourcen'!$A$2:$AI$54,18,0)+VLOOKUP(I54,'Feuerwaffen-Ressourcen'!$A$2:$AI$54,18,0)+VLOOKUP(J54,'Feuerwaffen-Ressourcen'!$A$2:$AI$54,18,0)</f>
        <v>8</v>
      </c>
      <c r="S54" s="60">
        <f>VLOOKUP(B54,'Feuerwaffen-Ressourcen'!$A$2:$AI$54,19,0)+VLOOKUP(C54,'Feuerwaffen-Ressourcen'!$A$2:$AI$54,19,0)+VLOOKUP(D54,'Feuerwaffen-Ressourcen'!$A$2:$AI$54,19,0)+VLOOKUP(F54,'Feuerwaffen-Ressourcen'!$A$2:$AI$54,19,0)+VLOOKUP(G54,'Feuerwaffen-Ressourcen'!$A$2:$AI$54,19,0)+VLOOKUP(I54,'Feuerwaffen-Ressourcen'!$A$2:$AI$54,19,0)+VLOOKUP(J54,'Feuerwaffen-Ressourcen'!$A$2:$AI$54,19,0)</f>
        <v>1</v>
      </c>
      <c r="T54" s="60">
        <f>VLOOKUP(B54,'Feuerwaffen-Ressourcen'!$A$2:$AI$54,20,0)+VLOOKUP(C54,'Feuerwaffen-Ressourcen'!$A$2:$AI$54,20,0)+VLOOKUP(D54,'Feuerwaffen-Ressourcen'!$A$2:$AI$54,20,0)+VLOOKUP(F54,'Feuerwaffen-Ressourcen'!$A$2:$AI$54,20,0)+VLOOKUP(G54,'Feuerwaffen-Ressourcen'!$A$2:$AI$54,20,0)+VLOOKUP(I54,'Feuerwaffen-Ressourcen'!$A$2:$AI$54,20,0)+VLOOKUP(J54,'Feuerwaffen-Ressourcen'!$A$2:$AI$54,20,0)</f>
        <v>-9</v>
      </c>
      <c r="U54" s="60">
        <f>VLOOKUP(B54,'Feuerwaffen-Ressourcen'!$A$2:$AI$54,21,0)+VLOOKUP(C54,'Feuerwaffen-Ressourcen'!$A$2:$AI$54,21,0)+VLOOKUP(D54,'Feuerwaffen-Ressourcen'!$A$2:$AI$54,21,0)+VLOOKUP(F54,'Feuerwaffen-Ressourcen'!$A$2:$AI$54,21,0)+VLOOKUP(G54,'Feuerwaffen-Ressourcen'!$A$2:$AI$54,21,0)+VLOOKUP(I54,'Feuerwaffen-Ressourcen'!$A$2:$AI$54,21,0)+VLOOKUP(J54,'Feuerwaffen-Ressourcen'!$A$2:$AI$54,21,0)</f>
        <v>-23</v>
      </c>
      <c r="V54" s="60">
        <f>VLOOKUP(B54,'Feuerwaffen-Ressourcen'!$A$2:$AI$54,22,0)+VLOOKUP(C54,'Feuerwaffen-Ressourcen'!$A$2:$AI$54,22,0)+VLOOKUP(D54,'Feuerwaffen-Ressourcen'!$A$2:$AI$54,22,0)+VLOOKUP(F54,'Feuerwaffen-Ressourcen'!$A$2:$AI$54,22,0)+VLOOKUP(G54,'Feuerwaffen-Ressourcen'!$A$2:$AI$54,22,0)+VLOOKUP(I54,'Feuerwaffen-Ressourcen'!$A$2:$AI$54,22,0)+VLOOKUP(J54,'Feuerwaffen-Ressourcen'!$A$2:$AI$54,22,0)</f>
        <v>-38</v>
      </c>
      <c r="W54" s="60">
        <f>VLOOKUP(B54,'Feuerwaffen-Ressourcen'!$A$2:$AI$54,23,0)+VLOOKUP(C54,'Feuerwaffen-Ressourcen'!$A$2:$AI$54,23,0)+VLOOKUP(D54,'Feuerwaffen-Ressourcen'!$A$2:$AI$54,23,0)+VLOOKUP(F54,'Feuerwaffen-Ressourcen'!$A$2:$AI$54,23,0)+VLOOKUP(G54,'Feuerwaffen-Ressourcen'!$A$2:$AI$54,23,0)+VLOOKUP(I54,'Feuerwaffen-Ressourcen'!$A$2:$AI$54,23,0)+VLOOKUP(J54,'Feuerwaffen-Ressourcen'!$A$2:$AI$54,23,0)</f>
        <v>-54</v>
      </c>
      <c r="X54" s="60">
        <f>VLOOKUP(B54,'Feuerwaffen-Ressourcen'!$A$2:$AI$54,24,0)+VLOOKUP(C54,'Feuerwaffen-Ressourcen'!$A$2:$AI$54,24,0)+VLOOKUP(D54,'Feuerwaffen-Ressourcen'!$A$2:$AI$54,24,0)+VLOOKUP(G54,'Feuerwaffen-Ressourcen'!$A$2:$AI$54,24,0)</f>
        <v>60</v>
      </c>
      <c r="Y54" s="60">
        <f>VLOOKUP(D54,'Feuerwaffen-Ressourcen'!$A$2:$AI$54,25,0)+VLOOKUP(E54,'Feuerwaffen-Ressourcen'!$A$2:$AI$54,25,0)+VLOOKUP(F54,'Feuerwaffen-Ressourcen'!$A$2:$AI$54,25,0)</f>
        <v>29</v>
      </c>
      <c r="Z54" s="60">
        <f>VLOOKUP(E54,'Feuerwaffen-Ressourcen'!$A$2:$AI$54,26,0)</f>
        <v>3</v>
      </c>
      <c r="AA54" s="60">
        <f>VLOOKUP(B54,'Feuerwaffen-Ressourcen'!$A$2:$AI$54,27,0)+VLOOKUP(D54,'Feuerwaffen-Ressourcen'!$A$2:$AI$54,27,0)+VLOOKUP(F54,'Feuerwaffen-Ressourcen'!$A$2:$AI$54,27,0)+VLOOKUP(I54,'Feuerwaffen-Ressourcen'!$A$2:$AI$54,27,0)</f>
        <v>3</v>
      </c>
      <c r="AB54" s="60">
        <f>VLOOKUP(B54,'Feuerwaffen-Ressourcen'!$A$2:$AI$54,28,0)+VLOOKUP(C54,'Feuerwaffen-Ressourcen'!$A$2:$AI$54,28,0)+VLOOKUP(D54,'Feuerwaffen-Ressourcen'!$A$2:$AI$54,28,0)+VLOOKUP(E54,'Feuerwaffen-Ressourcen'!$A$2:$AI$54,28,0)+VLOOKUP(F54,'Feuerwaffen-Ressourcen'!$A$2:$AI$54,28,0)+VLOOKUP(G54,'Feuerwaffen-Ressourcen'!$A$2:$AI$54,28,0)+VLOOKUP(I54,'Feuerwaffen-Ressourcen'!$A$2:$AI$54,28,0)+VLOOKUP(J54,'Feuerwaffen-Ressourcen'!$A$2:$AI$54,28,0)</f>
        <v>120</v>
      </c>
      <c r="AC54" s="63">
        <f>VLOOKUP(I54,'Feuerwaffen-Ressourcen'!$A$2:$AI$54,31,0)*AD54+AE54</f>
        <v>92.35</v>
      </c>
      <c r="AD54" s="64">
        <f>VLOOKUP(B54,'Feuerwaffen-Ressourcen'!$A$2:$AI$54,30,0)+VLOOKUP(C54,'Feuerwaffen-Ressourcen'!$A$2:$AI$54,30,0)+VLOOKUP(D54,'Feuerwaffen-Ressourcen'!$A$2:$AI$54,30,0)+VLOOKUP(F54,'Feuerwaffen-Ressourcen'!$A$2:$AI$54,30,0)+VLOOKUP(G54,'Feuerwaffen-Ressourcen'!$A$2:$AI$54,30,0)+VLOOKUP(I54,'Feuerwaffen-Ressourcen'!$A$2:$AI$54,30,0)+VLOOKUP(J54,'Feuerwaffen-Ressourcen'!$A$2:$AI$54,30,0)</f>
        <v>3.5</v>
      </c>
      <c r="AE54" s="63">
        <f>(VLOOKUP(C54,'Feuerwaffen-Ressourcen'!$A$2:$AI$54,32,0)+VLOOKUP(I54,'Feuerwaffen-Ressourcen'!$A$2:$AI$54,32,0))*(VLOOKUP(B54,'Feuerwaffen-Ressourcen'!$A$2:$AI$54,34,0)+VLOOKUP(C54,'Feuerwaffen-Ressourcen'!$A$2:$AI$54,34,0)+VLOOKUP(D54,'Feuerwaffen-Ressourcen'!$A$2:$AI$54,34,0)+VLOOKUP(E54,'Feuerwaffen-Ressourcen'!$A$2:$AI$54,34,0)+VLOOKUP(G54,'Feuerwaffen-Ressourcen'!$A$2:$AI$54,34,0))+VLOOKUP(B54,'Feuerwaffen-Ressourcen'!$A$2:$AI$54,35,0)+VLOOKUP(C54,'Feuerwaffen-Ressourcen'!$A$2:$AI$54,35,0)+VLOOKUP(D54,'Feuerwaffen-Ressourcen'!$A$2:$AI$54,35,0)</f>
        <v>78.349999999999994</v>
      </c>
      <c r="AF54" s="65">
        <f>VLOOKUP(AB54,'Feuerwaffen-Ressourcen'!$AO$3:$AP$9,2,1)</f>
        <v>4</v>
      </c>
      <c r="AG54" s="65">
        <v>0</v>
      </c>
    </row>
    <row r="55" spans="1:33">
      <c r="A55" s="59" t="s">
        <v>7173</v>
      </c>
      <c r="B55" s="59" t="s">
        <v>1425</v>
      </c>
      <c r="C55" s="59" t="s">
        <v>7118</v>
      </c>
      <c r="D55" s="59" t="s">
        <v>7220</v>
      </c>
      <c r="E55" s="59" t="s">
        <v>7123</v>
      </c>
      <c r="F55" s="59" t="s">
        <v>7224</v>
      </c>
      <c r="G55" s="59" t="s">
        <v>7225</v>
      </c>
      <c r="H55" s="59" t="s">
        <v>7124</v>
      </c>
      <c r="I55" s="59" t="s">
        <v>5768</v>
      </c>
      <c r="J55" s="59" t="s">
        <v>5748</v>
      </c>
      <c r="K55" s="61">
        <f>VLOOKUP(B55,'Feuerwaffen-Ressourcen'!$A$2:$AI$54,11,0)+VLOOKUP(C55,'Feuerwaffen-Ressourcen'!$A$2:$AI$54,11,0)+VLOOKUP(D55,'Feuerwaffen-Ressourcen'!$A$2:$AI$54,11,0)+VLOOKUP(E55,'Feuerwaffen-Ressourcen'!$A$2:$AI$54,11,0)+VLOOKUP(G55,'Feuerwaffen-Ressourcen'!$A$2:$AI$54,11,0)</f>
        <v>1.1000000000000001</v>
      </c>
      <c r="L55" s="60">
        <f>VLOOKUP(B55,'Feuerwaffen-Ressourcen'!$A$2:$AI$54,12,0)+VLOOKUP(C55,'Feuerwaffen-Ressourcen'!$A$2:$AI$54,12,0)+VLOOKUP(D55,'Feuerwaffen-Ressourcen'!$A$2:$AI$54,12,0)+VLOOKUP(J55,'Feuerwaffen-Ressourcen'!$A$2:$AI$54,12,0)</f>
        <v>4</v>
      </c>
      <c r="M55" s="60" t="str">
        <f>VLOOKUP(VLOOKUP(B55,'Feuerwaffen-Ressourcen'!$A$2:$AI$54,13,0)+VLOOKUP(C55,'Feuerwaffen-Ressourcen'!$A$2:$AI$54,13,0)+VLOOKUP(D55,'Feuerwaffen-Ressourcen'!$A$2:$AI$54,13,0),'Feuerwaffen-Ressourcen'!$AJ$3:$AK$12,2,0)</f>
        <v>W8</v>
      </c>
      <c r="N55" s="60" t="str">
        <f>VLOOKUP(VLOOKUP(B55,'Feuerwaffen-Ressourcen'!$A$2:$AI$54,14,0)+VLOOKUP(C55,'Feuerwaffen-Ressourcen'!$A$2:$AI$54,14,0)+VLOOKUP(D55,'Feuerwaffen-Ressourcen'!$A$2:$AI$54,14,0),'Feuerwaffen-Ressourcen'!$AJ$3:$AK$12,2,0)</f>
        <v>W8</v>
      </c>
      <c r="O55" s="60">
        <f>VLOOKUP(B55,'Feuerwaffen-Ressourcen'!$A$2:$AI$54,15,0)+VLOOKUP(C55,'Feuerwaffen-Ressourcen'!$A$2:$AI$54,15,0)+VLOOKUP(D55,'Feuerwaffen-Ressourcen'!$A$2:$AI$54,15,0)</f>
        <v>0</v>
      </c>
      <c r="P55" s="60">
        <f>VLOOKUP(B55,'Feuerwaffen-Ressourcen'!$A$2:$AI$54,16,0)+VLOOKUP(C55,'Feuerwaffen-Ressourcen'!$A$2:$AI$54,16,0)+VLOOKUP(D55,'Feuerwaffen-Ressourcen'!$A$2:$AI$54,16,0)+VLOOKUP(E55,'Feuerwaffen-Ressourcen'!$A$2:$AI$54,16,0)</f>
        <v>15</v>
      </c>
      <c r="Q55" s="62">
        <f>VLOOKUP(B55,'Feuerwaffen-Ressourcen'!$A$2:$AI$54,17,0)+VLOOKUP(C55,'Feuerwaffen-Ressourcen'!$A$2:$AI$54,17,0)+VLOOKUP(D55,'Feuerwaffen-Ressourcen'!$A$2:$AI$54,17,0)+VLOOKUP(E55,'Feuerwaffen-Ressourcen'!$A$2:$AI$54,17,0)</f>
        <v>7</v>
      </c>
      <c r="R55" s="60">
        <f>VLOOKUP(B55,'Feuerwaffen-Ressourcen'!$A$2:$AI$54,18,0)+VLOOKUP(C55,'Feuerwaffen-Ressourcen'!$A$2:$AI$54,18,0)+VLOOKUP(D55,'Feuerwaffen-Ressourcen'!$A$2:$AI$54,18,0)+VLOOKUP(F55,'Feuerwaffen-Ressourcen'!$A$2:$AI$54,18,0)+VLOOKUP(G55,'Feuerwaffen-Ressourcen'!$A$2:$AI$54,18,0)+VLOOKUP(I55,'Feuerwaffen-Ressourcen'!$A$2:$AI$54,18,0)+VLOOKUP(J55,'Feuerwaffen-Ressourcen'!$A$2:$AI$54,18,0)</f>
        <v>9</v>
      </c>
      <c r="S55" s="60">
        <f>VLOOKUP(B55,'Feuerwaffen-Ressourcen'!$A$2:$AI$54,19,0)+VLOOKUP(C55,'Feuerwaffen-Ressourcen'!$A$2:$AI$54,19,0)+VLOOKUP(D55,'Feuerwaffen-Ressourcen'!$A$2:$AI$54,19,0)+VLOOKUP(F55,'Feuerwaffen-Ressourcen'!$A$2:$AI$54,19,0)+VLOOKUP(G55,'Feuerwaffen-Ressourcen'!$A$2:$AI$54,19,0)+VLOOKUP(I55,'Feuerwaffen-Ressourcen'!$A$2:$AI$54,19,0)+VLOOKUP(J55,'Feuerwaffen-Ressourcen'!$A$2:$AI$54,19,0)</f>
        <v>2</v>
      </c>
      <c r="T55" s="60">
        <f>VLOOKUP(B55,'Feuerwaffen-Ressourcen'!$A$2:$AI$54,20,0)+VLOOKUP(C55,'Feuerwaffen-Ressourcen'!$A$2:$AI$54,20,0)+VLOOKUP(D55,'Feuerwaffen-Ressourcen'!$A$2:$AI$54,20,0)+VLOOKUP(F55,'Feuerwaffen-Ressourcen'!$A$2:$AI$54,20,0)+VLOOKUP(G55,'Feuerwaffen-Ressourcen'!$A$2:$AI$54,20,0)+VLOOKUP(I55,'Feuerwaffen-Ressourcen'!$A$2:$AI$54,20,0)+VLOOKUP(J55,'Feuerwaffen-Ressourcen'!$A$2:$AI$54,20,0)</f>
        <v>-8</v>
      </c>
      <c r="U55" s="60">
        <f>VLOOKUP(B55,'Feuerwaffen-Ressourcen'!$A$2:$AI$54,21,0)+VLOOKUP(C55,'Feuerwaffen-Ressourcen'!$A$2:$AI$54,21,0)+VLOOKUP(D55,'Feuerwaffen-Ressourcen'!$A$2:$AI$54,21,0)+VLOOKUP(F55,'Feuerwaffen-Ressourcen'!$A$2:$AI$54,21,0)+VLOOKUP(G55,'Feuerwaffen-Ressourcen'!$A$2:$AI$54,21,0)+VLOOKUP(I55,'Feuerwaffen-Ressourcen'!$A$2:$AI$54,21,0)+VLOOKUP(J55,'Feuerwaffen-Ressourcen'!$A$2:$AI$54,21,0)</f>
        <v>-22</v>
      </c>
      <c r="V55" s="60">
        <f>VLOOKUP(B55,'Feuerwaffen-Ressourcen'!$A$2:$AI$54,22,0)+VLOOKUP(C55,'Feuerwaffen-Ressourcen'!$A$2:$AI$54,22,0)+VLOOKUP(D55,'Feuerwaffen-Ressourcen'!$A$2:$AI$54,22,0)+VLOOKUP(F55,'Feuerwaffen-Ressourcen'!$A$2:$AI$54,22,0)+VLOOKUP(G55,'Feuerwaffen-Ressourcen'!$A$2:$AI$54,22,0)+VLOOKUP(I55,'Feuerwaffen-Ressourcen'!$A$2:$AI$54,22,0)+VLOOKUP(J55,'Feuerwaffen-Ressourcen'!$A$2:$AI$54,22,0)</f>
        <v>-37</v>
      </c>
      <c r="W55" s="60">
        <f>VLOOKUP(B55,'Feuerwaffen-Ressourcen'!$A$2:$AI$54,23,0)+VLOOKUP(C55,'Feuerwaffen-Ressourcen'!$A$2:$AI$54,23,0)+VLOOKUP(D55,'Feuerwaffen-Ressourcen'!$A$2:$AI$54,23,0)+VLOOKUP(F55,'Feuerwaffen-Ressourcen'!$A$2:$AI$54,23,0)+VLOOKUP(G55,'Feuerwaffen-Ressourcen'!$A$2:$AI$54,23,0)+VLOOKUP(I55,'Feuerwaffen-Ressourcen'!$A$2:$AI$54,23,0)+VLOOKUP(J55,'Feuerwaffen-Ressourcen'!$A$2:$AI$54,23,0)</f>
        <v>-53</v>
      </c>
      <c r="X55" s="60">
        <f>VLOOKUP(B55,'Feuerwaffen-Ressourcen'!$A$2:$AI$54,24,0)+VLOOKUP(C55,'Feuerwaffen-Ressourcen'!$A$2:$AI$54,24,0)+VLOOKUP(D55,'Feuerwaffen-Ressourcen'!$A$2:$AI$54,24,0)+VLOOKUP(G55,'Feuerwaffen-Ressourcen'!$A$2:$AI$54,24,0)</f>
        <v>60</v>
      </c>
      <c r="Y55" s="60">
        <f>VLOOKUP(D55,'Feuerwaffen-Ressourcen'!$A$2:$AI$54,25,0)+VLOOKUP(E55,'Feuerwaffen-Ressourcen'!$A$2:$AI$54,25,0)+VLOOKUP(F55,'Feuerwaffen-Ressourcen'!$A$2:$AI$54,25,0)</f>
        <v>9</v>
      </c>
      <c r="Z55" s="60">
        <f>VLOOKUP(E55,'Feuerwaffen-Ressourcen'!$A$2:$AI$54,26,0)</f>
        <v>6</v>
      </c>
      <c r="AA55" s="60">
        <f>VLOOKUP(B55,'Feuerwaffen-Ressourcen'!$A$2:$AI$54,27,0)+VLOOKUP(D55,'Feuerwaffen-Ressourcen'!$A$2:$AI$54,27,0)+VLOOKUP(F55,'Feuerwaffen-Ressourcen'!$A$2:$AI$54,27,0)+VLOOKUP(I55,'Feuerwaffen-Ressourcen'!$A$2:$AI$54,27,0)</f>
        <v>1</v>
      </c>
      <c r="AB55" s="60">
        <f>VLOOKUP(B55,'Feuerwaffen-Ressourcen'!$A$2:$AI$54,28,0)+VLOOKUP(C55,'Feuerwaffen-Ressourcen'!$A$2:$AI$54,28,0)+VLOOKUP(D55,'Feuerwaffen-Ressourcen'!$A$2:$AI$54,28,0)+VLOOKUP(E55,'Feuerwaffen-Ressourcen'!$A$2:$AI$54,28,0)+VLOOKUP(F55,'Feuerwaffen-Ressourcen'!$A$2:$AI$54,28,0)+VLOOKUP(G55,'Feuerwaffen-Ressourcen'!$A$2:$AI$54,28,0)+VLOOKUP(I55,'Feuerwaffen-Ressourcen'!$A$2:$AI$54,28,0)+VLOOKUP(J55,'Feuerwaffen-Ressourcen'!$A$2:$AI$54,28,0)</f>
        <v>90</v>
      </c>
      <c r="AC55" s="63">
        <f>VLOOKUP(I55,'Feuerwaffen-Ressourcen'!$A$2:$AI$54,31,0)*AD55+AE55</f>
        <v>112.35</v>
      </c>
      <c r="AD55" s="64">
        <f>VLOOKUP(B55,'Feuerwaffen-Ressourcen'!$A$2:$AI$54,30,0)+VLOOKUP(C55,'Feuerwaffen-Ressourcen'!$A$2:$AI$54,30,0)+VLOOKUP(D55,'Feuerwaffen-Ressourcen'!$A$2:$AI$54,30,0)+VLOOKUP(F55,'Feuerwaffen-Ressourcen'!$A$2:$AI$54,30,0)+VLOOKUP(G55,'Feuerwaffen-Ressourcen'!$A$2:$AI$54,30,0)+VLOOKUP(I55,'Feuerwaffen-Ressourcen'!$A$2:$AI$54,30,0)+VLOOKUP(J55,'Feuerwaffen-Ressourcen'!$A$2:$AI$54,30,0)</f>
        <v>5.5</v>
      </c>
      <c r="AE55" s="63">
        <f>(VLOOKUP(C55,'Feuerwaffen-Ressourcen'!$A$2:$AI$54,32,0)+VLOOKUP(I55,'Feuerwaffen-Ressourcen'!$A$2:$AI$54,32,0))*(VLOOKUP(B55,'Feuerwaffen-Ressourcen'!$A$2:$AI$54,34,0)+VLOOKUP(C55,'Feuerwaffen-Ressourcen'!$A$2:$AI$54,34,0)+VLOOKUP(D55,'Feuerwaffen-Ressourcen'!$A$2:$AI$54,34,0)+VLOOKUP(E55,'Feuerwaffen-Ressourcen'!$A$2:$AI$54,34,0)+VLOOKUP(G55,'Feuerwaffen-Ressourcen'!$A$2:$AI$54,34,0))+VLOOKUP(B55,'Feuerwaffen-Ressourcen'!$A$2:$AI$54,35,0)+VLOOKUP(C55,'Feuerwaffen-Ressourcen'!$A$2:$AI$54,35,0)+VLOOKUP(D55,'Feuerwaffen-Ressourcen'!$A$2:$AI$54,35,0)</f>
        <v>90.35</v>
      </c>
      <c r="AF55" s="65">
        <f>VLOOKUP(AB55,'Feuerwaffen-Ressourcen'!$AO$3:$AP$9,2,1)</f>
        <v>5</v>
      </c>
      <c r="AG55" s="65">
        <v>0</v>
      </c>
    </row>
    <row r="56" spans="1:33">
      <c r="A56" s="59" t="s">
        <v>7174</v>
      </c>
      <c r="B56" s="59" t="s">
        <v>1445</v>
      </c>
      <c r="C56" s="59" t="s">
        <v>7215</v>
      </c>
      <c r="D56" s="59" t="s">
        <v>7113</v>
      </c>
      <c r="E56" s="59" t="s">
        <v>6501</v>
      </c>
      <c r="F56" s="59" t="s">
        <v>7221</v>
      </c>
      <c r="G56" s="59" t="s">
        <v>7217</v>
      </c>
      <c r="H56" s="59" t="s">
        <v>6514</v>
      </c>
      <c r="I56" s="59" t="s">
        <v>5768</v>
      </c>
      <c r="J56" s="59" t="s">
        <v>5748</v>
      </c>
      <c r="K56" s="61">
        <f>VLOOKUP(B56,'Feuerwaffen-Ressourcen'!$A$2:$AI$54,11,0)+VLOOKUP(C56,'Feuerwaffen-Ressourcen'!$A$2:$AI$54,11,0)+VLOOKUP(D56,'Feuerwaffen-Ressourcen'!$A$2:$AI$54,11,0)+VLOOKUP(E56,'Feuerwaffen-Ressourcen'!$A$2:$AI$54,11,0)+VLOOKUP(G56,'Feuerwaffen-Ressourcen'!$A$2:$AI$54,11,0)</f>
        <v>8.8000000000000007</v>
      </c>
      <c r="L56" s="60">
        <f>VLOOKUP(B56,'Feuerwaffen-Ressourcen'!$A$2:$AI$54,12,0)+VLOOKUP(C56,'Feuerwaffen-Ressourcen'!$A$2:$AI$54,12,0)+VLOOKUP(D56,'Feuerwaffen-Ressourcen'!$A$2:$AI$54,12,0)+VLOOKUP(J56,'Feuerwaffen-Ressourcen'!$A$2:$AI$54,12,0)</f>
        <v>17</v>
      </c>
      <c r="M56" s="60" t="str">
        <f>VLOOKUP(VLOOKUP(B56,'Feuerwaffen-Ressourcen'!$A$2:$AI$54,13,0)+VLOOKUP(C56,'Feuerwaffen-Ressourcen'!$A$2:$AI$54,13,0)+VLOOKUP(D56,'Feuerwaffen-Ressourcen'!$A$2:$AI$54,13,0),'Feuerwaffen-Ressourcen'!$AJ$3:$AK$12,2,0)</f>
        <v>W20</v>
      </c>
      <c r="N56" s="60" t="str">
        <f>VLOOKUP(VLOOKUP(B56,'Feuerwaffen-Ressourcen'!$A$2:$AI$54,14,0)+VLOOKUP(C56,'Feuerwaffen-Ressourcen'!$A$2:$AI$54,14,0)+VLOOKUP(D56,'Feuerwaffen-Ressourcen'!$A$2:$AI$54,14,0),'Feuerwaffen-Ressourcen'!$AJ$3:$AK$12,2,0)</f>
        <v>W15</v>
      </c>
      <c r="O56" s="60">
        <f>VLOOKUP(B56,'Feuerwaffen-Ressourcen'!$A$2:$AI$54,15,0)+VLOOKUP(C56,'Feuerwaffen-Ressourcen'!$A$2:$AI$54,15,0)+VLOOKUP(D56,'Feuerwaffen-Ressourcen'!$A$2:$AI$54,15,0)</f>
        <v>3</v>
      </c>
      <c r="P56" s="60">
        <f>VLOOKUP(B56,'Feuerwaffen-Ressourcen'!$A$2:$AI$54,16,0)+VLOOKUP(C56,'Feuerwaffen-Ressourcen'!$A$2:$AI$54,16,0)+VLOOKUP(D56,'Feuerwaffen-Ressourcen'!$A$2:$AI$54,16,0)+VLOOKUP(E56,'Feuerwaffen-Ressourcen'!$A$2:$AI$54,16,0)</f>
        <v>13</v>
      </c>
      <c r="Q56" s="62">
        <f>VLOOKUP(B56,'Feuerwaffen-Ressourcen'!$A$2:$AI$54,17,0)+VLOOKUP(C56,'Feuerwaffen-Ressourcen'!$A$2:$AI$54,17,0)+VLOOKUP(D56,'Feuerwaffen-Ressourcen'!$A$2:$AI$54,17,0)+VLOOKUP(E56,'Feuerwaffen-Ressourcen'!$A$2:$AI$54,17,0)</f>
        <v>21</v>
      </c>
      <c r="R56" s="60">
        <f>VLOOKUP(B56,'Feuerwaffen-Ressourcen'!$A$2:$AI$54,18,0)+VLOOKUP(C56,'Feuerwaffen-Ressourcen'!$A$2:$AI$54,18,0)+VLOOKUP(D56,'Feuerwaffen-Ressourcen'!$A$2:$AI$54,18,0)+VLOOKUP(F56,'Feuerwaffen-Ressourcen'!$A$2:$AI$54,18,0)+VLOOKUP(G56,'Feuerwaffen-Ressourcen'!$A$2:$AI$54,18,0)+VLOOKUP(I56,'Feuerwaffen-Ressourcen'!$A$2:$AI$54,18,0)+VLOOKUP(J56,'Feuerwaffen-Ressourcen'!$A$2:$AI$54,18,0)</f>
        <v>-1</v>
      </c>
      <c r="S56" s="60">
        <f>VLOOKUP(B56,'Feuerwaffen-Ressourcen'!$A$2:$AI$54,19,0)+VLOOKUP(C56,'Feuerwaffen-Ressourcen'!$A$2:$AI$54,19,0)+VLOOKUP(D56,'Feuerwaffen-Ressourcen'!$A$2:$AI$54,19,0)+VLOOKUP(F56,'Feuerwaffen-Ressourcen'!$A$2:$AI$54,19,0)+VLOOKUP(G56,'Feuerwaffen-Ressourcen'!$A$2:$AI$54,19,0)+VLOOKUP(I56,'Feuerwaffen-Ressourcen'!$A$2:$AI$54,19,0)+VLOOKUP(J56,'Feuerwaffen-Ressourcen'!$A$2:$AI$54,19,0)</f>
        <v>-5</v>
      </c>
      <c r="T56" s="60">
        <f>VLOOKUP(B56,'Feuerwaffen-Ressourcen'!$A$2:$AI$54,20,0)+VLOOKUP(C56,'Feuerwaffen-Ressourcen'!$A$2:$AI$54,20,0)+VLOOKUP(D56,'Feuerwaffen-Ressourcen'!$A$2:$AI$54,20,0)+VLOOKUP(F56,'Feuerwaffen-Ressourcen'!$A$2:$AI$54,20,0)+VLOOKUP(G56,'Feuerwaffen-Ressourcen'!$A$2:$AI$54,20,0)+VLOOKUP(I56,'Feuerwaffen-Ressourcen'!$A$2:$AI$54,20,0)+VLOOKUP(J56,'Feuerwaffen-Ressourcen'!$A$2:$AI$54,20,0)</f>
        <v>-9</v>
      </c>
      <c r="U56" s="60">
        <f>VLOOKUP(B56,'Feuerwaffen-Ressourcen'!$A$2:$AI$54,21,0)+VLOOKUP(C56,'Feuerwaffen-Ressourcen'!$A$2:$AI$54,21,0)+VLOOKUP(D56,'Feuerwaffen-Ressourcen'!$A$2:$AI$54,21,0)+VLOOKUP(F56,'Feuerwaffen-Ressourcen'!$A$2:$AI$54,21,0)+VLOOKUP(G56,'Feuerwaffen-Ressourcen'!$A$2:$AI$54,21,0)+VLOOKUP(I56,'Feuerwaffen-Ressourcen'!$A$2:$AI$54,21,0)+VLOOKUP(J56,'Feuerwaffen-Ressourcen'!$A$2:$AI$54,21,0)</f>
        <v>-16</v>
      </c>
      <c r="V56" s="60">
        <f>VLOOKUP(B56,'Feuerwaffen-Ressourcen'!$A$2:$AI$54,22,0)+VLOOKUP(C56,'Feuerwaffen-Ressourcen'!$A$2:$AI$54,22,0)+VLOOKUP(D56,'Feuerwaffen-Ressourcen'!$A$2:$AI$54,22,0)+VLOOKUP(F56,'Feuerwaffen-Ressourcen'!$A$2:$AI$54,22,0)+VLOOKUP(G56,'Feuerwaffen-Ressourcen'!$A$2:$AI$54,22,0)+VLOOKUP(I56,'Feuerwaffen-Ressourcen'!$A$2:$AI$54,22,0)+VLOOKUP(J56,'Feuerwaffen-Ressourcen'!$A$2:$AI$54,22,0)</f>
        <v>-24</v>
      </c>
      <c r="W56" s="60">
        <f>VLOOKUP(B56,'Feuerwaffen-Ressourcen'!$A$2:$AI$54,23,0)+VLOOKUP(C56,'Feuerwaffen-Ressourcen'!$A$2:$AI$54,23,0)+VLOOKUP(D56,'Feuerwaffen-Ressourcen'!$A$2:$AI$54,23,0)+VLOOKUP(F56,'Feuerwaffen-Ressourcen'!$A$2:$AI$54,23,0)+VLOOKUP(G56,'Feuerwaffen-Ressourcen'!$A$2:$AI$54,23,0)+VLOOKUP(I56,'Feuerwaffen-Ressourcen'!$A$2:$AI$54,23,0)+VLOOKUP(J56,'Feuerwaffen-Ressourcen'!$A$2:$AI$54,23,0)</f>
        <v>-33</v>
      </c>
      <c r="X56" s="60">
        <f>VLOOKUP(B56,'Feuerwaffen-Ressourcen'!$A$2:$AI$54,24,0)+VLOOKUP(C56,'Feuerwaffen-Ressourcen'!$A$2:$AI$54,24,0)+VLOOKUP(D56,'Feuerwaffen-Ressourcen'!$A$2:$AI$54,24,0)+VLOOKUP(G56,'Feuerwaffen-Ressourcen'!$A$2:$AI$54,24,0)</f>
        <v>50</v>
      </c>
      <c r="Y56" s="60">
        <f>VLOOKUP(D56,'Feuerwaffen-Ressourcen'!$A$2:$AI$54,25,0)+VLOOKUP(E56,'Feuerwaffen-Ressourcen'!$A$2:$AI$54,25,0)+VLOOKUP(F56,'Feuerwaffen-Ressourcen'!$A$2:$AI$54,25,0)</f>
        <v>38</v>
      </c>
      <c r="Z56" s="60">
        <f>VLOOKUP(E56,'Feuerwaffen-Ressourcen'!$A$2:$AI$54,26,0)</f>
        <v>3</v>
      </c>
      <c r="AA56" s="60">
        <f>VLOOKUP(B56,'Feuerwaffen-Ressourcen'!$A$2:$AI$54,27,0)+VLOOKUP(D56,'Feuerwaffen-Ressourcen'!$A$2:$AI$54,27,0)+VLOOKUP(F56,'Feuerwaffen-Ressourcen'!$A$2:$AI$54,27,0)+VLOOKUP(I56,'Feuerwaffen-Ressourcen'!$A$2:$AI$54,27,0)</f>
        <v>3</v>
      </c>
      <c r="AB56" s="60">
        <f>VLOOKUP(B56,'Feuerwaffen-Ressourcen'!$A$2:$AI$54,28,0)+VLOOKUP(C56,'Feuerwaffen-Ressourcen'!$A$2:$AI$54,28,0)+VLOOKUP(D56,'Feuerwaffen-Ressourcen'!$A$2:$AI$54,28,0)+VLOOKUP(E56,'Feuerwaffen-Ressourcen'!$A$2:$AI$54,28,0)+VLOOKUP(F56,'Feuerwaffen-Ressourcen'!$A$2:$AI$54,28,0)+VLOOKUP(G56,'Feuerwaffen-Ressourcen'!$A$2:$AI$54,28,0)+VLOOKUP(I56,'Feuerwaffen-Ressourcen'!$A$2:$AI$54,28,0)+VLOOKUP(J56,'Feuerwaffen-Ressourcen'!$A$2:$AI$54,28,0)</f>
        <v>75</v>
      </c>
      <c r="AC56" s="63">
        <f>VLOOKUP(I56,'Feuerwaffen-Ressourcen'!$A$2:$AI$54,31,0)*AD56+AE56</f>
        <v>739.69999999999993</v>
      </c>
      <c r="AD56" s="64">
        <f>VLOOKUP(B56,'Feuerwaffen-Ressourcen'!$A$2:$AI$54,30,0)+VLOOKUP(C56,'Feuerwaffen-Ressourcen'!$A$2:$AI$54,30,0)+VLOOKUP(D56,'Feuerwaffen-Ressourcen'!$A$2:$AI$54,30,0)+VLOOKUP(F56,'Feuerwaffen-Ressourcen'!$A$2:$AI$54,30,0)+VLOOKUP(G56,'Feuerwaffen-Ressourcen'!$A$2:$AI$54,30,0)+VLOOKUP(I56,'Feuerwaffen-Ressourcen'!$A$2:$AI$54,30,0)+VLOOKUP(J56,'Feuerwaffen-Ressourcen'!$A$2:$AI$54,30,0)</f>
        <v>7.1999999999999993</v>
      </c>
      <c r="AE56" s="63">
        <f>(VLOOKUP(C56,'Feuerwaffen-Ressourcen'!$A$2:$AI$54,32,0)+VLOOKUP(I56,'Feuerwaffen-Ressourcen'!$A$2:$AI$54,32,0))*(VLOOKUP(B56,'Feuerwaffen-Ressourcen'!$A$2:$AI$54,34,0)+VLOOKUP(C56,'Feuerwaffen-Ressourcen'!$A$2:$AI$54,34,0)+VLOOKUP(D56,'Feuerwaffen-Ressourcen'!$A$2:$AI$54,34,0)+VLOOKUP(E56,'Feuerwaffen-Ressourcen'!$A$2:$AI$54,34,0)+VLOOKUP(G56,'Feuerwaffen-Ressourcen'!$A$2:$AI$54,34,0))+VLOOKUP(B56,'Feuerwaffen-Ressourcen'!$A$2:$AI$54,35,0)+VLOOKUP(C56,'Feuerwaffen-Ressourcen'!$A$2:$AI$54,35,0)+VLOOKUP(D56,'Feuerwaffen-Ressourcen'!$A$2:$AI$54,35,0)</f>
        <v>710.9</v>
      </c>
      <c r="AF56" s="65">
        <f>VLOOKUP(AB56,'Feuerwaffen-Ressourcen'!$AO$3:$AP$9,2,1)</f>
        <v>6</v>
      </c>
      <c r="AG56" s="65">
        <v>0</v>
      </c>
    </row>
    <row r="57" spans="1:33">
      <c r="A57" s="59" t="s">
        <v>7175</v>
      </c>
      <c r="B57" s="59" t="s">
        <v>1445</v>
      </c>
      <c r="C57" s="59" t="s">
        <v>7215</v>
      </c>
      <c r="D57" s="59" t="s">
        <v>7233</v>
      </c>
      <c r="E57" s="59" t="s">
        <v>6501</v>
      </c>
      <c r="F57" s="59" t="s">
        <v>7221</v>
      </c>
      <c r="G57" s="59" t="s">
        <v>7217</v>
      </c>
      <c r="H57" s="59" t="s">
        <v>6514</v>
      </c>
      <c r="I57" s="59" t="s">
        <v>5768</v>
      </c>
      <c r="J57" s="59" t="s">
        <v>5748</v>
      </c>
      <c r="K57" s="61">
        <f>VLOOKUP(B57,'Feuerwaffen-Ressourcen'!$A$2:$AI$54,11,0)+VLOOKUP(C57,'Feuerwaffen-Ressourcen'!$A$2:$AI$54,11,0)+VLOOKUP(D57,'Feuerwaffen-Ressourcen'!$A$2:$AI$54,11,0)+VLOOKUP(E57,'Feuerwaffen-Ressourcen'!$A$2:$AI$54,11,0)+VLOOKUP(G57,'Feuerwaffen-Ressourcen'!$A$2:$AI$54,11,0)</f>
        <v>6.8</v>
      </c>
      <c r="L57" s="60">
        <f>VLOOKUP(B57,'Feuerwaffen-Ressourcen'!$A$2:$AI$54,12,0)+VLOOKUP(C57,'Feuerwaffen-Ressourcen'!$A$2:$AI$54,12,0)+VLOOKUP(D57,'Feuerwaffen-Ressourcen'!$A$2:$AI$54,12,0)+VLOOKUP(J57,'Feuerwaffen-Ressourcen'!$A$2:$AI$54,12,0)</f>
        <v>15</v>
      </c>
      <c r="M57" s="60" t="str">
        <f>VLOOKUP(VLOOKUP(B57,'Feuerwaffen-Ressourcen'!$A$2:$AI$54,13,0)+VLOOKUP(C57,'Feuerwaffen-Ressourcen'!$A$2:$AI$54,13,0)+VLOOKUP(D57,'Feuerwaffen-Ressourcen'!$A$2:$AI$54,13,0),'Feuerwaffen-Ressourcen'!$AJ$3:$AK$12,2,0)</f>
        <v>W15</v>
      </c>
      <c r="N57" s="60" t="str">
        <f>VLOOKUP(VLOOKUP(B57,'Feuerwaffen-Ressourcen'!$A$2:$AI$54,14,0)+VLOOKUP(C57,'Feuerwaffen-Ressourcen'!$A$2:$AI$54,14,0)+VLOOKUP(D57,'Feuerwaffen-Ressourcen'!$A$2:$AI$54,14,0),'Feuerwaffen-Ressourcen'!$AJ$3:$AK$12,2,0)</f>
        <v>W15</v>
      </c>
      <c r="O57" s="60">
        <f>VLOOKUP(B57,'Feuerwaffen-Ressourcen'!$A$2:$AI$54,15,0)+VLOOKUP(C57,'Feuerwaffen-Ressourcen'!$A$2:$AI$54,15,0)+VLOOKUP(D57,'Feuerwaffen-Ressourcen'!$A$2:$AI$54,15,0)</f>
        <v>5</v>
      </c>
      <c r="P57" s="60">
        <f>VLOOKUP(B57,'Feuerwaffen-Ressourcen'!$A$2:$AI$54,16,0)+VLOOKUP(C57,'Feuerwaffen-Ressourcen'!$A$2:$AI$54,16,0)+VLOOKUP(D57,'Feuerwaffen-Ressourcen'!$A$2:$AI$54,16,0)+VLOOKUP(E57,'Feuerwaffen-Ressourcen'!$A$2:$AI$54,16,0)</f>
        <v>7</v>
      </c>
      <c r="Q57" s="62">
        <f>VLOOKUP(B57,'Feuerwaffen-Ressourcen'!$A$2:$AI$54,17,0)+VLOOKUP(C57,'Feuerwaffen-Ressourcen'!$A$2:$AI$54,17,0)+VLOOKUP(D57,'Feuerwaffen-Ressourcen'!$A$2:$AI$54,17,0)+VLOOKUP(E57,'Feuerwaffen-Ressourcen'!$A$2:$AI$54,17,0)</f>
        <v>22</v>
      </c>
      <c r="R57" s="60">
        <f>VLOOKUP(B57,'Feuerwaffen-Ressourcen'!$A$2:$AI$54,18,0)+VLOOKUP(C57,'Feuerwaffen-Ressourcen'!$A$2:$AI$54,18,0)+VLOOKUP(D57,'Feuerwaffen-Ressourcen'!$A$2:$AI$54,18,0)+VLOOKUP(F57,'Feuerwaffen-Ressourcen'!$A$2:$AI$54,18,0)+VLOOKUP(G57,'Feuerwaffen-Ressourcen'!$A$2:$AI$54,18,0)+VLOOKUP(I57,'Feuerwaffen-Ressourcen'!$A$2:$AI$54,18,0)+VLOOKUP(J57,'Feuerwaffen-Ressourcen'!$A$2:$AI$54,18,0)</f>
        <v>3</v>
      </c>
      <c r="S57" s="60">
        <f>VLOOKUP(B57,'Feuerwaffen-Ressourcen'!$A$2:$AI$54,19,0)+VLOOKUP(C57,'Feuerwaffen-Ressourcen'!$A$2:$AI$54,19,0)+VLOOKUP(D57,'Feuerwaffen-Ressourcen'!$A$2:$AI$54,19,0)+VLOOKUP(F57,'Feuerwaffen-Ressourcen'!$A$2:$AI$54,19,0)+VLOOKUP(G57,'Feuerwaffen-Ressourcen'!$A$2:$AI$54,19,0)+VLOOKUP(I57,'Feuerwaffen-Ressourcen'!$A$2:$AI$54,19,0)+VLOOKUP(J57,'Feuerwaffen-Ressourcen'!$A$2:$AI$54,19,0)</f>
        <v>-8</v>
      </c>
      <c r="T57" s="60">
        <f>VLOOKUP(B57,'Feuerwaffen-Ressourcen'!$A$2:$AI$54,20,0)+VLOOKUP(C57,'Feuerwaffen-Ressourcen'!$A$2:$AI$54,20,0)+VLOOKUP(D57,'Feuerwaffen-Ressourcen'!$A$2:$AI$54,20,0)+VLOOKUP(F57,'Feuerwaffen-Ressourcen'!$A$2:$AI$54,20,0)+VLOOKUP(G57,'Feuerwaffen-Ressourcen'!$A$2:$AI$54,20,0)+VLOOKUP(I57,'Feuerwaffen-Ressourcen'!$A$2:$AI$54,20,0)+VLOOKUP(J57,'Feuerwaffen-Ressourcen'!$A$2:$AI$54,20,0)</f>
        <v>-19</v>
      </c>
      <c r="U57" s="60">
        <f>VLOOKUP(B57,'Feuerwaffen-Ressourcen'!$A$2:$AI$54,21,0)+VLOOKUP(C57,'Feuerwaffen-Ressourcen'!$A$2:$AI$54,21,0)+VLOOKUP(D57,'Feuerwaffen-Ressourcen'!$A$2:$AI$54,21,0)+VLOOKUP(F57,'Feuerwaffen-Ressourcen'!$A$2:$AI$54,21,0)+VLOOKUP(G57,'Feuerwaffen-Ressourcen'!$A$2:$AI$54,21,0)+VLOOKUP(I57,'Feuerwaffen-Ressourcen'!$A$2:$AI$54,21,0)+VLOOKUP(J57,'Feuerwaffen-Ressourcen'!$A$2:$AI$54,21,0)</f>
        <v>-31</v>
      </c>
      <c r="V57" s="60">
        <f>VLOOKUP(B57,'Feuerwaffen-Ressourcen'!$A$2:$AI$54,22,0)+VLOOKUP(C57,'Feuerwaffen-Ressourcen'!$A$2:$AI$54,22,0)+VLOOKUP(D57,'Feuerwaffen-Ressourcen'!$A$2:$AI$54,22,0)+VLOOKUP(F57,'Feuerwaffen-Ressourcen'!$A$2:$AI$54,22,0)+VLOOKUP(G57,'Feuerwaffen-Ressourcen'!$A$2:$AI$54,22,0)+VLOOKUP(I57,'Feuerwaffen-Ressourcen'!$A$2:$AI$54,22,0)+VLOOKUP(J57,'Feuerwaffen-Ressourcen'!$A$2:$AI$54,22,0)</f>
        <v>-44</v>
      </c>
      <c r="W57" s="60">
        <f>VLOOKUP(B57,'Feuerwaffen-Ressourcen'!$A$2:$AI$54,23,0)+VLOOKUP(C57,'Feuerwaffen-Ressourcen'!$A$2:$AI$54,23,0)+VLOOKUP(D57,'Feuerwaffen-Ressourcen'!$A$2:$AI$54,23,0)+VLOOKUP(F57,'Feuerwaffen-Ressourcen'!$A$2:$AI$54,23,0)+VLOOKUP(G57,'Feuerwaffen-Ressourcen'!$A$2:$AI$54,23,0)+VLOOKUP(I57,'Feuerwaffen-Ressourcen'!$A$2:$AI$54,23,0)+VLOOKUP(J57,'Feuerwaffen-Ressourcen'!$A$2:$AI$54,23,0)</f>
        <v>-58</v>
      </c>
      <c r="X57" s="60">
        <f>VLOOKUP(B57,'Feuerwaffen-Ressourcen'!$A$2:$AI$54,24,0)+VLOOKUP(C57,'Feuerwaffen-Ressourcen'!$A$2:$AI$54,24,0)+VLOOKUP(D57,'Feuerwaffen-Ressourcen'!$A$2:$AI$54,24,0)+VLOOKUP(G57,'Feuerwaffen-Ressourcen'!$A$2:$AI$54,24,0)</f>
        <v>10</v>
      </c>
      <c r="Y57" s="60">
        <f>VLOOKUP(D57,'Feuerwaffen-Ressourcen'!$A$2:$AI$54,25,0)+VLOOKUP(E57,'Feuerwaffen-Ressourcen'!$A$2:$AI$54,25,0)+VLOOKUP(F57,'Feuerwaffen-Ressourcen'!$A$2:$AI$54,25,0)</f>
        <v>32</v>
      </c>
      <c r="Z57" s="60">
        <f>VLOOKUP(E57,'Feuerwaffen-Ressourcen'!$A$2:$AI$54,26,0)</f>
        <v>3</v>
      </c>
      <c r="AA57" s="60">
        <f>VLOOKUP(B57,'Feuerwaffen-Ressourcen'!$A$2:$AI$54,27,0)+VLOOKUP(D57,'Feuerwaffen-Ressourcen'!$A$2:$AI$54,27,0)+VLOOKUP(F57,'Feuerwaffen-Ressourcen'!$A$2:$AI$54,27,0)+VLOOKUP(I57,'Feuerwaffen-Ressourcen'!$A$2:$AI$54,27,0)</f>
        <v>3</v>
      </c>
      <c r="AB57" s="60">
        <f>VLOOKUP(B57,'Feuerwaffen-Ressourcen'!$A$2:$AI$54,28,0)+VLOOKUP(C57,'Feuerwaffen-Ressourcen'!$A$2:$AI$54,28,0)+VLOOKUP(D57,'Feuerwaffen-Ressourcen'!$A$2:$AI$54,28,0)+VLOOKUP(E57,'Feuerwaffen-Ressourcen'!$A$2:$AI$54,28,0)+VLOOKUP(F57,'Feuerwaffen-Ressourcen'!$A$2:$AI$54,28,0)+VLOOKUP(G57,'Feuerwaffen-Ressourcen'!$A$2:$AI$54,28,0)+VLOOKUP(I57,'Feuerwaffen-Ressourcen'!$A$2:$AI$54,28,0)+VLOOKUP(J57,'Feuerwaffen-Ressourcen'!$A$2:$AI$54,28,0)</f>
        <v>85</v>
      </c>
      <c r="AC57" s="63">
        <f>VLOOKUP(I57,'Feuerwaffen-Ressourcen'!$A$2:$AI$54,31,0)*AD57+AE57</f>
        <v>491.7</v>
      </c>
      <c r="AD57" s="64">
        <f>VLOOKUP(B57,'Feuerwaffen-Ressourcen'!$A$2:$AI$54,30,0)+VLOOKUP(C57,'Feuerwaffen-Ressourcen'!$A$2:$AI$54,30,0)+VLOOKUP(D57,'Feuerwaffen-Ressourcen'!$A$2:$AI$54,30,0)+VLOOKUP(F57,'Feuerwaffen-Ressourcen'!$A$2:$AI$54,30,0)+VLOOKUP(G57,'Feuerwaffen-Ressourcen'!$A$2:$AI$54,30,0)+VLOOKUP(I57,'Feuerwaffen-Ressourcen'!$A$2:$AI$54,30,0)+VLOOKUP(J57,'Feuerwaffen-Ressourcen'!$A$2:$AI$54,30,0)</f>
        <v>5.1999999999999993</v>
      </c>
      <c r="AE57" s="63">
        <f>(VLOOKUP(C57,'Feuerwaffen-Ressourcen'!$A$2:$AI$54,32,0)+VLOOKUP(I57,'Feuerwaffen-Ressourcen'!$A$2:$AI$54,32,0))*(VLOOKUP(B57,'Feuerwaffen-Ressourcen'!$A$2:$AI$54,34,0)+VLOOKUP(C57,'Feuerwaffen-Ressourcen'!$A$2:$AI$54,34,0)+VLOOKUP(D57,'Feuerwaffen-Ressourcen'!$A$2:$AI$54,34,0)+VLOOKUP(E57,'Feuerwaffen-Ressourcen'!$A$2:$AI$54,34,0)+VLOOKUP(G57,'Feuerwaffen-Ressourcen'!$A$2:$AI$54,34,0))+VLOOKUP(B57,'Feuerwaffen-Ressourcen'!$A$2:$AI$54,35,0)+VLOOKUP(C57,'Feuerwaffen-Ressourcen'!$A$2:$AI$54,35,0)+VLOOKUP(D57,'Feuerwaffen-Ressourcen'!$A$2:$AI$54,35,0)</f>
        <v>470.9</v>
      </c>
      <c r="AF57" s="65">
        <f>VLOOKUP(AB57,'Feuerwaffen-Ressourcen'!$AO$3:$AP$9,2,1)</f>
        <v>6</v>
      </c>
      <c r="AG57" s="65">
        <v>0</v>
      </c>
    </row>
    <row r="58" spans="1:33">
      <c r="A58" s="59" t="s">
        <v>7176</v>
      </c>
      <c r="B58" s="59" t="s">
        <v>1445</v>
      </c>
      <c r="C58" s="59" t="s">
        <v>7215</v>
      </c>
      <c r="D58" s="59" t="s">
        <v>7218</v>
      </c>
      <c r="E58" s="59" t="s">
        <v>6501</v>
      </c>
      <c r="F58" s="59" t="s">
        <v>7221</v>
      </c>
      <c r="G58" s="59" t="s">
        <v>7217</v>
      </c>
      <c r="H58" s="59" t="s">
        <v>6514</v>
      </c>
      <c r="I58" s="59" t="s">
        <v>5768</v>
      </c>
      <c r="J58" s="59" t="s">
        <v>5748</v>
      </c>
      <c r="K58" s="61">
        <f>VLOOKUP(B58,'Feuerwaffen-Ressourcen'!$A$2:$AI$54,11,0)+VLOOKUP(C58,'Feuerwaffen-Ressourcen'!$A$2:$AI$54,11,0)+VLOOKUP(D58,'Feuerwaffen-Ressourcen'!$A$2:$AI$54,11,0)+VLOOKUP(E58,'Feuerwaffen-Ressourcen'!$A$2:$AI$54,11,0)+VLOOKUP(G58,'Feuerwaffen-Ressourcen'!$A$2:$AI$54,11,0)</f>
        <v>6.8</v>
      </c>
      <c r="L58" s="60">
        <f>VLOOKUP(B58,'Feuerwaffen-Ressourcen'!$A$2:$AI$54,12,0)+VLOOKUP(C58,'Feuerwaffen-Ressourcen'!$A$2:$AI$54,12,0)+VLOOKUP(D58,'Feuerwaffen-Ressourcen'!$A$2:$AI$54,12,0)+VLOOKUP(J58,'Feuerwaffen-Ressourcen'!$A$2:$AI$54,12,0)</f>
        <v>15</v>
      </c>
      <c r="M58" s="60" t="str">
        <f>VLOOKUP(VLOOKUP(B58,'Feuerwaffen-Ressourcen'!$A$2:$AI$54,13,0)+VLOOKUP(C58,'Feuerwaffen-Ressourcen'!$A$2:$AI$54,13,0)+VLOOKUP(D58,'Feuerwaffen-Ressourcen'!$A$2:$AI$54,13,0),'Feuerwaffen-Ressourcen'!$AJ$3:$AK$12,2,0)</f>
        <v>W15</v>
      </c>
      <c r="N58" s="60" t="str">
        <f>VLOOKUP(VLOOKUP(B58,'Feuerwaffen-Ressourcen'!$A$2:$AI$54,14,0)+VLOOKUP(C58,'Feuerwaffen-Ressourcen'!$A$2:$AI$54,14,0)+VLOOKUP(D58,'Feuerwaffen-Ressourcen'!$A$2:$AI$54,14,0),'Feuerwaffen-Ressourcen'!$AJ$3:$AK$12,2,0)</f>
        <v>W15</v>
      </c>
      <c r="O58" s="60">
        <f>VLOOKUP(B58,'Feuerwaffen-Ressourcen'!$A$2:$AI$54,15,0)+VLOOKUP(C58,'Feuerwaffen-Ressourcen'!$A$2:$AI$54,15,0)+VLOOKUP(D58,'Feuerwaffen-Ressourcen'!$A$2:$AI$54,15,0)</f>
        <v>3</v>
      </c>
      <c r="P58" s="60">
        <f>VLOOKUP(B58,'Feuerwaffen-Ressourcen'!$A$2:$AI$54,16,0)+VLOOKUP(C58,'Feuerwaffen-Ressourcen'!$A$2:$AI$54,16,0)+VLOOKUP(D58,'Feuerwaffen-Ressourcen'!$A$2:$AI$54,16,0)+VLOOKUP(E58,'Feuerwaffen-Ressourcen'!$A$2:$AI$54,16,0)</f>
        <v>11</v>
      </c>
      <c r="Q58" s="62">
        <f>VLOOKUP(B58,'Feuerwaffen-Ressourcen'!$A$2:$AI$54,17,0)+VLOOKUP(C58,'Feuerwaffen-Ressourcen'!$A$2:$AI$54,17,0)+VLOOKUP(D58,'Feuerwaffen-Ressourcen'!$A$2:$AI$54,17,0)+VLOOKUP(E58,'Feuerwaffen-Ressourcen'!$A$2:$AI$54,17,0)</f>
        <v>20</v>
      </c>
      <c r="R58" s="60">
        <f>VLOOKUP(B58,'Feuerwaffen-Ressourcen'!$A$2:$AI$54,18,0)+VLOOKUP(C58,'Feuerwaffen-Ressourcen'!$A$2:$AI$54,18,0)+VLOOKUP(D58,'Feuerwaffen-Ressourcen'!$A$2:$AI$54,18,0)+VLOOKUP(F58,'Feuerwaffen-Ressourcen'!$A$2:$AI$54,18,0)+VLOOKUP(G58,'Feuerwaffen-Ressourcen'!$A$2:$AI$54,18,0)+VLOOKUP(I58,'Feuerwaffen-Ressourcen'!$A$2:$AI$54,18,0)+VLOOKUP(J58,'Feuerwaffen-Ressourcen'!$A$2:$AI$54,18,0)</f>
        <v>1</v>
      </c>
      <c r="S58" s="60">
        <f>VLOOKUP(B58,'Feuerwaffen-Ressourcen'!$A$2:$AI$54,19,0)+VLOOKUP(C58,'Feuerwaffen-Ressourcen'!$A$2:$AI$54,19,0)+VLOOKUP(D58,'Feuerwaffen-Ressourcen'!$A$2:$AI$54,19,0)+VLOOKUP(F58,'Feuerwaffen-Ressourcen'!$A$2:$AI$54,19,0)+VLOOKUP(G58,'Feuerwaffen-Ressourcen'!$A$2:$AI$54,19,0)+VLOOKUP(I58,'Feuerwaffen-Ressourcen'!$A$2:$AI$54,19,0)+VLOOKUP(J58,'Feuerwaffen-Ressourcen'!$A$2:$AI$54,19,0)</f>
        <v>-4</v>
      </c>
      <c r="T58" s="60">
        <f>VLOOKUP(B58,'Feuerwaffen-Ressourcen'!$A$2:$AI$54,20,0)+VLOOKUP(C58,'Feuerwaffen-Ressourcen'!$A$2:$AI$54,20,0)+VLOOKUP(D58,'Feuerwaffen-Ressourcen'!$A$2:$AI$54,20,0)+VLOOKUP(F58,'Feuerwaffen-Ressourcen'!$A$2:$AI$54,20,0)+VLOOKUP(G58,'Feuerwaffen-Ressourcen'!$A$2:$AI$54,20,0)+VLOOKUP(I58,'Feuerwaffen-Ressourcen'!$A$2:$AI$54,20,0)+VLOOKUP(J58,'Feuerwaffen-Ressourcen'!$A$2:$AI$54,20,0)</f>
        <v>-9</v>
      </c>
      <c r="U58" s="60">
        <f>VLOOKUP(B58,'Feuerwaffen-Ressourcen'!$A$2:$AI$54,21,0)+VLOOKUP(C58,'Feuerwaffen-Ressourcen'!$A$2:$AI$54,21,0)+VLOOKUP(D58,'Feuerwaffen-Ressourcen'!$A$2:$AI$54,21,0)+VLOOKUP(F58,'Feuerwaffen-Ressourcen'!$A$2:$AI$54,21,0)+VLOOKUP(G58,'Feuerwaffen-Ressourcen'!$A$2:$AI$54,21,0)+VLOOKUP(I58,'Feuerwaffen-Ressourcen'!$A$2:$AI$54,21,0)+VLOOKUP(J58,'Feuerwaffen-Ressourcen'!$A$2:$AI$54,21,0)</f>
        <v>-16</v>
      </c>
      <c r="V58" s="60">
        <f>VLOOKUP(B58,'Feuerwaffen-Ressourcen'!$A$2:$AI$54,22,0)+VLOOKUP(C58,'Feuerwaffen-Ressourcen'!$A$2:$AI$54,22,0)+VLOOKUP(D58,'Feuerwaffen-Ressourcen'!$A$2:$AI$54,22,0)+VLOOKUP(F58,'Feuerwaffen-Ressourcen'!$A$2:$AI$54,22,0)+VLOOKUP(G58,'Feuerwaffen-Ressourcen'!$A$2:$AI$54,22,0)+VLOOKUP(I58,'Feuerwaffen-Ressourcen'!$A$2:$AI$54,22,0)+VLOOKUP(J58,'Feuerwaffen-Ressourcen'!$A$2:$AI$54,22,0)</f>
        <v>-24</v>
      </c>
      <c r="W58" s="60">
        <f>VLOOKUP(B58,'Feuerwaffen-Ressourcen'!$A$2:$AI$54,23,0)+VLOOKUP(C58,'Feuerwaffen-Ressourcen'!$A$2:$AI$54,23,0)+VLOOKUP(D58,'Feuerwaffen-Ressourcen'!$A$2:$AI$54,23,0)+VLOOKUP(F58,'Feuerwaffen-Ressourcen'!$A$2:$AI$54,23,0)+VLOOKUP(G58,'Feuerwaffen-Ressourcen'!$A$2:$AI$54,23,0)+VLOOKUP(I58,'Feuerwaffen-Ressourcen'!$A$2:$AI$54,23,0)+VLOOKUP(J58,'Feuerwaffen-Ressourcen'!$A$2:$AI$54,23,0)</f>
        <v>-33</v>
      </c>
      <c r="X58" s="60">
        <f>VLOOKUP(B58,'Feuerwaffen-Ressourcen'!$A$2:$AI$54,24,0)+VLOOKUP(C58,'Feuerwaffen-Ressourcen'!$A$2:$AI$54,24,0)+VLOOKUP(D58,'Feuerwaffen-Ressourcen'!$A$2:$AI$54,24,0)+VLOOKUP(G58,'Feuerwaffen-Ressourcen'!$A$2:$AI$54,24,0)</f>
        <v>50</v>
      </c>
      <c r="Y58" s="60">
        <f>VLOOKUP(D58,'Feuerwaffen-Ressourcen'!$A$2:$AI$54,25,0)+VLOOKUP(E58,'Feuerwaffen-Ressourcen'!$A$2:$AI$54,25,0)+VLOOKUP(F58,'Feuerwaffen-Ressourcen'!$A$2:$AI$54,25,0)</f>
        <v>32</v>
      </c>
      <c r="Z58" s="60">
        <f>VLOOKUP(E58,'Feuerwaffen-Ressourcen'!$A$2:$AI$54,26,0)</f>
        <v>3</v>
      </c>
      <c r="AA58" s="60">
        <f>VLOOKUP(B58,'Feuerwaffen-Ressourcen'!$A$2:$AI$54,27,0)+VLOOKUP(D58,'Feuerwaffen-Ressourcen'!$A$2:$AI$54,27,0)+VLOOKUP(F58,'Feuerwaffen-Ressourcen'!$A$2:$AI$54,27,0)+VLOOKUP(I58,'Feuerwaffen-Ressourcen'!$A$2:$AI$54,27,0)</f>
        <v>3</v>
      </c>
      <c r="AB58" s="60">
        <f>VLOOKUP(B58,'Feuerwaffen-Ressourcen'!$A$2:$AI$54,28,0)+VLOOKUP(C58,'Feuerwaffen-Ressourcen'!$A$2:$AI$54,28,0)+VLOOKUP(D58,'Feuerwaffen-Ressourcen'!$A$2:$AI$54,28,0)+VLOOKUP(E58,'Feuerwaffen-Ressourcen'!$A$2:$AI$54,28,0)+VLOOKUP(F58,'Feuerwaffen-Ressourcen'!$A$2:$AI$54,28,0)+VLOOKUP(G58,'Feuerwaffen-Ressourcen'!$A$2:$AI$54,28,0)+VLOOKUP(I58,'Feuerwaffen-Ressourcen'!$A$2:$AI$54,28,0)+VLOOKUP(J58,'Feuerwaffen-Ressourcen'!$A$2:$AI$54,28,0)</f>
        <v>90</v>
      </c>
      <c r="AC58" s="63">
        <f>VLOOKUP(I58,'Feuerwaffen-Ressourcen'!$A$2:$AI$54,31,0)*AD58+AE58</f>
        <v>491.7</v>
      </c>
      <c r="AD58" s="64">
        <f>VLOOKUP(B58,'Feuerwaffen-Ressourcen'!$A$2:$AI$54,30,0)+VLOOKUP(C58,'Feuerwaffen-Ressourcen'!$A$2:$AI$54,30,0)+VLOOKUP(D58,'Feuerwaffen-Ressourcen'!$A$2:$AI$54,30,0)+VLOOKUP(F58,'Feuerwaffen-Ressourcen'!$A$2:$AI$54,30,0)+VLOOKUP(G58,'Feuerwaffen-Ressourcen'!$A$2:$AI$54,30,0)+VLOOKUP(I58,'Feuerwaffen-Ressourcen'!$A$2:$AI$54,30,0)+VLOOKUP(J58,'Feuerwaffen-Ressourcen'!$A$2:$AI$54,30,0)</f>
        <v>5.1999999999999993</v>
      </c>
      <c r="AE58" s="63">
        <f>(VLOOKUP(C58,'Feuerwaffen-Ressourcen'!$A$2:$AI$54,32,0)+VLOOKUP(I58,'Feuerwaffen-Ressourcen'!$A$2:$AI$54,32,0))*(VLOOKUP(B58,'Feuerwaffen-Ressourcen'!$A$2:$AI$54,34,0)+VLOOKUP(C58,'Feuerwaffen-Ressourcen'!$A$2:$AI$54,34,0)+VLOOKUP(D58,'Feuerwaffen-Ressourcen'!$A$2:$AI$54,34,0)+VLOOKUP(E58,'Feuerwaffen-Ressourcen'!$A$2:$AI$54,34,0)+VLOOKUP(G58,'Feuerwaffen-Ressourcen'!$A$2:$AI$54,34,0))+VLOOKUP(B58,'Feuerwaffen-Ressourcen'!$A$2:$AI$54,35,0)+VLOOKUP(C58,'Feuerwaffen-Ressourcen'!$A$2:$AI$54,35,0)+VLOOKUP(D58,'Feuerwaffen-Ressourcen'!$A$2:$AI$54,35,0)</f>
        <v>470.9</v>
      </c>
      <c r="AF58" s="65">
        <f>VLOOKUP(AB58,'Feuerwaffen-Ressourcen'!$AO$3:$AP$9,2,1)</f>
        <v>5</v>
      </c>
      <c r="AG58" s="65">
        <v>0</v>
      </c>
    </row>
    <row r="59" spans="1:33">
      <c r="A59" s="59" t="s">
        <v>7177</v>
      </c>
      <c r="B59" s="59" t="s">
        <v>1445</v>
      </c>
      <c r="C59" s="59" t="s">
        <v>7215</v>
      </c>
      <c r="D59" s="59" t="s">
        <v>7206</v>
      </c>
      <c r="E59" s="59" t="s">
        <v>6501</v>
      </c>
      <c r="F59" s="59" t="s">
        <v>7221</v>
      </c>
      <c r="G59" s="59" t="s">
        <v>7217</v>
      </c>
      <c r="H59" s="59" t="s">
        <v>6514</v>
      </c>
      <c r="I59" s="59" t="s">
        <v>5768</v>
      </c>
      <c r="J59" s="59" t="s">
        <v>5748</v>
      </c>
      <c r="K59" s="61">
        <f>VLOOKUP(B59,'Feuerwaffen-Ressourcen'!$A$2:$AI$54,11,0)+VLOOKUP(C59,'Feuerwaffen-Ressourcen'!$A$2:$AI$54,11,0)+VLOOKUP(D59,'Feuerwaffen-Ressourcen'!$A$2:$AI$54,11,0)+VLOOKUP(E59,'Feuerwaffen-Ressourcen'!$A$2:$AI$54,11,0)+VLOOKUP(G59,'Feuerwaffen-Ressourcen'!$A$2:$AI$54,11,0)</f>
        <v>5.8</v>
      </c>
      <c r="L59" s="60">
        <f>VLOOKUP(B59,'Feuerwaffen-Ressourcen'!$A$2:$AI$54,12,0)+VLOOKUP(C59,'Feuerwaffen-Ressourcen'!$A$2:$AI$54,12,0)+VLOOKUP(D59,'Feuerwaffen-Ressourcen'!$A$2:$AI$54,12,0)+VLOOKUP(J59,'Feuerwaffen-Ressourcen'!$A$2:$AI$54,12,0)</f>
        <v>13</v>
      </c>
      <c r="M59" s="60" t="str">
        <f>VLOOKUP(VLOOKUP(B59,'Feuerwaffen-Ressourcen'!$A$2:$AI$54,13,0)+VLOOKUP(C59,'Feuerwaffen-Ressourcen'!$A$2:$AI$54,13,0)+VLOOKUP(D59,'Feuerwaffen-Ressourcen'!$A$2:$AI$54,13,0),'Feuerwaffen-Ressourcen'!$AJ$3:$AK$12,2,0)</f>
        <v>W12</v>
      </c>
      <c r="N59" s="60" t="str">
        <f>VLOOKUP(VLOOKUP(B59,'Feuerwaffen-Ressourcen'!$A$2:$AI$54,14,0)+VLOOKUP(C59,'Feuerwaffen-Ressourcen'!$A$2:$AI$54,14,0)+VLOOKUP(D59,'Feuerwaffen-Ressourcen'!$A$2:$AI$54,14,0),'Feuerwaffen-Ressourcen'!$AJ$3:$AK$12,2,0)</f>
        <v>W12</v>
      </c>
      <c r="O59" s="60">
        <f>VLOOKUP(B59,'Feuerwaffen-Ressourcen'!$A$2:$AI$54,15,0)+VLOOKUP(C59,'Feuerwaffen-Ressourcen'!$A$2:$AI$54,15,0)+VLOOKUP(D59,'Feuerwaffen-Ressourcen'!$A$2:$AI$54,15,0)</f>
        <v>2</v>
      </c>
      <c r="P59" s="60">
        <f>VLOOKUP(B59,'Feuerwaffen-Ressourcen'!$A$2:$AI$54,16,0)+VLOOKUP(C59,'Feuerwaffen-Ressourcen'!$A$2:$AI$54,16,0)+VLOOKUP(D59,'Feuerwaffen-Ressourcen'!$A$2:$AI$54,16,0)+VLOOKUP(E59,'Feuerwaffen-Ressourcen'!$A$2:$AI$54,16,0)</f>
        <v>10</v>
      </c>
      <c r="Q59" s="62">
        <f>VLOOKUP(B59,'Feuerwaffen-Ressourcen'!$A$2:$AI$54,17,0)+VLOOKUP(C59,'Feuerwaffen-Ressourcen'!$A$2:$AI$54,17,0)+VLOOKUP(D59,'Feuerwaffen-Ressourcen'!$A$2:$AI$54,17,0)+VLOOKUP(E59,'Feuerwaffen-Ressourcen'!$A$2:$AI$54,17,0)</f>
        <v>19</v>
      </c>
      <c r="R59" s="60">
        <f>VLOOKUP(B59,'Feuerwaffen-Ressourcen'!$A$2:$AI$54,18,0)+VLOOKUP(C59,'Feuerwaffen-Ressourcen'!$A$2:$AI$54,18,0)+VLOOKUP(D59,'Feuerwaffen-Ressourcen'!$A$2:$AI$54,18,0)+VLOOKUP(F59,'Feuerwaffen-Ressourcen'!$A$2:$AI$54,18,0)+VLOOKUP(G59,'Feuerwaffen-Ressourcen'!$A$2:$AI$54,18,0)+VLOOKUP(I59,'Feuerwaffen-Ressourcen'!$A$2:$AI$54,18,0)+VLOOKUP(J59,'Feuerwaffen-Ressourcen'!$A$2:$AI$54,18,0)</f>
        <v>3</v>
      </c>
      <c r="S59" s="60">
        <f>VLOOKUP(B59,'Feuerwaffen-Ressourcen'!$A$2:$AI$54,19,0)+VLOOKUP(C59,'Feuerwaffen-Ressourcen'!$A$2:$AI$54,19,0)+VLOOKUP(D59,'Feuerwaffen-Ressourcen'!$A$2:$AI$54,19,0)+VLOOKUP(F59,'Feuerwaffen-Ressourcen'!$A$2:$AI$54,19,0)+VLOOKUP(G59,'Feuerwaffen-Ressourcen'!$A$2:$AI$54,19,0)+VLOOKUP(I59,'Feuerwaffen-Ressourcen'!$A$2:$AI$54,19,0)+VLOOKUP(J59,'Feuerwaffen-Ressourcen'!$A$2:$AI$54,19,0)</f>
        <v>-3</v>
      </c>
      <c r="T59" s="60">
        <f>VLOOKUP(B59,'Feuerwaffen-Ressourcen'!$A$2:$AI$54,20,0)+VLOOKUP(C59,'Feuerwaffen-Ressourcen'!$A$2:$AI$54,20,0)+VLOOKUP(D59,'Feuerwaffen-Ressourcen'!$A$2:$AI$54,20,0)+VLOOKUP(F59,'Feuerwaffen-Ressourcen'!$A$2:$AI$54,20,0)+VLOOKUP(G59,'Feuerwaffen-Ressourcen'!$A$2:$AI$54,20,0)+VLOOKUP(I59,'Feuerwaffen-Ressourcen'!$A$2:$AI$54,20,0)+VLOOKUP(J59,'Feuerwaffen-Ressourcen'!$A$2:$AI$54,20,0)</f>
        <v>-9</v>
      </c>
      <c r="U59" s="60">
        <f>VLOOKUP(B59,'Feuerwaffen-Ressourcen'!$A$2:$AI$54,21,0)+VLOOKUP(C59,'Feuerwaffen-Ressourcen'!$A$2:$AI$54,21,0)+VLOOKUP(D59,'Feuerwaffen-Ressourcen'!$A$2:$AI$54,21,0)+VLOOKUP(F59,'Feuerwaffen-Ressourcen'!$A$2:$AI$54,21,0)+VLOOKUP(G59,'Feuerwaffen-Ressourcen'!$A$2:$AI$54,21,0)+VLOOKUP(I59,'Feuerwaffen-Ressourcen'!$A$2:$AI$54,21,0)+VLOOKUP(J59,'Feuerwaffen-Ressourcen'!$A$2:$AI$54,21,0)</f>
        <v>-16</v>
      </c>
      <c r="V59" s="60">
        <f>VLOOKUP(B59,'Feuerwaffen-Ressourcen'!$A$2:$AI$54,22,0)+VLOOKUP(C59,'Feuerwaffen-Ressourcen'!$A$2:$AI$54,22,0)+VLOOKUP(D59,'Feuerwaffen-Ressourcen'!$A$2:$AI$54,22,0)+VLOOKUP(F59,'Feuerwaffen-Ressourcen'!$A$2:$AI$54,22,0)+VLOOKUP(G59,'Feuerwaffen-Ressourcen'!$A$2:$AI$54,22,0)+VLOOKUP(I59,'Feuerwaffen-Ressourcen'!$A$2:$AI$54,22,0)+VLOOKUP(J59,'Feuerwaffen-Ressourcen'!$A$2:$AI$54,22,0)</f>
        <v>-24</v>
      </c>
      <c r="W59" s="60">
        <f>VLOOKUP(B59,'Feuerwaffen-Ressourcen'!$A$2:$AI$54,23,0)+VLOOKUP(C59,'Feuerwaffen-Ressourcen'!$A$2:$AI$54,23,0)+VLOOKUP(D59,'Feuerwaffen-Ressourcen'!$A$2:$AI$54,23,0)+VLOOKUP(F59,'Feuerwaffen-Ressourcen'!$A$2:$AI$54,23,0)+VLOOKUP(G59,'Feuerwaffen-Ressourcen'!$A$2:$AI$54,23,0)+VLOOKUP(I59,'Feuerwaffen-Ressourcen'!$A$2:$AI$54,23,0)+VLOOKUP(J59,'Feuerwaffen-Ressourcen'!$A$2:$AI$54,23,0)</f>
        <v>-33</v>
      </c>
      <c r="X59" s="60">
        <f>VLOOKUP(B59,'Feuerwaffen-Ressourcen'!$A$2:$AI$54,24,0)+VLOOKUP(C59,'Feuerwaffen-Ressourcen'!$A$2:$AI$54,24,0)+VLOOKUP(D59,'Feuerwaffen-Ressourcen'!$A$2:$AI$54,24,0)+VLOOKUP(G59,'Feuerwaffen-Ressourcen'!$A$2:$AI$54,24,0)</f>
        <v>30</v>
      </c>
      <c r="Y59" s="60">
        <f>VLOOKUP(D59,'Feuerwaffen-Ressourcen'!$A$2:$AI$54,25,0)+VLOOKUP(E59,'Feuerwaffen-Ressourcen'!$A$2:$AI$54,25,0)+VLOOKUP(F59,'Feuerwaffen-Ressourcen'!$A$2:$AI$54,25,0)</f>
        <v>30</v>
      </c>
      <c r="Z59" s="60">
        <f>VLOOKUP(E59,'Feuerwaffen-Ressourcen'!$A$2:$AI$54,26,0)</f>
        <v>3</v>
      </c>
      <c r="AA59" s="60">
        <f>VLOOKUP(B59,'Feuerwaffen-Ressourcen'!$A$2:$AI$54,27,0)+VLOOKUP(D59,'Feuerwaffen-Ressourcen'!$A$2:$AI$54,27,0)+VLOOKUP(F59,'Feuerwaffen-Ressourcen'!$A$2:$AI$54,27,0)+VLOOKUP(I59,'Feuerwaffen-Ressourcen'!$A$2:$AI$54,27,0)</f>
        <v>3</v>
      </c>
      <c r="AB59" s="60">
        <f>VLOOKUP(B59,'Feuerwaffen-Ressourcen'!$A$2:$AI$54,28,0)+VLOOKUP(C59,'Feuerwaffen-Ressourcen'!$A$2:$AI$54,28,0)+VLOOKUP(D59,'Feuerwaffen-Ressourcen'!$A$2:$AI$54,28,0)+VLOOKUP(E59,'Feuerwaffen-Ressourcen'!$A$2:$AI$54,28,0)+VLOOKUP(F59,'Feuerwaffen-Ressourcen'!$A$2:$AI$54,28,0)+VLOOKUP(G59,'Feuerwaffen-Ressourcen'!$A$2:$AI$54,28,0)+VLOOKUP(I59,'Feuerwaffen-Ressourcen'!$A$2:$AI$54,28,0)+VLOOKUP(J59,'Feuerwaffen-Ressourcen'!$A$2:$AI$54,28,0)</f>
        <v>100</v>
      </c>
      <c r="AC59" s="63">
        <f>VLOOKUP(I59,'Feuerwaffen-Ressourcen'!$A$2:$AI$54,31,0)*AD59+AE59</f>
        <v>367.7</v>
      </c>
      <c r="AD59" s="64">
        <f>VLOOKUP(B59,'Feuerwaffen-Ressourcen'!$A$2:$AI$54,30,0)+VLOOKUP(C59,'Feuerwaffen-Ressourcen'!$A$2:$AI$54,30,0)+VLOOKUP(D59,'Feuerwaffen-Ressourcen'!$A$2:$AI$54,30,0)+VLOOKUP(F59,'Feuerwaffen-Ressourcen'!$A$2:$AI$54,30,0)+VLOOKUP(G59,'Feuerwaffen-Ressourcen'!$A$2:$AI$54,30,0)+VLOOKUP(I59,'Feuerwaffen-Ressourcen'!$A$2:$AI$54,30,0)+VLOOKUP(J59,'Feuerwaffen-Ressourcen'!$A$2:$AI$54,30,0)</f>
        <v>4.2</v>
      </c>
      <c r="AE59" s="63">
        <f>(VLOOKUP(C59,'Feuerwaffen-Ressourcen'!$A$2:$AI$54,32,0)+VLOOKUP(I59,'Feuerwaffen-Ressourcen'!$A$2:$AI$54,32,0))*(VLOOKUP(B59,'Feuerwaffen-Ressourcen'!$A$2:$AI$54,34,0)+VLOOKUP(C59,'Feuerwaffen-Ressourcen'!$A$2:$AI$54,34,0)+VLOOKUP(D59,'Feuerwaffen-Ressourcen'!$A$2:$AI$54,34,0)+VLOOKUP(E59,'Feuerwaffen-Ressourcen'!$A$2:$AI$54,34,0)+VLOOKUP(G59,'Feuerwaffen-Ressourcen'!$A$2:$AI$54,34,0))+VLOOKUP(B59,'Feuerwaffen-Ressourcen'!$A$2:$AI$54,35,0)+VLOOKUP(C59,'Feuerwaffen-Ressourcen'!$A$2:$AI$54,35,0)+VLOOKUP(D59,'Feuerwaffen-Ressourcen'!$A$2:$AI$54,35,0)</f>
        <v>350.9</v>
      </c>
      <c r="AF59" s="65">
        <f>VLOOKUP(AB59,'Feuerwaffen-Ressourcen'!$AO$3:$AP$9,2,1)</f>
        <v>5</v>
      </c>
      <c r="AG59" s="65">
        <v>0</v>
      </c>
    </row>
    <row r="60" spans="1:33">
      <c r="A60" s="59" t="s">
        <v>7178</v>
      </c>
      <c r="B60" s="59" t="s">
        <v>1445</v>
      </c>
      <c r="C60" s="59" t="s">
        <v>7215</v>
      </c>
      <c r="D60" s="59" t="s">
        <v>7231</v>
      </c>
      <c r="E60" s="59" t="s">
        <v>6501</v>
      </c>
      <c r="F60" s="59" t="s">
        <v>7229</v>
      </c>
      <c r="G60" s="59" t="s">
        <v>7217</v>
      </c>
      <c r="H60" s="59" t="s">
        <v>6514</v>
      </c>
      <c r="I60" s="59" t="s">
        <v>5768</v>
      </c>
      <c r="J60" s="59" t="s">
        <v>5748</v>
      </c>
      <c r="K60" s="61">
        <f>VLOOKUP(B60,'Feuerwaffen-Ressourcen'!$A$2:$AI$54,11,0)+VLOOKUP(C60,'Feuerwaffen-Ressourcen'!$A$2:$AI$54,11,0)+VLOOKUP(D60,'Feuerwaffen-Ressourcen'!$A$2:$AI$54,11,0)+VLOOKUP(E60,'Feuerwaffen-Ressourcen'!$A$2:$AI$54,11,0)+VLOOKUP(G60,'Feuerwaffen-Ressourcen'!$A$2:$AI$54,11,0)</f>
        <v>4.8999999999999995</v>
      </c>
      <c r="L60" s="60">
        <f>VLOOKUP(B60,'Feuerwaffen-Ressourcen'!$A$2:$AI$54,12,0)+VLOOKUP(C60,'Feuerwaffen-Ressourcen'!$A$2:$AI$54,12,0)+VLOOKUP(D60,'Feuerwaffen-Ressourcen'!$A$2:$AI$54,12,0)+VLOOKUP(J60,'Feuerwaffen-Ressourcen'!$A$2:$AI$54,12,0)</f>
        <v>12</v>
      </c>
      <c r="M60" s="60" t="str">
        <f>VLOOKUP(VLOOKUP(B60,'Feuerwaffen-Ressourcen'!$A$2:$AI$54,13,0)+VLOOKUP(C60,'Feuerwaffen-Ressourcen'!$A$2:$AI$54,13,0)+VLOOKUP(D60,'Feuerwaffen-Ressourcen'!$A$2:$AI$54,13,0),'Feuerwaffen-Ressourcen'!$AJ$3:$AK$12,2,0)</f>
        <v>W12</v>
      </c>
      <c r="N60" s="60" t="str">
        <f>VLOOKUP(VLOOKUP(B60,'Feuerwaffen-Ressourcen'!$A$2:$AI$54,14,0)+VLOOKUP(C60,'Feuerwaffen-Ressourcen'!$A$2:$AI$54,14,0)+VLOOKUP(D60,'Feuerwaffen-Ressourcen'!$A$2:$AI$54,14,0),'Feuerwaffen-Ressourcen'!$AJ$3:$AK$12,2,0)</f>
        <v>W12</v>
      </c>
      <c r="O60" s="60">
        <f>VLOOKUP(B60,'Feuerwaffen-Ressourcen'!$A$2:$AI$54,15,0)+VLOOKUP(C60,'Feuerwaffen-Ressourcen'!$A$2:$AI$54,15,0)+VLOOKUP(D60,'Feuerwaffen-Ressourcen'!$A$2:$AI$54,15,0)</f>
        <v>2</v>
      </c>
      <c r="P60" s="60">
        <f>VLOOKUP(B60,'Feuerwaffen-Ressourcen'!$A$2:$AI$54,16,0)+VLOOKUP(C60,'Feuerwaffen-Ressourcen'!$A$2:$AI$54,16,0)+VLOOKUP(D60,'Feuerwaffen-Ressourcen'!$A$2:$AI$54,16,0)+VLOOKUP(E60,'Feuerwaffen-Ressourcen'!$A$2:$AI$54,16,0)</f>
        <v>10</v>
      </c>
      <c r="Q60" s="62">
        <f>VLOOKUP(B60,'Feuerwaffen-Ressourcen'!$A$2:$AI$54,17,0)+VLOOKUP(C60,'Feuerwaffen-Ressourcen'!$A$2:$AI$54,17,0)+VLOOKUP(D60,'Feuerwaffen-Ressourcen'!$A$2:$AI$54,17,0)+VLOOKUP(E60,'Feuerwaffen-Ressourcen'!$A$2:$AI$54,17,0)</f>
        <v>19</v>
      </c>
      <c r="R60" s="60">
        <f>VLOOKUP(B60,'Feuerwaffen-Ressourcen'!$A$2:$AI$54,18,0)+VLOOKUP(C60,'Feuerwaffen-Ressourcen'!$A$2:$AI$54,18,0)+VLOOKUP(D60,'Feuerwaffen-Ressourcen'!$A$2:$AI$54,18,0)+VLOOKUP(F60,'Feuerwaffen-Ressourcen'!$A$2:$AI$54,18,0)+VLOOKUP(G60,'Feuerwaffen-Ressourcen'!$A$2:$AI$54,18,0)+VLOOKUP(I60,'Feuerwaffen-Ressourcen'!$A$2:$AI$54,18,0)+VLOOKUP(J60,'Feuerwaffen-Ressourcen'!$A$2:$AI$54,18,0)</f>
        <v>6</v>
      </c>
      <c r="S60" s="60">
        <f>VLOOKUP(B60,'Feuerwaffen-Ressourcen'!$A$2:$AI$54,19,0)+VLOOKUP(C60,'Feuerwaffen-Ressourcen'!$A$2:$AI$54,19,0)+VLOOKUP(D60,'Feuerwaffen-Ressourcen'!$A$2:$AI$54,19,0)+VLOOKUP(F60,'Feuerwaffen-Ressourcen'!$A$2:$AI$54,19,0)+VLOOKUP(G60,'Feuerwaffen-Ressourcen'!$A$2:$AI$54,19,0)+VLOOKUP(I60,'Feuerwaffen-Ressourcen'!$A$2:$AI$54,19,0)+VLOOKUP(J60,'Feuerwaffen-Ressourcen'!$A$2:$AI$54,19,0)</f>
        <v>-2</v>
      </c>
      <c r="T60" s="60">
        <f>VLOOKUP(B60,'Feuerwaffen-Ressourcen'!$A$2:$AI$54,20,0)+VLOOKUP(C60,'Feuerwaffen-Ressourcen'!$A$2:$AI$54,20,0)+VLOOKUP(D60,'Feuerwaffen-Ressourcen'!$A$2:$AI$54,20,0)+VLOOKUP(F60,'Feuerwaffen-Ressourcen'!$A$2:$AI$54,20,0)+VLOOKUP(G60,'Feuerwaffen-Ressourcen'!$A$2:$AI$54,20,0)+VLOOKUP(I60,'Feuerwaffen-Ressourcen'!$A$2:$AI$54,20,0)+VLOOKUP(J60,'Feuerwaffen-Ressourcen'!$A$2:$AI$54,20,0)</f>
        <v>-10</v>
      </c>
      <c r="U60" s="60">
        <f>VLOOKUP(B60,'Feuerwaffen-Ressourcen'!$A$2:$AI$54,21,0)+VLOOKUP(C60,'Feuerwaffen-Ressourcen'!$A$2:$AI$54,21,0)+VLOOKUP(D60,'Feuerwaffen-Ressourcen'!$A$2:$AI$54,21,0)+VLOOKUP(F60,'Feuerwaffen-Ressourcen'!$A$2:$AI$54,21,0)+VLOOKUP(G60,'Feuerwaffen-Ressourcen'!$A$2:$AI$54,21,0)+VLOOKUP(I60,'Feuerwaffen-Ressourcen'!$A$2:$AI$54,21,0)+VLOOKUP(J60,'Feuerwaffen-Ressourcen'!$A$2:$AI$54,21,0)</f>
        <v>-19</v>
      </c>
      <c r="V60" s="60">
        <f>VLOOKUP(B60,'Feuerwaffen-Ressourcen'!$A$2:$AI$54,22,0)+VLOOKUP(C60,'Feuerwaffen-Ressourcen'!$A$2:$AI$54,22,0)+VLOOKUP(D60,'Feuerwaffen-Ressourcen'!$A$2:$AI$54,22,0)+VLOOKUP(F60,'Feuerwaffen-Ressourcen'!$A$2:$AI$54,22,0)+VLOOKUP(G60,'Feuerwaffen-Ressourcen'!$A$2:$AI$54,22,0)+VLOOKUP(I60,'Feuerwaffen-Ressourcen'!$A$2:$AI$54,22,0)+VLOOKUP(J60,'Feuerwaffen-Ressourcen'!$A$2:$AI$54,22,0)</f>
        <v>-29</v>
      </c>
      <c r="W60" s="60">
        <f>VLOOKUP(B60,'Feuerwaffen-Ressourcen'!$A$2:$AI$54,23,0)+VLOOKUP(C60,'Feuerwaffen-Ressourcen'!$A$2:$AI$54,23,0)+VLOOKUP(D60,'Feuerwaffen-Ressourcen'!$A$2:$AI$54,23,0)+VLOOKUP(F60,'Feuerwaffen-Ressourcen'!$A$2:$AI$54,23,0)+VLOOKUP(G60,'Feuerwaffen-Ressourcen'!$A$2:$AI$54,23,0)+VLOOKUP(I60,'Feuerwaffen-Ressourcen'!$A$2:$AI$54,23,0)+VLOOKUP(J60,'Feuerwaffen-Ressourcen'!$A$2:$AI$54,23,0)</f>
        <v>-40</v>
      </c>
      <c r="X60" s="60">
        <f>VLOOKUP(B60,'Feuerwaffen-Ressourcen'!$A$2:$AI$54,24,0)+VLOOKUP(C60,'Feuerwaffen-Ressourcen'!$A$2:$AI$54,24,0)+VLOOKUP(D60,'Feuerwaffen-Ressourcen'!$A$2:$AI$54,24,0)+VLOOKUP(G60,'Feuerwaffen-Ressourcen'!$A$2:$AI$54,24,0)</f>
        <v>20</v>
      </c>
      <c r="Y60" s="60">
        <f>VLOOKUP(D60,'Feuerwaffen-Ressourcen'!$A$2:$AI$54,25,0)+VLOOKUP(E60,'Feuerwaffen-Ressourcen'!$A$2:$AI$54,25,0)+VLOOKUP(F60,'Feuerwaffen-Ressourcen'!$A$2:$AI$54,25,0)</f>
        <v>28</v>
      </c>
      <c r="Z60" s="60">
        <f>VLOOKUP(E60,'Feuerwaffen-Ressourcen'!$A$2:$AI$54,26,0)</f>
        <v>3</v>
      </c>
      <c r="AA60" s="60">
        <f>VLOOKUP(B60,'Feuerwaffen-Ressourcen'!$A$2:$AI$54,27,0)+VLOOKUP(D60,'Feuerwaffen-Ressourcen'!$A$2:$AI$54,27,0)+VLOOKUP(F60,'Feuerwaffen-Ressourcen'!$A$2:$AI$54,27,0)+VLOOKUP(I60,'Feuerwaffen-Ressourcen'!$A$2:$AI$54,27,0)</f>
        <v>2</v>
      </c>
      <c r="AB60" s="60">
        <f>VLOOKUP(B60,'Feuerwaffen-Ressourcen'!$A$2:$AI$54,28,0)+VLOOKUP(C60,'Feuerwaffen-Ressourcen'!$A$2:$AI$54,28,0)+VLOOKUP(D60,'Feuerwaffen-Ressourcen'!$A$2:$AI$54,28,0)+VLOOKUP(E60,'Feuerwaffen-Ressourcen'!$A$2:$AI$54,28,0)+VLOOKUP(F60,'Feuerwaffen-Ressourcen'!$A$2:$AI$54,28,0)+VLOOKUP(G60,'Feuerwaffen-Ressourcen'!$A$2:$AI$54,28,0)+VLOOKUP(I60,'Feuerwaffen-Ressourcen'!$A$2:$AI$54,28,0)+VLOOKUP(J60,'Feuerwaffen-Ressourcen'!$A$2:$AI$54,28,0)</f>
        <v>80</v>
      </c>
      <c r="AC60" s="63">
        <f>VLOOKUP(I60,'Feuerwaffen-Ressourcen'!$A$2:$AI$54,31,0)*AD60+AE60</f>
        <v>275.59999999999997</v>
      </c>
      <c r="AD60" s="64">
        <f>VLOOKUP(B60,'Feuerwaffen-Ressourcen'!$A$2:$AI$54,30,0)+VLOOKUP(C60,'Feuerwaffen-Ressourcen'!$A$2:$AI$54,30,0)+VLOOKUP(D60,'Feuerwaffen-Ressourcen'!$A$2:$AI$54,30,0)+VLOOKUP(F60,'Feuerwaffen-Ressourcen'!$A$2:$AI$54,30,0)+VLOOKUP(G60,'Feuerwaffen-Ressourcen'!$A$2:$AI$54,30,0)+VLOOKUP(I60,'Feuerwaffen-Ressourcen'!$A$2:$AI$54,30,0)+VLOOKUP(J60,'Feuerwaffen-Ressourcen'!$A$2:$AI$54,30,0)</f>
        <v>5.1999999999999993</v>
      </c>
      <c r="AE60" s="63">
        <f>(VLOOKUP(C60,'Feuerwaffen-Ressourcen'!$A$2:$AI$54,32,0)+VLOOKUP(I60,'Feuerwaffen-Ressourcen'!$A$2:$AI$54,32,0))*(VLOOKUP(B60,'Feuerwaffen-Ressourcen'!$A$2:$AI$54,34,0)+VLOOKUP(C60,'Feuerwaffen-Ressourcen'!$A$2:$AI$54,34,0)+VLOOKUP(D60,'Feuerwaffen-Ressourcen'!$A$2:$AI$54,34,0)+VLOOKUP(E60,'Feuerwaffen-Ressourcen'!$A$2:$AI$54,34,0)+VLOOKUP(G60,'Feuerwaffen-Ressourcen'!$A$2:$AI$54,34,0))+VLOOKUP(B60,'Feuerwaffen-Ressourcen'!$A$2:$AI$54,35,0)+VLOOKUP(C60,'Feuerwaffen-Ressourcen'!$A$2:$AI$54,35,0)+VLOOKUP(D60,'Feuerwaffen-Ressourcen'!$A$2:$AI$54,35,0)</f>
        <v>254.79999999999995</v>
      </c>
      <c r="AF60" s="65">
        <f>VLOOKUP(AB60,'Feuerwaffen-Ressourcen'!$AO$3:$AP$9,2,1)</f>
        <v>6</v>
      </c>
      <c r="AG60" s="65">
        <v>0</v>
      </c>
    </row>
    <row r="61" spans="1:33">
      <c r="A61" s="59" t="s">
        <v>7179</v>
      </c>
      <c r="B61" s="59" t="s">
        <v>1445</v>
      </c>
      <c r="C61" s="59" t="s">
        <v>7215</v>
      </c>
      <c r="D61" s="59" t="s">
        <v>7236</v>
      </c>
      <c r="E61" s="59" t="s">
        <v>6501</v>
      </c>
      <c r="F61" s="59" t="s">
        <v>7221</v>
      </c>
      <c r="G61" s="59" t="s">
        <v>7217</v>
      </c>
      <c r="H61" s="59" t="s">
        <v>6514</v>
      </c>
      <c r="I61" s="59" t="s">
        <v>5768</v>
      </c>
      <c r="J61" s="59" t="s">
        <v>5748</v>
      </c>
      <c r="K61" s="61">
        <f>VLOOKUP(B61,'Feuerwaffen-Ressourcen'!$A$2:$AI$54,11,0)+VLOOKUP(C61,'Feuerwaffen-Ressourcen'!$A$2:$AI$54,11,0)+VLOOKUP(D61,'Feuerwaffen-Ressourcen'!$A$2:$AI$54,11,0)+VLOOKUP(E61,'Feuerwaffen-Ressourcen'!$A$2:$AI$54,11,0)+VLOOKUP(G61,'Feuerwaffen-Ressourcen'!$A$2:$AI$54,11,0)</f>
        <v>13.8</v>
      </c>
      <c r="L61" s="60">
        <f>VLOOKUP(B61,'Feuerwaffen-Ressourcen'!$A$2:$AI$54,12,0)+VLOOKUP(C61,'Feuerwaffen-Ressourcen'!$A$2:$AI$54,12,0)+VLOOKUP(D61,'Feuerwaffen-Ressourcen'!$A$2:$AI$54,12,0)+VLOOKUP(J61,'Feuerwaffen-Ressourcen'!$A$2:$AI$54,12,0)</f>
        <v>21</v>
      </c>
      <c r="M61" s="60" t="str">
        <f>VLOOKUP(VLOOKUP(B61,'Feuerwaffen-Ressourcen'!$A$2:$AI$54,13,0)+VLOOKUP(C61,'Feuerwaffen-Ressourcen'!$A$2:$AI$54,13,0)+VLOOKUP(D61,'Feuerwaffen-Ressourcen'!$A$2:$AI$54,13,0),'Feuerwaffen-Ressourcen'!$AJ$3:$AK$12,2,0)</f>
        <v>W20</v>
      </c>
      <c r="N61" s="60" t="str">
        <f>VLOOKUP(VLOOKUP(B61,'Feuerwaffen-Ressourcen'!$A$2:$AI$54,14,0)+VLOOKUP(C61,'Feuerwaffen-Ressourcen'!$A$2:$AI$54,14,0)+VLOOKUP(D61,'Feuerwaffen-Ressourcen'!$A$2:$AI$54,14,0),'Feuerwaffen-Ressourcen'!$AJ$3:$AK$12,2,0)</f>
        <v>W20</v>
      </c>
      <c r="O61" s="60">
        <f>VLOOKUP(B61,'Feuerwaffen-Ressourcen'!$A$2:$AI$54,15,0)+VLOOKUP(C61,'Feuerwaffen-Ressourcen'!$A$2:$AI$54,15,0)+VLOOKUP(D61,'Feuerwaffen-Ressourcen'!$A$2:$AI$54,15,0)</f>
        <v>4</v>
      </c>
      <c r="P61" s="60">
        <f>VLOOKUP(B61,'Feuerwaffen-Ressourcen'!$A$2:$AI$54,16,0)+VLOOKUP(C61,'Feuerwaffen-Ressourcen'!$A$2:$AI$54,16,0)+VLOOKUP(D61,'Feuerwaffen-Ressourcen'!$A$2:$AI$54,16,0)+VLOOKUP(E61,'Feuerwaffen-Ressourcen'!$A$2:$AI$54,16,0)</f>
        <v>14</v>
      </c>
      <c r="Q61" s="62">
        <f>VLOOKUP(B61,'Feuerwaffen-Ressourcen'!$A$2:$AI$54,17,0)+VLOOKUP(C61,'Feuerwaffen-Ressourcen'!$A$2:$AI$54,17,0)+VLOOKUP(D61,'Feuerwaffen-Ressourcen'!$A$2:$AI$54,17,0)+VLOOKUP(E61,'Feuerwaffen-Ressourcen'!$A$2:$AI$54,17,0)</f>
        <v>23</v>
      </c>
      <c r="R61" s="60">
        <f>VLOOKUP(B61,'Feuerwaffen-Ressourcen'!$A$2:$AI$54,18,0)+VLOOKUP(C61,'Feuerwaffen-Ressourcen'!$A$2:$AI$54,18,0)+VLOOKUP(D61,'Feuerwaffen-Ressourcen'!$A$2:$AI$54,18,0)+VLOOKUP(F61,'Feuerwaffen-Ressourcen'!$A$2:$AI$54,18,0)+VLOOKUP(G61,'Feuerwaffen-Ressourcen'!$A$2:$AI$54,18,0)+VLOOKUP(I61,'Feuerwaffen-Ressourcen'!$A$2:$AI$54,18,0)+VLOOKUP(J61,'Feuerwaffen-Ressourcen'!$A$2:$AI$54,18,0)</f>
        <v>-3</v>
      </c>
      <c r="S61" s="60">
        <f>VLOOKUP(B61,'Feuerwaffen-Ressourcen'!$A$2:$AI$54,19,0)+VLOOKUP(C61,'Feuerwaffen-Ressourcen'!$A$2:$AI$54,19,0)+VLOOKUP(D61,'Feuerwaffen-Ressourcen'!$A$2:$AI$54,19,0)+VLOOKUP(F61,'Feuerwaffen-Ressourcen'!$A$2:$AI$54,19,0)+VLOOKUP(G61,'Feuerwaffen-Ressourcen'!$A$2:$AI$54,19,0)+VLOOKUP(I61,'Feuerwaffen-Ressourcen'!$A$2:$AI$54,19,0)+VLOOKUP(J61,'Feuerwaffen-Ressourcen'!$A$2:$AI$54,19,0)</f>
        <v>-6</v>
      </c>
      <c r="T61" s="60">
        <f>VLOOKUP(B61,'Feuerwaffen-Ressourcen'!$A$2:$AI$54,20,0)+VLOOKUP(C61,'Feuerwaffen-Ressourcen'!$A$2:$AI$54,20,0)+VLOOKUP(D61,'Feuerwaffen-Ressourcen'!$A$2:$AI$54,20,0)+VLOOKUP(F61,'Feuerwaffen-Ressourcen'!$A$2:$AI$54,20,0)+VLOOKUP(G61,'Feuerwaffen-Ressourcen'!$A$2:$AI$54,20,0)+VLOOKUP(I61,'Feuerwaffen-Ressourcen'!$A$2:$AI$54,20,0)+VLOOKUP(J61,'Feuerwaffen-Ressourcen'!$A$2:$AI$54,20,0)</f>
        <v>-10</v>
      </c>
      <c r="U61" s="60">
        <f>VLOOKUP(B61,'Feuerwaffen-Ressourcen'!$A$2:$AI$54,21,0)+VLOOKUP(C61,'Feuerwaffen-Ressourcen'!$A$2:$AI$54,21,0)+VLOOKUP(D61,'Feuerwaffen-Ressourcen'!$A$2:$AI$54,21,0)+VLOOKUP(F61,'Feuerwaffen-Ressourcen'!$A$2:$AI$54,21,0)+VLOOKUP(G61,'Feuerwaffen-Ressourcen'!$A$2:$AI$54,21,0)+VLOOKUP(I61,'Feuerwaffen-Ressourcen'!$A$2:$AI$54,21,0)+VLOOKUP(J61,'Feuerwaffen-Ressourcen'!$A$2:$AI$54,21,0)</f>
        <v>-16</v>
      </c>
      <c r="V61" s="60">
        <f>VLOOKUP(B61,'Feuerwaffen-Ressourcen'!$A$2:$AI$54,22,0)+VLOOKUP(C61,'Feuerwaffen-Ressourcen'!$A$2:$AI$54,22,0)+VLOOKUP(D61,'Feuerwaffen-Ressourcen'!$A$2:$AI$54,22,0)+VLOOKUP(F61,'Feuerwaffen-Ressourcen'!$A$2:$AI$54,22,0)+VLOOKUP(G61,'Feuerwaffen-Ressourcen'!$A$2:$AI$54,22,0)+VLOOKUP(I61,'Feuerwaffen-Ressourcen'!$A$2:$AI$54,22,0)+VLOOKUP(J61,'Feuerwaffen-Ressourcen'!$A$2:$AI$54,22,0)</f>
        <v>-24</v>
      </c>
      <c r="W61" s="60">
        <f>VLOOKUP(B61,'Feuerwaffen-Ressourcen'!$A$2:$AI$54,23,0)+VLOOKUP(C61,'Feuerwaffen-Ressourcen'!$A$2:$AI$54,23,0)+VLOOKUP(D61,'Feuerwaffen-Ressourcen'!$A$2:$AI$54,23,0)+VLOOKUP(F61,'Feuerwaffen-Ressourcen'!$A$2:$AI$54,23,0)+VLOOKUP(G61,'Feuerwaffen-Ressourcen'!$A$2:$AI$54,23,0)+VLOOKUP(I61,'Feuerwaffen-Ressourcen'!$A$2:$AI$54,23,0)+VLOOKUP(J61,'Feuerwaffen-Ressourcen'!$A$2:$AI$54,23,0)</f>
        <v>-33</v>
      </c>
      <c r="X61" s="60">
        <f>VLOOKUP(B61,'Feuerwaffen-Ressourcen'!$A$2:$AI$54,24,0)+VLOOKUP(C61,'Feuerwaffen-Ressourcen'!$A$2:$AI$54,24,0)+VLOOKUP(D61,'Feuerwaffen-Ressourcen'!$A$2:$AI$54,24,0)+VLOOKUP(G61,'Feuerwaffen-Ressourcen'!$A$2:$AI$54,24,0)</f>
        <v>80</v>
      </c>
      <c r="Y61" s="60">
        <f>VLOOKUP(D61,'Feuerwaffen-Ressourcen'!$A$2:$AI$54,25,0)+VLOOKUP(E61,'Feuerwaffen-Ressourcen'!$A$2:$AI$54,25,0)+VLOOKUP(F61,'Feuerwaffen-Ressourcen'!$A$2:$AI$54,25,0)</f>
        <v>42</v>
      </c>
      <c r="Z61" s="60">
        <f>VLOOKUP(E61,'Feuerwaffen-Ressourcen'!$A$2:$AI$54,26,0)</f>
        <v>3</v>
      </c>
      <c r="AA61" s="60">
        <f>VLOOKUP(B61,'Feuerwaffen-Ressourcen'!$A$2:$AI$54,27,0)+VLOOKUP(D61,'Feuerwaffen-Ressourcen'!$A$2:$AI$54,27,0)+VLOOKUP(F61,'Feuerwaffen-Ressourcen'!$A$2:$AI$54,27,0)+VLOOKUP(I61,'Feuerwaffen-Ressourcen'!$A$2:$AI$54,27,0)</f>
        <v>3</v>
      </c>
      <c r="AB61" s="60">
        <f>VLOOKUP(B61,'Feuerwaffen-Ressourcen'!$A$2:$AI$54,28,0)+VLOOKUP(C61,'Feuerwaffen-Ressourcen'!$A$2:$AI$54,28,0)+VLOOKUP(D61,'Feuerwaffen-Ressourcen'!$A$2:$AI$54,28,0)+VLOOKUP(E61,'Feuerwaffen-Ressourcen'!$A$2:$AI$54,28,0)+VLOOKUP(F61,'Feuerwaffen-Ressourcen'!$A$2:$AI$54,28,0)+VLOOKUP(G61,'Feuerwaffen-Ressourcen'!$A$2:$AI$54,28,0)+VLOOKUP(I61,'Feuerwaffen-Ressourcen'!$A$2:$AI$54,28,0)+VLOOKUP(J61,'Feuerwaffen-Ressourcen'!$A$2:$AI$54,28,0)</f>
        <v>75</v>
      </c>
      <c r="AC61" s="63">
        <f>VLOOKUP(I61,'Feuerwaffen-Ressourcen'!$A$2:$AI$54,31,0)*AD61+AE61</f>
        <v>1351.7</v>
      </c>
      <c r="AD61" s="64">
        <f>VLOOKUP(B61,'Feuerwaffen-Ressourcen'!$A$2:$AI$54,30,0)+VLOOKUP(C61,'Feuerwaffen-Ressourcen'!$A$2:$AI$54,30,0)+VLOOKUP(D61,'Feuerwaffen-Ressourcen'!$A$2:$AI$54,30,0)+VLOOKUP(F61,'Feuerwaffen-Ressourcen'!$A$2:$AI$54,30,0)+VLOOKUP(G61,'Feuerwaffen-Ressourcen'!$A$2:$AI$54,30,0)+VLOOKUP(I61,'Feuerwaffen-Ressourcen'!$A$2:$AI$54,30,0)+VLOOKUP(J61,'Feuerwaffen-Ressourcen'!$A$2:$AI$54,30,0)</f>
        <v>10.199999999999999</v>
      </c>
      <c r="AE61" s="63">
        <f>(VLOOKUP(C61,'Feuerwaffen-Ressourcen'!$A$2:$AI$54,32,0)+VLOOKUP(I61,'Feuerwaffen-Ressourcen'!$A$2:$AI$54,32,0))*(VLOOKUP(B61,'Feuerwaffen-Ressourcen'!$A$2:$AI$54,34,0)+VLOOKUP(C61,'Feuerwaffen-Ressourcen'!$A$2:$AI$54,34,0)+VLOOKUP(D61,'Feuerwaffen-Ressourcen'!$A$2:$AI$54,34,0)+VLOOKUP(E61,'Feuerwaffen-Ressourcen'!$A$2:$AI$54,34,0)+VLOOKUP(G61,'Feuerwaffen-Ressourcen'!$A$2:$AI$54,34,0))+VLOOKUP(B61,'Feuerwaffen-Ressourcen'!$A$2:$AI$54,35,0)+VLOOKUP(C61,'Feuerwaffen-Ressourcen'!$A$2:$AI$54,35,0)+VLOOKUP(D61,'Feuerwaffen-Ressourcen'!$A$2:$AI$54,35,0)</f>
        <v>1310.9</v>
      </c>
      <c r="AF61" s="65">
        <f>VLOOKUP(AB61,'Feuerwaffen-Ressourcen'!$AO$3:$AP$9,2,1)</f>
        <v>6</v>
      </c>
      <c r="AG61" s="65">
        <v>0</v>
      </c>
    </row>
    <row r="62" spans="1:33">
      <c r="A62" s="59" t="s">
        <v>7180</v>
      </c>
      <c r="B62" s="59" t="s">
        <v>1445</v>
      </c>
      <c r="C62" s="59" t="s">
        <v>7215</v>
      </c>
      <c r="D62" s="59" t="s">
        <v>7206</v>
      </c>
      <c r="E62" s="59" t="s">
        <v>6505</v>
      </c>
      <c r="F62" s="59" t="s">
        <v>7223</v>
      </c>
      <c r="G62" s="59" t="s">
        <v>7217</v>
      </c>
      <c r="H62" s="59" t="s">
        <v>7121</v>
      </c>
      <c r="I62" s="59" t="s">
        <v>5768</v>
      </c>
      <c r="J62" s="59" t="s">
        <v>5748</v>
      </c>
      <c r="K62" s="61">
        <f>VLOOKUP(B62,'Feuerwaffen-Ressourcen'!$A$2:$AI$54,11,0)+VLOOKUP(C62,'Feuerwaffen-Ressourcen'!$A$2:$AI$54,11,0)+VLOOKUP(D62,'Feuerwaffen-Ressourcen'!$A$2:$AI$54,11,0)+VLOOKUP(E62,'Feuerwaffen-Ressourcen'!$A$2:$AI$54,11,0)+VLOOKUP(G62,'Feuerwaffen-Ressourcen'!$A$2:$AI$54,11,0)</f>
        <v>5.8999999999999995</v>
      </c>
      <c r="L62" s="60">
        <f>VLOOKUP(B62,'Feuerwaffen-Ressourcen'!$A$2:$AI$54,12,0)+VLOOKUP(C62,'Feuerwaffen-Ressourcen'!$A$2:$AI$54,12,0)+VLOOKUP(D62,'Feuerwaffen-Ressourcen'!$A$2:$AI$54,12,0)+VLOOKUP(J62,'Feuerwaffen-Ressourcen'!$A$2:$AI$54,12,0)</f>
        <v>13</v>
      </c>
      <c r="M62" s="60" t="str">
        <f>VLOOKUP(VLOOKUP(B62,'Feuerwaffen-Ressourcen'!$A$2:$AI$54,13,0)+VLOOKUP(C62,'Feuerwaffen-Ressourcen'!$A$2:$AI$54,13,0)+VLOOKUP(D62,'Feuerwaffen-Ressourcen'!$A$2:$AI$54,13,0),'Feuerwaffen-Ressourcen'!$AJ$3:$AK$12,2,0)</f>
        <v>W12</v>
      </c>
      <c r="N62" s="60" t="str">
        <f>VLOOKUP(VLOOKUP(B62,'Feuerwaffen-Ressourcen'!$A$2:$AI$54,14,0)+VLOOKUP(C62,'Feuerwaffen-Ressourcen'!$A$2:$AI$54,14,0)+VLOOKUP(D62,'Feuerwaffen-Ressourcen'!$A$2:$AI$54,14,0),'Feuerwaffen-Ressourcen'!$AJ$3:$AK$12,2,0)</f>
        <v>W12</v>
      </c>
      <c r="O62" s="60">
        <f>VLOOKUP(B62,'Feuerwaffen-Ressourcen'!$A$2:$AI$54,15,0)+VLOOKUP(C62,'Feuerwaffen-Ressourcen'!$A$2:$AI$54,15,0)+VLOOKUP(D62,'Feuerwaffen-Ressourcen'!$A$2:$AI$54,15,0)</f>
        <v>2</v>
      </c>
      <c r="P62" s="60">
        <f>VLOOKUP(B62,'Feuerwaffen-Ressourcen'!$A$2:$AI$54,16,0)+VLOOKUP(C62,'Feuerwaffen-Ressourcen'!$A$2:$AI$54,16,0)+VLOOKUP(D62,'Feuerwaffen-Ressourcen'!$A$2:$AI$54,16,0)+VLOOKUP(E62,'Feuerwaffen-Ressourcen'!$A$2:$AI$54,16,0)</f>
        <v>10</v>
      </c>
      <c r="Q62" s="62">
        <f>VLOOKUP(B62,'Feuerwaffen-Ressourcen'!$A$2:$AI$54,17,0)+VLOOKUP(C62,'Feuerwaffen-Ressourcen'!$A$2:$AI$54,17,0)+VLOOKUP(D62,'Feuerwaffen-Ressourcen'!$A$2:$AI$54,17,0)+VLOOKUP(E62,'Feuerwaffen-Ressourcen'!$A$2:$AI$54,17,0)</f>
        <v>19</v>
      </c>
      <c r="R62" s="60">
        <f>VLOOKUP(B62,'Feuerwaffen-Ressourcen'!$A$2:$AI$54,18,0)+VLOOKUP(C62,'Feuerwaffen-Ressourcen'!$A$2:$AI$54,18,0)+VLOOKUP(D62,'Feuerwaffen-Ressourcen'!$A$2:$AI$54,18,0)+VLOOKUP(F62,'Feuerwaffen-Ressourcen'!$A$2:$AI$54,18,0)+VLOOKUP(G62,'Feuerwaffen-Ressourcen'!$A$2:$AI$54,18,0)+VLOOKUP(I62,'Feuerwaffen-Ressourcen'!$A$2:$AI$54,18,0)+VLOOKUP(J62,'Feuerwaffen-Ressourcen'!$A$2:$AI$54,18,0)</f>
        <v>5</v>
      </c>
      <c r="S62" s="60">
        <f>VLOOKUP(B62,'Feuerwaffen-Ressourcen'!$A$2:$AI$54,19,0)+VLOOKUP(C62,'Feuerwaffen-Ressourcen'!$A$2:$AI$54,19,0)+VLOOKUP(D62,'Feuerwaffen-Ressourcen'!$A$2:$AI$54,19,0)+VLOOKUP(F62,'Feuerwaffen-Ressourcen'!$A$2:$AI$54,19,0)+VLOOKUP(G62,'Feuerwaffen-Ressourcen'!$A$2:$AI$54,19,0)+VLOOKUP(I62,'Feuerwaffen-Ressourcen'!$A$2:$AI$54,19,0)+VLOOKUP(J62,'Feuerwaffen-Ressourcen'!$A$2:$AI$54,19,0)</f>
        <v>-1</v>
      </c>
      <c r="T62" s="60">
        <f>VLOOKUP(B62,'Feuerwaffen-Ressourcen'!$A$2:$AI$54,20,0)+VLOOKUP(C62,'Feuerwaffen-Ressourcen'!$A$2:$AI$54,20,0)+VLOOKUP(D62,'Feuerwaffen-Ressourcen'!$A$2:$AI$54,20,0)+VLOOKUP(F62,'Feuerwaffen-Ressourcen'!$A$2:$AI$54,20,0)+VLOOKUP(G62,'Feuerwaffen-Ressourcen'!$A$2:$AI$54,20,0)+VLOOKUP(I62,'Feuerwaffen-Ressourcen'!$A$2:$AI$54,20,0)+VLOOKUP(J62,'Feuerwaffen-Ressourcen'!$A$2:$AI$54,20,0)</f>
        <v>-7</v>
      </c>
      <c r="U62" s="60">
        <f>VLOOKUP(B62,'Feuerwaffen-Ressourcen'!$A$2:$AI$54,21,0)+VLOOKUP(C62,'Feuerwaffen-Ressourcen'!$A$2:$AI$54,21,0)+VLOOKUP(D62,'Feuerwaffen-Ressourcen'!$A$2:$AI$54,21,0)+VLOOKUP(F62,'Feuerwaffen-Ressourcen'!$A$2:$AI$54,21,0)+VLOOKUP(G62,'Feuerwaffen-Ressourcen'!$A$2:$AI$54,21,0)+VLOOKUP(I62,'Feuerwaffen-Ressourcen'!$A$2:$AI$54,21,0)+VLOOKUP(J62,'Feuerwaffen-Ressourcen'!$A$2:$AI$54,21,0)</f>
        <v>-14</v>
      </c>
      <c r="V62" s="60">
        <f>VLOOKUP(B62,'Feuerwaffen-Ressourcen'!$A$2:$AI$54,22,0)+VLOOKUP(C62,'Feuerwaffen-Ressourcen'!$A$2:$AI$54,22,0)+VLOOKUP(D62,'Feuerwaffen-Ressourcen'!$A$2:$AI$54,22,0)+VLOOKUP(F62,'Feuerwaffen-Ressourcen'!$A$2:$AI$54,22,0)+VLOOKUP(G62,'Feuerwaffen-Ressourcen'!$A$2:$AI$54,22,0)+VLOOKUP(I62,'Feuerwaffen-Ressourcen'!$A$2:$AI$54,22,0)+VLOOKUP(J62,'Feuerwaffen-Ressourcen'!$A$2:$AI$54,22,0)</f>
        <v>-22</v>
      </c>
      <c r="W62" s="60">
        <f>VLOOKUP(B62,'Feuerwaffen-Ressourcen'!$A$2:$AI$54,23,0)+VLOOKUP(C62,'Feuerwaffen-Ressourcen'!$A$2:$AI$54,23,0)+VLOOKUP(D62,'Feuerwaffen-Ressourcen'!$A$2:$AI$54,23,0)+VLOOKUP(F62,'Feuerwaffen-Ressourcen'!$A$2:$AI$54,23,0)+VLOOKUP(G62,'Feuerwaffen-Ressourcen'!$A$2:$AI$54,23,0)+VLOOKUP(I62,'Feuerwaffen-Ressourcen'!$A$2:$AI$54,23,0)+VLOOKUP(J62,'Feuerwaffen-Ressourcen'!$A$2:$AI$54,23,0)</f>
        <v>-31</v>
      </c>
      <c r="X62" s="60">
        <f>VLOOKUP(B62,'Feuerwaffen-Ressourcen'!$A$2:$AI$54,24,0)+VLOOKUP(C62,'Feuerwaffen-Ressourcen'!$A$2:$AI$54,24,0)+VLOOKUP(D62,'Feuerwaffen-Ressourcen'!$A$2:$AI$54,24,0)+VLOOKUP(G62,'Feuerwaffen-Ressourcen'!$A$2:$AI$54,24,0)</f>
        <v>30</v>
      </c>
      <c r="Y62" s="60">
        <f>VLOOKUP(D62,'Feuerwaffen-Ressourcen'!$A$2:$AI$54,25,0)+VLOOKUP(E62,'Feuerwaffen-Ressourcen'!$A$2:$AI$54,25,0)+VLOOKUP(F62,'Feuerwaffen-Ressourcen'!$A$2:$AI$54,25,0)</f>
        <v>11</v>
      </c>
      <c r="Z62" s="60">
        <f>VLOOKUP(E62,'Feuerwaffen-Ressourcen'!$A$2:$AI$54,26,0)</f>
        <v>6</v>
      </c>
      <c r="AA62" s="60">
        <f>VLOOKUP(B62,'Feuerwaffen-Ressourcen'!$A$2:$AI$54,27,0)+VLOOKUP(D62,'Feuerwaffen-Ressourcen'!$A$2:$AI$54,27,0)+VLOOKUP(F62,'Feuerwaffen-Ressourcen'!$A$2:$AI$54,27,0)+VLOOKUP(I62,'Feuerwaffen-Ressourcen'!$A$2:$AI$54,27,0)</f>
        <v>1</v>
      </c>
      <c r="AB62" s="60">
        <f>VLOOKUP(B62,'Feuerwaffen-Ressourcen'!$A$2:$AI$54,28,0)+VLOOKUP(C62,'Feuerwaffen-Ressourcen'!$A$2:$AI$54,28,0)+VLOOKUP(D62,'Feuerwaffen-Ressourcen'!$A$2:$AI$54,28,0)+VLOOKUP(E62,'Feuerwaffen-Ressourcen'!$A$2:$AI$54,28,0)+VLOOKUP(F62,'Feuerwaffen-Ressourcen'!$A$2:$AI$54,28,0)+VLOOKUP(G62,'Feuerwaffen-Ressourcen'!$A$2:$AI$54,28,0)+VLOOKUP(I62,'Feuerwaffen-Ressourcen'!$A$2:$AI$54,28,0)+VLOOKUP(J62,'Feuerwaffen-Ressourcen'!$A$2:$AI$54,28,0)</f>
        <v>80</v>
      </c>
      <c r="AC62" s="63">
        <f>VLOOKUP(I62,'Feuerwaffen-Ressourcen'!$A$2:$AI$54,31,0)*AD62+AE62</f>
        <v>387.7</v>
      </c>
      <c r="AD62" s="64">
        <f>VLOOKUP(B62,'Feuerwaffen-Ressourcen'!$A$2:$AI$54,30,0)+VLOOKUP(C62,'Feuerwaffen-Ressourcen'!$A$2:$AI$54,30,0)+VLOOKUP(D62,'Feuerwaffen-Ressourcen'!$A$2:$AI$54,30,0)+VLOOKUP(F62,'Feuerwaffen-Ressourcen'!$A$2:$AI$54,30,0)+VLOOKUP(G62,'Feuerwaffen-Ressourcen'!$A$2:$AI$54,30,0)+VLOOKUP(I62,'Feuerwaffen-Ressourcen'!$A$2:$AI$54,30,0)+VLOOKUP(J62,'Feuerwaffen-Ressourcen'!$A$2:$AI$54,30,0)</f>
        <v>6.1999999999999993</v>
      </c>
      <c r="AE62" s="63">
        <f>(VLOOKUP(C62,'Feuerwaffen-Ressourcen'!$A$2:$AI$54,32,0)+VLOOKUP(I62,'Feuerwaffen-Ressourcen'!$A$2:$AI$54,32,0))*(VLOOKUP(B62,'Feuerwaffen-Ressourcen'!$A$2:$AI$54,34,0)+VLOOKUP(C62,'Feuerwaffen-Ressourcen'!$A$2:$AI$54,34,0)+VLOOKUP(D62,'Feuerwaffen-Ressourcen'!$A$2:$AI$54,34,0)+VLOOKUP(E62,'Feuerwaffen-Ressourcen'!$A$2:$AI$54,34,0)+VLOOKUP(G62,'Feuerwaffen-Ressourcen'!$A$2:$AI$54,34,0))+VLOOKUP(B62,'Feuerwaffen-Ressourcen'!$A$2:$AI$54,35,0)+VLOOKUP(C62,'Feuerwaffen-Ressourcen'!$A$2:$AI$54,35,0)+VLOOKUP(D62,'Feuerwaffen-Ressourcen'!$A$2:$AI$54,35,0)</f>
        <v>362.9</v>
      </c>
      <c r="AF62" s="65">
        <f>VLOOKUP(AB62,'Feuerwaffen-Ressourcen'!$AO$3:$AP$9,2,1)</f>
        <v>6</v>
      </c>
      <c r="AG62" s="65">
        <v>0</v>
      </c>
    </row>
    <row r="63" spans="1:33">
      <c r="A63" s="59" t="s">
        <v>7181</v>
      </c>
      <c r="B63" s="59" t="s">
        <v>1445</v>
      </c>
      <c r="C63" s="59" t="s">
        <v>7215</v>
      </c>
      <c r="D63" s="59" t="s">
        <v>7231</v>
      </c>
      <c r="E63" s="59" t="s">
        <v>6501</v>
      </c>
      <c r="F63" s="59" t="s">
        <v>7221</v>
      </c>
      <c r="G63" s="59" t="s">
        <v>7217</v>
      </c>
      <c r="H63" s="59" t="s">
        <v>6514</v>
      </c>
      <c r="I63" s="59" t="s">
        <v>5768</v>
      </c>
      <c r="J63" s="59" t="s">
        <v>5748</v>
      </c>
      <c r="K63" s="61">
        <f>VLOOKUP(B63,'Feuerwaffen-Ressourcen'!$A$2:$AI$54,11,0)+VLOOKUP(C63,'Feuerwaffen-Ressourcen'!$A$2:$AI$54,11,0)+VLOOKUP(D63,'Feuerwaffen-Ressourcen'!$A$2:$AI$54,11,0)+VLOOKUP(E63,'Feuerwaffen-Ressourcen'!$A$2:$AI$54,11,0)+VLOOKUP(G63,'Feuerwaffen-Ressourcen'!$A$2:$AI$54,11,0)</f>
        <v>4.8999999999999995</v>
      </c>
      <c r="L63" s="60">
        <f>VLOOKUP(B63,'Feuerwaffen-Ressourcen'!$A$2:$AI$54,12,0)+VLOOKUP(C63,'Feuerwaffen-Ressourcen'!$A$2:$AI$54,12,0)+VLOOKUP(D63,'Feuerwaffen-Ressourcen'!$A$2:$AI$54,12,0)+VLOOKUP(J63,'Feuerwaffen-Ressourcen'!$A$2:$AI$54,12,0)</f>
        <v>12</v>
      </c>
      <c r="M63" s="60" t="str">
        <f>VLOOKUP(VLOOKUP(B63,'Feuerwaffen-Ressourcen'!$A$2:$AI$54,13,0)+VLOOKUP(C63,'Feuerwaffen-Ressourcen'!$A$2:$AI$54,13,0)+VLOOKUP(D63,'Feuerwaffen-Ressourcen'!$A$2:$AI$54,13,0),'Feuerwaffen-Ressourcen'!$AJ$3:$AK$12,2,0)</f>
        <v>W12</v>
      </c>
      <c r="N63" s="60" t="str">
        <f>VLOOKUP(VLOOKUP(B63,'Feuerwaffen-Ressourcen'!$A$2:$AI$54,14,0)+VLOOKUP(C63,'Feuerwaffen-Ressourcen'!$A$2:$AI$54,14,0)+VLOOKUP(D63,'Feuerwaffen-Ressourcen'!$A$2:$AI$54,14,0),'Feuerwaffen-Ressourcen'!$AJ$3:$AK$12,2,0)</f>
        <v>W12</v>
      </c>
      <c r="O63" s="60">
        <f>VLOOKUP(B63,'Feuerwaffen-Ressourcen'!$A$2:$AI$54,15,0)+VLOOKUP(C63,'Feuerwaffen-Ressourcen'!$A$2:$AI$54,15,0)+VLOOKUP(D63,'Feuerwaffen-Ressourcen'!$A$2:$AI$54,15,0)</f>
        <v>2</v>
      </c>
      <c r="P63" s="60">
        <f>VLOOKUP(B63,'Feuerwaffen-Ressourcen'!$A$2:$AI$54,16,0)+VLOOKUP(C63,'Feuerwaffen-Ressourcen'!$A$2:$AI$54,16,0)+VLOOKUP(D63,'Feuerwaffen-Ressourcen'!$A$2:$AI$54,16,0)+VLOOKUP(E63,'Feuerwaffen-Ressourcen'!$A$2:$AI$54,16,0)</f>
        <v>10</v>
      </c>
      <c r="Q63" s="62">
        <f>VLOOKUP(B63,'Feuerwaffen-Ressourcen'!$A$2:$AI$54,17,0)+VLOOKUP(C63,'Feuerwaffen-Ressourcen'!$A$2:$AI$54,17,0)+VLOOKUP(D63,'Feuerwaffen-Ressourcen'!$A$2:$AI$54,17,0)+VLOOKUP(E63,'Feuerwaffen-Ressourcen'!$A$2:$AI$54,17,0)</f>
        <v>19</v>
      </c>
      <c r="R63" s="60">
        <f>VLOOKUP(B63,'Feuerwaffen-Ressourcen'!$A$2:$AI$54,18,0)+VLOOKUP(C63,'Feuerwaffen-Ressourcen'!$A$2:$AI$54,18,0)+VLOOKUP(D63,'Feuerwaffen-Ressourcen'!$A$2:$AI$54,18,0)+VLOOKUP(F63,'Feuerwaffen-Ressourcen'!$A$2:$AI$54,18,0)+VLOOKUP(G63,'Feuerwaffen-Ressourcen'!$A$2:$AI$54,18,0)+VLOOKUP(I63,'Feuerwaffen-Ressourcen'!$A$2:$AI$54,18,0)+VLOOKUP(J63,'Feuerwaffen-Ressourcen'!$A$2:$AI$54,18,0)</f>
        <v>5</v>
      </c>
      <c r="S63" s="60">
        <f>VLOOKUP(B63,'Feuerwaffen-Ressourcen'!$A$2:$AI$54,19,0)+VLOOKUP(C63,'Feuerwaffen-Ressourcen'!$A$2:$AI$54,19,0)+VLOOKUP(D63,'Feuerwaffen-Ressourcen'!$A$2:$AI$54,19,0)+VLOOKUP(F63,'Feuerwaffen-Ressourcen'!$A$2:$AI$54,19,0)+VLOOKUP(G63,'Feuerwaffen-Ressourcen'!$A$2:$AI$54,19,0)+VLOOKUP(I63,'Feuerwaffen-Ressourcen'!$A$2:$AI$54,19,0)+VLOOKUP(J63,'Feuerwaffen-Ressourcen'!$A$2:$AI$54,19,0)</f>
        <v>-3</v>
      </c>
      <c r="T63" s="60">
        <f>VLOOKUP(B63,'Feuerwaffen-Ressourcen'!$A$2:$AI$54,20,0)+VLOOKUP(C63,'Feuerwaffen-Ressourcen'!$A$2:$AI$54,20,0)+VLOOKUP(D63,'Feuerwaffen-Ressourcen'!$A$2:$AI$54,20,0)+VLOOKUP(F63,'Feuerwaffen-Ressourcen'!$A$2:$AI$54,20,0)+VLOOKUP(G63,'Feuerwaffen-Ressourcen'!$A$2:$AI$54,20,0)+VLOOKUP(I63,'Feuerwaffen-Ressourcen'!$A$2:$AI$54,20,0)+VLOOKUP(J63,'Feuerwaffen-Ressourcen'!$A$2:$AI$54,20,0)</f>
        <v>-11</v>
      </c>
      <c r="U63" s="60">
        <f>VLOOKUP(B63,'Feuerwaffen-Ressourcen'!$A$2:$AI$54,21,0)+VLOOKUP(C63,'Feuerwaffen-Ressourcen'!$A$2:$AI$54,21,0)+VLOOKUP(D63,'Feuerwaffen-Ressourcen'!$A$2:$AI$54,21,0)+VLOOKUP(F63,'Feuerwaffen-Ressourcen'!$A$2:$AI$54,21,0)+VLOOKUP(G63,'Feuerwaffen-Ressourcen'!$A$2:$AI$54,21,0)+VLOOKUP(I63,'Feuerwaffen-Ressourcen'!$A$2:$AI$54,21,0)+VLOOKUP(J63,'Feuerwaffen-Ressourcen'!$A$2:$AI$54,21,0)</f>
        <v>-20</v>
      </c>
      <c r="V63" s="60">
        <f>VLOOKUP(B63,'Feuerwaffen-Ressourcen'!$A$2:$AI$54,22,0)+VLOOKUP(C63,'Feuerwaffen-Ressourcen'!$A$2:$AI$54,22,0)+VLOOKUP(D63,'Feuerwaffen-Ressourcen'!$A$2:$AI$54,22,0)+VLOOKUP(F63,'Feuerwaffen-Ressourcen'!$A$2:$AI$54,22,0)+VLOOKUP(G63,'Feuerwaffen-Ressourcen'!$A$2:$AI$54,22,0)+VLOOKUP(I63,'Feuerwaffen-Ressourcen'!$A$2:$AI$54,22,0)+VLOOKUP(J63,'Feuerwaffen-Ressourcen'!$A$2:$AI$54,22,0)</f>
        <v>-30</v>
      </c>
      <c r="W63" s="60">
        <f>VLOOKUP(B63,'Feuerwaffen-Ressourcen'!$A$2:$AI$54,23,0)+VLOOKUP(C63,'Feuerwaffen-Ressourcen'!$A$2:$AI$54,23,0)+VLOOKUP(D63,'Feuerwaffen-Ressourcen'!$A$2:$AI$54,23,0)+VLOOKUP(F63,'Feuerwaffen-Ressourcen'!$A$2:$AI$54,23,0)+VLOOKUP(G63,'Feuerwaffen-Ressourcen'!$A$2:$AI$54,23,0)+VLOOKUP(I63,'Feuerwaffen-Ressourcen'!$A$2:$AI$54,23,0)+VLOOKUP(J63,'Feuerwaffen-Ressourcen'!$A$2:$AI$54,23,0)</f>
        <v>-41</v>
      </c>
      <c r="X63" s="60">
        <f>VLOOKUP(B63,'Feuerwaffen-Ressourcen'!$A$2:$AI$54,24,0)+VLOOKUP(C63,'Feuerwaffen-Ressourcen'!$A$2:$AI$54,24,0)+VLOOKUP(D63,'Feuerwaffen-Ressourcen'!$A$2:$AI$54,24,0)+VLOOKUP(G63,'Feuerwaffen-Ressourcen'!$A$2:$AI$54,24,0)</f>
        <v>20</v>
      </c>
      <c r="Y63" s="60">
        <f>VLOOKUP(D63,'Feuerwaffen-Ressourcen'!$A$2:$AI$54,25,0)+VLOOKUP(E63,'Feuerwaffen-Ressourcen'!$A$2:$AI$54,25,0)+VLOOKUP(F63,'Feuerwaffen-Ressourcen'!$A$2:$AI$54,25,0)</f>
        <v>29</v>
      </c>
      <c r="Z63" s="60">
        <f>VLOOKUP(E63,'Feuerwaffen-Ressourcen'!$A$2:$AI$54,26,0)</f>
        <v>3</v>
      </c>
      <c r="AA63" s="60">
        <f>VLOOKUP(B63,'Feuerwaffen-Ressourcen'!$A$2:$AI$54,27,0)+VLOOKUP(D63,'Feuerwaffen-Ressourcen'!$A$2:$AI$54,27,0)+VLOOKUP(F63,'Feuerwaffen-Ressourcen'!$A$2:$AI$54,27,0)+VLOOKUP(I63,'Feuerwaffen-Ressourcen'!$A$2:$AI$54,27,0)</f>
        <v>3</v>
      </c>
      <c r="AB63" s="60">
        <f>VLOOKUP(B63,'Feuerwaffen-Ressourcen'!$A$2:$AI$54,28,0)+VLOOKUP(C63,'Feuerwaffen-Ressourcen'!$A$2:$AI$54,28,0)+VLOOKUP(D63,'Feuerwaffen-Ressourcen'!$A$2:$AI$54,28,0)+VLOOKUP(E63,'Feuerwaffen-Ressourcen'!$A$2:$AI$54,28,0)+VLOOKUP(F63,'Feuerwaffen-Ressourcen'!$A$2:$AI$54,28,0)+VLOOKUP(G63,'Feuerwaffen-Ressourcen'!$A$2:$AI$54,28,0)+VLOOKUP(I63,'Feuerwaffen-Ressourcen'!$A$2:$AI$54,28,0)+VLOOKUP(J63,'Feuerwaffen-Ressourcen'!$A$2:$AI$54,28,0)</f>
        <v>90</v>
      </c>
      <c r="AC63" s="63">
        <f>VLOOKUP(I63,'Feuerwaffen-Ressourcen'!$A$2:$AI$54,31,0)*AD63+AE63</f>
        <v>271.59999999999997</v>
      </c>
      <c r="AD63" s="64">
        <f>VLOOKUP(B63,'Feuerwaffen-Ressourcen'!$A$2:$AI$54,30,0)+VLOOKUP(C63,'Feuerwaffen-Ressourcen'!$A$2:$AI$54,30,0)+VLOOKUP(D63,'Feuerwaffen-Ressourcen'!$A$2:$AI$54,30,0)+VLOOKUP(F63,'Feuerwaffen-Ressourcen'!$A$2:$AI$54,30,0)+VLOOKUP(G63,'Feuerwaffen-Ressourcen'!$A$2:$AI$54,30,0)+VLOOKUP(I63,'Feuerwaffen-Ressourcen'!$A$2:$AI$54,30,0)+VLOOKUP(J63,'Feuerwaffen-Ressourcen'!$A$2:$AI$54,30,0)</f>
        <v>4.2</v>
      </c>
      <c r="AE63" s="63">
        <f>(VLOOKUP(C63,'Feuerwaffen-Ressourcen'!$A$2:$AI$54,32,0)+VLOOKUP(I63,'Feuerwaffen-Ressourcen'!$A$2:$AI$54,32,0))*(VLOOKUP(B63,'Feuerwaffen-Ressourcen'!$A$2:$AI$54,34,0)+VLOOKUP(C63,'Feuerwaffen-Ressourcen'!$A$2:$AI$54,34,0)+VLOOKUP(D63,'Feuerwaffen-Ressourcen'!$A$2:$AI$54,34,0)+VLOOKUP(E63,'Feuerwaffen-Ressourcen'!$A$2:$AI$54,34,0)+VLOOKUP(G63,'Feuerwaffen-Ressourcen'!$A$2:$AI$54,34,0))+VLOOKUP(B63,'Feuerwaffen-Ressourcen'!$A$2:$AI$54,35,0)+VLOOKUP(C63,'Feuerwaffen-Ressourcen'!$A$2:$AI$54,35,0)+VLOOKUP(D63,'Feuerwaffen-Ressourcen'!$A$2:$AI$54,35,0)</f>
        <v>254.79999999999995</v>
      </c>
      <c r="AF63" s="65">
        <f>VLOOKUP(AB63,'Feuerwaffen-Ressourcen'!$AO$3:$AP$9,2,1)</f>
        <v>5</v>
      </c>
      <c r="AG63" s="65">
        <v>0</v>
      </c>
    </row>
    <row r="64" spans="1:33">
      <c r="A64" s="59" t="s">
        <v>7182</v>
      </c>
      <c r="B64" s="59" t="s">
        <v>1445</v>
      </c>
      <c r="C64" s="59" t="s">
        <v>7118</v>
      </c>
      <c r="D64" s="59" t="s">
        <v>7220</v>
      </c>
      <c r="E64" s="59" t="s">
        <v>6501</v>
      </c>
      <c r="F64" s="59" t="s">
        <v>7229</v>
      </c>
      <c r="G64" s="59" t="s">
        <v>7217</v>
      </c>
      <c r="H64" s="59" t="s">
        <v>6514</v>
      </c>
      <c r="I64" s="59" t="s">
        <v>5768</v>
      </c>
      <c r="J64" s="59" t="s">
        <v>5748</v>
      </c>
      <c r="K64" s="61">
        <f>VLOOKUP(B64,'Feuerwaffen-Ressourcen'!$A$2:$AI$54,11,0)+VLOOKUP(C64,'Feuerwaffen-Ressourcen'!$A$2:$AI$54,11,0)+VLOOKUP(D64,'Feuerwaffen-Ressourcen'!$A$2:$AI$54,11,0)+VLOOKUP(E64,'Feuerwaffen-Ressourcen'!$A$2:$AI$54,11,0)+VLOOKUP(G64,'Feuerwaffen-Ressourcen'!$A$2:$AI$54,11,0)</f>
        <v>3.55</v>
      </c>
      <c r="L64" s="60">
        <f>VLOOKUP(B64,'Feuerwaffen-Ressourcen'!$A$2:$AI$54,12,0)+VLOOKUP(C64,'Feuerwaffen-Ressourcen'!$A$2:$AI$54,12,0)+VLOOKUP(D64,'Feuerwaffen-Ressourcen'!$A$2:$AI$54,12,0)+VLOOKUP(J64,'Feuerwaffen-Ressourcen'!$A$2:$AI$54,12,0)</f>
        <v>10</v>
      </c>
      <c r="M64" s="60" t="str">
        <f>VLOOKUP(VLOOKUP(B64,'Feuerwaffen-Ressourcen'!$A$2:$AI$54,13,0)+VLOOKUP(C64,'Feuerwaffen-Ressourcen'!$A$2:$AI$54,13,0)+VLOOKUP(D64,'Feuerwaffen-Ressourcen'!$A$2:$AI$54,13,0),'Feuerwaffen-Ressourcen'!$AJ$3:$AK$12,2,0)</f>
        <v>W12</v>
      </c>
      <c r="N64" s="60" t="str">
        <f>VLOOKUP(VLOOKUP(B64,'Feuerwaffen-Ressourcen'!$A$2:$AI$54,14,0)+VLOOKUP(C64,'Feuerwaffen-Ressourcen'!$A$2:$AI$54,14,0)+VLOOKUP(D64,'Feuerwaffen-Ressourcen'!$A$2:$AI$54,14,0),'Feuerwaffen-Ressourcen'!$AJ$3:$AK$12,2,0)</f>
        <v>W12</v>
      </c>
      <c r="O64" s="60">
        <f>VLOOKUP(B64,'Feuerwaffen-Ressourcen'!$A$2:$AI$54,15,0)+VLOOKUP(C64,'Feuerwaffen-Ressourcen'!$A$2:$AI$54,15,0)+VLOOKUP(D64,'Feuerwaffen-Ressourcen'!$A$2:$AI$54,15,0)</f>
        <v>1</v>
      </c>
      <c r="P64" s="60">
        <f>VLOOKUP(B64,'Feuerwaffen-Ressourcen'!$A$2:$AI$54,16,0)+VLOOKUP(C64,'Feuerwaffen-Ressourcen'!$A$2:$AI$54,16,0)+VLOOKUP(D64,'Feuerwaffen-Ressourcen'!$A$2:$AI$54,16,0)+VLOOKUP(E64,'Feuerwaffen-Ressourcen'!$A$2:$AI$54,16,0)</f>
        <v>5</v>
      </c>
      <c r="Q64" s="62">
        <f>VLOOKUP(B64,'Feuerwaffen-Ressourcen'!$A$2:$AI$54,17,0)+VLOOKUP(C64,'Feuerwaffen-Ressourcen'!$A$2:$AI$54,17,0)+VLOOKUP(D64,'Feuerwaffen-Ressourcen'!$A$2:$AI$54,17,0)+VLOOKUP(E64,'Feuerwaffen-Ressourcen'!$A$2:$AI$54,17,0)</f>
        <v>16</v>
      </c>
      <c r="R64" s="60">
        <f>VLOOKUP(B64,'Feuerwaffen-Ressourcen'!$A$2:$AI$54,18,0)+VLOOKUP(C64,'Feuerwaffen-Ressourcen'!$A$2:$AI$54,18,0)+VLOOKUP(D64,'Feuerwaffen-Ressourcen'!$A$2:$AI$54,18,0)+VLOOKUP(F64,'Feuerwaffen-Ressourcen'!$A$2:$AI$54,18,0)+VLOOKUP(G64,'Feuerwaffen-Ressourcen'!$A$2:$AI$54,18,0)+VLOOKUP(I64,'Feuerwaffen-Ressourcen'!$A$2:$AI$54,18,0)+VLOOKUP(J64,'Feuerwaffen-Ressourcen'!$A$2:$AI$54,18,0)</f>
        <v>7</v>
      </c>
      <c r="S64" s="60">
        <f>VLOOKUP(B64,'Feuerwaffen-Ressourcen'!$A$2:$AI$54,19,0)+VLOOKUP(C64,'Feuerwaffen-Ressourcen'!$A$2:$AI$54,19,0)+VLOOKUP(D64,'Feuerwaffen-Ressourcen'!$A$2:$AI$54,19,0)+VLOOKUP(F64,'Feuerwaffen-Ressourcen'!$A$2:$AI$54,19,0)+VLOOKUP(G64,'Feuerwaffen-Ressourcen'!$A$2:$AI$54,19,0)+VLOOKUP(I64,'Feuerwaffen-Ressourcen'!$A$2:$AI$54,19,0)+VLOOKUP(J64,'Feuerwaffen-Ressourcen'!$A$2:$AI$54,19,0)</f>
        <v>-2</v>
      </c>
      <c r="T64" s="60">
        <f>VLOOKUP(B64,'Feuerwaffen-Ressourcen'!$A$2:$AI$54,20,0)+VLOOKUP(C64,'Feuerwaffen-Ressourcen'!$A$2:$AI$54,20,0)+VLOOKUP(D64,'Feuerwaffen-Ressourcen'!$A$2:$AI$54,20,0)+VLOOKUP(F64,'Feuerwaffen-Ressourcen'!$A$2:$AI$54,20,0)+VLOOKUP(G64,'Feuerwaffen-Ressourcen'!$A$2:$AI$54,20,0)+VLOOKUP(I64,'Feuerwaffen-Ressourcen'!$A$2:$AI$54,20,0)+VLOOKUP(J64,'Feuerwaffen-Ressourcen'!$A$2:$AI$54,20,0)</f>
        <v>-13</v>
      </c>
      <c r="U64" s="60">
        <f>VLOOKUP(B64,'Feuerwaffen-Ressourcen'!$A$2:$AI$54,21,0)+VLOOKUP(C64,'Feuerwaffen-Ressourcen'!$A$2:$AI$54,21,0)+VLOOKUP(D64,'Feuerwaffen-Ressourcen'!$A$2:$AI$54,21,0)+VLOOKUP(F64,'Feuerwaffen-Ressourcen'!$A$2:$AI$54,21,0)+VLOOKUP(G64,'Feuerwaffen-Ressourcen'!$A$2:$AI$54,21,0)+VLOOKUP(I64,'Feuerwaffen-Ressourcen'!$A$2:$AI$54,21,0)+VLOOKUP(J64,'Feuerwaffen-Ressourcen'!$A$2:$AI$54,21,0)</f>
        <v>-26</v>
      </c>
      <c r="V64" s="60">
        <f>VLOOKUP(B64,'Feuerwaffen-Ressourcen'!$A$2:$AI$54,22,0)+VLOOKUP(C64,'Feuerwaffen-Ressourcen'!$A$2:$AI$54,22,0)+VLOOKUP(D64,'Feuerwaffen-Ressourcen'!$A$2:$AI$54,22,0)+VLOOKUP(F64,'Feuerwaffen-Ressourcen'!$A$2:$AI$54,22,0)+VLOOKUP(G64,'Feuerwaffen-Ressourcen'!$A$2:$AI$54,22,0)+VLOOKUP(I64,'Feuerwaffen-Ressourcen'!$A$2:$AI$54,22,0)+VLOOKUP(J64,'Feuerwaffen-Ressourcen'!$A$2:$AI$54,22,0)</f>
        <v>-41</v>
      </c>
      <c r="W64" s="60">
        <f>VLOOKUP(B64,'Feuerwaffen-Ressourcen'!$A$2:$AI$54,23,0)+VLOOKUP(C64,'Feuerwaffen-Ressourcen'!$A$2:$AI$54,23,0)+VLOOKUP(D64,'Feuerwaffen-Ressourcen'!$A$2:$AI$54,23,0)+VLOOKUP(F64,'Feuerwaffen-Ressourcen'!$A$2:$AI$54,23,0)+VLOOKUP(G64,'Feuerwaffen-Ressourcen'!$A$2:$AI$54,23,0)+VLOOKUP(I64,'Feuerwaffen-Ressourcen'!$A$2:$AI$54,23,0)+VLOOKUP(J64,'Feuerwaffen-Ressourcen'!$A$2:$AI$54,23,0)</f>
        <v>-58</v>
      </c>
      <c r="X64" s="60">
        <f>VLOOKUP(B64,'Feuerwaffen-Ressourcen'!$A$2:$AI$54,24,0)+VLOOKUP(C64,'Feuerwaffen-Ressourcen'!$A$2:$AI$54,24,0)+VLOOKUP(D64,'Feuerwaffen-Ressourcen'!$A$2:$AI$54,24,0)+VLOOKUP(G64,'Feuerwaffen-Ressourcen'!$A$2:$AI$54,24,0)</f>
        <v>20</v>
      </c>
      <c r="Y64" s="60">
        <f>VLOOKUP(D64,'Feuerwaffen-Ressourcen'!$A$2:$AI$54,25,0)+VLOOKUP(E64,'Feuerwaffen-Ressourcen'!$A$2:$AI$54,25,0)+VLOOKUP(F64,'Feuerwaffen-Ressourcen'!$A$2:$AI$54,25,0)</f>
        <v>29</v>
      </c>
      <c r="Z64" s="60">
        <f>VLOOKUP(E64,'Feuerwaffen-Ressourcen'!$A$2:$AI$54,26,0)</f>
        <v>3</v>
      </c>
      <c r="AA64" s="60">
        <f>VLOOKUP(B64,'Feuerwaffen-Ressourcen'!$A$2:$AI$54,27,0)+VLOOKUP(D64,'Feuerwaffen-Ressourcen'!$A$2:$AI$54,27,0)+VLOOKUP(F64,'Feuerwaffen-Ressourcen'!$A$2:$AI$54,27,0)+VLOOKUP(I64,'Feuerwaffen-Ressourcen'!$A$2:$AI$54,27,0)</f>
        <v>2</v>
      </c>
      <c r="AB64" s="60">
        <f>VLOOKUP(B64,'Feuerwaffen-Ressourcen'!$A$2:$AI$54,28,0)+VLOOKUP(C64,'Feuerwaffen-Ressourcen'!$A$2:$AI$54,28,0)+VLOOKUP(D64,'Feuerwaffen-Ressourcen'!$A$2:$AI$54,28,0)+VLOOKUP(E64,'Feuerwaffen-Ressourcen'!$A$2:$AI$54,28,0)+VLOOKUP(F64,'Feuerwaffen-Ressourcen'!$A$2:$AI$54,28,0)+VLOOKUP(G64,'Feuerwaffen-Ressourcen'!$A$2:$AI$54,28,0)+VLOOKUP(I64,'Feuerwaffen-Ressourcen'!$A$2:$AI$54,28,0)+VLOOKUP(J64,'Feuerwaffen-Ressourcen'!$A$2:$AI$54,28,0)</f>
        <v>90</v>
      </c>
      <c r="AC64" s="63">
        <f>VLOOKUP(I64,'Feuerwaffen-Ressourcen'!$A$2:$AI$54,31,0)*AD64+AE64</f>
        <v>261.55</v>
      </c>
      <c r="AD64" s="64">
        <f>VLOOKUP(B64,'Feuerwaffen-Ressourcen'!$A$2:$AI$54,30,0)+VLOOKUP(C64,'Feuerwaffen-Ressourcen'!$A$2:$AI$54,30,0)+VLOOKUP(D64,'Feuerwaffen-Ressourcen'!$A$2:$AI$54,30,0)+VLOOKUP(F64,'Feuerwaffen-Ressourcen'!$A$2:$AI$54,30,0)+VLOOKUP(G64,'Feuerwaffen-Ressourcen'!$A$2:$AI$54,30,0)+VLOOKUP(I64,'Feuerwaffen-Ressourcen'!$A$2:$AI$54,30,0)+VLOOKUP(J64,'Feuerwaffen-Ressourcen'!$A$2:$AI$54,30,0)</f>
        <v>5</v>
      </c>
      <c r="AE64" s="63">
        <f>(VLOOKUP(C64,'Feuerwaffen-Ressourcen'!$A$2:$AI$54,32,0)+VLOOKUP(I64,'Feuerwaffen-Ressourcen'!$A$2:$AI$54,32,0))*(VLOOKUP(B64,'Feuerwaffen-Ressourcen'!$A$2:$AI$54,34,0)+VLOOKUP(C64,'Feuerwaffen-Ressourcen'!$A$2:$AI$54,34,0)+VLOOKUP(D64,'Feuerwaffen-Ressourcen'!$A$2:$AI$54,34,0)+VLOOKUP(E64,'Feuerwaffen-Ressourcen'!$A$2:$AI$54,34,0)+VLOOKUP(G64,'Feuerwaffen-Ressourcen'!$A$2:$AI$54,34,0))+VLOOKUP(B64,'Feuerwaffen-Ressourcen'!$A$2:$AI$54,35,0)+VLOOKUP(C64,'Feuerwaffen-Ressourcen'!$A$2:$AI$54,35,0)+VLOOKUP(D64,'Feuerwaffen-Ressourcen'!$A$2:$AI$54,35,0)</f>
        <v>241.55</v>
      </c>
      <c r="AF64" s="65">
        <f>VLOOKUP(AB64,'Feuerwaffen-Ressourcen'!$AO$3:$AP$9,2,1)</f>
        <v>5</v>
      </c>
      <c r="AG64" s="65">
        <v>0</v>
      </c>
    </row>
    <row r="65" spans="1:33">
      <c r="A65" s="59" t="s">
        <v>7183</v>
      </c>
      <c r="B65" s="59" t="s">
        <v>1445</v>
      </c>
      <c r="C65" s="59" t="s">
        <v>7118</v>
      </c>
      <c r="D65" s="59" t="s">
        <v>7220</v>
      </c>
      <c r="E65" s="59" t="s">
        <v>6501</v>
      </c>
      <c r="F65" s="59" t="s">
        <v>7221</v>
      </c>
      <c r="G65" s="59" t="s">
        <v>7217</v>
      </c>
      <c r="H65" s="59" t="s">
        <v>6514</v>
      </c>
      <c r="I65" s="59" t="s">
        <v>5768</v>
      </c>
      <c r="J65" s="59" t="s">
        <v>5748</v>
      </c>
      <c r="K65" s="61">
        <f>VLOOKUP(B65,'Feuerwaffen-Ressourcen'!$A$2:$AI$54,11,0)+VLOOKUP(C65,'Feuerwaffen-Ressourcen'!$A$2:$AI$54,11,0)+VLOOKUP(D65,'Feuerwaffen-Ressourcen'!$A$2:$AI$54,11,0)+VLOOKUP(E65,'Feuerwaffen-Ressourcen'!$A$2:$AI$54,11,0)+VLOOKUP(G65,'Feuerwaffen-Ressourcen'!$A$2:$AI$54,11,0)</f>
        <v>3.55</v>
      </c>
      <c r="L65" s="60">
        <f>VLOOKUP(B65,'Feuerwaffen-Ressourcen'!$A$2:$AI$54,12,0)+VLOOKUP(C65,'Feuerwaffen-Ressourcen'!$A$2:$AI$54,12,0)+VLOOKUP(D65,'Feuerwaffen-Ressourcen'!$A$2:$AI$54,12,0)+VLOOKUP(J65,'Feuerwaffen-Ressourcen'!$A$2:$AI$54,12,0)</f>
        <v>10</v>
      </c>
      <c r="M65" s="60" t="str">
        <f>VLOOKUP(VLOOKUP(B65,'Feuerwaffen-Ressourcen'!$A$2:$AI$54,13,0)+VLOOKUP(C65,'Feuerwaffen-Ressourcen'!$A$2:$AI$54,13,0)+VLOOKUP(D65,'Feuerwaffen-Ressourcen'!$A$2:$AI$54,13,0),'Feuerwaffen-Ressourcen'!$AJ$3:$AK$12,2,0)</f>
        <v>W12</v>
      </c>
      <c r="N65" s="60" t="str">
        <f>VLOOKUP(VLOOKUP(B65,'Feuerwaffen-Ressourcen'!$A$2:$AI$54,14,0)+VLOOKUP(C65,'Feuerwaffen-Ressourcen'!$A$2:$AI$54,14,0)+VLOOKUP(D65,'Feuerwaffen-Ressourcen'!$A$2:$AI$54,14,0),'Feuerwaffen-Ressourcen'!$AJ$3:$AK$12,2,0)</f>
        <v>W12</v>
      </c>
      <c r="O65" s="60">
        <f>VLOOKUP(B65,'Feuerwaffen-Ressourcen'!$A$2:$AI$54,15,0)+VLOOKUP(C65,'Feuerwaffen-Ressourcen'!$A$2:$AI$54,15,0)+VLOOKUP(D65,'Feuerwaffen-Ressourcen'!$A$2:$AI$54,15,0)</f>
        <v>1</v>
      </c>
      <c r="P65" s="60">
        <f>VLOOKUP(B65,'Feuerwaffen-Ressourcen'!$A$2:$AI$54,16,0)+VLOOKUP(C65,'Feuerwaffen-Ressourcen'!$A$2:$AI$54,16,0)+VLOOKUP(D65,'Feuerwaffen-Ressourcen'!$A$2:$AI$54,16,0)+VLOOKUP(E65,'Feuerwaffen-Ressourcen'!$A$2:$AI$54,16,0)</f>
        <v>5</v>
      </c>
      <c r="Q65" s="62">
        <f>VLOOKUP(B65,'Feuerwaffen-Ressourcen'!$A$2:$AI$54,17,0)+VLOOKUP(C65,'Feuerwaffen-Ressourcen'!$A$2:$AI$54,17,0)+VLOOKUP(D65,'Feuerwaffen-Ressourcen'!$A$2:$AI$54,17,0)+VLOOKUP(E65,'Feuerwaffen-Ressourcen'!$A$2:$AI$54,17,0)</f>
        <v>16</v>
      </c>
      <c r="R65" s="60">
        <f>VLOOKUP(B65,'Feuerwaffen-Ressourcen'!$A$2:$AI$54,18,0)+VLOOKUP(C65,'Feuerwaffen-Ressourcen'!$A$2:$AI$54,18,0)+VLOOKUP(D65,'Feuerwaffen-Ressourcen'!$A$2:$AI$54,18,0)+VLOOKUP(F65,'Feuerwaffen-Ressourcen'!$A$2:$AI$54,18,0)+VLOOKUP(G65,'Feuerwaffen-Ressourcen'!$A$2:$AI$54,18,0)+VLOOKUP(I65,'Feuerwaffen-Ressourcen'!$A$2:$AI$54,18,0)+VLOOKUP(J65,'Feuerwaffen-Ressourcen'!$A$2:$AI$54,18,0)</f>
        <v>6</v>
      </c>
      <c r="S65" s="60">
        <f>VLOOKUP(B65,'Feuerwaffen-Ressourcen'!$A$2:$AI$54,19,0)+VLOOKUP(C65,'Feuerwaffen-Ressourcen'!$A$2:$AI$54,19,0)+VLOOKUP(D65,'Feuerwaffen-Ressourcen'!$A$2:$AI$54,19,0)+VLOOKUP(F65,'Feuerwaffen-Ressourcen'!$A$2:$AI$54,19,0)+VLOOKUP(G65,'Feuerwaffen-Ressourcen'!$A$2:$AI$54,19,0)+VLOOKUP(I65,'Feuerwaffen-Ressourcen'!$A$2:$AI$54,19,0)+VLOOKUP(J65,'Feuerwaffen-Ressourcen'!$A$2:$AI$54,19,0)</f>
        <v>-3</v>
      </c>
      <c r="T65" s="60">
        <f>VLOOKUP(B65,'Feuerwaffen-Ressourcen'!$A$2:$AI$54,20,0)+VLOOKUP(C65,'Feuerwaffen-Ressourcen'!$A$2:$AI$54,20,0)+VLOOKUP(D65,'Feuerwaffen-Ressourcen'!$A$2:$AI$54,20,0)+VLOOKUP(F65,'Feuerwaffen-Ressourcen'!$A$2:$AI$54,20,0)+VLOOKUP(G65,'Feuerwaffen-Ressourcen'!$A$2:$AI$54,20,0)+VLOOKUP(I65,'Feuerwaffen-Ressourcen'!$A$2:$AI$54,20,0)+VLOOKUP(J65,'Feuerwaffen-Ressourcen'!$A$2:$AI$54,20,0)</f>
        <v>-14</v>
      </c>
      <c r="U65" s="60">
        <f>VLOOKUP(B65,'Feuerwaffen-Ressourcen'!$A$2:$AI$54,21,0)+VLOOKUP(C65,'Feuerwaffen-Ressourcen'!$A$2:$AI$54,21,0)+VLOOKUP(D65,'Feuerwaffen-Ressourcen'!$A$2:$AI$54,21,0)+VLOOKUP(F65,'Feuerwaffen-Ressourcen'!$A$2:$AI$54,21,0)+VLOOKUP(G65,'Feuerwaffen-Ressourcen'!$A$2:$AI$54,21,0)+VLOOKUP(I65,'Feuerwaffen-Ressourcen'!$A$2:$AI$54,21,0)+VLOOKUP(J65,'Feuerwaffen-Ressourcen'!$A$2:$AI$54,21,0)</f>
        <v>-27</v>
      </c>
      <c r="V65" s="60">
        <f>VLOOKUP(B65,'Feuerwaffen-Ressourcen'!$A$2:$AI$54,22,0)+VLOOKUP(C65,'Feuerwaffen-Ressourcen'!$A$2:$AI$54,22,0)+VLOOKUP(D65,'Feuerwaffen-Ressourcen'!$A$2:$AI$54,22,0)+VLOOKUP(F65,'Feuerwaffen-Ressourcen'!$A$2:$AI$54,22,0)+VLOOKUP(G65,'Feuerwaffen-Ressourcen'!$A$2:$AI$54,22,0)+VLOOKUP(I65,'Feuerwaffen-Ressourcen'!$A$2:$AI$54,22,0)+VLOOKUP(J65,'Feuerwaffen-Ressourcen'!$A$2:$AI$54,22,0)</f>
        <v>-42</v>
      </c>
      <c r="W65" s="60">
        <f>VLOOKUP(B65,'Feuerwaffen-Ressourcen'!$A$2:$AI$54,23,0)+VLOOKUP(C65,'Feuerwaffen-Ressourcen'!$A$2:$AI$54,23,0)+VLOOKUP(D65,'Feuerwaffen-Ressourcen'!$A$2:$AI$54,23,0)+VLOOKUP(F65,'Feuerwaffen-Ressourcen'!$A$2:$AI$54,23,0)+VLOOKUP(G65,'Feuerwaffen-Ressourcen'!$A$2:$AI$54,23,0)+VLOOKUP(I65,'Feuerwaffen-Ressourcen'!$A$2:$AI$54,23,0)+VLOOKUP(J65,'Feuerwaffen-Ressourcen'!$A$2:$AI$54,23,0)</f>
        <v>-59</v>
      </c>
      <c r="X65" s="60">
        <f>VLOOKUP(B65,'Feuerwaffen-Ressourcen'!$A$2:$AI$54,24,0)+VLOOKUP(C65,'Feuerwaffen-Ressourcen'!$A$2:$AI$54,24,0)+VLOOKUP(D65,'Feuerwaffen-Ressourcen'!$A$2:$AI$54,24,0)+VLOOKUP(G65,'Feuerwaffen-Ressourcen'!$A$2:$AI$54,24,0)</f>
        <v>20</v>
      </c>
      <c r="Y65" s="60">
        <f>VLOOKUP(D65,'Feuerwaffen-Ressourcen'!$A$2:$AI$54,25,0)+VLOOKUP(E65,'Feuerwaffen-Ressourcen'!$A$2:$AI$54,25,0)+VLOOKUP(F65,'Feuerwaffen-Ressourcen'!$A$2:$AI$54,25,0)</f>
        <v>30</v>
      </c>
      <c r="Z65" s="60">
        <f>VLOOKUP(E65,'Feuerwaffen-Ressourcen'!$A$2:$AI$54,26,0)</f>
        <v>3</v>
      </c>
      <c r="AA65" s="60">
        <f>VLOOKUP(B65,'Feuerwaffen-Ressourcen'!$A$2:$AI$54,27,0)+VLOOKUP(D65,'Feuerwaffen-Ressourcen'!$A$2:$AI$54,27,0)+VLOOKUP(F65,'Feuerwaffen-Ressourcen'!$A$2:$AI$54,27,0)+VLOOKUP(I65,'Feuerwaffen-Ressourcen'!$A$2:$AI$54,27,0)</f>
        <v>3</v>
      </c>
      <c r="AB65" s="60">
        <f>VLOOKUP(B65,'Feuerwaffen-Ressourcen'!$A$2:$AI$54,28,0)+VLOOKUP(C65,'Feuerwaffen-Ressourcen'!$A$2:$AI$54,28,0)+VLOOKUP(D65,'Feuerwaffen-Ressourcen'!$A$2:$AI$54,28,0)+VLOOKUP(E65,'Feuerwaffen-Ressourcen'!$A$2:$AI$54,28,0)+VLOOKUP(F65,'Feuerwaffen-Ressourcen'!$A$2:$AI$54,28,0)+VLOOKUP(G65,'Feuerwaffen-Ressourcen'!$A$2:$AI$54,28,0)+VLOOKUP(I65,'Feuerwaffen-Ressourcen'!$A$2:$AI$54,28,0)+VLOOKUP(J65,'Feuerwaffen-Ressourcen'!$A$2:$AI$54,28,0)</f>
        <v>100</v>
      </c>
      <c r="AC65" s="63">
        <f>VLOOKUP(I65,'Feuerwaffen-Ressourcen'!$A$2:$AI$54,31,0)*AD65+AE65</f>
        <v>257.55</v>
      </c>
      <c r="AD65" s="64">
        <f>VLOOKUP(B65,'Feuerwaffen-Ressourcen'!$A$2:$AI$54,30,0)+VLOOKUP(C65,'Feuerwaffen-Ressourcen'!$A$2:$AI$54,30,0)+VLOOKUP(D65,'Feuerwaffen-Ressourcen'!$A$2:$AI$54,30,0)+VLOOKUP(F65,'Feuerwaffen-Ressourcen'!$A$2:$AI$54,30,0)+VLOOKUP(G65,'Feuerwaffen-Ressourcen'!$A$2:$AI$54,30,0)+VLOOKUP(I65,'Feuerwaffen-Ressourcen'!$A$2:$AI$54,30,0)+VLOOKUP(J65,'Feuerwaffen-Ressourcen'!$A$2:$AI$54,30,0)</f>
        <v>4</v>
      </c>
      <c r="AE65" s="63">
        <f>(VLOOKUP(C65,'Feuerwaffen-Ressourcen'!$A$2:$AI$54,32,0)+VLOOKUP(I65,'Feuerwaffen-Ressourcen'!$A$2:$AI$54,32,0))*(VLOOKUP(B65,'Feuerwaffen-Ressourcen'!$A$2:$AI$54,34,0)+VLOOKUP(C65,'Feuerwaffen-Ressourcen'!$A$2:$AI$54,34,0)+VLOOKUP(D65,'Feuerwaffen-Ressourcen'!$A$2:$AI$54,34,0)+VLOOKUP(E65,'Feuerwaffen-Ressourcen'!$A$2:$AI$54,34,0)+VLOOKUP(G65,'Feuerwaffen-Ressourcen'!$A$2:$AI$54,34,0))+VLOOKUP(B65,'Feuerwaffen-Ressourcen'!$A$2:$AI$54,35,0)+VLOOKUP(C65,'Feuerwaffen-Ressourcen'!$A$2:$AI$54,35,0)+VLOOKUP(D65,'Feuerwaffen-Ressourcen'!$A$2:$AI$54,35,0)</f>
        <v>241.55</v>
      </c>
      <c r="AF65" s="65">
        <f>VLOOKUP(AB65,'Feuerwaffen-Ressourcen'!$AO$3:$AP$9,2,1)</f>
        <v>5</v>
      </c>
      <c r="AG65" s="65">
        <v>0</v>
      </c>
    </row>
    <row r="66" spans="1:33">
      <c r="A66" s="59" t="s">
        <v>7184</v>
      </c>
      <c r="B66" s="59" t="s">
        <v>1445</v>
      </c>
      <c r="C66" s="59" t="s">
        <v>7118</v>
      </c>
      <c r="D66" s="59" t="s">
        <v>7220</v>
      </c>
      <c r="E66" s="59" t="s">
        <v>7123</v>
      </c>
      <c r="F66" s="59" t="s">
        <v>7224</v>
      </c>
      <c r="G66" s="59" t="s">
        <v>7225</v>
      </c>
      <c r="H66" s="59" t="s">
        <v>7124</v>
      </c>
      <c r="I66" s="59" t="s">
        <v>5768</v>
      </c>
      <c r="J66" s="59" t="s">
        <v>5748</v>
      </c>
      <c r="K66" s="61">
        <f>VLOOKUP(B66,'Feuerwaffen-Ressourcen'!$A$2:$AI$54,11,0)+VLOOKUP(C66,'Feuerwaffen-Ressourcen'!$A$2:$AI$54,11,0)+VLOOKUP(D66,'Feuerwaffen-Ressourcen'!$A$2:$AI$54,11,0)+VLOOKUP(E66,'Feuerwaffen-Ressourcen'!$A$2:$AI$54,11,0)+VLOOKUP(G66,'Feuerwaffen-Ressourcen'!$A$2:$AI$54,11,0)</f>
        <v>3.8</v>
      </c>
      <c r="L66" s="60">
        <f>VLOOKUP(B66,'Feuerwaffen-Ressourcen'!$A$2:$AI$54,12,0)+VLOOKUP(C66,'Feuerwaffen-Ressourcen'!$A$2:$AI$54,12,0)+VLOOKUP(D66,'Feuerwaffen-Ressourcen'!$A$2:$AI$54,12,0)+VLOOKUP(J66,'Feuerwaffen-Ressourcen'!$A$2:$AI$54,12,0)</f>
        <v>10</v>
      </c>
      <c r="M66" s="60" t="str">
        <f>VLOOKUP(VLOOKUP(B66,'Feuerwaffen-Ressourcen'!$A$2:$AI$54,13,0)+VLOOKUP(C66,'Feuerwaffen-Ressourcen'!$A$2:$AI$54,13,0)+VLOOKUP(D66,'Feuerwaffen-Ressourcen'!$A$2:$AI$54,13,0),'Feuerwaffen-Ressourcen'!$AJ$3:$AK$12,2,0)</f>
        <v>W12</v>
      </c>
      <c r="N66" s="60" t="str">
        <f>VLOOKUP(VLOOKUP(B66,'Feuerwaffen-Ressourcen'!$A$2:$AI$54,14,0)+VLOOKUP(C66,'Feuerwaffen-Ressourcen'!$A$2:$AI$54,14,0)+VLOOKUP(D66,'Feuerwaffen-Ressourcen'!$A$2:$AI$54,14,0),'Feuerwaffen-Ressourcen'!$AJ$3:$AK$12,2,0)</f>
        <v>W12</v>
      </c>
      <c r="O66" s="60">
        <f>VLOOKUP(B66,'Feuerwaffen-Ressourcen'!$A$2:$AI$54,15,0)+VLOOKUP(C66,'Feuerwaffen-Ressourcen'!$A$2:$AI$54,15,0)+VLOOKUP(D66,'Feuerwaffen-Ressourcen'!$A$2:$AI$54,15,0)</f>
        <v>1</v>
      </c>
      <c r="P66" s="60">
        <f>VLOOKUP(B66,'Feuerwaffen-Ressourcen'!$A$2:$AI$54,16,0)+VLOOKUP(C66,'Feuerwaffen-Ressourcen'!$A$2:$AI$54,16,0)+VLOOKUP(D66,'Feuerwaffen-Ressourcen'!$A$2:$AI$54,16,0)+VLOOKUP(E66,'Feuerwaffen-Ressourcen'!$A$2:$AI$54,16,0)</f>
        <v>11</v>
      </c>
      <c r="Q66" s="62">
        <f>VLOOKUP(B66,'Feuerwaffen-Ressourcen'!$A$2:$AI$54,17,0)+VLOOKUP(C66,'Feuerwaffen-Ressourcen'!$A$2:$AI$54,17,0)+VLOOKUP(D66,'Feuerwaffen-Ressourcen'!$A$2:$AI$54,17,0)+VLOOKUP(E66,'Feuerwaffen-Ressourcen'!$A$2:$AI$54,17,0)</f>
        <v>10</v>
      </c>
      <c r="R66" s="60">
        <f>VLOOKUP(B66,'Feuerwaffen-Ressourcen'!$A$2:$AI$54,18,0)+VLOOKUP(C66,'Feuerwaffen-Ressourcen'!$A$2:$AI$54,18,0)+VLOOKUP(D66,'Feuerwaffen-Ressourcen'!$A$2:$AI$54,18,0)+VLOOKUP(F66,'Feuerwaffen-Ressourcen'!$A$2:$AI$54,18,0)+VLOOKUP(G66,'Feuerwaffen-Ressourcen'!$A$2:$AI$54,18,0)+VLOOKUP(I66,'Feuerwaffen-Ressourcen'!$A$2:$AI$54,18,0)+VLOOKUP(J66,'Feuerwaffen-Ressourcen'!$A$2:$AI$54,18,0)</f>
        <v>10</v>
      </c>
      <c r="S66" s="60">
        <f>VLOOKUP(B66,'Feuerwaffen-Ressourcen'!$A$2:$AI$54,19,0)+VLOOKUP(C66,'Feuerwaffen-Ressourcen'!$A$2:$AI$54,19,0)+VLOOKUP(D66,'Feuerwaffen-Ressourcen'!$A$2:$AI$54,19,0)+VLOOKUP(F66,'Feuerwaffen-Ressourcen'!$A$2:$AI$54,19,0)+VLOOKUP(G66,'Feuerwaffen-Ressourcen'!$A$2:$AI$54,19,0)+VLOOKUP(I66,'Feuerwaffen-Ressourcen'!$A$2:$AI$54,19,0)+VLOOKUP(J66,'Feuerwaffen-Ressourcen'!$A$2:$AI$54,19,0)</f>
        <v>2</v>
      </c>
      <c r="T66" s="60">
        <f>VLOOKUP(B66,'Feuerwaffen-Ressourcen'!$A$2:$AI$54,20,0)+VLOOKUP(C66,'Feuerwaffen-Ressourcen'!$A$2:$AI$54,20,0)+VLOOKUP(D66,'Feuerwaffen-Ressourcen'!$A$2:$AI$54,20,0)+VLOOKUP(F66,'Feuerwaffen-Ressourcen'!$A$2:$AI$54,20,0)+VLOOKUP(G66,'Feuerwaffen-Ressourcen'!$A$2:$AI$54,20,0)+VLOOKUP(I66,'Feuerwaffen-Ressourcen'!$A$2:$AI$54,20,0)+VLOOKUP(J66,'Feuerwaffen-Ressourcen'!$A$2:$AI$54,20,0)</f>
        <v>-9</v>
      </c>
      <c r="U66" s="60">
        <f>VLOOKUP(B66,'Feuerwaffen-Ressourcen'!$A$2:$AI$54,21,0)+VLOOKUP(C66,'Feuerwaffen-Ressourcen'!$A$2:$AI$54,21,0)+VLOOKUP(D66,'Feuerwaffen-Ressourcen'!$A$2:$AI$54,21,0)+VLOOKUP(F66,'Feuerwaffen-Ressourcen'!$A$2:$AI$54,21,0)+VLOOKUP(G66,'Feuerwaffen-Ressourcen'!$A$2:$AI$54,21,0)+VLOOKUP(I66,'Feuerwaffen-Ressourcen'!$A$2:$AI$54,21,0)+VLOOKUP(J66,'Feuerwaffen-Ressourcen'!$A$2:$AI$54,21,0)</f>
        <v>-23</v>
      </c>
      <c r="V66" s="60">
        <f>VLOOKUP(B66,'Feuerwaffen-Ressourcen'!$A$2:$AI$54,22,0)+VLOOKUP(C66,'Feuerwaffen-Ressourcen'!$A$2:$AI$54,22,0)+VLOOKUP(D66,'Feuerwaffen-Ressourcen'!$A$2:$AI$54,22,0)+VLOOKUP(F66,'Feuerwaffen-Ressourcen'!$A$2:$AI$54,22,0)+VLOOKUP(G66,'Feuerwaffen-Ressourcen'!$A$2:$AI$54,22,0)+VLOOKUP(I66,'Feuerwaffen-Ressourcen'!$A$2:$AI$54,22,0)+VLOOKUP(J66,'Feuerwaffen-Ressourcen'!$A$2:$AI$54,22,0)</f>
        <v>-39</v>
      </c>
      <c r="W66" s="60">
        <f>VLOOKUP(B66,'Feuerwaffen-Ressourcen'!$A$2:$AI$54,23,0)+VLOOKUP(C66,'Feuerwaffen-Ressourcen'!$A$2:$AI$54,23,0)+VLOOKUP(D66,'Feuerwaffen-Ressourcen'!$A$2:$AI$54,23,0)+VLOOKUP(F66,'Feuerwaffen-Ressourcen'!$A$2:$AI$54,23,0)+VLOOKUP(G66,'Feuerwaffen-Ressourcen'!$A$2:$AI$54,23,0)+VLOOKUP(I66,'Feuerwaffen-Ressourcen'!$A$2:$AI$54,23,0)+VLOOKUP(J66,'Feuerwaffen-Ressourcen'!$A$2:$AI$54,23,0)</f>
        <v>-56</v>
      </c>
      <c r="X66" s="60">
        <f>VLOOKUP(B66,'Feuerwaffen-Ressourcen'!$A$2:$AI$54,24,0)+VLOOKUP(C66,'Feuerwaffen-Ressourcen'!$A$2:$AI$54,24,0)+VLOOKUP(D66,'Feuerwaffen-Ressourcen'!$A$2:$AI$54,24,0)+VLOOKUP(G66,'Feuerwaffen-Ressourcen'!$A$2:$AI$54,24,0)</f>
        <v>50</v>
      </c>
      <c r="Y66" s="60">
        <f>VLOOKUP(D66,'Feuerwaffen-Ressourcen'!$A$2:$AI$54,25,0)+VLOOKUP(E66,'Feuerwaffen-Ressourcen'!$A$2:$AI$54,25,0)+VLOOKUP(F66,'Feuerwaffen-Ressourcen'!$A$2:$AI$54,25,0)</f>
        <v>9</v>
      </c>
      <c r="Z66" s="60">
        <f>VLOOKUP(E66,'Feuerwaffen-Ressourcen'!$A$2:$AI$54,26,0)</f>
        <v>6</v>
      </c>
      <c r="AA66" s="60">
        <f>VLOOKUP(B66,'Feuerwaffen-Ressourcen'!$A$2:$AI$54,27,0)+VLOOKUP(D66,'Feuerwaffen-Ressourcen'!$A$2:$AI$54,27,0)+VLOOKUP(F66,'Feuerwaffen-Ressourcen'!$A$2:$AI$54,27,0)+VLOOKUP(I66,'Feuerwaffen-Ressourcen'!$A$2:$AI$54,27,0)</f>
        <v>0</v>
      </c>
      <c r="AB66" s="60">
        <f>VLOOKUP(B66,'Feuerwaffen-Ressourcen'!$A$2:$AI$54,28,0)+VLOOKUP(C66,'Feuerwaffen-Ressourcen'!$A$2:$AI$54,28,0)+VLOOKUP(D66,'Feuerwaffen-Ressourcen'!$A$2:$AI$54,28,0)+VLOOKUP(E66,'Feuerwaffen-Ressourcen'!$A$2:$AI$54,28,0)+VLOOKUP(F66,'Feuerwaffen-Ressourcen'!$A$2:$AI$54,28,0)+VLOOKUP(G66,'Feuerwaffen-Ressourcen'!$A$2:$AI$54,28,0)+VLOOKUP(I66,'Feuerwaffen-Ressourcen'!$A$2:$AI$54,28,0)+VLOOKUP(J66,'Feuerwaffen-Ressourcen'!$A$2:$AI$54,28,0)</f>
        <v>50</v>
      </c>
      <c r="AC66" s="63">
        <f>VLOOKUP(I66,'Feuerwaffen-Ressourcen'!$A$2:$AI$54,31,0)*AD66+AE66</f>
        <v>305.55</v>
      </c>
      <c r="AD66" s="64">
        <f>VLOOKUP(B66,'Feuerwaffen-Ressourcen'!$A$2:$AI$54,30,0)+VLOOKUP(C66,'Feuerwaffen-Ressourcen'!$A$2:$AI$54,30,0)+VLOOKUP(D66,'Feuerwaffen-Ressourcen'!$A$2:$AI$54,30,0)+VLOOKUP(F66,'Feuerwaffen-Ressourcen'!$A$2:$AI$54,30,0)+VLOOKUP(G66,'Feuerwaffen-Ressourcen'!$A$2:$AI$54,30,0)+VLOOKUP(I66,'Feuerwaffen-Ressourcen'!$A$2:$AI$54,30,0)+VLOOKUP(J66,'Feuerwaffen-Ressourcen'!$A$2:$AI$54,30,0)</f>
        <v>8.5</v>
      </c>
      <c r="AE66" s="63">
        <f>(VLOOKUP(C66,'Feuerwaffen-Ressourcen'!$A$2:$AI$54,32,0)+VLOOKUP(I66,'Feuerwaffen-Ressourcen'!$A$2:$AI$54,32,0))*(VLOOKUP(B66,'Feuerwaffen-Ressourcen'!$A$2:$AI$54,34,0)+VLOOKUP(C66,'Feuerwaffen-Ressourcen'!$A$2:$AI$54,34,0)+VLOOKUP(D66,'Feuerwaffen-Ressourcen'!$A$2:$AI$54,34,0)+VLOOKUP(E66,'Feuerwaffen-Ressourcen'!$A$2:$AI$54,34,0)+VLOOKUP(G66,'Feuerwaffen-Ressourcen'!$A$2:$AI$54,34,0))+VLOOKUP(B66,'Feuerwaffen-Ressourcen'!$A$2:$AI$54,35,0)+VLOOKUP(C66,'Feuerwaffen-Ressourcen'!$A$2:$AI$54,35,0)+VLOOKUP(D66,'Feuerwaffen-Ressourcen'!$A$2:$AI$54,35,0)</f>
        <v>271.55</v>
      </c>
      <c r="AF66" s="65">
        <f>VLOOKUP(AB66,'Feuerwaffen-Ressourcen'!$AO$3:$AP$9,2,1)</f>
        <v>7</v>
      </c>
      <c r="AG66" s="65">
        <v>0</v>
      </c>
    </row>
    <row r="67" spans="1:33">
      <c r="A67" s="59" t="s">
        <v>7185</v>
      </c>
      <c r="B67" s="59" t="s">
        <v>1445</v>
      </c>
      <c r="C67" s="59" t="s">
        <v>7118</v>
      </c>
      <c r="D67" s="59" t="s">
        <v>7226</v>
      </c>
      <c r="E67" s="59" t="s">
        <v>6501</v>
      </c>
      <c r="F67" s="59" t="s">
        <v>7229</v>
      </c>
      <c r="G67" s="59" t="s">
        <v>7217</v>
      </c>
      <c r="H67" s="59" t="s">
        <v>6514</v>
      </c>
      <c r="I67" s="59" t="s">
        <v>5768</v>
      </c>
      <c r="J67" s="59" t="s">
        <v>5748</v>
      </c>
      <c r="K67" s="61">
        <f>VLOOKUP(B67,'Feuerwaffen-Ressourcen'!$A$2:$AI$54,11,0)+VLOOKUP(C67,'Feuerwaffen-Ressourcen'!$A$2:$AI$54,11,0)+VLOOKUP(D67,'Feuerwaffen-Ressourcen'!$A$2:$AI$54,11,0)+VLOOKUP(E67,'Feuerwaffen-Ressourcen'!$A$2:$AI$54,11,0)+VLOOKUP(G67,'Feuerwaffen-Ressourcen'!$A$2:$AI$54,11,0)</f>
        <v>4.05</v>
      </c>
      <c r="L67" s="60">
        <f>VLOOKUP(B67,'Feuerwaffen-Ressourcen'!$A$2:$AI$54,12,0)+VLOOKUP(C67,'Feuerwaffen-Ressourcen'!$A$2:$AI$54,12,0)+VLOOKUP(D67,'Feuerwaffen-Ressourcen'!$A$2:$AI$54,12,0)+VLOOKUP(J67,'Feuerwaffen-Ressourcen'!$A$2:$AI$54,12,0)</f>
        <v>12</v>
      </c>
      <c r="M67" s="60" t="str">
        <f>VLOOKUP(VLOOKUP(B67,'Feuerwaffen-Ressourcen'!$A$2:$AI$54,13,0)+VLOOKUP(C67,'Feuerwaffen-Ressourcen'!$A$2:$AI$54,13,0)+VLOOKUP(D67,'Feuerwaffen-Ressourcen'!$A$2:$AI$54,13,0),'Feuerwaffen-Ressourcen'!$AJ$3:$AK$12,2,0)</f>
        <v>W15</v>
      </c>
      <c r="N67" s="60" t="str">
        <f>VLOOKUP(VLOOKUP(B67,'Feuerwaffen-Ressourcen'!$A$2:$AI$54,14,0)+VLOOKUP(C67,'Feuerwaffen-Ressourcen'!$A$2:$AI$54,14,0)+VLOOKUP(D67,'Feuerwaffen-Ressourcen'!$A$2:$AI$54,14,0),'Feuerwaffen-Ressourcen'!$AJ$3:$AK$12,2,0)</f>
        <v>W15</v>
      </c>
      <c r="O67" s="60">
        <f>VLOOKUP(B67,'Feuerwaffen-Ressourcen'!$A$2:$AI$54,15,0)+VLOOKUP(C67,'Feuerwaffen-Ressourcen'!$A$2:$AI$54,15,0)+VLOOKUP(D67,'Feuerwaffen-Ressourcen'!$A$2:$AI$54,15,0)</f>
        <v>2</v>
      </c>
      <c r="P67" s="60">
        <f>VLOOKUP(B67,'Feuerwaffen-Ressourcen'!$A$2:$AI$54,16,0)+VLOOKUP(C67,'Feuerwaffen-Ressourcen'!$A$2:$AI$54,16,0)+VLOOKUP(D67,'Feuerwaffen-Ressourcen'!$A$2:$AI$54,16,0)+VLOOKUP(E67,'Feuerwaffen-Ressourcen'!$A$2:$AI$54,16,0)</f>
        <v>6</v>
      </c>
      <c r="Q67" s="62">
        <f>VLOOKUP(B67,'Feuerwaffen-Ressourcen'!$A$2:$AI$54,17,0)+VLOOKUP(C67,'Feuerwaffen-Ressourcen'!$A$2:$AI$54,17,0)+VLOOKUP(D67,'Feuerwaffen-Ressourcen'!$A$2:$AI$54,17,0)+VLOOKUP(E67,'Feuerwaffen-Ressourcen'!$A$2:$AI$54,17,0)</f>
        <v>17</v>
      </c>
      <c r="R67" s="60">
        <f>VLOOKUP(B67,'Feuerwaffen-Ressourcen'!$A$2:$AI$54,18,0)+VLOOKUP(C67,'Feuerwaffen-Ressourcen'!$A$2:$AI$54,18,0)+VLOOKUP(D67,'Feuerwaffen-Ressourcen'!$A$2:$AI$54,18,0)+VLOOKUP(F67,'Feuerwaffen-Ressourcen'!$A$2:$AI$54,18,0)+VLOOKUP(G67,'Feuerwaffen-Ressourcen'!$A$2:$AI$54,18,0)+VLOOKUP(I67,'Feuerwaffen-Ressourcen'!$A$2:$AI$54,18,0)+VLOOKUP(J67,'Feuerwaffen-Ressourcen'!$A$2:$AI$54,18,0)</f>
        <v>5</v>
      </c>
      <c r="S67" s="60">
        <f>VLOOKUP(B67,'Feuerwaffen-Ressourcen'!$A$2:$AI$54,19,0)+VLOOKUP(C67,'Feuerwaffen-Ressourcen'!$A$2:$AI$54,19,0)+VLOOKUP(D67,'Feuerwaffen-Ressourcen'!$A$2:$AI$54,19,0)+VLOOKUP(F67,'Feuerwaffen-Ressourcen'!$A$2:$AI$54,19,0)+VLOOKUP(G67,'Feuerwaffen-Ressourcen'!$A$2:$AI$54,19,0)+VLOOKUP(I67,'Feuerwaffen-Ressourcen'!$A$2:$AI$54,19,0)+VLOOKUP(J67,'Feuerwaffen-Ressourcen'!$A$2:$AI$54,19,0)</f>
        <v>-3</v>
      </c>
      <c r="T67" s="60">
        <f>VLOOKUP(B67,'Feuerwaffen-Ressourcen'!$A$2:$AI$54,20,0)+VLOOKUP(C67,'Feuerwaffen-Ressourcen'!$A$2:$AI$54,20,0)+VLOOKUP(D67,'Feuerwaffen-Ressourcen'!$A$2:$AI$54,20,0)+VLOOKUP(F67,'Feuerwaffen-Ressourcen'!$A$2:$AI$54,20,0)+VLOOKUP(G67,'Feuerwaffen-Ressourcen'!$A$2:$AI$54,20,0)+VLOOKUP(I67,'Feuerwaffen-Ressourcen'!$A$2:$AI$54,20,0)+VLOOKUP(J67,'Feuerwaffen-Ressourcen'!$A$2:$AI$54,20,0)</f>
        <v>-13</v>
      </c>
      <c r="U67" s="60">
        <f>VLOOKUP(B67,'Feuerwaffen-Ressourcen'!$A$2:$AI$54,21,0)+VLOOKUP(C67,'Feuerwaffen-Ressourcen'!$A$2:$AI$54,21,0)+VLOOKUP(D67,'Feuerwaffen-Ressourcen'!$A$2:$AI$54,21,0)+VLOOKUP(F67,'Feuerwaffen-Ressourcen'!$A$2:$AI$54,21,0)+VLOOKUP(G67,'Feuerwaffen-Ressourcen'!$A$2:$AI$54,21,0)+VLOOKUP(I67,'Feuerwaffen-Ressourcen'!$A$2:$AI$54,21,0)+VLOOKUP(J67,'Feuerwaffen-Ressourcen'!$A$2:$AI$54,21,0)</f>
        <v>-26</v>
      </c>
      <c r="V67" s="60">
        <f>VLOOKUP(B67,'Feuerwaffen-Ressourcen'!$A$2:$AI$54,22,0)+VLOOKUP(C67,'Feuerwaffen-Ressourcen'!$A$2:$AI$54,22,0)+VLOOKUP(D67,'Feuerwaffen-Ressourcen'!$A$2:$AI$54,22,0)+VLOOKUP(F67,'Feuerwaffen-Ressourcen'!$A$2:$AI$54,22,0)+VLOOKUP(G67,'Feuerwaffen-Ressourcen'!$A$2:$AI$54,22,0)+VLOOKUP(I67,'Feuerwaffen-Ressourcen'!$A$2:$AI$54,22,0)+VLOOKUP(J67,'Feuerwaffen-Ressourcen'!$A$2:$AI$54,22,0)</f>
        <v>-41</v>
      </c>
      <c r="W67" s="60">
        <f>VLOOKUP(B67,'Feuerwaffen-Ressourcen'!$A$2:$AI$54,23,0)+VLOOKUP(C67,'Feuerwaffen-Ressourcen'!$A$2:$AI$54,23,0)+VLOOKUP(D67,'Feuerwaffen-Ressourcen'!$A$2:$AI$54,23,0)+VLOOKUP(F67,'Feuerwaffen-Ressourcen'!$A$2:$AI$54,23,0)+VLOOKUP(G67,'Feuerwaffen-Ressourcen'!$A$2:$AI$54,23,0)+VLOOKUP(I67,'Feuerwaffen-Ressourcen'!$A$2:$AI$54,23,0)+VLOOKUP(J67,'Feuerwaffen-Ressourcen'!$A$2:$AI$54,23,0)</f>
        <v>-58</v>
      </c>
      <c r="X67" s="60">
        <f>VLOOKUP(B67,'Feuerwaffen-Ressourcen'!$A$2:$AI$54,24,0)+VLOOKUP(C67,'Feuerwaffen-Ressourcen'!$A$2:$AI$54,24,0)+VLOOKUP(D67,'Feuerwaffen-Ressourcen'!$A$2:$AI$54,24,0)+VLOOKUP(G67,'Feuerwaffen-Ressourcen'!$A$2:$AI$54,24,0)</f>
        <v>40</v>
      </c>
      <c r="Y67" s="60">
        <f>VLOOKUP(D67,'Feuerwaffen-Ressourcen'!$A$2:$AI$54,25,0)+VLOOKUP(E67,'Feuerwaffen-Ressourcen'!$A$2:$AI$54,25,0)+VLOOKUP(F67,'Feuerwaffen-Ressourcen'!$A$2:$AI$54,25,0)</f>
        <v>31</v>
      </c>
      <c r="Z67" s="60">
        <f>VLOOKUP(E67,'Feuerwaffen-Ressourcen'!$A$2:$AI$54,26,0)</f>
        <v>3</v>
      </c>
      <c r="AA67" s="60">
        <f>VLOOKUP(B67,'Feuerwaffen-Ressourcen'!$A$2:$AI$54,27,0)+VLOOKUP(D67,'Feuerwaffen-Ressourcen'!$A$2:$AI$54,27,0)+VLOOKUP(F67,'Feuerwaffen-Ressourcen'!$A$2:$AI$54,27,0)+VLOOKUP(I67,'Feuerwaffen-Ressourcen'!$A$2:$AI$54,27,0)</f>
        <v>2</v>
      </c>
      <c r="AB67" s="60">
        <f>VLOOKUP(B67,'Feuerwaffen-Ressourcen'!$A$2:$AI$54,28,0)+VLOOKUP(C67,'Feuerwaffen-Ressourcen'!$A$2:$AI$54,28,0)+VLOOKUP(D67,'Feuerwaffen-Ressourcen'!$A$2:$AI$54,28,0)+VLOOKUP(E67,'Feuerwaffen-Ressourcen'!$A$2:$AI$54,28,0)+VLOOKUP(F67,'Feuerwaffen-Ressourcen'!$A$2:$AI$54,28,0)+VLOOKUP(G67,'Feuerwaffen-Ressourcen'!$A$2:$AI$54,28,0)+VLOOKUP(I67,'Feuerwaffen-Ressourcen'!$A$2:$AI$54,28,0)+VLOOKUP(J67,'Feuerwaffen-Ressourcen'!$A$2:$AI$54,28,0)</f>
        <v>80</v>
      </c>
      <c r="AC67" s="63">
        <f>VLOOKUP(I67,'Feuerwaffen-Ressourcen'!$A$2:$AI$54,31,0)*AD67+AE67</f>
        <v>323.55</v>
      </c>
      <c r="AD67" s="64">
        <f>VLOOKUP(B67,'Feuerwaffen-Ressourcen'!$A$2:$AI$54,30,0)+VLOOKUP(C67,'Feuerwaffen-Ressourcen'!$A$2:$AI$54,30,0)+VLOOKUP(D67,'Feuerwaffen-Ressourcen'!$A$2:$AI$54,30,0)+VLOOKUP(F67,'Feuerwaffen-Ressourcen'!$A$2:$AI$54,30,0)+VLOOKUP(G67,'Feuerwaffen-Ressourcen'!$A$2:$AI$54,30,0)+VLOOKUP(I67,'Feuerwaffen-Ressourcen'!$A$2:$AI$54,30,0)+VLOOKUP(J67,'Feuerwaffen-Ressourcen'!$A$2:$AI$54,30,0)</f>
        <v>5.5</v>
      </c>
      <c r="AE67" s="63">
        <f>(VLOOKUP(C67,'Feuerwaffen-Ressourcen'!$A$2:$AI$54,32,0)+VLOOKUP(I67,'Feuerwaffen-Ressourcen'!$A$2:$AI$54,32,0))*(VLOOKUP(B67,'Feuerwaffen-Ressourcen'!$A$2:$AI$54,34,0)+VLOOKUP(C67,'Feuerwaffen-Ressourcen'!$A$2:$AI$54,34,0)+VLOOKUP(D67,'Feuerwaffen-Ressourcen'!$A$2:$AI$54,34,0)+VLOOKUP(E67,'Feuerwaffen-Ressourcen'!$A$2:$AI$54,34,0)+VLOOKUP(G67,'Feuerwaffen-Ressourcen'!$A$2:$AI$54,34,0))+VLOOKUP(B67,'Feuerwaffen-Ressourcen'!$A$2:$AI$54,35,0)+VLOOKUP(C67,'Feuerwaffen-Ressourcen'!$A$2:$AI$54,35,0)+VLOOKUP(D67,'Feuerwaffen-Ressourcen'!$A$2:$AI$54,35,0)</f>
        <v>301.55</v>
      </c>
      <c r="AF67" s="65">
        <f>VLOOKUP(AB67,'Feuerwaffen-Ressourcen'!$AO$3:$AP$9,2,1)</f>
        <v>6</v>
      </c>
      <c r="AG67" s="65">
        <v>0</v>
      </c>
    </row>
    <row r="68" spans="1:33">
      <c r="A68" s="59" t="s">
        <v>7186</v>
      </c>
      <c r="B68" s="59" t="s">
        <v>1445</v>
      </c>
      <c r="C68" s="59" t="s">
        <v>7118</v>
      </c>
      <c r="D68" s="59" t="s">
        <v>7226</v>
      </c>
      <c r="E68" s="59" t="s">
        <v>6501</v>
      </c>
      <c r="F68" s="59" t="s">
        <v>7221</v>
      </c>
      <c r="G68" s="59" t="s">
        <v>7217</v>
      </c>
      <c r="H68" s="59" t="s">
        <v>6514</v>
      </c>
      <c r="I68" s="59" t="s">
        <v>5768</v>
      </c>
      <c r="J68" s="59" t="s">
        <v>5748</v>
      </c>
      <c r="K68" s="61">
        <f>VLOOKUP(B68,'Feuerwaffen-Ressourcen'!$A$2:$AI$54,11,0)+VLOOKUP(C68,'Feuerwaffen-Ressourcen'!$A$2:$AI$54,11,0)+VLOOKUP(D68,'Feuerwaffen-Ressourcen'!$A$2:$AI$54,11,0)+VLOOKUP(E68,'Feuerwaffen-Ressourcen'!$A$2:$AI$54,11,0)+VLOOKUP(G68,'Feuerwaffen-Ressourcen'!$A$2:$AI$54,11,0)</f>
        <v>4.05</v>
      </c>
      <c r="L68" s="60">
        <f>VLOOKUP(B68,'Feuerwaffen-Ressourcen'!$A$2:$AI$54,12,0)+VLOOKUP(C68,'Feuerwaffen-Ressourcen'!$A$2:$AI$54,12,0)+VLOOKUP(D68,'Feuerwaffen-Ressourcen'!$A$2:$AI$54,12,0)+VLOOKUP(J68,'Feuerwaffen-Ressourcen'!$A$2:$AI$54,12,0)</f>
        <v>12</v>
      </c>
      <c r="M68" s="60" t="str">
        <f>VLOOKUP(VLOOKUP(B68,'Feuerwaffen-Ressourcen'!$A$2:$AI$54,13,0)+VLOOKUP(C68,'Feuerwaffen-Ressourcen'!$A$2:$AI$54,13,0)+VLOOKUP(D68,'Feuerwaffen-Ressourcen'!$A$2:$AI$54,13,0),'Feuerwaffen-Ressourcen'!$AJ$3:$AK$12,2,0)</f>
        <v>W15</v>
      </c>
      <c r="N68" s="60" t="str">
        <f>VLOOKUP(VLOOKUP(B68,'Feuerwaffen-Ressourcen'!$A$2:$AI$54,14,0)+VLOOKUP(C68,'Feuerwaffen-Ressourcen'!$A$2:$AI$54,14,0)+VLOOKUP(D68,'Feuerwaffen-Ressourcen'!$A$2:$AI$54,14,0),'Feuerwaffen-Ressourcen'!$AJ$3:$AK$12,2,0)</f>
        <v>W15</v>
      </c>
      <c r="O68" s="60">
        <f>VLOOKUP(B68,'Feuerwaffen-Ressourcen'!$A$2:$AI$54,15,0)+VLOOKUP(C68,'Feuerwaffen-Ressourcen'!$A$2:$AI$54,15,0)+VLOOKUP(D68,'Feuerwaffen-Ressourcen'!$A$2:$AI$54,15,0)</f>
        <v>2</v>
      </c>
      <c r="P68" s="60">
        <f>VLOOKUP(B68,'Feuerwaffen-Ressourcen'!$A$2:$AI$54,16,0)+VLOOKUP(C68,'Feuerwaffen-Ressourcen'!$A$2:$AI$54,16,0)+VLOOKUP(D68,'Feuerwaffen-Ressourcen'!$A$2:$AI$54,16,0)+VLOOKUP(E68,'Feuerwaffen-Ressourcen'!$A$2:$AI$54,16,0)</f>
        <v>6</v>
      </c>
      <c r="Q68" s="62">
        <f>VLOOKUP(B68,'Feuerwaffen-Ressourcen'!$A$2:$AI$54,17,0)+VLOOKUP(C68,'Feuerwaffen-Ressourcen'!$A$2:$AI$54,17,0)+VLOOKUP(D68,'Feuerwaffen-Ressourcen'!$A$2:$AI$54,17,0)+VLOOKUP(E68,'Feuerwaffen-Ressourcen'!$A$2:$AI$54,17,0)</f>
        <v>17</v>
      </c>
      <c r="R68" s="60">
        <f>VLOOKUP(B68,'Feuerwaffen-Ressourcen'!$A$2:$AI$54,18,0)+VLOOKUP(C68,'Feuerwaffen-Ressourcen'!$A$2:$AI$54,18,0)+VLOOKUP(D68,'Feuerwaffen-Ressourcen'!$A$2:$AI$54,18,0)+VLOOKUP(F68,'Feuerwaffen-Ressourcen'!$A$2:$AI$54,18,0)+VLOOKUP(G68,'Feuerwaffen-Ressourcen'!$A$2:$AI$54,18,0)+VLOOKUP(I68,'Feuerwaffen-Ressourcen'!$A$2:$AI$54,18,0)+VLOOKUP(J68,'Feuerwaffen-Ressourcen'!$A$2:$AI$54,18,0)</f>
        <v>4</v>
      </c>
      <c r="S68" s="60">
        <f>VLOOKUP(B68,'Feuerwaffen-Ressourcen'!$A$2:$AI$54,19,0)+VLOOKUP(C68,'Feuerwaffen-Ressourcen'!$A$2:$AI$54,19,0)+VLOOKUP(D68,'Feuerwaffen-Ressourcen'!$A$2:$AI$54,19,0)+VLOOKUP(F68,'Feuerwaffen-Ressourcen'!$A$2:$AI$54,19,0)+VLOOKUP(G68,'Feuerwaffen-Ressourcen'!$A$2:$AI$54,19,0)+VLOOKUP(I68,'Feuerwaffen-Ressourcen'!$A$2:$AI$54,19,0)+VLOOKUP(J68,'Feuerwaffen-Ressourcen'!$A$2:$AI$54,19,0)</f>
        <v>-4</v>
      </c>
      <c r="T68" s="60">
        <f>VLOOKUP(B68,'Feuerwaffen-Ressourcen'!$A$2:$AI$54,20,0)+VLOOKUP(C68,'Feuerwaffen-Ressourcen'!$A$2:$AI$54,20,0)+VLOOKUP(D68,'Feuerwaffen-Ressourcen'!$A$2:$AI$54,20,0)+VLOOKUP(F68,'Feuerwaffen-Ressourcen'!$A$2:$AI$54,20,0)+VLOOKUP(G68,'Feuerwaffen-Ressourcen'!$A$2:$AI$54,20,0)+VLOOKUP(I68,'Feuerwaffen-Ressourcen'!$A$2:$AI$54,20,0)+VLOOKUP(J68,'Feuerwaffen-Ressourcen'!$A$2:$AI$54,20,0)</f>
        <v>-14</v>
      </c>
      <c r="U68" s="60">
        <f>VLOOKUP(B68,'Feuerwaffen-Ressourcen'!$A$2:$AI$54,21,0)+VLOOKUP(C68,'Feuerwaffen-Ressourcen'!$A$2:$AI$54,21,0)+VLOOKUP(D68,'Feuerwaffen-Ressourcen'!$A$2:$AI$54,21,0)+VLOOKUP(F68,'Feuerwaffen-Ressourcen'!$A$2:$AI$54,21,0)+VLOOKUP(G68,'Feuerwaffen-Ressourcen'!$A$2:$AI$54,21,0)+VLOOKUP(I68,'Feuerwaffen-Ressourcen'!$A$2:$AI$54,21,0)+VLOOKUP(J68,'Feuerwaffen-Ressourcen'!$A$2:$AI$54,21,0)</f>
        <v>-27</v>
      </c>
      <c r="V68" s="60">
        <f>VLOOKUP(B68,'Feuerwaffen-Ressourcen'!$A$2:$AI$54,22,0)+VLOOKUP(C68,'Feuerwaffen-Ressourcen'!$A$2:$AI$54,22,0)+VLOOKUP(D68,'Feuerwaffen-Ressourcen'!$A$2:$AI$54,22,0)+VLOOKUP(F68,'Feuerwaffen-Ressourcen'!$A$2:$AI$54,22,0)+VLOOKUP(G68,'Feuerwaffen-Ressourcen'!$A$2:$AI$54,22,0)+VLOOKUP(I68,'Feuerwaffen-Ressourcen'!$A$2:$AI$54,22,0)+VLOOKUP(J68,'Feuerwaffen-Ressourcen'!$A$2:$AI$54,22,0)</f>
        <v>-42</v>
      </c>
      <c r="W68" s="60">
        <f>VLOOKUP(B68,'Feuerwaffen-Ressourcen'!$A$2:$AI$54,23,0)+VLOOKUP(C68,'Feuerwaffen-Ressourcen'!$A$2:$AI$54,23,0)+VLOOKUP(D68,'Feuerwaffen-Ressourcen'!$A$2:$AI$54,23,0)+VLOOKUP(F68,'Feuerwaffen-Ressourcen'!$A$2:$AI$54,23,0)+VLOOKUP(G68,'Feuerwaffen-Ressourcen'!$A$2:$AI$54,23,0)+VLOOKUP(I68,'Feuerwaffen-Ressourcen'!$A$2:$AI$54,23,0)+VLOOKUP(J68,'Feuerwaffen-Ressourcen'!$A$2:$AI$54,23,0)</f>
        <v>-59</v>
      </c>
      <c r="X68" s="60">
        <f>VLOOKUP(B68,'Feuerwaffen-Ressourcen'!$A$2:$AI$54,24,0)+VLOOKUP(C68,'Feuerwaffen-Ressourcen'!$A$2:$AI$54,24,0)+VLOOKUP(D68,'Feuerwaffen-Ressourcen'!$A$2:$AI$54,24,0)+VLOOKUP(G68,'Feuerwaffen-Ressourcen'!$A$2:$AI$54,24,0)</f>
        <v>40</v>
      </c>
      <c r="Y68" s="60">
        <f>VLOOKUP(D68,'Feuerwaffen-Ressourcen'!$A$2:$AI$54,25,0)+VLOOKUP(E68,'Feuerwaffen-Ressourcen'!$A$2:$AI$54,25,0)+VLOOKUP(F68,'Feuerwaffen-Ressourcen'!$A$2:$AI$54,25,0)</f>
        <v>32</v>
      </c>
      <c r="Z68" s="60">
        <f>VLOOKUP(E68,'Feuerwaffen-Ressourcen'!$A$2:$AI$54,26,0)</f>
        <v>3</v>
      </c>
      <c r="AA68" s="60">
        <f>VLOOKUP(B68,'Feuerwaffen-Ressourcen'!$A$2:$AI$54,27,0)+VLOOKUP(D68,'Feuerwaffen-Ressourcen'!$A$2:$AI$54,27,0)+VLOOKUP(F68,'Feuerwaffen-Ressourcen'!$A$2:$AI$54,27,0)+VLOOKUP(I68,'Feuerwaffen-Ressourcen'!$A$2:$AI$54,27,0)</f>
        <v>3</v>
      </c>
      <c r="AB68" s="60">
        <f>VLOOKUP(B68,'Feuerwaffen-Ressourcen'!$A$2:$AI$54,28,0)+VLOOKUP(C68,'Feuerwaffen-Ressourcen'!$A$2:$AI$54,28,0)+VLOOKUP(D68,'Feuerwaffen-Ressourcen'!$A$2:$AI$54,28,0)+VLOOKUP(E68,'Feuerwaffen-Ressourcen'!$A$2:$AI$54,28,0)+VLOOKUP(F68,'Feuerwaffen-Ressourcen'!$A$2:$AI$54,28,0)+VLOOKUP(G68,'Feuerwaffen-Ressourcen'!$A$2:$AI$54,28,0)+VLOOKUP(I68,'Feuerwaffen-Ressourcen'!$A$2:$AI$54,28,0)+VLOOKUP(J68,'Feuerwaffen-Ressourcen'!$A$2:$AI$54,28,0)</f>
        <v>90</v>
      </c>
      <c r="AC68" s="63">
        <f>VLOOKUP(I68,'Feuerwaffen-Ressourcen'!$A$2:$AI$54,31,0)*AD68+AE68</f>
        <v>319.55</v>
      </c>
      <c r="AD68" s="64">
        <f>VLOOKUP(B68,'Feuerwaffen-Ressourcen'!$A$2:$AI$54,30,0)+VLOOKUP(C68,'Feuerwaffen-Ressourcen'!$A$2:$AI$54,30,0)+VLOOKUP(D68,'Feuerwaffen-Ressourcen'!$A$2:$AI$54,30,0)+VLOOKUP(F68,'Feuerwaffen-Ressourcen'!$A$2:$AI$54,30,0)+VLOOKUP(G68,'Feuerwaffen-Ressourcen'!$A$2:$AI$54,30,0)+VLOOKUP(I68,'Feuerwaffen-Ressourcen'!$A$2:$AI$54,30,0)+VLOOKUP(J68,'Feuerwaffen-Ressourcen'!$A$2:$AI$54,30,0)</f>
        <v>4.5</v>
      </c>
      <c r="AE68" s="63">
        <f>(VLOOKUP(C68,'Feuerwaffen-Ressourcen'!$A$2:$AI$54,32,0)+VLOOKUP(I68,'Feuerwaffen-Ressourcen'!$A$2:$AI$54,32,0))*(VLOOKUP(B68,'Feuerwaffen-Ressourcen'!$A$2:$AI$54,34,0)+VLOOKUP(C68,'Feuerwaffen-Ressourcen'!$A$2:$AI$54,34,0)+VLOOKUP(D68,'Feuerwaffen-Ressourcen'!$A$2:$AI$54,34,0)+VLOOKUP(E68,'Feuerwaffen-Ressourcen'!$A$2:$AI$54,34,0)+VLOOKUP(G68,'Feuerwaffen-Ressourcen'!$A$2:$AI$54,34,0))+VLOOKUP(B68,'Feuerwaffen-Ressourcen'!$A$2:$AI$54,35,0)+VLOOKUP(C68,'Feuerwaffen-Ressourcen'!$A$2:$AI$54,35,0)+VLOOKUP(D68,'Feuerwaffen-Ressourcen'!$A$2:$AI$54,35,0)</f>
        <v>301.55</v>
      </c>
      <c r="AF68" s="65">
        <f>VLOOKUP(AB68,'Feuerwaffen-Ressourcen'!$AO$3:$AP$9,2,1)</f>
        <v>5</v>
      </c>
      <c r="AG68" s="65">
        <v>0</v>
      </c>
    </row>
    <row r="69" spans="1:33">
      <c r="A69" s="59" t="s">
        <v>7187</v>
      </c>
      <c r="B69" s="59" t="s">
        <v>1449</v>
      </c>
      <c r="C69" s="59" t="s">
        <v>7215</v>
      </c>
      <c r="D69" s="59" t="s">
        <v>7206</v>
      </c>
      <c r="E69" s="59" t="s">
        <v>7123</v>
      </c>
      <c r="F69" s="59" t="s">
        <v>7224</v>
      </c>
      <c r="G69" s="59" t="s">
        <v>7225</v>
      </c>
      <c r="H69" s="59" t="s">
        <v>7124</v>
      </c>
      <c r="I69" s="59" t="s">
        <v>5768</v>
      </c>
      <c r="J69" s="59" t="s">
        <v>5748</v>
      </c>
      <c r="K69" s="61">
        <f>VLOOKUP(B69,'Feuerwaffen-Ressourcen'!$A$2:$AI$54,11,0)+VLOOKUP(C69,'Feuerwaffen-Ressourcen'!$A$2:$AI$54,11,0)+VLOOKUP(D69,'Feuerwaffen-Ressourcen'!$A$2:$AI$54,11,0)+VLOOKUP(E69,'Feuerwaffen-Ressourcen'!$A$2:$AI$54,11,0)+VLOOKUP(G69,'Feuerwaffen-Ressourcen'!$A$2:$AI$54,11,0)</f>
        <v>5.05</v>
      </c>
      <c r="L69" s="60">
        <f>VLOOKUP(B69,'Feuerwaffen-Ressourcen'!$A$2:$AI$54,12,0)+VLOOKUP(C69,'Feuerwaffen-Ressourcen'!$A$2:$AI$54,12,0)+VLOOKUP(D69,'Feuerwaffen-Ressourcen'!$A$2:$AI$54,12,0)+VLOOKUP(J69,'Feuerwaffen-Ressourcen'!$A$2:$AI$54,12,0)</f>
        <v>11</v>
      </c>
      <c r="M69" s="60" t="str">
        <f>VLOOKUP(VLOOKUP(B69,'Feuerwaffen-Ressourcen'!$A$2:$AI$54,13,0)+VLOOKUP(C69,'Feuerwaffen-Ressourcen'!$A$2:$AI$54,13,0)+VLOOKUP(D69,'Feuerwaffen-Ressourcen'!$A$2:$AI$54,13,0),'Feuerwaffen-Ressourcen'!$AJ$3:$AK$12,2,0)</f>
        <v>W10</v>
      </c>
      <c r="N69" s="60" t="str">
        <f>VLOOKUP(VLOOKUP(B69,'Feuerwaffen-Ressourcen'!$A$2:$AI$54,14,0)+VLOOKUP(C69,'Feuerwaffen-Ressourcen'!$A$2:$AI$54,14,0)+VLOOKUP(D69,'Feuerwaffen-Ressourcen'!$A$2:$AI$54,14,0),'Feuerwaffen-Ressourcen'!$AJ$3:$AK$12,2,0)</f>
        <v>W10</v>
      </c>
      <c r="O69" s="60">
        <f>VLOOKUP(B69,'Feuerwaffen-Ressourcen'!$A$2:$AI$54,15,0)+VLOOKUP(C69,'Feuerwaffen-Ressourcen'!$A$2:$AI$54,15,0)+VLOOKUP(D69,'Feuerwaffen-Ressourcen'!$A$2:$AI$54,15,0)</f>
        <v>1</v>
      </c>
      <c r="P69" s="60">
        <f>VLOOKUP(B69,'Feuerwaffen-Ressourcen'!$A$2:$AI$54,16,0)+VLOOKUP(C69,'Feuerwaffen-Ressourcen'!$A$2:$AI$54,16,0)+VLOOKUP(D69,'Feuerwaffen-Ressourcen'!$A$2:$AI$54,16,0)+VLOOKUP(E69,'Feuerwaffen-Ressourcen'!$A$2:$AI$54,16,0)</f>
        <v>19</v>
      </c>
      <c r="Q69" s="62">
        <f>VLOOKUP(B69,'Feuerwaffen-Ressourcen'!$A$2:$AI$54,17,0)+VLOOKUP(C69,'Feuerwaffen-Ressourcen'!$A$2:$AI$54,17,0)+VLOOKUP(D69,'Feuerwaffen-Ressourcen'!$A$2:$AI$54,17,0)+VLOOKUP(E69,'Feuerwaffen-Ressourcen'!$A$2:$AI$54,17,0)</f>
        <v>11</v>
      </c>
      <c r="R69" s="60">
        <f>VLOOKUP(B69,'Feuerwaffen-Ressourcen'!$A$2:$AI$54,18,0)+VLOOKUP(C69,'Feuerwaffen-Ressourcen'!$A$2:$AI$54,18,0)+VLOOKUP(D69,'Feuerwaffen-Ressourcen'!$A$2:$AI$54,18,0)+VLOOKUP(F69,'Feuerwaffen-Ressourcen'!$A$2:$AI$54,18,0)+VLOOKUP(G69,'Feuerwaffen-Ressourcen'!$A$2:$AI$54,18,0)+VLOOKUP(I69,'Feuerwaffen-Ressourcen'!$A$2:$AI$54,18,0)+VLOOKUP(J69,'Feuerwaffen-Ressourcen'!$A$2:$AI$54,18,0)</f>
        <v>8</v>
      </c>
      <c r="S69" s="60">
        <f>VLOOKUP(B69,'Feuerwaffen-Ressourcen'!$A$2:$AI$54,19,0)+VLOOKUP(C69,'Feuerwaffen-Ressourcen'!$A$2:$AI$54,19,0)+VLOOKUP(D69,'Feuerwaffen-Ressourcen'!$A$2:$AI$54,19,0)+VLOOKUP(F69,'Feuerwaffen-Ressourcen'!$A$2:$AI$54,19,0)+VLOOKUP(G69,'Feuerwaffen-Ressourcen'!$A$2:$AI$54,19,0)+VLOOKUP(I69,'Feuerwaffen-Ressourcen'!$A$2:$AI$54,19,0)+VLOOKUP(J69,'Feuerwaffen-Ressourcen'!$A$2:$AI$54,19,0)</f>
        <v>4</v>
      </c>
      <c r="T69" s="60">
        <f>VLOOKUP(B69,'Feuerwaffen-Ressourcen'!$A$2:$AI$54,20,0)+VLOOKUP(C69,'Feuerwaffen-Ressourcen'!$A$2:$AI$54,20,0)+VLOOKUP(D69,'Feuerwaffen-Ressourcen'!$A$2:$AI$54,20,0)+VLOOKUP(F69,'Feuerwaffen-Ressourcen'!$A$2:$AI$54,20,0)+VLOOKUP(G69,'Feuerwaffen-Ressourcen'!$A$2:$AI$54,20,0)+VLOOKUP(I69,'Feuerwaffen-Ressourcen'!$A$2:$AI$54,20,0)+VLOOKUP(J69,'Feuerwaffen-Ressourcen'!$A$2:$AI$54,20,0)</f>
        <v>-1</v>
      </c>
      <c r="U69" s="60">
        <f>VLOOKUP(B69,'Feuerwaffen-Ressourcen'!$A$2:$AI$54,21,0)+VLOOKUP(C69,'Feuerwaffen-Ressourcen'!$A$2:$AI$54,21,0)+VLOOKUP(D69,'Feuerwaffen-Ressourcen'!$A$2:$AI$54,21,0)+VLOOKUP(F69,'Feuerwaffen-Ressourcen'!$A$2:$AI$54,21,0)+VLOOKUP(G69,'Feuerwaffen-Ressourcen'!$A$2:$AI$54,21,0)+VLOOKUP(I69,'Feuerwaffen-Ressourcen'!$A$2:$AI$54,21,0)+VLOOKUP(J69,'Feuerwaffen-Ressourcen'!$A$2:$AI$54,21,0)</f>
        <v>-8</v>
      </c>
      <c r="V69" s="60">
        <f>VLOOKUP(B69,'Feuerwaffen-Ressourcen'!$A$2:$AI$54,22,0)+VLOOKUP(C69,'Feuerwaffen-Ressourcen'!$A$2:$AI$54,22,0)+VLOOKUP(D69,'Feuerwaffen-Ressourcen'!$A$2:$AI$54,22,0)+VLOOKUP(F69,'Feuerwaffen-Ressourcen'!$A$2:$AI$54,22,0)+VLOOKUP(G69,'Feuerwaffen-Ressourcen'!$A$2:$AI$54,22,0)+VLOOKUP(I69,'Feuerwaffen-Ressourcen'!$A$2:$AI$54,22,0)+VLOOKUP(J69,'Feuerwaffen-Ressourcen'!$A$2:$AI$54,22,0)</f>
        <v>-16</v>
      </c>
      <c r="W69" s="60">
        <f>VLOOKUP(B69,'Feuerwaffen-Ressourcen'!$A$2:$AI$54,23,0)+VLOOKUP(C69,'Feuerwaffen-Ressourcen'!$A$2:$AI$54,23,0)+VLOOKUP(D69,'Feuerwaffen-Ressourcen'!$A$2:$AI$54,23,0)+VLOOKUP(F69,'Feuerwaffen-Ressourcen'!$A$2:$AI$54,23,0)+VLOOKUP(G69,'Feuerwaffen-Ressourcen'!$A$2:$AI$54,23,0)+VLOOKUP(I69,'Feuerwaffen-Ressourcen'!$A$2:$AI$54,23,0)+VLOOKUP(J69,'Feuerwaffen-Ressourcen'!$A$2:$AI$54,23,0)</f>
        <v>-24</v>
      </c>
      <c r="X69" s="60">
        <f>VLOOKUP(B69,'Feuerwaffen-Ressourcen'!$A$2:$AI$54,24,0)+VLOOKUP(C69,'Feuerwaffen-Ressourcen'!$A$2:$AI$54,24,0)+VLOOKUP(D69,'Feuerwaffen-Ressourcen'!$A$2:$AI$54,24,0)+VLOOKUP(G69,'Feuerwaffen-Ressourcen'!$A$2:$AI$54,24,0)</f>
        <v>70</v>
      </c>
      <c r="Y69" s="60">
        <f>VLOOKUP(D69,'Feuerwaffen-Ressourcen'!$A$2:$AI$54,25,0)+VLOOKUP(E69,'Feuerwaffen-Ressourcen'!$A$2:$AI$54,25,0)+VLOOKUP(F69,'Feuerwaffen-Ressourcen'!$A$2:$AI$54,25,0)</f>
        <v>9</v>
      </c>
      <c r="Z69" s="60">
        <f>VLOOKUP(E69,'Feuerwaffen-Ressourcen'!$A$2:$AI$54,26,0)</f>
        <v>6</v>
      </c>
      <c r="AA69" s="60">
        <f>VLOOKUP(B69,'Feuerwaffen-Ressourcen'!$A$2:$AI$54,27,0)+VLOOKUP(D69,'Feuerwaffen-Ressourcen'!$A$2:$AI$54,27,0)+VLOOKUP(F69,'Feuerwaffen-Ressourcen'!$A$2:$AI$54,27,0)+VLOOKUP(I69,'Feuerwaffen-Ressourcen'!$A$2:$AI$54,27,0)</f>
        <v>-5</v>
      </c>
      <c r="AB69" s="60">
        <f>VLOOKUP(B69,'Feuerwaffen-Ressourcen'!$A$2:$AI$54,28,0)+VLOOKUP(C69,'Feuerwaffen-Ressourcen'!$A$2:$AI$54,28,0)+VLOOKUP(D69,'Feuerwaffen-Ressourcen'!$A$2:$AI$54,28,0)+VLOOKUP(E69,'Feuerwaffen-Ressourcen'!$A$2:$AI$54,28,0)+VLOOKUP(F69,'Feuerwaffen-Ressourcen'!$A$2:$AI$54,28,0)+VLOOKUP(G69,'Feuerwaffen-Ressourcen'!$A$2:$AI$54,28,0)+VLOOKUP(I69,'Feuerwaffen-Ressourcen'!$A$2:$AI$54,28,0)+VLOOKUP(J69,'Feuerwaffen-Ressourcen'!$A$2:$AI$54,28,0)</f>
        <v>70</v>
      </c>
      <c r="AC69" s="63">
        <f>VLOOKUP(I69,'Feuerwaffen-Ressourcen'!$A$2:$AI$54,31,0)*AD69+AE69</f>
        <v>426.7</v>
      </c>
      <c r="AD69" s="64">
        <f>VLOOKUP(B69,'Feuerwaffen-Ressourcen'!$A$2:$AI$54,30,0)+VLOOKUP(C69,'Feuerwaffen-Ressourcen'!$A$2:$AI$54,30,0)+VLOOKUP(D69,'Feuerwaffen-Ressourcen'!$A$2:$AI$54,30,0)+VLOOKUP(F69,'Feuerwaffen-Ressourcen'!$A$2:$AI$54,30,0)+VLOOKUP(G69,'Feuerwaffen-Ressourcen'!$A$2:$AI$54,30,0)+VLOOKUP(I69,'Feuerwaffen-Ressourcen'!$A$2:$AI$54,30,0)+VLOOKUP(J69,'Feuerwaffen-Ressourcen'!$A$2:$AI$54,30,0)</f>
        <v>11.7</v>
      </c>
      <c r="AE69" s="63">
        <f>(VLOOKUP(C69,'Feuerwaffen-Ressourcen'!$A$2:$AI$54,32,0)+VLOOKUP(I69,'Feuerwaffen-Ressourcen'!$A$2:$AI$54,32,0))*(VLOOKUP(B69,'Feuerwaffen-Ressourcen'!$A$2:$AI$54,34,0)+VLOOKUP(C69,'Feuerwaffen-Ressourcen'!$A$2:$AI$54,34,0)+VLOOKUP(D69,'Feuerwaffen-Ressourcen'!$A$2:$AI$54,34,0)+VLOOKUP(E69,'Feuerwaffen-Ressourcen'!$A$2:$AI$54,34,0)+VLOOKUP(G69,'Feuerwaffen-Ressourcen'!$A$2:$AI$54,34,0))+VLOOKUP(B69,'Feuerwaffen-Ressourcen'!$A$2:$AI$54,35,0)+VLOOKUP(C69,'Feuerwaffen-Ressourcen'!$A$2:$AI$54,35,0)+VLOOKUP(D69,'Feuerwaffen-Ressourcen'!$A$2:$AI$54,35,0)</f>
        <v>379.9</v>
      </c>
      <c r="AF69" s="65">
        <f>VLOOKUP(AB69,'Feuerwaffen-Ressourcen'!$AO$3:$AP$9,2,1)</f>
        <v>6</v>
      </c>
      <c r="AG69" s="65">
        <v>0</v>
      </c>
    </row>
    <row r="70" spans="1:33">
      <c r="A70" s="59" t="s">
        <v>7188</v>
      </c>
      <c r="B70" s="59" t="s">
        <v>1449</v>
      </c>
      <c r="C70" s="59" t="s">
        <v>7215</v>
      </c>
      <c r="D70" s="59" t="s">
        <v>7218</v>
      </c>
      <c r="E70" s="59" t="s">
        <v>6501</v>
      </c>
      <c r="F70" s="59" t="s">
        <v>7229</v>
      </c>
      <c r="G70" s="59" t="s">
        <v>7225</v>
      </c>
      <c r="H70" s="59" t="s">
        <v>6514</v>
      </c>
      <c r="I70" s="59" t="s">
        <v>5768</v>
      </c>
      <c r="J70" s="59" t="s">
        <v>5748</v>
      </c>
      <c r="K70" s="61">
        <f>VLOOKUP(B70,'Feuerwaffen-Ressourcen'!$A$2:$AI$54,11,0)+VLOOKUP(C70,'Feuerwaffen-Ressourcen'!$A$2:$AI$54,11,0)+VLOOKUP(D70,'Feuerwaffen-Ressourcen'!$A$2:$AI$54,11,0)+VLOOKUP(E70,'Feuerwaffen-Ressourcen'!$A$2:$AI$54,11,0)+VLOOKUP(G70,'Feuerwaffen-Ressourcen'!$A$2:$AI$54,11,0)</f>
        <v>5.95</v>
      </c>
      <c r="L70" s="60">
        <f>VLOOKUP(B70,'Feuerwaffen-Ressourcen'!$A$2:$AI$54,12,0)+VLOOKUP(C70,'Feuerwaffen-Ressourcen'!$A$2:$AI$54,12,0)+VLOOKUP(D70,'Feuerwaffen-Ressourcen'!$A$2:$AI$54,12,0)+VLOOKUP(J70,'Feuerwaffen-Ressourcen'!$A$2:$AI$54,12,0)</f>
        <v>13</v>
      </c>
      <c r="M70" s="60" t="str">
        <f>VLOOKUP(VLOOKUP(B70,'Feuerwaffen-Ressourcen'!$A$2:$AI$54,13,0)+VLOOKUP(C70,'Feuerwaffen-Ressourcen'!$A$2:$AI$54,13,0)+VLOOKUP(D70,'Feuerwaffen-Ressourcen'!$A$2:$AI$54,13,0),'Feuerwaffen-Ressourcen'!$AJ$3:$AK$12,2,0)</f>
        <v>W12</v>
      </c>
      <c r="N70" s="60" t="str">
        <f>VLOOKUP(VLOOKUP(B70,'Feuerwaffen-Ressourcen'!$A$2:$AI$54,14,0)+VLOOKUP(C70,'Feuerwaffen-Ressourcen'!$A$2:$AI$54,14,0)+VLOOKUP(D70,'Feuerwaffen-Ressourcen'!$A$2:$AI$54,14,0),'Feuerwaffen-Ressourcen'!$AJ$3:$AK$12,2,0)</f>
        <v>W12</v>
      </c>
      <c r="O70" s="60">
        <f>VLOOKUP(B70,'Feuerwaffen-Ressourcen'!$A$2:$AI$54,15,0)+VLOOKUP(C70,'Feuerwaffen-Ressourcen'!$A$2:$AI$54,15,0)+VLOOKUP(D70,'Feuerwaffen-Ressourcen'!$A$2:$AI$54,15,0)</f>
        <v>2</v>
      </c>
      <c r="P70" s="60">
        <f>VLOOKUP(B70,'Feuerwaffen-Ressourcen'!$A$2:$AI$54,16,0)+VLOOKUP(C70,'Feuerwaffen-Ressourcen'!$A$2:$AI$54,16,0)+VLOOKUP(D70,'Feuerwaffen-Ressourcen'!$A$2:$AI$54,16,0)+VLOOKUP(E70,'Feuerwaffen-Ressourcen'!$A$2:$AI$54,16,0)</f>
        <v>14</v>
      </c>
      <c r="Q70" s="62">
        <f>VLOOKUP(B70,'Feuerwaffen-Ressourcen'!$A$2:$AI$54,17,0)+VLOOKUP(C70,'Feuerwaffen-Ressourcen'!$A$2:$AI$54,17,0)+VLOOKUP(D70,'Feuerwaffen-Ressourcen'!$A$2:$AI$54,17,0)+VLOOKUP(E70,'Feuerwaffen-Ressourcen'!$A$2:$AI$54,17,0)</f>
        <v>18</v>
      </c>
      <c r="R70" s="60">
        <f>VLOOKUP(B70,'Feuerwaffen-Ressourcen'!$A$2:$AI$54,18,0)+VLOOKUP(C70,'Feuerwaffen-Ressourcen'!$A$2:$AI$54,18,0)+VLOOKUP(D70,'Feuerwaffen-Ressourcen'!$A$2:$AI$54,18,0)+VLOOKUP(F70,'Feuerwaffen-Ressourcen'!$A$2:$AI$54,18,0)+VLOOKUP(G70,'Feuerwaffen-Ressourcen'!$A$2:$AI$54,18,0)+VLOOKUP(I70,'Feuerwaffen-Ressourcen'!$A$2:$AI$54,18,0)+VLOOKUP(J70,'Feuerwaffen-Ressourcen'!$A$2:$AI$54,18,0)</f>
        <v>5</v>
      </c>
      <c r="S70" s="60">
        <f>VLOOKUP(B70,'Feuerwaffen-Ressourcen'!$A$2:$AI$54,19,0)+VLOOKUP(C70,'Feuerwaffen-Ressourcen'!$A$2:$AI$54,19,0)+VLOOKUP(D70,'Feuerwaffen-Ressourcen'!$A$2:$AI$54,19,0)+VLOOKUP(F70,'Feuerwaffen-Ressourcen'!$A$2:$AI$54,19,0)+VLOOKUP(G70,'Feuerwaffen-Ressourcen'!$A$2:$AI$54,19,0)+VLOOKUP(I70,'Feuerwaffen-Ressourcen'!$A$2:$AI$54,19,0)+VLOOKUP(J70,'Feuerwaffen-Ressourcen'!$A$2:$AI$54,19,0)</f>
        <v>2</v>
      </c>
      <c r="T70" s="60">
        <f>VLOOKUP(B70,'Feuerwaffen-Ressourcen'!$A$2:$AI$54,20,0)+VLOOKUP(C70,'Feuerwaffen-Ressourcen'!$A$2:$AI$54,20,0)+VLOOKUP(D70,'Feuerwaffen-Ressourcen'!$A$2:$AI$54,20,0)+VLOOKUP(F70,'Feuerwaffen-Ressourcen'!$A$2:$AI$54,20,0)+VLOOKUP(G70,'Feuerwaffen-Ressourcen'!$A$2:$AI$54,20,0)+VLOOKUP(I70,'Feuerwaffen-Ressourcen'!$A$2:$AI$54,20,0)+VLOOKUP(J70,'Feuerwaffen-Ressourcen'!$A$2:$AI$54,20,0)</f>
        <v>-2</v>
      </c>
      <c r="U70" s="60">
        <f>VLOOKUP(B70,'Feuerwaffen-Ressourcen'!$A$2:$AI$54,21,0)+VLOOKUP(C70,'Feuerwaffen-Ressourcen'!$A$2:$AI$54,21,0)+VLOOKUP(D70,'Feuerwaffen-Ressourcen'!$A$2:$AI$54,21,0)+VLOOKUP(F70,'Feuerwaffen-Ressourcen'!$A$2:$AI$54,21,0)+VLOOKUP(G70,'Feuerwaffen-Ressourcen'!$A$2:$AI$54,21,0)+VLOOKUP(I70,'Feuerwaffen-Ressourcen'!$A$2:$AI$54,21,0)+VLOOKUP(J70,'Feuerwaffen-Ressourcen'!$A$2:$AI$54,21,0)</f>
        <v>-9</v>
      </c>
      <c r="V70" s="60">
        <f>VLOOKUP(B70,'Feuerwaffen-Ressourcen'!$A$2:$AI$54,22,0)+VLOOKUP(C70,'Feuerwaffen-Ressourcen'!$A$2:$AI$54,22,0)+VLOOKUP(D70,'Feuerwaffen-Ressourcen'!$A$2:$AI$54,22,0)+VLOOKUP(F70,'Feuerwaffen-Ressourcen'!$A$2:$AI$54,22,0)+VLOOKUP(G70,'Feuerwaffen-Ressourcen'!$A$2:$AI$54,22,0)+VLOOKUP(I70,'Feuerwaffen-Ressourcen'!$A$2:$AI$54,22,0)+VLOOKUP(J70,'Feuerwaffen-Ressourcen'!$A$2:$AI$54,22,0)</f>
        <v>-17</v>
      </c>
      <c r="W70" s="60">
        <f>VLOOKUP(B70,'Feuerwaffen-Ressourcen'!$A$2:$AI$54,23,0)+VLOOKUP(C70,'Feuerwaffen-Ressourcen'!$A$2:$AI$54,23,0)+VLOOKUP(D70,'Feuerwaffen-Ressourcen'!$A$2:$AI$54,23,0)+VLOOKUP(F70,'Feuerwaffen-Ressourcen'!$A$2:$AI$54,23,0)+VLOOKUP(G70,'Feuerwaffen-Ressourcen'!$A$2:$AI$54,23,0)+VLOOKUP(I70,'Feuerwaffen-Ressourcen'!$A$2:$AI$54,23,0)+VLOOKUP(J70,'Feuerwaffen-Ressourcen'!$A$2:$AI$54,23,0)</f>
        <v>-25</v>
      </c>
      <c r="X70" s="60">
        <f>VLOOKUP(B70,'Feuerwaffen-Ressourcen'!$A$2:$AI$54,24,0)+VLOOKUP(C70,'Feuerwaffen-Ressourcen'!$A$2:$AI$54,24,0)+VLOOKUP(D70,'Feuerwaffen-Ressourcen'!$A$2:$AI$54,24,0)+VLOOKUP(G70,'Feuerwaffen-Ressourcen'!$A$2:$AI$54,24,0)</f>
        <v>90</v>
      </c>
      <c r="Y70" s="60">
        <f>VLOOKUP(D70,'Feuerwaffen-Ressourcen'!$A$2:$AI$54,25,0)+VLOOKUP(E70,'Feuerwaffen-Ressourcen'!$A$2:$AI$54,25,0)+VLOOKUP(F70,'Feuerwaffen-Ressourcen'!$A$2:$AI$54,25,0)</f>
        <v>31</v>
      </c>
      <c r="Z70" s="60">
        <f>VLOOKUP(E70,'Feuerwaffen-Ressourcen'!$A$2:$AI$54,26,0)</f>
        <v>3</v>
      </c>
      <c r="AA70" s="60">
        <f>VLOOKUP(B70,'Feuerwaffen-Ressourcen'!$A$2:$AI$54,27,0)+VLOOKUP(D70,'Feuerwaffen-Ressourcen'!$A$2:$AI$54,27,0)+VLOOKUP(F70,'Feuerwaffen-Ressourcen'!$A$2:$AI$54,27,0)+VLOOKUP(I70,'Feuerwaffen-Ressourcen'!$A$2:$AI$54,27,0)</f>
        <v>-3</v>
      </c>
      <c r="AB70" s="60">
        <f>VLOOKUP(B70,'Feuerwaffen-Ressourcen'!$A$2:$AI$54,28,0)+VLOOKUP(C70,'Feuerwaffen-Ressourcen'!$A$2:$AI$54,28,0)+VLOOKUP(D70,'Feuerwaffen-Ressourcen'!$A$2:$AI$54,28,0)+VLOOKUP(E70,'Feuerwaffen-Ressourcen'!$A$2:$AI$54,28,0)+VLOOKUP(F70,'Feuerwaffen-Ressourcen'!$A$2:$AI$54,28,0)+VLOOKUP(G70,'Feuerwaffen-Ressourcen'!$A$2:$AI$54,28,0)+VLOOKUP(I70,'Feuerwaffen-Ressourcen'!$A$2:$AI$54,28,0)+VLOOKUP(J70,'Feuerwaffen-Ressourcen'!$A$2:$AI$54,28,0)</f>
        <v>90</v>
      </c>
      <c r="AC70" s="63">
        <f>VLOOKUP(I70,'Feuerwaffen-Ressourcen'!$A$2:$AI$54,31,0)*AD70+AE70</f>
        <v>530.69999999999993</v>
      </c>
      <c r="AD70" s="64">
        <f>VLOOKUP(B70,'Feuerwaffen-Ressourcen'!$A$2:$AI$54,30,0)+VLOOKUP(C70,'Feuerwaffen-Ressourcen'!$A$2:$AI$54,30,0)+VLOOKUP(D70,'Feuerwaffen-Ressourcen'!$A$2:$AI$54,30,0)+VLOOKUP(F70,'Feuerwaffen-Ressourcen'!$A$2:$AI$54,30,0)+VLOOKUP(G70,'Feuerwaffen-Ressourcen'!$A$2:$AI$54,30,0)+VLOOKUP(I70,'Feuerwaffen-Ressourcen'!$A$2:$AI$54,30,0)+VLOOKUP(J70,'Feuerwaffen-Ressourcen'!$A$2:$AI$54,30,0)</f>
        <v>10.7</v>
      </c>
      <c r="AE70" s="63">
        <f>(VLOOKUP(C70,'Feuerwaffen-Ressourcen'!$A$2:$AI$54,32,0)+VLOOKUP(I70,'Feuerwaffen-Ressourcen'!$A$2:$AI$54,32,0))*(VLOOKUP(B70,'Feuerwaffen-Ressourcen'!$A$2:$AI$54,34,0)+VLOOKUP(C70,'Feuerwaffen-Ressourcen'!$A$2:$AI$54,34,0)+VLOOKUP(D70,'Feuerwaffen-Ressourcen'!$A$2:$AI$54,34,0)+VLOOKUP(E70,'Feuerwaffen-Ressourcen'!$A$2:$AI$54,34,0)+VLOOKUP(G70,'Feuerwaffen-Ressourcen'!$A$2:$AI$54,34,0))+VLOOKUP(B70,'Feuerwaffen-Ressourcen'!$A$2:$AI$54,35,0)+VLOOKUP(C70,'Feuerwaffen-Ressourcen'!$A$2:$AI$54,35,0)+VLOOKUP(D70,'Feuerwaffen-Ressourcen'!$A$2:$AI$54,35,0)</f>
        <v>487.9</v>
      </c>
      <c r="AF70" s="65">
        <f>VLOOKUP(AB70,'Feuerwaffen-Ressourcen'!$AO$3:$AP$9,2,1)</f>
        <v>5</v>
      </c>
      <c r="AG70" s="65">
        <v>0</v>
      </c>
    </row>
    <row r="71" spans="1:33">
      <c r="A71" s="59" t="s">
        <v>7189</v>
      </c>
      <c r="B71" s="59" t="s">
        <v>1449</v>
      </c>
      <c r="C71" s="59" t="s">
        <v>7215</v>
      </c>
      <c r="D71" s="59" t="s">
        <v>7218</v>
      </c>
      <c r="E71" s="59" t="s">
        <v>7141</v>
      </c>
      <c r="F71" s="59" t="s">
        <v>7224</v>
      </c>
      <c r="G71" s="59" t="s">
        <v>7225</v>
      </c>
      <c r="H71" s="59" t="s">
        <v>7124</v>
      </c>
      <c r="I71" s="59" t="s">
        <v>5768</v>
      </c>
      <c r="J71" s="59" t="s">
        <v>5748</v>
      </c>
      <c r="K71" s="61">
        <f>VLOOKUP(B71,'Feuerwaffen-Ressourcen'!$A$2:$AI$54,11,0)+VLOOKUP(C71,'Feuerwaffen-Ressourcen'!$A$2:$AI$54,11,0)+VLOOKUP(D71,'Feuerwaffen-Ressourcen'!$A$2:$AI$54,11,0)+VLOOKUP(E71,'Feuerwaffen-Ressourcen'!$A$2:$AI$54,11,0)+VLOOKUP(G71,'Feuerwaffen-Ressourcen'!$A$2:$AI$54,11,0)</f>
        <v>6.05</v>
      </c>
      <c r="L71" s="60">
        <f>VLOOKUP(B71,'Feuerwaffen-Ressourcen'!$A$2:$AI$54,12,0)+VLOOKUP(C71,'Feuerwaffen-Ressourcen'!$A$2:$AI$54,12,0)+VLOOKUP(D71,'Feuerwaffen-Ressourcen'!$A$2:$AI$54,12,0)+VLOOKUP(J71,'Feuerwaffen-Ressourcen'!$A$2:$AI$54,12,0)</f>
        <v>13</v>
      </c>
      <c r="M71" s="60" t="str">
        <f>VLOOKUP(VLOOKUP(B71,'Feuerwaffen-Ressourcen'!$A$2:$AI$54,13,0)+VLOOKUP(C71,'Feuerwaffen-Ressourcen'!$A$2:$AI$54,13,0)+VLOOKUP(D71,'Feuerwaffen-Ressourcen'!$A$2:$AI$54,13,0),'Feuerwaffen-Ressourcen'!$AJ$3:$AK$12,2,0)</f>
        <v>W12</v>
      </c>
      <c r="N71" s="60" t="str">
        <f>VLOOKUP(VLOOKUP(B71,'Feuerwaffen-Ressourcen'!$A$2:$AI$54,14,0)+VLOOKUP(C71,'Feuerwaffen-Ressourcen'!$A$2:$AI$54,14,0)+VLOOKUP(D71,'Feuerwaffen-Ressourcen'!$A$2:$AI$54,14,0),'Feuerwaffen-Ressourcen'!$AJ$3:$AK$12,2,0)</f>
        <v>W12</v>
      </c>
      <c r="O71" s="60">
        <f>VLOOKUP(B71,'Feuerwaffen-Ressourcen'!$A$2:$AI$54,15,0)+VLOOKUP(C71,'Feuerwaffen-Ressourcen'!$A$2:$AI$54,15,0)+VLOOKUP(D71,'Feuerwaffen-Ressourcen'!$A$2:$AI$54,15,0)</f>
        <v>2</v>
      </c>
      <c r="P71" s="60">
        <f>VLOOKUP(B71,'Feuerwaffen-Ressourcen'!$A$2:$AI$54,16,0)+VLOOKUP(C71,'Feuerwaffen-Ressourcen'!$A$2:$AI$54,16,0)+VLOOKUP(D71,'Feuerwaffen-Ressourcen'!$A$2:$AI$54,16,0)+VLOOKUP(E71,'Feuerwaffen-Ressourcen'!$A$2:$AI$54,16,0)</f>
        <v>20</v>
      </c>
      <c r="Q71" s="62">
        <f>VLOOKUP(B71,'Feuerwaffen-Ressourcen'!$A$2:$AI$54,17,0)+VLOOKUP(C71,'Feuerwaffen-Ressourcen'!$A$2:$AI$54,17,0)+VLOOKUP(D71,'Feuerwaffen-Ressourcen'!$A$2:$AI$54,17,0)+VLOOKUP(E71,'Feuerwaffen-Ressourcen'!$A$2:$AI$54,17,0)</f>
        <v>12</v>
      </c>
      <c r="R71" s="60">
        <f>VLOOKUP(B71,'Feuerwaffen-Ressourcen'!$A$2:$AI$54,18,0)+VLOOKUP(C71,'Feuerwaffen-Ressourcen'!$A$2:$AI$54,18,0)+VLOOKUP(D71,'Feuerwaffen-Ressourcen'!$A$2:$AI$54,18,0)+VLOOKUP(F71,'Feuerwaffen-Ressourcen'!$A$2:$AI$54,18,0)+VLOOKUP(G71,'Feuerwaffen-Ressourcen'!$A$2:$AI$54,18,0)+VLOOKUP(I71,'Feuerwaffen-Ressourcen'!$A$2:$AI$54,18,0)+VLOOKUP(J71,'Feuerwaffen-Ressourcen'!$A$2:$AI$54,18,0)</f>
        <v>6</v>
      </c>
      <c r="S71" s="60">
        <f>VLOOKUP(B71,'Feuerwaffen-Ressourcen'!$A$2:$AI$54,19,0)+VLOOKUP(C71,'Feuerwaffen-Ressourcen'!$A$2:$AI$54,19,0)+VLOOKUP(D71,'Feuerwaffen-Ressourcen'!$A$2:$AI$54,19,0)+VLOOKUP(F71,'Feuerwaffen-Ressourcen'!$A$2:$AI$54,19,0)+VLOOKUP(G71,'Feuerwaffen-Ressourcen'!$A$2:$AI$54,19,0)+VLOOKUP(I71,'Feuerwaffen-Ressourcen'!$A$2:$AI$54,19,0)+VLOOKUP(J71,'Feuerwaffen-Ressourcen'!$A$2:$AI$54,19,0)</f>
        <v>3</v>
      </c>
      <c r="T71" s="60">
        <f>VLOOKUP(B71,'Feuerwaffen-Ressourcen'!$A$2:$AI$54,20,0)+VLOOKUP(C71,'Feuerwaffen-Ressourcen'!$A$2:$AI$54,20,0)+VLOOKUP(D71,'Feuerwaffen-Ressourcen'!$A$2:$AI$54,20,0)+VLOOKUP(F71,'Feuerwaffen-Ressourcen'!$A$2:$AI$54,20,0)+VLOOKUP(G71,'Feuerwaffen-Ressourcen'!$A$2:$AI$54,20,0)+VLOOKUP(I71,'Feuerwaffen-Ressourcen'!$A$2:$AI$54,20,0)+VLOOKUP(J71,'Feuerwaffen-Ressourcen'!$A$2:$AI$54,20,0)</f>
        <v>-1</v>
      </c>
      <c r="U71" s="60">
        <f>VLOOKUP(B71,'Feuerwaffen-Ressourcen'!$A$2:$AI$54,21,0)+VLOOKUP(C71,'Feuerwaffen-Ressourcen'!$A$2:$AI$54,21,0)+VLOOKUP(D71,'Feuerwaffen-Ressourcen'!$A$2:$AI$54,21,0)+VLOOKUP(F71,'Feuerwaffen-Ressourcen'!$A$2:$AI$54,21,0)+VLOOKUP(G71,'Feuerwaffen-Ressourcen'!$A$2:$AI$54,21,0)+VLOOKUP(I71,'Feuerwaffen-Ressourcen'!$A$2:$AI$54,21,0)+VLOOKUP(J71,'Feuerwaffen-Ressourcen'!$A$2:$AI$54,21,0)</f>
        <v>-8</v>
      </c>
      <c r="V71" s="60">
        <f>VLOOKUP(B71,'Feuerwaffen-Ressourcen'!$A$2:$AI$54,22,0)+VLOOKUP(C71,'Feuerwaffen-Ressourcen'!$A$2:$AI$54,22,0)+VLOOKUP(D71,'Feuerwaffen-Ressourcen'!$A$2:$AI$54,22,0)+VLOOKUP(F71,'Feuerwaffen-Ressourcen'!$A$2:$AI$54,22,0)+VLOOKUP(G71,'Feuerwaffen-Ressourcen'!$A$2:$AI$54,22,0)+VLOOKUP(I71,'Feuerwaffen-Ressourcen'!$A$2:$AI$54,22,0)+VLOOKUP(J71,'Feuerwaffen-Ressourcen'!$A$2:$AI$54,22,0)</f>
        <v>-16</v>
      </c>
      <c r="W71" s="60">
        <f>VLOOKUP(B71,'Feuerwaffen-Ressourcen'!$A$2:$AI$54,23,0)+VLOOKUP(C71,'Feuerwaffen-Ressourcen'!$A$2:$AI$54,23,0)+VLOOKUP(D71,'Feuerwaffen-Ressourcen'!$A$2:$AI$54,23,0)+VLOOKUP(F71,'Feuerwaffen-Ressourcen'!$A$2:$AI$54,23,0)+VLOOKUP(G71,'Feuerwaffen-Ressourcen'!$A$2:$AI$54,23,0)+VLOOKUP(I71,'Feuerwaffen-Ressourcen'!$A$2:$AI$54,23,0)+VLOOKUP(J71,'Feuerwaffen-Ressourcen'!$A$2:$AI$54,23,0)</f>
        <v>-24</v>
      </c>
      <c r="X71" s="60">
        <f>VLOOKUP(B71,'Feuerwaffen-Ressourcen'!$A$2:$AI$54,24,0)+VLOOKUP(C71,'Feuerwaffen-Ressourcen'!$A$2:$AI$54,24,0)+VLOOKUP(D71,'Feuerwaffen-Ressourcen'!$A$2:$AI$54,24,0)+VLOOKUP(G71,'Feuerwaffen-Ressourcen'!$A$2:$AI$54,24,0)</f>
        <v>90</v>
      </c>
      <c r="Y71" s="60">
        <f>VLOOKUP(D71,'Feuerwaffen-Ressourcen'!$A$2:$AI$54,25,0)+VLOOKUP(E71,'Feuerwaffen-Ressourcen'!$A$2:$AI$54,25,0)+VLOOKUP(F71,'Feuerwaffen-Ressourcen'!$A$2:$AI$54,25,0)</f>
        <v>10</v>
      </c>
      <c r="Z71" s="60">
        <f>VLOOKUP(E71,'Feuerwaffen-Ressourcen'!$A$2:$AI$54,26,0)</f>
        <v>6</v>
      </c>
      <c r="AA71" s="60">
        <f>VLOOKUP(B71,'Feuerwaffen-Ressourcen'!$A$2:$AI$54,27,0)+VLOOKUP(D71,'Feuerwaffen-Ressourcen'!$A$2:$AI$54,27,0)+VLOOKUP(F71,'Feuerwaffen-Ressourcen'!$A$2:$AI$54,27,0)+VLOOKUP(I71,'Feuerwaffen-Ressourcen'!$A$2:$AI$54,27,0)</f>
        <v>-5</v>
      </c>
      <c r="AB71" s="60">
        <f>VLOOKUP(B71,'Feuerwaffen-Ressourcen'!$A$2:$AI$54,28,0)+VLOOKUP(C71,'Feuerwaffen-Ressourcen'!$A$2:$AI$54,28,0)+VLOOKUP(D71,'Feuerwaffen-Ressourcen'!$A$2:$AI$54,28,0)+VLOOKUP(E71,'Feuerwaffen-Ressourcen'!$A$2:$AI$54,28,0)+VLOOKUP(F71,'Feuerwaffen-Ressourcen'!$A$2:$AI$54,28,0)+VLOOKUP(G71,'Feuerwaffen-Ressourcen'!$A$2:$AI$54,28,0)+VLOOKUP(I71,'Feuerwaffen-Ressourcen'!$A$2:$AI$54,28,0)+VLOOKUP(J71,'Feuerwaffen-Ressourcen'!$A$2:$AI$54,28,0)</f>
        <v>50</v>
      </c>
      <c r="AC71" s="63">
        <f>VLOOKUP(I71,'Feuerwaffen-Ressourcen'!$A$2:$AI$54,31,0)*AD71+AE71</f>
        <v>550.70000000000005</v>
      </c>
      <c r="AD71" s="64">
        <f>VLOOKUP(B71,'Feuerwaffen-Ressourcen'!$A$2:$AI$54,30,0)+VLOOKUP(C71,'Feuerwaffen-Ressourcen'!$A$2:$AI$54,30,0)+VLOOKUP(D71,'Feuerwaffen-Ressourcen'!$A$2:$AI$54,30,0)+VLOOKUP(F71,'Feuerwaffen-Ressourcen'!$A$2:$AI$54,30,0)+VLOOKUP(G71,'Feuerwaffen-Ressourcen'!$A$2:$AI$54,30,0)+VLOOKUP(I71,'Feuerwaffen-Ressourcen'!$A$2:$AI$54,30,0)+VLOOKUP(J71,'Feuerwaffen-Ressourcen'!$A$2:$AI$54,30,0)</f>
        <v>12.7</v>
      </c>
      <c r="AE71" s="63">
        <f>(VLOOKUP(C71,'Feuerwaffen-Ressourcen'!$A$2:$AI$54,32,0)+VLOOKUP(I71,'Feuerwaffen-Ressourcen'!$A$2:$AI$54,32,0))*(VLOOKUP(B71,'Feuerwaffen-Ressourcen'!$A$2:$AI$54,34,0)+VLOOKUP(C71,'Feuerwaffen-Ressourcen'!$A$2:$AI$54,34,0)+VLOOKUP(D71,'Feuerwaffen-Ressourcen'!$A$2:$AI$54,34,0)+VLOOKUP(E71,'Feuerwaffen-Ressourcen'!$A$2:$AI$54,34,0)+VLOOKUP(G71,'Feuerwaffen-Ressourcen'!$A$2:$AI$54,34,0))+VLOOKUP(B71,'Feuerwaffen-Ressourcen'!$A$2:$AI$54,35,0)+VLOOKUP(C71,'Feuerwaffen-Ressourcen'!$A$2:$AI$54,35,0)+VLOOKUP(D71,'Feuerwaffen-Ressourcen'!$A$2:$AI$54,35,0)</f>
        <v>499.90000000000003</v>
      </c>
      <c r="AF71" s="65">
        <f>VLOOKUP(AB71,'Feuerwaffen-Ressourcen'!$AO$3:$AP$9,2,1)</f>
        <v>7</v>
      </c>
      <c r="AG71" s="65">
        <v>0</v>
      </c>
    </row>
    <row r="72" spans="1:33">
      <c r="A72" s="59" t="s">
        <v>7190</v>
      </c>
      <c r="B72" s="59" t="s">
        <v>1449</v>
      </c>
      <c r="C72" s="59" t="s">
        <v>7215</v>
      </c>
      <c r="D72" s="59" t="s">
        <v>7206</v>
      </c>
      <c r="E72" s="59" t="s">
        <v>6505</v>
      </c>
      <c r="F72" s="59" t="s">
        <v>7223</v>
      </c>
      <c r="G72" s="59" t="s">
        <v>7225</v>
      </c>
      <c r="H72" s="59" t="s">
        <v>7121</v>
      </c>
      <c r="I72" s="59" t="s">
        <v>5768</v>
      </c>
      <c r="J72" s="59" t="s">
        <v>5748</v>
      </c>
      <c r="K72" s="61">
        <f>VLOOKUP(B72,'Feuerwaffen-Ressourcen'!$A$2:$AI$54,11,0)+VLOOKUP(C72,'Feuerwaffen-Ressourcen'!$A$2:$AI$54,11,0)+VLOOKUP(D72,'Feuerwaffen-Ressourcen'!$A$2:$AI$54,11,0)+VLOOKUP(E72,'Feuerwaffen-Ressourcen'!$A$2:$AI$54,11,0)+VLOOKUP(G72,'Feuerwaffen-Ressourcen'!$A$2:$AI$54,11,0)</f>
        <v>5.05</v>
      </c>
      <c r="L72" s="60">
        <f>VLOOKUP(B72,'Feuerwaffen-Ressourcen'!$A$2:$AI$54,12,0)+VLOOKUP(C72,'Feuerwaffen-Ressourcen'!$A$2:$AI$54,12,0)+VLOOKUP(D72,'Feuerwaffen-Ressourcen'!$A$2:$AI$54,12,0)+VLOOKUP(J72,'Feuerwaffen-Ressourcen'!$A$2:$AI$54,12,0)</f>
        <v>11</v>
      </c>
      <c r="M72" s="60" t="str">
        <f>VLOOKUP(VLOOKUP(B72,'Feuerwaffen-Ressourcen'!$A$2:$AI$54,13,0)+VLOOKUP(C72,'Feuerwaffen-Ressourcen'!$A$2:$AI$54,13,0)+VLOOKUP(D72,'Feuerwaffen-Ressourcen'!$A$2:$AI$54,13,0),'Feuerwaffen-Ressourcen'!$AJ$3:$AK$12,2,0)</f>
        <v>W10</v>
      </c>
      <c r="N72" s="60" t="str">
        <f>VLOOKUP(VLOOKUP(B72,'Feuerwaffen-Ressourcen'!$A$2:$AI$54,14,0)+VLOOKUP(C72,'Feuerwaffen-Ressourcen'!$A$2:$AI$54,14,0)+VLOOKUP(D72,'Feuerwaffen-Ressourcen'!$A$2:$AI$54,14,0),'Feuerwaffen-Ressourcen'!$AJ$3:$AK$12,2,0)</f>
        <v>W10</v>
      </c>
      <c r="O72" s="60">
        <f>VLOOKUP(B72,'Feuerwaffen-Ressourcen'!$A$2:$AI$54,15,0)+VLOOKUP(C72,'Feuerwaffen-Ressourcen'!$A$2:$AI$54,15,0)+VLOOKUP(D72,'Feuerwaffen-Ressourcen'!$A$2:$AI$54,15,0)</f>
        <v>1</v>
      </c>
      <c r="P72" s="60">
        <f>VLOOKUP(B72,'Feuerwaffen-Ressourcen'!$A$2:$AI$54,16,0)+VLOOKUP(C72,'Feuerwaffen-Ressourcen'!$A$2:$AI$54,16,0)+VLOOKUP(D72,'Feuerwaffen-Ressourcen'!$A$2:$AI$54,16,0)+VLOOKUP(E72,'Feuerwaffen-Ressourcen'!$A$2:$AI$54,16,0)</f>
        <v>13</v>
      </c>
      <c r="Q72" s="62">
        <f>VLOOKUP(B72,'Feuerwaffen-Ressourcen'!$A$2:$AI$54,17,0)+VLOOKUP(C72,'Feuerwaffen-Ressourcen'!$A$2:$AI$54,17,0)+VLOOKUP(D72,'Feuerwaffen-Ressourcen'!$A$2:$AI$54,17,0)+VLOOKUP(E72,'Feuerwaffen-Ressourcen'!$A$2:$AI$54,17,0)</f>
        <v>17</v>
      </c>
      <c r="R72" s="60">
        <f>VLOOKUP(B72,'Feuerwaffen-Ressourcen'!$A$2:$AI$54,18,0)+VLOOKUP(C72,'Feuerwaffen-Ressourcen'!$A$2:$AI$54,18,0)+VLOOKUP(D72,'Feuerwaffen-Ressourcen'!$A$2:$AI$54,18,0)+VLOOKUP(F72,'Feuerwaffen-Ressourcen'!$A$2:$AI$54,18,0)+VLOOKUP(G72,'Feuerwaffen-Ressourcen'!$A$2:$AI$54,18,0)+VLOOKUP(I72,'Feuerwaffen-Ressourcen'!$A$2:$AI$54,18,0)+VLOOKUP(J72,'Feuerwaffen-Ressourcen'!$A$2:$AI$54,18,0)</f>
        <v>8</v>
      </c>
      <c r="S72" s="60">
        <f>VLOOKUP(B72,'Feuerwaffen-Ressourcen'!$A$2:$AI$54,19,0)+VLOOKUP(C72,'Feuerwaffen-Ressourcen'!$A$2:$AI$54,19,0)+VLOOKUP(D72,'Feuerwaffen-Ressourcen'!$A$2:$AI$54,19,0)+VLOOKUP(F72,'Feuerwaffen-Ressourcen'!$A$2:$AI$54,19,0)+VLOOKUP(G72,'Feuerwaffen-Ressourcen'!$A$2:$AI$54,19,0)+VLOOKUP(I72,'Feuerwaffen-Ressourcen'!$A$2:$AI$54,19,0)+VLOOKUP(J72,'Feuerwaffen-Ressourcen'!$A$2:$AI$54,19,0)</f>
        <v>4</v>
      </c>
      <c r="T72" s="60">
        <f>VLOOKUP(B72,'Feuerwaffen-Ressourcen'!$A$2:$AI$54,20,0)+VLOOKUP(C72,'Feuerwaffen-Ressourcen'!$A$2:$AI$54,20,0)+VLOOKUP(D72,'Feuerwaffen-Ressourcen'!$A$2:$AI$54,20,0)+VLOOKUP(F72,'Feuerwaffen-Ressourcen'!$A$2:$AI$54,20,0)+VLOOKUP(G72,'Feuerwaffen-Ressourcen'!$A$2:$AI$54,20,0)+VLOOKUP(I72,'Feuerwaffen-Ressourcen'!$A$2:$AI$54,20,0)+VLOOKUP(J72,'Feuerwaffen-Ressourcen'!$A$2:$AI$54,20,0)</f>
        <v>-1</v>
      </c>
      <c r="U72" s="60">
        <f>VLOOKUP(B72,'Feuerwaffen-Ressourcen'!$A$2:$AI$54,21,0)+VLOOKUP(C72,'Feuerwaffen-Ressourcen'!$A$2:$AI$54,21,0)+VLOOKUP(D72,'Feuerwaffen-Ressourcen'!$A$2:$AI$54,21,0)+VLOOKUP(F72,'Feuerwaffen-Ressourcen'!$A$2:$AI$54,21,0)+VLOOKUP(G72,'Feuerwaffen-Ressourcen'!$A$2:$AI$54,21,0)+VLOOKUP(I72,'Feuerwaffen-Ressourcen'!$A$2:$AI$54,21,0)+VLOOKUP(J72,'Feuerwaffen-Ressourcen'!$A$2:$AI$54,21,0)</f>
        <v>-8</v>
      </c>
      <c r="V72" s="60">
        <f>VLOOKUP(B72,'Feuerwaffen-Ressourcen'!$A$2:$AI$54,22,0)+VLOOKUP(C72,'Feuerwaffen-Ressourcen'!$A$2:$AI$54,22,0)+VLOOKUP(D72,'Feuerwaffen-Ressourcen'!$A$2:$AI$54,22,0)+VLOOKUP(F72,'Feuerwaffen-Ressourcen'!$A$2:$AI$54,22,0)+VLOOKUP(G72,'Feuerwaffen-Ressourcen'!$A$2:$AI$54,22,0)+VLOOKUP(I72,'Feuerwaffen-Ressourcen'!$A$2:$AI$54,22,0)+VLOOKUP(J72,'Feuerwaffen-Ressourcen'!$A$2:$AI$54,22,0)</f>
        <v>-16</v>
      </c>
      <c r="W72" s="60">
        <f>VLOOKUP(B72,'Feuerwaffen-Ressourcen'!$A$2:$AI$54,23,0)+VLOOKUP(C72,'Feuerwaffen-Ressourcen'!$A$2:$AI$54,23,0)+VLOOKUP(D72,'Feuerwaffen-Ressourcen'!$A$2:$AI$54,23,0)+VLOOKUP(F72,'Feuerwaffen-Ressourcen'!$A$2:$AI$54,23,0)+VLOOKUP(G72,'Feuerwaffen-Ressourcen'!$A$2:$AI$54,23,0)+VLOOKUP(I72,'Feuerwaffen-Ressourcen'!$A$2:$AI$54,23,0)+VLOOKUP(J72,'Feuerwaffen-Ressourcen'!$A$2:$AI$54,23,0)</f>
        <v>-24</v>
      </c>
      <c r="X72" s="60">
        <f>VLOOKUP(B72,'Feuerwaffen-Ressourcen'!$A$2:$AI$54,24,0)+VLOOKUP(C72,'Feuerwaffen-Ressourcen'!$A$2:$AI$54,24,0)+VLOOKUP(D72,'Feuerwaffen-Ressourcen'!$A$2:$AI$54,24,0)+VLOOKUP(G72,'Feuerwaffen-Ressourcen'!$A$2:$AI$54,24,0)</f>
        <v>70</v>
      </c>
      <c r="Y72" s="60">
        <f>VLOOKUP(D72,'Feuerwaffen-Ressourcen'!$A$2:$AI$54,25,0)+VLOOKUP(E72,'Feuerwaffen-Ressourcen'!$A$2:$AI$54,25,0)+VLOOKUP(F72,'Feuerwaffen-Ressourcen'!$A$2:$AI$54,25,0)</f>
        <v>11</v>
      </c>
      <c r="Z72" s="60">
        <f>VLOOKUP(E72,'Feuerwaffen-Ressourcen'!$A$2:$AI$54,26,0)</f>
        <v>6</v>
      </c>
      <c r="AA72" s="60">
        <f>VLOOKUP(B72,'Feuerwaffen-Ressourcen'!$A$2:$AI$54,27,0)+VLOOKUP(D72,'Feuerwaffen-Ressourcen'!$A$2:$AI$54,27,0)+VLOOKUP(F72,'Feuerwaffen-Ressourcen'!$A$2:$AI$54,27,0)+VLOOKUP(I72,'Feuerwaffen-Ressourcen'!$A$2:$AI$54,27,0)</f>
        <v>-4</v>
      </c>
      <c r="AB72" s="60">
        <f>VLOOKUP(B72,'Feuerwaffen-Ressourcen'!$A$2:$AI$54,28,0)+VLOOKUP(C72,'Feuerwaffen-Ressourcen'!$A$2:$AI$54,28,0)+VLOOKUP(D72,'Feuerwaffen-Ressourcen'!$A$2:$AI$54,28,0)+VLOOKUP(E72,'Feuerwaffen-Ressourcen'!$A$2:$AI$54,28,0)+VLOOKUP(F72,'Feuerwaffen-Ressourcen'!$A$2:$AI$54,28,0)+VLOOKUP(G72,'Feuerwaffen-Ressourcen'!$A$2:$AI$54,28,0)+VLOOKUP(I72,'Feuerwaffen-Ressourcen'!$A$2:$AI$54,28,0)+VLOOKUP(J72,'Feuerwaffen-Ressourcen'!$A$2:$AI$54,28,0)</f>
        <v>90</v>
      </c>
      <c r="AC72" s="63">
        <f>VLOOKUP(I72,'Feuerwaffen-Ressourcen'!$A$2:$AI$54,31,0)*AD72+AE72</f>
        <v>422.7</v>
      </c>
      <c r="AD72" s="64">
        <f>VLOOKUP(B72,'Feuerwaffen-Ressourcen'!$A$2:$AI$54,30,0)+VLOOKUP(C72,'Feuerwaffen-Ressourcen'!$A$2:$AI$54,30,0)+VLOOKUP(D72,'Feuerwaffen-Ressourcen'!$A$2:$AI$54,30,0)+VLOOKUP(F72,'Feuerwaffen-Ressourcen'!$A$2:$AI$54,30,0)+VLOOKUP(G72,'Feuerwaffen-Ressourcen'!$A$2:$AI$54,30,0)+VLOOKUP(I72,'Feuerwaffen-Ressourcen'!$A$2:$AI$54,30,0)+VLOOKUP(J72,'Feuerwaffen-Ressourcen'!$A$2:$AI$54,30,0)</f>
        <v>10.7</v>
      </c>
      <c r="AE72" s="63">
        <f>(VLOOKUP(C72,'Feuerwaffen-Ressourcen'!$A$2:$AI$54,32,0)+VLOOKUP(I72,'Feuerwaffen-Ressourcen'!$A$2:$AI$54,32,0))*(VLOOKUP(B72,'Feuerwaffen-Ressourcen'!$A$2:$AI$54,34,0)+VLOOKUP(C72,'Feuerwaffen-Ressourcen'!$A$2:$AI$54,34,0)+VLOOKUP(D72,'Feuerwaffen-Ressourcen'!$A$2:$AI$54,34,0)+VLOOKUP(E72,'Feuerwaffen-Ressourcen'!$A$2:$AI$54,34,0)+VLOOKUP(G72,'Feuerwaffen-Ressourcen'!$A$2:$AI$54,34,0))+VLOOKUP(B72,'Feuerwaffen-Ressourcen'!$A$2:$AI$54,35,0)+VLOOKUP(C72,'Feuerwaffen-Ressourcen'!$A$2:$AI$54,35,0)+VLOOKUP(D72,'Feuerwaffen-Ressourcen'!$A$2:$AI$54,35,0)</f>
        <v>379.9</v>
      </c>
      <c r="AF72" s="65">
        <f>VLOOKUP(AB72,'Feuerwaffen-Ressourcen'!$AO$3:$AP$9,2,1)</f>
        <v>5</v>
      </c>
      <c r="AG72" s="65">
        <v>0</v>
      </c>
    </row>
    <row r="73" spans="1:33">
      <c r="A73" s="59" t="s">
        <v>7191</v>
      </c>
      <c r="B73" s="59" t="s">
        <v>1449</v>
      </c>
      <c r="C73" s="59" t="s">
        <v>7215</v>
      </c>
      <c r="D73" s="59" t="s">
        <v>7231</v>
      </c>
      <c r="E73" s="59" t="s">
        <v>6501</v>
      </c>
      <c r="F73" s="59" t="s">
        <v>7229</v>
      </c>
      <c r="G73" s="59" t="s">
        <v>7225</v>
      </c>
      <c r="H73" s="59" t="s">
        <v>6514</v>
      </c>
      <c r="I73" s="59" t="s">
        <v>5768</v>
      </c>
      <c r="J73" s="59" t="s">
        <v>5748</v>
      </c>
      <c r="K73" s="61">
        <f>VLOOKUP(B73,'Feuerwaffen-Ressourcen'!$A$2:$AI$54,11,0)+VLOOKUP(C73,'Feuerwaffen-Ressourcen'!$A$2:$AI$54,11,0)+VLOOKUP(D73,'Feuerwaffen-Ressourcen'!$A$2:$AI$54,11,0)+VLOOKUP(E73,'Feuerwaffen-Ressourcen'!$A$2:$AI$54,11,0)+VLOOKUP(G73,'Feuerwaffen-Ressourcen'!$A$2:$AI$54,11,0)</f>
        <v>4.05</v>
      </c>
      <c r="L73" s="60">
        <f>VLOOKUP(B73,'Feuerwaffen-Ressourcen'!$A$2:$AI$54,12,0)+VLOOKUP(C73,'Feuerwaffen-Ressourcen'!$A$2:$AI$54,12,0)+VLOOKUP(D73,'Feuerwaffen-Ressourcen'!$A$2:$AI$54,12,0)+VLOOKUP(J73,'Feuerwaffen-Ressourcen'!$A$2:$AI$54,12,0)</f>
        <v>10</v>
      </c>
      <c r="M73" s="60" t="str">
        <f>VLOOKUP(VLOOKUP(B73,'Feuerwaffen-Ressourcen'!$A$2:$AI$54,13,0)+VLOOKUP(C73,'Feuerwaffen-Ressourcen'!$A$2:$AI$54,13,0)+VLOOKUP(D73,'Feuerwaffen-Ressourcen'!$A$2:$AI$54,13,0),'Feuerwaffen-Ressourcen'!$AJ$3:$AK$12,2,0)</f>
        <v>W10</v>
      </c>
      <c r="N73" s="60" t="str">
        <f>VLOOKUP(VLOOKUP(B73,'Feuerwaffen-Ressourcen'!$A$2:$AI$54,14,0)+VLOOKUP(C73,'Feuerwaffen-Ressourcen'!$A$2:$AI$54,14,0)+VLOOKUP(D73,'Feuerwaffen-Ressourcen'!$A$2:$AI$54,14,0),'Feuerwaffen-Ressourcen'!$AJ$3:$AK$12,2,0)</f>
        <v>W10</v>
      </c>
      <c r="O73" s="60">
        <f>VLOOKUP(B73,'Feuerwaffen-Ressourcen'!$A$2:$AI$54,15,0)+VLOOKUP(C73,'Feuerwaffen-Ressourcen'!$A$2:$AI$54,15,0)+VLOOKUP(D73,'Feuerwaffen-Ressourcen'!$A$2:$AI$54,15,0)</f>
        <v>1</v>
      </c>
      <c r="P73" s="60">
        <f>VLOOKUP(B73,'Feuerwaffen-Ressourcen'!$A$2:$AI$54,16,0)+VLOOKUP(C73,'Feuerwaffen-Ressourcen'!$A$2:$AI$54,16,0)+VLOOKUP(D73,'Feuerwaffen-Ressourcen'!$A$2:$AI$54,16,0)+VLOOKUP(E73,'Feuerwaffen-Ressourcen'!$A$2:$AI$54,16,0)</f>
        <v>13</v>
      </c>
      <c r="Q73" s="62">
        <f>VLOOKUP(B73,'Feuerwaffen-Ressourcen'!$A$2:$AI$54,17,0)+VLOOKUP(C73,'Feuerwaffen-Ressourcen'!$A$2:$AI$54,17,0)+VLOOKUP(D73,'Feuerwaffen-Ressourcen'!$A$2:$AI$54,17,0)+VLOOKUP(E73,'Feuerwaffen-Ressourcen'!$A$2:$AI$54,17,0)</f>
        <v>17</v>
      </c>
      <c r="R73" s="60">
        <f>VLOOKUP(B73,'Feuerwaffen-Ressourcen'!$A$2:$AI$54,18,0)+VLOOKUP(C73,'Feuerwaffen-Ressourcen'!$A$2:$AI$54,18,0)+VLOOKUP(D73,'Feuerwaffen-Ressourcen'!$A$2:$AI$54,18,0)+VLOOKUP(F73,'Feuerwaffen-Ressourcen'!$A$2:$AI$54,18,0)+VLOOKUP(G73,'Feuerwaffen-Ressourcen'!$A$2:$AI$54,18,0)+VLOOKUP(I73,'Feuerwaffen-Ressourcen'!$A$2:$AI$54,18,0)+VLOOKUP(J73,'Feuerwaffen-Ressourcen'!$A$2:$AI$54,18,0)</f>
        <v>9</v>
      </c>
      <c r="S73" s="60">
        <f>VLOOKUP(B73,'Feuerwaffen-Ressourcen'!$A$2:$AI$54,19,0)+VLOOKUP(C73,'Feuerwaffen-Ressourcen'!$A$2:$AI$54,19,0)+VLOOKUP(D73,'Feuerwaffen-Ressourcen'!$A$2:$AI$54,19,0)+VLOOKUP(F73,'Feuerwaffen-Ressourcen'!$A$2:$AI$54,19,0)+VLOOKUP(G73,'Feuerwaffen-Ressourcen'!$A$2:$AI$54,19,0)+VLOOKUP(I73,'Feuerwaffen-Ressourcen'!$A$2:$AI$54,19,0)+VLOOKUP(J73,'Feuerwaffen-Ressourcen'!$A$2:$AI$54,19,0)</f>
        <v>3</v>
      </c>
      <c r="T73" s="60">
        <f>VLOOKUP(B73,'Feuerwaffen-Ressourcen'!$A$2:$AI$54,20,0)+VLOOKUP(C73,'Feuerwaffen-Ressourcen'!$A$2:$AI$54,20,0)+VLOOKUP(D73,'Feuerwaffen-Ressourcen'!$A$2:$AI$54,20,0)+VLOOKUP(F73,'Feuerwaffen-Ressourcen'!$A$2:$AI$54,20,0)+VLOOKUP(G73,'Feuerwaffen-Ressourcen'!$A$2:$AI$54,20,0)+VLOOKUP(I73,'Feuerwaffen-Ressourcen'!$A$2:$AI$54,20,0)+VLOOKUP(J73,'Feuerwaffen-Ressourcen'!$A$2:$AI$54,20,0)</f>
        <v>-4</v>
      </c>
      <c r="U73" s="60">
        <f>VLOOKUP(B73,'Feuerwaffen-Ressourcen'!$A$2:$AI$54,21,0)+VLOOKUP(C73,'Feuerwaffen-Ressourcen'!$A$2:$AI$54,21,0)+VLOOKUP(D73,'Feuerwaffen-Ressourcen'!$A$2:$AI$54,21,0)+VLOOKUP(F73,'Feuerwaffen-Ressourcen'!$A$2:$AI$54,21,0)+VLOOKUP(G73,'Feuerwaffen-Ressourcen'!$A$2:$AI$54,21,0)+VLOOKUP(I73,'Feuerwaffen-Ressourcen'!$A$2:$AI$54,21,0)+VLOOKUP(J73,'Feuerwaffen-Ressourcen'!$A$2:$AI$54,21,0)</f>
        <v>-13</v>
      </c>
      <c r="V73" s="60">
        <f>VLOOKUP(B73,'Feuerwaffen-Ressourcen'!$A$2:$AI$54,22,0)+VLOOKUP(C73,'Feuerwaffen-Ressourcen'!$A$2:$AI$54,22,0)+VLOOKUP(D73,'Feuerwaffen-Ressourcen'!$A$2:$AI$54,22,0)+VLOOKUP(F73,'Feuerwaffen-Ressourcen'!$A$2:$AI$54,22,0)+VLOOKUP(G73,'Feuerwaffen-Ressourcen'!$A$2:$AI$54,22,0)+VLOOKUP(I73,'Feuerwaffen-Ressourcen'!$A$2:$AI$54,22,0)+VLOOKUP(J73,'Feuerwaffen-Ressourcen'!$A$2:$AI$54,22,0)</f>
        <v>-23</v>
      </c>
      <c r="W73" s="60">
        <f>VLOOKUP(B73,'Feuerwaffen-Ressourcen'!$A$2:$AI$54,23,0)+VLOOKUP(C73,'Feuerwaffen-Ressourcen'!$A$2:$AI$54,23,0)+VLOOKUP(D73,'Feuerwaffen-Ressourcen'!$A$2:$AI$54,23,0)+VLOOKUP(F73,'Feuerwaffen-Ressourcen'!$A$2:$AI$54,23,0)+VLOOKUP(G73,'Feuerwaffen-Ressourcen'!$A$2:$AI$54,23,0)+VLOOKUP(I73,'Feuerwaffen-Ressourcen'!$A$2:$AI$54,23,0)+VLOOKUP(J73,'Feuerwaffen-Ressourcen'!$A$2:$AI$54,23,0)</f>
        <v>-33</v>
      </c>
      <c r="X73" s="60">
        <f>VLOOKUP(B73,'Feuerwaffen-Ressourcen'!$A$2:$AI$54,24,0)+VLOOKUP(C73,'Feuerwaffen-Ressourcen'!$A$2:$AI$54,24,0)+VLOOKUP(D73,'Feuerwaffen-Ressourcen'!$A$2:$AI$54,24,0)+VLOOKUP(G73,'Feuerwaffen-Ressourcen'!$A$2:$AI$54,24,0)</f>
        <v>60</v>
      </c>
      <c r="Y73" s="60">
        <f>VLOOKUP(D73,'Feuerwaffen-Ressourcen'!$A$2:$AI$54,25,0)+VLOOKUP(E73,'Feuerwaffen-Ressourcen'!$A$2:$AI$54,25,0)+VLOOKUP(F73,'Feuerwaffen-Ressourcen'!$A$2:$AI$54,25,0)</f>
        <v>28</v>
      </c>
      <c r="Z73" s="60">
        <f>VLOOKUP(E73,'Feuerwaffen-Ressourcen'!$A$2:$AI$54,26,0)</f>
        <v>3</v>
      </c>
      <c r="AA73" s="60">
        <f>VLOOKUP(B73,'Feuerwaffen-Ressourcen'!$A$2:$AI$54,27,0)+VLOOKUP(D73,'Feuerwaffen-Ressourcen'!$A$2:$AI$54,27,0)+VLOOKUP(F73,'Feuerwaffen-Ressourcen'!$A$2:$AI$54,27,0)+VLOOKUP(I73,'Feuerwaffen-Ressourcen'!$A$2:$AI$54,27,0)</f>
        <v>-3</v>
      </c>
      <c r="AB73" s="60">
        <f>VLOOKUP(B73,'Feuerwaffen-Ressourcen'!$A$2:$AI$54,28,0)+VLOOKUP(C73,'Feuerwaffen-Ressourcen'!$A$2:$AI$54,28,0)+VLOOKUP(D73,'Feuerwaffen-Ressourcen'!$A$2:$AI$54,28,0)+VLOOKUP(E73,'Feuerwaffen-Ressourcen'!$A$2:$AI$54,28,0)+VLOOKUP(F73,'Feuerwaffen-Ressourcen'!$A$2:$AI$54,28,0)+VLOOKUP(G73,'Feuerwaffen-Ressourcen'!$A$2:$AI$54,28,0)+VLOOKUP(I73,'Feuerwaffen-Ressourcen'!$A$2:$AI$54,28,0)+VLOOKUP(J73,'Feuerwaffen-Ressourcen'!$A$2:$AI$54,28,0)</f>
        <v>90</v>
      </c>
      <c r="AC73" s="63">
        <f>VLOOKUP(I73,'Feuerwaffen-Ressourcen'!$A$2:$AI$54,31,0)*AD73+AE73</f>
        <v>310.59999999999991</v>
      </c>
      <c r="AD73" s="64">
        <f>VLOOKUP(B73,'Feuerwaffen-Ressourcen'!$A$2:$AI$54,30,0)+VLOOKUP(C73,'Feuerwaffen-Ressourcen'!$A$2:$AI$54,30,0)+VLOOKUP(D73,'Feuerwaffen-Ressourcen'!$A$2:$AI$54,30,0)+VLOOKUP(F73,'Feuerwaffen-Ressourcen'!$A$2:$AI$54,30,0)+VLOOKUP(G73,'Feuerwaffen-Ressourcen'!$A$2:$AI$54,30,0)+VLOOKUP(I73,'Feuerwaffen-Ressourcen'!$A$2:$AI$54,30,0)+VLOOKUP(J73,'Feuerwaffen-Ressourcen'!$A$2:$AI$54,30,0)</f>
        <v>9.6999999999999993</v>
      </c>
      <c r="AE73" s="63">
        <f>(VLOOKUP(C73,'Feuerwaffen-Ressourcen'!$A$2:$AI$54,32,0)+VLOOKUP(I73,'Feuerwaffen-Ressourcen'!$A$2:$AI$54,32,0))*(VLOOKUP(B73,'Feuerwaffen-Ressourcen'!$A$2:$AI$54,34,0)+VLOOKUP(C73,'Feuerwaffen-Ressourcen'!$A$2:$AI$54,34,0)+VLOOKUP(D73,'Feuerwaffen-Ressourcen'!$A$2:$AI$54,34,0)+VLOOKUP(E73,'Feuerwaffen-Ressourcen'!$A$2:$AI$54,34,0)+VLOOKUP(G73,'Feuerwaffen-Ressourcen'!$A$2:$AI$54,34,0))+VLOOKUP(B73,'Feuerwaffen-Ressourcen'!$A$2:$AI$54,35,0)+VLOOKUP(C73,'Feuerwaffen-Ressourcen'!$A$2:$AI$54,35,0)+VLOOKUP(D73,'Feuerwaffen-Ressourcen'!$A$2:$AI$54,35,0)</f>
        <v>271.7999999999999</v>
      </c>
      <c r="AF73" s="65">
        <f>VLOOKUP(AB73,'Feuerwaffen-Ressourcen'!$AO$3:$AP$9,2,1)</f>
        <v>5</v>
      </c>
      <c r="AG73" s="65">
        <v>0</v>
      </c>
    </row>
    <row r="74" spans="1:33">
      <c r="A74" s="59" t="s">
        <v>7192</v>
      </c>
      <c r="B74" s="59" t="s">
        <v>1449</v>
      </c>
      <c r="C74" s="59" t="s">
        <v>7215</v>
      </c>
      <c r="D74" s="59" t="s">
        <v>7228</v>
      </c>
      <c r="E74" s="59" t="s">
        <v>6501</v>
      </c>
      <c r="F74" s="59" t="s">
        <v>7232</v>
      </c>
      <c r="G74" s="59" t="s">
        <v>7225</v>
      </c>
      <c r="H74" s="59" t="s">
        <v>6514</v>
      </c>
      <c r="I74" s="59" t="s">
        <v>5768</v>
      </c>
      <c r="J74" s="59" t="s">
        <v>5748</v>
      </c>
      <c r="K74" s="61">
        <f>VLOOKUP(B74,'Feuerwaffen-Ressourcen'!$A$2:$AI$54,11,0)+VLOOKUP(C74,'Feuerwaffen-Ressourcen'!$A$2:$AI$54,11,0)+VLOOKUP(D74,'Feuerwaffen-Ressourcen'!$A$2:$AI$54,11,0)+VLOOKUP(E74,'Feuerwaffen-Ressourcen'!$A$2:$AI$54,11,0)+VLOOKUP(G74,'Feuerwaffen-Ressourcen'!$A$2:$AI$54,11,0)</f>
        <v>4.95</v>
      </c>
      <c r="L74" s="60">
        <f>VLOOKUP(B74,'Feuerwaffen-Ressourcen'!$A$2:$AI$54,12,0)+VLOOKUP(C74,'Feuerwaffen-Ressourcen'!$A$2:$AI$54,12,0)+VLOOKUP(D74,'Feuerwaffen-Ressourcen'!$A$2:$AI$54,12,0)+VLOOKUP(J74,'Feuerwaffen-Ressourcen'!$A$2:$AI$54,12,0)</f>
        <v>11</v>
      </c>
      <c r="M74" s="60" t="str">
        <f>VLOOKUP(VLOOKUP(B74,'Feuerwaffen-Ressourcen'!$A$2:$AI$54,13,0)+VLOOKUP(C74,'Feuerwaffen-Ressourcen'!$A$2:$AI$54,13,0)+VLOOKUP(D74,'Feuerwaffen-Ressourcen'!$A$2:$AI$54,13,0),'Feuerwaffen-Ressourcen'!$AJ$3:$AK$12,2,0)</f>
        <v>W10</v>
      </c>
      <c r="N74" s="60" t="str">
        <f>VLOOKUP(VLOOKUP(B74,'Feuerwaffen-Ressourcen'!$A$2:$AI$54,14,0)+VLOOKUP(C74,'Feuerwaffen-Ressourcen'!$A$2:$AI$54,14,0)+VLOOKUP(D74,'Feuerwaffen-Ressourcen'!$A$2:$AI$54,14,0),'Feuerwaffen-Ressourcen'!$AJ$3:$AK$12,2,0)</f>
        <v>W10</v>
      </c>
      <c r="O74" s="60">
        <f>VLOOKUP(B74,'Feuerwaffen-Ressourcen'!$A$2:$AI$54,15,0)+VLOOKUP(C74,'Feuerwaffen-Ressourcen'!$A$2:$AI$54,15,0)+VLOOKUP(D74,'Feuerwaffen-Ressourcen'!$A$2:$AI$54,15,0)</f>
        <v>2</v>
      </c>
      <c r="P74" s="60">
        <f>VLOOKUP(B74,'Feuerwaffen-Ressourcen'!$A$2:$AI$54,16,0)+VLOOKUP(C74,'Feuerwaffen-Ressourcen'!$A$2:$AI$54,16,0)+VLOOKUP(D74,'Feuerwaffen-Ressourcen'!$A$2:$AI$54,16,0)+VLOOKUP(E74,'Feuerwaffen-Ressourcen'!$A$2:$AI$54,16,0)</f>
        <v>13</v>
      </c>
      <c r="Q74" s="62">
        <f>VLOOKUP(B74,'Feuerwaffen-Ressourcen'!$A$2:$AI$54,17,0)+VLOOKUP(C74,'Feuerwaffen-Ressourcen'!$A$2:$AI$54,17,0)+VLOOKUP(D74,'Feuerwaffen-Ressourcen'!$A$2:$AI$54,17,0)+VLOOKUP(E74,'Feuerwaffen-Ressourcen'!$A$2:$AI$54,17,0)</f>
        <v>17</v>
      </c>
      <c r="R74" s="60">
        <f>VLOOKUP(B74,'Feuerwaffen-Ressourcen'!$A$2:$AI$54,18,0)+VLOOKUP(C74,'Feuerwaffen-Ressourcen'!$A$2:$AI$54,18,0)+VLOOKUP(D74,'Feuerwaffen-Ressourcen'!$A$2:$AI$54,18,0)+VLOOKUP(F74,'Feuerwaffen-Ressourcen'!$A$2:$AI$54,18,0)+VLOOKUP(G74,'Feuerwaffen-Ressourcen'!$A$2:$AI$54,18,0)+VLOOKUP(I74,'Feuerwaffen-Ressourcen'!$A$2:$AI$54,18,0)+VLOOKUP(J74,'Feuerwaffen-Ressourcen'!$A$2:$AI$54,18,0)</f>
        <v>7</v>
      </c>
      <c r="S74" s="60">
        <f>VLOOKUP(B74,'Feuerwaffen-Ressourcen'!$A$2:$AI$54,19,0)+VLOOKUP(C74,'Feuerwaffen-Ressourcen'!$A$2:$AI$54,19,0)+VLOOKUP(D74,'Feuerwaffen-Ressourcen'!$A$2:$AI$54,19,0)+VLOOKUP(F74,'Feuerwaffen-Ressourcen'!$A$2:$AI$54,19,0)+VLOOKUP(G74,'Feuerwaffen-Ressourcen'!$A$2:$AI$54,19,0)+VLOOKUP(I74,'Feuerwaffen-Ressourcen'!$A$2:$AI$54,19,0)+VLOOKUP(J74,'Feuerwaffen-Ressourcen'!$A$2:$AI$54,19,0)</f>
        <v>4</v>
      </c>
      <c r="T74" s="60">
        <f>VLOOKUP(B74,'Feuerwaffen-Ressourcen'!$A$2:$AI$54,20,0)+VLOOKUP(C74,'Feuerwaffen-Ressourcen'!$A$2:$AI$54,20,0)+VLOOKUP(D74,'Feuerwaffen-Ressourcen'!$A$2:$AI$54,20,0)+VLOOKUP(F74,'Feuerwaffen-Ressourcen'!$A$2:$AI$54,20,0)+VLOOKUP(G74,'Feuerwaffen-Ressourcen'!$A$2:$AI$54,20,0)+VLOOKUP(I74,'Feuerwaffen-Ressourcen'!$A$2:$AI$54,20,0)+VLOOKUP(J74,'Feuerwaffen-Ressourcen'!$A$2:$AI$54,20,0)</f>
        <v>0</v>
      </c>
      <c r="U74" s="60">
        <f>VLOOKUP(B74,'Feuerwaffen-Ressourcen'!$A$2:$AI$54,21,0)+VLOOKUP(C74,'Feuerwaffen-Ressourcen'!$A$2:$AI$54,21,0)+VLOOKUP(D74,'Feuerwaffen-Ressourcen'!$A$2:$AI$54,21,0)+VLOOKUP(F74,'Feuerwaffen-Ressourcen'!$A$2:$AI$54,21,0)+VLOOKUP(G74,'Feuerwaffen-Ressourcen'!$A$2:$AI$54,21,0)+VLOOKUP(I74,'Feuerwaffen-Ressourcen'!$A$2:$AI$54,21,0)+VLOOKUP(J74,'Feuerwaffen-Ressourcen'!$A$2:$AI$54,21,0)</f>
        <v>-6</v>
      </c>
      <c r="V74" s="60">
        <f>VLOOKUP(B74,'Feuerwaffen-Ressourcen'!$A$2:$AI$54,22,0)+VLOOKUP(C74,'Feuerwaffen-Ressourcen'!$A$2:$AI$54,22,0)+VLOOKUP(D74,'Feuerwaffen-Ressourcen'!$A$2:$AI$54,22,0)+VLOOKUP(F74,'Feuerwaffen-Ressourcen'!$A$2:$AI$54,22,0)+VLOOKUP(G74,'Feuerwaffen-Ressourcen'!$A$2:$AI$54,22,0)+VLOOKUP(I74,'Feuerwaffen-Ressourcen'!$A$2:$AI$54,22,0)+VLOOKUP(J74,'Feuerwaffen-Ressourcen'!$A$2:$AI$54,22,0)</f>
        <v>-13</v>
      </c>
      <c r="W74" s="60">
        <f>VLOOKUP(B74,'Feuerwaffen-Ressourcen'!$A$2:$AI$54,23,0)+VLOOKUP(C74,'Feuerwaffen-Ressourcen'!$A$2:$AI$54,23,0)+VLOOKUP(D74,'Feuerwaffen-Ressourcen'!$A$2:$AI$54,23,0)+VLOOKUP(F74,'Feuerwaffen-Ressourcen'!$A$2:$AI$54,23,0)+VLOOKUP(G74,'Feuerwaffen-Ressourcen'!$A$2:$AI$54,23,0)+VLOOKUP(I74,'Feuerwaffen-Ressourcen'!$A$2:$AI$54,23,0)+VLOOKUP(J74,'Feuerwaffen-Ressourcen'!$A$2:$AI$54,23,0)</f>
        <v>-20</v>
      </c>
      <c r="X74" s="60">
        <f>VLOOKUP(B74,'Feuerwaffen-Ressourcen'!$A$2:$AI$54,24,0)+VLOOKUP(C74,'Feuerwaffen-Ressourcen'!$A$2:$AI$54,24,0)+VLOOKUP(D74,'Feuerwaffen-Ressourcen'!$A$2:$AI$54,24,0)+VLOOKUP(G74,'Feuerwaffen-Ressourcen'!$A$2:$AI$54,24,0)</f>
        <v>80</v>
      </c>
      <c r="Y74" s="60">
        <f>VLOOKUP(D74,'Feuerwaffen-Ressourcen'!$A$2:$AI$54,25,0)+VLOOKUP(E74,'Feuerwaffen-Ressourcen'!$A$2:$AI$54,25,0)+VLOOKUP(F74,'Feuerwaffen-Ressourcen'!$A$2:$AI$54,25,0)</f>
        <v>33</v>
      </c>
      <c r="Z74" s="60">
        <f>VLOOKUP(E74,'Feuerwaffen-Ressourcen'!$A$2:$AI$54,26,0)</f>
        <v>3</v>
      </c>
      <c r="AA74" s="60">
        <f>VLOOKUP(B74,'Feuerwaffen-Ressourcen'!$A$2:$AI$54,27,0)+VLOOKUP(D74,'Feuerwaffen-Ressourcen'!$A$2:$AI$54,27,0)+VLOOKUP(F74,'Feuerwaffen-Ressourcen'!$A$2:$AI$54,27,0)+VLOOKUP(I74,'Feuerwaffen-Ressourcen'!$A$2:$AI$54,27,0)</f>
        <v>-2</v>
      </c>
      <c r="AB74" s="60">
        <f>VLOOKUP(B74,'Feuerwaffen-Ressourcen'!$A$2:$AI$54,28,0)+VLOOKUP(C74,'Feuerwaffen-Ressourcen'!$A$2:$AI$54,28,0)+VLOOKUP(D74,'Feuerwaffen-Ressourcen'!$A$2:$AI$54,28,0)+VLOOKUP(E74,'Feuerwaffen-Ressourcen'!$A$2:$AI$54,28,0)+VLOOKUP(F74,'Feuerwaffen-Ressourcen'!$A$2:$AI$54,28,0)+VLOOKUP(G74,'Feuerwaffen-Ressourcen'!$A$2:$AI$54,28,0)+VLOOKUP(I74,'Feuerwaffen-Ressourcen'!$A$2:$AI$54,28,0)+VLOOKUP(J74,'Feuerwaffen-Ressourcen'!$A$2:$AI$54,28,0)</f>
        <v>65</v>
      </c>
      <c r="AC74" s="63">
        <f>VLOOKUP(I74,'Feuerwaffen-Ressourcen'!$A$2:$AI$54,31,0)*AD74+AE74</f>
        <v>450.7</v>
      </c>
      <c r="AD74" s="64">
        <f>VLOOKUP(B74,'Feuerwaffen-Ressourcen'!$A$2:$AI$54,30,0)+VLOOKUP(C74,'Feuerwaffen-Ressourcen'!$A$2:$AI$54,30,0)+VLOOKUP(D74,'Feuerwaffen-Ressourcen'!$A$2:$AI$54,30,0)+VLOOKUP(F74,'Feuerwaffen-Ressourcen'!$A$2:$AI$54,30,0)+VLOOKUP(G74,'Feuerwaffen-Ressourcen'!$A$2:$AI$54,30,0)+VLOOKUP(I74,'Feuerwaffen-Ressourcen'!$A$2:$AI$54,30,0)+VLOOKUP(J74,'Feuerwaffen-Ressourcen'!$A$2:$AI$54,30,0)</f>
        <v>20.7</v>
      </c>
      <c r="AE74" s="63">
        <f>(VLOOKUP(C74,'Feuerwaffen-Ressourcen'!$A$2:$AI$54,32,0)+VLOOKUP(I74,'Feuerwaffen-Ressourcen'!$A$2:$AI$54,32,0))*(VLOOKUP(B74,'Feuerwaffen-Ressourcen'!$A$2:$AI$54,34,0)+VLOOKUP(C74,'Feuerwaffen-Ressourcen'!$A$2:$AI$54,34,0)+VLOOKUP(D74,'Feuerwaffen-Ressourcen'!$A$2:$AI$54,34,0)+VLOOKUP(E74,'Feuerwaffen-Ressourcen'!$A$2:$AI$54,34,0)+VLOOKUP(G74,'Feuerwaffen-Ressourcen'!$A$2:$AI$54,34,0))+VLOOKUP(B74,'Feuerwaffen-Ressourcen'!$A$2:$AI$54,35,0)+VLOOKUP(C74,'Feuerwaffen-Ressourcen'!$A$2:$AI$54,35,0)+VLOOKUP(D74,'Feuerwaffen-Ressourcen'!$A$2:$AI$54,35,0)</f>
        <v>367.9</v>
      </c>
      <c r="AF74" s="65">
        <f>VLOOKUP(AB74,'Feuerwaffen-Ressourcen'!$AO$3:$AP$9,2,1)</f>
        <v>7</v>
      </c>
      <c r="AG74" s="65">
        <v>0</v>
      </c>
    </row>
    <row r="75" spans="1:33">
      <c r="A75" s="59" t="s">
        <v>7193</v>
      </c>
      <c r="B75" s="59" t="s">
        <v>1449</v>
      </c>
      <c r="C75" s="59" t="s">
        <v>7215</v>
      </c>
      <c r="D75" s="59" t="s">
        <v>7206</v>
      </c>
      <c r="E75" s="59" t="s">
        <v>6501</v>
      </c>
      <c r="F75" s="59" t="s">
        <v>7229</v>
      </c>
      <c r="G75" s="59" t="s">
        <v>7225</v>
      </c>
      <c r="H75" s="59" t="s">
        <v>6514</v>
      </c>
      <c r="I75" s="59" t="s">
        <v>5768</v>
      </c>
      <c r="J75" s="59" t="s">
        <v>5748</v>
      </c>
      <c r="K75" s="61">
        <f>VLOOKUP(B75,'Feuerwaffen-Ressourcen'!$A$2:$AI$54,11,0)+VLOOKUP(C75,'Feuerwaffen-Ressourcen'!$A$2:$AI$54,11,0)+VLOOKUP(D75,'Feuerwaffen-Ressourcen'!$A$2:$AI$54,11,0)+VLOOKUP(E75,'Feuerwaffen-Ressourcen'!$A$2:$AI$54,11,0)+VLOOKUP(G75,'Feuerwaffen-Ressourcen'!$A$2:$AI$54,11,0)</f>
        <v>4.95</v>
      </c>
      <c r="L75" s="60">
        <f>VLOOKUP(B75,'Feuerwaffen-Ressourcen'!$A$2:$AI$54,12,0)+VLOOKUP(C75,'Feuerwaffen-Ressourcen'!$A$2:$AI$54,12,0)+VLOOKUP(D75,'Feuerwaffen-Ressourcen'!$A$2:$AI$54,12,0)+VLOOKUP(J75,'Feuerwaffen-Ressourcen'!$A$2:$AI$54,12,0)</f>
        <v>11</v>
      </c>
      <c r="M75" s="60" t="str">
        <f>VLOOKUP(VLOOKUP(B75,'Feuerwaffen-Ressourcen'!$A$2:$AI$54,13,0)+VLOOKUP(C75,'Feuerwaffen-Ressourcen'!$A$2:$AI$54,13,0)+VLOOKUP(D75,'Feuerwaffen-Ressourcen'!$A$2:$AI$54,13,0),'Feuerwaffen-Ressourcen'!$AJ$3:$AK$12,2,0)</f>
        <v>W10</v>
      </c>
      <c r="N75" s="60" t="str">
        <f>VLOOKUP(VLOOKUP(B75,'Feuerwaffen-Ressourcen'!$A$2:$AI$54,14,0)+VLOOKUP(C75,'Feuerwaffen-Ressourcen'!$A$2:$AI$54,14,0)+VLOOKUP(D75,'Feuerwaffen-Ressourcen'!$A$2:$AI$54,14,0),'Feuerwaffen-Ressourcen'!$AJ$3:$AK$12,2,0)</f>
        <v>W10</v>
      </c>
      <c r="O75" s="60">
        <f>VLOOKUP(B75,'Feuerwaffen-Ressourcen'!$A$2:$AI$54,15,0)+VLOOKUP(C75,'Feuerwaffen-Ressourcen'!$A$2:$AI$54,15,0)+VLOOKUP(D75,'Feuerwaffen-Ressourcen'!$A$2:$AI$54,15,0)</f>
        <v>1</v>
      </c>
      <c r="P75" s="60">
        <f>VLOOKUP(B75,'Feuerwaffen-Ressourcen'!$A$2:$AI$54,16,0)+VLOOKUP(C75,'Feuerwaffen-Ressourcen'!$A$2:$AI$54,16,0)+VLOOKUP(D75,'Feuerwaffen-Ressourcen'!$A$2:$AI$54,16,0)+VLOOKUP(E75,'Feuerwaffen-Ressourcen'!$A$2:$AI$54,16,0)</f>
        <v>13</v>
      </c>
      <c r="Q75" s="62">
        <f>VLOOKUP(B75,'Feuerwaffen-Ressourcen'!$A$2:$AI$54,17,0)+VLOOKUP(C75,'Feuerwaffen-Ressourcen'!$A$2:$AI$54,17,0)+VLOOKUP(D75,'Feuerwaffen-Ressourcen'!$A$2:$AI$54,17,0)+VLOOKUP(E75,'Feuerwaffen-Ressourcen'!$A$2:$AI$54,17,0)</f>
        <v>17</v>
      </c>
      <c r="R75" s="60">
        <f>VLOOKUP(B75,'Feuerwaffen-Ressourcen'!$A$2:$AI$54,18,0)+VLOOKUP(C75,'Feuerwaffen-Ressourcen'!$A$2:$AI$54,18,0)+VLOOKUP(D75,'Feuerwaffen-Ressourcen'!$A$2:$AI$54,18,0)+VLOOKUP(F75,'Feuerwaffen-Ressourcen'!$A$2:$AI$54,18,0)+VLOOKUP(G75,'Feuerwaffen-Ressourcen'!$A$2:$AI$54,18,0)+VLOOKUP(I75,'Feuerwaffen-Ressourcen'!$A$2:$AI$54,18,0)+VLOOKUP(J75,'Feuerwaffen-Ressourcen'!$A$2:$AI$54,18,0)</f>
        <v>7</v>
      </c>
      <c r="S75" s="60">
        <f>VLOOKUP(B75,'Feuerwaffen-Ressourcen'!$A$2:$AI$54,19,0)+VLOOKUP(C75,'Feuerwaffen-Ressourcen'!$A$2:$AI$54,19,0)+VLOOKUP(D75,'Feuerwaffen-Ressourcen'!$A$2:$AI$54,19,0)+VLOOKUP(F75,'Feuerwaffen-Ressourcen'!$A$2:$AI$54,19,0)+VLOOKUP(G75,'Feuerwaffen-Ressourcen'!$A$2:$AI$54,19,0)+VLOOKUP(I75,'Feuerwaffen-Ressourcen'!$A$2:$AI$54,19,0)+VLOOKUP(J75,'Feuerwaffen-Ressourcen'!$A$2:$AI$54,19,0)</f>
        <v>3</v>
      </c>
      <c r="T75" s="60">
        <f>VLOOKUP(B75,'Feuerwaffen-Ressourcen'!$A$2:$AI$54,20,0)+VLOOKUP(C75,'Feuerwaffen-Ressourcen'!$A$2:$AI$54,20,0)+VLOOKUP(D75,'Feuerwaffen-Ressourcen'!$A$2:$AI$54,20,0)+VLOOKUP(F75,'Feuerwaffen-Ressourcen'!$A$2:$AI$54,20,0)+VLOOKUP(G75,'Feuerwaffen-Ressourcen'!$A$2:$AI$54,20,0)+VLOOKUP(I75,'Feuerwaffen-Ressourcen'!$A$2:$AI$54,20,0)+VLOOKUP(J75,'Feuerwaffen-Ressourcen'!$A$2:$AI$54,20,0)</f>
        <v>-2</v>
      </c>
      <c r="U75" s="60">
        <f>VLOOKUP(B75,'Feuerwaffen-Ressourcen'!$A$2:$AI$54,21,0)+VLOOKUP(C75,'Feuerwaffen-Ressourcen'!$A$2:$AI$54,21,0)+VLOOKUP(D75,'Feuerwaffen-Ressourcen'!$A$2:$AI$54,21,0)+VLOOKUP(F75,'Feuerwaffen-Ressourcen'!$A$2:$AI$54,21,0)+VLOOKUP(G75,'Feuerwaffen-Ressourcen'!$A$2:$AI$54,21,0)+VLOOKUP(I75,'Feuerwaffen-Ressourcen'!$A$2:$AI$54,21,0)+VLOOKUP(J75,'Feuerwaffen-Ressourcen'!$A$2:$AI$54,21,0)</f>
        <v>-9</v>
      </c>
      <c r="V75" s="60">
        <f>VLOOKUP(B75,'Feuerwaffen-Ressourcen'!$A$2:$AI$54,22,0)+VLOOKUP(C75,'Feuerwaffen-Ressourcen'!$A$2:$AI$54,22,0)+VLOOKUP(D75,'Feuerwaffen-Ressourcen'!$A$2:$AI$54,22,0)+VLOOKUP(F75,'Feuerwaffen-Ressourcen'!$A$2:$AI$54,22,0)+VLOOKUP(G75,'Feuerwaffen-Ressourcen'!$A$2:$AI$54,22,0)+VLOOKUP(I75,'Feuerwaffen-Ressourcen'!$A$2:$AI$54,22,0)+VLOOKUP(J75,'Feuerwaffen-Ressourcen'!$A$2:$AI$54,22,0)</f>
        <v>-17</v>
      </c>
      <c r="W75" s="60">
        <f>VLOOKUP(B75,'Feuerwaffen-Ressourcen'!$A$2:$AI$54,23,0)+VLOOKUP(C75,'Feuerwaffen-Ressourcen'!$A$2:$AI$54,23,0)+VLOOKUP(D75,'Feuerwaffen-Ressourcen'!$A$2:$AI$54,23,0)+VLOOKUP(F75,'Feuerwaffen-Ressourcen'!$A$2:$AI$54,23,0)+VLOOKUP(G75,'Feuerwaffen-Ressourcen'!$A$2:$AI$54,23,0)+VLOOKUP(I75,'Feuerwaffen-Ressourcen'!$A$2:$AI$54,23,0)+VLOOKUP(J75,'Feuerwaffen-Ressourcen'!$A$2:$AI$54,23,0)</f>
        <v>-25</v>
      </c>
      <c r="X75" s="60">
        <f>VLOOKUP(B75,'Feuerwaffen-Ressourcen'!$A$2:$AI$54,24,0)+VLOOKUP(C75,'Feuerwaffen-Ressourcen'!$A$2:$AI$54,24,0)+VLOOKUP(D75,'Feuerwaffen-Ressourcen'!$A$2:$AI$54,24,0)+VLOOKUP(G75,'Feuerwaffen-Ressourcen'!$A$2:$AI$54,24,0)</f>
        <v>70</v>
      </c>
      <c r="Y75" s="60">
        <f>VLOOKUP(D75,'Feuerwaffen-Ressourcen'!$A$2:$AI$54,25,0)+VLOOKUP(E75,'Feuerwaffen-Ressourcen'!$A$2:$AI$54,25,0)+VLOOKUP(F75,'Feuerwaffen-Ressourcen'!$A$2:$AI$54,25,0)</f>
        <v>29</v>
      </c>
      <c r="Z75" s="60">
        <f>VLOOKUP(E75,'Feuerwaffen-Ressourcen'!$A$2:$AI$54,26,0)</f>
        <v>3</v>
      </c>
      <c r="AA75" s="60">
        <f>VLOOKUP(B75,'Feuerwaffen-Ressourcen'!$A$2:$AI$54,27,0)+VLOOKUP(D75,'Feuerwaffen-Ressourcen'!$A$2:$AI$54,27,0)+VLOOKUP(F75,'Feuerwaffen-Ressourcen'!$A$2:$AI$54,27,0)+VLOOKUP(I75,'Feuerwaffen-Ressourcen'!$A$2:$AI$54,27,0)</f>
        <v>-3</v>
      </c>
      <c r="AB75" s="60">
        <f>VLOOKUP(B75,'Feuerwaffen-Ressourcen'!$A$2:$AI$54,28,0)+VLOOKUP(C75,'Feuerwaffen-Ressourcen'!$A$2:$AI$54,28,0)+VLOOKUP(D75,'Feuerwaffen-Ressourcen'!$A$2:$AI$54,28,0)+VLOOKUP(E75,'Feuerwaffen-Ressourcen'!$A$2:$AI$54,28,0)+VLOOKUP(F75,'Feuerwaffen-Ressourcen'!$A$2:$AI$54,28,0)+VLOOKUP(G75,'Feuerwaffen-Ressourcen'!$A$2:$AI$54,28,0)+VLOOKUP(I75,'Feuerwaffen-Ressourcen'!$A$2:$AI$54,28,0)+VLOOKUP(J75,'Feuerwaffen-Ressourcen'!$A$2:$AI$54,28,0)</f>
        <v>100</v>
      </c>
      <c r="AC75" s="63">
        <f>VLOOKUP(I75,'Feuerwaffen-Ressourcen'!$A$2:$AI$54,31,0)*AD75+AE75</f>
        <v>406.7</v>
      </c>
      <c r="AD75" s="64">
        <f>VLOOKUP(B75,'Feuerwaffen-Ressourcen'!$A$2:$AI$54,30,0)+VLOOKUP(C75,'Feuerwaffen-Ressourcen'!$A$2:$AI$54,30,0)+VLOOKUP(D75,'Feuerwaffen-Ressourcen'!$A$2:$AI$54,30,0)+VLOOKUP(F75,'Feuerwaffen-Ressourcen'!$A$2:$AI$54,30,0)+VLOOKUP(G75,'Feuerwaffen-Ressourcen'!$A$2:$AI$54,30,0)+VLOOKUP(I75,'Feuerwaffen-Ressourcen'!$A$2:$AI$54,30,0)+VLOOKUP(J75,'Feuerwaffen-Ressourcen'!$A$2:$AI$54,30,0)</f>
        <v>9.6999999999999993</v>
      </c>
      <c r="AE75" s="63">
        <f>(VLOOKUP(C75,'Feuerwaffen-Ressourcen'!$A$2:$AI$54,32,0)+VLOOKUP(I75,'Feuerwaffen-Ressourcen'!$A$2:$AI$54,32,0))*(VLOOKUP(B75,'Feuerwaffen-Ressourcen'!$A$2:$AI$54,34,0)+VLOOKUP(C75,'Feuerwaffen-Ressourcen'!$A$2:$AI$54,34,0)+VLOOKUP(D75,'Feuerwaffen-Ressourcen'!$A$2:$AI$54,34,0)+VLOOKUP(E75,'Feuerwaffen-Ressourcen'!$A$2:$AI$54,34,0)+VLOOKUP(G75,'Feuerwaffen-Ressourcen'!$A$2:$AI$54,34,0))+VLOOKUP(B75,'Feuerwaffen-Ressourcen'!$A$2:$AI$54,35,0)+VLOOKUP(C75,'Feuerwaffen-Ressourcen'!$A$2:$AI$54,35,0)+VLOOKUP(D75,'Feuerwaffen-Ressourcen'!$A$2:$AI$54,35,0)</f>
        <v>367.9</v>
      </c>
      <c r="AF75" s="65">
        <f>VLOOKUP(AB75,'Feuerwaffen-Ressourcen'!$AO$3:$AP$9,2,1)</f>
        <v>5</v>
      </c>
      <c r="AG75" s="65">
        <v>0</v>
      </c>
    </row>
    <row r="76" spans="1:33">
      <c r="A76" s="59" t="s">
        <v>7194</v>
      </c>
      <c r="B76" s="59" t="s">
        <v>1449</v>
      </c>
      <c r="C76" s="59" t="s">
        <v>7215</v>
      </c>
      <c r="D76" s="59" t="s">
        <v>7113</v>
      </c>
      <c r="E76" s="59" t="s">
        <v>6501</v>
      </c>
      <c r="F76" s="59" t="s">
        <v>7221</v>
      </c>
      <c r="G76" s="59" t="s">
        <v>7217</v>
      </c>
      <c r="H76" s="59" t="s">
        <v>6514</v>
      </c>
      <c r="I76" s="59" t="s">
        <v>5768</v>
      </c>
      <c r="J76" s="59" t="s">
        <v>5748</v>
      </c>
      <c r="K76" s="61">
        <f>VLOOKUP(B76,'Feuerwaffen-Ressourcen'!$A$2:$AI$54,11,0)+VLOOKUP(C76,'Feuerwaffen-Ressourcen'!$A$2:$AI$54,11,0)+VLOOKUP(D76,'Feuerwaffen-Ressourcen'!$A$2:$AI$54,11,0)+VLOOKUP(E76,'Feuerwaffen-Ressourcen'!$A$2:$AI$54,11,0)+VLOOKUP(G76,'Feuerwaffen-Ressourcen'!$A$2:$AI$54,11,0)</f>
        <v>7.8</v>
      </c>
      <c r="L76" s="60">
        <f>VLOOKUP(B76,'Feuerwaffen-Ressourcen'!$A$2:$AI$54,12,0)+VLOOKUP(C76,'Feuerwaffen-Ressourcen'!$A$2:$AI$54,12,0)+VLOOKUP(D76,'Feuerwaffen-Ressourcen'!$A$2:$AI$54,12,0)+VLOOKUP(J76,'Feuerwaffen-Ressourcen'!$A$2:$AI$54,12,0)</f>
        <v>15</v>
      </c>
      <c r="M76" s="60" t="str">
        <f>VLOOKUP(VLOOKUP(B76,'Feuerwaffen-Ressourcen'!$A$2:$AI$54,13,0)+VLOOKUP(C76,'Feuerwaffen-Ressourcen'!$A$2:$AI$54,13,0)+VLOOKUP(D76,'Feuerwaffen-Ressourcen'!$A$2:$AI$54,13,0),'Feuerwaffen-Ressourcen'!$AJ$3:$AK$12,2,0)</f>
        <v>W15</v>
      </c>
      <c r="N76" s="60" t="str">
        <f>VLOOKUP(VLOOKUP(B76,'Feuerwaffen-Ressourcen'!$A$2:$AI$54,14,0)+VLOOKUP(C76,'Feuerwaffen-Ressourcen'!$A$2:$AI$54,14,0)+VLOOKUP(D76,'Feuerwaffen-Ressourcen'!$A$2:$AI$54,14,0),'Feuerwaffen-Ressourcen'!$AJ$3:$AK$12,2,0)</f>
        <v>W12</v>
      </c>
      <c r="O76" s="60">
        <f>VLOOKUP(B76,'Feuerwaffen-Ressourcen'!$A$2:$AI$54,15,0)+VLOOKUP(C76,'Feuerwaffen-Ressourcen'!$A$2:$AI$54,15,0)+VLOOKUP(D76,'Feuerwaffen-Ressourcen'!$A$2:$AI$54,15,0)</f>
        <v>2</v>
      </c>
      <c r="P76" s="60">
        <f>VLOOKUP(B76,'Feuerwaffen-Ressourcen'!$A$2:$AI$54,16,0)+VLOOKUP(C76,'Feuerwaffen-Ressourcen'!$A$2:$AI$54,16,0)+VLOOKUP(D76,'Feuerwaffen-Ressourcen'!$A$2:$AI$54,16,0)+VLOOKUP(E76,'Feuerwaffen-Ressourcen'!$A$2:$AI$54,16,0)</f>
        <v>16</v>
      </c>
      <c r="Q76" s="62">
        <f>VLOOKUP(B76,'Feuerwaffen-Ressourcen'!$A$2:$AI$54,17,0)+VLOOKUP(C76,'Feuerwaffen-Ressourcen'!$A$2:$AI$54,17,0)+VLOOKUP(D76,'Feuerwaffen-Ressourcen'!$A$2:$AI$54,17,0)+VLOOKUP(E76,'Feuerwaffen-Ressourcen'!$A$2:$AI$54,17,0)</f>
        <v>19</v>
      </c>
      <c r="R76" s="60">
        <f>VLOOKUP(B76,'Feuerwaffen-Ressourcen'!$A$2:$AI$54,18,0)+VLOOKUP(C76,'Feuerwaffen-Ressourcen'!$A$2:$AI$54,18,0)+VLOOKUP(D76,'Feuerwaffen-Ressourcen'!$A$2:$AI$54,18,0)+VLOOKUP(F76,'Feuerwaffen-Ressourcen'!$A$2:$AI$54,18,0)+VLOOKUP(G76,'Feuerwaffen-Ressourcen'!$A$2:$AI$54,18,0)+VLOOKUP(I76,'Feuerwaffen-Ressourcen'!$A$2:$AI$54,18,0)+VLOOKUP(J76,'Feuerwaffen-Ressourcen'!$A$2:$AI$54,18,0)</f>
        <v>0</v>
      </c>
      <c r="S76" s="60">
        <f>VLOOKUP(B76,'Feuerwaffen-Ressourcen'!$A$2:$AI$54,19,0)+VLOOKUP(C76,'Feuerwaffen-Ressourcen'!$A$2:$AI$54,19,0)+VLOOKUP(D76,'Feuerwaffen-Ressourcen'!$A$2:$AI$54,19,0)+VLOOKUP(F76,'Feuerwaffen-Ressourcen'!$A$2:$AI$54,19,0)+VLOOKUP(G76,'Feuerwaffen-Ressourcen'!$A$2:$AI$54,19,0)+VLOOKUP(I76,'Feuerwaffen-Ressourcen'!$A$2:$AI$54,19,0)+VLOOKUP(J76,'Feuerwaffen-Ressourcen'!$A$2:$AI$54,19,0)</f>
        <v>-3</v>
      </c>
      <c r="T76" s="60">
        <f>VLOOKUP(B76,'Feuerwaffen-Ressourcen'!$A$2:$AI$54,20,0)+VLOOKUP(C76,'Feuerwaffen-Ressourcen'!$A$2:$AI$54,20,0)+VLOOKUP(D76,'Feuerwaffen-Ressourcen'!$A$2:$AI$54,20,0)+VLOOKUP(F76,'Feuerwaffen-Ressourcen'!$A$2:$AI$54,20,0)+VLOOKUP(G76,'Feuerwaffen-Ressourcen'!$A$2:$AI$54,20,0)+VLOOKUP(I76,'Feuerwaffen-Ressourcen'!$A$2:$AI$54,20,0)+VLOOKUP(J76,'Feuerwaffen-Ressourcen'!$A$2:$AI$54,20,0)</f>
        <v>-6</v>
      </c>
      <c r="U76" s="60">
        <f>VLOOKUP(B76,'Feuerwaffen-Ressourcen'!$A$2:$AI$54,21,0)+VLOOKUP(C76,'Feuerwaffen-Ressourcen'!$A$2:$AI$54,21,0)+VLOOKUP(D76,'Feuerwaffen-Ressourcen'!$A$2:$AI$54,21,0)+VLOOKUP(F76,'Feuerwaffen-Ressourcen'!$A$2:$AI$54,21,0)+VLOOKUP(G76,'Feuerwaffen-Ressourcen'!$A$2:$AI$54,21,0)+VLOOKUP(I76,'Feuerwaffen-Ressourcen'!$A$2:$AI$54,21,0)+VLOOKUP(J76,'Feuerwaffen-Ressourcen'!$A$2:$AI$54,21,0)</f>
        <v>-12</v>
      </c>
      <c r="V76" s="60">
        <f>VLOOKUP(B76,'Feuerwaffen-Ressourcen'!$A$2:$AI$54,22,0)+VLOOKUP(C76,'Feuerwaffen-Ressourcen'!$A$2:$AI$54,22,0)+VLOOKUP(D76,'Feuerwaffen-Ressourcen'!$A$2:$AI$54,22,0)+VLOOKUP(F76,'Feuerwaffen-Ressourcen'!$A$2:$AI$54,22,0)+VLOOKUP(G76,'Feuerwaffen-Ressourcen'!$A$2:$AI$54,22,0)+VLOOKUP(I76,'Feuerwaffen-Ressourcen'!$A$2:$AI$54,22,0)+VLOOKUP(J76,'Feuerwaffen-Ressourcen'!$A$2:$AI$54,22,0)</f>
        <v>-19</v>
      </c>
      <c r="W76" s="60">
        <f>VLOOKUP(B76,'Feuerwaffen-Ressourcen'!$A$2:$AI$54,23,0)+VLOOKUP(C76,'Feuerwaffen-Ressourcen'!$A$2:$AI$54,23,0)+VLOOKUP(D76,'Feuerwaffen-Ressourcen'!$A$2:$AI$54,23,0)+VLOOKUP(F76,'Feuerwaffen-Ressourcen'!$A$2:$AI$54,23,0)+VLOOKUP(G76,'Feuerwaffen-Ressourcen'!$A$2:$AI$54,23,0)+VLOOKUP(I76,'Feuerwaffen-Ressourcen'!$A$2:$AI$54,23,0)+VLOOKUP(J76,'Feuerwaffen-Ressourcen'!$A$2:$AI$54,23,0)</f>
        <v>-27</v>
      </c>
      <c r="X76" s="60">
        <f>VLOOKUP(B76,'Feuerwaffen-Ressourcen'!$A$2:$AI$54,24,0)+VLOOKUP(C76,'Feuerwaffen-Ressourcen'!$A$2:$AI$54,24,0)+VLOOKUP(D76,'Feuerwaffen-Ressourcen'!$A$2:$AI$54,24,0)+VLOOKUP(G76,'Feuerwaffen-Ressourcen'!$A$2:$AI$54,24,0)</f>
        <v>60</v>
      </c>
      <c r="Y76" s="60">
        <f>VLOOKUP(D76,'Feuerwaffen-Ressourcen'!$A$2:$AI$54,25,0)+VLOOKUP(E76,'Feuerwaffen-Ressourcen'!$A$2:$AI$54,25,0)+VLOOKUP(F76,'Feuerwaffen-Ressourcen'!$A$2:$AI$54,25,0)</f>
        <v>38</v>
      </c>
      <c r="Z76" s="60">
        <f>VLOOKUP(E76,'Feuerwaffen-Ressourcen'!$A$2:$AI$54,26,0)</f>
        <v>3</v>
      </c>
      <c r="AA76" s="60">
        <f>VLOOKUP(B76,'Feuerwaffen-Ressourcen'!$A$2:$AI$54,27,0)+VLOOKUP(D76,'Feuerwaffen-Ressourcen'!$A$2:$AI$54,27,0)+VLOOKUP(F76,'Feuerwaffen-Ressourcen'!$A$2:$AI$54,27,0)+VLOOKUP(I76,'Feuerwaffen-Ressourcen'!$A$2:$AI$54,27,0)</f>
        <v>-2</v>
      </c>
      <c r="AB76" s="60">
        <f>VLOOKUP(B76,'Feuerwaffen-Ressourcen'!$A$2:$AI$54,28,0)+VLOOKUP(C76,'Feuerwaffen-Ressourcen'!$A$2:$AI$54,28,0)+VLOOKUP(D76,'Feuerwaffen-Ressourcen'!$A$2:$AI$54,28,0)+VLOOKUP(E76,'Feuerwaffen-Ressourcen'!$A$2:$AI$54,28,0)+VLOOKUP(F76,'Feuerwaffen-Ressourcen'!$A$2:$AI$54,28,0)+VLOOKUP(G76,'Feuerwaffen-Ressourcen'!$A$2:$AI$54,28,0)+VLOOKUP(I76,'Feuerwaffen-Ressourcen'!$A$2:$AI$54,28,0)+VLOOKUP(J76,'Feuerwaffen-Ressourcen'!$A$2:$AI$54,28,0)</f>
        <v>95</v>
      </c>
      <c r="AC76" s="63">
        <f>VLOOKUP(I76,'Feuerwaffen-Ressourcen'!$A$2:$AI$54,31,0)*AD76+AE76</f>
        <v>750.69999999999993</v>
      </c>
      <c r="AD76" s="64">
        <f>VLOOKUP(B76,'Feuerwaffen-Ressourcen'!$A$2:$AI$54,30,0)+VLOOKUP(C76,'Feuerwaffen-Ressourcen'!$A$2:$AI$54,30,0)+VLOOKUP(D76,'Feuerwaffen-Ressourcen'!$A$2:$AI$54,30,0)+VLOOKUP(F76,'Feuerwaffen-Ressourcen'!$A$2:$AI$54,30,0)+VLOOKUP(G76,'Feuerwaffen-Ressourcen'!$A$2:$AI$54,30,0)+VLOOKUP(I76,'Feuerwaffen-Ressourcen'!$A$2:$AI$54,30,0)+VLOOKUP(J76,'Feuerwaffen-Ressourcen'!$A$2:$AI$54,30,0)</f>
        <v>10.199999999999999</v>
      </c>
      <c r="AE76" s="63">
        <f>(VLOOKUP(C76,'Feuerwaffen-Ressourcen'!$A$2:$AI$54,32,0)+VLOOKUP(I76,'Feuerwaffen-Ressourcen'!$A$2:$AI$54,32,0))*(VLOOKUP(B76,'Feuerwaffen-Ressourcen'!$A$2:$AI$54,34,0)+VLOOKUP(C76,'Feuerwaffen-Ressourcen'!$A$2:$AI$54,34,0)+VLOOKUP(D76,'Feuerwaffen-Ressourcen'!$A$2:$AI$54,34,0)+VLOOKUP(E76,'Feuerwaffen-Ressourcen'!$A$2:$AI$54,34,0)+VLOOKUP(G76,'Feuerwaffen-Ressourcen'!$A$2:$AI$54,34,0))+VLOOKUP(B76,'Feuerwaffen-Ressourcen'!$A$2:$AI$54,35,0)+VLOOKUP(C76,'Feuerwaffen-Ressourcen'!$A$2:$AI$54,35,0)+VLOOKUP(D76,'Feuerwaffen-Ressourcen'!$A$2:$AI$54,35,0)</f>
        <v>709.9</v>
      </c>
      <c r="AF76" s="65">
        <f>VLOOKUP(AB76,'Feuerwaffen-Ressourcen'!$AO$3:$AP$9,2,1)</f>
        <v>5</v>
      </c>
      <c r="AG76" s="65">
        <v>0</v>
      </c>
    </row>
    <row r="77" spans="1:33">
      <c r="A77" s="59" t="s">
        <v>7195</v>
      </c>
      <c r="B77" s="59" t="s">
        <v>1449</v>
      </c>
      <c r="C77" s="59" t="s">
        <v>7215</v>
      </c>
      <c r="D77" s="59" t="s">
        <v>7222</v>
      </c>
      <c r="E77" s="59" t="s">
        <v>6505</v>
      </c>
      <c r="F77" s="59" t="s">
        <v>7223</v>
      </c>
      <c r="G77" s="59" t="s">
        <v>7225</v>
      </c>
      <c r="H77" s="59" t="s">
        <v>7121</v>
      </c>
      <c r="I77" s="59" t="s">
        <v>5768</v>
      </c>
      <c r="J77" s="59" t="s">
        <v>5748</v>
      </c>
      <c r="K77" s="61">
        <f>VLOOKUP(B77,'Feuerwaffen-Ressourcen'!$A$2:$AI$54,11,0)+VLOOKUP(C77,'Feuerwaffen-Ressourcen'!$A$2:$AI$54,11,0)+VLOOKUP(D77,'Feuerwaffen-Ressourcen'!$A$2:$AI$54,11,0)+VLOOKUP(E77,'Feuerwaffen-Ressourcen'!$A$2:$AI$54,11,0)+VLOOKUP(G77,'Feuerwaffen-Ressourcen'!$A$2:$AI$54,11,0)</f>
        <v>4.1500000000000004</v>
      </c>
      <c r="L77" s="60">
        <f>VLOOKUP(B77,'Feuerwaffen-Ressourcen'!$A$2:$AI$54,12,0)+VLOOKUP(C77,'Feuerwaffen-Ressourcen'!$A$2:$AI$54,12,0)+VLOOKUP(D77,'Feuerwaffen-Ressourcen'!$A$2:$AI$54,12,0)+VLOOKUP(J77,'Feuerwaffen-Ressourcen'!$A$2:$AI$54,12,0)</f>
        <v>10</v>
      </c>
      <c r="M77" s="60" t="str">
        <f>VLOOKUP(VLOOKUP(B77,'Feuerwaffen-Ressourcen'!$A$2:$AI$54,13,0)+VLOOKUP(C77,'Feuerwaffen-Ressourcen'!$A$2:$AI$54,13,0)+VLOOKUP(D77,'Feuerwaffen-Ressourcen'!$A$2:$AI$54,13,0),'Feuerwaffen-Ressourcen'!$AJ$3:$AK$12,2,0)</f>
        <v>W10</v>
      </c>
      <c r="N77" s="60" t="str">
        <f>VLOOKUP(VLOOKUP(B77,'Feuerwaffen-Ressourcen'!$A$2:$AI$54,14,0)+VLOOKUP(C77,'Feuerwaffen-Ressourcen'!$A$2:$AI$54,14,0)+VLOOKUP(D77,'Feuerwaffen-Ressourcen'!$A$2:$AI$54,14,0),'Feuerwaffen-Ressourcen'!$AJ$3:$AK$12,2,0)</f>
        <v>W10</v>
      </c>
      <c r="O77" s="60">
        <f>VLOOKUP(B77,'Feuerwaffen-Ressourcen'!$A$2:$AI$54,15,0)+VLOOKUP(C77,'Feuerwaffen-Ressourcen'!$A$2:$AI$54,15,0)+VLOOKUP(D77,'Feuerwaffen-Ressourcen'!$A$2:$AI$54,15,0)</f>
        <v>1</v>
      </c>
      <c r="P77" s="60">
        <f>VLOOKUP(B77,'Feuerwaffen-Ressourcen'!$A$2:$AI$54,16,0)+VLOOKUP(C77,'Feuerwaffen-Ressourcen'!$A$2:$AI$54,16,0)+VLOOKUP(D77,'Feuerwaffen-Ressourcen'!$A$2:$AI$54,16,0)+VLOOKUP(E77,'Feuerwaffen-Ressourcen'!$A$2:$AI$54,16,0)</f>
        <v>13</v>
      </c>
      <c r="Q77" s="62">
        <f>VLOOKUP(B77,'Feuerwaffen-Ressourcen'!$A$2:$AI$54,17,0)+VLOOKUP(C77,'Feuerwaffen-Ressourcen'!$A$2:$AI$54,17,0)+VLOOKUP(D77,'Feuerwaffen-Ressourcen'!$A$2:$AI$54,17,0)+VLOOKUP(E77,'Feuerwaffen-Ressourcen'!$A$2:$AI$54,17,0)</f>
        <v>17</v>
      </c>
      <c r="R77" s="60">
        <f>VLOOKUP(B77,'Feuerwaffen-Ressourcen'!$A$2:$AI$54,18,0)+VLOOKUP(C77,'Feuerwaffen-Ressourcen'!$A$2:$AI$54,18,0)+VLOOKUP(D77,'Feuerwaffen-Ressourcen'!$A$2:$AI$54,18,0)+VLOOKUP(F77,'Feuerwaffen-Ressourcen'!$A$2:$AI$54,18,0)+VLOOKUP(G77,'Feuerwaffen-Ressourcen'!$A$2:$AI$54,18,0)+VLOOKUP(I77,'Feuerwaffen-Ressourcen'!$A$2:$AI$54,18,0)+VLOOKUP(J77,'Feuerwaffen-Ressourcen'!$A$2:$AI$54,18,0)</f>
        <v>10</v>
      </c>
      <c r="S77" s="60">
        <f>VLOOKUP(B77,'Feuerwaffen-Ressourcen'!$A$2:$AI$54,19,0)+VLOOKUP(C77,'Feuerwaffen-Ressourcen'!$A$2:$AI$54,19,0)+VLOOKUP(D77,'Feuerwaffen-Ressourcen'!$A$2:$AI$54,19,0)+VLOOKUP(F77,'Feuerwaffen-Ressourcen'!$A$2:$AI$54,19,0)+VLOOKUP(G77,'Feuerwaffen-Ressourcen'!$A$2:$AI$54,19,0)+VLOOKUP(I77,'Feuerwaffen-Ressourcen'!$A$2:$AI$54,19,0)+VLOOKUP(J77,'Feuerwaffen-Ressourcen'!$A$2:$AI$54,19,0)</f>
        <v>4</v>
      </c>
      <c r="T77" s="60">
        <f>VLOOKUP(B77,'Feuerwaffen-Ressourcen'!$A$2:$AI$54,20,0)+VLOOKUP(C77,'Feuerwaffen-Ressourcen'!$A$2:$AI$54,20,0)+VLOOKUP(D77,'Feuerwaffen-Ressourcen'!$A$2:$AI$54,20,0)+VLOOKUP(F77,'Feuerwaffen-Ressourcen'!$A$2:$AI$54,20,0)+VLOOKUP(G77,'Feuerwaffen-Ressourcen'!$A$2:$AI$54,20,0)+VLOOKUP(I77,'Feuerwaffen-Ressourcen'!$A$2:$AI$54,20,0)+VLOOKUP(J77,'Feuerwaffen-Ressourcen'!$A$2:$AI$54,20,0)</f>
        <v>-3</v>
      </c>
      <c r="U77" s="60">
        <f>VLOOKUP(B77,'Feuerwaffen-Ressourcen'!$A$2:$AI$54,21,0)+VLOOKUP(C77,'Feuerwaffen-Ressourcen'!$A$2:$AI$54,21,0)+VLOOKUP(D77,'Feuerwaffen-Ressourcen'!$A$2:$AI$54,21,0)+VLOOKUP(F77,'Feuerwaffen-Ressourcen'!$A$2:$AI$54,21,0)+VLOOKUP(G77,'Feuerwaffen-Ressourcen'!$A$2:$AI$54,21,0)+VLOOKUP(I77,'Feuerwaffen-Ressourcen'!$A$2:$AI$54,21,0)+VLOOKUP(J77,'Feuerwaffen-Ressourcen'!$A$2:$AI$54,21,0)</f>
        <v>-12</v>
      </c>
      <c r="V77" s="60">
        <f>VLOOKUP(B77,'Feuerwaffen-Ressourcen'!$A$2:$AI$54,22,0)+VLOOKUP(C77,'Feuerwaffen-Ressourcen'!$A$2:$AI$54,22,0)+VLOOKUP(D77,'Feuerwaffen-Ressourcen'!$A$2:$AI$54,22,0)+VLOOKUP(F77,'Feuerwaffen-Ressourcen'!$A$2:$AI$54,22,0)+VLOOKUP(G77,'Feuerwaffen-Ressourcen'!$A$2:$AI$54,22,0)+VLOOKUP(I77,'Feuerwaffen-Ressourcen'!$A$2:$AI$54,22,0)+VLOOKUP(J77,'Feuerwaffen-Ressourcen'!$A$2:$AI$54,22,0)</f>
        <v>-22</v>
      </c>
      <c r="W77" s="60">
        <f>VLOOKUP(B77,'Feuerwaffen-Ressourcen'!$A$2:$AI$54,23,0)+VLOOKUP(C77,'Feuerwaffen-Ressourcen'!$A$2:$AI$54,23,0)+VLOOKUP(D77,'Feuerwaffen-Ressourcen'!$A$2:$AI$54,23,0)+VLOOKUP(F77,'Feuerwaffen-Ressourcen'!$A$2:$AI$54,23,0)+VLOOKUP(G77,'Feuerwaffen-Ressourcen'!$A$2:$AI$54,23,0)+VLOOKUP(I77,'Feuerwaffen-Ressourcen'!$A$2:$AI$54,23,0)+VLOOKUP(J77,'Feuerwaffen-Ressourcen'!$A$2:$AI$54,23,0)</f>
        <v>-32</v>
      </c>
      <c r="X77" s="60">
        <f>VLOOKUP(B77,'Feuerwaffen-Ressourcen'!$A$2:$AI$54,24,0)+VLOOKUP(C77,'Feuerwaffen-Ressourcen'!$A$2:$AI$54,24,0)+VLOOKUP(D77,'Feuerwaffen-Ressourcen'!$A$2:$AI$54,24,0)+VLOOKUP(G77,'Feuerwaffen-Ressourcen'!$A$2:$AI$54,24,0)</f>
        <v>60</v>
      </c>
      <c r="Y77" s="60">
        <f>VLOOKUP(D77,'Feuerwaffen-Ressourcen'!$A$2:$AI$54,25,0)+VLOOKUP(E77,'Feuerwaffen-Ressourcen'!$A$2:$AI$54,25,0)+VLOOKUP(F77,'Feuerwaffen-Ressourcen'!$A$2:$AI$54,25,0)</f>
        <v>11</v>
      </c>
      <c r="Z77" s="60">
        <f>VLOOKUP(E77,'Feuerwaffen-Ressourcen'!$A$2:$AI$54,26,0)</f>
        <v>6</v>
      </c>
      <c r="AA77" s="60">
        <f>VLOOKUP(B77,'Feuerwaffen-Ressourcen'!$A$2:$AI$54,27,0)+VLOOKUP(D77,'Feuerwaffen-Ressourcen'!$A$2:$AI$54,27,0)+VLOOKUP(F77,'Feuerwaffen-Ressourcen'!$A$2:$AI$54,27,0)+VLOOKUP(I77,'Feuerwaffen-Ressourcen'!$A$2:$AI$54,27,0)</f>
        <v>-4</v>
      </c>
      <c r="AB77" s="60">
        <f>VLOOKUP(B77,'Feuerwaffen-Ressourcen'!$A$2:$AI$54,28,0)+VLOOKUP(C77,'Feuerwaffen-Ressourcen'!$A$2:$AI$54,28,0)+VLOOKUP(D77,'Feuerwaffen-Ressourcen'!$A$2:$AI$54,28,0)+VLOOKUP(E77,'Feuerwaffen-Ressourcen'!$A$2:$AI$54,28,0)+VLOOKUP(F77,'Feuerwaffen-Ressourcen'!$A$2:$AI$54,28,0)+VLOOKUP(G77,'Feuerwaffen-Ressourcen'!$A$2:$AI$54,28,0)+VLOOKUP(I77,'Feuerwaffen-Ressourcen'!$A$2:$AI$54,28,0)+VLOOKUP(J77,'Feuerwaffen-Ressourcen'!$A$2:$AI$54,28,0)</f>
        <v>70</v>
      </c>
      <c r="AC77" s="63">
        <f>VLOOKUP(I77,'Feuerwaffen-Ressourcen'!$A$2:$AI$54,31,0)*AD77+AE77</f>
        <v>326.59999999999991</v>
      </c>
      <c r="AD77" s="64">
        <f>VLOOKUP(B77,'Feuerwaffen-Ressourcen'!$A$2:$AI$54,30,0)+VLOOKUP(C77,'Feuerwaffen-Ressourcen'!$A$2:$AI$54,30,0)+VLOOKUP(D77,'Feuerwaffen-Ressourcen'!$A$2:$AI$54,30,0)+VLOOKUP(F77,'Feuerwaffen-Ressourcen'!$A$2:$AI$54,30,0)+VLOOKUP(G77,'Feuerwaffen-Ressourcen'!$A$2:$AI$54,30,0)+VLOOKUP(I77,'Feuerwaffen-Ressourcen'!$A$2:$AI$54,30,0)+VLOOKUP(J77,'Feuerwaffen-Ressourcen'!$A$2:$AI$54,30,0)</f>
        <v>10.7</v>
      </c>
      <c r="AE77" s="63">
        <f>(VLOOKUP(C77,'Feuerwaffen-Ressourcen'!$A$2:$AI$54,32,0)+VLOOKUP(I77,'Feuerwaffen-Ressourcen'!$A$2:$AI$54,32,0))*(VLOOKUP(B77,'Feuerwaffen-Ressourcen'!$A$2:$AI$54,34,0)+VLOOKUP(C77,'Feuerwaffen-Ressourcen'!$A$2:$AI$54,34,0)+VLOOKUP(D77,'Feuerwaffen-Ressourcen'!$A$2:$AI$54,34,0)+VLOOKUP(E77,'Feuerwaffen-Ressourcen'!$A$2:$AI$54,34,0)+VLOOKUP(G77,'Feuerwaffen-Ressourcen'!$A$2:$AI$54,34,0))+VLOOKUP(B77,'Feuerwaffen-Ressourcen'!$A$2:$AI$54,35,0)+VLOOKUP(C77,'Feuerwaffen-Ressourcen'!$A$2:$AI$54,35,0)+VLOOKUP(D77,'Feuerwaffen-Ressourcen'!$A$2:$AI$54,35,0)</f>
        <v>283.7999999999999</v>
      </c>
      <c r="AF77" s="65">
        <f>VLOOKUP(AB77,'Feuerwaffen-Ressourcen'!$AO$3:$AP$9,2,1)</f>
        <v>6</v>
      </c>
      <c r="AG77" s="65">
        <v>0</v>
      </c>
    </row>
    <row r="78" spans="1:33">
      <c r="A78" s="59" t="s">
        <v>7196</v>
      </c>
      <c r="B78" s="59" t="s">
        <v>1449</v>
      </c>
      <c r="C78" s="59" t="s">
        <v>7215</v>
      </c>
      <c r="D78" s="59" t="s">
        <v>7234</v>
      </c>
      <c r="E78" s="59" t="s">
        <v>6501</v>
      </c>
      <c r="F78" s="59" t="s">
        <v>7221</v>
      </c>
      <c r="G78" s="59" t="s">
        <v>7217</v>
      </c>
      <c r="H78" s="59" t="s">
        <v>6514</v>
      </c>
      <c r="I78" s="59" t="s">
        <v>5768</v>
      </c>
      <c r="J78" s="59" t="s">
        <v>5748</v>
      </c>
      <c r="K78" s="61">
        <f>VLOOKUP(B78,'Feuerwaffen-Ressourcen'!$A$2:$AI$54,11,0)+VLOOKUP(C78,'Feuerwaffen-Ressourcen'!$A$2:$AI$54,11,0)+VLOOKUP(D78,'Feuerwaffen-Ressourcen'!$A$2:$AI$54,11,0)+VLOOKUP(E78,'Feuerwaffen-Ressourcen'!$A$2:$AI$54,11,0)+VLOOKUP(G78,'Feuerwaffen-Ressourcen'!$A$2:$AI$54,11,0)</f>
        <v>6.3</v>
      </c>
      <c r="L78" s="60">
        <f>VLOOKUP(B78,'Feuerwaffen-Ressourcen'!$A$2:$AI$54,12,0)+VLOOKUP(C78,'Feuerwaffen-Ressourcen'!$A$2:$AI$54,12,0)+VLOOKUP(D78,'Feuerwaffen-Ressourcen'!$A$2:$AI$54,12,0)+VLOOKUP(J78,'Feuerwaffen-Ressourcen'!$A$2:$AI$54,12,0)</f>
        <v>12</v>
      </c>
      <c r="M78" s="60" t="str">
        <f>VLOOKUP(VLOOKUP(B78,'Feuerwaffen-Ressourcen'!$A$2:$AI$54,13,0)+VLOOKUP(C78,'Feuerwaffen-Ressourcen'!$A$2:$AI$54,13,0)+VLOOKUP(D78,'Feuerwaffen-Ressourcen'!$A$2:$AI$54,13,0),'Feuerwaffen-Ressourcen'!$AJ$3:$AK$12,2,0)</f>
        <v>W10</v>
      </c>
      <c r="N78" s="60" t="str">
        <f>VLOOKUP(VLOOKUP(B78,'Feuerwaffen-Ressourcen'!$A$2:$AI$54,14,0)+VLOOKUP(C78,'Feuerwaffen-Ressourcen'!$A$2:$AI$54,14,0)+VLOOKUP(D78,'Feuerwaffen-Ressourcen'!$A$2:$AI$54,14,0),'Feuerwaffen-Ressourcen'!$AJ$3:$AK$12,2,0)</f>
        <v>W8</v>
      </c>
      <c r="O78" s="60">
        <f>VLOOKUP(B78,'Feuerwaffen-Ressourcen'!$A$2:$AI$54,15,0)+VLOOKUP(C78,'Feuerwaffen-Ressourcen'!$A$2:$AI$54,15,0)+VLOOKUP(D78,'Feuerwaffen-Ressourcen'!$A$2:$AI$54,15,0)</f>
        <v>1</v>
      </c>
      <c r="P78" s="60">
        <f>VLOOKUP(B78,'Feuerwaffen-Ressourcen'!$A$2:$AI$54,16,0)+VLOOKUP(C78,'Feuerwaffen-Ressourcen'!$A$2:$AI$54,16,0)+VLOOKUP(D78,'Feuerwaffen-Ressourcen'!$A$2:$AI$54,16,0)+VLOOKUP(E78,'Feuerwaffen-Ressourcen'!$A$2:$AI$54,16,0)</f>
        <v>13</v>
      </c>
      <c r="Q78" s="62">
        <f>VLOOKUP(B78,'Feuerwaffen-Ressourcen'!$A$2:$AI$54,17,0)+VLOOKUP(C78,'Feuerwaffen-Ressourcen'!$A$2:$AI$54,17,0)+VLOOKUP(D78,'Feuerwaffen-Ressourcen'!$A$2:$AI$54,17,0)+VLOOKUP(E78,'Feuerwaffen-Ressourcen'!$A$2:$AI$54,17,0)</f>
        <v>16</v>
      </c>
      <c r="R78" s="60">
        <f>VLOOKUP(B78,'Feuerwaffen-Ressourcen'!$A$2:$AI$54,18,0)+VLOOKUP(C78,'Feuerwaffen-Ressourcen'!$A$2:$AI$54,18,0)+VLOOKUP(D78,'Feuerwaffen-Ressourcen'!$A$2:$AI$54,18,0)+VLOOKUP(F78,'Feuerwaffen-Ressourcen'!$A$2:$AI$54,18,0)+VLOOKUP(G78,'Feuerwaffen-Ressourcen'!$A$2:$AI$54,18,0)+VLOOKUP(I78,'Feuerwaffen-Ressourcen'!$A$2:$AI$54,18,0)+VLOOKUP(J78,'Feuerwaffen-Ressourcen'!$A$2:$AI$54,18,0)</f>
        <v>3</v>
      </c>
      <c r="S78" s="60">
        <f>VLOOKUP(B78,'Feuerwaffen-Ressourcen'!$A$2:$AI$54,19,0)+VLOOKUP(C78,'Feuerwaffen-Ressourcen'!$A$2:$AI$54,19,0)+VLOOKUP(D78,'Feuerwaffen-Ressourcen'!$A$2:$AI$54,19,0)+VLOOKUP(F78,'Feuerwaffen-Ressourcen'!$A$2:$AI$54,19,0)+VLOOKUP(G78,'Feuerwaffen-Ressourcen'!$A$2:$AI$54,19,0)+VLOOKUP(I78,'Feuerwaffen-Ressourcen'!$A$2:$AI$54,19,0)+VLOOKUP(J78,'Feuerwaffen-Ressourcen'!$A$2:$AI$54,19,0)</f>
        <v>-2</v>
      </c>
      <c r="T78" s="60">
        <f>VLOOKUP(B78,'Feuerwaffen-Ressourcen'!$A$2:$AI$54,20,0)+VLOOKUP(C78,'Feuerwaffen-Ressourcen'!$A$2:$AI$54,20,0)+VLOOKUP(D78,'Feuerwaffen-Ressourcen'!$A$2:$AI$54,20,0)+VLOOKUP(F78,'Feuerwaffen-Ressourcen'!$A$2:$AI$54,20,0)+VLOOKUP(G78,'Feuerwaffen-Ressourcen'!$A$2:$AI$54,20,0)+VLOOKUP(I78,'Feuerwaffen-Ressourcen'!$A$2:$AI$54,20,0)+VLOOKUP(J78,'Feuerwaffen-Ressourcen'!$A$2:$AI$54,20,0)</f>
        <v>-7</v>
      </c>
      <c r="U78" s="60">
        <f>VLOOKUP(B78,'Feuerwaffen-Ressourcen'!$A$2:$AI$54,21,0)+VLOOKUP(C78,'Feuerwaffen-Ressourcen'!$A$2:$AI$54,21,0)+VLOOKUP(D78,'Feuerwaffen-Ressourcen'!$A$2:$AI$54,21,0)+VLOOKUP(F78,'Feuerwaffen-Ressourcen'!$A$2:$AI$54,21,0)+VLOOKUP(G78,'Feuerwaffen-Ressourcen'!$A$2:$AI$54,21,0)+VLOOKUP(I78,'Feuerwaffen-Ressourcen'!$A$2:$AI$54,21,0)+VLOOKUP(J78,'Feuerwaffen-Ressourcen'!$A$2:$AI$54,21,0)</f>
        <v>-13</v>
      </c>
      <c r="V78" s="60">
        <f>VLOOKUP(B78,'Feuerwaffen-Ressourcen'!$A$2:$AI$54,22,0)+VLOOKUP(C78,'Feuerwaffen-Ressourcen'!$A$2:$AI$54,22,0)+VLOOKUP(D78,'Feuerwaffen-Ressourcen'!$A$2:$AI$54,22,0)+VLOOKUP(F78,'Feuerwaffen-Ressourcen'!$A$2:$AI$54,22,0)+VLOOKUP(G78,'Feuerwaffen-Ressourcen'!$A$2:$AI$54,22,0)+VLOOKUP(I78,'Feuerwaffen-Ressourcen'!$A$2:$AI$54,22,0)+VLOOKUP(J78,'Feuerwaffen-Ressourcen'!$A$2:$AI$54,22,0)</f>
        <v>-20</v>
      </c>
      <c r="W78" s="60">
        <f>VLOOKUP(B78,'Feuerwaffen-Ressourcen'!$A$2:$AI$54,23,0)+VLOOKUP(C78,'Feuerwaffen-Ressourcen'!$A$2:$AI$54,23,0)+VLOOKUP(D78,'Feuerwaffen-Ressourcen'!$A$2:$AI$54,23,0)+VLOOKUP(F78,'Feuerwaffen-Ressourcen'!$A$2:$AI$54,23,0)+VLOOKUP(G78,'Feuerwaffen-Ressourcen'!$A$2:$AI$54,23,0)+VLOOKUP(I78,'Feuerwaffen-Ressourcen'!$A$2:$AI$54,23,0)+VLOOKUP(J78,'Feuerwaffen-Ressourcen'!$A$2:$AI$54,23,0)</f>
        <v>-28</v>
      </c>
      <c r="X78" s="60">
        <f>VLOOKUP(B78,'Feuerwaffen-Ressourcen'!$A$2:$AI$54,24,0)+VLOOKUP(C78,'Feuerwaffen-Ressourcen'!$A$2:$AI$54,24,0)+VLOOKUP(D78,'Feuerwaffen-Ressourcen'!$A$2:$AI$54,24,0)+VLOOKUP(G78,'Feuerwaffen-Ressourcen'!$A$2:$AI$54,24,0)</f>
        <v>40</v>
      </c>
      <c r="Y78" s="60">
        <f>VLOOKUP(D78,'Feuerwaffen-Ressourcen'!$A$2:$AI$54,25,0)+VLOOKUP(E78,'Feuerwaffen-Ressourcen'!$A$2:$AI$54,25,0)+VLOOKUP(F78,'Feuerwaffen-Ressourcen'!$A$2:$AI$54,25,0)</f>
        <v>34</v>
      </c>
      <c r="Z78" s="60">
        <f>VLOOKUP(E78,'Feuerwaffen-Ressourcen'!$A$2:$AI$54,26,0)</f>
        <v>3</v>
      </c>
      <c r="AA78" s="60">
        <f>VLOOKUP(B78,'Feuerwaffen-Ressourcen'!$A$2:$AI$54,27,0)+VLOOKUP(D78,'Feuerwaffen-Ressourcen'!$A$2:$AI$54,27,0)+VLOOKUP(F78,'Feuerwaffen-Ressourcen'!$A$2:$AI$54,27,0)+VLOOKUP(I78,'Feuerwaffen-Ressourcen'!$A$2:$AI$54,27,0)</f>
        <v>-2</v>
      </c>
      <c r="AB78" s="60">
        <f>VLOOKUP(B78,'Feuerwaffen-Ressourcen'!$A$2:$AI$54,28,0)+VLOOKUP(C78,'Feuerwaffen-Ressourcen'!$A$2:$AI$54,28,0)+VLOOKUP(D78,'Feuerwaffen-Ressourcen'!$A$2:$AI$54,28,0)+VLOOKUP(E78,'Feuerwaffen-Ressourcen'!$A$2:$AI$54,28,0)+VLOOKUP(F78,'Feuerwaffen-Ressourcen'!$A$2:$AI$54,28,0)+VLOOKUP(G78,'Feuerwaffen-Ressourcen'!$A$2:$AI$54,28,0)+VLOOKUP(I78,'Feuerwaffen-Ressourcen'!$A$2:$AI$54,28,0)+VLOOKUP(J78,'Feuerwaffen-Ressourcen'!$A$2:$AI$54,28,0)</f>
        <v>90</v>
      </c>
      <c r="AC78" s="63">
        <f>VLOOKUP(I78,'Feuerwaffen-Ressourcen'!$A$2:$AI$54,31,0)*AD78+AE78</f>
        <v>566.69999999999993</v>
      </c>
      <c r="AD78" s="64">
        <f>VLOOKUP(B78,'Feuerwaffen-Ressourcen'!$A$2:$AI$54,30,0)+VLOOKUP(C78,'Feuerwaffen-Ressourcen'!$A$2:$AI$54,30,0)+VLOOKUP(D78,'Feuerwaffen-Ressourcen'!$A$2:$AI$54,30,0)+VLOOKUP(F78,'Feuerwaffen-Ressourcen'!$A$2:$AI$54,30,0)+VLOOKUP(G78,'Feuerwaffen-Ressourcen'!$A$2:$AI$54,30,0)+VLOOKUP(I78,'Feuerwaffen-Ressourcen'!$A$2:$AI$54,30,0)+VLOOKUP(J78,'Feuerwaffen-Ressourcen'!$A$2:$AI$54,30,0)</f>
        <v>9.1999999999999993</v>
      </c>
      <c r="AE78" s="63">
        <f>(VLOOKUP(C78,'Feuerwaffen-Ressourcen'!$A$2:$AI$54,32,0)+VLOOKUP(I78,'Feuerwaffen-Ressourcen'!$A$2:$AI$54,32,0))*(VLOOKUP(B78,'Feuerwaffen-Ressourcen'!$A$2:$AI$54,34,0)+VLOOKUP(C78,'Feuerwaffen-Ressourcen'!$A$2:$AI$54,34,0)+VLOOKUP(D78,'Feuerwaffen-Ressourcen'!$A$2:$AI$54,34,0)+VLOOKUP(E78,'Feuerwaffen-Ressourcen'!$A$2:$AI$54,34,0)+VLOOKUP(G78,'Feuerwaffen-Ressourcen'!$A$2:$AI$54,34,0))+VLOOKUP(B78,'Feuerwaffen-Ressourcen'!$A$2:$AI$54,35,0)+VLOOKUP(C78,'Feuerwaffen-Ressourcen'!$A$2:$AI$54,35,0)+VLOOKUP(D78,'Feuerwaffen-Ressourcen'!$A$2:$AI$54,35,0)</f>
        <v>529.9</v>
      </c>
      <c r="AF78" s="65">
        <f>VLOOKUP(AB78,'Feuerwaffen-Ressourcen'!$AO$3:$AP$9,2,1)</f>
        <v>5</v>
      </c>
      <c r="AG78" s="65">
        <v>0</v>
      </c>
    </row>
    <row r="79" spans="1:33">
      <c r="A79" s="59" t="s">
        <v>7197</v>
      </c>
      <c r="B79" s="59" t="s">
        <v>1449</v>
      </c>
      <c r="C79" s="59" t="s">
        <v>7215</v>
      </c>
      <c r="D79" s="59" t="s">
        <v>6509</v>
      </c>
      <c r="E79" s="59" t="s">
        <v>6501</v>
      </c>
      <c r="F79" s="59" t="s">
        <v>7232</v>
      </c>
      <c r="G79" s="59" t="s">
        <v>7217</v>
      </c>
      <c r="H79" s="59" t="s">
        <v>6510</v>
      </c>
      <c r="I79" s="59" t="s">
        <v>5768</v>
      </c>
      <c r="J79" s="59" t="s">
        <v>5748</v>
      </c>
      <c r="K79" s="61">
        <f>VLOOKUP(B79,'Feuerwaffen-Ressourcen'!$A$2:$AI$54,11,0)+VLOOKUP(C79,'Feuerwaffen-Ressourcen'!$A$2:$AI$54,11,0)+VLOOKUP(D79,'Feuerwaffen-Ressourcen'!$A$2:$AI$54,11,0)+VLOOKUP(E79,'Feuerwaffen-Ressourcen'!$A$2:$AI$54,11,0)+VLOOKUP(G79,'Feuerwaffen-Ressourcen'!$A$2:$AI$54,11,0)</f>
        <v>4.8</v>
      </c>
      <c r="L79" s="60">
        <f>VLOOKUP(B79,'Feuerwaffen-Ressourcen'!$A$2:$AI$54,12,0)+VLOOKUP(C79,'Feuerwaffen-Ressourcen'!$A$2:$AI$54,12,0)+VLOOKUP(D79,'Feuerwaffen-Ressourcen'!$A$2:$AI$54,12,0)+VLOOKUP(J79,'Feuerwaffen-Ressourcen'!$A$2:$AI$54,12,0)</f>
        <v>11</v>
      </c>
      <c r="M79" s="60" t="str">
        <f>VLOOKUP(VLOOKUP(B79,'Feuerwaffen-Ressourcen'!$A$2:$AI$54,13,0)+VLOOKUP(C79,'Feuerwaffen-Ressourcen'!$A$2:$AI$54,13,0)+VLOOKUP(D79,'Feuerwaffen-Ressourcen'!$A$2:$AI$54,13,0),'Feuerwaffen-Ressourcen'!$AJ$3:$AK$12,2,0)</f>
        <v>W10</v>
      </c>
      <c r="N79" s="60" t="str">
        <f>VLOOKUP(VLOOKUP(B79,'Feuerwaffen-Ressourcen'!$A$2:$AI$54,14,0)+VLOOKUP(C79,'Feuerwaffen-Ressourcen'!$A$2:$AI$54,14,0)+VLOOKUP(D79,'Feuerwaffen-Ressourcen'!$A$2:$AI$54,14,0),'Feuerwaffen-Ressourcen'!$AJ$3:$AK$12,2,0)</f>
        <v>W10</v>
      </c>
      <c r="O79" s="60">
        <f>VLOOKUP(B79,'Feuerwaffen-Ressourcen'!$A$2:$AI$54,15,0)+VLOOKUP(C79,'Feuerwaffen-Ressourcen'!$A$2:$AI$54,15,0)+VLOOKUP(D79,'Feuerwaffen-Ressourcen'!$A$2:$AI$54,15,0)</f>
        <v>1</v>
      </c>
      <c r="P79" s="60">
        <f>VLOOKUP(B79,'Feuerwaffen-Ressourcen'!$A$2:$AI$54,16,0)+VLOOKUP(C79,'Feuerwaffen-Ressourcen'!$A$2:$AI$54,16,0)+VLOOKUP(D79,'Feuerwaffen-Ressourcen'!$A$2:$AI$54,16,0)+VLOOKUP(E79,'Feuerwaffen-Ressourcen'!$A$2:$AI$54,16,0)</f>
        <v>13</v>
      </c>
      <c r="Q79" s="62">
        <f>VLOOKUP(B79,'Feuerwaffen-Ressourcen'!$A$2:$AI$54,17,0)+VLOOKUP(C79,'Feuerwaffen-Ressourcen'!$A$2:$AI$54,17,0)+VLOOKUP(D79,'Feuerwaffen-Ressourcen'!$A$2:$AI$54,17,0)+VLOOKUP(E79,'Feuerwaffen-Ressourcen'!$A$2:$AI$54,17,0)</f>
        <v>17</v>
      </c>
      <c r="R79" s="60">
        <f>VLOOKUP(B79,'Feuerwaffen-Ressourcen'!$A$2:$AI$54,18,0)+VLOOKUP(C79,'Feuerwaffen-Ressourcen'!$A$2:$AI$54,18,0)+VLOOKUP(D79,'Feuerwaffen-Ressourcen'!$A$2:$AI$54,18,0)+VLOOKUP(F79,'Feuerwaffen-Ressourcen'!$A$2:$AI$54,18,0)+VLOOKUP(G79,'Feuerwaffen-Ressourcen'!$A$2:$AI$54,18,0)+VLOOKUP(I79,'Feuerwaffen-Ressourcen'!$A$2:$AI$54,18,0)+VLOOKUP(J79,'Feuerwaffen-Ressourcen'!$A$2:$AI$54,18,0)</f>
        <v>6</v>
      </c>
      <c r="S79" s="60">
        <f>VLOOKUP(B79,'Feuerwaffen-Ressourcen'!$A$2:$AI$54,19,0)+VLOOKUP(C79,'Feuerwaffen-Ressourcen'!$A$2:$AI$54,19,0)+VLOOKUP(D79,'Feuerwaffen-Ressourcen'!$A$2:$AI$54,19,0)+VLOOKUP(F79,'Feuerwaffen-Ressourcen'!$A$2:$AI$54,19,0)+VLOOKUP(G79,'Feuerwaffen-Ressourcen'!$A$2:$AI$54,19,0)+VLOOKUP(I79,'Feuerwaffen-Ressourcen'!$A$2:$AI$54,19,0)+VLOOKUP(J79,'Feuerwaffen-Ressourcen'!$A$2:$AI$54,19,0)</f>
        <v>1</v>
      </c>
      <c r="T79" s="60">
        <f>VLOOKUP(B79,'Feuerwaffen-Ressourcen'!$A$2:$AI$54,20,0)+VLOOKUP(C79,'Feuerwaffen-Ressourcen'!$A$2:$AI$54,20,0)+VLOOKUP(D79,'Feuerwaffen-Ressourcen'!$A$2:$AI$54,20,0)+VLOOKUP(F79,'Feuerwaffen-Ressourcen'!$A$2:$AI$54,20,0)+VLOOKUP(G79,'Feuerwaffen-Ressourcen'!$A$2:$AI$54,20,0)+VLOOKUP(I79,'Feuerwaffen-Ressourcen'!$A$2:$AI$54,20,0)+VLOOKUP(J79,'Feuerwaffen-Ressourcen'!$A$2:$AI$54,20,0)</f>
        <v>-4</v>
      </c>
      <c r="U79" s="60">
        <f>VLOOKUP(B79,'Feuerwaffen-Ressourcen'!$A$2:$AI$54,21,0)+VLOOKUP(C79,'Feuerwaffen-Ressourcen'!$A$2:$AI$54,21,0)+VLOOKUP(D79,'Feuerwaffen-Ressourcen'!$A$2:$AI$54,21,0)+VLOOKUP(F79,'Feuerwaffen-Ressourcen'!$A$2:$AI$54,21,0)+VLOOKUP(G79,'Feuerwaffen-Ressourcen'!$A$2:$AI$54,21,0)+VLOOKUP(I79,'Feuerwaffen-Ressourcen'!$A$2:$AI$54,21,0)+VLOOKUP(J79,'Feuerwaffen-Ressourcen'!$A$2:$AI$54,21,0)</f>
        <v>-10</v>
      </c>
      <c r="V79" s="60">
        <f>VLOOKUP(B79,'Feuerwaffen-Ressourcen'!$A$2:$AI$54,22,0)+VLOOKUP(C79,'Feuerwaffen-Ressourcen'!$A$2:$AI$54,22,0)+VLOOKUP(D79,'Feuerwaffen-Ressourcen'!$A$2:$AI$54,22,0)+VLOOKUP(F79,'Feuerwaffen-Ressourcen'!$A$2:$AI$54,22,0)+VLOOKUP(G79,'Feuerwaffen-Ressourcen'!$A$2:$AI$54,22,0)+VLOOKUP(I79,'Feuerwaffen-Ressourcen'!$A$2:$AI$54,22,0)+VLOOKUP(J79,'Feuerwaffen-Ressourcen'!$A$2:$AI$54,22,0)</f>
        <v>-17</v>
      </c>
      <c r="W79" s="60">
        <f>VLOOKUP(B79,'Feuerwaffen-Ressourcen'!$A$2:$AI$54,23,0)+VLOOKUP(C79,'Feuerwaffen-Ressourcen'!$A$2:$AI$54,23,0)+VLOOKUP(D79,'Feuerwaffen-Ressourcen'!$A$2:$AI$54,23,0)+VLOOKUP(F79,'Feuerwaffen-Ressourcen'!$A$2:$AI$54,23,0)+VLOOKUP(G79,'Feuerwaffen-Ressourcen'!$A$2:$AI$54,23,0)+VLOOKUP(I79,'Feuerwaffen-Ressourcen'!$A$2:$AI$54,23,0)+VLOOKUP(J79,'Feuerwaffen-Ressourcen'!$A$2:$AI$54,23,0)</f>
        <v>-25</v>
      </c>
      <c r="X79" s="60">
        <f>VLOOKUP(B79,'Feuerwaffen-Ressourcen'!$A$2:$AI$54,24,0)+VLOOKUP(C79,'Feuerwaffen-Ressourcen'!$A$2:$AI$54,24,0)+VLOOKUP(D79,'Feuerwaffen-Ressourcen'!$A$2:$AI$54,24,0)+VLOOKUP(G79,'Feuerwaffen-Ressourcen'!$A$2:$AI$54,24,0)</f>
        <v>40</v>
      </c>
      <c r="Y79" s="60">
        <f>VLOOKUP(D79,'Feuerwaffen-Ressourcen'!$A$2:$AI$54,25,0)+VLOOKUP(E79,'Feuerwaffen-Ressourcen'!$A$2:$AI$54,25,0)+VLOOKUP(F79,'Feuerwaffen-Ressourcen'!$A$2:$AI$54,25,0)</f>
        <v>33</v>
      </c>
      <c r="Z79" s="60">
        <f>VLOOKUP(E79,'Feuerwaffen-Ressourcen'!$A$2:$AI$54,26,0)</f>
        <v>3</v>
      </c>
      <c r="AA79" s="60">
        <f>VLOOKUP(B79,'Feuerwaffen-Ressourcen'!$A$2:$AI$54,27,0)+VLOOKUP(D79,'Feuerwaffen-Ressourcen'!$A$2:$AI$54,27,0)+VLOOKUP(F79,'Feuerwaffen-Ressourcen'!$A$2:$AI$54,27,0)+VLOOKUP(I79,'Feuerwaffen-Ressourcen'!$A$2:$AI$54,27,0)</f>
        <v>-2</v>
      </c>
      <c r="AB79" s="60">
        <f>VLOOKUP(B79,'Feuerwaffen-Ressourcen'!$A$2:$AI$54,28,0)+VLOOKUP(C79,'Feuerwaffen-Ressourcen'!$A$2:$AI$54,28,0)+VLOOKUP(D79,'Feuerwaffen-Ressourcen'!$A$2:$AI$54,28,0)+VLOOKUP(E79,'Feuerwaffen-Ressourcen'!$A$2:$AI$54,28,0)+VLOOKUP(F79,'Feuerwaffen-Ressourcen'!$A$2:$AI$54,28,0)+VLOOKUP(G79,'Feuerwaffen-Ressourcen'!$A$2:$AI$54,28,0)+VLOOKUP(I79,'Feuerwaffen-Ressourcen'!$A$2:$AI$54,28,0)+VLOOKUP(J79,'Feuerwaffen-Ressourcen'!$A$2:$AI$54,28,0)</f>
        <v>40</v>
      </c>
      <c r="AC79" s="63">
        <f>VLOOKUP(I79,'Feuerwaffen-Ressourcen'!$A$2:$AI$54,31,0)*AD79+AE79</f>
        <v>418.7</v>
      </c>
      <c r="AD79" s="64">
        <f>VLOOKUP(B79,'Feuerwaffen-Ressourcen'!$A$2:$AI$54,30,0)+VLOOKUP(C79,'Feuerwaffen-Ressourcen'!$A$2:$AI$54,30,0)+VLOOKUP(D79,'Feuerwaffen-Ressourcen'!$A$2:$AI$54,30,0)+VLOOKUP(F79,'Feuerwaffen-Ressourcen'!$A$2:$AI$54,30,0)+VLOOKUP(G79,'Feuerwaffen-Ressourcen'!$A$2:$AI$54,30,0)+VLOOKUP(I79,'Feuerwaffen-Ressourcen'!$A$2:$AI$54,30,0)+VLOOKUP(J79,'Feuerwaffen-Ressourcen'!$A$2:$AI$54,30,0)</f>
        <v>17.2</v>
      </c>
      <c r="AE79" s="63">
        <f>(VLOOKUP(C79,'Feuerwaffen-Ressourcen'!$A$2:$AI$54,32,0)+VLOOKUP(I79,'Feuerwaffen-Ressourcen'!$A$2:$AI$54,32,0))*(VLOOKUP(B79,'Feuerwaffen-Ressourcen'!$A$2:$AI$54,34,0)+VLOOKUP(C79,'Feuerwaffen-Ressourcen'!$A$2:$AI$54,34,0)+VLOOKUP(D79,'Feuerwaffen-Ressourcen'!$A$2:$AI$54,34,0)+VLOOKUP(E79,'Feuerwaffen-Ressourcen'!$A$2:$AI$54,34,0)+VLOOKUP(G79,'Feuerwaffen-Ressourcen'!$A$2:$AI$54,34,0))+VLOOKUP(B79,'Feuerwaffen-Ressourcen'!$A$2:$AI$54,35,0)+VLOOKUP(C79,'Feuerwaffen-Ressourcen'!$A$2:$AI$54,35,0)+VLOOKUP(D79,'Feuerwaffen-Ressourcen'!$A$2:$AI$54,35,0)</f>
        <v>349.9</v>
      </c>
      <c r="AF79" s="65">
        <f>VLOOKUP(AB79,'Feuerwaffen-Ressourcen'!$AO$3:$AP$9,2,1)</f>
        <v>7</v>
      </c>
      <c r="AG79" s="65">
        <v>0</v>
      </c>
    </row>
    <row r="80" spans="1:33">
      <c r="A80" s="59" t="s">
        <v>7198</v>
      </c>
      <c r="B80" s="59" t="s">
        <v>1449</v>
      </c>
      <c r="C80" s="59" t="s">
        <v>7215</v>
      </c>
      <c r="D80" s="59" t="s">
        <v>7233</v>
      </c>
      <c r="E80" s="59" t="s">
        <v>6501</v>
      </c>
      <c r="F80" s="59" t="s">
        <v>7221</v>
      </c>
      <c r="G80" s="59" t="s">
        <v>7217</v>
      </c>
      <c r="H80" s="59" t="s">
        <v>6514</v>
      </c>
      <c r="I80" s="59" t="s">
        <v>5768</v>
      </c>
      <c r="J80" s="59" t="s">
        <v>5748</v>
      </c>
      <c r="K80" s="61">
        <f>VLOOKUP(B80,'Feuerwaffen-Ressourcen'!$A$2:$AI$54,11,0)+VLOOKUP(C80,'Feuerwaffen-Ressourcen'!$A$2:$AI$54,11,0)+VLOOKUP(D80,'Feuerwaffen-Ressourcen'!$A$2:$AI$54,11,0)+VLOOKUP(E80,'Feuerwaffen-Ressourcen'!$A$2:$AI$54,11,0)+VLOOKUP(G80,'Feuerwaffen-Ressourcen'!$A$2:$AI$54,11,0)</f>
        <v>5.8</v>
      </c>
      <c r="L80" s="60">
        <f>VLOOKUP(B80,'Feuerwaffen-Ressourcen'!$A$2:$AI$54,12,0)+VLOOKUP(C80,'Feuerwaffen-Ressourcen'!$A$2:$AI$54,12,0)+VLOOKUP(D80,'Feuerwaffen-Ressourcen'!$A$2:$AI$54,12,0)+VLOOKUP(J80,'Feuerwaffen-Ressourcen'!$A$2:$AI$54,12,0)</f>
        <v>13</v>
      </c>
      <c r="M80" s="60" t="str">
        <f>VLOOKUP(VLOOKUP(B80,'Feuerwaffen-Ressourcen'!$A$2:$AI$54,13,0)+VLOOKUP(C80,'Feuerwaffen-Ressourcen'!$A$2:$AI$54,13,0)+VLOOKUP(D80,'Feuerwaffen-Ressourcen'!$A$2:$AI$54,13,0),'Feuerwaffen-Ressourcen'!$AJ$3:$AK$12,2,0)</f>
        <v>W12</v>
      </c>
      <c r="N80" s="60" t="str">
        <f>VLOOKUP(VLOOKUP(B80,'Feuerwaffen-Ressourcen'!$A$2:$AI$54,14,0)+VLOOKUP(C80,'Feuerwaffen-Ressourcen'!$A$2:$AI$54,14,0)+VLOOKUP(D80,'Feuerwaffen-Ressourcen'!$A$2:$AI$54,14,0),'Feuerwaffen-Ressourcen'!$AJ$3:$AK$12,2,0)</f>
        <v>W12</v>
      </c>
      <c r="O80" s="60">
        <f>VLOOKUP(B80,'Feuerwaffen-Ressourcen'!$A$2:$AI$54,15,0)+VLOOKUP(C80,'Feuerwaffen-Ressourcen'!$A$2:$AI$54,15,0)+VLOOKUP(D80,'Feuerwaffen-Ressourcen'!$A$2:$AI$54,15,0)</f>
        <v>4</v>
      </c>
      <c r="P80" s="60">
        <f>VLOOKUP(B80,'Feuerwaffen-Ressourcen'!$A$2:$AI$54,16,0)+VLOOKUP(C80,'Feuerwaffen-Ressourcen'!$A$2:$AI$54,16,0)+VLOOKUP(D80,'Feuerwaffen-Ressourcen'!$A$2:$AI$54,16,0)+VLOOKUP(E80,'Feuerwaffen-Ressourcen'!$A$2:$AI$54,16,0)</f>
        <v>10</v>
      </c>
      <c r="Q80" s="62">
        <f>VLOOKUP(B80,'Feuerwaffen-Ressourcen'!$A$2:$AI$54,17,0)+VLOOKUP(C80,'Feuerwaffen-Ressourcen'!$A$2:$AI$54,17,0)+VLOOKUP(D80,'Feuerwaffen-Ressourcen'!$A$2:$AI$54,17,0)+VLOOKUP(E80,'Feuerwaffen-Ressourcen'!$A$2:$AI$54,17,0)</f>
        <v>20</v>
      </c>
      <c r="R80" s="60">
        <f>VLOOKUP(B80,'Feuerwaffen-Ressourcen'!$A$2:$AI$54,18,0)+VLOOKUP(C80,'Feuerwaffen-Ressourcen'!$A$2:$AI$54,18,0)+VLOOKUP(D80,'Feuerwaffen-Ressourcen'!$A$2:$AI$54,18,0)+VLOOKUP(F80,'Feuerwaffen-Ressourcen'!$A$2:$AI$54,18,0)+VLOOKUP(G80,'Feuerwaffen-Ressourcen'!$A$2:$AI$54,18,0)+VLOOKUP(I80,'Feuerwaffen-Ressourcen'!$A$2:$AI$54,18,0)+VLOOKUP(J80,'Feuerwaffen-Ressourcen'!$A$2:$AI$54,18,0)</f>
        <v>4</v>
      </c>
      <c r="S80" s="60">
        <f>VLOOKUP(B80,'Feuerwaffen-Ressourcen'!$A$2:$AI$54,19,0)+VLOOKUP(C80,'Feuerwaffen-Ressourcen'!$A$2:$AI$54,19,0)+VLOOKUP(D80,'Feuerwaffen-Ressourcen'!$A$2:$AI$54,19,0)+VLOOKUP(F80,'Feuerwaffen-Ressourcen'!$A$2:$AI$54,19,0)+VLOOKUP(G80,'Feuerwaffen-Ressourcen'!$A$2:$AI$54,19,0)+VLOOKUP(I80,'Feuerwaffen-Ressourcen'!$A$2:$AI$54,19,0)+VLOOKUP(J80,'Feuerwaffen-Ressourcen'!$A$2:$AI$54,19,0)</f>
        <v>-6</v>
      </c>
      <c r="T80" s="60">
        <f>VLOOKUP(B80,'Feuerwaffen-Ressourcen'!$A$2:$AI$54,20,0)+VLOOKUP(C80,'Feuerwaffen-Ressourcen'!$A$2:$AI$54,20,0)+VLOOKUP(D80,'Feuerwaffen-Ressourcen'!$A$2:$AI$54,20,0)+VLOOKUP(F80,'Feuerwaffen-Ressourcen'!$A$2:$AI$54,20,0)+VLOOKUP(G80,'Feuerwaffen-Ressourcen'!$A$2:$AI$54,20,0)+VLOOKUP(I80,'Feuerwaffen-Ressourcen'!$A$2:$AI$54,20,0)+VLOOKUP(J80,'Feuerwaffen-Ressourcen'!$A$2:$AI$54,20,0)</f>
        <v>-16</v>
      </c>
      <c r="U80" s="60">
        <f>VLOOKUP(B80,'Feuerwaffen-Ressourcen'!$A$2:$AI$54,21,0)+VLOOKUP(C80,'Feuerwaffen-Ressourcen'!$A$2:$AI$54,21,0)+VLOOKUP(D80,'Feuerwaffen-Ressourcen'!$A$2:$AI$54,21,0)+VLOOKUP(F80,'Feuerwaffen-Ressourcen'!$A$2:$AI$54,21,0)+VLOOKUP(G80,'Feuerwaffen-Ressourcen'!$A$2:$AI$54,21,0)+VLOOKUP(I80,'Feuerwaffen-Ressourcen'!$A$2:$AI$54,21,0)+VLOOKUP(J80,'Feuerwaffen-Ressourcen'!$A$2:$AI$54,21,0)</f>
        <v>-27</v>
      </c>
      <c r="V80" s="60">
        <f>VLOOKUP(B80,'Feuerwaffen-Ressourcen'!$A$2:$AI$54,22,0)+VLOOKUP(C80,'Feuerwaffen-Ressourcen'!$A$2:$AI$54,22,0)+VLOOKUP(D80,'Feuerwaffen-Ressourcen'!$A$2:$AI$54,22,0)+VLOOKUP(F80,'Feuerwaffen-Ressourcen'!$A$2:$AI$54,22,0)+VLOOKUP(G80,'Feuerwaffen-Ressourcen'!$A$2:$AI$54,22,0)+VLOOKUP(I80,'Feuerwaffen-Ressourcen'!$A$2:$AI$54,22,0)+VLOOKUP(J80,'Feuerwaffen-Ressourcen'!$A$2:$AI$54,22,0)</f>
        <v>-39</v>
      </c>
      <c r="W80" s="60">
        <f>VLOOKUP(B80,'Feuerwaffen-Ressourcen'!$A$2:$AI$54,23,0)+VLOOKUP(C80,'Feuerwaffen-Ressourcen'!$A$2:$AI$54,23,0)+VLOOKUP(D80,'Feuerwaffen-Ressourcen'!$A$2:$AI$54,23,0)+VLOOKUP(F80,'Feuerwaffen-Ressourcen'!$A$2:$AI$54,23,0)+VLOOKUP(G80,'Feuerwaffen-Ressourcen'!$A$2:$AI$54,23,0)+VLOOKUP(I80,'Feuerwaffen-Ressourcen'!$A$2:$AI$54,23,0)+VLOOKUP(J80,'Feuerwaffen-Ressourcen'!$A$2:$AI$54,23,0)</f>
        <v>-52</v>
      </c>
      <c r="X80" s="60">
        <f>VLOOKUP(B80,'Feuerwaffen-Ressourcen'!$A$2:$AI$54,24,0)+VLOOKUP(C80,'Feuerwaffen-Ressourcen'!$A$2:$AI$54,24,0)+VLOOKUP(D80,'Feuerwaffen-Ressourcen'!$A$2:$AI$54,24,0)+VLOOKUP(G80,'Feuerwaffen-Ressourcen'!$A$2:$AI$54,24,0)</f>
        <v>20</v>
      </c>
      <c r="Y80" s="60">
        <f>VLOOKUP(D80,'Feuerwaffen-Ressourcen'!$A$2:$AI$54,25,0)+VLOOKUP(E80,'Feuerwaffen-Ressourcen'!$A$2:$AI$54,25,0)+VLOOKUP(F80,'Feuerwaffen-Ressourcen'!$A$2:$AI$54,25,0)</f>
        <v>32</v>
      </c>
      <c r="Z80" s="60">
        <f>VLOOKUP(E80,'Feuerwaffen-Ressourcen'!$A$2:$AI$54,26,0)</f>
        <v>3</v>
      </c>
      <c r="AA80" s="60">
        <f>VLOOKUP(B80,'Feuerwaffen-Ressourcen'!$A$2:$AI$54,27,0)+VLOOKUP(D80,'Feuerwaffen-Ressourcen'!$A$2:$AI$54,27,0)+VLOOKUP(F80,'Feuerwaffen-Ressourcen'!$A$2:$AI$54,27,0)+VLOOKUP(I80,'Feuerwaffen-Ressourcen'!$A$2:$AI$54,27,0)</f>
        <v>-2</v>
      </c>
      <c r="AB80" s="60">
        <f>VLOOKUP(B80,'Feuerwaffen-Ressourcen'!$A$2:$AI$54,28,0)+VLOOKUP(C80,'Feuerwaffen-Ressourcen'!$A$2:$AI$54,28,0)+VLOOKUP(D80,'Feuerwaffen-Ressourcen'!$A$2:$AI$54,28,0)+VLOOKUP(E80,'Feuerwaffen-Ressourcen'!$A$2:$AI$54,28,0)+VLOOKUP(F80,'Feuerwaffen-Ressourcen'!$A$2:$AI$54,28,0)+VLOOKUP(G80,'Feuerwaffen-Ressourcen'!$A$2:$AI$54,28,0)+VLOOKUP(I80,'Feuerwaffen-Ressourcen'!$A$2:$AI$54,28,0)+VLOOKUP(J80,'Feuerwaffen-Ressourcen'!$A$2:$AI$54,28,0)</f>
        <v>105</v>
      </c>
      <c r="AC80" s="63">
        <f>VLOOKUP(I80,'Feuerwaffen-Ressourcen'!$A$2:$AI$54,31,0)*AD80+AE80</f>
        <v>502.7</v>
      </c>
      <c r="AD80" s="64">
        <f>VLOOKUP(B80,'Feuerwaffen-Ressourcen'!$A$2:$AI$54,30,0)+VLOOKUP(C80,'Feuerwaffen-Ressourcen'!$A$2:$AI$54,30,0)+VLOOKUP(D80,'Feuerwaffen-Ressourcen'!$A$2:$AI$54,30,0)+VLOOKUP(F80,'Feuerwaffen-Ressourcen'!$A$2:$AI$54,30,0)+VLOOKUP(G80,'Feuerwaffen-Ressourcen'!$A$2:$AI$54,30,0)+VLOOKUP(I80,'Feuerwaffen-Ressourcen'!$A$2:$AI$54,30,0)+VLOOKUP(J80,'Feuerwaffen-Ressourcen'!$A$2:$AI$54,30,0)</f>
        <v>8.1999999999999993</v>
      </c>
      <c r="AE80" s="63">
        <f>(VLOOKUP(C80,'Feuerwaffen-Ressourcen'!$A$2:$AI$54,32,0)+VLOOKUP(I80,'Feuerwaffen-Ressourcen'!$A$2:$AI$54,32,0))*(VLOOKUP(B80,'Feuerwaffen-Ressourcen'!$A$2:$AI$54,34,0)+VLOOKUP(C80,'Feuerwaffen-Ressourcen'!$A$2:$AI$54,34,0)+VLOOKUP(D80,'Feuerwaffen-Ressourcen'!$A$2:$AI$54,34,0)+VLOOKUP(E80,'Feuerwaffen-Ressourcen'!$A$2:$AI$54,34,0)+VLOOKUP(G80,'Feuerwaffen-Ressourcen'!$A$2:$AI$54,34,0))+VLOOKUP(B80,'Feuerwaffen-Ressourcen'!$A$2:$AI$54,35,0)+VLOOKUP(C80,'Feuerwaffen-Ressourcen'!$A$2:$AI$54,35,0)+VLOOKUP(D80,'Feuerwaffen-Ressourcen'!$A$2:$AI$54,35,0)</f>
        <v>469.9</v>
      </c>
      <c r="AF80" s="65">
        <f>VLOOKUP(AB80,'Feuerwaffen-Ressourcen'!$AO$3:$AP$9,2,1)</f>
        <v>5</v>
      </c>
      <c r="AG80" s="65">
        <v>0</v>
      </c>
    </row>
    <row r="81" spans="1:33">
      <c r="A81" s="59" t="s">
        <v>7199</v>
      </c>
      <c r="B81" s="59" t="s">
        <v>1449</v>
      </c>
      <c r="C81" s="59" t="s">
        <v>7215</v>
      </c>
      <c r="D81" s="59" t="s">
        <v>7222</v>
      </c>
      <c r="E81" s="59" t="s">
        <v>7141</v>
      </c>
      <c r="F81" s="59" t="s">
        <v>7224</v>
      </c>
      <c r="G81" s="59" t="s">
        <v>7225</v>
      </c>
      <c r="H81" s="59" t="s">
        <v>7124</v>
      </c>
      <c r="I81" s="59" t="s">
        <v>5768</v>
      </c>
      <c r="J81" s="59" t="s">
        <v>5748</v>
      </c>
      <c r="K81" s="61">
        <f>VLOOKUP(B81,'Feuerwaffen-Ressourcen'!$A$2:$AI$54,11,0)+VLOOKUP(C81,'Feuerwaffen-Ressourcen'!$A$2:$AI$54,11,0)+VLOOKUP(D81,'Feuerwaffen-Ressourcen'!$A$2:$AI$54,11,0)+VLOOKUP(E81,'Feuerwaffen-Ressourcen'!$A$2:$AI$54,11,0)+VLOOKUP(G81,'Feuerwaffen-Ressourcen'!$A$2:$AI$54,11,0)</f>
        <v>4.1500000000000004</v>
      </c>
      <c r="L81" s="60">
        <f>VLOOKUP(B81,'Feuerwaffen-Ressourcen'!$A$2:$AI$54,12,0)+VLOOKUP(C81,'Feuerwaffen-Ressourcen'!$A$2:$AI$54,12,0)+VLOOKUP(D81,'Feuerwaffen-Ressourcen'!$A$2:$AI$54,12,0)+VLOOKUP(J81,'Feuerwaffen-Ressourcen'!$A$2:$AI$54,12,0)</f>
        <v>10</v>
      </c>
      <c r="M81" s="60" t="str">
        <f>VLOOKUP(VLOOKUP(B81,'Feuerwaffen-Ressourcen'!$A$2:$AI$54,13,0)+VLOOKUP(C81,'Feuerwaffen-Ressourcen'!$A$2:$AI$54,13,0)+VLOOKUP(D81,'Feuerwaffen-Ressourcen'!$A$2:$AI$54,13,0),'Feuerwaffen-Ressourcen'!$AJ$3:$AK$12,2,0)</f>
        <v>W10</v>
      </c>
      <c r="N81" s="60" t="str">
        <f>VLOOKUP(VLOOKUP(B81,'Feuerwaffen-Ressourcen'!$A$2:$AI$54,14,0)+VLOOKUP(C81,'Feuerwaffen-Ressourcen'!$A$2:$AI$54,14,0)+VLOOKUP(D81,'Feuerwaffen-Ressourcen'!$A$2:$AI$54,14,0),'Feuerwaffen-Ressourcen'!$AJ$3:$AK$12,2,0)</f>
        <v>W10</v>
      </c>
      <c r="O81" s="60">
        <f>VLOOKUP(B81,'Feuerwaffen-Ressourcen'!$A$2:$AI$54,15,0)+VLOOKUP(C81,'Feuerwaffen-Ressourcen'!$A$2:$AI$54,15,0)+VLOOKUP(D81,'Feuerwaffen-Ressourcen'!$A$2:$AI$54,15,0)</f>
        <v>1</v>
      </c>
      <c r="P81" s="60">
        <f>VLOOKUP(B81,'Feuerwaffen-Ressourcen'!$A$2:$AI$54,16,0)+VLOOKUP(C81,'Feuerwaffen-Ressourcen'!$A$2:$AI$54,16,0)+VLOOKUP(D81,'Feuerwaffen-Ressourcen'!$A$2:$AI$54,16,0)+VLOOKUP(E81,'Feuerwaffen-Ressourcen'!$A$2:$AI$54,16,0)</f>
        <v>19</v>
      </c>
      <c r="Q81" s="62">
        <f>VLOOKUP(B81,'Feuerwaffen-Ressourcen'!$A$2:$AI$54,17,0)+VLOOKUP(C81,'Feuerwaffen-Ressourcen'!$A$2:$AI$54,17,0)+VLOOKUP(D81,'Feuerwaffen-Ressourcen'!$A$2:$AI$54,17,0)+VLOOKUP(E81,'Feuerwaffen-Ressourcen'!$A$2:$AI$54,17,0)</f>
        <v>11</v>
      </c>
      <c r="R81" s="60">
        <f>VLOOKUP(B81,'Feuerwaffen-Ressourcen'!$A$2:$AI$54,18,0)+VLOOKUP(C81,'Feuerwaffen-Ressourcen'!$A$2:$AI$54,18,0)+VLOOKUP(D81,'Feuerwaffen-Ressourcen'!$A$2:$AI$54,18,0)+VLOOKUP(F81,'Feuerwaffen-Ressourcen'!$A$2:$AI$54,18,0)+VLOOKUP(G81,'Feuerwaffen-Ressourcen'!$A$2:$AI$54,18,0)+VLOOKUP(I81,'Feuerwaffen-Ressourcen'!$A$2:$AI$54,18,0)+VLOOKUP(J81,'Feuerwaffen-Ressourcen'!$A$2:$AI$54,18,0)</f>
        <v>10</v>
      </c>
      <c r="S81" s="60">
        <f>VLOOKUP(B81,'Feuerwaffen-Ressourcen'!$A$2:$AI$54,19,0)+VLOOKUP(C81,'Feuerwaffen-Ressourcen'!$A$2:$AI$54,19,0)+VLOOKUP(D81,'Feuerwaffen-Ressourcen'!$A$2:$AI$54,19,0)+VLOOKUP(F81,'Feuerwaffen-Ressourcen'!$A$2:$AI$54,19,0)+VLOOKUP(G81,'Feuerwaffen-Ressourcen'!$A$2:$AI$54,19,0)+VLOOKUP(I81,'Feuerwaffen-Ressourcen'!$A$2:$AI$54,19,0)+VLOOKUP(J81,'Feuerwaffen-Ressourcen'!$A$2:$AI$54,19,0)</f>
        <v>4</v>
      </c>
      <c r="T81" s="60">
        <f>VLOOKUP(B81,'Feuerwaffen-Ressourcen'!$A$2:$AI$54,20,0)+VLOOKUP(C81,'Feuerwaffen-Ressourcen'!$A$2:$AI$54,20,0)+VLOOKUP(D81,'Feuerwaffen-Ressourcen'!$A$2:$AI$54,20,0)+VLOOKUP(F81,'Feuerwaffen-Ressourcen'!$A$2:$AI$54,20,0)+VLOOKUP(G81,'Feuerwaffen-Ressourcen'!$A$2:$AI$54,20,0)+VLOOKUP(I81,'Feuerwaffen-Ressourcen'!$A$2:$AI$54,20,0)+VLOOKUP(J81,'Feuerwaffen-Ressourcen'!$A$2:$AI$54,20,0)</f>
        <v>-3</v>
      </c>
      <c r="U81" s="60">
        <f>VLOOKUP(B81,'Feuerwaffen-Ressourcen'!$A$2:$AI$54,21,0)+VLOOKUP(C81,'Feuerwaffen-Ressourcen'!$A$2:$AI$54,21,0)+VLOOKUP(D81,'Feuerwaffen-Ressourcen'!$A$2:$AI$54,21,0)+VLOOKUP(F81,'Feuerwaffen-Ressourcen'!$A$2:$AI$54,21,0)+VLOOKUP(G81,'Feuerwaffen-Ressourcen'!$A$2:$AI$54,21,0)+VLOOKUP(I81,'Feuerwaffen-Ressourcen'!$A$2:$AI$54,21,0)+VLOOKUP(J81,'Feuerwaffen-Ressourcen'!$A$2:$AI$54,21,0)</f>
        <v>-12</v>
      </c>
      <c r="V81" s="60">
        <f>VLOOKUP(B81,'Feuerwaffen-Ressourcen'!$A$2:$AI$54,22,0)+VLOOKUP(C81,'Feuerwaffen-Ressourcen'!$A$2:$AI$54,22,0)+VLOOKUP(D81,'Feuerwaffen-Ressourcen'!$A$2:$AI$54,22,0)+VLOOKUP(F81,'Feuerwaffen-Ressourcen'!$A$2:$AI$54,22,0)+VLOOKUP(G81,'Feuerwaffen-Ressourcen'!$A$2:$AI$54,22,0)+VLOOKUP(I81,'Feuerwaffen-Ressourcen'!$A$2:$AI$54,22,0)+VLOOKUP(J81,'Feuerwaffen-Ressourcen'!$A$2:$AI$54,22,0)</f>
        <v>-22</v>
      </c>
      <c r="W81" s="60">
        <f>VLOOKUP(B81,'Feuerwaffen-Ressourcen'!$A$2:$AI$54,23,0)+VLOOKUP(C81,'Feuerwaffen-Ressourcen'!$A$2:$AI$54,23,0)+VLOOKUP(D81,'Feuerwaffen-Ressourcen'!$A$2:$AI$54,23,0)+VLOOKUP(F81,'Feuerwaffen-Ressourcen'!$A$2:$AI$54,23,0)+VLOOKUP(G81,'Feuerwaffen-Ressourcen'!$A$2:$AI$54,23,0)+VLOOKUP(I81,'Feuerwaffen-Ressourcen'!$A$2:$AI$54,23,0)+VLOOKUP(J81,'Feuerwaffen-Ressourcen'!$A$2:$AI$54,23,0)</f>
        <v>-32</v>
      </c>
      <c r="X81" s="60">
        <f>VLOOKUP(B81,'Feuerwaffen-Ressourcen'!$A$2:$AI$54,24,0)+VLOOKUP(C81,'Feuerwaffen-Ressourcen'!$A$2:$AI$54,24,0)+VLOOKUP(D81,'Feuerwaffen-Ressourcen'!$A$2:$AI$54,24,0)+VLOOKUP(G81,'Feuerwaffen-Ressourcen'!$A$2:$AI$54,24,0)</f>
        <v>60</v>
      </c>
      <c r="Y81" s="60">
        <f>VLOOKUP(D81,'Feuerwaffen-Ressourcen'!$A$2:$AI$54,25,0)+VLOOKUP(E81,'Feuerwaffen-Ressourcen'!$A$2:$AI$54,25,0)+VLOOKUP(F81,'Feuerwaffen-Ressourcen'!$A$2:$AI$54,25,0)</f>
        <v>8</v>
      </c>
      <c r="Z81" s="60">
        <f>VLOOKUP(E81,'Feuerwaffen-Ressourcen'!$A$2:$AI$54,26,0)</f>
        <v>6</v>
      </c>
      <c r="AA81" s="60">
        <f>VLOOKUP(B81,'Feuerwaffen-Ressourcen'!$A$2:$AI$54,27,0)+VLOOKUP(D81,'Feuerwaffen-Ressourcen'!$A$2:$AI$54,27,0)+VLOOKUP(F81,'Feuerwaffen-Ressourcen'!$A$2:$AI$54,27,0)+VLOOKUP(I81,'Feuerwaffen-Ressourcen'!$A$2:$AI$54,27,0)</f>
        <v>-5</v>
      </c>
      <c r="AB81" s="60">
        <f>VLOOKUP(B81,'Feuerwaffen-Ressourcen'!$A$2:$AI$54,28,0)+VLOOKUP(C81,'Feuerwaffen-Ressourcen'!$A$2:$AI$54,28,0)+VLOOKUP(D81,'Feuerwaffen-Ressourcen'!$A$2:$AI$54,28,0)+VLOOKUP(E81,'Feuerwaffen-Ressourcen'!$A$2:$AI$54,28,0)+VLOOKUP(F81,'Feuerwaffen-Ressourcen'!$A$2:$AI$54,28,0)+VLOOKUP(G81,'Feuerwaffen-Ressourcen'!$A$2:$AI$54,28,0)+VLOOKUP(I81,'Feuerwaffen-Ressourcen'!$A$2:$AI$54,28,0)+VLOOKUP(J81,'Feuerwaffen-Ressourcen'!$A$2:$AI$54,28,0)</f>
        <v>40</v>
      </c>
      <c r="AC81" s="63">
        <f>VLOOKUP(I81,'Feuerwaffen-Ressourcen'!$A$2:$AI$54,31,0)*AD81+AE81</f>
        <v>330.59999999999991</v>
      </c>
      <c r="AD81" s="64">
        <f>VLOOKUP(B81,'Feuerwaffen-Ressourcen'!$A$2:$AI$54,30,0)+VLOOKUP(C81,'Feuerwaffen-Ressourcen'!$A$2:$AI$54,30,0)+VLOOKUP(D81,'Feuerwaffen-Ressourcen'!$A$2:$AI$54,30,0)+VLOOKUP(F81,'Feuerwaffen-Ressourcen'!$A$2:$AI$54,30,0)+VLOOKUP(G81,'Feuerwaffen-Ressourcen'!$A$2:$AI$54,30,0)+VLOOKUP(I81,'Feuerwaffen-Ressourcen'!$A$2:$AI$54,30,0)+VLOOKUP(J81,'Feuerwaffen-Ressourcen'!$A$2:$AI$54,30,0)</f>
        <v>11.7</v>
      </c>
      <c r="AE81" s="63">
        <f>(VLOOKUP(C81,'Feuerwaffen-Ressourcen'!$A$2:$AI$54,32,0)+VLOOKUP(I81,'Feuerwaffen-Ressourcen'!$A$2:$AI$54,32,0))*(VLOOKUP(B81,'Feuerwaffen-Ressourcen'!$A$2:$AI$54,34,0)+VLOOKUP(C81,'Feuerwaffen-Ressourcen'!$A$2:$AI$54,34,0)+VLOOKUP(D81,'Feuerwaffen-Ressourcen'!$A$2:$AI$54,34,0)+VLOOKUP(E81,'Feuerwaffen-Ressourcen'!$A$2:$AI$54,34,0)+VLOOKUP(G81,'Feuerwaffen-Ressourcen'!$A$2:$AI$54,34,0))+VLOOKUP(B81,'Feuerwaffen-Ressourcen'!$A$2:$AI$54,35,0)+VLOOKUP(C81,'Feuerwaffen-Ressourcen'!$A$2:$AI$54,35,0)+VLOOKUP(D81,'Feuerwaffen-Ressourcen'!$A$2:$AI$54,35,0)</f>
        <v>283.7999999999999</v>
      </c>
      <c r="AF81" s="65">
        <f>VLOOKUP(AB81,'Feuerwaffen-Ressourcen'!$AO$3:$AP$9,2,1)</f>
        <v>7</v>
      </c>
      <c r="AG81" s="65">
        <v>0</v>
      </c>
    </row>
    <row r="82" spans="1:33">
      <c r="A82" s="59" t="s">
        <v>7200</v>
      </c>
      <c r="B82" s="59" t="s">
        <v>1449</v>
      </c>
      <c r="C82" s="59" t="s">
        <v>7215</v>
      </c>
      <c r="D82" s="59" t="s">
        <v>7206</v>
      </c>
      <c r="E82" s="59" t="s">
        <v>6501</v>
      </c>
      <c r="F82" s="59" t="s">
        <v>7221</v>
      </c>
      <c r="G82" s="59" t="s">
        <v>7217</v>
      </c>
      <c r="H82" s="59" t="s">
        <v>6514</v>
      </c>
      <c r="I82" s="59" t="s">
        <v>5768</v>
      </c>
      <c r="J82" s="59" t="s">
        <v>5748</v>
      </c>
      <c r="K82" s="61">
        <f>VLOOKUP(B82,'Feuerwaffen-Ressourcen'!$A$2:$AI$54,11,0)+VLOOKUP(C82,'Feuerwaffen-Ressourcen'!$A$2:$AI$54,11,0)+VLOOKUP(D82,'Feuerwaffen-Ressourcen'!$A$2:$AI$54,11,0)+VLOOKUP(E82,'Feuerwaffen-Ressourcen'!$A$2:$AI$54,11,0)+VLOOKUP(G82,'Feuerwaffen-Ressourcen'!$A$2:$AI$54,11,0)</f>
        <v>4.8</v>
      </c>
      <c r="L82" s="60">
        <f>VLOOKUP(B82,'Feuerwaffen-Ressourcen'!$A$2:$AI$54,12,0)+VLOOKUP(C82,'Feuerwaffen-Ressourcen'!$A$2:$AI$54,12,0)+VLOOKUP(D82,'Feuerwaffen-Ressourcen'!$A$2:$AI$54,12,0)+VLOOKUP(J82,'Feuerwaffen-Ressourcen'!$A$2:$AI$54,12,0)</f>
        <v>11</v>
      </c>
      <c r="M82" s="60" t="str">
        <f>VLOOKUP(VLOOKUP(B82,'Feuerwaffen-Ressourcen'!$A$2:$AI$54,13,0)+VLOOKUP(C82,'Feuerwaffen-Ressourcen'!$A$2:$AI$54,13,0)+VLOOKUP(D82,'Feuerwaffen-Ressourcen'!$A$2:$AI$54,13,0),'Feuerwaffen-Ressourcen'!$AJ$3:$AK$12,2,0)</f>
        <v>W10</v>
      </c>
      <c r="N82" s="60" t="str">
        <f>VLOOKUP(VLOOKUP(B82,'Feuerwaffen-Ressourcen'!$A$2:$AI$54,14,0)+VLOOKUP(C82,'Feuerwaffen-Ressourcen'!$A$2:$AI$54,14,0)+VLOOKUP(D82,'Feuerwaffen-Ressourcen'!$A$2:$AI$54,14,0),'Feuerwaffen-Ressourcen'!$AJ$3:$AK$12,2,0)</f>
        <v>W10</v>
      </c>
      <c r="O82" s="60">
        <f>VLOOKUP(B82,'Feuerwaffen-Ressourcen'!$A$2:$AI$54,15,0)+VLOOKUP(C82,'Feuerwaffen-Ressourcen'!$A$2:$AI$54,15,0)+VLOOKUP(D82,'Feuerwaffen-Ressourcen'!$A$2:$AI$54,15,0)</f>
        <v>1</v>
      </c>
      <c r="P82" s="60">
        <f>VLOOKUP(B82,'Feuerwaffen-Ressourcen'!$A$2:$AI$54,16,0)+VLOOKUP(C82,'Feuerwaffen-Ressourcen'!$A$2:$AI$54,16,0)+VLOOKUP(D82,'Feuerwaffen-Ressourcen'!$A$2:$AI$54,16,0)+VLOOKUP(E82,'Feuerwaffen-Ressourcen'!$A$2:$AI$54,16,0)</f>
        <v>13</v>
      </c>
      <c r="Q82" s="62">
        <f>VLOOKUP(B82,'Feuerwaffen-Ressourcen'!$A$2:$AI$54,17,0)+VLOOKUP(C82,'Feuerwaffen-Ressourcen'!$A$2:$AI$54,17,0)+VLOOKUP(D82,'Feuerwaffen-Ressourcen'!$A$2:$AI$54,17,0)+VLOOKUP(E82,'Feuerwaffen-Ressourcen'!$A$2:$AI$54,17,0)</f>
        <v>17</v>
      </c>
      <c r="R82" s="60">
        <f>VLOOKUP(B82,'Feuerwaffen-Ressourcen'!$A$2:$AI$54,18,0)+VLOOKUP(C82,'Feuerwaffen-Ressourcen'!$A$2:$AI$54,18,0)+VLOOKUP(D82,'Feuerwaffen-Ressourcen'!$A$2:$AI$54,18,0)+VLOOKUP(F82,'Feuerwaffen-Ressourcen'!$A$2:$AI$54,18,0)+VLOOKUP(G82,'Feuerwaffen-Ressourcen'!$A$2:$AI$54,18,0)+VLOOKUP(I82,'Feuerwaffen-Ressourcen'!$A$2:$AI$54,18,0)+VLOOKUP(J82,'Feuerwaffen-Ressourcen'!$A$2:$AI$54,18,0)</f>
        <v>4</v>
      </c>
      <c r="S82" s="60">
        <f>VLOOKUP(B82,'Feuerwaffen-Ressourcen'!$A$2:$AI$54,19,0)+VLOOKUP(C82,'Feuerwaffen-Ressourcen'!$A$2:$AI$54,19,0)+VLOOKUP(D82,'Feuerwaffen-Ressourcen'!$A$2:$AI$54,19,0)+VLOOKUP(F82,'Feuerwaffen-Ressourcen'!$A$2:$AI$54,19,0)+VLOOKUP(G82,'Feuerwaffen-Ressourcen'!$A$2:$AI$54,19,0)+VLOOKUP(I82,'Feuerwaffen-Ressourcen'!$A$2:$AI$54,19,0)+VLOOKUP(J82,'Feuerwaffen-Ressourcen'!$A$2:$AI$54,19,0)</f>
        <v>-1</v>
      </c>
      <c r="T82" s="60">
        <f>VLOOKUP(B82,'Feuerwaffen-Ressourcen'!$A$2:$AI$54,20,0)+VLOOKUP(C82,'Feuerwaffen-Ressourcen'!$A$2:$AI$54,20,0)+VLOOKUP(D82,'Feuerwaffen-Ressourcen'!$A$2:$AI$54,20,0)+VLOOKUP(F82,'Feuerwaffen-Ressourcen'!$A$2:$AI$54,20,0)+VLOOKUP(G82,'Feuerwaffen-Ressourcen'!$A$2:$AI$54,20,0)+VLOOKUP(I82,'Feuerwaffen-Ressourcen'!$A$2:$AI$54,20,0)+VLOOKUP(J82,'Feuerwaffen-Ressourcen'!$A$2:$AI$54,20,0)</f>
        <v>-6</v>
      </c>
      <c r="U82" s="60">
        <f>VLOOKUP(B82,'Feuerwaffen-Ressourcen'!$A$2:$AI$54,21,0)+VLOOKUP(C82,'Feuerwaffen-Ressourcen'!$A$2:$AI$54,21,0)+VLOOKUP(D82,'Feuerwaffen-Ressourcen'!$A$2:$AI$54,21,0)+VLOOKUP(F82,'Feuerwaffen-Ressourcen'!$A$2:$AI$54,21,0)+VLOOKUP(G82,'Feuerwaffen-Ressourcen'!$A$2:$AI$54,21,0)+VLOOKUP(I82,'Feuerwaffen-Ressourcen'!$A$2:$AI$54,21,0)+VLOOKUP(J82,'Feuerwaffen-Ressourcen'!$A$2:$AI$54,21,0)</f>
        <v>-12</v>
      </c>
      <c r="V82" s="60">
        <f>VLOOKUP(B82,'Feuerwaffen-Ressourcen'!$A$2:$AI$54,22,0)+VLOOKUP(C82,'Feuerwaffen-Ressourcen'!$A$2:$AI$54,22,0)+VLOOKUP(D82,'Feuerwaffen-Ressourcen'!$A$2:$AI$54,22,0)+VLOOKUP(F82,'Feuerwaffen-Ressourcen'!$A$2:$AI$54,22,0)+VLOOKUP(G82,'Feuerwaffen-Ressourcen'!$A$2:$AI$54,22,0)+VLOOKUP(I82,'Feuerwaffen-Ressourcen'!$A$2:$AI$54,22,0)+VLOOKUP(J82,'Feuerwaffen-Ressourcen'!$A$2:$AI$54,22,0)</f>
        <v>-19</v>
      </c>
      <c r="W82" s="60">
        <f>VLOOKUP(B82,'Feuerwaffen-Ressourcen'!$A$2:$AI$54,23,0)+VLOOKUP(C82,'Feuerwaffen-Ressourcen'!$A$2:$AI$54,23,0)+VLOOKUP(D82,'Feuerwaffen-Ressourcen'!$A$2:$AI$54,23,0)+VLOOKUP(F82,'Feuerwaffen-Ressourcen'!$A$2:$AI$54,23,0)+VLOOKUP(G82,'Feuerwaffen-Ressourcen'!$A$2:$AI$54,23,0)+VLOOKUP(I82,'Feuerwaffen-Ressourcen'!$A$2:$AI$54,23,0)+VLOOKUP(J82,'Feuerwaffen-Ressourcen'!$A$2:$AI$54,23,0)</f>
        <v>-27</v>
      </c>
      <c r="X82" s="60">
        <f>VLOOKUP(B82,'Feuerwaffen-Ressourcen'!$A$2:$AI$54,24,0)+VLOOKUP(C82,'Feuerwaffen-Ressourcen'!$A$2:$AI$54,24,0)+VLOOKUP(D82,'Feuerwaffen-Ressourcen'!$A$2:$AI$54,24,0)+VLOOKUP(G82,'Feuerwaffen-Ressourcen'!$A$2:$AI$54,24,0)</f>
        <v>40</v>
      </c>
      <c r="Y82" s="60">
        <f>VLOOKUP(D82,'Feuerwaffen-Ressourcen'!$A$2:$AI$54,25,0)+VLOOKUP(E82,'Feuerwaffen-Ressourcen'!$A$2:$AI$54,25,0)+VLOOKUP(F82,'Feuerwaffen-Ressourcen'!$A$2:$AI$54,25,0)</f>
        <v>30</v>
      </c>
      <c r="Z82" s="60">
        <f>VLOOKUP(E82,'Feuerwaffen-Ressourcen'!$A$2:$AI$54,26,0)</f>
        <v>3</v>
      </c>
      <c r="AA82" s="60">
        <f>VLOOKUP(B82,'Feuerwaffen-Ressourcen'!$A$2:$AI$54,27,0)+VLOOKUP(D82,'Feuerwaffen-Ressourcen'!$A$2:$AI$54,27,0)+VLOOKUP(F82,'Feuerwaffen-Ressourcen'!$A$2:$AI$54,27,0)+VLOOKUP(I82,'Feuerwaffen-Ressourcen'!$A$2:$AI$54,27,0)</f>
        <v>-2</v>
      </c>
      <c r="AB82" s="60">
        <f>VLOOKUP(B82,'Feuerwaffen-Ressourcen'!$A$2:$AI$54,28,0)+VLOOKUP(C82,'Feuerwaffen-Ressourcen'!$A$2:$AI$54,28,0)+VLOOKUP(D82,'Feuerwaffen-Ressourcen'!$A$2:$AI$54,28,0)+VLOOKUP(E82,'Feuerwaffen-Ressourcen'!$A$2:$AI$54,28,0)+VLOOKUP(F82,'Feuerwaffen-Ressourcen'!$A$2:$AI$54,28,0)+VLOOKUP(G82,'Feuerwaffen-Ressourcen'!$A$2:$AI$54,28,0)+VLOOKUP(I82,'Feuerwaffen-Ressourcen'!$A$2:$AI$54,28,0)+VLOOKUP(J82,'Feuerwaffen-Ressourcen'!$A$2:$AI$54,28,0)</f>
        <v>120</v>
      </c>
      <c r="AC82" s="63">
        <f>VLOOKUP(I82,'Feuerwaffen-Ressourcen'!$A$2:$AI$54,31,0)*AD82+AE82</f>
        <v>378.7</v>
      </c>
      <c r="AD82" s="64">
        <f>VLOOKUP(B82,'Feuerwaffen-Ressourcen'!$A$2:$AI$54,30,0)+VLOOKUP(C82,'Feuerwaffen-Ressourcen'!$A$2:$AI$54,30,0)+VLOOKUP(D82,'Feuerwaffen-Ressourcen'!$A$2:$AI$54,30,0)+VLOOKUP(F82,'Feuerwaffen-Ressourcen'!$A$2:$AI$54,30,0)+VLOOKUP(G82,'Feuerwaffen-Ressourcen'!$A$2:$AI$54,30,0)+VLOOKUP(I82,'Feuerwaffen-Ressourcen'!$A$2:$AI$54,30,0)+VLOOKUP(J82,'Feuerwaffen-Ressourcen'!$A$2:$AI$54,30,0)</f>
        <v>7.1999999999999993</v>
      </c>
      <c r="AE82" s="63">
        <f>(VLOOKUP(C82,'Feuerwaffen-Ressourcen'!$A$2:$AI$54,32,0)+VLOOKUP(I82,'Feuerwaffen-Ressourcen'!$A$2:$AI$54,32,0))*(VLOOKUP(B82,'Feuerwaffen-Ressourcen'!$A$2:$AI$54,34,0)+VLOOKUP(C82,'Feuerwaffen-Ressourcen'!$A$2:$AI$54,34,0)+VLOOKUP(D82,'Feuerwaffen-Ressourcen'!$A$2:$AI$54,34,0)+VLOOKUP(E82,'Feuerwaffen-Ressourcen'!$A$2:$AI$54,34,0)+VLOOKUP(G82,'Feuerwaffen-Ressourcen'!$A$2:$AI$54,34,0))+VLOOKUP(B82,'Feuerwaffen-Ressourcen'!$A$2:$AI$54,35,0)+VLOOKUP(C82,'Feuerwaffen-Ressourcen'!$A$2:$AI$54,35,0)+VLOOKUP(D82,'Feuerwaffen-Ressourcen'!$A$2:$AI$54,35,0)</f>
        <v>349.9</v>
      </c>
      <c r="AF82" s="65">
        <f>VLOOKUP(AB82,'Feuerwaffen-Ressourcen'!$AO$3:$AP$9,2,1)</f>
        <v>4</v>
      </c>
      <c r="AG82" s="65">
        <v>0</v>
      </c>
    </row>
    <row r="83" spans="1:33">
      <c r="A83" s="59" t="s">
        <v>7201</v>
      </c>
      <c r="B83" s="59" t="s">
        <v>1449</v>
      </c>
      <c r="C83" s="59" t="s">
        <v>7118</v>
      </c>
      <c r="D83" s="59" t="s">
        <v>7238</v>
      </c>
      <c r="E83" s="59" t="s">
        <v>6501</v>
      </c>
      <c r="F83" s="59" t="s">
        <v>7221</v>
      </c>
      <c r="G83" s="59" t="s">
        <v>7217</v>
      </c>
      <c r="H83" s="59" t="s">
        <v>6514</v>
      </c>
      <c r="I83" s="59" t="s">
        <v>5768</v>
      </c>
      <c r="J83" s="59" t="s">
        <v>5748</v>
      </c>
      <c r="K83" s="61">
        <f>VLOOKUP(B83,'Feuerwaffen-Ressourcen'!$A$2:$AI$54,11,0)+VLOOKUP(C83,'Feuerwaffen-Ressourcen'!$A$2:$AI$54,11,0)+VLOOKUP(D83,'Feuerwaffen-Ressourcen'!$A$2:$AI$54,11,0)+VLOOKUP(E83,'Feuerwaffen-Ressourcen'!$A$2:$AI$54,11,0)+VLOOKUP(G83,'Feuerwaffen-Ressourcen'!$A$2:$AI$54,11,0)</f>
        <v>3.15</v>
      </c>
      <c r="L83" s="60">
        <f>VLOOKUP(B83,'Feuerwaffen-Ressourcen'!$A$2:$AI$54,12,0)+VLOOKUP(C83,'Feuerwaffen-Ressourcen'!$A$2:$AI$54,12,0)+VLOOKUP(D83,'Feuerwaffen-Ressourcen'!$A$2:$AI$54,12,0)+VLOOKUP(J83,'Feuerwaffen-Ressourcen'!$A$2:$AI$54,12,0)</f>
        <v>9</v>
      </c>
      <c r="M83" s="60" t="str">
        <f>VLOOKUP(VLOOKUP(B83,'Feuerwaffen-Ressourcen'!$A$2:$AI$54,13,0)+VLOOKUP(C83,'Feuerwaffen-Ressourcen'!$A$2:$AI$54,13,0)+VLOOKUP(D83,'Feuerwaffen-Ressourcen'!$A$2:$AI$54,13,0),'Feuerwaffen-Ressourcen'!$AJ$3:$AK$12,2,0)</f>
        <v>W10</v>
      </c>
      <c r="N83" s="60" t="str">
        <f>VLOOKUP(VLOOKUP(B83,'Feuerwaffen-Ressourcen'!$A$2:$AI$54,14,0)+VLOOKUP(C83,'Feuerwaffen-Ressourcen'!$A$2:$AI$54,14,0)+VLOOKUP(D83,'Feuerwaffen-Ressourcen'!$A$2:$AI$54,14,0),'Feuerwaffen-Ressourcen'!$AJ$3:$AK$12,2,0)</f>
        <v>W8</v>
      </c>
      <c r="O83" s="60">
        <f>VLOOKUP(B83,'Feuerwaffen-Ressourcen'!$A$2:$AI$54,15,0)+VLOOKUP(C83,'Feuerwaffen-Ressourcen'!$A$2:$AI$54,15,0)+VLOOKUP(D83,'Feuerwaffen-Ressourcen'!$A$2:$AI$54,15,0)</f>
        <v>0</v>
      </c>
      <c r="P83" s="60">
        <f>VLOOKUP(B83,'Feuerwaffen-Ressourcen'!$A$2:$AI$54,16,0)+VLOOKUP(C83,'Feuerwaffen-Ressourcen'!$A$2:$AI$54,16,0)+VLOOKUP(D83,'Feuerwaffen-Ressourcen'!$A$2:$AI$54,16,0)+VLOOKUP(E83,'Feuerwaffen-Ressourcen'!$A$2:$AI$54,16,0)</f>
        <v>8</v>
      </c>
      <c r="Q83" s="62">
        <f>VLOOKUP(B83,'Feuerwaffen-Ressourcen'!$A$2:$AI$54,17,0)+VLOOKUP(C83,'Feuerwaffen-Ressourcen'!$A$2:$AI$54,17,0)+VLOOKUP(D83,'Feuerwaffen-Ressourcen'!$A$2:$AI$54,17,0)+VLOOKUP(E83,'Feuerwaffen-Ressourcen'!$A$2:$AI$54,17,0)</f>
        <v>13</v>
      </c>
      <c r="R83" s="60">
        <f>VLOOKUP(B83,'Feuerwaffen-Ressourcen'!$A$2:$AI$54,18,0)+VLOOKUP(C83,'Feuerwaffen-Ressourcen'!$A$2:$AI$54,18,0)+VLOOKUP(D83,'Feuerwaffen-Ressourcen'!$A$2:$AI$54,18,0)+VLOOKUP(F83,'Feuerwaffen-Ressourcen'!$A$2:$AI$54,18,0)+VLOOKUP(G83,'Feuerwaffen-Ressourcen'!$A$2:$AI$54,18,0)+VLOOKUP(I83,'Feuerwaffen-Ressourcen'!$A$2:$AI$54,18,0)+VLOOKUP(J83,'Feuerwaffen-Ressourcen'!$A$2:$AI$54,18,0)</f>
        <v>6</v>
      </c>
      <c r="S83" s="60">
        <f>VLOOKUP(B83,'Feuerwaffen-Ressourcen'!$A$2:$AI$54,19,0)+VLOOKUP(C83,'Feuerwaffen-Ressourcen'!$A$2:$AI$54,19,0)+VLOOKUP(D83,'Feuerwaffen-Ressourcen'!$A$2:$AI$54,19,0)+VLOOKUP(F83,'Feuerwaffen-Ressourcen'!$A$2:$AI$54,19,0)+VLOOKUP(G83,'Feuerwaffen-Ressourcen'!$A$2:$AI$54,19,0)+VLOOKUP(I83,'Feuerwaffen-Ressourcen'!$A$2:$AI$54,19,0)+VLOOKUP(J83,'Feuerwaffen-Ressourcen'!$A$2:$AI$54,19,0)</f>
        <v>-2</v>
      </c>
      <c r="T83" s="60">
        <f>VLOOKUP(B83,'Feuerwaffen-Ressourcen'!$A$2:$AI$54,20,0)+VLOOKUP(C83,'Feuerwaffen-Ressourcen'!$A$2:$AI$54,20,0)+VLOOKUP(D83,'Feuerwaffen-Ressourcen'!$A$2:$AI$54,20,0)+VLOOKUP(F83,'Feuerwaffen-Ressourcen'!$A$2:$AI$54,20,0)+VLOOKUP(G83,'Feuerwaffen-Ressourcen'!$A$2:$AI$54,20,0)+VLOOKUP(I83,'Feuerwaffen-Ressourcen'!$A$2:$AI$54,20,0)+VLOOKUP(J83,'Feuerwaffen-Ressourcen'!$A$2:$AI$54,20,0)</f>
        <v>-12</v>
      </c>
      <c r="U83" s="60">
        <f>VLOOKUP(B83,'Feuerwaffen-Ressourcen'!$A$2:$AI$54,21,0)+VLOOKUP(C83,'Feuerwaffen-Ressourcen'!$A$2:$AI$54,21,0)+VLOOKUP(D83,'Feuerwaffen-Ressourcen'!$A$2:$AI$54,21,0)+VLOOKUP(F83,'Feuerwaffen-Ressourcen'!$A$2:$AI$54,21,0)+VLOOKUP(G83,'Feuerwaffen-Ressourcen'!$A$2:$AI$54,21,0)+VLOOKUP(I83,'Feuerwaffen-Ressourcen'!$A$2:$AI$54,21,0)+VLOOKUP(J83,'Feuerwaffen-Ressourcen'!$A$2:$AI$54,21,0)</f>
        <v>-24</v>
      </c>
      <c r="V83" s="60">
        <f>VLOOKUP(B83,'Feuerwaffen-Ressourcen'!$A$2:$AI$54,22,0)+VLOOKUP(C83,'Feuerwaffen-Ressourcen'!$A$2:$AI$54,22,0)+VLOOKUP(D83,'Feuerwaffen-Ressourcen'!$A$2:$AI$54,22,0)+VLOOKUP(F83,'Feuerwaffen-Ressourcen'!$A$2:$AI$54,22,0)+VLOOKUP(G83,'Feuerwaffen-Ressourcen'!$A$2:$AI$54,22,0)+VLOOKUP(I83,'Feuerwaffen-Ressourcen'!$A$2:$AI$54,22,0)+VLOOKUP(J83,'Feuerwaffen-Ressourcen'!$A$2:$AI$54,22,0)</f>
        <v>-38</v>
      </c>
      <c r="W83" s="60">
        <f>VLOOKUP(B83,'Feuerwaffen-Ressourcen'!$A$2:$AI$54,23,0)+VLOOKUP(C83,'Feuerwaffen-Ressourcen'!$A$2:$AI$54,23,0)+VLOOKUP(D83,'Feuerwaffen-Ressourcen'!$A$2:$AI$54,23,0)+VLOOKUP(F83,'Feuerwaffen-Ressourcen'!$A$2:$AI$54,23,0)+VLOOKUP(G83,'Feuerwaffen-Ressourcen'!$A$2:$AI$54,23,0)+VLOOKUP(I83,'Feuerwaffen-Ressourcen'!$A$2:$AI$54,23,0)+VLOOKUP(J83,'Feuerwaffen-Ressourcen'!$A$2:$AI$54,23,0)</f>
        <v>-54</v>
      </c>
      <c r="X83" s="60">
        <f>VLOOKUP(B83,'Feuerwaffen-Ressourcen'!$A$2:$AI$54,24,0)+VLOOKUP(C83,'Feuerwaffen-Ressourcen'!$A$2:$AI$54,24,0)+VLOOKUP(D83,'Feuerwaffen-Ressourcen'!$A$2:$AI$54,24,0)+VLOOKUP(G83,'Feuerwaffen-Ressourcen'!$A$2:$AI$54,24,0)</f>
        <v>30</v>
      </c>
      <c r="Y83" s="60">
        <f>VLOOKUP(D83,'Feuerwaffen-Ressourcen'!$A$2:$AI$54,25,0)+VLOOKUP(E83,'Feuerwaffen-Ressourcen'!$A$2:$AI$54,25,0)+VLOOKUP(F83,'Feuerwaffen-Ressourcen'!$A$2:$AI$54,25,0)</f>
        <v>33</v>
      </c>
      <c r="Z83" s="60">
        <f>VLOOKUP(E83,'Feuerwaffen-Ressourcen'!$A$2:$AI$54,26,0)</f>
        <v>3</v>
      </c>
      <c r="AA83" s="60">
        <f>VLOOKUP(B83,'Feuerwaffen-Ressourcen'!$A$2:$AI$54,27,0)+VLOOKUP(D83,'Feuerwaffen-Ressourcen'!$A$2:$AI$54,27,0)+VLOOKUP(F83,'Feuerwaffen-Ressourcen'!$A$2:$AI$54,27,0)+VLOOKUP(I83,'Feuerwaffen-Ressourcen'!$A$2:$AI$54,27,0)</f>
        <v>-2</v>
      </c>
      <c r="AB83" s="60">
        <f>VLOOKUP(B83,'Feuerwaffen-Ressourcen'!$A$2:$AI$54,28,0)+VLOOKUP(C83,'Feuerwaffen-Ressourcen'!$A$2:$AI$54,28,0)+VLOOKUP(D83,'Feuerwaffen-Ressourcen'!$A$2:$AI$54,28,0)+VLOOKUP(E83,'Feuerwaffen-Ressourcen'!$A$2:$AI$54,28,0)+VLOOKUP(F83,'Feuerwaffen-Ressourcen'!$A$2:$AI$54,28,0)+VLOOKUP(G83,'Feuerwaffen-Ressourcen'!$A$2:$AI$54,28,0)+VLOOKUP(I83,'Feuerwaffen-Ressourcen'!$A$2:$AI$54,28,0)+VLOOKUP(J83,'Feuerwaffen-Ressourcen'!$A$2:$AI$54,28,0)</f>
        <v>90</v>
      </c>
      <c r="AC83" s="63">
        <f>VLOOKUP(I83,'Feuerwaffen-Ressourcen'!$A$2:$AI$54,31,0)*AD83+AE83</f>
        <v>344.55</v>
      </c>
      <c r="AD83" s="64">
        <f>VLOOKUP(B83,'Feuerwaffen-Ressourcen'!$A$2:$AI$54,30,0)+VLOOKUP(C83,'Feuerwaffen-Ressourcen'!$A$2:$AI$54,30,0)+VLOOKUP(D83,'Feuerwaffen-Ressourcen'!$A$2:$AI$54,30,0)+VLOOKUP(F83,'Feuerwaffen-Ressourcen'!$A$2:$AI$54,30,0)+VLOOKUP(G83,'Feuerwaffen-Ressourcen'!$A$2:$AI$54,30,0)+VLOOKUP(I83,'Feuerwaffen-Ressourcen'!$A$2:$AI$54,30,0)+VLOOKUP(J83,'Feuerwaffen-Ressourcen'!$A$2:$AI$54,30,0)</f>
        <v>8</v>
      </c>
      <c r="AE83" s="63">
        <f>(VLOOKUP(C83,'Feuerwaffen-Ressourcen'!$A$2:$AI$54,32,0)+VLOOKUP(I83,'Feuerwaffen-Ressourcen'!$A$2:$AI$54,32,0))*(VLOOKUP(B83,'Feuerwaffen-Ressourcen'!$A$2:$AI$54,34,0)+VLOOKUP(C83,'Feuerwaffen-Ressourcen'!$A$2:$AI$54,34,0)+VLOOKUP(D83,'Feuerwaffen-Ressourcen'!$A$2:$AI$54,34,0)+VLOOKUP(E83,'Feuerwaffen-Ressourcen'!$A$2:$AI$54,34,0)+VLOOKUP(G83,'Feuerwaffen-Ressourcen'!$A$2:$AI$54,34,0))+VLOOKUP(B83,'Feuerwaffen-Ressourcen'!$A$2:$AI$54,35,0)+VLOOKUP(C83,'Feuerwaffen-Ressourcen'!$A$2:$AI$54,35,0)+VLOOKUP(D83,'Feuerwaffen-Ressourcen'!$A$2:$AI$54,35,0)</f>
        <v>312.55</v>
      </c>
      <c r="AF83" s="65">
        <f>VLOOKUP(AB83,'Feuerwaffen-Ressourcen'!$AO$3:$AP$9,2,1)</f>
        <v>5</v>
      </c>
      <c r="AG83" s="65">
        <v>0</v>
      </c>
    </row>
    <row r="84" spans="1:33">
      <c r="A84" s="59" t="s">
        <v>4170</v>
      </c>
      <c r="B84" s="59" t="s">
        <v>1449</v>
      </c>
      <c r="C84" s="59" t="s">
        <v>7118</v>
      </c>
      <c r="D84" s="59" t="s">
        <v>7220</v>
      </c>
      <c r="E84" s="59" t="s">
        <v>7123</v>
      </c>
      <c r="F84" s="59" t="s">
        <v>7224</v>
      </c>
      <c r="G84" s="59" t="s">
        <v>7225</v>
      </c>
      <c r="H84" s="59" t="s">
        <v>7124</v>
      </c>
      <c r="I84" s="59" t="s">
        <v>5768</v>
      </c>
      <c r="J84" s="59" t="s">
        <v>5748</v>
      </c>
      <c r="K84" s="61">
        <f>VLOOKUP(B84,'Feuerwaffen-Ressourcen'!$A$2:$AI$54,11,0)+VLOOKUP(C84,'Feuerwaffen-Ressourcen'!$A$2:$AI$54,11,0)+VLOOKUP(D84,'Feuerwaffen-Ressourcen'!$A$2:$AI$54,11,0)+VLOOKUP(E84,'Feuerwaffen-Ressourcen'!$A$2:$AI$54,11,0)+VLOOKUP(G84,'Feuerwaffen-Ressourcen'!$A$2:$AI$54,11,0)</f>
        <v>2.8</v>
      </c>
      <c r="L84" s="60">
        <f>VLOOKUP(B84,'Feuerwaffen-Ressourcen'!$A$2:$AI$54,12,0)+VLOOKUP(C84,'Feuerwaffen-Ressourcen'!$A$2:$AI$54,12,0)+VLOOKUP(D84,'Feuerwaffen-Ressourcen'!$A$2:$AI$54,12,0)+VLOOKUP(J84,'Feuerwaffen-Ressourcen'!$A$2:$AI$54,12,0)</f>
        <v>8</v>
      </c>
      <c r="M84" s="60" t="str">
        <f>VLOOKUP(VLOOKUP(B84,'Feuerwaffen-Ressourcen'!$A$2:$AI$54,13,0)+VLOOKUP(C84,'Feuerwaffen-Ressourcen'!$A$2:$AI$54,13,0)+VLOOKUP(D84,'Feuerwaffen-Ressourcen'!$A$2:$AI$54,13,0),'Feuerwaffen-Ressourcen'!$AJ$3:$AK$12,2,0)</f>
        <v>W10</v>
      </c>
      <c r="N84" s="60" t="str">
        <f>VLOOKUP(VLOOKUP(B84,'Feuerwaffen-Ressourcen'!$A$2:$AI$54,14,0)+VLOOKUP(C84,'Feuerwaffen-Ressourcen'!$A$2:$AI$54,14,0)+VLOOKUP(D84,'Feuerwaffen-Ressourcen'!$A$2:$AI$54,14,0),'Feuerwaffen-Ressourcen'!$AJ$3:$AK$12,2,0)</f>
        <v>W10</v>
      </c>
      <c r="O84" s="60">
        <f>VLOOKUP(B84,'Feuerwaffen-Ressourcen'!$A$2:$AI$54,15,0)+VLOOKUP(C84,'Feuerwaffen-Ressourcen'!$A$2:$AI$54,15,0)+VLOOKUP(D84,'Feuerwaffen-Ressourcen'!$A$2:$AI$54,15,0)</f>
        <v>0</v>
      </c>
      <c r="P84" s="60">
        <f>VLOOKUP(B84,'Feuerwaffen-Ressourcen'!$A$2:$AI$54,16,0)+VLOOKUP(C84,'Feuerwaffen-Ressourcen'!$A$2:$AI$54,16,0)+VLOOKUP(D84,'Feuerwaffen-Ressourcen'!$A$2:$AI$54,16,0)+VLOOKUP(E84,'Feuerwaffen-Ressourcen'!$A$2:$AI$54,16,0)</f>
        <v>14</v>
      </c>
      <c r="Q84" s="62">
        <f>VLOOKUP(B84,'Feuerwaffen-Ressourcen'!$A$2:$AI$54,17,0)+VLOOKUP(C84,'Feuerwaffen-Ressourcen'!$A$2:$AI$54,17,0)+VLOOKUP(D84,'Feuerwaffen-Ressourcen'!$A$2:$AI$54,17,0)+VLOOKUP(E84,'Feuerwaffen-Ressourcen'!$A$2:$AI$54,17,0)</f>
        <v>8</v>
      </c>
      <c r="R84" s="60">
        <f>VLOOKUP(B84,'Feuerwaffen-Ressourcen'!$A$2:$AI$54,18,0)+VLOOKUP(C84,'Feuerwaffen-Ressourcen'!$A$2:$AI$54,18,0)+VLOOKUP(D84,'Feuerwaffen-Ressourcen'!$A$2:$AI$54,18,0)+VLOOKUP(F84,'Feuerwaffen-Ressourcen'!$A$2:$AI$54,18,0)+VLOOKUP(G84,'Feuerwaffen-Ressourcen'!$A$2:$AI$54,18,0)+VLOOKUP(I84,'Feuerwaffen-Ressourcen'!$A$2:$AI$54,18,0)+VLOOKUP(J84,'Feuerwaffen-Ressourcen'!$A$2:$AI$54,18,0)</f>
        <v>11</v>
      </c>
      <c r="S84" s="60">
        <f>VLOOKUP(B84,'Feuerwaffen-Ressourcen'!$A$2:$AI$54,19,0)+VLOOKUP(C84,'Feuerwaffen-Ressourcen'!$A$2:$AI$54,19,0)+VLOOKUP(D84,'Feuerwaffen-Ressourcen'!$A$2:$AI$54,19,0)+VLOOKUP(F84,'Feuerwaffen-Ressourcen'!$A$2:$AI$54,19,0)+VLOOKUP(G84,'Feuerwaffen-Ressourcen'!$A$2:$AI$54,19,0)+VLOOKUP(I84,'Feuerwaffen-Ressourcen'!$A$2:$AI$54,19,0)+VLOOKUP(J84,'Feuerwaffen-Ressourcen'!$A$2:$AI$54,19,0)</f>
        <v>4</v>
      </c>
      <c r="T84" s="60">
        <f>VLOOKUP(B84,'Feuerwaffen-Ressourcen'!$A$2:$AI$54,20,0)+VLOOKUP(C84,'Feuerwaffen-Ressourcen'!$A$2:$AI$54,20,0)+VLOOKUP(D84,'Feuerwaffen-Ressourcen'!$A$2:$AI$54,20,0)+VLOOKUP(F84,'Feuerwaffen-Ressourcen'!$A$2:$AI$54,20,0)+VLOOKUP(G84,'Feuerwaffen-Ressourcen'!$A$2:$AI$54,20,0)+VLOOKUP(I84,'Feuerwaffen-Ressourcen'!$A$2:$AI$54,20,0)+VLOOKUP(J84,'Feuerwaffen-Ressourcen'!$A$2:$AI$54,20,0)</f>
        <v>-6</v>
      </c>
      <c r="U84" s="60">
        <f>VLOOKUP(B84,'Feuerwaffen-Ressourcen'!$A$2:$AI$54,21,0)+VLOOKUP(C84,'Feuerwaffen-Ressourcen'!$A$2:$AI$54,21,0)+VLOOKUP(D84,'Feuerwaffen-Ressourcen'!$A$2:$AI$54,21,0)+VLOOKUP(F84,'Feuerwaffen-Ressourcen'!$A$2:$AI$54,21,0)+VLOOKUP(G84,'Feuerwaffen-Ressourcen'!$A$2:$AI$54,21,0)+VLOOKUP(I84,'Feuerwaffen-Ressourcen'!$A$2:$AI$54,21,0)+VLOOKUP(J84,'Feuerwaffen-Ressourcen'!$A$2:$AI$54,21,0)</f>
        <v>-19</v>
      </c>
      <c r="V84" s="60">
        <f>VLOOKUP(B84,'Feuerwaffen-Ressourcen'!$A$2:$AI$54,22,0)+VLOOKUP(C84,'Feuerwaffen-Ressourcen'!$A$2:$AI$54,22,0)+VLOOKUP(D84,'Feuerwaffen-Ressourcen'!$A$2:$AI$54,22,0)+VLOOKUP(F84,'Feuerwaffen-Ressourcen'!$A$2:$AI$54,22,0)+VLOOKUP(G84,'Feuerwaffen-Ressourcen'!$A$2:$AI$54,22,0)+VLOOKUP(I84,'Feuerwaffen-Ressourcen'!$A$2:$AI$54,22,0)+VLOOKUP(J84,'Feuerwaffen-Ressourcen'!$A$2:$AI$54,22,0)</f>
        <v>-34</v>
      </c>
      <c r="W84" s="60">
        <f>VLOOKUP(B84,'Feuerwaffen-Ressourcen'!$A$2:$AI$54,23,0)+VLOOKUP(C84,'Feuerwaffen-Ressourcen'!$A$2:$AI$54,23,0)+VLOOKUP(D84,'Feuerwaffen-Ressourcen'!$A$2:$AI$54,23,0)+VLOOKUP(F84,'Feuerwaffen-Ressourcen'!$A$2:$AI$54,23,0)+VLOOKUP(G84,'Feuerwaffen-Ressourcen'!$A$2:$AI$54,23,0)+VLOOKUP(I84,'Feuerwaffen-Ressourcen'!$A$2:$AI$54,23,0)+VLOOKUP(J84,'Feuerwaffen-Ressourcen'!$A$2:$AI$54,23,0)</f>
        <v>-50</v>
      </c>
      <c r="X84" s="60">
        <f>VLOOKUP(B84,'Feuerwaffen-Ressourcen'!$A$2:$AI$54,24,0)+VLOOKUP(C84,'Feuerwaffen-Ressourcen'!$A$2:$AI$54,24,0)+VLOOKUP(D84,'Feuerwaffen-Ressourcen'!$A$2:$AI$54,24,0)+VLOOKUP(G84,'Feuerwaffen-Ressourcen'!$A$2:$AI$54,24,0)</f>
        <v>60</v>
      </c>
      <c r="Y84" s="60">
        <f>VLOOKUP(D84,'Feuerwaffen-Ressourcen'!$A$2:$AI$54,25,0)+VLOOKUP(E84,'Feuerwaffen-Ressourcen'!$A$2:$AI$54,25,0)+VLOOKUP(F84,'Feuerwaffen-Ressourcen'!$A$2:$AI$54,25,0)</f>
        <v>9</v>
      </c>
      <c r="Z84" s="60">
        <f>VLOOKUP(E84,'Feuerwaffen-Ressourcen'!$A$2:$AI$54,26,0)</f>
        <v>6</v>
      </c>
      <c r="AA84" s="60">
        <f>VLOOKUP(B84,'Feuerwaffen-Ressourcen'!$A$2:$AI$54,27,0)+VLOOKUP(D84,'Feuerwaffen-Ressourcen'!$A$2:$AI$54,27,0)+VLOOKUP(F84,'Feuerwaffen-Ressourcen'!$A$2:$AI$54,27,0)+VLOOKUP(I84,'Feuerwaffen-Ressourcen'!$A$2:$AI$54,27,0)</f>
        <v>-5</v>
      </c>
      <c r="AB84" s="60">
        <f>VLOOKUP(B84,'Feuerwaffen-Ressourcen'!$A$2:$AI$54,28,0)+VLOOKUP(C84,'Feuerwaffen-Ressourcen'!$A$2:$AI$54,28,0)+VLOOKUP(D84,'Feuerwaffen-Ressourcen'!$A$2:$AI$54,28,0)+VLOOKUP(E84,'Feuerwaffen-Ressourcen'!$A$2:$AI$54,28,0)+VLOOKUP(F84,'Feuerwaffen-Ressourcen'!$A$2:$AI$54,28,0)+VLOOKUP(G84,'Feuerwaffen-Ressourcen'!$A$2:$AI$54,28,0)+VLOOKUP(I84,'Feuerwaffen-Ressourcen'!$A$2:$AI$54,28,0)+VLOOKUP(J84,'Feuerwaffen-Ressourcen'!$A$2:$AI$54,28,0)</f>
        <v>70</v>
      </c>
      <c r="AC84" s="63">
        <f>VLOOKUP(I84,'Feuerwaffen-Ressourcen'!$A$2:$AI$54,31,0)*AD84+AE84</f>
        <v>316.55</v>
      </c>
      <c r="AD84" s="64">
        <f>VLOOKUP(B84,'Feuerwaffen-Ressourcen'!$A$2:$AI$54,30,0)+VLOOKUP(C84,'Feuerwaffen-Ressourcen'!$A$2:$AI$54,30,0)+VLOOKUP(D84,'Feuerwaffen-Ressourcen'!$A$2:$AI$54,30,0)+VLOOKUP(F84,'Feuerwaffen-Ressourcen'!$A$2:$AI$54,30,0)+VLOOKUP(G84,'Feuerwaffen-Ressourcen'!$A$2:$AI$54,30,0)+VLOOKUP(I84,'Feuerwaffen-Ressourcen'!$A$2:$AI$54,30,0)+VLOOKUP(J84,'Feuerwaffen-Ressourcen'!$A$2:$AI$54,30,0)</f>
        <v>11.5</v>
      </c>
      <c r="AE84" s="63">
        <f>(VLOOKUP(C84,'Feuerwaffen-Ressourcen'!$A$2:$AI$54,32,0)+VLOOKUP(I84,'Feuerwaffen-Ressourcen'!$A$2:$AI$54,32,0))*(VLOOKUP(B84,'Feuerwaffen-Ressourcen'!$A$2:$AI$54,34,0)+VLOOKUP(C84,'Feuerwaffen-Ressourcen'!$A$2:$AI$54,34,0)+VLOOKUP(D84,'Feuerwaffen-Ressourcen'!$A$2:$AI$54,34,0)+VLOOKUP(E84,'Feuerwaffen-Ressourcen'!$A$2:$AI$54,34,0)+VLOOKUP(G84,'Feuerwaffen-Ressourcen'!$A$2:$AI$54,34,0))+VLOOKUP(B84,'Feuerwaffen-Ressourcen'!$A$2:$AI$54,35,0)+VLOOKUP(C84,'Feuerwaffen-Ressourcen'!$A$2:$AI$54,35,0)+VLOOKUP(D84,'Feuerwaffen-Ressourcen'!$A$2:$AI$54,35,0)</f>
        <v>270.55</v>
      </c>
      <c r="AF84" s="65">
        <f>VLOOKUP(AB84,'Feuerwaffen-Ressourcen'!$AO$3:$AP$9,2,1)</f>
        <v>6</v>
      </c>
      <c r="AG84" s="65">
        <v>0</v>
      </c>
    </row>
    <row r="85" spans="1:33">
      <c r="A85" s="59" t="s">
        <v>7202</v>
      </c>
      <c r="B85" s="59" t="s">
        <v>1449</v>
      </c>
      <c r="C85" s="59" t="s">
        <v>7118</v>
      </c>
      <c r="D85" s="59" t="s">
        <v>7237</v>
      </c>
      <c r="E85" s="59" t="s">
        <v>6501</v>
      </c>
      <c r="F85" s="59" t="s">
        <v>7221</v>
      </c>
      <c r="G85" s="59" t="s">
        <v>7217</v>
      </c>
      <c r="H85" s="59" t="s">
        <v>6514</v>
      </c>
      <c r="I85" s="59" t="s">
        <v>5768</v>
      </c>
      <c r="J85" s="59" t="s">
        <v>5748</v>
      </c>
      <c r="K85" s="61">
        <f>VLOOKUP(B85,'Feuerwaffen-Ressourcen'!$A$2:$AI$54,11,0)+VLOOKUP(C85,'Feuerwaffen-Ressourcen'!$A$2:$AI$54,11,0)+VLOOKUP(D85,'Feuerwaffen-Ressourcen'!$A$2:$AI$54,11,0)+VLOOKUP(E85,'Feuerwaffen-Ressourcen'!$A$2:$AI$54,11,0)+VLOOKUP(G85,'Feuerwaffen-Ressourcen'!$A$2:$AI$54,11,0)</f>
        <v>2.8499999999999996</v>
      </c>
      <c r="L85" s="60">
        <f>VLOOKUP(B85,'Feuerwaffen-Ressourcen'!$A$2:$AI$54,12,0)+VLOOKUP(C85,'Feuerwaffen-Ressourcen'!$A$2:$AI$54,12,0)+VLOOKUP(D85,'Feuerwaffen-Ressourcen'!$A$2:$AI$54,12,0)+VLOOKUP(J85,'Feuerwaffen-Ressourcen'!$A$2:$AI$54,12,0)</f>
        <v>10</v>
      </c>
      <c r="M85" s="60" t="str">
        <f>VLOOKUP(VLOOKUP(B85,'Feuerwaffen-Ressourcen'!$A$2:$AI$54,13,0)+VLOOKUP(C85,'Feuerwaffen-Ressourcen'!$A$2:$AI$54,13,0)+VLOOKUP(D85,'Feuerwaffen-Ressourcen'!$A$2:$AI$54,13,0),'Feuerwaffen-Ressourcen'!$AJ$3:$AK$12,2,0)</f>
        <v>W12</v>
      </c>
      <c r="N85" s="60" t="str">
        <f>VLOOKUP(VLOOKUP(B85,'Feuerwaffen-Ressourcen'!$A$2:$AI$54,14,0)+VLOOKUP(C85,'Feuerwaffen-Ressourcen'!$A$2:$AI$54,14,0)+VLOOKUP(D85,'Feuerwaffen-Ressourcen'!$A$2:$AI$54,14,0),'Feuerwaffen-Ressourcen'!$AJ$3:$AK$12,2,0)</f>
        <v>W12</v>
      </c>
      <c r="O85" s="60">
        <f>VLOOKUP(B85,'Feuerwaffen-Ressourcen'!$A$2:$AI$54,15,0)+VLOOKUP(C85,'Feuerwaffen-Ressourcen'!$A$2:$AI$54,15,0)+VLOOKUP(D85,'Feuerwaffen-Ressourcen'!$A$2:$AI$54,15,0)</f>
        <v>3</v>
      </c>
      <c r="P85" s="60">
        <f>VLOOKUP(B85,'Feuerwaffen-Ressourcen'!$A$2:$AI$54,16,0)+VLOOKUP(C85,'Feuerwaffen-Ressourcen'!$A$2:$AI$54,16,0)+VLOOKUP(D85,'Feuerwaffen-Ressourcen'!$A$2:$AI$54,16,0)+VLOOKUP(E85,'Feuerwaffen-Ressourcen'!$A$2:$AI$54,16,0)</f>
        <v>5</v>
      </c>
      <c r="Q85" s="62">
        <f>VLOOKUP(B85,'Feuerwaffen-Ressourcen'!$A$2:$AI$54,17,0)+VLOOKUP(C85,'Feuerwaffen-Ressourcen'!$A$2:$AI$54,17,0)+VLOOKUP(D85,'Feuerwaffen-Ressourcen'!$A$2:$AI$54,17,0)+VLOOKUP(E85,'Feuerwaffen-Ressourcen'!$A$2:$AI$54,17,0)</f>
        <v>17</v>
      </c>
      <c r="R85" s="60">
        <f>VLOOKUP(B85,'Feuerwaffen-Ressourcen'!$A$2:$AI$54,18,0)+VLOOKUP(C85,'Feuerwaffen-Ressourcen'!$A$2:$AI$54,18,0)+VLOOKUP(D85,'Feuerwaffen-Ressourcen'!$A$2:$AI$54,18,0)+VLOOKUP(F85,'Feuerwaffen-Ressourcen'!$A$2:$AI$54,18,0)+VLOOKUP(G85,'Feuerwaffen-Ressourcen'!$A$2:$AI$54,18,0)+VLOOKUP(I85,'Feuerwaffen-Ressourcen'!$A$2:$AI$54,18,0)+VLOOKUP(J85,'Feuerwaffen-Ressourcen'!$A$2:$AI$54,18,0)</f>
        <v>7</v>
      </c>
      <c r="S85" s="60">
        <f>VLOOKUP(B85,'Feuerwaffen-Ressourcen'!$A$2:$AI$54,19,0)+VLOOKUP(C85,'Feuerwaffen-Ressourcen'!$A$2:$AI$54,19,0)+VLOOKUP(D85,'Feuerwaffen-Ressourcen'!$A$2:$AI$54,19,0)+VLOOKUP(F85,'Feuerwaffen-Ressourcen'!$A$2:$AI$54,19,0)+VLOOKUP(G85,'Feuerwaffen-Ressourcen'!$A$2:$AI$54,19,0)+VLOOKUP(I85,'Feuerwaffen-Ressourcen'!$A$2:$AI$54,19,0)+VLOOKUP(J85,'Feuerwaffen-Ressourcen'!$A$2:$AI$54,19,0)</f>
        <v>-6</v>
      </c>
      <c r="T85" s="60">
        <f>VLOOKUP(B85,'Feuerwaffen-Ressourcen'!$A$2:$AI$54,20,0)+VLOOKUP(C85,'Feuerwaffen-Ressourcen'!$A$2:$AI$54,20,0)+VLOOKUP(D85,'Feuerwaffen-Ressourcen'!$A$2:$AI$54,20,0)+VLOOKUP(F85,'Feuerwaffen-Ressourcen'!$A$2:$AI$54,20,0)+VLOOKUP(G85,'Feuerwaffen-Ressourcen'!$A$2:$AI$54,20,0)+VLOOKUP(I85,'Feuerwaffen-Ressourcen'!$A$2:$AI$54,20,0)+VLOOKUP(J85,'Feuerwaffen-Ressourcen'!$A$2:$AI$54,20,0)</f>
        <v>-21</v>
      </c>
      <c r="U85" s="60">
        <f>VLOOKUP(B85,'Feuerwaffen-Ressourcen'!$A$2:$AI$54,21,0)+VLOOKUP(C85,'Feuerwaffen-Ressourcen'!$A$2:$AI$54,21,0)+VLOOKUP(D85,'Feuerwaffen-Ressourcen'!$A$2:$AI$54,21,0)+VLOOKUP(F85,'Feuerwaffen-Ressourcen'!$A$2:$AI$54,21,0)+VLOOKUP(G85,'Feuerwaffen-Ressourcen'!$A$2:$AI$54,21,0)+VLOOKUP(I85,'Feuerwaffen-Ressourcen'!$A$2:$AI$54,21,0)+VLOOKUP(J85,'Feuerwaffen-Ressourcen'!$A$2:$AI$54,21,0)</f>
        <v>-38</v>
      </c>
      <c r="V85" s="60">
        <f>VLOOKUP(B85,'Feuerwaffen-Ressourcen'!$A$2:$AI$54,22,0)+VLOOKUP(C85,'Feuerwaffen-Ressourcen'!$A$2:$AI$54,22,0)+VLOOKUP(D85,'Feuerwaffen-Ressourcen'!$A$2:$AI$54,22,0)+VLOOKUP(F85,'Feuerwaffen-Ressourcen'!$A$2:$AI$54,22,0)+VLOOKUP(G85,'Feuerwaffen-Ressourcen'!$A$2:$AI$54,22,0)+VLOOKUP(I85,'Feuerwaffen-Ressourcen'!$A$2:$AI$54,22,0)+VLOOKUP(J85,'Feuerwaffen-Ressourcen'!$A$2:$AI$54,22,0)</f>
        <v>-57</v>
      </c>
      <c r="W85" s="60">
        <f>VLOOKUP(B85,'Feuerwaffen-Ressourcen'!$A$2:$AI$54,23,0)+VLOOKUP(C85,'Feuerwaffen-Ressourcen'!$A$2:$AI$54,23,0)+VLOOKUP(D85,'Feuerwaffen-Ressourcen'!$A$2:$AI$54,23,0)+VLOOKUP(F85,'Feuerwaffen-Ressourcen'!$A$2:$AI$54,23,0)+VLOOKUP(G85,'Feuerwaffen-Ressourcen'!$A$2:$AI$54,23,0)+VLOOKUP(I85,'Feuerwaffen-Ressourcen'!$A$2:$AI$54,23,0)+VLOOKUP(J85,'Feuerwaffen-Ressourcen'!$A$2:$AI$54,23,0)</f>
        <v>-78</v>
      </c>
      <c r="X85" s="60">
        <f>VLOOKUP(B85,'Feuerwaffen-Ressourcen'!$A$2:$AI$54,24,0)+VLOOKUP(C85,'Feuerwaffen-Ressourcen'!$A$2:$AI$54,24,0)+VLOOKUP(D85,'Feuerwaffen-Ressourcen'!$A$2:$AI$54,24,0)+VLOOKUP(G85,'Feuerwaffen-Ressourcen'!$A$2:$AI$54,24,0)</f>
        <v>20</v>
      </c>
      <c r="Y85" s="60">
        <f>VLOOKUP(D85,'Feuerwaffen-Ressourcen'!$A$2:$AI$54,25,0)+VLOOKUP(E85,'Feuerwaffen-Ressourcen'!$A$2:$AI$54,25,0)+VLOOKUP(F85,'Feuerwaffen-Ressourcen'!$A$2:$AI$54,25,0)</f>
        <v>32</v>
      </c>
      <c r="Z85" s="60">
        <f>VLOOKUP(E85,'Feuerwaffen-Ressourcen'!$A$2:$AI$54,26,0)</f>
        <v>3</v>
      </c>
      <c r="AA85" s="60">
        <f>VLOOKUP(B85,'Feuerwaffen-Ressourcen'!$A$2:$AI$54,27,0)+VLOOKUP(D85,'Feuerwaffen-Ressourcen'!$A$2:$AI$54,27,0)+VLOOKUP(F85,'Feuerwaffen-Ressourcen'!$A$2:$AI$54,27,0)+VLOOKUP(I85,'Feuerwaffen-Ressourcen'!$A$2:$AI$54,27,0)</f>
        <v>-2</v>
      </c>
      <c r="AB85" s="60">
        <f>VLOOKUP(B85,'Feuerwaffen-Ressourcen'!$A$2:$AI$54,28,0)+VLOOKUP(C85,'Feuerwaffen-Ressourcen'!$A$2:$AI$54,28,0)+VLOOKUP(D85,'Feuerwaffen-Ressourcen'!$A$2:$AI$54,28,0)+VLOOKUP(E85,'Feuerwaffen-Ressourcen'!$A$2:$AI$54,28,0)+VLOOKUP(F85,'Feuerwaffen-Ressourcen'!$A$2:$AI$54,28,0)+VLOOKUP(G85,'Feuerwaffen-Ressourcen'!$A$2:$AI$54,28,0)+VLOOKUP(I85,'Feuerwaffen-Ressourcen'!$A$2:$AI$54,28,0)+VLOOKUP(J85,'Feuerwaffen-Ressourcen'!$A$2:$AI$54,28,0)</f>
        <v>110</v>
      </c>
      <c r="AC85" s="63">
        <f>VLOOKUP(I85,'Feuerwaffen-Ressourcen'!$A$2:$AI$54,31,0)*AD85+AE85</f>
        <v>308.55</v>
      </c>
      <c r="AD85" s="64">
        <f>VLOOKUP(B85,'Feuerwaffen-Ressourcen'!$A$2:$AI$54,30,0)+VLOOKUP(C85,'Feuerwaffen-Ressourcen'!$A$2:$AI$54,30,0)+VLOOKUP(D85,'Feuerwaffen-Ressourcen'!$A$2:$AI$54,30,0)+VLOOKUP(F85,'Feuerwaffen-Ressourcen'!$A$2:$AI$54,30,0)+VLOOKUP(G85,'Feuerwaffen-Ressourcen'!$A$2:$AI$54,30,0)+VLOOKUP(I85,'Feuerwaffen-Ressourcen'!$A$2:$AI$54,30,0)+VLOOKUP(J85,'Feuerwaffen-Ressourcen'!$A$2:$AI$54,30,0)</f>
        <v>8</v>
      </c>
      <c r="AE85" s="63">
        <f>(VLOOKUP(C85,'Feuerwaffen-Ressourcen'!$A$2:$AI$54,32,0)+VLOOKUP(I85,'Feuerwaffen-Ressourcen'!$A$2:$AI$54,32,0))*(VLOOKUP(B85,'Feuerwaffen-Ressourcen'!$A$2:$AI$54,34,0)+VLOOKUP(C85,'Feuerwaffen-Ressourcen'!$A$2:$AI$54,34,0)+VLOOKUP(D85,'Feuerwaffen-Ressourcen'!$A$2:$AI$54,34,0)+VLOOKUP(E85,'Feuerwaffen-Ressourcen'!$A$2:$AI$54,34,0)+VLOOKUP(G85,'Feuerwaffen-Ressourcen'!$A$2:$AI$54,34,0))+VLOOKUP(B85,'Feuerwaffen-Ressourcen'!$A$2:$AI$54,35,0)+VLOOKUP(C85,'Feuerwaffen-Ressourcen'!$A$2:$AI$54,35,0)+VLOOKUP(D85,'Feuerwaffen-Ressourcen'!$A$2:$AI$54,35,0)</f>
        <v>276.55</v>
      </c>
      <c r="AF85" s="65">
        <f>VLOOKUP(AB85,'Feuerwaffen-Ressourcen'!$AO$3:$AP$9,2,1)</f>
        <v>4</v>
      </c>
      <c r="AG85" s="65">
        <v>0</v>
      </c>
    </row>
    <row r="86" spans="1:33">
      <c r="A86" s="59" t="s">
        <v>7203</v>
      </c>
      <c r="B86" s="59" t="s">
        <v>1449</v>
      </c>
      <c r="C86" s="59" t="s">
        <v>7118</v>
      </c>
      <c r="D86" s="59" t="s">
        <v>7238</v>
      </c>
      <c r="E86" s="59" t="s">
        <v>7123</v>
      </c>
      <c r="F86" s="59" t="s">
        <v>7224</v>
      </c>
      <c r="G86" s="59" t="s">
        <v>7225</v>
      </c>
      <c r="H86" s="59" t="s">
        <v>7124</v>
      </c>
      <c r="I86" s="59" t="s">
        <v>5768</v>
      </c>
      <c r="J86" s="59" t="s">
        <v>5748</v>
      </c>
      <c r="K86" s="61">
        <f>VLOOKUP(B86,'Feuerwaffen-Ressourcen'!$A$2:$AI$54,11,0)+VLOOKUP(C86,'Feuerwaffen-Ressourcen'!$A$2:$AI$54,11,0)+VLOOKUP(D86,'Feuerwaffen-Ressourcen'!$A$2:$AI$54,11,0)+VLOOKUP(E86,'Feuerwaffen-Ressourcen'!$A$2:$AI$54,11,0)+VLOOKUP(G86,'Feuerwaffen-Ressourcen'!$A$2:$AI$54,11,0)</f>
        <v>3.4</v>
      </c>
      <c r="L86" s="60">
        <f>VLOOKUP(B86,'Feuerwaffen-Ressourcen'!$A$2:$AI$54,12,0)+VLOOKUP(C86,'Feuerwaffen-Ressourcen'!$A$2:$AI$54,12,0)+VLOOKUP(D86,'Feuerwaffen-Ressourcen'!$A$2:$AI$54,12,0)+VLOOKUP(J86,'Feuerwaffen-Ressourcen'!$A$2:$AI$54,12,0)</f>
        <v>9</v>
      </c>
      <c r="M86" s="60" t="str">
        <f>VLOOKUP(VLOOKUP(B86,'Feuerwaffen-Ressourcen'!$A$2:$AI$54,13,0)+VLOOKUP(C86,'Feuerwaffen-Ressourcen'!$A$2:$AI$54,13,0)+VLOOKUP(D86,'Feuerwaffen-Ressourcen'!$A$2:$AI$54,13,0),'Feuerwaffen-Ressourcen'!$AJ$3:$AK$12,2,0)</f>
        <v>W10</v>
      </c>
      <c r="N86" s="60" t="str">
        <f>VLOOKUP(VLOOKUP(B86,'Feuerwaffen-Ressourcen'!$A$2:$AI$54,14,0)+VLOOKUP(C86,'Feuerwaffen-Ressourcen'!$A$2:$AI$54,14,0)+VLOOKUP(D86,'Feuerwaffen-Ressourcen'!$A$2:$AI$54,14,0),'Feuerwaffen-Ressourcen'!$AJ$3:$AK$12,2,0)</f>
        <v>W8</v>
      </c>
      <c r="O86" s="60">
        <f>VLOOKUP(B86,'Feuerwaffen-Ressourcen'!$A$2:$AI$54,15,0)+VLOOKUP(C86,'Feuerwaffen-Ressourcen'!$A$2:$AI$54,15,0)+VLOOKUP(D86,'Feuerwaffen-Ressourcen'!$A$2:$AI$54,15,0)</f>
        <v>0</v>
      </c>
      <c r="P86" s="60">
        <f>VLOOKUP(B86,'Feuerwaffen-Ressourcen'!$A$2:$AI$54,16,0)+VLOOKUP(C86,'Feuerwaffen-Ressourcen'!$A$2:$AI$54,16,0)+VLOOKUP(D86,'Feuerwaffen-Ressourcen'!$A$2:$AI$54,16,0)+VLOOKUP(E86,'Feuerwaffen-Ressourcen'!$A$2:$AI$54,16,0)</f>
        <v>14</v>
      </c>
      <c r="Q86" s="62">
        <f>VLOOKUP(B86,'Feuerwaffen-Ressourcen'!$A$2:$AI$54,17,0)+VLOOKUP(C86,'Feuerwaffen-Ressourcen'!$A$2:$AI$54,17,0)+VLOOKUP(D86,'Feuerwaffen-Ressourcen'!$A$2:$AI$54,17,0)+VLOOKUP(E86,'Feuerwaffen-Ressourcen'!$A$2:$AI$54,17,0)</f>
        <v>7</v>
      </c>
      <c r="R86" s="60">
        <f>VLOOKUP(B86,'Feuerwaffen-Ressourcen'!$A$2:$AI$54,18,0)+VLOOKUP(C86,'Feuerwaffen-Ressourcen'!$A$2:$AI$54,18,0)+VLOOKUP(D86,'Feuerwaffen-Ressourcen'!$A$2:$AI$54,18,0)+VLOOKUP(F86,'Feuerwaffen-Ressourcen'!$A$2:$AI$54,18,0)+VLOOKUP(G86,'Feuerwaffen-Ressourcen'!$A$2:$AI$54,18,0)+VLOOKUP(I86,'Feuerwaffen-Ressourcen'!$A$2:$AI$54,18,0)+VLOOKUP(J86,'Feuerwaffen-Ressourcen'!$A$2:$AI$54,18,0)</f>
        <v>10</v>
      </c>
      <c r="S86" s="60">
        <f>VLOOKUP(B86,'Feuerwaffen-Ressourcen'!$A$2:$AI$54,19,0)+VLOOKUP(C86,'Feuerwaffen-Ressourcen'!$A$2:$AI$54,19,0)+VLOOKUP(D86,'Feuerwaffen-Ressourcen'!$A$2:$AI$54,19,0)+VLOOKUP(F86,'Feuerwaffen-Ressourcen'!$A$2:$AI$54,19,0)+VLOOKUP(G86,'Feuerwaffen-Ressourcen'!$A$2:$AI$54,19,0)+VLOOKUP(I86,'Feuerwaffen-Ressourcen'!$A$2:$AI$54,19,0)+VLOOKUP(J86,'Feuerwaffen-Ressourcen'!$A$2:$AI$54,19,0)</f>
        <v>3</v>
      </c>
      <c r="T86" s="60">
        <f>VLOOKUP(B86,'Feuerwaffen-Ressourcen'!$A$2:$AI$54,20,0)+VLOOKUP(C86,'Feuerwaffen-Ressourcen'!$A$2:$AI$54,20,0)+VLOOKUP(D86,'Feuerwaffen-Ressourcen'!$A$2:$AI$54,20,0)+VLOOKUP(F86,'Feuerwaffen-Ressourcen'!$A$2:$AI$54,20,0)+VLOOKUP(G86,'Feuerwaffen-Ressourcen'!$A$2:$AI$54,20,0)+VLOOKUP(I86,'Feuerwaffen-Ressourcen'!$A$2:$AI$54,20,0)+VLOOKUP(J86,'Feuerwaffen-Ressourcen'!$A$2:$AI$54,20,0)</f>
        <v>-7</v>
      </c>
      <c r="U86" s="60">
        <f>VLOOKUP(B86,'Feuerwaffen-Ressourcen'!$A$2:$AI$54,21,0)+VLOOKUP(C86,'Feuerwaffen-Ressourcen'!$A$2:$AI$54,21,0)+VLOOKUP(D86,'Feuerwaffen-Ressourcen'!$A$2:$AI$54,21,0)+VLOOKUP(F86,'Feuerwaffen-Ressourcen'!$A$2:$AI$54,21,0)+VLOOKUP(G86,'Feuerwaffen-Ressourcen'!$A$2:$AI$54,21,0)+VLOOKUP(I86,'Feuerwaffen-Ressourcen'!$A$2:$AI$54,21,0)+VLOOKUP(J86,'Feuerwaffen-Ressourcen'!$A$2:$AI$54,21,0)</f>
        <v>-20</v>
      </c>
      <c r="V86" s="60">
        <f>VLOOKUP(B86,'Feuerwaffen-Ressourcen'!$A$2:$AI$54,22,0)+VLOOKUP(C86,'Feuerwaffen-Ressourcen'!$A$2:$AI$54,22,0)+VLOOKUP(D86,'Feuerwaffen-Ressourcen'!$A$2:$AI$54,22,0)+VLOOKUP(F86,'Feuerwaffen-Ressourcen'!$A$2:$AI$54,22,0)+VLOOKUP(G86,'Feuerwaffen-Ressourcen'!$A$2:$AI$54,22,0)+VLOOKUP(I86,'Feuerwaffen-Ressourcen'!$A$2:$AI$54,22,0)+VLOOKUP(J86,'Feuerwaffen-Ressourcen'!$A$2:$AI$54,22,0)</f>
        <v>-35</v>
      </c>
      <c r="W86" s="60">
        <f>VLOOKUP(B86,'Feuerwaffen-Ressourcen'!$A$2:$AI$54,23,0)+VLOOKUP(C86,'Feuerwaffen-Ressourcen'!$A$2:$AI$54,23,0)+VLOOKUP(D86,'Feuerwaffen-Ressourcen'!$A$2:$AI$54,23,0)+VLOOKUP(F86,'Feuerwaffen-Ressourcen'!$A$2:$AI$54,23,0)+VLOOKUP(G86,'Feuerwaffen-Ressourcen'!$A$2:$AI$54,23,0)+VLOOKUP(I86,'Feuerwaffen-Ressourcen'!$A$2:$AI$54,23,0)+VLOOKUP(J86,'Feuerwaffen-Ressourcen'!$A$2:$AI$54,23,0)</f>
        <v>-51</v>
      </c>
      <c r="X86" s="60">
        <f>VLOOKUP(B86,'Feuerwaffen-Ressourcen'!$A$2:$AI$54,24,0)+VLOOKUP(C86,'Feuerwaffen-Ressourcen'!$A$2:$AI$54,24,0)+VLOOKUP(D86,'Feuerwaffen-Ressourcen'!$A$2:$AI$54,24,0)+VLOOKUP(G86,'Feuerwaffen-Ressourcen'!$A$2:$AI$54,24,0)</f>
        <v>60</v>
      </c>
      <c r="Y86" s="60">
        <f>VLOOKUP(D86,'Feuerwaffen-Ressourcen'!$A$2:$AI$54,25,0)+VLOOKUP(E86,'Feuerwaffen-Ressourcen'!$A$2:$AI$54,25,0)+VLOOKUP(F86,'Feuerwaffen-Ressourcen'!$A$2:$AI$54,25,0)</f>
        <v>12</v>
      </c>
      <c r="Z86" s="60">
        <f>VLOOKUP(E86,'Feuerwaffen-Ressourcen'!$A$2:$AI$54,26,0)</f>
        <v>6</v>
      </c>
      <c r="AA86" s="60">
        <f>VLOOKUP(B86,'Feuerwaffen-Ressourcen'!$A$2:$AI$54,27,0)+VLOOKUP(D86,'Feuerwaffen-Ressourcen'!$A$2:$AI$54,27,0)+VLOOKUP(F86,'Feuerwaffen-Ressourcen'!$A$2:$AI$54,27,0)+VLOOKUP(I86,'Feuerwaffen-Ressourcen'!$A$2:$AI$54,27,0)</f>
        <v>-5</v>
      </c>
      <c r="AB86" s="60">
        <f>VLOOKUP(B86,'Feuerwaffen-Ressourcen'!$A$2:$AI$54,28,0)+VLOOKUP(C86,'Feuerwaffen-Ressourcen'!$A$2:$AI$54,28,0)+VLOOKUP(D86,'Feuerwaffen-Ressourcen'!$A$2:$AI$54,28,0)+VLOOKUP(E86,'Feuerwaffen-Ressourcen'!$A$2:$AI$54,28,0)+VLOOKUP(F86,'Feuerwaffen-Ressourcen'!$A$2:$AI$54,28,0)+VLOOKUP(G86,'Feuerwaffen-Ressourcen'!$A$2:$AI$54,28,0)+VLOOKUP(I86,'Feuerwaffen-Ressourcen'!$A$2:$AI$54,28,0)+VLOOKUP(J86,'Feuerwaffen-Ressourcen'!$A$2:$AI$54,28,0)</f>
        <v>40</v>
      </c>
      <c r="AC86" s="63">
        <f>VLOOKUP(I86,'Feuerwaffen-Ressourcen'!$A$2:$AI$54,31,0)*AD86+AE86</f>
        <v>392.55</v>
      </c>
      <c r="AD86" s="64">
        <f>VLOOKUP(B86,'Feuerwaffen-Ressourcen'!$A$2:$AI$54,30,0)+VLOOKUP(C86,'Feuerwaffen-Ressourcen'!$A$2:$AI$54,30,0)+VLOOKUP(D86,'Feuerwaffen-Ressourcen'!$A$2:$AI$54,30,0)+VLOOKUP(F86,'Feuerwaffen-Ressourcen'!$A$2:$AI$54,30,0)+VLOOKUP(G86,'Feuerwaffen-Ressourcen'!$A$2:$AI$54,30,0)+VLOOKUP(I86,'Feuerwaffen-Ressourcen'!$A$2:$AI$54,30,0)+VLOOKUP(J86,'Feuerwaffen-Ressourcen'!$A$2:$AI$54,30,0)</f>
        <v>12.5</v>
      </c>
      <c r="AE86" s="63">
        <f>(VLOOKUP(C86,'Feuerwaffen-Ressourcen'!$A$2:$AI$54,32,0)+VLOOKUP(I86,'Feuerwaffen-Ressourcen'!$A$2:$AI$54,32,0))*(VLOOKUP(B86,'Feuerwaffen-Ressourcen'!$A$2:$AI$54,34,0)+VLOOKUP(C86,'Feuerwaffen-Ressourcen'!$A$2:$AI$54,34,0)+VLOOKUP(D86,'Feuerwaffen-Ressourcen'!$A$2:$AI$54,34,0)+VLOOKUP(E86,'Feuerwaffen-Ressourcen'!$A$2:$AI$54,34,0)+VLOOKUP(G86,'Feuerwaffen-Ressourcen'!$A$2:$AI$54,34,0))+VLOOKUP(B86,'Feuerwaffen-Ressourcen'!$A$2:$AI$54,35,0)+VLOOKUP(C86,'Feuerwaffen-Ressourcen'!$A$2:$AI$54,35,0)+VLOOKUP(D86,'Feuerwaffen-Ressourcen'!$A$2:$AI$54,35,0)</f>
        <v>342.55</v>
      </c>
      <c r="AF86" s="65">
        <f>VLOOKUP(AB86,'Feuerwaffen-Ressourcen'!$AO$3:$AP$9,2,1)</f>
        <v>7</v>
      </c>
      <c r="AG86" s="65">
        <v>0</v>
      </c>
    </row>
    <row r="87" spans="1:33">
      <c r="A87" s="59" t="s">
        <v>7204</v>
      </c>
      <c r="B87" s="59" t="s">
        <v>1449</v>
      </c>
      <c r="C87" s="59" t="s">
        <v>7118</v>
      </c>
      <c r="D87" s="59" t="s">
        <v>7220</v>
      </c>
      <c r="E87" s="59" t="s">
        <v>6501</v>
      </c>
      <c r="F87" s="59" t="s">
        <v>7221</v>
      </c>
      <c r="G87" s="59" t="s">
        <v>7217</v>
      </c>
      <c r="H87" s="59" t="s">
        <v>6514</v>
      </c>
      <c r="I87" s="59" t="s">
        <v>5768</v>
      </c>
      <c r="J87" s="59" t="s">
        <v>5748</v>
      </c>
      <c r="K87" s="61">
        <f>VLOOKUP(B87,'Feuerwaffen-Ressourcen'!$A$2:$AI$54,11,0)+VLOOKUP(C87,'Feuerwaffen-Ressourcen'!$A$2:$AI$54,11,0)+VLOOKUP(D87,'Feuerwaffen-Ressourcen'!$A$2:$AI$54,11,0)+VLOOKUP(E87,'Feuerwaffen-Ressourcen'!$A$2:$AI$54,11,0)+VLOOKUP(G87,'Feuerwaffen-Ressourcen'!$A$2:$AI$54,11,0)</f>
        <v>2.5499999999999998</v>
      </c>
      <c r="L87" s="60">
        <f>VLOOKUP(B87,'Feuerwaffen-Ressourcen'!$A$2:$AI$54,12,0)+VLOOKUP(C87,'Feuerwaffen-Ressourcen'!$A$2:$AI$54,12,0)+VLOOKUP(D87,'Feuerwaffen-Ressourcen'!$A$2:$AI$54,12,0)+VLOOKUP(J87,'Feuerwaffen-Ressourcen'!$A$2:$AI$54,12,0)</f>
        <v>8</v>
      </c>
      <c r="M87" s="60" t="str">
        <f>VLOOKUP(VLOOKUP(B87,'Feuerwaffen-Ressourcen'!$A$2:$AI$54,13,0)+VLOOKUP(C87,'Feuerwaffen-Ressourcen'!$A$2:$AI$54,13,0)+VLOOKUP(D87,'Feuerwaffen-Ressourcen'!$A$2:$AI$54,13,0),'Feuerwaffen-Ressourcen'!$AJ$3:$AK$12,2,0)</f>
        <v>W10</v>
      </c>
      <c r="N87" s="60" t="str">
        <f>VLOOKUP(VLOOKUP(B87,'Feuerwaffen-Ressourcen'!$A$2:$AI$54,14,0)+VLOOKUP(C87,'Feuerwaffen-Ressourcen'!$A$2:$AI$54,14,0)+VLOOKUP(D87,'Feuerwaffen-Ressourcen'!$A$2:$AI$54,14,0),'Feuerwaffen-Ressourcen'!$AJ$3:$AK$12,2,0)</f>
        <v>W10</v>
      </c>
      <c r="O87" s="60">
        <f>VLOOKUP(B87,'Feuerwaffen-Ressourcen'!$A$2:$AI$54,15,0)+VLOOKUP(C87,'Feuerwaffen-Ressourcen'!$A$2:$AI$54,15,0)+VLOOKUP(D87,'Feuerwaffen-Ressourcen'!$A$2:$AI$54,15,0)</f>
        <v>0</v>
      </c>
      <c r="P87" s="60">
        <f>VLOOKUP(B87,'Feuerwaffen-Ressourcen'!$A$2:$AI$54,16,0)+VLOOKUP(C87,'Feuerwaffen-Ressourcen'!$A$2:$AI$54,16,0)+VLOOKUP(D87,'Feuerwaffen-Ressourcen'!$A$2:$AI$54,16,0)+VLOOKUP(E87,'Feuerwaffen-Ressourcen'!$A$2:$AI$54,16,0)</f>
        <v>8</v>
      </c>
      <c r="Q87" s="62">
        <f>VLOOKUP(B87,'Feuerwaffen-Ressourcen'!$A$2:$AI$54,17,0)+VLOOKUP(C87,'Feuerwaffen-Ressourcen'!$A$2:$AI$54,17,0)+VLOOKUP(D87,'Feuerwaffen-Ressourcen'!$A$2:$AI$54,17,0)+VLOOKUP(E87,'Feuerwaffen-Ressourcen'!$A$2:$AI$54,17,0)</f>
        <v>14</v>
      </c>
      <c r="R87" s="60">
        <f>VLOOKUP(B87,'Feuerwaffen-Ressourcen'!$A$2:$AI$54,18,0)+VLOOKUP(C87,'Feuerwaffen-Ressourcen'!$A$2:$AI$54,18,0)+VLOOKUP(D87,'Feuerwaffen-Ressourcen'!$A$2:$AI$54,18,0)+VLOOKUP(F87,'Feuerwaffen-Ressourcen'!$A$2:$AI$54,18,0)+VLOOKUP(G87,'Feuerwaffen-Ressourcen'!$A$2:$AI$54,18,0)+VLOOKUP(I87,'Feuerwaffen-Ressourcen'!$A$2:$AI$54,18,0)+VLOOKUP(J87,'Feuerwaffen-Ressourcen'!$A$2:$AI$54,18,0)</f>
        <v>7</v>
      </c>
      <c r="S87" s="60">
        <f>VLOOKUP(B87,'Feuerwaffen-Ressourcen'!$A$2:$AI$54,19,0)+VLOOKUP(C87,'Feuerwaffen-Ressourcen'!$A$2:$AI$54,19,0)+VLOOKUP(D87,'Feuerwaffen-Ressourcen'!$A$2:$AI$54,19,0)+VLOOKUP(F87,'Feuerwaffen-Ressourcen'!$A$2:$AI$54,19,0)+VLOOKUP(G87,'Feuerwaffen-Ressourcen'!$A$2:$AI$54,19,0)+VLOOKUP(I87,'Feuerwaffen-Ressourcen'!$A$2:$AI$54,19,0)+VLOOKUP(J87,'Feuerwaffen-Ressourcen'!$A$2:$AI$54,19,0)</f>
        <v>-1</v>
      </c>
      <c r="T87" s="60">
        <f>VLOOKUP(B87,'Feuerwaffen-Ressourcen'!$A$2:$AI$54,20,0)+VLOOKUP(C87,'Feuerwaffen-Ressourcen'!$A$2:$AI$54,20,0)+VLOOKUP(D87,'Feuerwaffen-Ressourcen'!$A$2:$AI$54,20,0)+VLOOKUP(F87,'Feuerwaffen-Ressourcen'!$A$2:$AI$54,20,0)+VLOOKUP(G87,'Feuerwaffen-Ressourcen'!$A$2:$AI$54,20,0)+VLOOKUP(I87,'Feuerwaffen-Ressourcen'!$A$2:$AI$54,20,0)+VLOOKUP(J87,'Feuerwaffen-Ressourcen'!$A$2:$AI$54,20,0)</f>
        <v>-11</v>
      </c>
      <c r="U87" s="60">
        <f>VLOOKUP(B87,'Feuerwaffen-Ressourcen'!$A$2:$AI$54,21,0)+VLOOKUP(C87,'Feuerwaffen-Ressourcen'!$A$2:$AI$54,21,0)+VLOOKUP(D87,'Feuerwaffen-Ressourcen'!$A$2:$AI$54,21,0)+VLOOKUP(F87,'Feuerwaffen-Ressourcen'!$A$2:$AI$54,21,0)+VLOOKUP(G87,'Feuerwaffen-Ressourcen'!$A$2:$AI$54,21,0)+VLOOKUP(I87,'Feuerwaffen-Ressourcen'!$A$2:$AI$54,21,0)+VLOOKUP(J87,'Feuerwaffen-Ressourcen'!$A$2:$AI$54,21,0)</f>
        <v>-23</v>
      </c>
      <c r="V87" s="60">
        <f>VLOOKUP(B87,'Feuerwaffen-Ressourcen'!$A$2:$AI$54,22,0)+VLOOKUP(C87,'Feuerwaffen-Ressourcen'!$A$2:$AI$54,22,0)+VLOOKUP(D87,'Feuerwaffen-Ressourcen'!$A$2:$AI$54,22,0)+VLOOKUP(F87,'Feuerwaffen-Ressourcen'!$A$2:$AI$54,22,0)+VLOOKUP(G87,'Feuerwaffen-Ressourcen'!$A$2:$AI$54,22,0)+VLOOKUP(I87,'Feuerwaffen-Ressourcen'!$A$2:$AI$54,22,0)+VLOOKUP(J87,'Feuerwaffen-Ressourcen'!$A$2:$AI$54,22,0)</f>
        <v>-37</v>
      </c>
      <c r="W87" s="60">
        <f>VLOOKUP(B87,'Feuerwaffen-Ressourcen'!$A$2:$AI$54,23,0)+VLOOKUP(C87,'Feuerwaffen-Ressourcen'!$A$2:$AI$54,23,0)+VLOOKUP(D87,'Feuerwaffen-Ressourcen'!$A$2:$AI$54,23,0)+VLOOKUP(F87,'Feuerwaffen-Ressourcen'!$A$2:$AI$54,23,0)+VLOOKUP(G87,'Feuerwaffen-Ressourcen'!$A$2:$AI$54,23,0)+VLOOKUP(I87,'Feuerwaffen-Ressourcen'!$A$2:$AI$54,23,0)+VLOOKUP(J87,'Feuerwaffen-Ressourcen'!$A$2:$AI$54,23,0)</f>
        <v>-53</v>
      </c>
      <c r="X87" s="60">
        <f>VLOOKUP(B87,'Feuerwaffen-Ressourcen'!$A$2:$AI$54,24,0)+VLOOKUP(C87,'Feuerwaffen-Ressourcen'!$A$2:$AI$54,24,0)+VLOOKUP(D87,'Feuerwaffen-Ressourcen'!$A$2:$AI$54,24,0)+VLOOKUP(G87,'Feuerwaffen-Ressourcen'!$A$2:$AI$54,24,0)</f>
        <v>30</v>
      </c>
      <c r="Y87" s="60">
        <f>VLOOKUP(D87,'Feuerwaffen-Ressourcen'!$A$2:$AI$54,25,0)+VLOOKUP(E87,'Feuerwaffen-Ressourcen'!$A$2:$AI$54,25,0)+VLOOKUP(F87,'Feuerwaffen-Ressourcen'!$A$2:$AI$54,25,0)</f>
        <v>30</v>
      </c>
      <c r="Z87" s="60">
        <f>VLOOKUP(E87,'Feuerwaffen-Ressourcen'!$A$2:$AI$54,26,0)</f>
        <v>3</v>
      </c>
      <c r="AA87" s="60">
        <f>VLOOKUP(B87,'Feuerwaffen-Ressourcen'!$A$2:$AI$54,27,0)+VLOOKUP(D87,'Feuerwaffen-Ressourcen'!$A$2:$AI$54,27,0)+VLOOKUP(F87,'Feuerwaffen-Ressourcen'!$A$2:$AI$54,27,0)+VLOOKUP(I87,'Feuerwaffen-Ressourcen'!$A$2:$AI$54,27,0)</f>
        <v>-2</v>
      </c>
      <c r="AB87" s="60">
        <f>VLOOKUP(B87,'Feuerwaffen-Ressourcen'!$A$2:$AI$54,28,0)+VLOOKUP(C87,'Feuerwaffen-Ressourcen'!$A$2:$AI$54,28,0)+VLOOKUP(D87,'Feuerwaffen-Ressourcen'!$A$2:$AI$54,28,0)+VLOOKUP(E87,'Feuerwaffen-Ressourcen'!$A$2:$AI$54,28,0)+VLOOKUP(F87,'Feuerwaffen-Ressourcen'!$A$2:$AI$54,28,0)+VLOOKUP(G87,'Feuerwaffen-Ressourcen'!$A$2:$AI$54,28,0)+VLOOKUP(I87,'Feuerwaffen-Ressourcen'!$A$2:$AI$54,28,0)+VLOOKUP(J87,'Feuerwaffen-Ressourcen'!$A$2:$AI$54,28,0)</f>
        <v>120</v>
      </c>
      <c r="AC87" s="63">
        <f>VLOOKUP(I87,'Feuerwaffen-Ressourcen'!$A$2:$AI$54,31,0)*AD87+AE87</f>
        <v>268.55</v>
      </c>
      <c r="AD87" s="64">
        <f>VLOOKUP(B87,'Feuerwaffen-Ressourcen'!$A$2:$AI$54,30,0)+VLOOKUP(C87,'Feuerwaffen-Ressourcen'!$A$2:$AI$54,30,0)+VLOOKUP(D87,'Feuerwaffen-Ressourcen'!$A$2:$AI$54,30,0)+VLOOKUP(F87,'Feuerwaffen-Ressourcen'!$A$2:$AI$54,30,0)+VLOOKUP(G87,'Feuerwaffen-Ressourcen'!$A$2:$AI$54,30,0)+VLOOKUP(I87,'Feuerwaffen-Ressourcen'!$A$2:$AI$54,30,0)+VLOOKUP(J87,'Feuerwaffen-Ressourcen'!$A$2:$AI$54,30,0)</f>
        <v>7</v>
      </c>
      <c r="AE87" s="63">
        <f>(VLOOKUP(C87,'Feuerwaffen-Ressourcen'!$A$2:$AI$54,32,0)+VLOOKUP(I87,'Feuerwaffen-Ressourcen'!$A$2:$AI$54,32,0))*(VLOOKUP(B87,'Feuerwaffen-Ressourcen'!$A$2:$AI$54,34,0)+VLOOKUP(C87,'Feuerwaffen-Ressourcen'!$A$2:$AI$54,34,0)+VLOOKUP(D87,'Feuerwaffen-Ressourcen'!$A$2:$AI$54,34,0)+VLOOKUP(E87,'Feuerwaffen-Ressourcen'!$A$2:$AI$54,34,0)+VLOOKUP(G87,'Feuerwaffen-Ressourcen'!$A$2:$AI$54,34,0))+VLOOKUP(B87,'Feuerwaffen-Ressourcen'!$A$2:$AI$54,35,0)+VLOOKUP(C87,'Feuerwaffen-Ressourcen'!$A$2:$AI$54,35,0)+VLOOKUP(D87,'Feuerwaffen-Ressourcen'!$A$2:$AI$54,35,0)</f>
        <v>240.55</v>
      </c>
      <c r="AF87" s="65">
        <f>VLOOKUP(AB87,'Feuerwaffen-Ressourcen'!$AO$3:$AP$9,2,1)</f>
        <v>4</v>
      </c>
      <c r="AG87" s="65">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P54"/>
  <sheetViews>
    <sheetView workbookViewId="0"/>
  </sheetViews>
  <sheetFormatPr baseColWidth="10" defaultColWidth="9.140625" defaultRowHeight="15"/>
  <cols>
    <col min="1" max="1" width="32" customWidth="1"/>
    <col min="2" max="10" width="16" customWidth="1"/>
    <col min="11" max="42" width="12" customWidth="1"/>
  </cols>
  <sheetData>
    <row r="1" spans="1:42" ht="33.950000000000003" customHeight="1">
      <c r="A1" s="55" t="s">
        <v>4158</v>
      </c>
      <c r="B1" s="56" t="s">
        <v>4147</v>
      </c>
      <c r="C1" s="56" t="s">
        <v>6891</v>
      </c>
      <c r="D1" s="56" t="s">
        <v>7210</v>
      </c>
      <c r="E1" s="56" t="s">
        <v>7106</v>
      </c>
      <c r="F1" s="56" t="s">
        <v>7211</v>
      </c>
      <c r="G1" s="56" t="s">
        <v>7212</v>
      </c>
      <c r="H1" s="56" t="s">
        <v>7213</v>
      </c>
      <c r="I1" s="56" t="s">
        <v>5657</v>
      </c>
      <c r="J1" s="56" t="s">
        <v>5658</v>
      </c>
      <c r="K1" s="56" t="s">
        <v>6892</v>
      </c>
      <c r="L1" s="56" t="s">
        <v>7240</v>
      </c>
      <c r="M1" s="56" t="s">
        <v>7241</v>
      </c>
      <c r="N1" s="56" t="s">
        <v>7242</v>
      </c>
      <c r="O1" s="56" t="s">
        <v>6896</v>
      </c>
      <c r="P1" s="56" t="s">
        <v>5777</v>
      </c>
      <c r="Q1" s="56" t="s">
        <v>6493</v>
      </c>
      <c r="R1" s="56" t="s">
        <v>6612</v>
      </c>
      <c r="S1" s="56" t="s">
        <v>6622</v>
      </c>
      <c r="T1" s="56" t="s">
        <v>6558</v>
      </c>
      <c r="U1" s="56" t="s">
        <v>6846</v>
      </c>
      <c r="V1" s="56" t="s">
        <v>6897</v>
      </c>
      <c r="W1" s="56" t="s">
        <v>6898</v>
      </c>
      <c r="X1" s="56" t="s">
        <v>6899</v>
      </c>
      <c r="Y1" s="56" t="s">
        <v>6900</v>
      </c>
      <c r="Z1" s="56" t="s">
        <v>6901</v>
      </c>
      <c r="AA1" s="56" t="s">
        <v>6902</v>
      </c>
      <c r="AB1" s="56" t="s">
        <v>6903</v>
      </c>
      <c r="AC1" s="56" t="s">
        <v>5661</v>
      </c>
      <c r="AD1" s="56" t="s">
        <v>6904</v>
      </c>
      <c r="AE1" s="56" t="s">
        <v>7243</v>
      </c>
      <c r="AF1" s="56" t="s">
        <v>7244</v>
      </c>
      <c r="AG1" s="56" t="s">
        <v>7245</v>
      </c>
      <c r="AH1" s="56" t="s">
        <v>7246</v>
      </c>
      <c r="AI1" s="56" t="s">
        <v>7247</v>
      </c>
      <c r="AJ1" s="56"/>
      <c r="AK1" s="56"/>
      <c r="AL1" s="56"/>
      <c r="AM1" s="56"/>
      <c r="AN1" s="56"/>
      <c r="AO1" s="56"/>
      <c r="AP1" s="57"/>
    </row>
    <row r="2" spans="1:42">
      <c r="A2" s="58" t="s">
        <v>7222</v>
      </c>
      <c r="B2" s="58"/>
      <c r="C2" s="58" t="s">
        <v>7215</v>
      </c>
      <c r="D2" s="58" t="s">
        <v>7210</v>
      </c>
      <c r="E2" s="58"/>
      <c r="F2" s="58"/>
      <c r="G2" s="58"/>
      <c r="H2" s="58"/>
      <c r="I2" s="58"/>
      <c r="J2" s="58"/>
      <c r="K2" s="58">
        <f>AH2+AI2</f>
        <v>-0.9</v>
      </c>
      <c r="L2" s="58">
        <v>-1</v>
      </c>
      <c r="M2" s="58"/>
      <c r="N2" s="58"/>
      <c r="O2" s="58"/>
      <c r="P2" s="58"/>
      <c r="Q2" s="58"/>
      <c r="R2" s="58">
        <v>2</v>
      </c>
      <c r="S2" s="58"/>
      <c r="T2" s="58">
        <v>-2</v>
      </c>
      <c r="U2" s="58">
        <v>-4</v>
      </c>
      <c r="V2" s="58">
        <v>-6</v>
      </c>
      <c r="W2" s="58">
        <v>-8</v>
      </c>
      <c r="X2" s="58">
        <v>-10</v>
      </c>
      <c r="Y2" s="58"/>
      <c r="Z2" s="58"/>
      <c r="AA2" s="58"/>
      <c r="AB2" s="58">
        <v>-20</v>
      </c>
      <c r="AC2" s="58"/>
      <c r="AD2" s="58"/>
      <c r="AE2" s="58"/>
      <c r="AF2" s="58"/>
      <c r="AG2" s="58"/>
      <c r="AH2" s="58">
        <v>-0.8</v>
      </c>
      <c r="AI2" s="58">
        <v>-0.1</v>
      </c>
      <c r="AJ2" s="58" t="s">
        <v>7248</v>
      </c>
      <c r="AK2" s="58"/>
      <c r="AL2" s="58" t="s">
        <v>1092</v>
      </c>
      <c r="AM2" s="58" t="s">
        <v>7249</v>
      </c>
      <c r="AN2" s="58"/>
      <c r="AO2" s="58" t="s">
        <v>7250</v>
      </c>
      <c r="AP2" s="58"/>
    </row>
    <row r="3" spans="1:42">
      <c r="A3" s="58" t="s">
        <v>7231</v>
      </c>
      <c r="B3" s="58"/>
      <c r="C3" s="58" t="s">
        <v>7215</v>
      </c>
      <c r="D3" s="58" t="s">
        <v>7210</v>
      </c>
      <c r="E3" s="58"/>
      <c r="F3" s="58"/>
      <c r="G3" s="58"/>
      <c r="H3" s="58"/>
      <c r="I3" s="58"/>
      <c r="J3" s="58"/>
      <c r="K3" s="58">
        <v>-0.9</v>
      </c>
      <c r="L3" s="58">
        <v>-1</v>
      </c>
      <c r="M3" s="58"/>
      <c r="N3" s="58"/>
      <c r="O3" s="58"/>
      <c r="P3" s="58"/>
      <c r="Q3" s="58"/>
      <c r="R3" s="58">
        <v>2</v>
      </c>
      <c r="S3" s="58"/>
      <c r="T3" s="58">
        <v>-2</v>
      </c>
      <c r="U3" s="58">
        <v>-4</v>
      </c>
      <c r="V3" s="58">
        <v>-6</v>
      </c>
      <c r="W3" s="58">
        <v>-8</v>
      </c>
      <c r="X3" s="58">
        <v>-10</v>
      </c>
      <c r="Y3" s="58">
        <v>-1</v>
      </c>
      <c r="Z3" s="58"/>
      <c r="AA3" s="58"/>
      <c r="AB3" s="58">
        <v>-10</v>
      </c>
      <c r="AC3" s="58"/>
      <c r="AD3" s="58"/>
      <c r="AE3" s="58"/>
      <c r="AF3" s="58"/>
      <c r="AG3" s="58"/>
      <c r="AH3" s="58">
        <v>-0.8</v>
      </c>
      <c r="AI3" s="58">
        <v>-0.1</v>
      </c>
      <c r="AJ3" s="58">
        <v>-4</v>
      </c>
      <c r="AK3" s="58" t="s">
        <v>7251</v>
      </c>
      <c r="AL3" s="58" t="s">
        <v>6196</v>
      </c>
      <c r="AM3" s="58" t="s">
        <v>6196</v>
      </c>
      <c r="AN3" s="58"/>
      <c r="AO3" s="58">
        <v>-9999</v>
      </c>
      <c r="AP3" s="58">
        <v>7</v>
      </c>
    </row>
    <row r="4" spans="1:42">
      <c r="A4" s="58" t="s">
        <v>1425</v>
      </c>
      <c r="B4" s="58" t="s">
        <v>4147</v>
      </c>
      <c r="C4" s="58"/>
      <c r="D4" s="58"/>
      <c r="E4" s="58"/>
      <c r="F4" s="58"/>
      <c r="G4" s="58"/>
      <c r="H4" s="58"/>
      <c r="I4" s="58"/>
      <c r="J4" s="58"/>
      <c r="K4" s="58">
        <v>-0.7</v>
      </c>
      <c r="L4" s="58">
        <v>-3</v>
      </c>
      <c r="M4" s="58"/>
      <c r="N4" s="58"/>
      <c r="O4" s="58"/>
      <c r="P4" s="58">
        <v>3</v>
      </c>
      <c r="Q4" s="58">
        <v>-1</v>
      </c>
      <c r="R4" s="58">
        <v>-1</v>
      </c>
      <c r="S4" s="58">
        <v>-1</v>
      </c>
      <c r="T4" s="58">
        <v>-1</v>
      </c>
      <c r="U4" s="58">
        <v>-2</v>
      </c>
      <c r="V4" s="58">
        <v>-2</v>
      </c>
      <c r="W4" s="58">
        <v>-2</v>
      </c>
      <c r="X4" s="58"/>
      <c r="Y4" s="58"/>
      <c r="Z4" s="58"/>
      <c r="AA4" s="58">
        <v>2</v>
      </c>
      <c r="AB4" s="58">
        <v>40</v>
      </c>
      <c r="AC4" s="58"/>
      <c r="AD4" s="58">
        <v>-3</v>
      </c>
      <c r="AE4" s="58"/>
      <c r="AF4" s="58"/>
      <c r="AG4" s="58"/>
      <c r="AH4" s="58">
        <v>-0.5</v>
      </c>
      <c r="AI4" s="58">
        <v>-0.2</v>
      </c>
      <c r="AJ4" s="58">
        <v>-3</v>
      </c>
      <c r="AK4" s="58" t="s">
        <v>7252</v>
      </c>
      <c r="AL4" s="58" t="s">
        <v>7253</v>
      </c>
      <c r="AM4" s="58" t="s">
        <v>5768</v>
      </c>
      <c r="AN4" s="58"/>
      <c r="AO4" s="58">
        <v>70</v>
      </c>
      <c r="AP4" s="58">
        <v>6</v>
      </c>
    </row>
    <row r="5" spans="1:42">
      <c r="A5" s="58" t="s">
        <v>7227</v>
      </c>
      <c r="B5" s="58"/>
      <c r="C5" s="58" t="s">
        <v>7118</v>
      </c>
      <c r="D5" s="58" t="s">
        <v>7210</v>
      </c>
      <c r="E5" s="58"/>
      <c r="F5" s="58"/>
      <c r="G5" s="58"/>
      <c r="H5" s="58"/>
      <c r="I5" s="58"/>
      <c r="J5" s="58"/>
      <c r="K5" s="58">
        <v>-0.7</v>
      </c>
      <c r="L5" s="58">
        <v>-2</v>
      </c>
      <c r="M5" s="58">
        <v>-2</v>
      </c>
      <c r="N5" s="58">
        <v>-2</v>
      </c>
      <c r="O5" s="58"/>
      <c r="P5" s="58">
        <v>3</v>
      </c>
      <c r="Q5" s="58">
        <v>-2</v>
      </c>
      <c r="R5" s="58">
        <v>4</v>
      </c>
      <c r="S5" s="58">
        <v>-5</v>
      </c>
      <c r="T5" s="58">
        <v>-10</v>
      </c>
      <c r="U5" s="58">
        <v>-20</v>
      </c>
      <c r="V5" s="58">
        <v>-40</v>
      </c>
      <c r="W5" s="58">
        <v>-80</v>
      </c>
      <c r="X5" s="58">
        <v>-10</v>
      </c>
      <c r="Y5" s="58">
        <v>-1</v>
      </c>
      <c r="Z5" s="58"/>
      <c r="AA5" s="58">
        <v>-2</v>
      </c>
      <c r="AB5" s="58">
        <v>-15</v>
      </c>
      <c r="AC5" s="58"/>
      <c r="AD5" s="58">
        <v>4</v>
      </c>
      <c r="AE5" s="58"/>
      <c r="AF5" s="58"/>
      <c r="AG5" s="58"/>
      <c r="AH5" s="58">
        <v>-0.5</v>
      </c>
      <c r="AI5" s="58">
        <v>-0.2</v>
      </c>
      <c r="AJ5" s="58">
        <v>-2</v>
      </c>
      <c r="AK5" s="58" t="s">
        <v>5800</v>
      </c>
      <c r="AL5" s="58" t="s">
        <v>5768</v>
      </c>
      <c r="AM5" s="58" t="s">
        <v>5679</v>
      </c>
      <c r="AN5" s="58"/>
      <c r="AO5" s="58">
        <v>90</v>
      </c>
      <c r="AP5" s="58">
        <v>5</v>
      </c>
    </row>
    <row r="6" spans="1:42">
      <c r="A6" s="58" t="s">
        <v>7235</v>
      </c>
      <c r="B6" s="58"/>
      <c r="C6" s="58" t="s">
        <v>7215</v>
      </c>
      <c r="D6" s="58" t="s">
        <v>7210</v>
      </c>
      <c r="E6" s="58"/>
      <c r="F6" s="58"/>
      <c r="G6" s="58"/>
      <c r="H6" s="58"/>
      <c r="I6" s="58"/>
      <c r="J6" s="58"/>
      <c r="K6" s="58">
        <v>-0.5</v>
      </c>
      <c r="L6" s="58">
        <v>-1</v>
      </c>
      <c r="M6" s="58"/>
      <c r="N6" s="58"/>
      <c r="O6" s="58"/>
      <c r="P6" s="58"/>
      <c r="Q6" s="58"/>
      <c r="R6" s="58">
        <v>-1</v>
      </c>
      <c r="S6" s="58">
        <v>-1</v>
      </c>
      <c r="T6" s="58">
        <v>-2</v>
      </c>
      <c r="U6" s="58">
        <v>-2</v>
      </c>
      <c r="V6" s="58">
        <v>-3</v>
      </c>
      <c r="W6" s="58">
        <v>-3</v>
      </c>
      <c r="X6" s="58">
        <v>-10</v>
      </c>
      <c r="Y6" s="58"/>
      <c r="Z6" s="58"/>
      <c r="AA6" s="58">
        <v>1</v>
      </c>
      <c r="AB6" s="58">
        <v>10</v>
      </c>
      <c r="AC6" s="58"/>
      <c r="AD6" s="58">
        <v>-0.5</v>
      </c>
      <c r="AE6" s="58"/>
      <c r="AF6" s="58"/>
      <c r="AG6" s="58"/>
      <c r="AH6" s="58">
        <v>-0.5</v>
      </c>
      <c r="AI6" s="58"/>
      <c r="AJ6" s="58">
        <v>-1</v>
      </c>
      <c r="AK6" s="58" t="s">
        <v>5795</v>
      </c>
      <c r="AL6" s="58" t="s">
        <v>5679</v>
      </c>
      <c r="AM6" s="58" t="s">
        <v>5665</v>
      </c>
      <c r="AN6" s="58"/>
      <c r="AO6" s="58">
        <v>110</v>
      </c>
      <c r="AP6" s="58">
        <v>4</v>
      </c>
    </row>
    <row r="7" spans="1:42">
      <c r="A7" s="58" t="s">
        <v>7254</v>
      </c>
      <c r="B7" s="58"/>
      <c r="C7" s="58" t="s">
        <v>7118</v>
      </c>
      <c r="D7" s="58" t="s">
        <v>7210</v>
      </c>
      <c r="E7" s="58"/>
      <c r="F7" s="58"/>
      <c r="G7" s="58"/>
      <c r="H7" s="58"/>
      <c r="I7" s="58"/>
      <c r="J7" s="58"/>
      <c r="K7" s="58">
        <v>-0.5</v>
      </c>
      <c r="L7" s="58">
        <v>-1</v>
      </c>
      <c r="M7" s="58"/>
      <c r="N7" s="58"/>
      <c r="O7" s="58"/>
      <c r="P7" s="58"/>
      <c r="Q7" s="58"/>
      <c r="R7" s="58">
        <v>-1</v>
      </c>
      <c r="S7" s="58">
        <v>-1</v>
      </c>
      <c r="T7" s="58">
        <v>-2</v>
      </c>
      <c r="U7" s="58">
        <v>-2</v>
      </c>
      <c r="V7" s="58">
        <v>-3</v>
      </c>
      <c r="W7" s="58">
        <v>-3</v>
      </c>
      <c r="X7" s="58">
        <v>-10</v>
      </c>
      <c r="Y7" s="58"/>
      <c r="Z7" s="58"/>
      <c r="AA7" s="58">
        <v>1</v>
      </c>
      <c r="AB7" s="58">
        <v>10</v>
      </c>
      <c r="AC7" s="58"/>
      <c r="AD7" s="58">
        <v>-0.5</v>
      </c>
      <c r="AE7" s="58"/>
      <c r="AF7" s="58"/>
      <c r="AG7" s="58"/>
      <c r="AH7" s="58">
        <v>-0.5</v>
      </c>
      <c r="AI7" s="58"/>
      <c r="AJ7" s="58">
        <v>0</v>
      </c>
      <c r="AK7" s="58" t="s">
        <v>5816</v>
      </c>
      <c r="AL7" s="58" t="s">
        <v>5665</v>
      </c>
      <c r="AM7" s="58" t="s">
        <v>5677</v>
      </c>
      <c r="AN7" s="58"/>
      <c r="AO7" s="58">
        <v>130</v>
      </c>
      <c r="AP7" s="58">
        <v>3</v>
      </c>
    </row>
    <row r="8" spans="1:42">
      <c r="A8" s="58" t="s">
        <v>7141</v>
      </c>
      <c r="B8" s="58"/>
      <c r="C8" s="58"/>
      <c r="D8" s="58"/>
      <c r="E8" s="58" t="s">
        <v>7255</v>
      </c>
      <c r="F8" s="58"/>
      <c r="G8" s="58"/>
      <c r="H8" s="58"/>
      <c r="I8" s="58"/>
      <c r="J8" s="58"/>
      <c r="K8" s="58">
        <v>0.1</v>
      </c>
      <c r="L8" s="58"/>
      <c r="M8" s="58"/>
      <c r="N8" s="58"/>
      <c r="O8" s="58"/>
      <c r="P8" s="58">
        <v>6</v>
      </c>
      <c r="Q8" s="58">
        <v>-6</v>
      </c>
      <c r="R8" s="58"/>
      <c r="S8" s="58"/>
      <c r="T8" s="58"/>
      <c r="U8" s="58"/>
      <c r="V8" s="58"/>
      <c r="W8" s="58"/>
      <c r="X8" s="58"/>
      <c r="Y8" s="58">
        <v>8</v>
      </c>
      <c r="Z8" s="58">
        <v>6</v>
      </c>
      <c r="AA8" s="58"/>
      <c r="AB8" s="58">
        <v>-30</v>
      </c>
      <c r="AC8" s="58"/>
      <c r="AD8" s="58"/>
      <c r="AE8" s="58"/>
      <c r="AF8" s="58"/>
      <c r="AG8" s="58"/>
      <c r="AH8" s="58">
        <v>0.1</v>
      </c>
      <c r="AI8" s="58"/>
      <c r="AJ8" s="58">
        <v>1</v>
      </c>
      <c r="AK8" s="58" t="s">
        <v>5794</v>
      </c>
      <c r="AL8" s="58" t="s">
        <v>5677</v>
      </c>
      <c r="AM8" s="58" t="s">
        <v>5682</v>
      </c>
      <c r="AN8" s="58"/>
      <c r="AO8" s="58">
        <v>150</v>
      </c>
      <c r="AP8" s="58">
        <v>2</v>
      </c>
    </row>
    <row r="9" spans="1:42">
      <c r="A9" s="58" t="s">
        <v>6505</v>
      </c>
      <c r="B9" s="58"/>
      <c r="C9" s="58"/>
      <c r="D9" s="58"/>
      <c r="E9" s="58" t="s">
        <v>7255</v>
      </c>
      <c r="F9" s="58"/>
      <c r="G9" s="58"/>
      <c r="H9" s="58"/>
      <c r="I9" s="58"/>
      <c r="J9" s="58"/>
      <c r="K9" s="58">
        <v>0.1</v>
      </c>
      <c r="L9" s="58"/>
      <c r="M9" s="58"/>
      <c r="N9" s="58"/>
      <c r="O9" s="58"/>
      <c r="P9" s="58"/>
      <c r="Q9" s="58"/>
      <c r="R9" s="58"/>
      <c r="S9" s="58"/>
      <c r="T9" s="58"/>
      <c r="U9" s="58"/>
      <c r="V9" s="58"/>
      <c r="W9" s="58"/>
      <c r="X9" s="58"/>
      <c r="Y9" s="58">
        <v>11</v>
      </c>
      <c r="Z9" s="58">
        <v>6</v>
      </c>
      <c r="AA9" s="58"/>
      <c r="AB9" s="58">
        <v>-5</v>
      </c>
      <c r="AC9" s="58"/>
      <c r="AD9" s="58"/>
      <c r="AE9" s="58"/>
      <c r="AF9" s="58"/>
      <c r="AG9" s="58"/>
      <c r="AH9" s="58">
        <v>0.1</v>
      </c>
      <c r="AI9" s="58"/>
      <c r="AJ9" s="58">
        <v>2</v>
      </c>
      <c r="AK9" s="58" t="s">
        <v>5799</v>
      </c>
      <c r="AL9" s="58" t="s">
        <v>5682</v>
      </c>
      <c r="AM9" s="58"/>
      <c r="AN9" s="58"/>
      <c r="AO9" s="58">
        <v>170</v>
      </c>
      <c r="AP9" s="58">
        <v>1</v>
      </c>
    </row>
    <row r="10" spans="1:42">
      <c r="A10" s="58" t="s">
        <v>7123</v>
      </c>
      <c r="B10" s="58"/>
      <c r="C10" s="58"/>
      <c r="D10" s="58"/>
      <c r="E10" s="58" t="s">
        <v>7255</v>
      </c>
      <c r="F10" s="58"/>
      <c r="G10" s="58"/>
      <c r="H10" s="58"/>
      <c r="I10" s="58"/>
      <c r="J10" s="58"/>
      <c r="K10" s="58">
        <v>0.1</v>
      </c>
      <c r="L10" s="58"/>
      <c r="M10" s="58"/>
      <c r="N10" s="58"/>
      <c r="O10" s="58"/>
      <c r="P10" s="58">
        <v>6</v>
      </c>
      <c r="Q10" s="58">
        <v>-6</v>
      </c>
      <c r="R10" s="58"/>
      <c r="S10" s="58"/>
      <c r="T10" s="58"/>
      <c r="U10" s="58"/>
      <c r="V10" s="58"/>
      <c r="W10" s="58"/>
      <c r="X10" s="58"/>
      <c r="Y10" s="58">
        <v>9</v>
      </c>
      <c r="Z10" s="58">
        <v>6</v>
      </c>
      <c r="AA10" s="58"/>
      <c r="AB10" s="58">
        <v>-20</v>
      </c>
      <c r="AC10" s="58"/>
      <c r="AD10" s="58"/>
      <c r="AE10" s="58"/>
      <c r="AF10" s="58"/>
      <c r="AG10" s="58"/>
      <c r="AH10" s="58">
        <v>0.1</v>
      </c>
      <c r="AI10" s="58"/>
      <c r="AJ10" s="58">
        <v>3</v>
      </c>
      <c r="AK10" s="58" t="s">
        <v>5819</v>
      </c>
      <c r="AL10" s="58"/>
      <c r="AM10" s="58"/>
      <c r="AN10" s="58"/>
      <c r="AO10" s="58"/>
      <c r="AP10" s="58"/>
    </row>
    <row r="11" spans="1:42">
      <c r="A11" s="58" t="s">
        <v>7225</v>
      </c>
      <c r="B11" s="58"/>
      <c r="C11" s="58" t="s">
        <v>7118</v>
      </c>
      <c r="D11" s="58"/>
      <c r="E11" s="58"/>
      <c r="F11" s="58"/>
      <c r="G11" s="58" t="s">
        <v>7212</v>
      </c>
      <c r="H11" s="58"/>
      <c r="I11" s="58"/>
      <c r="J11" s="58"/>
      <c r="K11" s="58">
        <v>0.15</v>
      </c>
      <c r="L11" s="58"/>
      <c r="M11" s="58"/>
      <c r="N11" s="58"/>
      <c r="O11" s="58"/>
      <c r="P11" s="58"/>
      <c r="Q11" s="58"/>
      <c r="R11" s="58">
        <v>2</v>
      </c>
      <c r="S11" s="58">
        <v>3</v>
      </c>
      <c r="T11" s="58">
        <v>3</v>
      </c>
      <c r="U11" s="58">
        <v>2</v>
      </c>
      <c r="V11" s="58">
        <v>1</v>
      </c>
      <c r="W11" s="58">
        <v>1</v>
      </c>
      <c r="X11" s="58">
        <v>30</v>
      </c>
      <c r="Y11" s="58"/>
      <c r="Z11" s="58"/>
      <c r="AA11" s="58"/>
      <c r="AB11" s="58">
        <v>-10</v>
      </c>
      <c r="AC11" s="58"/>
      <c r="AD11" s="58">
        <v>1.5</v>
      </c>
      <c r="AE11" s="58"/>
      <c r="AF11" s="58"/>
      <c r="AG11" s="58"/>
      <c r="AH11" s="58">
        <v>0.15</v>
      </c>
      <c r="AI11" s="58"/>
      <c r="AJ11" s="58">
        <v>4</v>
      </c>
      <c r="AK11" s="58" t="s">
        <v>5803</v>
      </c>
      <c r="AL11" s="58"/>
      <c r="AM11" s="58"/>
      <c r="AN11" s="58"/>
      <c r="AO11" s="58"/>
      <c r="AP11" s="58"/>
    </row>
    <row r="12" spans="1:42">
      <c r="A12" s="58" t="s">
        <v>7237</v>
      </c>
      <c r="B12" s="58"/>
      <c r="C12" s="58" t="s">
        <v>7118</v>
      </c>
      <c r="D12" s="58" t="s">
        <v>7210</v>
      </c>
      <c r="E12" s="58"/>
      <c r="F12" s="58"/>
      <c r="G12" s="58"/>
      <c r="H12" s="58"/>
      <c r="I12" s="58"/>
      <c r="J12" s="58"/>
      <c r="K12" s="58">
        <v>0.3</v>
      </c>
      <c r="L12" s="58">
        <v>2</v>
      </c>
      <c r="M12" s="58">
        <v>1</v>
      </c>
      <c r="N12" s="58">
        <v>1</v>
      </c>
      <c r="O12" s="58">
        <v>3</v>
      </c>
      <c r="P12" s="58">
        <v>-3</v>
      </c>
      <c r="Q12" s="58">
        <v>3</v>
      </c>
      <c r="R12" s="58"/>
      <c r="S12" s="58">
        <v>-5</v>
      </c>
      <c r="T12" s="58">
        <v>-10</v>
      </c>
      <c r="U12" s="58">
        <v>-15</v>
      </c>
      <c r="V12" s="58">
        <v>-20</v>
      </c>
      <c r="W12" s="58">
        <v>-25</v>
      </c>
      <c r="X12" s="58">
        <v>-10</v>
      </c>
      <c r="Y12" s="58">
        <v>2</v>
      </c>
      <c r="Z12" s="58"/>
      <c r="AA12" s="58"/>
      <c r="AB12" s="58">
        <v>-10</v>
      </c>
      <c r="AC12" s="58"/>
      <c r="AD12" s="58">
        <v>1</v>
      </c>
      <c r="AE12" s="58"/>
      <c r="AF12" s="58"/>
      <c r="AG12" s="58"/>
      <c r="AH12" s="58">
        <v>0.3</v>
      </c>
      <c r="AI12" s="58"/>
      <c r="AJ12" s="58">
        <v>5</v>
      </c>
      <c r="AK12" s="58" t="s">
        <v>5897</v>
      </c>
      <c r="AL12" s="58"/>
      <c r="AM12" s="58"/>
      <c r="AN12" s="58"/>
      <c r="AO12" s="58"/>
      <c r="AP12" s="58"/>
    </row>
    <row r="13" spans="1:42">
      <c r="A13" s="58" t="s">
        <v>7219</v>
      </c>
      <c r="B13" s="58"/>
      <c r="C13" s="58" t="s">
        <v>7118</v>
      </c>
      <c r="D13" s="58" t="s">
        <v>7210</v>
      </c>
      <c r="E13" s="58"/>
      <c r="F13" s="58"/>
      <c r="G13" s="58"/>
      <c r="H13" s="58"/>
      <c r="I13" s="58"/>
      <c r="J13" s="58"/>
      <c r="K13" s="58">
        <v>0.3</v>
      </c>
      <c r="L13" s="58"/>
      <c r="M13" s="58"/>
      <c r="N13" s="58">
        <v>1</v>
      </c>
      <c r="O13" s="58">
        <v>1</v>
      </c>
      <c r="P13" s="58"/>
      <c r="Q13" s="58"/>
      <c r="R13" s="58">
        <v>-1</v>
      </c>
      <c r="S13" s="58">
        <v>2</v>
      </c>
      <c r="T13" s="58">
        <v>1</v>
      </c>
      <c r="U13" s="58">
        <v>1</v>
      </c>
      <c r="V13" s="58">
        <v>1</v>
      </c>
      <c r="W13" s="58">
        <v>1</v>
      </c>
      <c r="X13" s="58">
        <v>10</v>
      </c>
      <c r="Y13" s="58"/>
      <c r="Z13" s="58"/>
      <c r="AA13" s="58"/>
      <c r="AB13" s="58">
        <v>-15</v>
      </c>
      <c r="AC13" s="58"/>
      <c r="AD13" s="58">
        <v>0.5</v>
      </c>
      <c r="AE13" s="58"/>
      <c r="AF13" s="58"/>
      <c r="AG13" s="58"/>
      <c r="AH13" s="58">
        <v>0.3</v>
      </c>
      <c r="AI13" s="58"/>
      <c r="AJ13" s="58"/>
      <c r="AK13" s="58"/>
      <c r="AL13" s="58"/>
      <c r="AM13" s="58"/>
      <c r="AN13" s="58"/>
      <c r="AO13" s="58"/>
      <c r="AP13" s="58"/>
    </row>
    <row r="14" spans="1:42">
      <c r="A14" s="58" t="s">
        <v>7225</v>
      </c>
      <c r="B14" s="58"/>
      <c r="C14" s="58" t="s">
        <v>7215</v>
      </c>
      <c r="D14" s="58"/>
      <c r="E14" s="58"/>
      <c r="F14" s="58"/>
      <c r="G14" s="58" t="s">
        <v>7212</v>
      </c>
      <c r="H14" s="58"/>
      <c r="I14" s="58"/>
      <c r="J14" s="58"/>
      <c r="K14" s="58">
        <v>0.3</v>
      </c>
      <c r="L14" s="58"/>
      <c r="M14" s="58"/>
      <c r="N14" s="58"/>
      <c r="O14" s="58"/>
      <c r="P14" s="58"/>
      <c r="Q14" s="58"/>
      <c r="R14" s="58">
        <v>1</v>
      </c>
      <c r="S14" s="58">
        <v>3</v>
      </c>
      <c r="T14" s="58">
        <v>4</v>
      </c>
      <c r="U14" s="58">
        <v>4</v>
      </c>
      <c r="V14" s="58">
        <v>5</v>
      </c>
      <c r="W14" s="58">
        <v>5</v>
      </c>
      <c r="X14" s="58">
        <v>60</v>
      </c>
      <c r="Y14" s="58"/>
      <c r="Z14" s="58"/>
      <c r="AA14" s="58"/>
      <c r="AB14" s="58">
        <v>-10</v>
      </c>
      <c r="AC14" s="58"/>
      <c r="AD14" s="58">
        <v>2</v>
      </c>
      <c r="AE14" s="58"/>
      <c r="AF14" s="58"/>
      <c r="AG14" s="58"/>
      <c r="AH14" s="58">
        <v>0.3</v>
      </c>
      <c r="AI14" s="58"/>
      <c r="AJ14" s="58"/>
      <c r="AK14" s="58"/>
      <c r="AL14" s="58"/>
      <c r="AM14" s="58"/>
      <c r="AN14" s="58"/>
      <c r="AO14" s="58"/>
      <c r="AP14" s="58"/>
    </row>
    <row r="15" spans="1:42">
      <c r="A15" s="58" t="s">
        <v>7226</v>
      </c>
      <c r="B15" s="58"/>
      <c r="C15" s="58" t="s">
        <v>7118</v>
      </c>
      <c r="D15" s="58" t="s">
        <v>7210</v>
      </c>
      <c r="E15" s="58"/>
      <c r="F15" s="58"/>
      <c r="G15" s="58"/>
      <c r="H15" s="58"/>
      <c r="I15" s="58"/>
      <c r="J15" s="58"/>
      <c r="K15" s="58">
        <v>0.5</v>
      </c>
      <c r="L15" s="58">
        <v>2</v>
      </c>
      <c r="M15" s="58">
        <v>1</v>
      </c>
      <c r="N15" s="58">
        <v>1</v>
      </c>
      <c r="O15" s="58">
        <v>1</v>
      </c>
      <c r="P15" s="58">
        <v>1</v>
      </c>
      <c r="Q15" s="58">
        <v>1</v>
      </c>
      <c r="R15" s="58">
        <v>-2</v>
      </c>
      <c r="S15" s="58">
        <v>-1</v>
      </c>
      <c r="T15" s="58"/>
      <c r="U15" s="58"/>
      <c r="V15" s="58"/>
      <c r="W15" s="58"/>
      <c r="X15" s="58">
        <v>20</v>
      </c>
      <c r="Y15" s="58">
        <v>2</v>
      </c>
      <c r="Z15" s="58"/>
      <c r="AA15" s="58"/>
      <c r="AB15" s="58">
        <v>-10</v>
      </c>
      <c r="AC15" s="58"/>
      <c r="AD15" s="58">
        <v>0.5</v>
      </c>
      <c r="AE15" s="58"/>
      <c r="AF15" s="58"/>
      <c r="AG15" s="58"/>
      <c r="AH15" s="58">
        <v>0.5</v>
      </c>
      <c r="AI15" s="58"/>
      <c r="AJ15" s="58"/>
      <c r="AK15" s="58"/>
      <c r="AL15" s="58"/>
      <c r="AM15" s="58"/>
      <c r="AN15" s="58"/>
      <c r="AO15" s="58"/>
      <c r="AP15" s="58"/>
    </row>
    <row r="16" spans="1:42">
      <c r="A16" s="58" t="s">
        <v>7238</v>
      </c>
      <c r="B16" s="58"/>
      <c r="C16" s="58" t="s">
        <v>7118</v>
      </c>
      <c r="D16" s="58" t="s">
        <v>7210</v>
      </c>
      <c r="E16" s="58"/>
      <c r="F16" s="58"/>
      <c r="G16" s="58"/>
      <c r="H16" s="58"/>
      <c r="I16" s="58"/>
      <c r="J16" s="58"/>
      <c r="K16" s="58">
        <v>0.6</v>
      </c>
      <c r="L16" s="58">
        <v>1</v>
      </c>
      <c r="M16" s="58"/>
      <c r="N16" s="58">
        <v>-1</v>
      </c>
      <c r="O16" s="58"/>
      <c r="P16" s="58"/>
      <c r="Q16" s="58">
        <v>-1</v>
      </c>
      <c r="R16" s="58">
        <v>-1</v>
      </c>
      <c r="S16" s="58">
        <v>-1</v>
      </c>
      <c r="T16" s="58">
        <v>-1</v>
      </c>
      <c r="U16" s="58">
        <v>-1</v>
      </c>
      <c r="V16" s="58">
        <v>-1</v>
      </c>
      <c r="W16" s="58">
        <v>-1</v>
      </c>
      <c r="X16" s="58"/>
      <c r="Y16" s="58">
        <v>3</v>
      </c>
      <c r="Z16" s="58"/>
      <c r="AA16" s="58"/>
      <c r="AB16" s="58">
        <v>-30</v>
      </c>
      <c r="AC16" s="58"/>
      <c r="AD16" s="58">
        <v>1</v>
      </c>
      <c r="AE16" s="58"/>
      <c r="AF16" s="58"/>
      <c r="AG16" s="58"/>
      <c r="AH16" s="58">
        <v>0.6</v>
      </c>
      <c r="AI16" s="58"/>
      <c r="AJ16" s="58"/>
      <c r="AK16" s="58"/>
      <c r="AL16" s="58"/>
      <c r="AM16" s="58"/>
      <c r="AN16" s="58"/>
      <c r="AO16" s="58"/>
      <c r="AP16" s="58"/>
    </row>
    <row r="17" spans="1:42">
      <c r="A17" s="58" t="s">
        <v>7230</v>
      </c>
      <c r="B17" s="58"/>
      <c r="C17" s="58" t="s">
        <v>7215</v>
      </c>
      <c r="D17" s="58" t="s">
        <v>7210</v>
      </c>
      <c r="E17" s="58"/>
      <c r="F17" s="58"/>
      <c r="G17" s="58"/>
      <c r="H17" s="58"/>
      <c r="I17" s="58"/>
      <c r="J17" s="58"/>
      <c r="K17" s="58">
        <v>0.7</v>
      </c>
      <c r="L17" s="58"/>
      <c r="M17" s="58"/>
      <c r="N17" s="58"/>
      <c r="O17" s="58">
        <v>2</v>
      </c>
      <c r="P17" s="58"/>
      <c r="Q17" s="58"/>
      <c r="R17" s="58">
        <v>-2</v>
      </c>
      <c r="S17" s="58"/>
      <c r="T17" s="58">
        <v>2</v>
      </c>
      <c r="U17" s="58">
        <v>3</v>
      </c>
      <c r="V17" s="58">
        <v>4</v>
      </c>
      <c r="W17" s="58">
        <v>5</v>
      </c>
      <c r="X17" s="58">
        <v>30</v>
      </c>
      <c r="Y17" s="58">
        <v>1</v>
      </c>
      <c r="Z17" s="58"/>
      <c r="AA17" s="58"/>
      <c r="AB17" s="58">
        <v>-30</v>
      </c>
      <c r="AC17" s="58"/>
      <c r="AD17" s="58">
        <v>3</v>
      </c>
      <c r="AE17" s="58"/>
      <c r="AF17" s="58"/>
      <c r="AG17" s="58"/>
      <c r="AH17" s="58">
        <v>0.7</v>
      </c>
      <c r="AI17" s="58"/>
      <c r="AJ17" s="58"/>
      <c r="AK17" s="58"/>
      <c r="AL17" s="58"/>
      <c r="AM17" s="58"/>
      <c r="AN17" s="58"/>
      <c r="AO17" s="58"/>
      <c r="AP17" s="58"/>
    </row>
    <row r="18" spans="1:42">
      <c r="A18" s="58" t="s">
        <v>1449</v>
      </c>
      <c r="B18" s="58" t="s">
        <v>4147</v>
      </c>
      <c r="C18" s="58"/>
      <c r="D18" s="58"/>
      <c r="E18" s="58"/>
      <c r="F18" s="58"/>
      <c r="G18" s="58"/>
      <c r="H18" s="58"/>
      <c r="I18" s="58"/>
      <c r="J18" s="58"/>
      <c r="K18" s="58">
        <v>1</v>
      </c>
      <c r="L18" s="58">
        <v>1</v>
      </c>
      <c r="M18" s="58">
        <v>1</v>
      </c>
      <c r="N18" s="58">
        <v>1</v>
      </c>
      <c r="O18" s="58"/>
      <c r="P18" s="58">
        <v>2</v>
      </c>
      <c r="Q18" s="58"/>
      <c r="R18" s="58">
        <v>1</v>
      </c>
      <c r="S18" s="58">
        <v>1</v>
      </c>
      <c r="T18" s="58">
        <v>1</v>
      </c>
      <c r="U18" s="58">
        <v>1</v>
      </c>
      <c r="V18" s="58">
        <v>1</v>
      </c>
      <c r="W18" s="58">
        <v>1</v>
      </c>
      <c r="X18" s="58"/>
      <c r="Y18" s="58"/>
      <c r="Z18" s="58"/>
      <c r="AA18" s="58">
        <v>-4</v>
      </c>
      <c r="AB18" s="58">
        <v>20</v>
      </c>
      <c r="AC18" s="58"/>
      <c r="AD18" s="58">
        <v>3</v>
      </c>
      <c r="AE18" s="58"/>
      <c r="AF18" s="58"/>
      <c r="AG18" s="58"/>
      <c r="AH18" s="58">
        <v>1</v>
      </c>
      <c r="AI18" s="58"/>
      <c r="AJ18" s="58"/>
      <c r="AK18" s="58"/>
      <c r="AL18" s="58"/>
      <c r="AM18" s="58"/>
      <c r="AN18" s="58"/>
      <c r="AO18" s="58"/>
      <c r="AP18" s="58"/>
    </row>
    <row r="19" spans="1:42">
      <c r="A19" s="58" t="s">
        <v>1418</v>
      </c>
      <c r="B19" s="58" t="s">
        <v>4147</v>
      </c>
      <c r="C19" s="58"/>
      <c r="D19" s="58"/>
      <c r="E19" s="58"/>
      <c r="F19" s="58"/>
      <c r="G19" s="58"/>
      <c r="H19" s="58"/>
      <c r="I19" s="58"/>
      <c r="J19" s="58"/>
      <c r="K19" s="58">
        <v>1</v>
      </c>
      <c r="L19" s="58">
        <v>1</v>
      </c>
      <c r="M19" s="58">
        <v>2</v>
      </c>
      <c r="N19" s="58">
        <v>1</v>
      </c>
      <c r="O19" s="58"/>
      <c r="P19" s="58"/>
      <c r="Q19" s="58">
        <v>1</v>
      </c>
      <c r="R19" s="58">
        <v>2</v>
      </c>
      <c r="S19" s="58">
        <v>1</v>
      </c>
      <c r="T19" s="58"/>
      <c r="U19" s="58"/>
      <c r="V19" s="58">
        <v>-1</v>
      </c>
      <c r="W19" s="58">
        <v>-2</v>
      </c>
      <c r="X19" s="58"/>
      <c r="Y19" s="58"/>
      <c r="Z19" s="58"/>
      <c r="AA19" s="58">
        <v>-1</v>
      </c>
      <c r="AB19" s="58"/>
      <c r="AC19" s="58"/>
      <c r="AD19" s="58">
        <v>2</v>
      </c>
      <c r="AE19" s="58"/>
      <c r="AF19" s="58"/>
      <c r="AG19" s="58"/>
      <c r="AH19" s="58">
        <v>1</v>
      </c>
      <c r="AI19" s="58"/>
      <c r="AJ19" s="58"/>
      <c r="AK19" s="58"/>
      <c r="AL19" s="58"/>
      <c r="AM19" s="58"/>
      <c r="AN19" s="58"/>
      <c r="AO19" s="58"/>
      <c r="AP19" s="58"/>
    </row>
    <row r="20" spans="1:42">
      <c r="A20" s="58" t="s">
        <v>7233</v>
      </c>
      <c r="B20" s="58"/>
      <c r="C20" s="58" t="s">
        <v>7215</v>
      </c>
      <c r="D20" s="58" t="s">
        <v>7210</v>
      </c>
      <c r="E20" s="58"/>
      <c r="F20" s="58"/>
      <c r="G20" s="58"/>
      <c r="H20" s="58"/>
      <c r="I20" s="58"/>
      <c r="J20" s="58"/>
      <c r="K20" s="58">
        <v>1</v>
      </c>
      <c r="L20" s="58">
        <v>2</v>
      </c>
      <c r="M20" s="58">
        <v>1</v>
      </c>
      <c r="N20" s="58">
        <v>1</v>
      </c>
      <c r="O20" s="58">
        <v>3</v>
      </c>
      <c r="P20" s="58">
        <v>-3</v>
      </c>
      <c r="Q20" s="58">
        <v>3</v>
      </c>
      <c r="R20" s="58"/>
      <c r="S20" s="58">
        <v>-5</v>
      </c>
      <c r="T20" s="58">
        <v>-10</v>
      </c>
      <c r="U20" s="58">
        <v>-15</v>
      </c>
      <c r="V20" s="58">
        <v>-20</v>
      </c>
      <c r="W20" s="58">
        <v>-25</v>
      </c>
      <c r="X20" s="58">
        <v>-20</v>
      </c>
      <c r="Y20" s="58">
        <v>2</v>
      </c>
      <c r="Z20" s="58"/>
      <c r="AA20" s="58"/>
      <c r="AB20" s="58">
        <v>-15</v>
      </c>
      <c r="AC20" s="58"/>
      <c r="AD20" s="58">
        <v>1</v>
      </c>
      <c r="AE20" s="58"/>
      <c r="AF20" s="58"/>
      <c r="AG20" s="58"/>
      <c r="AH20" s="58">
        <v>1</v>
      </c>
      <c r="AI20" s="58"/>
      <c r="AJ20" s="58"/>
      <c r="AK20" s="58"/>
      <c r="AL20" s="58"/>
      <c r="AM20" s="58"/>
      <c r="AN20" s="58"/>
      <c r="AO20" s="58"/>
      <c r="AP20" s="58"/>
    </row>
    <row r="21" spans="1:42">
      <c r="A21" s="58" t="s">
        <v>7218</v>
      </c>
      <c r="B21" s="58"/>
      <c r="C21" s="58" t="s">
        <v>7215</v>
      </c>
      <c r="D21" s="58" t="s">
        <v>7210</v>
      </c>
      <c r="E21" s="58"/>
      <c r="F21" s="58"/>
      <c r="G21" s="58"/>
      <c r="H21" s="58"/>
      <c r="I21" s="58"/>
      <c r="J21" s="58"/>
      <c r="K21" s="58">
        <v>1</v>
      </c>
      <c r="L21" s="58">
        <v>2</v>
      </c>
      <c r="M21" s="58">
        <v>1</v>
      </c>
      <c r="N21" s="58">
        <v>1</v>
      </c>
      <c r="O21" s="58">
        <v>1</v>
      </c>
      <c r="P21" s="58">
        <v>1</v>
      </c>
      <c r="Q21" s="58">
        <v>1</v>
      </c>
      <c r="R21" s="58">
        <v>-2</v>
      </c>
      <c r="S21" s="58">
        <v>-1</v>
      </c>
      <c r="T21" s="58"/>
      <c r="U21" s="58"/>
      <c r="V21" s="58"/>
      <c r="W21" s="58"/>
      <c r="X21" s="58">
        <v>20</v>
      </c>
      <c r="Y21" s="58">
        <v>2</v>
      </c>
      <c r="Z21" s="58"/>
      <c r="AA21" s="58"/>
      <c r="AB21" s="58">
        <v>-10</v>
      </c>
      <c r="AC21" s="58"/>
      <c r="AD21" s="58">
        <v>1</v>
      </c>
      <c r="AE21" s="58"/>
      <c r="AF21" s="58"/>
      <c r="AG21" s="58"/>
      <c r="AH21" s="58">
        <v>1</v>
      </c>
      <c r="AI21" s="58"/>
      <c r="AJ21" s="58"/>
      <c r="AK21" s="58"/>
      <c r="AL21" s="58"/>
      <c r="AM21" s="58"/>
      <c r="AN21" s="58"/>
      <c r="AO21" s="58"/>
      <c r="AP21" s="58"/>
    </row>
    <row r="22" spans="1:42">
      <c r="A22" s="58" t="s">
        <v>7234</v>
      </c>
      <c r="B22" s="58"/>
      <c r="C22" s="58" t="s">
        <v>7215</v>
      </c>
      <c r="D22" s="58" t="s">
        <v>7210</v>
      </c>
      <c r="E22" s="58"/>
      <c r="F22" s="58"/>
      <c r="G22" s="58"/>
      <c r="H22" s="58"/>
      <c r="I22" s="58"/>
      <c r="J22" s="58"/>
      <c r="K22" s="58">
        <v>1.5</v>
      </c>
      <c r="L22" s="58">
        <v>1</v>
      </c>
      <c r="M22" s="58"/>
      <c r="N22" s="58">
        <v>-1</v>
      </c>
      <c r="O22" s="58"/>
      <c r="P22" s="58"/>
      <c r="Q22" s="58">
        <v>-1</v>
      </c>
      <c r="R22" s="58">
        <v>-1</v>
      </c>
      <c r="S22" s="58">
        <v>-1</v>
      </c>
      <c r="T22" s="58">
        <v>-1</v>
      </c>
      <c r="U22" s="58">
        <v>-1</v>
      </c>
      <c r="V22" s="58">
        <v>-1</v>
      </c>
      <c r="W22" s="58">
        <v>-1</v>
      </c>
      <c r="X22" s="58"/>
      <c r="Y22" s="58">
        <v>4</v>
      </c>
      <c r="Z22" s="58"/>
      <c r="AA22" s="58"/>
      <c r="AB22" s="58">
        <v>-30</v>
      </c>
      <c r="AC22" s="58"/>
      <c r="AD22" s="58">
        <v>2</v>
      </c>
      <c r="AE22" s="58"/>
      <c r="AF22" s="58"/>
      <c r="AG22" s="58"/>
      <c r="AH22" s="58">
        <v>1.5</v>
      </c>
      <c r="AI22" s="58"/>
      <c r="AJ22" s="58"/>
      <c r="AK22" s="58"/>
      <c r="AL22" s="58"/>
      <c r="AM22" s="58"/>
      <c r="AN22" s="58"/>
      <c r="AO22" s="58"/>
      <c r="AP22" s="58"/>
    </row>
    <row r="23" spans="1:42">
      <c r="A23" s="58" t="s">
        <v>7118</v>
      </c>
      <c r="B23" s="58"/>
      <c r="C23" s="58" t="s">
        <v>7256</v>
      </c>
      <c r="D23" s="58"/>
      <c r="E23" s="58"/>
      <c r="F23" s="58"/>
      <c r="G23" s="58"/>
      <c r="H23" s="58"/>
      <c r="I23" s="58"/>
      <c r="J23" s="58"/>
      <c r="K23" s="58">
        <v>1.55</v>
      </c>
      <c r="L23" s="58">
        <v>7</v>
      </c>
      <c r="M23" s="58"/>
      <c r="N23" s="58"/>
      <c r="O23" s="58"/>
      <c r="P23" s="58">
        <v>6</v>
      </c>
      <c r="Q23" s="58">
        <v>14</v>
      </c>
      <c r="R23" s="58">
        <v>7</v>
      </c>
      <c r="S23" s="58">
        <v>-1</v>
      </c>
      <c r="T23" s="58">
        <v>-11</v>
      </c>
      <c r="U23" s="58">
        <v>-23</v>
      </c>
      <c r="V23" s="58">
        <v>-37</v>
      </c>
      <c r="W23" s="58">
        <v>-53</v>
      </c>
      <c r="X23" s="58">
        <v>30</v>
      </c>
      <c r="Y23" s="58"/>
      <c r="Z23" s="58"/>
      <c r="AA23" s="58"/>
      <c r="AB23" s="58">
        <v>100</v>
      </c>
      <c r="AC23" s="58"/>
      <c r="AD23" s="58">
        <v>7</v>
      </c>
      <c r="AE23" s="58"/>
      <c r="AF23" s="58">
        <v>150</v>
      </c>
      <c r="AG23" s="58">
        <v>1</v>
      </c>
      <c r="AH23" s="58">
        <v>1</v>
      </c>
      <c r="AI23" s="58">
        <v>0.55000000000000004</v>
      </c>
      <c r="AJ23" s="58"/>
      <c r="AK23" s="58"/>
      <c r="AL23" s="58"/>
      <c r="AM23" s="58"/>
      <c r="AN23" s="58"/>
      <c r="AO23" s="58"/>
      <c r="AP23" s="58"/>
    </row>
    <row r="24" spans="1:42">
      <c r="A24" s="58" t="s">
        <v>1445</v>
      </c>
      <c r="B24" s="58" t="s">
        <v>4147</v>
      </c>
      <c r="C24" s="58"/>
      <c r="D24" s="58"/>
      <c r="E24" s="58"/>
      <c r="F24" s="58"/>
      <c r="G24" s="58"/>
      <c r="H24" s="58"/>
      <c r="I24" s="58"/>
      <c r="J24" s="58"/>
      <c r="K24" s="58">
        <v>2</v>
      </c>
      <c r="L24" s="58">
        <v>3</v>
      </c>
      <c r="M24" s="58">
        <v>2</v>
      </c>
      <c r="N24" s="58">
        <v>2</v>
      </c>
      <c r="O24" s="58">
        <v>1</v>
      </c>
      <c r="P24" s="58">
        <v>-1</v>
      </c>
      <c r="Q24" s="58">
        <v>2</v>
      </c>
      <c r="R24" s="58"/>
      <c r="S24" s="58">
        <v>-1</v>
      </c>
      <c r="T24" s="58">
        <v>-2</v>
      </c>
      <c r="U24" s="58">
        <v>-3</v>
      </c>
      <c r="V24" s="58">
        <v>-4</v>
      </c>
      <c r="W24" s="58">
        <v>-5</v>
      </c>
      <c r="X24" s="58">
        <v>-10</v>
      </c>
      <c r="Y24" s="58"/>
      <c r="Z24" s="58"/>
      <c r="AA24" s="58">
        <v>1</v>
      </c>
      <c r="AB24" s="58"/>
      <c r="AC24" s="58"/>
      <c r="AD24" s="58"/>
      <c r="AE24" s="58"/>
      <c r="AF24" s="58"/>
      <c r="AG24" s="58"/>
      <c r="AH24" s="58">
        <v>1</v>
      </c>
      <c r="AI24" s="58">
        <v>1</v>
      </c>
      <c r="AJ24" s="58"/>
      <c r="AK24" s="58"/>
      <c r="AL24" s="58"/>
      <c r="AM24" s="58"/>
      <c r="AN24" s="58"/>
      <c r="AO24" s="58"/>
      <c r="AP24" s="58"/>
    </row>
    <row r="25" spans="1:42">
      <c r="A25" s="58" t="s">
        <v>7239</v>
      </c>
      <c r="B25" s="58"/>
      <c r="C25" s="58" t="s">
        <v>7118</v>
      </c>
      <c r="D25" s="58" t="s">
        <v>7210</v>
      </c>
      <c r="E25" s="58"/>
      <c r="F25" s="58"/>
      <c r="G25" s="58"/>
      <c r="H25" s="58"/>
      <c r="I25" s="58"/>
      <c r="J25" s="58"/>
      <c r="K25" s="58">
        <v>2.1</v>
      </c>
      <c r="L25" s="58">
        <v>2</v>
      </c>
      <c r="M25" s="58">
        <v>-1</v>
      </c>
      <c r="N25" s="58">
        <v>-1</v>
      </c>
      <c r="O25" s="58"/>
      <c r="P25" s="58"/>
      <c r="Q25" s="58">
        <v>-1</v>
      </c>
      <c r="R25" s="58">
        <v>-2</v>
      </c>
      <c r="S25" s="58">
        <v>-2</v>
      </c>
      <c r="T25" s="58">
        <v>-2</v>
      </c>
      <c r="U25" s="58">
        <v>-2</v>
      </c>
      <c r="V25" s="58">
        <v>-2</v>
      </c>
      <c r="W25" s="58">
        <v>-2</v>
      </c>
      <c r="X25" s="58"/>
      <c r="Y25" s="58">
        <v>5</v>
      </c>
      <c r="Z25" s="58"/>
      <c r="AA25" s="58"/>
      <c r="AB25" s="58">
        <v>-40</v>
      </c>
      <c r="AC25" s="58"/>
      <c r="AD25" s="58">
        <v>6</v>
      </c>
      <c r="AE25" s="58"/>
      <c r="AF25" s="58"/>
      <c r="AG25" s="58"/>
      <c r="AH25" s="58">
        <v>2.1</v>
      </c>
      <c r="AI25" s="58"/>
      <c r="AJ25" s="58"/>
      <c r="AK25" s="58"/>
      <c r="AL25" s="58"/>
      <c r="AM25" s="58"/>
      <c r="AN25" s="58"/>
      <c r="AO25" s="58"/>
      <c r="AP25" s="58"/>
    </row>
    <row r="26" spans="1:42">
      <c r="A26" s="58" t="s">
        <v>7113</v>
      </c>
      <c r="B26" s="58"/>
      <c r="C26" s="58" t="s">
        <v>7215</v>
      </c>
      <c r="D26" s="58" t="s">
        <v>7210</v>
      </c>
      <c r="E26" s="58"/>
      <c r="F26" s="58"/>
      <c r="G26" s="58"/>
      <c r="H26" s="58"/>
      <c r="I26" s="58"/>
      <c r="J26" s="58"/>
      <c r="K26" s="58">
        <v>3</v>
      </c>
      <c r="L26" s="58">
        <v>4</v>
      </c>
      <c r="M26" s="58">
        <v>2</v>
      </c>
      <c r="N26" s="58">
        <v>1</v>
      </c>
      <c r="O26" s="58">
        <v>1</v>
      </c>
      <c r="P26" s="58">
        <v>3</v>
      </c>
      <c r="Q26" s="58">
        <v>2</v>
      </c>
      <c r="R26" s="58">
        <v>-4</v>
      </c>
      <c r="S26" s="58">
        <v>-2</v>
      </c>
      <c r="T26" s="58"/>
      <c r="U26" s="58"/>
      <c r="V26" s="58"/>
      <c r="W26" s="58"/>
      <c r="X26" s="58">
        <v>20</v>
      </c>
      <c r="Y26" s="58">
        <v>8</v>
      </c>
      <c r="Z26" s="58"/>
      <c r="AA26" s="58"/>
      <c r="AB26" s="58">
        <v>-25</v>
      </c>
      <c r="AC26" s="58"/>
      <c r="AD26" s="58">
        <v>3</v>
      </c>
      <c r="AE26" s="58"/>
      <c r="AF26" s="58"/>
      <c r="AG26" s="58"/>
      <c r="AH26" s="58">
        <v>3</v>
      </c>
      <c r="AI26" s="58"/>
      <c r="AJ26" s="58"/>
      <c r="AK26" s="58"/>
      <c r="AL26" s="58"/>
      <c r="AM26" s="58"/>
      <c r="AN26" s="58"/>
      <c r="AO26" s="58"/>
      <c r="AP26" s="58"/>
    </row>
    <row r="27" spans="1:42">
      <c r="A27" s="58" t="s">
        <v>7215</v>
      </c>
      <c r="B27" s="58"/>
      <c r="C27" s="58" t="s">
        <v>7256</v>
      </c>
      <c r="D27" s="58"/>
      <c r="E27" s="58"/>
      <c r="F27" s="58"/>
      <c r="G27" s="58"/>
      <c r="H27" s="58"/>
      <c r="I27" s="58"/>
      <c r="J27" s="58"/>
      <c r="K27" s="58">
        <v>3.8</v>
      </c>
      <c r="L27" s="58">
        <v>10</v>
      </c>
      <c r="M27" s="58"/>
      <c r="N27" s="58"/>
      <c r="O27" s="58">
        <v>1</v>
      </c>
      <c r="P27" s="58">
        <v>11</v>
      </c>
      <c r="Q27" s="58">
        <v>17</v>
      </c>
      <c r="R27" s="58">
        <v>4</v>
      </c>
      <c r="S27" s="58">
        <v>-1</v>
      </c>
      <c r="T27" s="58">
        <v>-6</v>
      </c>
      <c r="U27" s="58">
        <v>-12</v>
      </c>
      <c r="V27" s="58">
        <v>-19</v>
      </c>
      <c r="W27" s="58">
        <v>-27</v>
      </c>
      <c r="X27" s="58">
        <v>40</v>
      </c>
      <c r="Y27" s="58"/>
      <c r="Z27" s="58"/>
      <c r="AA27" s="58"/>
      <c r="AB27" s="58">
        <v>100</v>
      </c>
      <c r="AC27" s="58"/>
      <c r="AD27" s="58">
        <v>7.2</v>
      </c>
      <c r="AE27" s="58"/>
      <c r="AF27" s="58">
        <v>150</v>
      </c>
      <c r="AG27" s="58">
        <v>1</v>
      </c>
      <c r="AH27" s="58">
        <v>1.9</v>
      </c>
      <c r="AI27" s="58">
        <v>1.9</v>
      </c>
      <c r="AJ27" s="58"/>
      <c r="AK27" s="58"/>
      <c r="AL27" s="58"/>
      <c r="AM27" s="58"/>
      <c r="AN27" s="58"/>
      <c r="AO27" s="58"/>
      <c r="AP27" s="58"/>
    </row>
    <row r="28" spans="1:42">
      <c r="A28" s="58" t="s">
        <v>7257</v>
      </c>
      <c r="B28" s="58"/>
      <c r="C28" s="58" t="s">
        <v>7215</v>
      </c>
      <c r="D28" s="58" t="s">
        <v>7210</v>
      </c>
      <c r="E28" s="58"/>
      <c r="F28" s="58"/>
      <c r="G28" s="58"/>
      <c r="H28" s="58"/>
      <c r="I28" s="58"/>
      <c r="J28" s="58"/>
      <c r="K28" s="58">
        <v>4.5</v>
      </c>
      <c r="L28" s="58">
        <v>3</v>
      </c>
      <c r="M28" s="58">
        <v>-1</v>
      </c>
      <c r="N28" s="58">
        <v>-1</v>
      </c>
      <c r="O28" s="58"/>
      <c r="P28" s="58"/>
      <c r="Q28" s="58">
        <v>-1</v>
      </c>
      <c r="R28" s="58">
        <v>-2</v>
      </c>
      <c r="S28" s="58">
        <v>-2</v>
      </c>
      <c r="T28" s="58">
        <v>-2</v>
      </c>
      <c r="U28" s="58">
        <v>-2</v>
      </c>
      <c r="V28" s="58">
        <v>-2</v>
      </c>
      <c r="W28" s="58">
        <v>-2</v>
      </c>
      <c r="X28" s="58"/>
      <c r="Y28" s="58">
        <v>6</v>
      </c>
      <c r="Z28" s="58"/>
      <c r="AA28" s="58"/>
      <c r="AB28" s="58">
        <v>-40</v>
      </c>
      <c r="AC28" s="58"/>
      <c r="AD28" s="58">
        <v>8</v>
      </c>
      <c r="AE28" s="58"/>
      <c r="AF28" s="58"/>
      <c r="AG28" s="58"/>
      <c r="AH28" s="58">
        <v>4.5</v>
      </c>
      <c r="AI28" s="58"/>
      <c r="AJ28" s="58"/>
      <c r="AK28" s="58"/>
      <c r="AL28" s="58"/>
      <c r="AM28" s="58"/>
      <c r="AN28" s="58"/>
      <c r="AO28" s="58"/>
      <c r="AP28" s="58"/>
    </row>
    <row r="29" spans="1:42">
      <c r="A29" s="58" t="s">
        <v>7236</v>
      </c>
      <c r="B29" s="58"/>
      <c r="C29" s="58" t="s">
        <v>7215</v>
      </c>
      <c r="D29" s="58" t="s">
        <v>7210</v>
      </c>
      <c r="E29" s="58"/>
      <c r="F29" s="58"/>
      <c r="G29" s="58"/>
      <c r="H29" s="58"/>
      <c r="I29" s="58"/>
      <c r="J29" s="58"/>
      <c r="K29" s="58">
        <v>8</v>
      </c>
      <c r="L29" s="58">
        <v>8</v>
      </c>
      <c r="M29" s="58">
        <v>2</v>
      </c>
      <c r="N29" s="58">
        <v>2</v>
      </c>
      <c r="O29" s="58">
        <v>2</v>
      </c>
      <c r="P29" s="58">
        <v>4</v>
      </c>
      <c r="Q29" s="58">
        <v>4</v>
      </c>
      <c r="R29" s="58">
        <v>-6</v>
      </c>
      <c r="S29" s="58">
        <v>-3</v>
      </c>
      <c r="T29" s="58">
        <v>-1</v>
      </c>
      <c r="U29" s="58"/>
      <c r="V29" s="58"/>
      <c r="W29" s="58"/>
      <c r="X29" s="58">
        <v>50</v>
      </c>
      <c r="Y29" s="58">
        <v>12</v>
      </c>
      <c r="Z29" s="58"/>
      <c r="AA29" s="58"/>
      <c r="AB29" s="58">
        <v>-25</v>
      </c>
      <c r="AC29" s="58"/>
      <c r="AD29" s="58">
        <v>6</v>
      </c>
      <c r="AE29" s="58"/>
      <c r="AF29" s="58"/>
      <c r="AG29" s="58"/>
      <c r="AH29" s="58">
        <v>8</v>
      </c>
      <c r="AI29" s="58"/>
      <c r="AJ29" s="58"/>
      <c r="AK29" s="58"/>
      <c r="AL29" s="58"/>
      <c r="AM29" s="58"/>
      <c r="AN29" s="58"/>
      <c r="AO29" s="58"/>
      <c r="AP29" s="58"/>
    </row>
    <row r="30" spans="1:42">
      <c r="A30" s="58" t="s">
        <v>7114</v>
      </c>
      <c r="B30" s="58" t="s">
        <v>4147</v>
      </c>
      <c r="C30" s="58"/>
      <c r="D30" s="58"/>
      <c r="E30" s="58"/>
      <c r="F30" s="58"/>
      <c r="G30" s="58"/>
      <c r="H30" s="58"/>
      <c r="I30" s="58"/>
      <c r="J30" s="58"/>
      <c r="K30" s="58"/>
      <c r="L30" s="58"/>
      <c r="M30" s="58"/>
      <c r="N30" s="58"/>
      <c r="O30" s="58"/>
      <c r="P30" s="58"/>
      <c r="Q30" s="58"/>
      <c r="R30" s="58">
        <v>1</v>
      </c>
      <c r="S30" s="58"/>
      <c r="T30" s="58">
        <v>-1</v>
      </c>
      <c r="U30" s="58">
        <v>-1</v>
      </c>
      <c r="V30" s="58">
        <v>-2</v>
      </c>
      <c r="W30" s="58">
        <v>-2</v>
      </c>
      <c r="X30" s="58"/>
      <c r="Y30" s="58"/>
      <c r="Z30" s="58"/>
      <c r="AA30" s="58">
        <v>1</v>
      </c>
      <c r="AB30" s="58">
        <v>10</v>
      </c>
      <c r="AC30" s="58"/>
      <c r="AD30" s="58"/>
      <c r="AE30" s="58"/>
      <c r="AF30" s="58"/>
      <c r="AG30" s="58"/>
      <c r="AH30" s="58"/>
      <c r="AI30" s="58"/>
      <c r="AJ30" s="58"/>
      <c r="AK30" s="58"/>
      <c r="AL30" s="58"/>
      <c r="AM30" s="58"/>
      <c r="AN30" s="58"/>
      <c r="AO30" s="58"/>
      <c r="AP30" s="58"/>
    </row>
    <row r="31" spans="1:42">
      <c r="A31" s="58" t="s">
        <v>1421</v>
      </c>
      <c r="B31" s="58" t="s">
        <v>4147</v>
      </c>
      <c r="C31" s="58"/>
      <c r="D31" s="58"/>
      <c r="E31" s="58"/>
      <c r="F31" s="58"/>
      <c r="G31" s="58"/>
      <c r="H31" s="58"/>
      <c r="I31" s="58"/>
      <c r="J31" s="58"/>
      <c r="K31" s="58"/>
      <c r="L31" s="58"/>
      <c r="M31" s="58"/>
      <c r="N31" s="58"/>
      <c r="O31" s="58"/>
      <c r="P31" s="58"/>
      <c r="Q31" s="58"/>
      <c r="R31" s="58">
        <v>3</v>
      </c>
      <c r="S31" s="58">
        <v>3</v>
      </c>
      <c r="T31" s="58">
        <v>3</v>
      </c>
      <c r="U31" s="58">
        <v>3</v>
      </c>
      <c r="V31" s="58">
        <v>3</v>
      </c>
      <c r="W31" s="58">
        <v>3</v>
      </c>
      <c r="X31" s="58">
        <v>20</v>
      </c>
      <c r="Y31" s="58"/>
      <c r="Z31" s="58"/>
      <c r="AA31" s="58">
        <v>-1</v>
      </c>
      <c r="AB31" s="58">
        <v>20</v>
      </c>
      <c r="AC31" s="58"/>
      <c r="AD31" s="58">
        <v>2</v>
      </c>
      <c r="AE31" s="58"/>
      <c r="AF31" s="58"/>
      <c r="AG31" s="58"/>
      <c r="AH31" s="58"/>
      <c r="AI31" s="58"/>
      <c r="AJ31" s="58"/>
      <c r="AK31" s="58"/>
      <c r="AL31" s="58"/>
      <c r="AM31" s="58"/>
      <c r="AN31" s="58"/>
      <c r="AO31" s="58"/>
      <c r="AP31" s="58"/>
    </row>
    <row r="32" spans="1:42">
      <c r="A32" s="58" t="s">
        <v>6196</v>
      </c>
      <c r="B32" s="58"/>
      <c r="C32" s="58"/>
      <c r="D32" s="58"/>
      <c r="E32" s="58"/>
      <c r="F32" s="58"/>
      <c r="G32" s="58"/>
      <c r="H32" s="58"/>
      <c r="I32" s="58" t="s">
        <v>5657</v>
      </c>
      <c r="J32" s="58"/>
      <c r="K32" s="58"/>
      <c r="L32" s="58"/>
      <c r="M32" s="58"/>
      <c r="N32" s="58"/>
      <c r="O32" s="58"/>
      <c r="P32" s="58"/>
      <c r="Q32" s="58"/>
      <c r="R32" s="58">
        <v>-5</v>
      </c>
      <c r="S32" s="58">
        <v>-5</v>
      </c>
      <c r="T32" s="58">
        <v>-5</v>
      </c>
      <c r="U32" s="58">
        <v>-5</v>
      </c>
      <c r="V32" s="58">
        <v>-5</v>
      </c>
      <c r="W32" s="58">
        <v>-5</v>
      </c>
      <c r="X32" s="58"/>
      <c r="Y32" s="58"/>
      <c r="Z32" s="58"/>
      <c r="AA32" s="58">
        <v>5</v>
      </c>
      <c r="AB32" s="58">
        <v>0</v>
      </c>
      <c r="AC32" s="58"/>
      <c r="AD32" s="58"/>
      <c r="AE32" s="58">
        <v>1</v>
      </c>
      <c r="AF32" s="58"/>
      <c r="AG32" s="58"/>
      <c r="AH32" s="58"/>
      <c r="AI32" s="58"/>
      <c r="AJ32" s="58"/>
      <c r="AK32" s="58"/>
      <c r="AL32" s="58"/>
      <c r="AM32" s="58"/>
      <c r="AN32" s="58"/>
      <c r="AO32" s="58"/>
      <c r="AP32" s="58"/>
    </row>
    <row r="33" spans="1:42">
      <c r="A33" s="58" t="s">
        <v>5682</v>
      </c>
      <c r="B33" s="58"/>
      <c r="C33" s="58"/>
      <c r="D33" s="58"/>
      <c r="E33" s="58"/>
      <c r="F33" s="58"/>
      <c r="G33" s="58"/>
      <c r="H33" s="58"/>
      <c r="I33" s="58" t="s">
        <v>5657</v>
      </c>
      <c r="J33" s="58"/>
      <c r="K33" s="58"/>
      <c r="L33" s="58"/>
      <c r="M33" s="58"/>
      <c r="N33" s="58"/>
      <c r="O33" s="58"/>
      <c r="P33" s="58"/>
      <c r="Q33" s="58"/>
      <c r="R33" s="58">
        <v>3</v>
      </c>
      <c r="S33" s="58">
        <v>3</v>
      </c>
      <c r="T33" s="58">
        <v>3</v>
      </c>
      <c r="U33" s="58">
        <v>3</v>
      </c>
      <c r="V33" s="58">
        <v>3</v>
      </c>
      <c r="W33" s="58">
        <v>3</v>
      </c>
      <c r="X33" s="58"/>
      <c r="Y33" s="58"/>
      <c r="Z33" s="58"/>
      <c r="AA33" s="58">
        <v>-3</v>
      </c>
      <c r="AB33" s="58">
        <v>3</v>
      </c>
      <c r="AC33" s="58"/>
      <c r="AD33" s="58"/>
      <c r="AE33" s="58">
        <v>142</v>
      </c>
      <c r="AF33" s="58"/>
      <c r="AG33" s="58"/>
      <c r="AH33" s="58"/>
      <c r="AI33" s="58"/>
      <c r="AJ33" s="58"/>
      <c r="AK33" s="58"/>
      <c r="AL33" s="58"/>
      <c r="AM33" s="58"/>
      <c r="AN33" s="58"/>
      <c r="AO33" s="58"/>
      <c r="AP33" s="58"/>
    </row>
    <row r="34" spans="1:42">
      <c r="A34" s="58" t="s">
        <v>5679</v>
      </c>
      <c r="B34" s="58"/>
      <c r="C34" s="58"/>
      <c r="D34" s="58"/>
      <c r="E34" s="58"/>
      <c r="F34" s="58"/>
      <c r="G34" s="58"/>
      <c r="H34" s="58"/>
      <c r="I34" s="58" t="s">
        <v>5657</v>
      </c>
      <c r="J34" s="58"/>
      <c r="K34" s="58"/>
      <c r="L34" s="58"/>
      <c r="M34" s="58"/>
      <c r="N34" s="58"/>
      <c r="O34" s="58"/>
      <c r="P34" s="58"/>
      <c r="Q34" s="58"/>
      <c r="R34" s="58"/>
      <c r="S34" s="58"/>
      <c r="T34" s="58"/>
      <c r="U34" s="58"/>
      <c r="V34" s="58"/>
      <c r="W34" s="58"/>
      <c r="X34" s="58"/>
      <c r="Y34" s="58"/>
      <c r="Z34" s="58"/>
      <c r="AA34" s="58"/>
      <c r="AB34" s="58">
        <v>0</v>
      </c>
      <c r="AC34" s="58"/>
      <c r="AD34" s="58"/>
      <c r="AE34" s="58">
        <v>6</v>
      </c>
      <c r="AF34" s="58"/>
      <c r="AG34" s="58"/>
      <c r="AH34" s="58"/>
      <c r="AI34" s="58"/>
      <c r="AJ34" s="58"/>
      <c r="AK34" s="58"/>
      <c r="AL34" s="58"/>
      <c r="AM34" s="58"/>
      <c r="AN34" s="58"/>
      <c r="AO34" s="58"/>
      <c r="AP34" s="58"/>
    </row>
    <row r="35" spans="1:42">
      <c r="A35" s="58" t="s">
        <v>7253</v>
      </c>
      <c r="B35" s="58"/>
      <c r="C35" s="58"/>
      <c r="D35" s="58"/>
      <c r="E35" s="58"/>
      <c r="F35" s="58"/>
      <c r="G35" s="58"/>
      <c r="H35" s="58"/>
      <c r="I35" s="58" t="s">
        <v>5657</v>
      </c>
      <c r="J35" s="58"/>
      <c r="K35" s="58"/>
      <c r="L35" s="58"/>
      <c r="M35" s="58"/>
      <c r="N35" s="58"/>
      <c r="O35" s="58"/>
      <c r="P35" s="58"/>
      <c r="Q35" s="58"/>
      <c r="R35" s="58">
        <v>-2</v>
      </c>
      <c r="S35" s="58">
        <v>-2</v>
      </c>
      <c r="T35" s="58">
        <v>-2</v>
      </c>
      <c r="U35" s="58">
        <v>-2</v>
      </c>
      <c r="V35" s="58">
        <v>-2</v>
      </c>
      <c r="W35" s="58">
        <v>-2</v>
      </c>
      <c r="X35" s="58"/>
      <c r="Y35" s="58"/>
      <c r="Z35" s="58"/>
      <c r="AA35" s="58">
        <v>3</v>
      </c>
      <c r="AB35" s="58">
        <v>-1</v>
      </c>
      <c r="AC35" s="58"/>
      <c r="AD35" s="58">
        <v>-3.6</v>
      </c>
      <c r="AE35" s="58">
        <v>3</v>
      </c>
      <c r="AF35" s="58">
        <v>-75</v>
      </c>
      <c r="AG35" s="58">
        <v>-0.5</v>
      </c>
      <c r="AH35" s="58"/>
      <c r="AI35" s="58"/>
      <c r="AJ35" s="58"/>
      <c r="AK35" s="58"/>
      <c r="AL35" s="58"/>
      <c r="AM35" s="58"/>
      <c r="AN35" s="58"/>
      <c r="AO35" s="58"/>
      <c r="AP35" s="58"/>
    </row>
    <row r="36" spans="1:42">
      <c r="A36" s="58" t="s">
        <v>5677</v>
      </c>
      <c r="B36" s="58"/>
      <c r="C36" s="58"/>
      <c r="D36" s="58"/>
      <c r="E36" s="58"/>
      <c r="F36" s="58"/>
      <c r="G36" s="58"/>
      <c r="H36" s="58"/>
      <c r="I36" s="58" t="s">
        <v>5657</v>
      </c>
      <c r="J36" s="58"/>
      <c r="K36" s="58"/>
      <c r="L36" s="58"/>
      <c r="M36" s="58"/>
      <c r="N36" s="58"/>
      <c r="O36" s="58"/>
      <c r="P36" s="58"/>
      <c r="Q36" s="58"/>
      <c r="R36" s="58">
        <v>2</v>
      </c>
      <c r="S36" s="58">
        <v>2</v>
      </c>
      <c r="T36" s="58">
        <v>2</v>
      </c>
      <c r="U36" s="58">
        <v>2</v>
      </c>
      <c r="V36" s="58">
        <v>2</v>
      </c>
      <c r="W36" s="58">
        <v>2</v>
      </c>
      <c r="X36" s="58"/>
      <c r="Y36" s="58"/>
      <c r="Z36" s="58"/>
      <c r="AA36" s="58">
        <v>-2</v>
      </c>
      <c r="AB36" s="58">
        <v>2</v>
      </c>
      <c r="AC36" s="58"/>
      <c r="AD36" s="58"/>
      <c r="AE36" s="58">
        <v>71</v>
      </c>
      <c r="AF36" s="58"/>
      <c r="AG36" s="58"/>
      <c r="AH36" s="58"/>
      <c r="AI36" s="58"/>
      <c r="AJ36" s="58"/>
      <c r="AK36" s="58"/>
      <c r="AL36" s="58"/>
      <c r="AM36" s="58"/>
      <c r="AN36" s="58"/>
      <c r="AO36" s="58"/>
      <c r="AP36" s="58"/>
    </row>
    <row r="37" spans="1:42">
      <c r="A37" s="58" t="s">
        <v>5768</v>
      </c>
      <c r="B37" s="58"/>
      <c r="C37" s="58"/>
      <c r="D37" s="58"/>
      <c r="E37" s="58"/>
      <c r="F37" s="58"/>
      <c r="G37" s="58"/>
      <c r="H37" s="58"/>
      <c r="I37" s="58" t="s">
        <v>5657</v>
      </c>
      <c r="J37" s="58"/>
      <c r="K37" s="58"/>
      <c r="L37" s="58"/>
      <c r="M37" s="58"/>
      <c r="N37" s="58"/>
      <c r="O37" s="58"/>
      <c r="P37" s="58"/>
      <c r="Q37" s="58"/>
      <c r="R37" s="58">
        <v>-1</v>
      </c>
      <c r="S37" s="58">
        <v>-1</v>
      </c>
      <c r="T37" s="58">
        <v>-1</v>
      </c>
      <c r="U37" s="58">
        <v>-1</v>
      </c>
      <c r="V37" s="58">
        <v>-1</v>
      </c>
      <c r="W37" s="58">
        <v>-1</v>
      </c>
      <c r="X37" s="58"/>
      <c r="Y37" s="58"/>
      <c r="Z37" s="58"/>
      <c r="AA37" s="58">
        <v>2</v>
      </c>
      <c r="AB37" s="58">
        <v>0</v>
      </c>
      <c r="AC37" s="58"/>
      <c r="AD37" s="58">
        <v>-3</v>
      </c>
      <c r="AE37" s="58">
        <v>4</v>
      </c>
      <c r="AF37" s="58">
        <v>-30</v>
      </c>
      <c r="AG37" s="58">
        <v>-0.3</v>
      </c>
      <c r="AH37" s="58"/>
      <c r="AI37" s="58"/>
      <c r="AJ37" s="58"/>
      <c r="AK37" s="58"/>
      <c r="AL37" s="58"/>
      <c r="AM37" s="58"/>
      <c r="AN37" s="58"/>
      <c r="AO37" s="58"/>
      <c r="AP37" s="58"/>
    </row>
    <row r="38" spans="1:42">
      <c r="A38" s="58" t="s">
        <v>5665</v>
      </c>
      <c r="B38" s="58"/>
      <c r="C38" s="58"/>
      <c r="D38" s="58"/>
      <c r="E38" s="58"/>
      <c r="F38" s="58"/>
      <c r="G38" s="58"/>
      <c r="H38" s="58"/>
      <c r="I38" s="58" t="s">
        <v>5657</v>
      </c>
      <c r="J38" s="58"/>
      <c r="K38" s="58"/>
      <c r="L38" s="58"/>
      <c r="M38" s="58"/>
      <c r="N38" s="58"/>
      <c r="O38" s="58"/>
      <c r="P38" s="58"/>
      <c r="Q38" s="58"/>
      <c r="R38" s="58">
        <v>1</v>
      </c>
      <c r="S38" s="58">
        <v>1</v>
      </c>
      <c r="T38" s="58">
        <v>1</v>
      </c>
      <c r="U38" s="58">
        <v>1</v>
      </c>
      <c r="V38" s="58">
        <v>1</v>
      </c>
      <c r="W38" s="58">
        <v>1</v>
      </c>
      <c r="X38" s="58"/>
      <c r="Y38" s="58"/>
      <c r="Z38" s="58"/>
      <c r="AA38" s="58">
        <v>-1</v>
      </c>
      <c r="AB38" s="58">
        <v>1</v>
      </c>
      <c r="AC38" s="58"/>
      <c r="AD38" s="58"/>
      <c r="AE38" s="58">
        <v>65</v>
      </c>
      <c r="AF38" s="58"/>
      <c r="AG38" s="58"/>
      <c r="AH38" s="58"/>
      <c r="AI38" s="58"/>
      <c r="AJ38" s="58"/>
      <c r="AK38" s="58"/>
      <c r="AL38" s="58"/>
      <c r="AM38" s="58"/>
      <c r="AN38" s="58"/>
      <c r="AO38" s="58"/>
      <c r="AP38" s="58"/>
    </row>
    <row r="39" spans="1:42">
      <c r="A39" s="58" t="s">
        <v>6501</v>
      </c>
      <c r="B39" s="58"/>
      <c r="C39" s="58"/>
      <c r="D39" s="58"/>
      <c r="E39" s="58" t="s">
        <v>7255</v>
      </c>
      <c r="F39" s="58"/>
      <c r="G39" s="58"/>
      <c r="H39" s="58"/>
      <c r="I39" s="58"/>
      <c r="J39" s="58"/>
      <c r="K39" s="58"/>
      <c r="L39" s="58"/>
      <c r="M39" s="58"/>
      <c r="N39" s="58"/>
      <c r="O39" s="58"/>
      <c r="P39" s="58"/>
      <c r="Q39" s="58"/>
      <c r="R39" s="58"/>
      <c r="S39" s="58"/>
      <c r="T39" s="58"/>
      <c r="U39" s="58"/>
      <c r="V39" s="58"/>
      <c r="W39" s="58"/>
      <c r="X39" s="58"/>
      <c r="Y39" s="58">
        <v>30</v>
      </c>
      <c r="Z39" s="58">
        <v>3</v>
      </c>
      <c r="AA39" s="58"/>
      <c r="AB39" s="58"/>
      <c r="AC39" s="58"/>
      <c r="AD39" s="58"/>
      <c r="AE39" s="58"/>
      <c r="AF39" s="58"/>
      <c r="AG39" s="58"/>
      <c r="AH39" s="58"/>
      <c r="AI39" s="58"/>
      <c r="AJ39" s="58"/>
      <c r="AK39" s="58"/>
      <c r="AL39" s="58"/>
      <c r="AM39" s="58"/>
      <c r="AN39" s="58"/>
      <c r="AO39" s="58"/>
      <c r="AP39" s="58"/>
    </row>
    <row r="40" spans="1:42">
      <c r="A40" s="58" t="s">
        <v>6509</v>
      </c>
      <c r="B40" s="58"/>
      <c r="C40" s="58" t="s">
        <v>7215</v>
      </c>
      <c r="D40" s="58" t="s">
        <v>7210</v>
      </c>
      <c r="E40" s="58"/>
      <c r="F40" s="58"/>
      <c r="G40" s="58"/>
      <c r="H40" s="58"/>
      <c r="I40" s="58"/>
      <c r="J40" s="58"/>
      <c r="K40" s="58"/>
      <c r="L40" s="58"/>
      <c r="M40" s="58"/>
      <c r="N40" s="58"/>
      <c r="O40" s="58"/>
      <c r="P40" s="58"/>
      <c r="Q40" s="58"/>
      <c r="R40" s="58"/>
      <c r="S40" s="58"/>
      <c r="T40" s="58"/>
      <c r="U40" s="58"/>
      <c r="V40" s="58"/>
      <c r="W40" s="58"/>
      <c r="X40" s="58"/>
      <c r="Y40" s="58"/>
      <c r="Z40" s="58"/>
      <c r="AA40" s="58"/>
      <c r="AB40" s="58">
        <v>-50</v>
      </c>
      <c r="AC40" s="58"/>
      <c r="AD40" s="58"/>
      <c r="AE40" s="58"/>
      <c r="AF40" s="58"/>
      <c r="AG40" s="58"/>
      <c r="AH40" s="58"/>
      <c r="AI40" s="58"/>
      <c r="AJ40" s="58"/>
      <c r="AK40" s="58"/>
      <c r="AL40" s="58"/>
      <c r="AM40" s="58"/>
      <c r="AN40" s="58"/>
      <c r="AO40" s="58"/>
      <c r="AP40" s="58"/>
    </row>
    <row r="41" spans="1:42">
      <c r="A41" s="58" t="s">
        <v>7228</v>
      </c>
      <c r="B41" s="58"/>
      <c r="C41" s="58" t="s">
        <v>7215</v>
      </c>
      <c r="D41" s="58" t="s">
        <v>7210</v>
      </c>
      <c r="E41" s="58"/>
      <c r="F41" s="58"/>
      <c r="G41" s="58"/>
      <c r="H41" s="58"/>
      <c r="I41" s="58"/>
      <c r="J41" s="58"/>
      <c r="K41" s="58"/>
      <c r="L41" s="58"/>
      <c r="M41" s="58"/>
      <c r="N41" s="58"/>
      <c r="O41" s="58">
        <v>1</v>
      </c>
      <c r="P41" s="58"/>
      <c r="Q41" s="58"/>
      <c r="R41" s="58">
        <v>-1</v>
      </c>
      <c r="S41" s="58"/>
      <c r="T41" s="58">
        <v>1</v>
      </c>
      <c r="U41" s="58">
        <v>2</v>
      </c>
      <c r="V41" s="58">
        <v>3</v>
      </c>
      <c r="W41" s="58">
        <v>4</v>
      </c>
      <c r="X41" s="58">
        <v>10</v>
      </c>
      <c r="Y41" s="58"/>
      <c r="Z41" s="58"/>
      <c r="AA41" s="58"/>
      <c r="AB41" s="58">
        <v>-15</v>
      </c>
      <c r="AC41" s="58"/>
      <c r="AD41" s="58">
        <v>2</v>
      </c>
      <c r="AE41" s="58"/>
      <c r="AF41" s="58"/>
      <c r="AG41" s="58"/>
      <c r="AH41" s="58"/>
      <c r="AI41" s="58"/>
      <c r="AJ41" s="58"/>
      <c r="AK41" s="58"/>
      <c r="AL41" s="58"/>
      <c r="AM41" s="58"/>
      <c r="AN41" s="58"/>
      <c r="AO41" s="58"/>
      <c r="AP41" s="58"/>
    </row>
    <row r="42" spans="1:42">
      <c r="A42" s="58" t="s">
        <v>7206</v>
      </c>
      <c r="B42" s="58"/>
      <c r="C42" s="58" t="s">
        <v>7215</v>
      </c>
      <c r="D42" s="58" t="s">
        <v>7210</v>
      </c>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row>
    <row r="43" spans="1:42">
      <c r="A43" s="58" t="s">
        <v>7220</v>
      </c>
      <c r="B43" s="58"/>
      <c r="C43" s="58" t="s">
        <v>7118</v>
      </c>
      <c r="D43" s="58" t="s">
        <v>7210</v>
      </c>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row>
    <row r="44" spans="1:42">
      <c r="A44" s="58" t="s">
        <v>7258</v>
      </c>
      <c r="B44" s="58"/>
      <c r="C44" s="58"/>
      <c r="D44" s="58"/>
      <c r="E44" s="58"/>
      <c r="F44" s="58"/>
      <c r="G44" s="58"/>
      <c r="H44" s="58"/>
      <c r="I44" s="58"/>
      <c r="J44" s="58" t="s">
        <v>5658</v>
      </c>
      <c r="K44" s="58"/>
      <c r="L44" s="58">
        <v>-1</v>
      </c>
      <c r="M44" s="58"/>
      <c r="N44" s="58"/>
      <c r="O44" s="58"/>
      <c r="P44" s="58"/>
      <c r="Q44" s="58"/>
      <c r="R44" s="58"/>
      <c r="S44" s="58"/>
      <c r="T44" s="58">
        <v>1</v>
      </c>
      <c r="U44" s="58">
        <v>1</v>
      </c>
      <c r="V44" s="58">
        <v>1</v>
      </c>
      <c r="W44" s="58">
        <v>1</v>
      </c>
      <c r="X44" s="58"/>
      <c r="Y44" s="58"/>
      <c r="Z44" s="58"/>
      <c r="AA44" s="58"/>
      <c r="AB44" s="58">
        <v>1</v>
      </c>
      <c r="AC44" s="58"/>
      <c r="AD44" s="58">
        <v>2</v>
      </c>
      <c r="AE44" s="58"/>
      <c r="AF44" s="58"/>
      <c r="AG44" s="58"/>
      <c r="AH44" s="58"/>
      <c r="AI44" s="58"/>
      <c r="AJ44" s="58"/>
      <c r="AK44" s="58"/>
      <c r="AL44" s="58"/>
      <c r="AM44" s="58"/>
      <c r="AN44" s="58"/>
      <c r="AO44" s="58"/>
      <c r="AP44" s="58"/>
    </row>
    <row r="45" spans="1:42">
      <c r="A45" s="58" t="s">
        <v>7259</v>
      </c>
      <c r="B45" s="58"/>
      <c r="C45" s="58"/>
      <c r="D45" s="58"/>
      <c r="E45" s="58"/>
      <c r="F45" s="58"/>
      <c r="G45" s="58"/>
      <c r="H45" s="58"/>
      <c r="I45" s="58"/>
      <c r="J45" s="58" t="s">
        <v>5658</v>
      </c>
      <c r="K45" s="58"/>
      <c r="L45" s="58">
        <v>-2</v>
      </c>
      <c r="M45" s="58"/>
      <c r="N45" s="58"/>
      <c r="O45" s="58"/>
      <c r="P45" s="58"/>
      <c r="Q45" s="58"/>
      <c r="R45" s="58"/>
      <c r="S45" s="58">
        <v>1</v>
      </c>
      <c r="T45" s="58">
        <v>2</v>
      </c>
      <c r="U45" s="58">
        <v>2</v>
      </c>
      <c r="V45" s="58">
        <v>2</v>
      </c>
      <c r="W45" s="58">
        <v>2</v>
      </c>
      <c r="X45" s="58"/>
      <c r="Y45" s="58"/>
      <c r="Z45" s="58"/>
      <c r="AA45" s="58"/>
      <c r="AB45" s="58">
        <v>1</v>
      </c>
      <c r="AC45" s="58"/>
      <c r="AD45" s="58">
        <v>4</v>
      </c>
      <c r="AE45" s="58"/>
      <c r="AF45" s="58"/>
      <c r="AG45" s="58"/>
      <c r="AH45" s="58"/>
      <c r="AI45" s="58"/>
      <c r="AJ45" s="58"/>
      <c r="AK45" s="58"/>
      <c r="AL45" s="58"/>
      <c r="AM45" s="58"/>
      <c r="AN45" s="58"/>
      <c r="AO45" s="58"/>
      <c r="AP45" s="58"/>
    </row>
    <row r="46" spans="1:42">
      <c r="A46" s="58" t="s">
        <v>5748</v>
      </c>
      <c r="B46" s="58"/>
      <c r="C46" s="58"/>
      <c r="D46" s="58"/>
      <c r="E46" s="58"/>
      <c r="F46" s="58"/>
      <c r="G46" s="58"/>
      <c r="H46" s="58"/>
      <c r="I46" s="58"/>
      <c r="J46" s="58" t="s">
        <v>5658</v>
      </c>
      <c r="K46" s="58"/>
      <c r="L46" s="58"/>
      <c r="M46" s="58"/>
      <c r="N46" s="58"/>
      <c r="O46" s="58"/>
      <c r="P46" s="58"/>
      <c r="Q46" s="58"/>
      <c r="R46" s="58"/>
      <c r="S46" s="58"/>
      <c r="T46" s="58"/>
      <c r="U46" s="58"/>
      <c r="V46" s="58"/>
      <c r="W46" s="58"/>
      <c r="X46" s="58"/>
      <c r="Y46" s="58"/>
      <c r="Z46" s="58"/>
      <c r="AA46" s="58"/>
      <c r="AB46" s="58">
        <v>0</v>
      </c>
      <c r="AC46" s="58"/>
      <c r="AD46" s="58"/>
      <c r="AE46" s="58"/>
      <c r="AF46" s="58"/>
      <c r="AG46" s="58"/>
      <c r="AH46" s="58"/>
      <c r="AI46" s="58"/>
      <c r="AJ46" s="58"/>
      <c r="AK46" s="58"/>
      <c r="AL46" s="58"/>
      <c r="AM46" s="58"/>
      <c r="AN46" s="58"/>
      <c r="AO46" s="58"/>
      <c r="AP46" s="58"/>
    </row>
    <row r="47" spans="1:42">
      <c r="A47" s="58" t="s">
        <v>7217</v>
      </c>
      <c r="B47" s="58"/>
      <c r="C47" s="58" t="s">
        <v>7215</v>
      </c>
      <c r="D47" s="58"/>
      <c r="E47" s="58"/>
      <c r="F47" s="58"/>
      <c r="G47" s="58" t="s">
        <v>7212</v>
      </c>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row>
    <row r="48" spans="1:42">
      <c r="A48" s="58" t="s">
        <v>7217</v>
      </c>
      <c r="B48" s="58"/>
      <c r="C48" s="58" t="s">
        <v>7118</v>
      </c>
      <c r="D48" s="58"/>
      <c r="E48" s="58"/>
      <c r="F48" s="58"/>
      <c r="G48" s="58" t="s">
        <v>7212</v>
      </c>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row>
    <row r="49" spans="1:42">
      <c r="A49" s="58" t="s">
        <v>7216</v>
      </c>
      <c r="B49" s="58"/>
      <c r="C49" s="58"/>
      <c r="D49" s="58"/>
      <c r="E49" s="58"/>
      <c r="F49" s="58" t="s">
        <v>7211</v>
      </c>
      <c r="G49" s="58"/>
      <c r="H49" s="58"/>
      <c r="I49" s="58"/>
      <c r="J49" s="58"/>
      <c r="K49" s="58"/>
      <c r="L49" s="58"/>
      <c r="M49" s="58"/>
      <c r="N49" s="58"/>
      <c r="O49" s="58"/>
      <c r="P49" s="58"/>
      <c r="Q49" s="58"/>
      <c r="R49" s="58">
        <v>-1</v>
      </c>
      <c r="S49" s="58">
        <v>-1</v>
      </c>
      <c r="T49" s="58">
        <v>-1</v>
      </c>
      <c r="U49" s="58">
        <v>-1</v>
      </c>
      <c r="V49" s="58">
        <v>-1</v>
      </c>
      <c r="W49" s="58">
        <v>-1</v>
      </c>
      <c r="X49" s="58"/>
      <c r="Y49" s="58">
        <v>1</v>
      </c>
      <c r="Z49" s="58"/>
      <c r="AA49" s="58">
        <v>1</v>
      </c>
      <c r="AB49" s="58"/>
      <c r="AC49" s="58"/>
      <c r="AD49" s="58">
        <v>-1</v>
      </c>
      <c r="AE49" s="58"/>
      <c r="AF49" s="58"/>
      <c r="AG49" s="58"/>
      <c r="AH49" s="58"/>
      <c r="AI49" s="58"/>
      <c r="AJ49" s="58"/>
      <c r="AK49" s="58"/>
      <c r="AL49" s="58"/>
      <c r="AM49" s="58"/>
      <c r="AN49" s="58"/>
      <c r="AO49" s="58"/>
      <c r="AP49" s="58"/>
    </row>
    <row r="50" spans="1:42">
      <c r="A50" s="58" t="s">
        <v>7223</v>
      </c>
      <c r="B50" s="58"/>
      <c r="C50" s="58"/>
      <c r="D50" s="58"/>
      <c r="E50" s="58"/>
      <c r="F50" s="58" t="s">
        <v>7211</v>
      </c>
      <c r="G50" s="58"/>
      <c r="H50" s="58"/>
      <c r="I50" s="58"/>
      <c r="J50" s="58"/>
      <c r="K50" s="58"/>
      <c r="L50" s="58"/>
      <c r="M50" s="58"/>
      <c r="N50" s="58"/>
      <c r="O50" s="58"/>
      <c r="P50" s="58"/>
      <c r="Q50" s="58"/>
      <c r="R50" s="58">
        <v>2</v>
      </c>
      <c r="S50" s="58">
        <v>2</v>
      </c>
      <c r="T50" s="58">
        <v>2</v>
      </c>
      <c r="U50" s="58">
        <v>2</v>
      </c>
      <c r="V50" s="58">
        <v>2</v>
      </c>
      <c r="W50" s="58">
        <v>2</v>
      </c>
      <c r="X50" s="58"/>
      <c r="Y50" s="58"/>
      <c r="Z50" s="58"/>
      <c r="AA50" s="58">
        <v>-2</v>
      </c>
      <c r="AB50" s="58">
        <v>-15</v>
      </c>
      <c r="AC50" s="58"/>
      <c r="AD50" s="58">
        <v>2</v>
      </c>
      <c r="AE50" s="58"/>
      <c r="AF50" s="58"/>
      <c r="AG50" s="58"/>
      <c r="AH50" s="58"/>
      <c r="AI50" s="58"/>
      <c r="AJ50" s="58"/>
      <c r="AK50" s="58"/>
      <c r="AL50" s="58"/>
      <c r="AM50" s="58"/>
      <c r="AN50" s="58"/>
      <c r="AO50" s="58"/>
      <c r="AP50" s="58"/>
    </row>
    <row r="51" spans="1:42">
      <c r="A51" s="58" t="s">
        <v>7229</v>
      </c>
      <c r="B51" s="58"/>
      <c r="C51" s="58"/>
      <c r="D51" s="58"/>
      <c r="E51" s="58"/>
      <c r="F51" s="58" t="s">
        <v>7211</v>
      </c>
      <c r="G51" s="58"/>
      <c r="H51" s="58"/>
      <c r="I51" s="58"/>
      <c r="J51" s="58"/>
      <c r="K51" s="58"/>
      <c r="L51" s="58"/>
      <c r="M51" s="58"/>
      <c r="N51" s="58"/>
      <c r="O51" s="58"/>
      <c r="P51" s="58"/>
      <c r="Q51" s="58"/>
      <c r="R51" s="58">
        <v>1</v>
      </c>
      <c r="S51" s="58">
        <v>1</v>
      </c>
      <c r="T51" s="58">
        <v>1</v>
      </c>
      <c r="U51" s="58">
        <v>1</v>
      </c>
      <c r="V51" s="58">
        <v>1</v>
      </c>
      <c r="W51" s="58">
        <v>1</v>
      </c>
      <c r="X51" s="58"/>
      <c r="Y51" s="58">
        <v>-1</v>
      </c>
      <c r="Z51" s="58"/>
      <c r="AA51" s="58">
        <v>-1</v>
      </c>
      <c r="AB51" s="58">
        <v>-10</v>
      </c>
      <c r="AC51" s="58"/>
      <c r="AD51" s="58">
        <v>1</v>
      </c>
      <c r="AE51" s="58"/>
      <c r="AF51" s="58"/>
      <c r="AG51" s="58"/>
      <c r="AH51" s="58"/>
      <c r="AI51" s="58"/>
      <c r="AJ51" s="58"/>
      <c r="AK51" s="58"/>
      <c r="AL51" s="58"/>
      <c r="AM51" s="58"/>
      <c r="AN51" s="58"/>
      <c r="AO51" s="58"/>
      <c r="AP51" s="58"/>
    </row>
    <row r="52" spans="1:42">
      <c r="A52" s="58" t="s">
        <v>7232</v>
      </c>
      <c r="B52" s="58"/>
      <c r="C52" s="58"/>
      <c r="D52" s="58"/>
      <c r="E52" s="58"/>
      <c r="F52" s="58" t="s">
        <v>7211</v>
      </c>
      <c r="G52" s="58"/>
      <c r="H52" s="58"/>
      <c r="I52" s="58"/>
      <c r="J52" s="58"/>
      <c r="K52" s="58"/>
      <c r="L52" s="58"/>
      <c r="M52" s="58"/>
      <c r="N52" s="58"/>
      <c r="O52" s="58"/>
      <c r="P52" s="58"/>
      <c r="Q52" s="58"/>
      <c r="R52" s="58">
        <v>2</v>
      </c>
      <c r="S52" s="58">
        <v>2</v>
      </c>
      <c r="T52" s="58">
        <v>2</v>
      </c>
      <c r="U52" s="58">
        <v>2</v>
      </c>
      <c r="V52" s="58">
        <v>2</v>
      </c>
      <c r="W52" s="58">
        <v>2</v>
      </c>
      <c r="X52" s="58"/>
      <c r="Y52" s="58">
        <v>3</v>
      </c>
      <c r="Z52" s="58"/>
      <c r="AA52" s="58"/>
      <c r="AB52" s="58">
        <v>-30</v>
      </c>
      <c r="AC52" s="58"/>
      <c r="AD52" s="58">
        <v>10</v>
      </c>
      <c r="AE52" s="58"/>
      <c r="AF52" s="58"/>
      <c r="AG52" s="58"/>
      <c r="AH52" s="58"/>
      <c r="AI52" s="58"/>
      <c r="AJ52" s="58"/>
      <c r="AK52" s="58"/>
      <c r="AL52" s="58"/>
      <c r="AM52" s="58"/>
      <c r="AN52" s="58"/>
      <c r="AO52" s="58"/>
      <c r="AP52" s="58"/>
    </row>
    <row r="53" spans="1:42">
      <c r="A53" s="58" t="s">
        <v>7224</v>
      </c>
      <c r="B53" s="58"/>
      <c r="C53" s="58"/>
      <c r="D53" s="58"/>
      <c r="E53" s="58"/>
      <c r="F53" s="58" t="s">
        <v>7211</v>
      </c>
      <c r="G53" s="58"/>
      <c r="H53" s="58"/>
      <c r="I53" s="58"/>
      <c r="J53" s="58"/>
      <c r="K53" s="58"/>
      <c r="L53" s="58"/>
      <c r="M53" s="58"/>
      <c r="N53" s="58"/>
      <c r="O53" s="58"/>
      <c r="P53" s="58"/>
      <c r="Q53" s="58"/>
      <c r="R53" s="58">
        <v>2</v>
      </c>
      <c r="S53" s="58">
        <v>2</v>
      </c>
      <c r="T53" s="58">
        <v>2</v>
      </c>
      <c r="U53" s="58">
        <v>2</v>
      </c>
      <c r="V53" s="58">
        <v>2</v>
      </c>
      <c r="W53" s="58">
        <v>2</v>
      </c>
      <c r="X53" s="58"/>
      <c r="Y53" s="58"/>
      <c r="Z53" s="58"/>
      <c r="AA53" s="58">
        <v>-3</v>
      </c>
      <c r="AB53" s="58">
        <v>-20</v>
      </c>
      <c r="AC53" s="58"/>
      <c r="AD53" s="58">
        <v>3</v>
      </c>
      <c r="AE53" s="58"/>
      <c r="AF53" s="58"/>
      <c r="AG53" s="58"/>
      <c r="AH53" s="58"/>
      <c r="AI53" s="58"/>
      <c r="AJ53" s="58"/>
      <c r="AK53" s="58"/>
      <c r="AL53" s="58"/>
      <c r="AM53" s="58"/>
      <c r="AN53" s="58"/>
      <c r="AO53" s="58"/>
      <c r="AP53" s="58"/>
    </row>
    <row r="54" spans="1:42">
      <c r="A54" s="58" t="s">
        <v>7221</v>
      </c>
      <c r="B54" s="58"/>
      <c r="C54" s="58"/>
      <c r="D54" s="58"/>
      <c r="E54" s="58"/>
      <c r="F54" s="58" t="s">
        <v>7211</v>
      </c>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48</vt:i4>
      </vt:variant>
    </vt:vector>
  </HeadingPairs>
  <TitlesOfParts>
    <vt:vector size="48" baseType="lpstr">
      <vt:lpstr>Werte</vt:lpstr>
      <vt:lpstr>EP-Stufe-Kreis</vt:lpstr>
      <vt:lpstr>WHK-Spez-Kosten</vt:lpstr>
      <vt:lpstr>Eigenschaften-Kosten</vt:lpstr>
      <vt:lpstr>Voelker-Maxima</vt:lpstr>
      <vt:lpstr>PSI-Zauberstufen</vt:lpstr>
      <vt:lpstr>KI-Baum-Kanten</vt:lpstr>
      <vt:lpstr>Preisliste</vt:lpstr>
      <vt:lpstr>Alchemika</vt:lpstr>
      <vt:lpstr>Ruestungstabelle</vt:lpstr>
      <vt:lpstr>NK-Material</vt:lpstr>
      <vt:lpstr>NK-Anpassung</vt:lpstr>
      <vt:lpstr>NK-Schaftmaterial</vt:lpstr>
      <vt:lpstr>NK-Fertigung</vt:lpstr>
      <vt:lpstr>NK-Waffen-Basis</vt:lpstr>
      <vt:lpstr>Entwickeln</vt:lpstr>
      <vt:lpstr>Schild-Material</vt:lpstr>
      <vt:lpstr>Schild-Fertigung</vt:lpstr>
      <vt:lpstr>Schild-Bespannung</vt:lpstr>
      <vt:lpstr>Schild-Verplatung</vt:lpstr>
      <vt:lpstr>Artefakt-Magus-Faehigkeiten</vt:lpstr>
      <vt:lpstr>Artefakt-Seelensteine</vt:lpstr>
      <vt:lpstr>Artefakt-Manamultiplikator</vt:lpstr>
      <vt:lpstr>Artefakt-Basis</vt:lpstr>
      <vt:lpstr>Artefakt-Kosten</vt:lpstr>
      <vt:lpstr>Verfuegbarkeit-Modifikatoren</vt:lpstr>
      <vt:lpstr>Ruestung-Basis</vt:lpstr>
      <vt:lpstr>Ruestung-Addons</vt:lpstr>
      <vt:lpstr>Ruestung-Verarbeitung</vt:lpstr>
      <vt:lpstr>Ruestung-Anpassung</vt:lpstr>
      <vt:lpstr>Munition-Feuerwaffen</vt:lpstr>
      <vt:lpstr>Munition-Ressourcen</vt:lpstr>
      <vt:lpstr>Boegen-Basis</vt:lpstr>
      <vt:lpstr>Pfeile-Basis</vt:lpstr>
      <vt:lpstr>Armbrust-Basis</vt:lpstr>
      <vt:lpstr>Bolzen-Basis</vt:lpstr>
      <vt:lpstr>Runengewehr-Basis</vt:lpstr>
      <vt:lpstr>Runengewehr-Munition</vt:lpstr>
      <vt:lpstr>Runengewehr-Gewehrrunen</vt:lpstr>
      <vt:lpstr>Sprachstufe-Kosten</vt:lpstr>
      <vt:lpstr>Kulturstufe-Kosten</vt:lpstr>
      <vt:lpstr>Boegen</vt:lpstr>
      <vt:lpstr>Armbrust</vt:lpstr>
      <vt:lpstr>Feuerwaffen-Munition</vt:lpstr>
      <vt:lpstr>Pfeile</vt:lpstr>
      <vt:lpstr>Bolzen</vt:lpstr>
      <vt:lpstr>Feuerwaffen</vt:lpstr>
      <vt:lpstr>Feuerwaffen-Ressourcen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Jö</cp:lastModifiedBy>
  <dcterms:modified xsi:type="dcterms:W3CDTF">2026-07-19T23:52:57Z</dcterms:modified>
</cp:coreProperties>
</file>