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E:\Das Western Rollenspiel\LLM\"/>
    </mc:Choice>
  </mc:AlternateContent>
  <xr:revisionPtr revIDLastSave="0" documentId="8_{CB731CCA-C1F7-436B-83FB-8F0F7D5A09AC}" xr6:coauthVersionLast="47" xr6:coauthVersionMax="47" xr10:uidLastSave="{00000000-0000-0000-0000-000000000000}"/>
  <bookViews>
    <workbookView xWindow="25695" yWindow="0" windowWidth="26010" windowHeight="21705" tabRatio="630" xr2:uid="{00000000-000D-0000-FFFF-FFFF00000000}"/>
  </bookViews>
  <sheets>
    <sheet name="NPC-Rechner" sheetId="1" r:id="rId1"/>
    <sheet name="Talente" sheetId="17" r:id="rId2"/>
    <sheet name="Elementar-Rechner" sheetId="7" r:id="rId3"/>
    <sheet name="Ressourcen" sheetId="3" r:id="rId4"/>
    <sheet name="S.1" sheetId="14" r:id="rId5"/>
    <sheet name="Sheet2" sheetId="15" r:id="rId6"/>
    <sheet name="NPC-Ausgabe" sheetId="18" r:id="rId7"/>
    <sheet name="RS-Sheet" sheetId="19" r:id="rId8"/>
  </sheets>
  <externalReferences>
    <externalReference r:id="rId9"/>
  </externalReferences>
  <definedNames>
    <definedName name="_xlnm._FilterDatabase" localSheetId="0" hidden="1">'NPC-Rechner'!$A$251:$G$312</definedName>
    <definedName name="_xlnm._FilterDatabase" localSheetId="1" hidden="1">Talente!$A$1:$F$158</definedName>
    <definedName name="Ath">'NPC-Rechner'!$N$6</definedName>
    <definedName name="athb">'NPC-Rechner'!$O$6</definedName>
    <definedName name="Aur">'NPC-Rechner'!$E$8</definedName>
    <definedName name="Aus">'NPC-Rechner'!$I$6</definedName>
    <definedName name="ausb">'NPC-Rechner'!$J$6</definedName>
    <definedName name="ausdauer">'NPC-Rechner'!$Y$28</definedName>
    <definedName name="ausdauerw">'NPC-Rechner'!$S$8</definedName>
    <definedName name="AW">'NPC-Rechner'!$Y$20</definedName>
    <definedName name="bearme">'RS-Sheet'!$F$23</definedName>
    <definedName name="bebeine">'RS-Sheet'!$F$31</definedName>
    <definedName name="bekopf">'RS-Sheet'!$F$7</definedName>
    <definedName name="betorso">'RS-Sheet'!$F$15</definedName>
    <definedName name="dauerE">'NPC-Rechner'!$T$21</definedName>
    <definedName name="dauerl">'NPC-Rechner'!$AD$25</definedName>
    <definedName name="defaw">'NPC-Rechner'!$G$14</definedName>
    <definedName name="ep">'NPC-Rechner'!$AO$4</definedName>
    <definedName name="epfrei">'NPC-Rechner'!$AO$6</definedName>
    <definedName name="Flieg">'NPC-Rechner'!$AD$20</definedName>
    <definedName name="Fliege">'NPC-Rechner'!$AD$20</definedName>
    <definedName name="Fliegen">'NPC-Rechner'!$AD$20</definedName>
    <definedName name="gAW">'NPC-Rechner'!$Y$21</definedName>
    <definedName name="gawwert">'NPC-Rechner'!$G$15</definedName>
    <definedName name="GBE">'NPC-Rechner'!$S$13</definedName>
    <definedName name="gefins">'NPC-Rechner'!$Y$33</definedName>
    <definedName name="Ges">'NPC-Rechner'!$N$7</definedName>
    <definedName name="GesamteTAP">Talente!$D$146</definedName>
    <definedName name="gesb">'NPC-Rechner'!$O$7</definedName>
    <definedName name="gesundheit">'NPC-Rechner'!$E$20</definedName>
    <definedName name="glü">'NPC-Rechner'!$E$6</definedName>
    <definedName name="Hauszauber">'NPC-Rechner'!$AO$13</definedName>
    <definedName name="hochsp">'NPC-Rechner'!$N$29</definedName>
    <definedName name="ini">'NPC-Rechner'!$G$17</definedName>
    <definedName name="Int">'NPC-Rechner'!$I$7</definedName>
    <definedName name="intb">'NPC-Rechner'!$J$7</definedName>
    <definedName name="kar">'NPC-Rechner'!$E$10</definedName>
    <definedName name="Klett">'NPC-Rechner'!$AD$21</definedName>
    <definedName name="Klettern">'NPC-Rechner'!$AD$21</definedName>
    <definedName name="Koerp">'NPC-Rechner'!$AD$22</definedName>
    <definedName name="Koerperb">'NPC-Rechner'!$AD$22</definedName>
    <definedName name="Kon">'NPC-Rechner'!$N$8</definedName>
    <definedName name="konb">'NPC-Rechner'!$O$8</definedName>
    <definedName name="Konzentration">'NPC-Rechner'!$Y$29</definedName>
    <definedName name="kr">'NPC-Rechner'!$C$6</definedName>
    <definedName name="LEbrust">'NPC-Rechner'!$E$22</definedName>
    <definedName name="LEkopf">'NPC-Rechner'!$E$21</definedName>
    <definedName name="LElarm">'NPC-Rechner'!$E$25</definedName>
    <definedName name="lelbein">'NPC-Rechner'!$E$27</definedName>
    <definedName name="LErarm">'NPC-Rechner'!$E$24</definedName>
    <definedName name="lerbein">'NPC-Rechner'!$E$26</definedName>
    <definedName name="LEunter">'NPC-Rechner'!$E$23</definedName>
    <definedName name="lufta">'NPC-Rechner'!$AD$26</definedName>
    <definedName name="ma">'NPC-Rechner'!$C$8</definedName>
    <definedName name="mag">'NPC-Rechner'!$E$9</definedName>
    <definedName name="MagierTAP">Talente!$D$147</definedName>
    <definedName name="Manataw">'NPC-Rechner'!$Y$31</definedName>
    <definedName name="mAW">'NPC-Rechner'!$Y$22</definedName>
    <definedName name="mawwert">'NPC-Rechner'!$G$16</definedName>
    <definedName name="mk">'NPC-Rechner'!$C$10</definedName>
    <definedName name="MKTaW">'NPC-Rechner'!$Y$32</definedName>
    <definedName name="mn">'NPC-Rechner'!$C$9</definedName>
    <definedName name="Mut">'NPC-Rechner'!$I$8</definedName>
    <definedName name="mutb">'NPC-Rechner'!$J$8</definedName>
    <definedName name="offaw">'NPC-Rechner'!$G$13</definedName>
    <definedName name="reite">'NPC-Rechner'!$AD$27</definedName>
    <definedName name="RS">'NPC-Rechner'!$Y$25</definedName>
    <definedName name="rsarme">'RS-Sheet'!$E$23</definedName>
    <definedName name="rsbeine">'RS-Sheet'!$E$31</definedName>
    <definedName name="rskopf">'RS-Sheet'!$E$7</definedName>
    <definedName name="rstorso">'RS-Sheet'!$E$15</definedName>
    <definedName name="SB">'NPC-Rechner'!$Y$26</definedName>
    <definedName name="sbwert">'NPC-Rechner'!$G$18</definedName>
    <definedName name="Sch">'NPC-Rechner'!$N$9</definedName>
    <definedName name="schb">'NPC-Rechner'!$O$9</definedName>
    <definedName name="schwi">'NPC-Rechner'!$AD$30</definedName>
    <definedName name="Sin">'NPC-Rechner'!$I$9</definedName>
    <definedName name="sinb">'NPC-Rechner'!$J$9</definedName>
    <definedName name="sprin">'NPC-Rechner'!$AD$23</definedName>
    <definedName name="spring">'NPC-Rechner'!$AD$23</definedName>
    <definedName name="springe">'NPC-Rechner'!$AD$23</definedName>
    <definedName name="Sprint">'NPC-Rechner'!$AD$24</definedName>
    <definedName name="sprintE">'NPC-Rechner'!$T$22</definedName>
    <definedName name="st">'NPC-Rechner'!$C$7</definedName>
    <definedName name="Stä">'NPC-Rechner'!$N$10</definedName>
    <definedName name="stäb">'NPC-Rechner'!$O$10</definedName>
    <definedName name="TaP">'NPC-Rechner'!$AO$10</definedName>
    <definedName name="tapkigute1">Talente!$E$36</definedName>
    <definedName name="tapkigute2">Talente!$E$37</definedName>
    <definedName name="tapzähbur1">Talente!$E$68</definedName>
    <definedName name="tapzähbur2">Talente!$E$69</definedName>
    <definedName name="tapzähbur3">Talente!$E$70</definedName>
    <definedName name="tragen">'NPC-Rechner'!$Y$27</definedName>
    <definedName name="vit">'NPC-Rechner'!$E$7</definedName>
    <definedName name="wei">'NPC-Rechner'!$E$10</definedName>
    <definedName name="weisheit">'NPC-Rechner'!$C$11</definedName>
    <definedName name="weitsp">'NPC-Rechner'!$N$32</definedName>
    <definedName name="werfen">'NPC-Rechner'!$Y$43</definedName>
    <definedName name="Wil">'NPC-Rechner'!$I$10</definedName>
    <definedName name="wilb">'NPC-Rechner'!$J$10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70" i="1" l="1"/>
  <c r="I65" i="1"/>
  <c r="I61" i="1"/>
  <c r="I58" i="1"/>
  <c r="G70" i="1"/>
  <c r="G65" i="1"/>
  <c r="G61" i="1"/>
  <c r="G58" i="1"/>
  <c r="B21" i="7" l="1"/>
  <c r="I6" i="1" l="1"/>
  <c r="I7" i="1"/>
  <c r="N8" i="1" l="1"/>
  <c r="N11" i="19" s="1"/>
  <c r="AP53" i="1" l="1"/>
  <c r="I16" i="14" l="1"/>
  <c r="AE53" i="1" l="1"/>
  <c r="AE55" i="1"/>
  <c r="N13" i="19" l="1"/>
  <c r="C31" i="19"/>
  <c r="I30" i="19"/>
  <c r="H30" i="19"/>
  <c r="G30" i="19"/>
  <c r="F30" i="19"/>
  <c r="E30" i="19"/>
  <c r="I29" i="19"/>
  <c r="H29" i="19"/>
  <c r="G29" i="19"/>
  <c r="F29" i="19"/>
  <c r="E29" i="19"/>
  <c r="I28" i="19"/>
  <c r="H28" i="19"/>
  <c r="G28" i="19"/>
  <c r="F28" i="19"/>
  <c r="E28" i="19"/>
  <c r="I27" i="19"/>
  <c r="H27" i="19"/>
  <c r="G27" i="19"/>
  <c r="F27" i="19"/>
  <c r="E27" i="19"/>
  <c r="I26" i="19"/>
  <c r="H26" i="19"/>
  <c r="G26" i="19"/>
  <c r="F26" i="19"/>
  <c r="E26" i="19"/>
  <c r="C23" i="19"/>
  <c r="I22" i="19"/>
  <c r="H22" i="19"/>
  <c r="G22" i="19"/>
  <c r="F22" i="19"/>
  <c r="E22" i="19"/>
  <c r="I21" i="19"/>
  <c r="H21" i="19"/>
  <c r="G21" i="19"/>
  <c r="F21" i="19"/>
  <c r="E21" i="19"/>
  <c r="I20" i="19"/>
  <c r="H20" i="19"/>
  <c r="G20" i="19"/>
  <c r="F20" i="19"/>
  <c r="E20" i="19"/>
  <c r="I19" i="19"/>
  <c r="H19" i="19"/>
  <c r="G19" i="19"/>
  <c r="F19" i="19"/>
  <c r="E19" i="19"/>
  <c r="I18" i="19"/>
  <c r="H18" i="19"/>
  <c r="G18" i="19"/>
  <c r="F18" i="19"/>
  <c r="E18" i="19"/>
  <c r="C15" i="19"/>
  <c r="I14" i="19"/>
  <c r="H14" i="19"/>
  <c r="G14" i="19"/>
  <c r="F14" i="19"/>
  <c r="E14" i="19"/>
  <c r="I13" i="19"/>
  <c r="H13" i="19"/>
  <c r="G13" i="19"/>
  <c r="F13" i="19"/>
  <c r="E13" i="19"/>
  <c r="I12" i="19"/>
  <c r="H12" i="19"/>
  <c r="G12" i="19"/>
  <c r="F12" i="19"/>
  <c r="E12" i="19"/>
  <c r="I11" i="19"/>
  <c r="H11" i="19"/>
  <c r="G11" i="19"/>
  <c r="F11" i="19"/>
  <c r="E11" i="19"/>
  <c r="I10" i="19"/>
  <c r="H10" i="19"/>
  <c r="G10" i="19"/>
  <c r="F10" i="19"/>
  <c r="E10" i="19"/>
  <c r="C7" i="19"/>
  <c r="I6" i="19"/>
  <c r="H6" i="19"/>
  <c r="G6" i="19"/>
  <c r="F6" i="19"/>
  <c r="E6" i="19"/>
  <c r="I5" i="19"/>
  <c r="H5" i="19"/>
  <c r="G5" i="19"/>
  <c r="F5" i="19"/>
  <c r="E5" i="19"/>
  <c r="I4" i="19"/>
  <c r="H4" i="19"/>
  <c r="G4" i="19"/>
  <c r="F4" i="19"/>
  <c r="E4" i="19"/>
  <c r="I3" i="19"/>
  <c r="H3" i="19"/>
  <c r="G3" i="19"/>
  <c r="F3" i="19"/>
  <c r="E3" i="19"/>
  <c r="I2" i="19"/>
  <c r="H2" i="19"/>
  <c r="G2" i="19"/>
  <c r="F2" i="19"/>
  <c r="E2" i="19"/>
  <c r="C27" i="18"/>
  <c r="C26" i="18"/>
  <c r="C25" i="18"/>
  <c r="C29" i="18"/>
  <c r="C28" i="18"/>
  <c r="L8" i="18"/>
  <c r="G31" i="19" l="1"/>
  <c r="F31" i="19"/>
  <c r="F23" i="19"/>
  <c r="G23" i="19"/>
  <c r="G15" i="19"/>
  <c r="F15" i="19"/>
  <c r="E31" i="19"/>
  <c r="F35" i="18" s="1"/>
  <c r="E23" i="19"/>
  <c r="F34" i="18" s="1"/>
  <c r="E15" i="19"/>
  <c r="F31" i="18" s="1"/>
  <c r="G7" i="19"/>
  <c r="F7" i="19"/>
  <c r="E7" i="19"/>
  <c r="F30" i="18" s="1"/>
  <c r="F36" i="18" l="1"/>
  <c r="F33" i="18"/>
  <c r="G34" i="19"/>
  <c r="F32" i="18"/>
  <c r="F34" i="19"/>
  <c r="AP95" i="1" l="1"/>
  <c r="AP94" i="1"/>
  <c r="AP92" i="1"/>
  <c r="AP89" i="1"/>
  <c r="AP87" i="1"/>
  <c r="C6" i="1" l="1"/>
  <c r="B8" i="18" s="1"/>
  <c r="I11" i="14" l="1"/>
  <c r="I15" i="14"/>
  <c r="B1" i="18"/>
  <c r="AE91" i="1"/>
  <c r="AE92" i="1"/>
  <c r="AE100" i="1"/>
  <c r="AE99" i="1"/>
  <c r="AE98" i="1"/>
  <c r="AE97" i="1"/>
  <c r="AE96" i="1"/>
  <c r="AE95" i="1"/>
  <c r="AE94" i="1"/>
  <c r="AE52" i="1"/>
  <c r="AB14" i="1"/>
  <c r="K18" i="3"/>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D35" i="17"/>
  <c r="D12" i="17"/>
  <c r="D13" i="17"/>
  <c r="D9" i="17"/>
  <c r="D10" i="17"/>
  <c r="D11" i="17"/>
  <c r="D29" i="17"/>
  <c r="D30" i="17"/>
  <c r="D31" i="17"/>
  <c r="D32" i="17"/>
  <c r="D5" i="17"/>
  <c r="D4" i="17"/>
  <c r="D8" i="17"/>
  <c r="D7" i="17"/>
  <c r="D6" i="17"/>
  <c r="D33" i="17"/>
  <c r="D25" i="17"/>
  <c r="D26" i="17"/>
  <c r="D27" i="17"/>
  <c r="D2" i="17"/>
  <c r="D3" i="17"/>
  <c r="D28" i="17"/>
  <c r="D16" i="17"/>
  <c r="D20" i="17"/>
  <c r="D18" i="17"/>
  <c r="D24" i="17"/>
  <c r="D21" i="17"/>
  <c r="D22" i="17"/>
  <c r="D15" i="17"/>
  <c r="D23" i="17"/>
  <c r="D19" i="17"/>
  <c r="D17" i="17"/>
  <c r="D14" i="17"/>
  <c r="D36" i="17"/>
  <c r="D37" i="17"/>
  <c r="D38" i="17"/>
  <c r="D39" i="17"/>
  <c r="D40" i="17"/>
  <c r="D41" i="17"/>
  <c r="D42" i="17"/>
  <c r="D43" i="17"/>
  <c r="D44" i="17"/>
  <c r="D56" i="17"/>
  <c r="D45" i="17"/>
  <c r="D46" i="17"/>
  <c r="D47" i="17"/>
  <c r="D48" i="17"/>
  <c r="D57" i="17"/>
  <c r="D58" i="17"/>
  <c r="D59" i="17"/>
  <c r="D60" i="17"/>
  <c r="D61" i="17"/>
  <c r="D62" i="17"/>
  <c r="D63" i="17"/>
  <c r="D64" i="17"/>
  <c r="D65" i="17"/>
  <c r="D67" i="17"/>
  <c r="D66" i="17"/>
  <c r="D68" i="17"/>
  <c r="D69" i="17"/>
  <c r="D70" i="17"/>
  <c r="D71" i="17"/>
  <c r="D72" i="17"/>
  <c r="D73" i="17"/>
  <c r="D74" i="17"/>
  <c r="D75" i="17"/>
  <c r="D76" i="17"/>
  <c r="D77" i="17"/>
  <c r="D55" i="17"/>
  <c r="D54" i="17"/>
  <c r="D51" i="17"/>
  <c r="D50" i="17"/>
  <c r="D53" i="17"/>
  <c r="D49" i="17"/>
  <c r="D52" i="17"/>
  <c r="D78" i="17"/>
  <c r="D79" i="17"/>
  <c r="D80" i="17"/>
  <c r="D86" i="17"/>
  <c r="D82" i="17"/>
  <c r="D81" i="17"/>
  <c r="D83" i="17"/>
  <c r="D84" i="17"/>
  <c r="D85" i="17"/>
  <c r="D87" i="17"/>
  <c r="D88" i="17"/>
  <c r="D89" i="17"/>
  <c r="D90" i="17"/>
  <c r="D91" i="17"/>
  <c r="D92" i="17"/>
  <c r="D93" i="17"/>
  <c r="D94" i="17"/>
  <c r="D95" i="17"/>
  <c r="D96" i="17"/>
  <c r="D97" i="17"/>
  <c r="D98" i="17"/>
  <c r="D99" i="17"/>
  <c r="D100" i="17"/>
  <c r="D101" i="17"/>
  <c r="D102" i="17"/>
  <c r="D103" i="17"/>
  <c r="D104" i="17"/>
  <c r="D105" i="17"/>
  <c r="D106" i="17"/>
  <c r="D107" i="17"/>
  <c r="D123" i="17"/>
  <c r="D125" i="17"/>
  <c r="D124" i="17"/>
  <c r="D127" i="17"/>
  <c r="D128" i="17"/>
  <c r="D126" i="17"/>
  <c r="D129" i="17"/>
  <c r="D130" i="17"/>
  <c r="D108" i="17"/>
  <c r="D109" i="17"/>
  <c r="D110" i="17"/>
  <c r="D111" i="17"/>
  <c r="D112" i="17"/>
  <c r="D113" i="17"/>
  <c r="D114" i="17"/>
  <c r="D115" i="17"/>
  <c r="D116" i="17"/>
  <c r="D117" i="17"/>
  <c r="D132" i="17"/>
  <c r="D133" i="17"/>
  <c r="D118" i="17"/>
  <c r="D119" i="17"/>
  <c r="D120" i="17"/>
  <c r="D121" i="17"/>
  <c r="D122" i="17"/>
  <c r="D144" i="17"/>
  <c r="D145" i="17"/>
  <c r="D131" i="17"/>
  <c r="D134" i="17"/>
  <c r="D135" i="17"/>
  <c r="D136" i="17"/>
  <c r="D137" i="17"/>
  <c r="D138" i="17"/>
  <c r="D139" i="17"/>
  <c r="D140" i="17"/>
  <c r="D141" i="17"/>
  <c r="D142" i="17"/>
  <c r="D143" i="17"/>
  <c r="D34" i="17"/>
  <c r="D146" i="17" l="1"/>
  <c r="AO8" i="1" s="1"/>
  <c r="D147" i="17"/>
  <c r="AO13" i="1" s="1"/>
  <c r="AO12" i="1" l="1"/>
  <c r="AP99" i="1" l="1"/>
  <c r="AE76" i="1"/>
  <c r="AE72" i="1"/>
  <c r="AE73" i="1"/>
  <c r="AP67" i="1"/>
  <c r="AP66" i="1"/>
  <c r="AP65" i="1"/>
  <c r="AP62" i="1"/>
  <c r="AP61" i="1"/>
  <c r="AP60" i="1"/>
  <c r="AP59" i="1"/>
  <c r="AP58" i="1"/>
  <c r="AP57" i="1"/>
  <c r="AP56" i="1"/>
  <c r="AP55" i="1"/>
  <c r="AP54" i="1"/>
  <c r="AP63" i="1"/>
  <c r="AP64" i="1"/>
  <c r="AP68" i="1"/>
  <c r="AP69" i="1"/>
  <c r="AP52" i="1"/>
  <c r="AP98" i="1"/>
  <c r="AP97" i="1"/>
  <c r="AP96" i="1"/>
  <c r="AP93" i="1"/>
  <c r="AP88" i="1"/>
  <c r="AP90" i="1"/>
  <c r="AP86" i="1"/>
  <c r="AP91" i="1"/>
  <c r="AP84" i="1"/>
  <c r="AP83" i="1"/>
  <c r="AP82" i="1"/>
  <c r="AP81" i="1"/>
  <c r="AP80" i="1"/>
  <c r="AP79" i="1"/>
  <c r="AP78" i="1"/>
  <c r="AP77" i="1"/>
  <c r="AP76" i="1"/>
  <c r="AP75" i="1"/>
  <c r="AP74" i="1"/>
  <c r="AP73" i="1"/>
  <c r="AP72" i="1"/>
  <c r="AP71" i="1"/>
  <c r="AE93" i="1"/>
  <c r="AE90" i="1"/>
  <c r="AE89" i="1"/>
  <c r="AE88" i="1"/>
  <c r="AE87" i="1"/>
  <c r="AE86" i="1"/>
  <c r="AE82" i="1"/>
  <c r="AE83" i="1"/>
  <c r="AE84" i="1"/>
  <c r="AE85" i="1"/>
  <c r="AE81" i="1"/>
  <c r="AE79" i="1"/>
  <c r="AE78" i="1"/>
  <c r="AE75" i="1"/>
  <c r="AE71" i="1"/>
  <c r="AE70" i="1"/>
  <c r="AE69" i="1"/>
  <c r="AE68" i="1"/>
  <c r="AE67" i="1"/>
  <c r="AE66" i="1"/>
  <c r="AE65" i="1"/>
  <c r="AE64" i="1"/>
  <c r="AE62" i="1"/>
  <c r="AE61" i="1"/>
  <c r="AE60" i="1"/>
  <c r="AE58" i="1"/>
  <c r="AE57" i="1"/>
  <c r="AE54" i="1"/>
  <c r="AE59"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03" i="1"/>
  <c r="AE103" i="1"/>
  <c r="U104" i="1"/>
  <c r="U105" i="1"/>
  <c r="U106" i="1"/>
  <c r="U107" i="1"/>
  <c r="U108"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9" i="1"/>
  <c r="U140" i="1"/>
  <c r="U141" i="1"/>
  <c r="U142" i="1"/>
  <c r="U143" i="1"/>
  <c r="U144" i="1"/>
  <c r="U145" i="1"/>
  <c r="U146" i="1"/>
  <c r="U147" i="1"/>
  <c r="U148" i="1"/>
  <c r="U149" i="1"/>
  <c r="U153" i="1"/>
  <c r="U154" i="1"/>
  <c r="U155" i="1"/>
  <c r="U156" i="1"/>
  <c r="U157" i="1"/>
  <c r="U158" i="1"/>
  <c r="U159" i="1"/>
  <c r="U160" i="1"/>
  <c r="U161" i="1"/>
  <c r="U162" i="1"/>
  <c r="U163" i="1"/>
  <c r="U164" i="1"/>
  <c r="U165" i="1"/>
  <c r="U166" i="1"/>
  <c r="U167" i="1"/>
  <c r="U168" i="1"/>
  <c r="U169" i="1"/>
  <c r="U170" i="1"/>
  <c r="U171" i="1"/>
  <c r="U172" i="1"/>
  <c r="U173" i="1"/>
  <c r="U174" i="1"/>
  <c r="U176" i="1"/>
  <c r="U177" i="1"/>
  <c r="U178" i="1"/>
  <c r="U179" i="1"/>
  <c r="U180" i="1"/>
  <c r="U181" i="1"/>
  <c r="U182" i="1"/>
  <c r="U183" i="1"/>
  <c r="U184" i="1"/>
  <c r="U185" i="1"/>
  <c r="U186" i="1"/>
  <c r="U187" i="1"/>
  <c r="U188" i="1"/>
  <c r="U189" i="1"/>
  <c r="U190" i="1"/>
  <c r="U191" i="1"/>
  <c r="U192" i="1"/>
  <c r="U193" i="1"/>
  <c r="U194" i="1"/>
  <c r="U195" i="1"/>
  <c r="U196" i="1"/>
  <c r="U197" i="1"/>
  <c r="U103" i="1"/>
  <c r="J197" i="1"/>
  <c r="J153" i="1"/>
  <c r="AB13" i="1"/>
  <c r="AB12" i="1"/>
  <c r="AJ13" i="1"/>
  <c r="B11" i="18" l="1"/>
  <c r="J7" i="1"/>
  <c r="AJ14" i="1"/>
  <c r="J104" i="1"/>
  <c r="J105" i="1"/>
  <c r="J106" i="1"/>
  <c r="J107" i="1"/>
  <c r="J108" i="1"/>
  <c r="J109" i="1"/>
  <c r="J110" i="1"/>
  <c r="J111" i="1"/>
  <c r="J112" i="1"/>
  <c r="J113" i="1"/>
  <c r="J114" i="1"/>
  <c r="J115" i="1"/>
  <c r="J116" i="1"/>
  <c r="J117" i="1"/>
  <c r="J118" i="1"/>
  <c r="J119" i="1"/>
  <c r="J120" i="1"/>
  <c r="J121" i="1"/>
  <c r="J122" i="1"/>
  <c r="J123"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AE104" i="1"/>
  <c r="AE105" i="1"/>
  <c r="AE106" i="1"/>
  <c r="AE107" i="1"/>
  <c r="AE108" i="1"/>
  <c r="AE109" i="1"/>
  <c r="AE110" i="1"/>
  <c r="AE111" i="1"/>
  <c r="AE112" i="1"/>
  <c r="AE113" i="1"/>
  <c r="AE114" i="1"/>
  <c r="AE115" i="1"/>
  <c r="AE116" i="1"/>
  <c r="AE117" i="1"/>
  <c r="AE118" i="1"/>
  <c r="AE119" i="1"/>
  <c r="AE120" i="1"/>
  <c r="AE121" i="1"/>
  <c r="AE122" i="1"/>
  <c r="AE123" i="1"/>
  <c r="AE124" i="1"/>
  <c r="AE125"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J154" i="1"/>
  <c r="J155" i="1"/>
  <c r="J156" i="1"/>
  <c r="J157" i="1"/>
  <c r="J158" i="1"/>
  <c r="J159" i="1"/>
  <c r="J160" i="1"/>
  <c r="J161" i="1"/>
  <c r="J162" i="1"/>
  <c r="J163" i="1"/>
  <c r="J164" i="1"/>
  <c r="J165" i="1"/>
  <c r="J166" i="1"/>
  <c r="J167" i="1"/>
  <c r="J168" i="1"/>
  <c r="J169" i="1"/>
  <c r="J170" i="1"/>
  <c r="J171" i="1"/>
  <c r="J172" i="1"/>
  <c r="J173" i="1"/>
  <c r="J174" i="1"/>
  <c r="J176" i="1"/>
  <c r="J177" i="1"/>
  <c r="J178" i="1"/>
  <c r="J179" i="1"/>
  <c r="J180" i="1"/>
  <c r="J181" i="1"/>
  <c r="J182" i="1"/>
  <c r="J183" i="1"/>
  <c r="J184" i="1"/>
  <c r="J185" i="1"/>
  <c r="J186" i="1"/>
  <c r="J187" i="1"/>
  <c r="J188" i="1"/>
  <c r="J189" i="1"/>
  <c r="J190" i="1"/>
  <c r="J191" i="1"/>
  <c r="J192" i="1"/>
  <c r="J193" i="1"/>
  <c r="J194" i="1"/>
  <c r="J195" i="1"/>
  <c r="J196" i="1"/>
  <c r="AE153" i="1"/>
  <c r="AE154" i="1"/>
  <c r="AE155" i="1"/>
  <c r="AE156" i="1"/>
  <c r="AE157" i="1"/>
  <c r="AE158" i="1"/>
  <c r="AE159" i="1"/>
  <c r="AE160" i="1"/>
  <c r="AE161" i="1"/>
  <c r="AE162" i="1"/>
  <c r="AE163" i="1"/>
  <c r="AE164" i="1"/>
  <c r="AE165" i="1"/>
  <c r="AE166" i="1"/>
  <c r="AE167" i="1"/>
  <c r="AE168" i="1"/>
  <c r="AE169" i="1"/>
  <c r="AE170" i="1"/>
  <c r="AE171" i="1"/>
  <c r="AE172" i="1"/>
  <c r="AE173" i="1"/>
  <c r="AE174" i="1"/>
  <c r="J103" i="1"/>
  <c r="AJ10" i="1" l="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Q95" i="1"/>
  <c r="Q94" i="1"/>
  <c r="Q93" i="1"/>
  <c r="Q92" i="1"/>
  <c r="Q91" i="1"/>
  <c r="Q90" i="1"/>
  <c r="Q89" i="1"/>
  <c r="Q88" i="1"/>
  <c r="Q87" i="1"/>
  <c r="Q86" i="1"/>
  <c r="Q85" i="1"/>
  <c r="Q84" i="1"/>
  <c r="Q83" i="1"/>
  <c r="G84" i="1"/>
  <c r="G85" i="1"/>
  <c r="G86" i="1"/>
  <c r="G87" i="1"/>
  <c r="G88" i="1"/>
  <c r="G89" i="1"/>
  <c r="G90" i="1"/>
  <c r="G91" i="1"/>
  <c r="G92" i="1"/>
  <c r="G93" i="1"/>
  <c r="G94" i="1"/>
  <c r="G95" i="1"/>
  <c r="G96" i="1"/>
  <c r="G97" i="1"/>
  <c r="G83" i="1"/>
  <c r="AJ12" i="1" l="1"/>
  <c r="Z4" i="1" l="1"/>
  <c r="C79" i="7"/>
  <c r="M23" i="7"/>
  <c r="L23" i="7"/>
  <c r="K23" i="7"/>
  <c r="J23" i="7"/>
  <c r="I23" i="7"/>
  <c r="H23" i="7"/>
  <c r="E23" i="7"/>
  <c r="M45" i="7"/>
  <c r="L45" i="7"/>
  <c r="K45" i="7"/>
  <c r="J45" i="7"/>
  <c r="I45" i="7"/>
  <c r="H45" i="7"/>
  <c r="E45" i="7"/>
  <c r="M49" i="7"/>
  <c r="J49" i="7"/>
  <c r="C49" i="7"/>
  <c r="B22" i="7" s="1"/>
  <c r="F46" i="7"/>
  <c r="I13" i="7" l="1"/>
  <c r="J13" i="7" s="1"/>
  <c r="I12" i="7"/>
  <c r="J12" i="7" s="1"/>
  <c r="D9" i="7"/>
  <c r="E9" i="7" s="1"/>
  <c r="M10" i="7"/>
  <c r="M11" i="7"/>
  <c r="M12" i="7"/>
  <c r="M13" i="7"/>
  <c r="M9" i="7"/>
  <c r="I10" i="7"/>
  <c r="D27" i="7" s="1"/>
  <c r="D10" i="7"/>
  <c r="E10" i="7" s="1"/>
  <c r="D12" i="7"/>
  <c r="D13" i="7"/>
  <c r="E13" i="7" s="1"/>
  <c r="E12" i="7"/>
  <c r="J10" i="7"/>
  <c r="B27" i="7" s="1"/>
  <c r="N6" i="1"/>
  <c r="N7" i="1"/>
  <c r="O8" i="1"/>
  <c r="AE5" i="1"/>
  <c r="AE6" i="1"/>
  <c r="AE7" i="1"/>
  <c r="AE8" i="1"/>
  <c r="AE4" i="1"/>
  <c r="Z5" i="1"/>
  <c r="Z6" i="1"/>
  <c r="Z7" i="1"/>
  <c r="Z8" i="1"/>
  <c r="N9" i="1"/>
  <c r="N10" i="1"/>
  <c r="I8" i="1"/>
  <c r="I9" i="1"/>
  <c r="I10" i="1"/>
  <c r="O6" i="1" l="1"/>
  <c r="N80" i="1"/>
  <c r="N79" i="1"/>
  <c r="B16" i="18"/>
  <c r="O7" i="1"/>
  <c r="B18" i="18"/>
  <c r="O9" i="1"/>
  <c r="J10" i="1"/>
  <c r="N78" i="1"/>
  <c r="N77" i="1"/>
  <c r="J9" i="1"/>
  <c r="G52" i="1"/>
  <c r="B10" i="18"/>
  <c r="J6" i="1"/>
  <c r="O10" i="1"/>
  <c r="N14" i="19"/>
  <c r="N15" i="19" s="1"/>
  <c r="J8" i="1"/>
  <c r="B12" i="18"/>
  <c r="B17" i="18"/>
  <c r="B19" i="18"/>
  <c r="N12" i="19"/>
  <c r="F26" i="18"/>
  <c r="T23" i="1"/>
  <c r="B15" i="18"/>
  <c r="T28" i="1"/>
  <c r="B14" i="18"/>
  <c r="B13" i="18"/>
  <c r="C24" i="18"/>
  <c r="N31" i="1"/>
  <c r="T25" i="1"/>
  <c r="T26" i="1"/>
  <c r="N25" i="1"/>
  <c r="N21" i="1"/>
  <c r="N26" i="1"/>
  <c r="N22" i="1"/>
  <c r="N27" i="1"/>
  <c r="N23" i="1"/>
  <c r="N24" i="1"/>
  <c r="N32" i="1"/>
  <c r="B23" i="18" s="1"/>
  <c r="N29" i="1"/>
  <c r="B22" i="18" s="1"/>
  <c r="T21" i="1"/>
  <c r="B21" i="18" s="1"/>
  <c r="N36" i="1"/>
  <c r="N30" i="1"/>
  <c r="T22" i="1"/>
  <c r="B20" i="18" s="1"/>
  <c r="N37" i="1"/>
  <c r="N34" i="1"/>
  <c r="N35" i="1"/>
  <c r="I52" i="1"/>
  <c r="S15" i="1"/>
  <c r="E24" i="1"/>
  <c r="E25" i="1"/>
  <c r="E26" i="1"/>
  <c r="E27" i="1"/>
  <c r="G17" i="1"/>
  <c r="F8" i="18" s="1"/>
  <c r="N16" i="19" l="1"/>
  <c r="F10" i="15"/>
  <c r="G35" i="18"/>
  <c r="F9" i="15"/>
  <c r="G36" i="18"/>
  <c r="F7" i="15"/>
  <c r="G34" i="18"/>
  <c r="F8" i="15"/>
  <c r="G33" i="18"/>
  <c r="E7" i="1"/>
  <c r="B5" i="18" s="1"/>
  <c r="E8" i="1"/>
  <c r="P12" i="14" s="1"/>
  <c r="E9" i="1"/>
  <c r="E10" i="1"/>
  <c r="P16" i="14" s="1"/>
  <c r="E6" i="1"/>
  <c r="C16" i="18"/>
  <c r="C17" i="18"/>
  <c r="C19" i="18"/>
  <c r="C11" i="18"/>
  <c r="C12" i="18"/>
  <c r="C13" i="18"/>
  <c r="C14" i="18"/>
  <c r="C10" i="18"/>
  <c r="AK190" i="1"/>
  <c r="D53" i="7"/>
  <c r="J42" i="7"/>
  <c r="E42" i="7"/>
  <c r="J41" i="7"/>
  <c r="I49" i="7" s="1"/>
  <c r="B24" i="7" s="1"/>
  <c r="E41" i="7"/>
  <c r="J40" i="7"/>
  <c r="E40" i="7"/>
  <c r="J39" i="7"/>
  <c r="K49" i="7" s="1"/>
  <c r="E39" i="7"/>
  <c r="J38" i="7"/>
  <c r="F49" i="7" s="1"/>
  <c r="B23" i="7" s="1"/>
  <c r="E38" i="7"/>
  <c r="C78" i="7"/>
  <c r="B77" i="7"/>
  <c r="A77" i="7"/>
  <c r="O97" i="1" l="1"/>
  <c r="P14" i="14"/>
  <c r="E29" i="1"/>
  <c r="P15" i="14"/>
  <c r="E20" i="1"/>
  <c r="G18" i="1"/>
  <c r="I8" i="18" s="1"/>
  <c r="B4" i="18"/>
  <c r="P13" i="14"/>
  <c r="J28" i="18"/>
  <c r="B7" i="18"/>
  <c r="B6" i="18"/>
  <c r="G16" i="1"/>
  <c r="V8" i="18" s="1"/>
  <c r="C18" i="18"/>
  <c r="G15" i="1"/>
  <c r="T8" i="18" s="1"/>
  <c r="C15" i="18"/>
  <c r="B9" i="18"/>
  <c r="E21" i="1"/>
  <c r="G30" i="18" s="1"/>
  <c r="E22" i="1"/>
  <c r="G31" i="18" s="1"/>
  <c r="E23" i="1"/>
  <c r="G13" i="1"/>
  <c r="R8" i="18" s="1"/>
  <c r="G14" i="1"/>
  <c r="P8" i="18" s="1"/>
  <c r="F23" i="7"/>
  <c r="F45" i="7"/>
  <c r="C77" i="7"/>
  <c r="G37" i="18" l="1"/>
  <c r="D31" i="1"/>
  <c r="F11" i="15"/>
  <c r="F4" i="15"/>
  <c r="F5" i="15"/>
  <c r="F6" i="15"/>
  <c r="G32" i="18"/>
  <c r="D11" i="7" l="1"/>
  <c r="E11" i="7" s="1"/>
  <c r="L44" i="3" l="1"/>
  <c r="I4" i="3"/>
  <c r="J6" i="3"/>
  <c r="J7" i="3"/>
  <c r="J8" i="3"/>
  <c r="J9" i="3"/>
  <c r="J10" i="3"/>
  <c r="J11" i="3"/>
  <c r="J12" i="3"/>
  <c r="J13" i="3"/>
  <c r="J5" i="3"/>
  <c r="C54" i="3"/>
  <c r="E54" i="3"/>
  <c r="C55" i="3"/>
  <c r="E55" i="3"/>
  <c r="C56" i="3"/>
  <c r="E56" i="3"/>
  <c r="C57" i="3"/>
  <c r="E57" i="3"/>
  <c r="C58" i="3"/>
  <c r="E58" i="3"/>
  <c r="C59" i="3"/>
  <c r="E59" i="3"/>
  <c r="C60" i="3"/>
  <c r="E60" i="3"/>
  <c r="C61" i="3"/>
  <c r="E61" i="3"/>
  <c r="C62" i="3"/>
  <c r="E62" i="3"/>
  <c r="C63" i="3"/>
  <c r="E63" i="3"/>
  <c r="C64" i="3"/>
  <c r="E64" i="3"/>
  <c r="C65" i="3"/>
  <c r="E65" i="3"/>
  <c r="C66" i="3"/>
  <c r="E66" i="3"/>
  <c r="C67" i="3"/>
  <c r="E67" i="3"/>
  <c r="C52" i="3"/>
  <c r="E52" i="3"/>
  <c r="C53" i="3"/>
  <c r="E53" i="3"/>
  <c r="E51" i="3"/>
  <c r="C51" i="3"/>
  <c r="E50" i="3"/>
  <c r="C50" i="3"/>
  <c r="E49" i="3"/>
  <c r="C49" i="3"/>
  <c r="E48" i="3"/>
  <c r="C48" i="3"/>
  <c r="E47" i="3"/>
  <c r="C47" i="3"/>
  <c r="E46" i="3"/>
  <c r="C46" i="3"/>
  <c r="E45" i="3"/>
  <c r="C45" i="3"/>
  <c r="E44" i="3"/>
  <c r="C44" i="3"/>
  <c r="E43" i="3"/>
  <c r="C43" i="3"/>
  <c r="E42" i="3"/>
  <c r="C42" i="3"/>
  <c r="E41" i="3"/>
  <c r="C41" i="3"/>
  <c r="E40" i="3"/>
  <c r="C40" i="3"/>
  <c r="E39" i="3"/>
  <c r="C39" i="3"/>
  <c r="E38" i="3"/>
  <c r="C38" i="3"/>
  <c r="E37" i="3"/>
  <c r="C37" i="3"/>
  <c r="E36" i="3"/>
  <c r="C36" i="3"/>
  <c r="E35" i="3"/>
  <c r="C35" i="3"/>
  <c r="E34" i="3"/>
  <c r="C34" i="3"/>
  <c r="E33" i="3"/>
  <c r="C33" i="3"/>
  <c r="E32" i="3"/>
  <c r="C32" i="3"/>
  <c r="E31" i="3"/>
  <c r="C31" i="3"/>
  <c r="E30" i="3"/>
  <c r="C30" i="3"/>
  <c r="E29" i="3"/>
  <c r="C29" i="3"/>
  <c r="E28" i="3"/>
  <c r="C28" i="3"/>
  <c r="E27" i="3"/>
  <c r="C27" i="3"/>
  <c r="E26" i="3"/>
  <c r="C26" i="3"/>
  <c r="E25" i="3"/>
  <c r="C25" i="3"/>
  <c r="E24" i="3"/>
  <c r="C24" i="3"/>
  <c r="E23" i="3"/>
  <c r="C23" i="3"/>
  <c r="E22" i="3"/>
  <c r="C22" i="3"/>
  <c r="E21" i="3"/>
  <c r="C21" i="3"/>
  <c r="E20" i="3"/>
  <c r="C20" i="3"/>
  <c r="E19" i="3"/>
  <c r="C19" i="3"/>
  <c r="E18" i="3"/>
  <c r="C18" i="3"/>
  <c r="E17" i="3"/>
  <c r="C17" i="3"/>
  <c r="E16" i="3"/>
  <c r="C16" i="3"/>
  <c r="E15" i="3"/>
  <c r="C15" i="3"/>
  <c r="E14" i="3"/>
  <c r="B14" i="3"/>
  <c r="B15" i="3" s="1"/>
  <c r="B16" i="3" s="1"/>
  <c r="E13" i="3"/>
  <c r="B13" i="3"/>
  <c r="E12" i="3"/>
  <c r="B12" i="3"/>
  <c r="A71" i="7" s="1"/>
  <c r="E11" i="3"/>
  <c r="B11" i="3"/>
  <c r="E10" i="3"/>
  <c r="B10" i="3"/>
  <c r="E9" i="3"/>
  <c r="B9" i="3"/>
  <c r="A70" i="7" s="1"/>
  <c r="E8" i="3"/>
  <c r="B8" i="3"/>
  <c r="E7" i="3"/>
  <c r="B7" i="3"/>
  <c r="E6" i="3"/>
  <c r="B6" i="3"/>
  <c r="E5" i="3"/>
  <c r="D5" i="3"/>
  <c r="D6" i="3" s="1"/>
  <c r="D7" i="3" s="1"/>
  <c r="D8" i="3" s="1"/>
  <c r="D9" i="3" s="1"/>
  <c r="D10" i="3" s="1"/>
  <c r="D11" i="3" s="1"/>
  <c r="D12" i="3" s="1"/>
  <c r="D13" i="3" s="1"/>
  <c r="D14" i="3" s="1"/>
  <c r="D15" i="3" s="1"/>
  <c r="B5" i="3"/>
  <c r="B4" i="3"/>
  <c r="D16" i="3" l="1"/>
  <c r="D17" i="3" s="1"/>
  <c r="D18" i="3" s="1"/>
  <c r="D19" i="3" s="1"/>
  <c r="D20" i="3" s="1"/>
  <c r="D21" i="3" s="1"/>
  <c r="D22" i="3" s="1"/>
  <c r="D23" i="3" s="1"/>
  <c r="D24" i="3" s="1"/>
  <c r="D25" i="3" s="1"/>
  <c r="D26" i="3" s="1"/>
  <c r="D27" i="3" s="1"/>
  <c r="D28" i="3" s="1"/>
  <c r="D29" i="3" s="1"/>
  <c r="D30" i="3" s="1"/>
  <c r="D31" i="3" s="1"/>
  <c r="D32" i="3" s="1"/>
  <c r="D33" i="3" s="1"/>
  <c r="D34" i="3" s="1"/>
  <c r="D35" i="3" s="1"/>
  <c r="D36" i="3" s="1"/>
  <c r="D37" i="3" s="1"/>
  <c r="D38" i="3" s="1"/>
  <c r="D39" i="3" s="1"/>
  <c r="D40" i="3" s="1"/>
  <c r="D41" i="3" s="1"/>
  <c r="D42" i="3" s="1"/>
  <c r="D43" i="3" s="1"/>
  <c r="D44" i="3" s="1"/>
  <c r="D45" i="3" s="1"/>
  <c r="D46" i="3" s="1"/>
  <c r="D47" i="3" s="1"/>
  <c r="D48" i="3" s="1"/>
  <c r="D49" i="3" s="1"/>
  <c r="D50" i="3" s="1"/>
  <c r="D51" i="3" s="1"/>
  <c r="D52" i="3" s="1"/>
  <c r="D53" i="3" s="1"/>
  <c r="D54" i="3" s="1"/>
  <c r="D55" i="3" s="1"/>
  <c r="D56" i="3" s="1"/>
  <c r="D57" i="3" s="1"/>
  <c r="D58" i="3" s="1"/>
  <c r="D59" i="3" s="1"/>
  <c r="D60" i="3" s="1"/>
  <c r="D61" i="3" s="1"/>
  <c r="D62" i="3" s="1"/>
  <c r="D63" i="3" s="1"/>
  <c r="D64" i="3" s="1"/>
  <c r="D65" i="3" s="1"/>
  <c r="D66" i="3" s="1"/>
  <c r="D67" i="3" s="1"/>
  <c r="AP20" i="1"/>
  <c r="AP21" i="1"/>
  <c r="AP22" i="1"/>
  <c r="AP23" i="1"/>
  <c r="AP24" i="1"/>
  <c r="AI189" i="1"/>
  <c r="AI186" i="1"/>
  <c r="AI188" i="1"/>
  <c r="AJ189" i="1"/>
  <c r="B17" i="3"/>
  <c r="B18" i="3" s="1"/>
  <c r="B73" i="7"/>
  <c r="B71" i="7"/>
  <c r="I12" i="3"/>
  <c r="I6" i="3"/>
  <c r="C70" i="7" s="1"/>
  <c r="I10" i="3"/>
  <c r="I5" i="3"/>
  <c r="I7" i="3"/>
  <c r="I9" i="3"/>
  <c r="C71" i="7" s="1"/>
  <c r="I11" i="3"/>
  <c r="I13" i="3"/>
  <c r="AK187" i="1" s="1"/>
  <c r="I8" i="3"/>
  <c r="C72" i="7" l="1"/>
  <c r="AK188" i="1"/>
  <c r="AK189" i="1"/>
  <c r="C73" i="7"/>
  <c r="C75" i="7" s="1"/>
  <c r="C74" i="7"/>
  <c r="AK186" i="1"/>
  <c r="AB11" i="1" s="1"/>
  <c r="AJ11" i="1"/>
  <c r="B19" i="3"/>
  <c r="A74" i="7"/>
  <c r="B20" i="3" l="1"/>
  <c r="AJ187" i="1"/>
  <c r="AJ186" i="1"/>
  <c r="B21" i="3"/>
  <c r="B70" i="7"/>
  <c r="A73" i="7"/>
  <c r="C11" i="1"/>
  <c r="P17" i="14" s="1"/>
  <c r="C8" i="1"/>
  <c r="C7" i="1"/>
  <c r="I12" i="14" s="1"/>
  <c r="B22" i="3" l="1"/>
  <c r="AJ190" i="1"/>
  <c r="B3" i="18"/>
  <c r="I13" i="14"/>
  <c r="B23" i="3"/>
  <c r="A72" i="7"/>
  <c r="B74" i="7"/>
  <c r="B2" i="18"/>
  <c r="C10" i="1"/>
  <c r="F25" i="18" s="1"/>
  <c r="S8" i="1"/>
  <c r="F23" i="18" s="1"/>
  <c r="AO7" i="1"/>
  <c r="AO10" i="1"/>
  <c r="AO11" i="1" s="1"/>
  <c r="C9" i="1"/>
  <c r="F24" i="18" s="1"/>
  <c r="B24" i="3" l="1"/>
  <c r="AI187" i="1"/>
  <c r="I14" i="14"/>
  <c r="B25" i="3"/>
  <c r="B72" i="7"/>
  <c r="B75" i="7" s="1"/>
  <c r="B26" i="3" l="1"/>
  <c r="B27" i="3" s="1"/>
  <c r="B28" i="3" s="1"/>
  <c r="B29" i="3" s="1"/>
  <c r="B30" i="3" s="1"/>
  <c r="B31" i="3" s="1"/>
  <c r="B32" i="3" s="1"/>
  <c r="B33" i="3" s="1"/>
  <c r="B34" i="3" s="1"/>
  <c r="AI190" i="1"/>
  <c r="C67" i="7"/>
  <c r="B67" i="7"/>
  <c r="B35" i="3" l="1"/>
  <c r="B36" i="3" s="1"/>
  <c r="B37" i="3" s="1"/>
  <c r="B38" i="3" s="1"/>
  <c r="B39" i="3" s="1"/>
  <c r="B40" i="3" s="1"/>
  <c r="B41" i="3" s="1"/>
  <c r="B42" i="3" s="1"/>
  <c r="B43" i="3" s="1"/>
  <c r="B44" i="3" s="1"/>
  <c r="B45" i="3" s="1"/>
  <c r="B46" i="3" s="1"/>
  <c r="B47" i="3" s="1"/>
  <c r="B48" i="3" s="1"/>
  <c r="B49" i="3" s="1"/>
  <c r="B50" i="3" s="1"/>
  <c r="B51" i="3" s="1"/>
  <c r="B52" i="3" s="1"/>
  <c r="B53" i="3" s="1"/>
  <c r="B54" i="3" s="1"/>
  <c r="B55" i="3" s="1"/>
  <c r="B56" i="3" s="1"/>
  <c r="B57" i="3" s="1"/>
  <c r="B58" i="3" s="1"/>
  <c r="B59" i="3" s="1"/>
  <c r="B60" i="3" s="1"/>
  <c r="B61" i="3" s="1"/>
  <c r="B62" i="3" s="1"/>
  <c r="B63" i="3" s="1"/>
  <c r="B64" i="3" s="1"/>
  <c r="B65" i="3" s="1"/>
  <c r="B66" i="3" s="1"/>
  <c r="B67" i="3" s="1"/>
  <c r="AJ188" i="1"/>
  <c r="AB10" i="1" s="1"/>
  <c r="L4" i="7"/>
  <c r="L3" i="7"/>
  <c r="I9" i="7" s="1"/>
  <c r="J9" i="7" s="1"/>
  <c r="AO6" i="1" l="1"/>
  <c r="I17" i="14" s="1"/>
  <c r="AO5" i="1"/>
  <c r="G23" i="7"/>
  <c r="H4" i="7"/>
  <c r="I2" i="7"/>
  <c r="I4" i="7"/>
  <c r="D5" i="7"/>
  <c r="H6" i="7"/>
  <c r="G4" i="7"/>
  <c r="D6" i="7"/>
  <c r="I11" i="7"/>
  <c r="J11" i="7" s="1"/>
  <c r="G45" i="7"/>
  <c r="F4" i="7"/>
  <c r="D4" i="7"/>
  <c r="D3" i="7"/>
  <c r="L1" i="7"/>
  <c r="I5" i="7"/>
  <c r="L5" i="7"/>
  <c r="B28" i="7" s="1"/>
  <c r="G5" i="7"/>
  <c r="H5" i="7"/>
  <c r="H2" i="7"/>
  <c r="F2" i="7"/>
  <c r="G3" i="7"/>
  <c r="F5" i="7"/>
  <c r="B29" i="7"/>
  <c r="H3" i="7"/>
  <c r="F3" i="7"/>
  <c r="D2" i="7"/>
  <c r="I3" i="7"/>
  <c r="G2" i="7"/>
</calcChain>
</file>

<file path=xl/sharedStrings.xml><?xml version="1.0" encoding="utf-8"?>
<sst xmlns="http://schemas.openxmlformats.org/spreadsheetml/2006/main" count="2114" uniqueCount="1197">
  <si>
    <t>Mana</t>
  </si>
  <si>
    <t>TaW</t>
  </si>
  <si>
    <t>Kreis</t>
  </si>
  <si>
    <t>Stufe</t>
  </si>
  <si>
    <t>Macht</t>
  </si>
  <si>
    <t>Eigenschaften</t>
  </si>
  <si>
    <t>Ausstrahlung</t>
  </si>
  <si>
    <t>Intelligenz</t>
  </si>
  <si>
    <t>Mut</t>
  </si>
  <si>
    <t>Sinnesschärfe</t>
  </si>
  <si>
    <t>Willenskraft</t>
  </si>
  <si>
    <t>Athletik</t>
  </si>
  <si>
    <t>Geschicklichkeit</t>
  </si>
  <si>
    <t>Konstitution</t>
  </si>
  <si>
    <t>Schnelligkeit</t>
  </si>
  <si>
    <t>Stärke</t>
  </si>
  <si>
    <t>Glück</t>
  </si>
  <si>
    <t>Vitalität</t>
  </si>
  <si>
    <t>Aura</t>
  </si>
  <si>
    <t>Magie</t>
  </si>
  <si>
    <t>Weisheit</t>
  </si>
  <si>
    <t>Nahkampf</t>
  </si>
  <si>
    <t>Spez</t>
  </si>
  <si>
    <t>Schaden</t>
  </si>
  <si>
    <t>WK</t>
  </si>
  <si>
    <t>nAT</t>
  </si>
  <si>
    <t>gAT</t>
  </si>
  <si>
    <t>mAT</t>
  </si>
  <si>
    <t>nPA</t>
  </si>
  <si>
    <t>gPA</t>
  </si>
  <si>
    <t>mPA</t>
  </si>
  <si>
    <t>EP</t>
  </si>
  <si>
    <t>KI</t>
  </si>
  <si>
    <t>Wert</t>
  </si>
  <si>
    <t>Eigenschafts-EP</t>
  </si>
  <si>
    <t>Attribute</t>
  </si>
  <si>
    <t>Gesamt-EP</t>
  </si>
  <si>
    <t>Zauber</t>
  </si>
  <si>
    <t>Name</t>
  </si>
  <si>
    <t>Zauber-EP</t>
  </si>
  <si>
    <t>SP</t>
  </si>
  <si>
    <t>St.1</t>
  </si>
  <si>
    <t>Probe</t>
  </si>
  <si>
    <t>RW</t>
  </si>
  <si>
    <t>Elementarfaust</t>
  </si>
  <si>
    <t>St.2</t>
  </si>
  <si>
    <t>St.3</t>
  </si>
  <si>
    <t>Ziel</t>
  </si>
  <si>
    <t>Spec</t>
  </si>
  <si>
    <t>Vorb</t>
  </si>
  <si>
    <t>Eff</t>
  </si>
  <si>
    <t>Wirk</t>
  </si>
  <si>
    <t>Beschwörer-Sektion</t>
  </si>
  <si>
    <t>TaW Beschwörungszirkel</t>
  </si>
  <si>
    <t>TaW Barriere</t>
  </si>
  <si>
    <t>TaW Beherrschung</t>
  </si>
  <si>
    <t>TaW  Bannung</t>
  </si>
  <si>
    <t>Ausstrahlungs-Bonus</t>
  </si>
  <si>
    <t>Geschicklichkeits-Bonus</t>
  </si>
  <si>
    <t>Zirkel-Spezialisierung</t>
  </si>
  <si>
    <t>Grund-EP</t>
  </si>
  <si>
    <t>AW</t>
  </si>
  <si>
    <t>gAW</t>
  </si>
  <si>
    <t>mAW</t>
  </si>
  <si>
    <t>Ini</t>
  </si>
  <si>
    <t>NK-Taw-EP</t>
  </si>
  <si>
    <t>NK-Spez-EP</t>
  </si>
  <si>
    <t>NK-EP ges</t>
  </si>
  <si>
    <t>Attributs-EP</t>
  </si>
  <si>
    <t>RB 4</t>
  </si>
  <si>
    <t>W10 +</t>
  </si>
  <si>
    <t>Unbewaffnet</t>
  </si>
  <si>
    <t>-</t>
  </si>
  <si>
    <t>Ausweichen</t>
  </si>
  <si>
    <t>LE Kopf</t>
  </si>
  <si>
    <t>LE Brust</t>
  </si>
  <si>
    <t>LE Unterleib</t>
  </si>
  <si>
    <t>LE l. Arm</t>
  </si>
  <si>
    <t>LE r. Arm</t>
  </si>
  <si>
    <t>LE l. Bein</t>
  </si>
  <si>
    <t>LE r. Bein</t>
  </si>
  <si>
    <t>Gesundheit</t>
  </si>
  <si>
    <t>SB-Verriss</t>
  </si>
  <si>
    <t>BE+1</t>
  </si>
  <si>
    <t>BE+2</t>
  </si>
  <si>
    <t>BE+3</t>
  </si>
  <si>
    <t>BE+4</t>
  </si>
  <si>
    <t>BE+7</t>
  </si>
  <si>
    <t>BE+5</t>
  </si>
  <si>
    <t>geschafft</t>
  </si>
  <si>
    <t>&lt;0</t>
  </si>
  <si>
    <t>BE+1, 1 sec AT-Kl.-1</t>
  </si>
  <si>
    <t>BE+1, 3 sec AT-Kl.-1</t>
  </si>
  <si>
    <t>BE+1, 4 sec AT-Kl.-1</t>
  </si>
  <si>
    <t>BE+1, 5 sec AT-Kl.-1</t>
  </si>
  <si>
    <t>BE+2, Straucheln: 1 sec PA-Kl.-1</t>
  </si>
  <si>
    <t>BE+3, Sturz: PA-Kl.-2, jede sec Ath-Probe,um PA-Kl. wieder um 1 zu erhöhen</t>
  </si>
  <si>
    <t>BE+4, Waffe verloren: 1 sec PA-Kl.-1</t>
  </si>
  <si>
    <t>BE+5, kampfunfähig: für W15+W6 sec AT/PA-Kl. je -1</t>
  </si>
  <si>
    <t>BE+7, bewusstlos: jede W30 sec (Kon-BE)-Probe zum Erwachen</t>
  </si>
  <si>
    <t>BE+1, 2 sec AT-Kl.-1</t>
  </si>
  <si>
    <t>Stangenwaffen</t>
  </si>
  <si>
    <t>Bögen</t>
  </si>
  <si>
    <t>Stichwaffen</t>
  </si>
  <si>
    <t>Klingenwaffen</t>
  </si>
  <si>
    <t>Hiebwaffen</t>
  </si>
  <si>
    <t>Initiative</t>
  </si>
  <si>
    <t>Sprinten</t>
  </si>
  <si>
    <t>Ausdauer</t>
  </si>
  <si>
    <t>m</t>
  </si>
  <si>
    <t>FK-Basiswert</t>
  </si>
  <si>
    <t>EP des Elementars</t>
  </si>
  <si>
    <t>EP frei</t>
  </si>
  <si>
    <t>verbrauchte EP</t>
  </si>
  <si>
    <t>Dauer (sec)</t>
  </si>
  <si>
    <t>St. 1</t>
  </si>
  <si>
    <t>St. 2</t>
  </si>
  <si>
    <t>St. 3</t>
  </si>
  <si>
    <t>Min. Int</t>
  </si>
  <si>
    <t>Barriere</t>
  </si>
  <si>
    <t>sec</t>
  </si>
  <si>
    <t>Beschwörungsfertigkeit</t>
  </si>
  <si>
    <t>Beschwörung</t>
  </si>
  <si>
    <t>Beherrschung</t>
  </si>
  <si>
    <t>Bannung</t>
  </si>
  <si>
    <t>Zirkel</t>
  </si>
  <si>
    <t>h</t>
  </si>
  <si>
    <t>m²</t>
  </si>
  <si>
    <t>Element</t>
  </si>
  <si>
    <t>Feuer</t>
  </si>
  <si>
    <t>LE</t>
  </si>
  <si>
    <t>RS NK</t>
  </si>
  <si>
    <t>RS FK</t>
  </si>
  <si>
    <t>Spezialisierung</t>
  </si>
  <si>
    <t>FK-TaW-EP</t>
  </si>
  <si>
    <t>NPC Name:</t>
  </si>
  <si>
    <t>Spruchzauber-Fertigkeiten</t>
  </si>
  <si>
    <t>NK-TaW-EP</t>
  </si>
  <si>
    <t>KI-Zauberfertigkeiten</t>
  </si>
  <si>
    <t>PSI-Zauberfertigkeiten</t>
  </si>
  <si>
    <t>Aus</t>
  </si>
  <si>
    <t>Int</t>
  </si>
  <si>
    <t>Sin</t>
  </si>
  <si>
    <t>Wil</t>
  </si>
  <si>
    <t>Ath</t>
  </si>
  <si>
    <t>Ges</t>
  </si>
  <si>
    <t>Kon</t>
  </si>
  <si>
    <t>Sch</t>
  </si>
  <si>
    <t>Stä</t>
  </si>
  <si>
    <t>GLÜ</t>
  </si>
  <si>
    <t>VIT</t>
  </si>
  <si>
    <t>AUR</t>
  </si>
  <si>
    <t>MAG</t>
  </si>
  <si>
    <t>Artefakt</t>
  </si>
  <si>
    <t>frei</t>
  </si>
  <si>
    <t>Bonus</t>
  </si>
  <si>
    <t>GENERIERUNG</t>
  </si>
  <si>
    <t>NPC-AUSGABE</t>
  </si>
  <si>
    <t>Eisenhaut</t>
  </si>
  <si>
    <t>KI-Schutz</t>
  </si>
  <si>
    <t>Grad</t>
  </si>
  <si>
    <t>Grund- &amp; Sonderfertigkeiten</t>
  </si>
  <si>
    <t>Nahkampf-Schäden</t>
  </si>
  <si>
    <t>Erde</t>
  </si>
  <si>
    <t>Gift</t>
  </si>
  <si>
    <t>Luft</t>
  </si>
  <si>
    <t>Wasser</t>
  </si>
  <si>
    <t>Aura + Magie</t>
  </si>
  <si>
    <t>RB 3</t>
  </si>
  <si>
    <t>W15 +</t>
  </si>
  <si>
    <t>W8 +</t>
  </si>
  <si>
    <t>SB 5</t>
  </si>
  <si>
    <t>pro 5TP/1BE</t>
  </si>
  <si>
    <t>TPm zurück</t>
  </si>
  <si>
    <t>permSP</t>
  </si>
  <si>
    <t>SpezAT/PA</t>
  </si>
  <si>
    <t>MK</t>
  </si>
  <si>
    <t>Anzahl Zauber Grad</t>
  </si>
  <si>
    <t>Punkte TaW</t>
  </si>
  <si>
    <t>WHK-Spezialisierung</t>
  </si>
  <si>
    <t>EP Kosten</t>
  </si>
  <si>
    <t>Gesamt EP</t>
  </si>
  <si>
    <t>Kategorie</t>
  </si>
  <si>
    <t>Beschreibung</t>
  </si>
  <si>
    <t>Abenteurer</t>
  </si>
  <si>
    <t>Wissens,- Handwerks,- Kulturfertigkeitenmaximum +3</t>
  </si>
  <si>
    <t>Wissens,- Handwerks,- Kulturfertigkeitenmaximum +6</t>
  </si>
  <si>
    <t>Grundfertigkeitenmaximum +2</t>
  </si>
  <si>
    <t>Grundfertigkeitenmaximum +4</t>
  </si>
  <si>
    <t>Grundfertigkeitenmaximum +6</t>
  </si>
  <si>
    <t>Grundfertigkeitenmaximum +8</t>
  </si>
  <si>
    <t>Meuchler</t>
  </si>
  <si>
    <t>KI-Adept</t>
  </si>
  <si>
    <t>Gute KI-Probe = Magie. Die höchstmögliche Gute ist Normale :2.</t>
  </si>
  <si>
    <t>Gute KI-Probe = Magie + Aura. Die höchstmögliche Gute ist Normale :2.</t>
  </si>
  <si>
    <t>Mentale Kapazität Fertigkeitsmaximum +4</t>
  </si>
  <si>
    <t>ME sparen</t>
  </si>
  <si>
    <t>Immer halbe ME.</t>
  </si>
  <si>
    <t>Krieger</t>
  </si>
  <si>
    <t>Entwaffnen</t>
  </si>
  <si>
    <t>Wird im Nahkampf erst angesagt, nach dem der Verteidiger seine Aktion gewählt hat. Ermöglicht es, dem Gegner die Waffe aus der Hand zu schlagen, durch um X erschwerte AT. Die Erschwerung muss mindestens 6 betragen, der Gegner muss bei einer PA der gleichen oder einer schlechter PA-Kl. als die AT-Kl. (und nur bei einer solchen PA) eine um X erschwerte Geschicklichtkeits-Probe ablegen, um seine Waffe nicht fallenzulassen. Gute oder meisterliche AT hat keine weitere Auswirkung auf die Ges-Probe. Die Waffe fällt immer so, dass sie innerhalb von W4 KR wieder aufgehoben werden kann ährend des Aufhebens AT/PA/AW-Klasse -1)</t>
  </si>
  <si>
    <t>Finte</t>
  </si>
  <si>
    <t>Der Angreifer erschwert sich seine AT-Probe um X Punkte. Man kann nicht mehrere Finten hintereinander schlagen. Gelingt die Finte, verursacht der Angriff keinen Schaden und der Fintierte hat in der nächsten Sekunde seine nPA und nAW erschwert um 2*X bei einer normalen AT, bei einer guten um 3*X, bei einer meisterlichen um 4*X, bei einer fröhlichen Finte um 6*X. Egal wie die Ini. in der nächsten Sekunde ausfällt, und egal ob pariert oder def./off. ausgewichen wurde, der Fintierte hat diese Erschwerung auf seine nPA und nAW, aber nur gegen den Angreifer der die Finte geschlagen hat. (Wenn der Angreifer laut n/g/mAT/PA-Tab an der Ini. bleibt, so bleibt er an der Ini. und eventuelle zusätzliche Wirkungen zugunsten des Angreifers treten nicht in Kraft. Wenn er die Ini. verlieren sollte, so verliert er die Ini. und eventuelle zusätzliche Wirkungen zugunsten des Fintierten treten in Kraft. (Eine Stä-Vgl.Probe tritt immer in Kraft.) Wenn die Ini. neu bestimmt wird ist es egal ob der Angreifer sie gewinnt oder verliert, der Fintierte hat den Finten-Malus von letzter Sekunde noch.)</t>
  </si>
  <si>
    <t>Mit Schild umwerfen</t>
  </si>
  <si>
    <t>Vorraussetzung Schild: Wird im Nahkampf erst angesagt, nach dem der Verteidiger seine Aktion gewählt hat. Ermöglicht es, den Gegner mit einer um X erschwerten AT umzuwerfen. Die Erschwerung muss mindestens 6 betragen. Wenn der Gegner mit gleicher oder schlechterer PA-Kl. pariert als die AT-Kl. des Angreifers (was keinen Schaden verursacht) oder getroffen wird (was dann halben Schaden des Schilds verursacht), muss er eine um X erschwerte Athletik-Probe ablegen, um nicht zu fallen. Gute oder meisterliche AT haben keine weitere Auswirkung. Wenn er fällt so hat er eine Sekunde lang NK-Kl.-2 und jede Sekunde eine Ath-Probe um die NK-Kl. wieder um 1 zu erhöhen. Wenn der Verteider erfolgreich ausweicht oder mit besserer PA-Kl. pariert, so wird die ngmATPA-Tabelle konsultiert und das Umwerfen schlägt fehl.</t>
  </si>
  <si>
    <t>alle nAT+1 und nPA-1</t>
  </si>
  <si>
    <t>alle nAT+2 und nPA-2</t>
  </si>
  <si>
    <t>alle nAT+3 und nPA-3</t>
  </si>
  <si>
    <t>Schnellziehen Hiebwaffen</t>
  </si>
  <si>
    <t>In derselben Sekunde in der man die Waffe zieht, kann damit ohne jegliche Erschwerung agiert werden. Dies setzt eine geeignete Halterung voraus.</t>
  </si>
  <si>
    <t>Schnellziehen Klingenwaffen</t>
  </si>
  <si>
    <t>Schnellziehen Stichwaffen</t>
  </si>
  <si>
    <t>Schnellziehen Stangenwaffen</t>
  </si>
  <si>
    <t>Selbstbeherrschung Fertigkeitsmaximum +7</t>
  </si>
  <si>
    <t>Selbstbeherrschung Fertigkeitsmaximum +14</t>
  </si>
  <si>
    <t>alle nAT-1 und nPA+1</t>
  </si>
  <si>
    <t>alle nAT-2 und nPA+2</t>
  </si>
  <si>
    <t>alle nAT-3 und nPA+3</t>
  </si>
  <si>
    <t>Wuchtschlag</t>
  </si>
  <si>
    <t>Nur bestimmte Charakterklassen: ermöglicht eine AT mit dreifachem Schaden wenn man vorher ein Sekunde steht (keine andere Aktion möglich), oder eine AT mit halbiertem nAT-Wert mit dreifachem Schaden aus dem Laufen (nur gerader Ansturm). Schließt sich mit AT-Kl.+1 in jedem Fall aus. Man muss wählen ob man die AT-Kl.+1 oder den Schadensmultiplikator des Wuchtschlags nimmt.</t>
  </si>
  <si>
    <t>Die die Selbstbeherrschung des Charakters erhöht sich um 1 und die Gesundheit um 2.</t>
  </si>
  <si>
    <t>Die Trefferschwelle des Charakters erhöht sich um 1, die Selbstbeherrschung um 3 und die Gesundheit um 4.</t>
  </si>
  <si>
    <t>Die Trefferschwelle des Charakters erhöht sich um 2, die Selbstbeherrschung um 6 und die Gesundheit um 7.</t>
  </si>
  <si>
    <t>Magier</t>
  </si>
  <si>
    <t xml:space="preserve">Der Einsatz der Blutmagie-Fähigkeit erfordert eine blutende Wunde mit einem Punkt Blutung, und in jedem Fall eine Mut-Probe. Die Mut-Probe kann jede Sekunde wiederholt werden. Der Magier kann, wenn er sich eine blutende Wunde zufügt (ein Punkt Blutung), oder eine solche bereits hat, seine gute Spruchzauberprobe ohne weitere zeitliche Verzögerung um 1 Punkt pro Gesundheitspunkt, den er freiwillig opfert, erhöhen. Dabei kann seine gute Probe bis zur normalen Probe steigen. Er kann bis zu seiner gesamten momentanen Gesundheit + Vitalität opfern. Die Punkte werden erst nach Ende der Effektdauer bzw. Scheitern der Spruchprobe von der Gesundheit abgezogen. Wenn er dabei mehr als TS an Gesundheit verliert, muss er eine SB-Probe und ggf. eine Konzentrationsprobe würfeln. </t>
  </si>
  <si>
    <t xml:space="preserve">Der Einsatz der Blutmagie-Fähigkeit erfordert eine blutende Wunde mit einem Punkt Blutung, und in jedem Fall eine Mut-Probe. Die Mut-Probe kann jede Sekunde wiederholt werden. Der Magier kann, wenn er sich eine blutende Wunde zufügt (ein Punkt Blutung), oder eine solche bereits hat, seine gute Spruchzauberprobe ohne weitere zeitliche Verzögerung um 2 Punkte pro Gesundheitspunkt, den er freiwillig opfert, erhöhen. Dabei kann seine gute Probe bis zur normalen Probe steigen. Er kann bis zu seiner gesamten momentanen Gesundheit + Vitalität opfern. Die Punkte werden erst nach Ende der Effektdauer bzw. Scheitern der Spruchprobe von der Gesundheit abgezogen. Wenn er dabei mehr als TS an Gesundheit verliert, muss er eine SB-Probe und ggf. eine Konzentrationsprobe würfeln. </t>
  </si>
  <si>
    <t xml:space="preserve">Der Einsatz der Blutmagie-Fähigkeit erfordert eine blutende Wunde mit einem Punkt Blutung, und in jedem Fall eine Mut-Probe. Die Mut-Probe kann jede Sekunde wiederholt werden. Der Magier kann, wenn er sich eine blutende Wunde zufügt (ein Punkt Blutung), oder eine solche bereits hat, seine gute Spruchzauberprobe ohne weitere zeitliche Verzögerung um 3 Punkte pro Gesundheitspunkt, den er freiwillig opfert, erhöhen. Dabei kann seine gute Probe bis zur normalen Probe steigen. Er kann bis zu seiner gesamten momentanen Gesundheit + Vitalität opfern. Die Punkte werden erst nach Ende der Effektdauer bzw. Scheitern der Spruchprobe von der Gesundheit abgezogen. Wenn er dabei mehr als TS an Gesundheit verliert, muss er eine SB-Probe und ggf. eine Konzentrationsprobe würfeln. </t>
  </si>
  <si>
    <t>Konzentration Fertigkeitsmaximum +4</t>
  </si>
  <si>
    <t>Mana Meditation Fertigkeitsmaximum +6</t>
  </si>
  <si>
    <t>Mana Meditation Fertigkeitsmaximum +12</t>
  </si>
  <si>
    <t>Erhöht die natürliche Mana Regeneration um 50% (faktor 1,5)</t>
  </si>
  <si>
    <t>Erhöht die natürliche Mana Regeneration um 100% (faktor 2,0)</t>
  </si>
  <si>
    <t>Mana Talentwert Fertigkeitsmaximum +6</t>
  </si>
  <si>
    <t>Mana Talentwert Fertigkeitsmaximum +12</t>
  </si>
  <si>
    <t>Mana Talentwert Fertigkeitsmaximum +18</t>
  </si>
  <si>
    <t>Die Zauberzeitverkürzungen der Zauberstufen 1/2/3 werden zu :2/:3/:4.</t>
  </si>
  <si>
    <t>Die Zauberzeitverkürzungen der Zauberstufen 1/2/3 werden zu :3/:4/:5. Nicht kumulativ mit anderen Stufen dieses Vorteils.</t>
  </si>
  <si>
    <t>Die Zauberzeitverkürzungen der Zauberstufen 1/2/3 werden zu :4/:5/:6. Nicht kumulativ mit anderen Stufen dieses Vorteils.</t>
  </si>
  <si>
    <t>In allen Zauberschulen Gute Spruchzauberprobe = Weisheit. Die höchstmögliche Gute ist Normale:2.</t>
  </si>
  <si>
    <t>In allen Zauberschulen Gute Spruchzauberprobe = Weisheit + Eigenschaftsbonus. Die höchstmögliche Gute ist Normale:2.</t>
  </si>
  <si>
    <t>In allen Zauberschulen ist es möglich, Sprüche auf Stufe 2 zu sprechen.</t>
  </si>
  <si>
    <t>In allen Zauberschulen ist es möglich, Sprüche auf Stufe 3 zu sprechen.</t>
  </si>
  <si>
    <t>PSI-Magier</t>
  </si>
  <si>
    <t>Gute PSI-Probe = Magie. Die höchstmögliche Gute ist Normale:2.</t>
  </si>
  <si>
    <t>Gute PSI-Probe = Magie + Eigenschaftsbonus. Die höchstmögliche Gute ist Normale:2.</t>
  </si>
  <si>
    <t>PSI Fertigkeitsmaximmum +6</t>
  </si>
  <si>
    <t>PSI Fertigkeitsmaximmum +12</t>
  </si>
  <si>
    <t>Schütze</t>
  </si>
  <si>
    <t>Veringert den FK-Modifikator für "vom laufenden Pferd" beim Armbrustschießen um 3.</t>
  </si>
  <si>
    <t>Veringert den FK-Modifikator für "vom laufenden Pferd" beim Armbrustschießen um 7.</t>
  </si>
  <si>
    <t>Veringert den FK-Modifikator für "vom laufenden Pferd" beim Bogenschießen um 3.</t>
  </si>
  <si>
    <t>Veringert den FK-Modifikator für "vom laufenden Pferd" beim Bogenschießen um 7.</t>
  </si>
  <si>
    <t>Veringert den FK-Modifikator für "vom laufenden Pferd" beim Musketenschießen um 3.</t>
  </si>
  <si>
    <t>Veringert den FK-Modifikator für "vom laufenden Pferd" beim Musketenschießen um 7.</t>
  </si>
  <si>
    <t>Verringert den FK-Modifikator für "vom laufenden Pferd" beim Pistolenschießen auf 3.</t>
  </si>
  <si>
    <t>Verringert den FK-Modifikator für "vom laufenden Pferd" beim Pistolenschießen auf 7.</t>
  </si>
  <si>
    <t>Verringert den FK-Modifikator für "vom laufenden Pferd" beim Werfen von Wurfwaffen um 3.</t>
  </si>
  <si>
    <t>Verringert den FK-Modifikator für "vom laufenden Pferd" beim Werfen von Wurfwaffen um 7.</t>
  </si>
  <si>
    <t>Ermöglicht nicht-spezialisierbare FK-Fertigkeiten [Bogenart]-Doppelschuss (18 St.p. pro Punkt)  –  FK-Formel für Doppelschuss wird zu (Ges+Sin+Fert+Spez+Doppelschuss):4. Bei Anwendung eines Doppelschusses wird der Probenwert halbiert.</t>
  </si>
  <si>
    <t xml:space="preserve">Tripelschuss ermöglicht nicht-spezialisierbare FK-Fertigkeiten [Bogenart]-Tripelschuss (18 St.p. pro Punkt)  –  FK-Formel für Tripelschuss wird zu (Ges+Sin+Fert+Spez+Doppelschuss+Tripelschuss):4. Bei Anwendung eines Tripelschusses wird der Probenwert gedrittelt. </t>
  </si>
  <si>
    <t>FK-Gute= Probe :4, automatisch geschenkte Punkte</t>
  </si>
  <si>
    <t>FK-Gute= Probe :3, automatisch geschenkte Punkte</t>
  </si>
  <si>
    <t>Die FK-Meisterliche beträgt automatisch (geschenkt) Probe:20. Bei einem Punkt Meisterliche hat man 21, bei 2 Punkten 22 usw.</t>
  </si>
  <si>
    <t>Fliegend Schießen</t>
  </si>
  <si>
    <t>Verändert den FK-Modifikator für "Schütze fliegend" mit allen Waffen auf 0/+1.</t>
  </si>
  <si>
    <t>Gezielter Schuss</t>
  </si>
  <si>
    <t>Ermöglicht es dem Schützen, sich die FK-Probe um 3 zu erschweren, und dafür 2 TZ-Rerolls auf kritische TZ zu erhalten.</t>
  </si>
  <si>
    <t>Vorderlader Ladeschütze Stufe1</t>
  </si>
  <si>
    <t>Fertigkeitsmaximum der Sonderfertigkeit "Ladeschütze Vorderlader" +7</t>
  </si>
  <si>
    <t>Vorderlader Ladeschütze Stufe2</t>
  </si>
  <si>
    <t>Fertigkeitsmaximum der Sonderfertigkeit "Ladeschütze Vorderlader" +15</t>
  </si>
  <si>
    <t>Linkshändig Pistolenschießen</t>
  </si>
  <si>
    <t>Ermöglicht es dem Schützen wenn er nur mit der linken Hand mit einer Pistole schießt, statt auf seinen halben auf seinen vollen Probenwert zu würfeln.</t>
  </si>
  <si>
    <t>Mit Zwei Pistolen schießen</t>
  </si>
  <si>
    <t>Ermöglicht es dem Schützen wenn er mit zwei Pistolen schießt, mit beiden Pistolen statt auf seinen halben auf seinen vollen Probenwert zu würfeln.</t>
  </si>
  <si>
    <t>Point-Blank Shot</t>
  </si>
  <si>
    <t>Wenn der Schütze im Nahkampf schießt, tut er dies mit einem Sofortschuss statt einem Hüftschuss, das Ziel ist hakenschlagend (insgesamt erschwert um 16).</t>
  </si>
  <si>
    <t>Schnell Schießen</t>
  </si>
  <si>
    <t>Verändert die Zielen-Modifikatoren für "Hüftschuss" auf -8 und für "Sofortschuss" auf -4.</t>
  </si>
  <si>
    <t>Schnell Ziehen Armbrust</t>
  </si>
  <si>
    <t>In derselben Sekunde in der man die Waffe zieht, kann damit noch agiert werden, zum Beispiel mit Hüftschuss oder dem Laden. Dies setzt eine geeignete Halterung voraus.</t>
  </si>
  <si>
    <t>Schnell Ziehen Bogen</t>
  </si>
  <si>
    <t>In derselben Sekunde in der man die Waffe zieht, kann damit noch agiert werden, zum Beispiel mit Laden des Bogens. Dies setzt eine geeignete Halterung voraus.</t>
  </si>
  <si>
    <t>Schnell Ziehen Muskete</t>
  </si>
  <si>
    <t>Schnell Ziehen Pistole</t>
  </si>
  <si>
    <t>Schnell Ziehen Wurfwaffe</t>
  </si>
  <si>
    <t>In derselben Sekunde in der man die Waffe zieht, kann damit noch agiert werden, zum Beispiel mit Hüftschuss. Dies setzt eine geeignete Halterung voraus.</t>
  </si>
  <si>
    <t>Verändert die Zielen-Modifikatoren für "1sec lang gezielt"  auf 0, für jede weitere Sekunde +1 (bis +7 für 8 Sekunden).</t>
  </si>
  <si>
    <t>Verändert die Zielen-Modifikatoren für "1sec lang gezielt"  auf +1, für jede weitere Sekunde +1 (bis +8 für 8 Sekunden).</t>
  </si>
  <si>
    <t>Magische Wand</t>
  </si>
  <si>
    <t>Antimagie</t>
  </si>
  <si>
    <t>Artefakt analysieren</t>
  </si>
  <si>
    <t>Bipolare Schere</t>
  </si>
  <si>
    <t>Artefakt stören</t>
  </si>
  <si>
    <t>Magische Reinigung</t>
  </si>
  <si>
    <t>Magische Kuppel</t>
  </si>
  <si>
    <t>Magischer Schild</t>
  </si>
  <si>
    <t>Magische Barriere</t>
  </si>
  <si>
    <t>[Schule] erschweren</t>
  </si>
  <si>
    <t>Magische Bresche</t>
  </si>
  <si>
    <t>Mobile Barriere</t>
  </si>
  <si>
    <t>Schutz</t>
  </si>
  <si>
    <t>Korpi ignorieren</t>
  </si>
  <si>
    <t>Aura verhüllen</t>
  </si>
  <si>
    <t>[Schule] hemmen</t>
  </si>
  <si>
    <t>Antimagisches Feld</t>
  </si>
  <si>
    <t>Schutz vor [Schule]</t>
  </si>
  <si>
    <t>Subjektives Manaloch</t>
  </si>
  <si>
    <t>Spiegeltrick</t>
  </si>
  <si>
    <t>Aura entkernen</t>
  </si>
  <si>
    <t>Manaloch</t>
  </si>
  <si>
    <t xml:space="preserve">Massen Besänftigung </t>
  </si>
  <si>
    <t>Massenfurcht</t>
  </si>
  <si>
    <t>Paralyse</t>
  </si>
  <si>
    <t>Ermutigen</t>
  </si>
  <si>
    <t>Nein</t>
  </si>
  <si>
    <t>Freundschaft</t>
  </si>
  <si>
    <t>Tiere Befehligen</t>
  </si>
  <si>
    <t>Respekt einflößen</t>
  </si>
  <si>
    <t>Entmutigen</t>
  </si>
  <si>
    <t>Lachanfall</t>
  </si>
  <si>
    <t>Stumm</t>
  </si>
  <si>
    <t>Besänftigen</t>
  </si>
  <si>
    <t>Traurigkeit</t>
  </si>
  <si>
    <t xml:space="preserve">Zögern </t>
  </si>
  <si>
    <t>Herrschaft über Tiere</t>
  </si>
  <si>
    <t>Konfus</t>
  </si>
  <si>
    <t>Tick Verursachen</t>
  </si>
  <si>
    <t>Zorn</t>
  </si>
  <si>
    <t xml:space="preserve">Schmerzt unterdrücken </t>
  </si>
  <si>
    <t>Berserker</t>
  </si>
  <si>
    <t xml:space="preserve">Einschläfern </t>
  </si>
  <si>
    <t>Furcht</t>
  </si>
  <si>
    <t>Aufmerksamkeit</t>
  </si>
  <si>
    <t>Verwirrung</t>
  </si>
  <si>
    <t>Mächtige Tierherrschaft</t>
  </si>
  <si>
    <t>Totale Kontrolle</t>
  </si>
  <si>
    <t>Totale Tier Kontrolle</t>
  </si>
  <si>
    <t>Massen Raserei</t>
  </si>
  <si>
    <t>Menschen befehligen</t>
  </si>
  <si>
    <t>Splittersturm</t>
  </si>
  <si>
    <t>Erdbeschwörung</t>
  </si>
  <si>
    <t>Großer Steinschuss</t>
  </si>
  <si>
    <t>Große Splitteraura</t>
  </si>
  <si>
    <t>Steinfaust</t>
  </si>
  <si>
    <t>Splitterwand</t>
  </si>
  <si>
    <t>Steinkugel</t>
  </si>
  <si>
    <t>Splitter-Aura</t>
  </si>
  <si>
    <t>Steinschuss</t>
  </si>
  <si>
    <t>Splitterstrahl</t>
  </si>
  <si>
    <t>Steinschlag</t>
  </si>
  <si>
    <t>Große Steinfaust</t>
  </si>
  <si>
    <t>Steinkugel-Salve</t>
  </si>
  <si>
    <t>Große Steinkugel</t>
  </si>
  <si>
    <t>Steinschuss-Salve</t>
  </si>
  <si>
    <t>Große Splitterwand</t>
  </si>
  <si>
    <t>Erd-Klinge</t>
  </si>
  <si>
    <t>Großer Steinschlag</t>
  </si>
  <si>
    <t>Große Steinkugel-Salve</t>
  </si>
  <si>
    <t>Großer Splitterstrahl</t>
  </si>
  <si>
    <t>Splitter-Pfeil</t>
  </si>
  <si>
    <t>Großer Splittersturm</t>
  </si>
  <si>
    <t>Große Steinschuss-Salve</t>
  </si>
  <si>
    <t>Flammenmeer</t>
  </si>
  <si>
    <t>Feuerbeschwörung</t>
  </si>
  <si>
    <t>Großer Feuerpfeil</t>
  </si>
  <si>
    <t>Große Flammenaura</t>
  </si>
  <si>
    <t>Flammenfaust</t>
  </si>
  <si>
    <t>Flammenwand</t>
  </si>
  <si>
    <t>Feuerball</t>
  </si>
  <si>
    <t>Flammenaura</t>
  </si>
  <si>
    <t>Flammenstrahl</t>
  </si>
  <si>
    <t>Feuerpfeil</t>
  </si>
  <si>
    <t>Feuerblitz</t>
  </si>
  <si>
    <t>Große Flammenfaust</t>
  </si>
  <si>
    <t>Feuerball-Salve</t>
  </si>
  <si>
    <t>Großer Feuerball</t>
  </si>
  <si>
    <t>Feuerpfeil-Salve</t>
  </si>
  <si>
    <t>Große Flammenwand</t>
  </si>
  <si>
    <t>Großer Feuerblitz</t>
  </si>
  <si>
    <t>Große Feuerball-Salve</t>
  </si>
  <si>
    <t>Großer Flammenstrahl</t>
  </si>
  <si>
    <t>Feuer-Klinge</t>
  </si>
  <si>
    <t>Flammen-Pfeil</t>
  </si>
  <si>
    <t>Inferno</t>
  </si>
  <si>
    <t>Große Feuerpfeil-Salve</t>
  </si>
  <si>
    <t>Gliedmaßen nachwachsen lassen</t>
  </si>
  <si>
    <t>Heilung</t>
  </si>
  <si>
    <t>Mittlere Fernheilung</t>
  </si>
  <si>
    <t>Mächtige Heilung</t>
  </si>
  <si>
    <t>Großer Gesundheit wiederherstellen</t>
  </si>
  <si>
    <t>Selbstbeherrschung erhöhen</t>
  </si>
  <si>
    <t>Wunden schließen</t>
  </si>
  <si>
    <t>Ruhiger Schlaf</t>
  </si>
  <si>
    <t>Schmerz unterdrücken</t>
  </si>
  <si>
    <t>Zwang unterdrücken</t>
  </si>
  <si>
    <t>Ausdauer wiederherstellen</t>
  </si>
  <si>
    <t>Kleine Heilung</t>
  </si>
  <si>
    <t>Schlaf der Heilung</t>
  </si>
  <si>
    <t>Entzug lindern</t>
  </si>
  <si>
    <t>Mittlere Heilung</t>
  </si>
  <si>
    <t>Gift lindern</t>
  </si>
  <si>
    <t>Krankheit heilen</t>
  </si>
  <si>
    <t>Koma der Heilung</t>
  </si>
  <si>
    <t>Defibrillator</t>
  </si>
  <si>
    <t>Große Heilung</t>
  </si>
  <si>
    <t>Kleine Fernheilung</t>
  </si>
  <si>
    <t>Entseuchung</t>
  </si>
  <si>
    <t>Gesundheit wiederherstellen</t>
  </si>
  <si>
    <t>Tod verzögern</t>
  </si>
  <si>
    <t>Große Fernheilung</t>
  </si>
  <si>
    <t>Mächtige Entseuchung</t>
  </si>
  <si>
    <t>Magische Krankheit heilen</t>
  </si>
  <si>
    <t>Regeneration</t>
  </si>
  <si>
    <t>Gesundheit erhöhen</t>
  </si>
  <si>
    <t>Totale Regeneration</t>
  </si>
  <si>
    <t>Mächtige Fernheilung</t>
  </si>
  <si>
    <t>Trefferschwelle erhöhen</t>
  </si>
  <si>
    <t>Wiederbelebung</t>
  </si>
  <si>
    <t>Blick in die Gedanken</t>
  </si>
  <si>
    <t>Hellsicht</t>
  </si>
  <si>
    <t>Artefakt erkennen</t>
  </si>
  <si>
    <t>Dämmerungssicht</t>
  </si>
  <si>
    <t>Infrarotsicht</t>
  </si>
  <si>
    <t>Durchblick</t>
  </si>
  <si>
    <t>Astralsicht</t>
  </si>
  <si>
    <t>Blick aufs Wesen</t>
  </si>
  <si>
    <t>Blick durch fremde Augen</t>
  </si>
  <si>
    <t>Aura analysieren</t>
  </si>
  <si>
    <t>Kampfmaschine</t>
  </si>
  <si>
    <t>Blick in die Zukunft</t>
  </si>
  <si>
    <t>Bewegte Illusion</t>
  </si>
  <si>
    <t>Illusion</t>
  </si>
  <si>
    <t>Chamäleon</t>
  </si>
  <si>
    <t>Vollsensorische Illusion</t>
  </si>
  <si>
    <t>Funkentanz</t>
  </si>
  <si>
    <t>Licht</t>
  </si>
  <si>
    <t>Magische Schriftzeichen</t>
  </si>
  <si>
    <t>Magische Verkleidung</t>
  </si>
  <si>
    <t>Blitzlicht</t>
  </si>
  <si>
    <t>Geräuschillusion</t>
  </si>
  <si>
    <t>Nebelwand</t>
  </si>
  <si>
    <t>Stimme verändern</t>
  </si>
  <si>
    <t>Zweites Gesicht</t>
  </si>
  <si>
    <t>Dunkelheit</t>
  </si>
  <si>
    <t>Durchsichtiger Gegenstand</t>
  </si>
  <si>
    <t>Trugbild der Hässlichkeit</t>
  </si>
  <si>
    <t>Unbewegte Illusion</t>
  </si>
  <si>
    <t>Großer Funkentanz</t>
  </si>
  <si>
    <t>Nebel</t>
  </si>
  <si>
    <t>Unsichtbarer Gegenstand</t>
  </si>
  <si>
    <t>Magischer Nebel</t>
  </si>
  <si>
    <t>Unauffindbarkeit</t>
  </si>
  <si>
    <t>Unsichtbarkeit</t>
  </si>
  <si>
    <t>Bewegte vollsensorische Illusion</t>
  </si>
  <si>
    <t>Große Sturmaura</t>
  </si>
  <si>
    <t>Luftbeschwörung</t>
  </si>
  <si>
    <t>Große Magische Aura</t>
  </si>
  <si>
    <t>Tornado</t>
  </si>
  <si>
    <t>Großer Sturmpfeil</t>
  </si>
  <si>
    <t>Sturmwand</t>
  </si>
  <si>
    <t>Sturmfaust</t>
  </si>
  <si>
    <t>Sturmaura</t>
  </si>
  <si>
    <t>Sturmstrahl</t>
  </si>
  <si>
    <t>Magischer Strahl</t>
  </si>
  <si>
    <t>Sturmpfeil</t>
  </si>
  <si>
    <t>Sturmblitz</t>
  </si>
  <si>
    <t>Große Sturmfaust</t>
  </si>
  <si>
    <t>Große Sturmwand</t>
  </si>
  <si>
    <t>Großer Sturmball</t>
  </si>
  <si>
    <t>Sturmpfeil-Salve</t>
  </si>
  <si>
    <t>Großer Sturmblitz</t>
  </si>
  <si>
    <t>Große Sturmball-Salve</t>
  </si>
  <si>
    <t>Sturmball</t>
  </si>
  <si>
    <t>Sturmball-Salve</t>
  </si>
  <si>
    <t>Luft-Klinge</t>
  </si>
  <si>
    <t>Großer Tornado</t>
  </si>
  <si>
    <t>Große Sturmpfeil-Salve</t>
  </si>
  <si>
    <t>Sturm-Pfeil</t>
  </si>
  <si>
    <t>Blitz-Klinge</t>
  </si>
  <si>
    <t>Magiebeschwörung</t>
  </si>
  <si>
    <t>Statisches Feld</t>
  </si>
  <si>
    <t>Großes Magisches Geschoss</t>
  </si>
  <si>
    <t>Wand aus Magie</t>
  </si>
  <si>
    <t>Magische Faust</t>
  </si>
  <si>
    <t>Großer Sturmstrahl</t>
  </si>
  <si>
    <t>Großer Magischer Strahl</t>
  </si>
  <si>
    <t>Große Magische Entladung</t>
  </si>
  <si>
    <t>Magischer Ball</t>
  </si>
  <si>
    <t>Magische Aura</t>
  </si>
  <si>
    <t>Magisches Geschoss</t>
  </si>
  <si>
    <t>Magische Entladung</t>
  </si>
  <si>
    <t>Große Magische Faust</t>
  </si>
  <si>
    <t>Magische Ball-Salve</t>
  </si>
  <si>
    <t>Große Wand aus Magie</t>
  </si>
  <si>
    <t>Großer Magischer Ball</t>
  </si>
  <si>
    <t>Magische Geschoss-Salve</t>
  </si>
  <si>
    <t>Große Magische Ball-Salve</t>
  </si>
  <si>
    <t>Schock-Pfeil</t>
  </si>
  <si>
    <t>Großes statisches Feld</t>
  </si>
  <si>
    <t>Große Magische Geschoss-Salve</t>
  </si>
  <si>
    <t>Schwerkraft erhöhen</t>
  </si>
  <si>
    <t>Veränderung</t>
  </si>
  <si>
    <t>Rüstung schwächen</t>
  </si>
  <si>
    <t>Unbelebte Materie zerstören</t>
  </si>
  <si>
    <t>Wettermeisterschaft</t>
  </si>
  <si>
    <t>Weg aus Licht</t>
  </si>
  <si>
    <t>In Nahrung verwandeln</t>
  </si>
  <si>
    <t>Magisches Makeover</t>
  </si>
  <si>
    <t>Wasserwandeln</t>
  </si>
  <si>
    <t>Material erweichen</t>
  </si>
  <si>
    <t>Material schwächen</t>
  </si>
  <si>
    <t>Mechanik schmieren</t>
  </si>
  <si>
    <t>Blankwaffe erschaffen</t>
  </si>
  <si>
    <t>Gegenstand fixieren</t>
  </si>
  <si>
    <t>Material verhärten</t>
  </si>
  <si>
    <t>Material verstärken</t>
  </si>
  <si>
    <t>Temperatur verändern</t>
  </si>
  <si>
    <t>In Pflanze verwandeln</t>
  </si>
  <si>
    <t>Gift neutralisieren</t>
  </si>
  <si>
    <t>Mechanik blockieren</t>
  </si>
  <si>
    <t>Rüstung verstärken</t>
  </si>
  <si>
    <t>Verwandlung in [Element]</t>
  </si>
  <si>
    <t>Materie zerstören</t>
  </si>
  <si>
    <t>Stillstand</t>
  </si>
  <si>
    <t>Fleisch zu Stein</t>
  </si>
  <si>
    <t>Blitz-Klinge (V)</t>
  </si>
  <si>
    <t>Verzauberung</t>
  </si>
  <si>
    <t>Erd-Klinge (V)</t>
  </si>
  <si>
    <t>Gecko</t>
  </si>
  <si>
    <t>Schwäche</t>
  </si>
  <si>
    <t>Verwandlung</t>
  </si>
  <si>
    <t>Mechanismus antreiben</t>
  </si>
  <si>
    <t>Nebelleib</t>
  </si>
  <si>
    <t>Warp</t>
  </si>
  <si>
    <t>Golem Kämpfer</t>
  </si>
  <si>
    <t>Feuer-Klinge (V)</t>
  </si>
  <si>
    <t>Flammen-Pfeil (V)</t>
  </si>
  <si>
    <t>Dummheit</t>
  </si>
  <si>
    <t>Last des Alters</t>
  </si>
  <si>
    <t>Grundfertigkeit erhöhen</t>
  </si>
  <si>
    <t>WHK erhöhen</t>
  </si>
  <si>
    <t>Ausstrahlung erhöhen</t>
  </si>
  <si>
    <t>Manaspende</t>
  </si>
  <si>
    <t>Telekinese</t>
  </si>
  <si>
    <t>Kiemen</t>
  </si>
  <si>
    <t>Körperliche Eigenschaft erhöhen</t>
  </si>
  <si>
    <t>Explosionsfalle</t>
  </si>
  <si>
    <t>Mana-Fernspende</t>
  </si>
  <si>
    <t>Geistesbund</t>
  </si>
  <si>
    <t>Geistige Eigenschaft erhöhen</t>
  </si>
  <si>
    <t>Hässlichkeit</t>
  </si>
  <si>
    <t>Frost-Klinge (V)</t>
  </si>
  <si>
    <t>Frost-Pfeil (V)</t>
  </si>
  <si>
    <t>Beschleuniger</t>
  </si>
  <si>
    <t>Luft-Klinge (V)</t>
  </si>
  <si>
    <t>Schock-Pfeil (V)</t>
  </si>
  <si>
    <t>Körperliche Eigenschaft senken</t>
  </si>
  <si>
    <t>Sinne verbessern</t>
  </si>
  <si>
    <t>Splitter-Pfeil (V)</t>
  </si>
  <si>
    <t>Unbelebtes Teleportieren</t>
  </si>
  <si>
    <t>Geistige Eigenschaft senken</t>
  </si>
  <si>
    <t>In [Tier] verwandeln</t>
  </si>
  <si>
    <t>Verlangsamen</t>
  </si>
  <si>
    <t>Große Telekinese</t>
  </si>
  <si>
    <t>Wachstum beeinflussen</t>
  </si>
  <si>
    <t>Sturm-Pfeil (V)</t>
  </si>
  <si>
    <t>Großer Golem</t>
  </si>
  <si>
    <t>Krüppel</t>
  </si>
  <si>
    <t>Leib aus [Element]</t>
  </si>
  <si>
    <t>Tod (NN)</t>
  </si>
  <si>
    <t>Verjüngung</t>
  </si>
  <si>
    <t>Golem Diener</t>
  </si>
  <si>
    <t>Leben Einhauchen</t>
  </si>
  <si>
    <t>Große Eisaura</t>
  </si>
  <si>
    <t>Wasserbeschwörung</t>
  </si>
  <si>
    <t>Blizzard</t>
  </si>
  <si>
    <t>Großer Frostbolzen</t>
  </si>
  <si>
    <t>Großer Eisstrahl</t>
  </si>
  <si>
    <t>Frost-Klinge</t>
  </si>
  <si>
    <t>Frost-Pfeil</t>
  </si>
  <si>
    <t>Großer Eisblitz</t>
  </si>
  <si>
    <t>Große Eisball-Salve</t>
  </si>
  <si>
    <t>Frostwand</t>
  </si>
  <si>
    <t>Frostfaust</t>
  </si>
  <si>
    <t>Eisball</t>
  </si>
  <si>
    <t>Eis-Aura</t>
  </si>
  <si>
    <t>Eisstrahl</t>
  </si>
  <si>
    <t>Frostbolzen</t>
  </si>
  <si>
    <t>Eisblitz</t>
  </si>
  <si>
    <t>Große Frostfaust</t>
  </si>
  <si>
    <t>Eisball-Salve</t>
  </si>
  <si>
    <t>Große Frostwand</t>
  </si>
  <si>
    <t>Großer Eisball</t>
  </si>
  <si>
    <t>Frostbolzen-Salve</t>
  </si>
  <si>
    <t>Großer Blizzard</t>
  </si>
  <si>
    <t>Große Frostbolzen-Salve</t>
  </si>
  <si>
    <t>Sonderfertigkeiten</t>
  </si>
  <si>
    <t>Alchemieresistenz</t>
  </si>
  <si>
    <t>Fliehen</t>
  </si>
  <si>
    <t>Rüstungsmanöver</t>
  </si>
  <si>
    <t>Selbstbeherrschung</t>
  </si>
  <si>
    <t>Tragen</t>
  </si>
  <si>
    <t>KI-Meditation</t>
  </si>
  <si>
    <t>Konzentration</t>
  </si>
  <si>
    <t>Mana-Meditation</t>
  </si>
  <si>
    <t>Mana-Talent</t>
  </si>
  <si>
    <t>Mentale Kapazität</t>
  </si>
  <si>
    <t>Gefahreninstinkt</t>
  </si>
  <si>
    <t>LS Armbrust</t>
  </si>
  <si>
    <t>LS Bogen</t>
  </si>
  <si>
    <t>LS Blasrohr</t>
  </si>
  <si>
    <t>LS Vorderlader</t>
  </si>
  <si>
    <t>LS Patrone</t>
  </si>
  <si>
    <t>LS Rune</t>
  </si>
  <si>
    <t>LS Kanone</t>
  </si>
  <si>
    <t>LS Schleuder</t>
  </si>
  <si>
    <t>LS Wurfmesser</t>
  </si>
  <si>
    <t>Gutes AW</t>
  </si>
  <si>
    <t>Meisterl. AW</t>
  </si>
  <si>
    <t>Grundfertigkeiten</t>
  </si>
  <si>
    <t>Fliegen</t>
  </si>
  <si>
    <t>Klettern</t>
  </si>
  <si>
    <t>Körperbeherrschung</t>
  </si>
  <si>
    <t>Springen</t>
  </si>
  <si>
    <t>Luft anhalten</t>
  </si>
  <si>
    <t>Reiten</t>
  </si>
  <si>
    <t>Rudern</t>
  </si>
  <si>
    <t>Schleichen</t>
  </si>
  <si>
    <t>Schwimmen</t>
  </si>
  <si>
    <t>Verstecken</t>
  </si>
  <si>
    <t>Betören</t>
  </si>
  <si>
    <t>Einschüchtern</t>
  </si>
  <si>
    <t>Fährtensuche</t>
  </si>
  <si>
    <t>Lügen</t>
  </si>
  <si>
    <t>Orientierung</t>
  </si>
  <si>
    <t>Menschenkenntnis</t>
  </si>
  <si>
    <t>WHKs</t>
  </si>
  <si>
    <t>Spez 1</t>
  </si>
  <si>
    <t>WHK6</t>
  </si>
  <si>
    <t>WHK7</t>
  </si>
  <si>
    <t>WHK8</t>
  </si>
  <si>
    <t>WHK9</t>
  </si>
  <si>
    <t>WHK10</t>
  </si>
  <si>
    <t>WHK11</t>
  </si>
  <si>
    <t>WHK12</t>
  </si>
  <si>
    <t>WHK13</t>
  </si>
  <si>
    <t>WHK14</t>
  </si>
  <si>
    <t>WHK15</t>
  </si>
  <si>
    <t>WHK16</t>
  </si>
  <si>
    <t>WHK17</t>
  </si>
  <si>
    <t>WHK18</t>
  </si>
  <si>
    <t>WHK19</t>
  </si>
  <si>
    <t>WHK20</t>
  </si>
  <si>
    <t>WHK21</t>
  </si>
  <si>
    <t>WHK22</t>
  </si>
  <si>
    <t>WHK23</t>
  </si>
  <si>
    <t>WHK24</t>
  </si>
  <si>
    <t>WHK25</t>
  </si>
  <si>
    <t>Spez 2</t>
  </si>
  <si>
    <t>Spez 3</t>
  </si>
  <si>
    <t>-&gt; Armklingen</t>
  </si>
  <si>
    <t>-&gt; Messer</t>
  </si>
  <si>
    <t>-&gt; Peitschen</t>
  </si>
  <si>
    <t>-&gt; Rüstung</t>
  </si>
  <si>
    <t>-&gt; Schild</t>
  </si>
  <si>
    <t>-&gt; Dolche</t>
  </si>
  <si>
    <t>-&gt; Fechtwaffen</t>
  </si>
  <si>
    <t>-&gt; Kurzschwerter</t>
  </si>
  <si>
    <t>-&gt; Schwerter</t>
  </si>
  <si>
    <t>-&gt; Zweihänder</t>
  </si>
  <si>
    <t>-&gt; Äxte</t>
  </si>
  <si>
    <t>-&gt; Stumpfe Hiebwaffen</t>
  </si>
  <si>
    <t>-&gt; Kettenwaffen</t>
  </si>
  <si>
    <t>-&gt; Beidhand-Hiebwaffen</t>
  </si>
  <si>
    <t>-&gt; Stäbe</t>
  </si>
  <si>
    <t>-&gt; Speere</t>
  </si>
  <si>
    <t>-&gt; Hellebarden</t>
  </si>
  <si>
    <t>-&gt; Lanzen</t>
  </si>
  <si>
    <t>Fernkampfwaffen</t>
  </si>
  <si>
    <t>-&gt; Bögen</t>
  </si>
  <si>
    <t>Schusswaffen</t>
  </si>
  <si>
    <t>-&gt; Armbrust</t>
  </si>
  <si>
    <t>-&gt; Pistole</t>
  </si>
  <si>
    <t>-&gt; Musketen</t>
  </si>
  <si>
    <t>WHK26</t>
  </si>
  <si>
    <t>WHK27</t>
  </si>
  <si>
    <t>WHK28</t>
  </si>
  <si>
    <t>WHK29</t>
  </si>
  <si>
    <t>WHK30</t>
  </si>
  <si>
    <t>Froschlunge</t>
  </si>
  <si>
    <t>Kraftakt</t>
  </si>
  <si>
    <t xml:space="preserve">Wuchtschlag </t>
  </si>
  <si>
    <t>Kampfrausch</t>
  </si>
  <si>
    <t>Abhärtung</t>
  </si>
  <si>
    <t>Steinhaut</t>
  </si>
  <si>
    <t xml:space="preserve">Abwehr </t>
  </si>
  <si>
    <t>Geschossen ausweichen</t>
  </si>
  <si>
    <t>Paradeserie</t>
  </si>
  <si>
    <t>Konter</t>
  </si>
  <si>
    <t>Selbstheilung</t>
  </si>
  <si>
    <t>Dauerlauf</t>
  </si>
  <si>
    <t>Sprint</t>
  </si>
  <si>
    <t>Sprung</t>
  </si>
  <si>
    <t xml:space="preserve">Eigenanziehung verringern </t>
  </si>
  <si>
    <t>Gleichgewicht &amp; Feingefühl</t>
  </si>
  <si>
    <t>Katzenauge</t>
  </si>
  <si>
    <t>Fledermausohr &amp; Aalnase (aka Luchsenohr)</t>
  </si>
  <si>
    <t>Adlerauge</t>
  </si>
  <si>
    <t>Magie aufspüren</t>
  </si>
  <si>
    <t>Ewige Erinnerung</t>
  </si>
  <si>
    <t>Erleuchtung</t>
  </si>
  <si>
    <t>Charisma</t>
  </si>
  <si>
    <t>Meister des ....</t>
  </si>
  <si>
    <t>KI-Fähigkeiten</t>
  </si>
  <si>
    <t>Spruchzauber</t>
  </si>
  <si>
    <t>Offensives AW</t>
  </si>
  <si>
    <t>Defensives AW</t>
  </si>
  <si>
    <t>Sprinten   (m/s)</t>
  </si>
  <si>
    <t>Hochsprung (m)</t>
  </si>
  <si>
    <t>Meisterliches AW</t>
  </si>
  <si>
    <t>Weitsprung (m)</t>
  </si>
  <si>
    <t>m/s</t>
  </si>
  <si>
    <t>GBE</t>
  </si>
  <si>
    <t>GBE-Faktor fehlt</t>
  </si>
  <si>
    <t xml:space="preserve">PSI-Fähigkeiten: </t>
  </si>
  <si>
    <t>verteilte Talentpunkte insgesamt</t>
  </si>
  <si>
    <t>Talentpunkte</t>
  </si>
  <si>
    <t>verbrauchte Talentpunkte</t>
  </si>
  <si>
    <t>E</t>
  </si>
  <si>
    <t>Schlaf: Insomnia</t>
  </si>
  <si>
    <t>Krankheit: Migräne 1 – 30</t>
  </si>
  <si>
    <t>S</t>
  </si>
  <si>
    <t>Fähigkeit: Fliegen</t>
  </si>
  <si>
    <t>Fähigkeit: Schweben</t>
  </si>
  <si>
    <t>Fähigkeit: Natürliche Regeneration III</t>
  </si>
  <si>
    <t>Fähigkeit: Natürliche Regeneration II</t>
  </si>
  <si>
    <t>Fähigkeit: Natürliche Regeneration I</t>
  </si>
  <si>
    <t>Fähigkeit: Teleportation</t>
  </si>
  <si>
    <t>E&amp;1</t>
  </si>
  <si>
    <t>Sicht: Astrales Auge</t>
  </si>
  <si>
    <t>Fähigkeit: Wasserwandeln</t>
  </si>
  <si>
    <t>Aussehen: Herausragendes Aussehen</t>
  </si>
  <si>
    <t>Aussehen: Allerweltsgesicht</t>
  </si>
  <si>
    <t>E&amp;3</t>
  </si>
  <si>
    <t>Sprachtalent</t>
  </si>
  <si>
    <t>Sicht: Nachtsicht</t>
  </si>
  <si>
    <t>Sicht: Infrarotsicht</t>
  </si>
  <si>
    <t>Sicht: Astrales Auge II</t>
  </si>
  <si>
    <t>SF: Krankheitsresistenz</t>
  </si>
  <si>
    <t>Weltgewandt</t>
  </si>
  <si>
    <t>Sicht: Dämmerungssicht</t>
  </si>
  <si>
    <t>Sicht: Blinder Kampf</t>
  </si>
  <si>
    <t>Fähigkeit: Meisterliche [Optionale Fertigkeit]</t>
  </si>
  <si>
    <t>Fähigkeit: Meisterliche [Grundfertigkeit]</t>
  </si>
  <si>
    <t>Charismatischer Führer</t>
  </si>
  <si>
    <t>Aussehen: Gutes Aussehen</t>
  </si>
  <si>
    <t>Schlaf: Leichter Schlaf</t>
  </si>
  <si>
    <t>Schlaf: Normal</t>
  </si>
  <si>
    <t>Schlaf: Tiefer Schlaf</t>
  </si>
  <si>
    <t>Aussehen: Hässlichkeit</t>
  </si>
  <si>
    <t>Aussehen: Widerwärtiges Aussehen</t>
  </si>
  <si>
    <t>Sicht: Einäugig</t>
  </si>
  <si>
    <t>Sicht: Blindheit</t>
  </si>
  <si>
    <t>Vor- und Nachteile</t>
  </si>
  <si>
    <t>Ja</t>
  </si>
  <si>
    <t>Angst: Magie 1-30</t>
  </si>
  <si>
    <t>Angst: Arachnophobie 1-30</t>
  </si>
  <si>
    <t>Angst: Bestimmtes domestiziertes Tier 1-30</t>
  </si>
  <si>
    <t>Angst: Hundeartige 1-30</t>
  </si>
  <si>
    <t>Angst: Hunger 1-30</t>
  </si>
  <si>
    <t>Angst: Lächerlichkeit 1-30</t>
  </si>
  <si>
    <t>Angst: Magische Wesen 1-30</t>
  </si>
  <si>
    <t>Angst: Meer 1-30</t>
  </si>
  <si>
    <t>Angst: Raubkatzen 1-30</t>
  </si>
  <si>
    <t>Angst: Schmutz 1-30</t>
  </si>
  <si>
    <t>Angst: Tiere 1-30</t>
  </si>
  <si>
    <t>Angst: Untote 1-30</t>
  </si>
  <si>
    <t>Angst: Vögel 1-30</t>
  </si>
  <si>
    <t>Angst: Wasser 1-30</t>
  </si>
  <si>
    <t>Angst: Wilde Tiere 1-30</t>
  </si>
  <si>
    <t>Angst: Xenophobie 1-30</t>
  </si>
  <si>
    <t>Aussehen: Normal</t>
  </si>
  <si>
    <t>Fähigkeit: Aura verhüllen I</t>
  </si>
  <si>
    <t>Fähigkeit: Aura verhüllen II</t>
  </si>
  <si>
    <t>Fähigkeit: Astrale Abschottung</t>
  </si>
  <si>
    <t>Krankheit: Fettleibig</t>
  </si>
  <si>
    <t>Fähigkeit: Träge Reflexe</t>
  </si>
  <si>
    <t>Angst: Magische gg.stände 1-30</t>
  </si>
  <si>
    <t>SF: Unempfindlichkeit gg. Alchemie N'N</t>
  </si>
  <si>
    <t>Resistenz gg. Magiebeschwörung</t>
  </si>
  <si>
    <t>Resistenz gg. Luftbeschwörung</t>
  </si>
  <si>
    <t>Resistenz gg. Feuerbeschwörung</t>
  </si>
  <si>
    <t>Fähigkeit: Unempfindlichkeit gg. profane Waffen</t>
  </si>
  <si>
    <t>Resistenz gg. Wasserbeschwörung</t>
  </si>
  <si>
    <t>Resistenz gg. Erdbeschwörung</t>
  </si>
  <si>
    <t>Anfälligkeit gg. Magiebeschwörung 1</t>
  </si>
  <si>
    <t>Resistenz gg. Beherrschung</t>
  </si>
  <si>
    <t>Anfälligkeit gg. Luftbeschwörung 1</t>
  </si>
  <si>
    <t>Resistenz gg. magische Heilung</t>
  </si>
  <si>
    <t>Anfälligkeit gg. Wasserbeschwörung 1</t>
  </si>
  <si>
    <t>Resistenz gg. Verzauberung</t>
  </si>
  <si>
    <t>Anfälligkeit gg. Feuerbeschwörung 1</t>
  </si>
  <si>
    <t>Anfälligkeit gg. Erdbeschwörung 1</t>
  </si>
  <si>
    <t>Anfälligkeit gg. Magiebeschwörung 2</t>
  </si>
  <si>
    <t>Anfälligkeit gg. Luftbeschwörung 2</t>
  </si>
  <si>
    <t>Anfälligkeit gg. Wasserbeschwörung 2</t>
  </si>
  <si>
    <t>Anfälligkeit gg. Feuerbeschwörung 2</t>
  </si>
  <si>
    <t>Anfälligkeit gg. Erdbeschwörung 2</t>
  </si>
  <si>
    <t>Anfälligkeit gg. Beherrschung 1</t>
  </si>
  <si>
    <t>Anfälligkeit gg. Beherrschung 2</t>
  </si>
  <si>
    <t>Anfälligkeit gg. profane Waffen</t>
  </si>
  <si>
    <t>Anfälligkeit gg. Alchemie 1 - 30</t>
  </si>
  <si>
    <t>Sicht: Kurzsichtigkeit 1-30</t>
  </si>
  <si>
    <t>Sicht: Weitsichtigkeit 1-30</t>
  </si>
  <si>
    <t>nein</t>
  </si>
  <si>
    <t>EP aus Vor- und Nachteilen</t>
  </si>
  <si>
    <t>freie RBE</t>
  </si>
  <si>
    <t>Nicht löschen!</t>
  </si>
  <si>
    <t>Startguthaben: 4000 D</t>
  </si>
  <si>
    <t>Spezies</t>
  </si>
  <si>
    <t>Beruf</t>
  </si>
  <si>
    <t>Alter</t>
  </si>
  <si>
    <t>Geburtstag</t>
  </si>
  <si>
    <t>Heimat</t>
  </si>
  <si>
    <t>Familie</t>
  </si>
  <si>
    <t>Religion</t>
  </si>
  <si>
    <t>Größe</t>
  </si>
  <si>
    <t>Gewicht</t>
  </si>
  <si>
    <t>Haarfarbe</t>
  </si>
  <si>
    <t>Haarschnitt</t>
  </si>
  <si>
    <t>Bartwuchs</t>
  </si>
  <si>
    <t>Hautfarbe</t>
  </si>
  <si>
    <t>Augenfarbe</t>
  </si>
  <si>
    <t>Karma</t>
  </si>
  <si>
    <t xml:space="preserve">Intelligenz </t>
  </si>
  <si>
    <t xml:space="preserve">Willenskraft </t>
  </si>
  <si>
    <t xml:space="preserve">Athletik </t>
  </si>
  <si>
    <t xml:space="preserve">Geschicklichkeit </t>
  </si>
  <si>
    <t xml:space="preserve">Schnelligkeit </t>
  </si>
  <si>
    <t xml:space="preserve">Stärke </t>
  </si>
  <si>
    <t>Rerolls</t>
  </si>
  <si>
    <t>Erfahrungspkt.</t>
  </si>
  <si>
    <t>Steigerungspkt.</t>
  </si>
  <si>
    <t>Nasus’Nasus</t>
  </si>
  <si>
    <t>Name: _______________________________</t>
  </si>
  <si>
    <t>ATTRIBUTE</t>
  </si>
  <si>
    <t>SONDERFERTIGKEITEN</t>
  </si>
  <si>
    <t>GRUNDFERTIGKEITEN</t>
  </si>
  <si>
    <t>EIGENSCHAFTEN</t>
  </si>
  <si>
    <t>LS Runenwaffen</t>
  </si>
  <si>
    <t>Zwergisch</t>
  </si>
  <si>
    <t>Elfisch</t>
  </si>
  <si>
    <t>Orkisch</t>
  </si>
  <si>
    <t>Goblinsch</t>
  </si>
  <si>
    <t>Dalkin</t>
  </si>
  <si>
    <t>Doxmox</t>
  </si>
  <si>
    <t>Straitmor</t>
  </si>
  <si>
    <t>-&gt; Stumpfe HW</t>
  </si>
  <si>
    <t>-&gt; Beidhändige</t>
  </si>
  <si>
    <t>NAHKAMPF</t>
  </si>
  <si>
    <t>FERNKAMPF</t>
  </si>
  <si>
    <t>SPRACHEN</t>
  </si>
  <si>
    <t>SCHRIFTEN</t>
  </si>
  <si>
    <t>TALENTE</t>
  </si>
  <si>
    <t>VOR- UND NACHTEILE</t>
  </si>
  <si>
    <t>TAP</t>
  </si>
  <si>
    <t>TAP frei</t>
  </si>
  <si>
    <t>Indianisch</t>
  </si>
  <si>
    <t>Sprachfertigkeiten</t>
  </si>
  <si>
    <t>Schriftfertigkeiten</t>
  </si>
  <si>
    <t>Meditation</t>
  </si>
  <si>
    <t>KAR</t>
  </si>
  <si>
    <t>Sorgfältiges Zielen Stufe 2</t>
  </si>
  <si>
    <t>Sorgfältiges Zielen Stufe 1</t>
  </si>
  <si>
    <t>Fernkampfgeschick Stufe 3</t>
  </si>
  <si>
    <t>Fernkampfgeschick Stufe 2</t>
  </si>
  <si>
    <t>Fernkampfgeschick Stufe 1</t>
  </si>
  <si>
    <t>Mehrfachschuss Stufe 2 "Tripelschuss"</t>
  </si>
  <si>
    <t>Mehrfachschuss Stufe 1 "Doppelschuss"</t>
  </si>
  <si>
    <t>Berittenes Werfen Stufe 2</t>
  </si>
  <si>
    <t>Berittenes Werfen Stufe 1</t>
  </si>
  <si>
    <t>Berittenes Pistolenschießen Stufe 2</t>
  </si>
  <si>
    <t>Berittenes Pistolenschießen Stufe 1</t>
  </si>
  <si>
    <t>Berittenes Musketenschießen Stufe 2</t>
  </si>
  <si>
    <t>Berittenes Musketenschießen Stufe 1</t>
  </si>
  <si>
    <t>Berittenes Bogenschießen Stufe 2</t>
  </si>
  <si>
    <t>Berittenes Bogenschießen Stufe 1</t>
  </si>
  <si>
    <t>Berittenes Armbrustschießen Stufe 2</t>
  </si>
  <si>
    <t>Berittenes Armbrustschießen Stufe 1</t>
  </si>
  <si>
    <t>Erhöht das Maximum der Sonderfertigkeit "Ladeschütze Wurfmesser" um 6 Punkte.</t>
  </si>
  <si>
    <t>Ladeschütze Wurfmesser</t>
  </si>
  <si>
    <t>Erhöht das Maximum der Sonderfertigkeit "Ladeschütze Schleuder" um 6 Punkte.</t>
  </si>
  <si>
    <t>Ladeschütze Schleuder</t>
  </si>
  <si>
    <t>Erhöht das Maximum der Sonderfertigkeit "Ladeschütze Kanone" um 6 Punkte.</t>
  </si>
  <si>
    <t>Ladeschütze Kanone</t>
  </si>
  <si>
    <t>Erhöht das Maximum der Sonderfertigkeit "Ladeschütze Rune" um 6 Punkte.</t>
  </si>
  <si>
    <t>Ladeschütze Rune</t>
  </si>
  <si>
    <t>Erhöht das Maximum der Sonderfertigkeit "Ladeschütze Patrone" um 6 Punkte.</t>
  </si>
  <si>
    <t>Ladeschütze Patrone</t>
  </si>
  <si>
    <t>Erhöht das Maximum der Sonderfertigkeit "Ladeschütze Blasrohr" um 6 Punkte.</t>
  </si>
  <si>
    <t>Ladeschütze Blasrohr</t>
  </si>
  <si>
    <t>Erhöht das Maximum der Sonderfertigkeit "Ladeschütze Bogen" um 6 Punkte.</t>
  </si>
  <si>
    <t>Ladeschütze Bogen</t>
  </si>
  <si>
    <t>Erhöht das Maximum der Sonderfertigkeit "Ladeschütze Armbrust" um 6 Punkte.</t>
  </si>
  <si>
    <t>Ladeschütze Armbrust</t>
  </si>
  <si>
    <t>PSI Fertigkeitsmaximmum +18</t>
  </si>
  <si>
    <t>PSI Psinetik Stufe 3</t>
  </si>
  <si>
    <t>PSI Psinetik Stufe 2</t>
  </si>
  <si>
    <t>PSI Psinetik Stufe 1</t>
  </si>
  <si>
    <t>PSI gute Stufe 2</t>
  </si>
  <si>
    <t>PSI gute Stufe 1</t>
  </si>
  <si>
    <t>Spruchmagie Stufe 3 zaubern</t>
  </si>
  <si>
    <t>Spruchmagie Stufe 2 zaubern</t>
  </si>
  <si>
    <t>Spruchgute Stufe 2</t>
  </si>
  <si>
    <t>Spruchgute Stufe 1</t>
  </si>
  <si>
    <t>Schnell Zaubern Stufe 3</t>
  </si>
  <si>
    <t>Schnell Zaubern Stufe 2</t>
  </si>
  <si>
    <t>Schnell Zaubern Stufe 1</t>
  </si>
  <si>
    <t>Mana Talentwert Fertigkeitsmaximum +24</t>
  </si>
  <si>
    <t>Mana Talent Stufe 4</t>
  </si>
  <si>
    <t>Mana Talent Stufe 3</t>
  </si>
  <si>
    <t>Mana Talent Stufe 2</t>
  </si>
  <si>
    <t>Mana Talent Stufe 1</t>
  </si>
  <si>
    <t>Mana Regeneration Stufe 2</t>
  </si>
  <si>
    <t>Mana Regeneration Stufe 1</t>
  </si>
  <si>
    <t>Mana Meditation Fertigkeitsmaximum +18</t>
  </si>
  <si>
    <t>Mana Meditation Stufe 3</t>
  </si>
  <si>
    <t>Mana Meditation Stufe 2</t>
  </si>
  <si>
    <t>Mana Meditation Stufe 1</t>
  </si>
  <si>
    <t>Konzentration Fertigkeitsmaximum +12</t>
  </si>
  <si>
    <t>Konzentration Stufe 3</t>
  </si>
  <si>
    <t>Konzentration Fertigkeitsmaximum +8</t>
  </si>
  <si>
    <t>Konzentration Stufe 2</t>
  </si>
  <si>
    <t>Konzentration Stufe 1</t>
  </si>
  <si>
    <t>Zaubermaximum +18 für eine Schule. Kann für jede Schule einmal gekauft werden.</t>
  </si>
  <si>
    <t>Erzmagus [Schule] Stufe 3</t>
  </si>
  <si>
    <t>Zaubermaximum +12 für eine Schule. Kann für jede Schule einmal gekauft werden.</t>
  </si>
  <si>
    <t>Großmagus [Schule] Stufe 2</t>
  </si>
  <si>
    <t>Zaubermaximum +6 für eine Schule. Kann für jede Schule einmal gekauft werden.</t>
  </si>
  <si>
    <t>Magus [Schule] Stufe 1</t>
  </si>
  <si>
    <t>Blutmagie Stufe 3</t>
  </si>
  <si>
    <t>Blutmagie Stufe 2</t>
  </si>
  <si>
    <t>Blutmagie Stufe 1</t>
  </si>
  <si>
    <t>Erhöht das Maximum der Kampffertigkeit um 6 Punkte.</t>
  </si>
  <si>
    <t>Kampffertigkeit erhöhen: Schusswaffen</t>
  </si>
  <si>
    <t>Kampffertigkeit erhöhen: Bögen</t>
  </si>
  <si>
    <t>Kampffertigkeit erhöhen: Stangenwaffen</t>
  </si>
  <si>
    <t>Kampffertigkeit erhöhen: Hiebwaffen</t>
  </si>
  <si>
    <t>Kampffertigkeit erhöhen: Klingenwaffen</t>
  </si>
  <si>
    <t>Kampffertigkeit erhöhen: Stichwaffen</t>
  </si>
  <si>
    <t>Kampffertigkeit erhöhen: Unbewaffnet</t>
  </si>
  <si>
    <t>Zäher Bursche Stufe 3</t>
  </si>
  <si>
    <t>Zäher Bursche Stufe 2</t>
  </si>
  <si>
    <t>Zäher Bursche Stufe 1</t>
  </si>
  <si>
    <t>Verteidiger Stufe 3</t>
  </si>
  <si>
    <t>Verteidiger Stufe 2</t>
  </si>
  <si>
    <t>Verteidiger Stufe 1</t>
  </si>
  <si>
    <t>Selbstbeherrschung Fertigkeitsmaximum +20</t>
  </si>
  <si>
    <t>Selbsbeherrschung Stufe 3</t>
  </si>
  <si>
    <t>Selbsbeherrschung Stufe 2</t>
  </si>
  <si>
    <t>Selbsbeherrschung Stufe 1</t>
  </si>
  <si>
    <t>Rüstungsmanöver Fertigkeitsmaximum +12</t>
  </si>
  <si>
    <t>Rüstungsmanöver Stufe 3</t>
  </si>
  <si>
    <t>Rüstungsmanöver Fertigkeitsmaximum +8</t>
  </si>
  <si>
    <t>Rüstungsmanöver Stufe 2</t>
  </si>
  <si>
    <t>Rüstungsmanöver Fertigkeitsmaximum +4</t>
  </si>
  <si>
    <t>Rüstungsmanöver Stufe 1</t>
  </si>
  <si>
    <t>Offensiver Kampfstil Stufe 3</t>
  </si>
  <si>
    <t>Offensiver Kampfstil Stufe 2</t>
  </si>
  <si>
    <t>Offensiver Kampfstil Stufe 1</t>
  </si>
  <si>
    <t>Erlaubt dem Charakter, zwei Waffen mit max. WK 6,5 (unmodifizierter Listenwert) im Kampf zu führen.</t>
  </si>
  <si>
    <t>Kampf mit zwei Waffen Stufe 4</t>
  </si>
  <si>
    <t>Erlaubt dem Charakter, zwei Waffen mit max. WK 5,5 (unmodifizierter Listenwert) im Kampf zu führen.</t>
  </si>
  <si>
    <t>Kampf mit zwei Waffen Stufe 3</t>
  </si>
  <si>
    <t>Erlaubt dem Charakter, zwei Waffen mit max. WK 4,5 (unmodifizierter Listenwert) im Kampf zu führen.</t>
  </si>
  <si>
    <t>Kampf mit zwei Waffen Stufe 2</t>
  </si>
  <si>
    <t>Erlaubt dem Charakter, zwei Waffen mit max. WK 3,5 (unmodifizierter Listenwert) im Kampf zu führen und unbewaffnete Extra-Aktionen mit der Nebenhand auszuführen.  Dieses Talent kann nicht auf Stangenwaffen angewendet werden. 
Die n-Mods und Mindeststärken beider Waffen werden addiert.
Bei Attacken gilt die 1,5-fache WK der Waffe mit der höheren WK, bei Paraden werden beide WK addiert.
Der Charakter attackiert mit den Werten der Waffe, die jeweils zum Angriff genutzt wird, und pariert immer mit dem besseren Paradewert beider Waffen.</t>
  </si>
  <si>
    <t>Kampf mit zwei Waffen Stufe 1</t>
  </si>
  <si>
    <t>Ermöglicht dem Krieger nach einer um 15 erschwerten Parade, die um eine Klasse höher war als die Attacke, eine Konterattacke mit AT-Klasse -1.</t>
  </si>
  <si>
    <t>Erhöht das Maximum aller KI-Fähigkeiten um +18</t>
  </si>
  <si>
    <t>KI-Meister</t>
  </si>
  <si>
    <t>Mentale Kapazität Fertigkeitsmaximum +12</t>
  </si>
  <si>
    <t>KI Mentale Kapazität Stufe 3</t>
  </si>
  <si>
    <t>Mentale Kapazität Fertigkeitsmaximum +8</t>
  </si>
  <si>
    <t>KI Mentale Kapazität Stufe 2</t>
  </si>
  <si>
    <t>KI Mentale Kapazität Stufe 1</t>
  </si>
  <si>
    <t>KI gute Stufe 2</t>
  </si>
  <si>
    <t>KI gute Stufe 1</t>
  </si>
  <si>
    <t>Erhöht die Maxima Grundfertigkeiten Überreden &amp; Überzeugen zusätzlich um +6 Punkte.</t>
  </si>
  <si>
    <t>Erhöht das Maximum der Eigenschaft um 5 Punkte.</t>
  </si>
  <si>
    <t>Eigenschaften erhöhen: Geschicklichkeit</t>
  </si>
  <si>
    <t>Eigenschaften erhöhen: Konstitution</t>
  </si>
  <si>
    <t>Eigenschaften erhöhen: Stärke</t>
  </si>
  <si>
    <t>Eigenschaften erhöhen: Athletik</t>
  </si>
  <si>
    <t>Eigenschaften erhöhen: Sinnesschärfe</t>
  </si>
  <si>
    <t>Eigenschaften erhöhen: Schnelligkeit</t>
  </si>
  <si>
    <t>Eigenschaften erhöhen: Willenskraft</t>
  </si>
  <si>
    <t>Eigenschaften erhöhen: Intelligenz</t>
  </si>
  <si>
    <t>Eigenschaften erhöhen: Mut</t>
  </si>
  <si>
    <t>Eigenschaften erhöhen: Ausstrahlung</t>
  </si>
  <si>
    <t>Erhöht das Maximum der Sonderfertigkeit "Gefahreninstinkt" um 6 Punkte.</t>
  </si>
  <si>
    <t>Erhöht das Maximum der Sonderfertigkeit "Alchemiresistenz" um 12 Punkte.</t>
  </si>
  <si>
    <t>Alchemieresistenz Stufe 2</t>
  </si>
  <si>
    <t>Erhöht das Maximum der Sonderfertigkeit "Alchemiresistenz" um 6 Punkte.</t>
  </si>
  <si>
    <t>Alchemieresistenz Stufe 1</t>
  </si>
  <si>
    <t>Erhöht das Maximum der Sonderfertigkeit "Fliehen" um 12 Punkte.</t>
  </si>
  <si>
    <t>Fliehen Stufe 3</t>
  </si>
  <si>
    <t>Erhöht das Maximum der Sonderfertigkeit "Fliehen" um 8 Punkte.</t>
  </si>
  <si>
    <t>Fliehen Stufe 2</t>
  </si>
  <si>
    <t>Erhöht das Maximum der Sonderfertigkeit "Fliehen" um 4 Punkte.</t>
  </si>
  <si>
    <t>Fliehen Stufe 1</t>
  </si>
  <si>
    <t>Ermöglicht es dem Charakter, bei einer unbemerkten AT (Gefahrensinn-Probe nicht geschafft) doppelten Schaden zu verursachen und bei guter oder meisterlicher AT die Rüstung zu ignorieren. 
 In einem normalen Nahkampf ermöglicht dieses Talent dem Anwender, bei einer guten oder besseren AT für einen Bonuspunkt Rüstungsignorierend für seine AT zu wählen, dies schließt dann allerdings bei meisterlichen oder besseren AT aus, dass der Anwender schadenserhöhende Boni (höchster W, doppelte TP, etc.) wählt. Wird die Auswahl "2 normale Attacken" gewählt, so gilt "Rüstungsignorierend" nur für eine dieser zwei Attacken. 
Das Talent Meuchler kann nur mit den Kampffertigkeits-Spezialisierungen Messer, Dolche und Fechtwaffen angewendet werden.</t>
  </si>
  <si>
    <t>Das Attributs-Maximum wird um 1 erhöht.</t>
  </si>
  <si>
    <t>Attributs-Maximum erhöhen +1 KARMA</t>
  </si>
  <si>
    <t>Attributs-Maximum erhöhen +1 MAGIE</t>
  </si>
  <si>
    <t>Attributs-Maximum erhöhen +1 VITALITÄT</t>
  </si>
  <si>
    <t>Attributs-Maximum erhöhen +1 AURA</t>
  </si>
  <si>
    <t>Attributs-Maximum erhöhen +1 GLÜCK</t>
  </si>
  <si>
    <t>Grundfertigkeiten Stufe 4</t>
  </si>
  <si>
    <t>Grundfertigkeiten Stufe 3</t>
  </si>
  <si>
    <t>Grundfertigkeiten Stufe 2</t>
  </si>
  <si>
    <t>Grundfertigkeiten Stufe 1</t>
  </si>
  <si>
    <t>Erhöht das Maximum der Sonderfertigkeit "Ausdauer" um 18 Punkte.</t>
  </si>
  <si>
    <t>Ausdauer Stufe 3</t>
  </si>
  <si>
    <t>Erhöht das Maximum der Sonderfertigkeit "Ausdauer" um 12 Punkte.</t>
  </si>
  <si>
    <t>Ausdauer Stufe 2</t>
  </si>
  <si>
    <t>Erhöht das Maximum der Sonderfertigkeit "Ausdauer" um 6 Punkte.</t>
  </si>
  <si>
    <t>Ausdauer Stufe 1</t>
  </si>
  <si>
    <t>Erhöht das Maximum der Sonderfertigkeit "Ausweichen" um 12 Punkte.</t>
  </si>
  <si>
    <t>Ausweichen Stufe 2</t>
  </si>
  <si>
    <t>Erhöht das Maximum der Sonderfertigkeit "Ausweichen" um 6 Punkte.</t>
  </si>
  <si>
    <t>Ausweichen Stufe 1</t>
  </si>
  <si>
    <t>Wissens,- Handwerks,- Kulturfähigkeiten Stufe 2</t>
  </si>
  <si>
    <t>Wissens,- Handwerks,- Kulturfähigkeiten Stufe 1</t>
  </si>
  <si>
    <t>Talentpunktkosten</t>
  </si>
  <si>
    <t>Gewählt?</t>
  </si>
  <si>
    <t>Hauszauber</t>
  </si>
  <si>
    <t>MagierTap</t>
  </si>
  <si>
    <t>Magier TAP</t>
  </si>
  <si>
    <t>Traglast</t>
  </si>
  <si>
    <t>bis kg</t>
  </si>
  <si>
    <t>Freiklettern</t>
  </si>
  <si>
    <t>Geschirrklettern</t>
  </si>
  <si>
    <t>Hoch</t>
  </si>
  <si>
    <t>Weit, aus dem Stand</t>
  </si>
  <si>
    <t>Weit, mit kurzem Anlauf</t>
  </si>
  <si>
    <t>Weit, mit optimalem Anlauf</t>
  </si>
  <si>
    <t>Fortbewegung</t>
  </si>
  <si>
    <r>
      <t xml:space="preserve">Gegenstand </t>
    </r>
    <r>
      <rPr>
        <sz val="11"/>
        <color rgb="FF000000"/>
        <rFont val="Bookman Old Style"/>
        <family val="1"/>
      </rPr>
      <t>0,1-0,</t>
    </r>
    <r>
      <rPr>
        <sz val="11"/>
        <rFont val="Bookman Old Style"/>
        <family val="1"/>
      </rPr>
      <t>5kg</t>
    </r>
  </si>
  <si>
    <t>Gegenstand 0,5-1kg</t>
  </si>
  <si>
    <t>Gegenstand 1-2kg</t>
  </si>
  <si>
    <t>Wurfspeer</t>
  </si>
  <si>
    <t>Werfen</t>
  </si>
  <si>
    <t>Allgemeines</t>
  </si>
  <si>
    <t>max. Hebelast</t>
  </si>
  <si>
    <t>Schwer schleppend</t>
  </si>
  <si>
    <t>Mittel Überladen</t>
  </si>
  <si>
    <t>Schweres Marschgepäck</t>
  </si>
  <si>
    <t>Leichtes Marschgepäck</t>
  </si>
  <si>
    <t>Ausgerüstet</t>
  </si>
  <si>
    <t>Unbelastet</t>
  </si>
  <si>
    <t>Schlechte Eigenschaft Aus</t>
  </si>
  <si>
    <t>Schlechte Eigenschaft Int</t>
  </si>
  <si>
    <t>Schlechte Eigenschaft Mut</t>
  </si>
  <si>
    <t>Schlechte Eigenschaft Sin</t>
  </si>
  <si>
    <t>Schlechte Eigenschaft Wil</t>
  </si>
  <si>
    <t>Schlechte Eigenschaft Ath</t>
  </si>
  <si>
    <t>Schlechte Eigenschaft Ges</t>
  </si>
  <si>
    <t>Schlechte Eigenschaft Kon</t>
  </si>
  <si>
    <t>Schlechte Eigenschaft Sch</t>
  </si>
  <si>
    <t>Schlechte Eigenschaft Stä</t>
  </si>
  <si>
    <t>erhaltene EP</t>
  </si>
  <si>
    <t>freie EP</t>
  </si>
  <si>
    <t>NPC Bogen 0.1</t>
  </si>
  <si>
    <t>Kopf</t>
  </si>
  <si>
    <t>Brust</t>
  </si>
  <si>
    <t>L. Arm</t>
  </si>
  <si>
    <t>R. Arm</t>
  </si>
  <si>
    <t>Torso</t>
  </si>
  <si>
    <t>R. Bein</t>
  </si>
  <si>
    <t>L. Bein</t>
  </si>
  <si>
    <t xml:space="preserve">Ges. </t>
  </si>
  <si>
    <t>TS</t>
  </si>
  <si>
    <t>RS</t>
  </si>
  <si>
    <t>Name:</t>
  </si>
  <si>
    <t>Größe:</t>
  </si>
  <si>
    <t>Rasse:</t>
  </si>
  <si>
    <t>Gew:</t>
  </si>
  <si>
    <t>Vorteile:</t>
  </si>
  <si>
    <t>Nachteile:</t>
  </si>
  <si>
    <t>WEI</t>
  </si>
  <si>
    <t>SB</t>
  </si>
  <si>
    <t>BE</t>
  </si>
  <si>
    <t>Stä-Mod</t>
  </si>
  <si>
    <t>Tarn</t>
  </si>
  <si>
    <t>Fernkampf</t>
  </si>
  <si>
    <t>RB</t>
  </si>
  <si>
    <t>m/sec</t>
  </si>
  <si>
    <t>Jog</t>
  </si>
  <si>
    <t>Hochsprung</t>
  </si>
  <si>
    <t>Weitsprung</t>
  </si>
  <si>
    <t>GefSinn Probe</t>
  </si>
  <si>
    <t>Gefahrensinn</t>
  </si>
  <si>
    <t>Optio 1</t>
  </si>
  <si>
    <t>Optio 2</t>
  </si>
  <si>
    <t>Optio 3</t>
  </si>
  <si>
    <t>Optio 4</t>
  </si>
  <si>
    <t>LE l.Arm</t>
  </si>
  <si>
    <t>Optio 5</t>
  </si>
  <si>
    <t>LE r.Arm</t>
  </si>
  <si>
    <t>Optio 6</t>
  </si>
  <si>
    <t>LE l.Bein</t>
  </si>
  <si>
    <t>LE r.Bein</t>
  </si>
  <si>
    <t>Verarbeitung</t>
  </si>
  <si>
    <t>Anpassung</t>
  </si>
  <si>
    <t>Preis</t>
  </si>
  <si>
    <t>NW</t>
  </si>
  <si>
    <t>Lage 1</t>
  </si>
  <si>
    <t>Schwere Stoffrüstung</t>
  </si>
  <si>
    <t>Meisterarbeit</t>
  </si>
  <si>
    <t>angepasst</t>
  </si>
  <si>
    <t>Lage 2</t>
  </si>
  <si>
    <t>Leichte Lederrüstung</t>
  </si>
  <si>
    <t>Lage 3</t>
  </si>
  <si>
    <t>Stahl-Kettenpanzer</t>
  </si>
  <si>
    <t>Lage 4</t>
  </si>
  <si>
    <t>Schwerer Lederpanzer</t>
  </si>
  <si>
    <t>Lage 5</t>
  </si>
  <si>
    <t>Keine Rüstung</t>
  </si>
  <si>
    <t>Gesamt:</t>
  </si>
  <si>
    <t>Stoffrüstung</t>
  </si>
  <si>
    <t>Großmeisterarbeit</t>
  </si>
  <si>
    <t>perfekt angepasst</t>
  </si>
  <si>
    <t>Gesellenarbeit</t>
  </si>
  <si>
    <t>Eisen-Kettenpanzer</t>
  </si>
  <si>
    <t>Schwerer Faltstahlpanzer</t>
  </si>
  <si>
    <t>Einzelstück</t>
  </si>
  <si>
    <t>RBE</t>
  </si>
  <si>
    <t>Arme</t>
  </si>
  <si>
    <t>Beine</t>
  </si>
  <si>
    <t>Rüstung</t>
  </si>
  <si>
    <t>Legende:</t>
  </si>
  <si>
    <t xml:space="preserve">Hals, Schultergelenk, Ellenbogen, Hände, Knie und Füße werden nur mit halbem RS geschützt. Augen werden nicht geschützt.Für alle nicht genannten kritischen Trefferzonen gilt der volle Rüstungswert. </t>
  </si>
  <si>
    <t xml:space="preserve">Jedes Rüstungsteil kann durch Verarbeitung und Anpassung einmalig modifiziert werden. </t>
  </si>
  <si>
    <t xml:space="preserve">Jedes Rüstungsteil hat seine Lage als Mindest-RBE. Lage 5 (Umhänge, Aufpanzerungen) sind hiervon ausgenommen. </t>
  </si>
  <si>
    <t>Drachenschuppen und andere Aufpanzerungen verfügen über bestimmte Boni, die derzeit noch in der alten Waffentabelle aufgeführt sind...</t>
  </si>
  <si>
    <t>Lage</t>
  </si>
  <si>
    <t>Verfügbarkeit NW</t>
  </si>
  <si>
    <t>Verfügbarkeit AW</t>
  </si>
  <si>
    <t>Materialkosten</t>
  </si>
  <si>
    <t>Arbeitszeit/d</t>
  </si>
  <si>
    <t>Addons</t>
  </si>
  <si>
    <t>Verfügbarkeit</t>
  </si>
  <si>
    <t>Leichte Stoffrüstung</t>
  </si>
  <si>
    <t>Leichte Drachenschuppen</t>
  </si>
  <si>
    <t>Drachenschuppen</t>
  </si>
  <si>
    <t>Schwere Drachenschuppen</t>
  </si>
  <si>
    <t>Spinnweben</t>
  </si>
  <si>
    <t>Lederrüstung</t>
  </si>
  <si>
    <t>Lohn</t>
  </si>
  <si>
    <t>Schwere Lederrüstung</t>
  </si>
  <si>
    <t>Schwerer Eisen-Kettenpanzer</t>
  </si>
  <si>
    <t>Faltstahl-Kettenpanzer</t>
  </si>
  <si>
    <t>Zusätzliche Tage</t>
  </si>
  <si>
    <t>Schwerer Stahl-Kettenpanzer</t>
  </si>
  <si>
    <t>völlig unpassend</t>
  </si>
  <si>
    <t>Schwerer Faltstahl-Kettenpanzer</t>
  </si>
  <si>
    <t>von der Stange</t>
  </si>
  <si>
    <t>Lederpanzer</t>
  </si>
  <si>
    <t>Eisenpanzer</t>
  </si>
  <si>
    <t>Stahlpanzer</t>
  </si>
  <si>
    <t>Schwerer Eisenpanzer</t>
  </si>
  <si>
    <t>Schwerer Stahlpanzer</t>
  </si>
  <si>
    <t>Faltstahlpanzer</t>
  </si>
  <si>
    <t>KB</t>
  </si>
  <si>
    <t>KS</t>
  </si>
  <si>
    <t>10m</t>
  </si>
  <si>
    <t>30m</t>
  </si>
  <si>
    <t>60m</t>
  </si>
  <si>
    <t>120m</t>
  </si>
  <si>
    <t>210m</t>
  </si>
  <si>
    <t>W1</t>
  </si>
  <si>
    <t>W2</t>
  </si>
  <si>
    <t>defAW</t>
  </si>
  <si>
    <t>offAW</t>
  </si>
  <si>
    <t>KI-gute:</t>
  </si>
  <si>
    <t>Trefferschwelle</t>
  </si>
  <si>
    <t>Schild</t>
  </si>
  <si>
    <t>Summe LE</t>
  </si>
  <si>
    <t>ja</t>
  </si>
  <si>
    <t>Angst vor Verlusten (Humanoide) 1-30</t>
  </si>
  <si>
    <t>Bogenbau</t>
  </si>
  <si>
    <t>Überleben</t>
  </si>
  <si>
    <t>Tierkunde</t>
  </si>
  <si>
    <t>Pflanzenkunde</t>
  </si>
  <si>
    <t>jagen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</si>
</sst>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scheme val="minor"/>
    </font>
    <font>
      <b/>
      <sz val="11"/>
      <color theme="1"/>
      <name val="Bookman Old Style"/>
      <family val="1"/>
    </font>
    <font>
      <sz val="11"/>
      <color theme="1"/>
      <name val="Bookman Old Style"/>
      <family val="1"/>
    </font>
    <font>
      <sz val="12"/>
      <color rgb="FF000000"/>
      <name val="Bookman Old Style"/>
      <family val="1"/>
    </font>
    <font>
      <sz val="10"/>
      <color rgb="FF000000"/>
      <name val="Bookman Old Style"/>
      <family val="1"/>
    </font>
    <font>
      <sz val="10"/>
      <color theme="1"/>
      <name val="Bookman Old Style"/>
      <family val="1"/>
    </font>
    <font>
      <b/>
      <sz val="11"/>
      <name val="Bookman Old Style"/>
      <family val="1"/>
    </font>
    <font>
      <b/>
      <sz val="11"/>
      <color rgb="FFFF0000"/>
      <name val="Bookman Old Style"/>
      <family val="1"/>
    </font>
    <font>
      <sz val="11"/>
      <name val="Bookman Old Style"/>
      <family val="1"/>
    </font>
    <font>
      <b/>
      <sz val="11"/>
      <color rgb="FF0070C0"/>
      <name val="Bookman Old Style"/>
      <family val="1"/>
    </font>
    <font>
      <i/>
      <sz val="11"/>
      <color theme="1"/>
      <name val="Bookman Old Style"/>
      <family val="1"/>
    </font>
    <font>
      <b/>
      <sz val="11"/>
      <color rgb="FF099116"/>
      <name val="Bookman Old Style"/>
      <family val="1"/>
    </font>
    <font>
      <b/>
      <sz val="11"/>
      <color rgb="FF7030A0"/>
      <name val="Bookman Old Style"/>
      <family val="1"/>
    </font>
    <font>
      <b/>
      <i/>
      <sz val="11"/>
      <color rgb="FF099116"/>
      <name val="Bookman Old Style"/>
      <family val="1"/>
    </font>
    <font>
      <b/>
      <sz val="16"/>
      <color theme="1"/>
      <name val="Bookman Old Style"/>
      <family val="1"/>
    </font>
    <font>
      <b/>
      <i/>
      <sz val="11"/>
      <color theme="2" tint="-0.499984740745262"/>
      <name val="Bookman Old Style"/>
      <family val="1"/>
    </font>
    <font>
      <b/>
      <sz val="11"/>
      <color rgb="FFFFCC66"/>
      <name val="Bookman Old Style"/>
      <family val="1"/>
    </font>
    <font>
      <b/>
      <sz val="14"/>
      <color theme="1"/>
      <name val="Bookman Old Style"/>
      <family val="1"/>
    </font>
    <font>
      <sz val="11"/>
      <color theme="0" tint="-0.249977111117893"/>
      <name val="Bookman Old Style"/>
      <family val="1"/>
    </font>
    <font>
      <b/>
      <sz val="11"/>
      <color theme="0" tint="-0.249977111117893"/>
      <name val="Bookman Old Style"/>
      <family val="1"/>
    </font>
    <font>
      <b/>
      <sz val="11"/>
      <color theme="3" tint="0.39997558519241921"/>
      <name val="Bookman Old Style"/>
      <family val="1"/>
    </font>
    <font>
      <b/>
      <sz val="12"/>
      <color theme="1"/>
      <name val="Bookman Old Style"/>
      <family val="1"/>
    </font>
    <font>
      <sz val="11"/>
      <color rgb="FFFF0000"/>
      <name val="Bookman Old Style"/>
      <family val="1"/>
    </font>
    <font>
      <sz val="10"/>
      <name val="Arial"/>
      <family val="2"/>
    </font>
    <font>
      <sz val="12"/>
      <name val="Bookman Old Style"/>
      <family val="1"/>
    </font>
    <font>
      <sz val="12"/>
      <color theme="1"/>
      <name val="Bookman Old Style"/>
      <family val="1"/>
    </font>
    <font>
      <sz val="12"/>
      <color theme="1"/>
      <name val="Calibri"/>
      <family val="2"/>
      <scheme val="minor"/>
    </font>
    <font>
      <b/>
      <sz val="10"/>
      <color rgb="FFFF0000"/>
      <name val="Bookman Old Style"/>
      <family val="1"/>
    </font>
    <font>
      <b/>
      <sz val="12"/>
      <name val="Bookman Old Style"/>
      <family val="1"/>
    </font>
    <font>
      <sz val="10"/>
      <name val="Bookman Old Style"/>
      <family val="1"/>
    </font>
    <font>
      <sz val="8"/>
      <name val="Bookman Old Style"/>
      <family val="1"/>
    </font>
    <font>
      <b/>
      <sz val="9"/>
      <color rgb="FFFF0000"/>
      <name val="Bookman Old Style"/>
      <family val="1"/>
    </font>
    <font>
      <sz val="10"/>
      <color rgb="FFFF0000"/>
      <name val="Bookman Old Style"/>
      <family val="1"/>
    </font>
    <font>
      <sz val="9"/>
      <color rgb="FFFF0000"/>
      <name val="Bookman Old Style"/>
      <family val="1"/>
    </font>
    <font>
      <sz val="8"/>
      <color rgb="FFFF0000"/>
      <name val="Bookman Old Style"/>
      <family val="1"/>
    </font>
    <font>
      <shadow/>
      <sz val="22"/>
      <color theme="1"/>
      <name val="Old English Text MT"/>
      <family val="4"/>
    </font>
    <font>
      <sz val="11"/>
      <color rgb="FF000000"/>
      <name val="Bookman Old Style"/>
      <family val="1"/>
    </font>
    <font>
      <b/>
      <i/>
      <sz val="11"/>
      <name val="Bookman Old Style"/>
      <family val="1"/>
    </font>
    <font>
      <b/>
      <sz val="11"/>
      <color rgb="FF000000"/>
      <name val="Bookman Old Style"/>
      <family val="1"/>
    </font>
    <font>
      <sz val="9"/>
      <color theme="1"/>
      <name val="Bookman Old Style"/>
      <family val="1"/>
    </font>
    <font>
      <sz val="8"/>
      <color theme="1"/>
      <name val="Bookman Old Style"/>
      <family val="1"/>
    </font>
    <font>
      <b/>
      <sz val="8"/>
      <color theme="1"/>
      <name val="Bookman Old Style"/>
      <family val="1"/>
    </font>
    <font>
      <sz val="10"/>
      <name val="Calibri"/>
      <family val="2"/>
      <scheme val="minor"/>
    </font>
    <font>
      <sz val="10"/>
      <color theme="1"/>
      <name val="Calibri"/>
      <family val="2"/>
      <scheme val="minor"/>
    </font>
    <font>
      <sz val="10"/>
      <color theme="0"/>
      <name val="Calibri"/>
      <family val="2"/>
      <scheme val="minor"/>
    </font>
    <font>
      <b/>
      <sz val="10"/>
      <color theme="1"/>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tint="-0.24994659260841701"/>
        <bgColor indexed="64"/>
      </patternFill>
    </fill>
    <fill>
      <patternFill patternType="solid">
        <fgColor theme="5"/>
        <bgColor indexed="64"/>
      </patternFill>
    </fill>
    <fill>
      <patternFill patternType="solid">
        <fgColor theme="0"/>
        <bgColor indexed="64"/>
      </patternFill>
    </fill>
    <fill>
      <patternFill patternType="solid">
        <fgColor theme="1"/>
        <bgColor indexed="64"/>
      </patternFill>
    </fill>
  </fills>
  <borders count="6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ck">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medium">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double">
        <color indexed="64"/>
      </left>
      <right/>
      <top style="medium">
        <color indexed="64"/>
      </top>
      <bottom style="thin">
        <color indexed="64"/>
      </bottom>
      <diagonal/>
    </border>
    <border>
      <left style="double">
        <color indexed="64"/>
      </left>
      <right/>
      <top style="thin">
        <color indexed="64"/>
      </top>
      <bottom style="medium">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dashed">
        <color indexed="64"/>
      </right>
      <top style="medium">
        <color indexed="64"/>
      </top>
      <bottom style="thin">
        <color indexed="64"/>
      </bottom>
      <diagonal/>
    </border>
    <border>
      <left style="medium">
        <color indexed="64"/>
      </left>
      <right style="dashed">
        <color indexed="64"/>
      </right>
      <top style="thin">
        <color indexed="64"/>
      </top>
      <bottom style="thin">
        <color indexed="64"/>
      </bottom>
      <diagonal/>
    </border>
    <border>
      <left style="medium">
        <color indexed="64"/>
      </left>
      <right style="dashed">
        <color indexed="64"/>
      </right>
      <top style="thin">
        <color indexed="64"/>
      </top>
      <bottom style="medium">
        <color indexed="64"/>
      </bottom>
      <diagonal/>
    </border>
    <border>
      <left style="thin">
        <color indexed="64"/>
      </left>
      <right style="dashed">
        <color indexed="64"/>
      </right>
      <top style="medium">
        <color indexed="64"/>
      </top>
      <bottom style="thin">
        <color indexed="64"/>
      </bottom>
      <diagonal/>
    </border>
    <border>
      <left style="thin">
        <color indexed="64"/>
      </left>
      <right style="dashed">
        <color indexed="64"/>
      </right>
      <top style="thin">
        <color indexed="64"/>
      </top>
      <bottom style="thin">
        <color indexed="64"/>
      </bottom>
      <diagonal/>
    </border>
    <border>
      <left style="thin">
        <color indexed="64"/>
      </left>
      <right style="dashed">
        <color indexed="64"/>
      </right>
      <top style="thin">
        <color indexed="64"/>
      </top>
      <bottom style="medium">
        <color indexed="64"/>
      </bottom>
      <diagonal/>
    </border>
    <border>
      <left/>
      <right/>
      <top/>
      <bottom style="double">
        <color auto="1"/>
      </bottom>
      <diagonal/>
    </border>
    <border>
      <left style="thin">
        <color indexed="64"/>
      </left>
      <right style="medium">
        <color indexed="64"/>
      </right>
      <top style="thin">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s>
  <cellStyleXfs count="2">
    <xf numFmtId="0" fontId="0" fillId="0" borderId="0"/>
    <xf numFmtId="0" fontId="23" fillId="0" borderId="0"/>
  </cellStyleXfs>
  <cellXfs count="581">
    <xf numFmtId="0" fontId="0" fillId="0" borderId="0" xfId="0"/>
    <xf numFmtId="0" fontId="1" fillId="0" borderId="4" xfId="0" applyFont="1" applyBorder="1"/>
    <xf numFmtId="0" fontId="1" fillId="0" borderId="4" xfId="0" applyFont="1" applyBorder="1" applyAlignment="1">
      <alignment horizontal="center"/>
    </xf>
    <xf numFmtId="0" fontId="2" fillId="0" borderId="5" xfId="0" applyFont="1" applyBorder="1" applyAlignment="1">
      <alignment horizontal="center"/>
    </xf>
    <xf numFmtId="0" fontId="1" fillId="0" borderId="7" xfId="0" applyFont="1" applyBorder="1" applyAlignment="1">
      <alignment horizontal="center"/>
    </xf>
    <xf numFmtId="0" fontId="2" fillId="0" borderId="8" xfId="0" applyFont="1" applyBorder="1" applyAlignment="1">
      <alignment horizontal="center"/>
    </xf>
    <xf numFmtId="0" fontId="5" fillId="0" borderId="0" xfId="0" applyFont="1"/>
    <xf numFmtId="0" fontId="5" fillId="0" borderId="5" xfId="0" applyFont="1" applyBorder="1"/>
    <xf numFmtId="1" fontId="5" fillId="0" borderId="0" xfId="0" applyNumberFormat="1" applyFont="1"/>
    <xf numFmtId="0" fontId="2" fillId="0" borderId="0" xfId="0" applyFont="1"/>
    <xf numFmtId="0" fontId="5" fillId="0" borderId="5" xfId="0" applyFont="1" applyBorder="1" applyAlignment="1">
      <alignment horizontal="center"/>
    </xf>
    <xf numFmtId="0" fontId="5" fillId="0" borderId="5" xfId="0" applyFont="1" applyFill="1" applyBorder="1" applyAlignment="1">
      <alignment horizontal="center"/>
    </xf>
    <xf numFmtId="0" fontId="5" fillId="0" borderId="19" xfId="0" applyFont="1" applyFill="1" applyBorder="1"/>
    <xf numFmtId="1" fontId="2" fillId="0" borderId="0" xfId="0" applyNumberFormat="1" applyFont="1"/>
    <xf numFmtId="0" fontId="2" fillId="0" borderId="0" xfId="0" applyFont="1" applyAlignment="1">
      <alignment horizontal="right"/>
    </xf>
    <xf numFmtId="0" fontId="3" fillId="0" borderId="0" xfId="0" applyFont="1"/>
    <xf numFmtId="0" fontId="2" fillId="0" borderId="0" xfId="0" applyFont="1" applyBorder="1" applyAlignment="1">
      <alignment vertical="center"/>
    </xf>
    <xf numFmtId="0" fontId="2" fillId="0" borderId="0" xfId="0" applyFont="1" applyAlignment="1">
      <alignment vertical="center"/>
    </xf>
    <xf numFmtId="0" fontId="2" fillId="0" borderId="5" xfId="0" applyFont="1" applyBorder="1" applyAlignment="1">
      <alignment vertical="center"/>
    </xf>
    <xf numFmtId="0" fontId="7" fillId="0" borderId="0" xfId="0" applyFont="1" applyBorder="1" applyAlignment="1">
      <alignment vertical="center"/>
    </xf>
    <xf numFmtId="0" fontId="2" fillId="0" borderId="0" xfId="0" applyNumberFormat="1" applyFont="1"/>
    <xf numFmtId="0" fontId="2" fillId="0" borderId="23" xfId="0" applyFont="1" applyBorder="1" applyAlignment="1">
      <alignment horizontal="left" vertical="center"/>
    </xf>
    <xf numFmtId="0" fontId="2" fillId="0" borderId="22" xfId="0" applyFont="1" applyBorder="1" applyAlignment="1">
      <alignment horizontal="left" vertical="center"/>
    </xf>
    <xf numFmtId="0" fontId="7" fillId="0" borderId="5" xfId="0" applyFont="1" applyBorder="1" applyAlignment="1">
      <alignment horizontal="center" vertical="center"/>
    </xf>
    <xf numFmtId="0" fontId="2" fillId="0" borderId="0" xfId="0" applyFont="1" applyBorder="1" applyAlignment="1">
      <alignment horizontal="center" vertical="center"/>
    </xf>
    <xf numFmtId="0" fontId="6" fillId="0" borderId="0" xfId="0" applyFont="1"/>
    <xf numFmtId="0" fontId="2" fillId="0" borderId="21" xfId="0" applyFont="1" applyBorder="1"/>
    <xf numFmtId="0" fontId="2" fillId="0" borderId="23" xfId="0" applyFont="1" applyBorder="1"/>
    <xf numFmtId="0" fontId="2" fillId="0" borderId="22" xfId="0" applyFont="1" applyBorder="1"/>
    <xf numFmtId="0" fontId="2" fillId="0" borderId="5" xfId="0" applyFont="1" applyBorder="1"/>
    <xf numFmtId="0" fontId="7" fillId="0" borderId="0" xfId="0" applyFont="1"/>
    <xf numFmtId="0" fontId="8" fillId="0" borderId="0" xfId="0" applyFont="1"/>
    <xf numFmtId="0" fontId="1" fillId="0" borderId="5" xfId="0" applyFont="1" applyBorder="1"/>
    <xf numFmtId="0" fontId="2" fillId="0" borderId="5" xfId="0" applyNumberFormat="1" applyFont="1" applyBorder="1"/>
    <xf numFmtId="0" fontId="7" fillId="0" borderId="5" xfId="0" applyFont="1" applyBorder="1"/>
    <xf numFmtId="0" fontId="1" fillId="0" borderId="21" xfId="0" applyFont="1" applyBorder="1"/>
    <xf numFmtId="0" fontId="2" fillId="0" borderId="0" xfId="0" applyFont="1" applyFill="1" applyBorder="1"/>
    <xf numFmtId="0" fontId="2" fillId="0" borderId="1" xfId="0" applyFont="1" applyBorder="1"/>
    <xf numFmtId="0" fontId="2" fillId="0" borderId="7" xfId="0" applyFont="1" applyBorder="1"/>
    <xf numFmtId="0" fontId="2" fillId="0" borderId="9" xfId="0" applyFont="1" applyBorder="1"/>
    <xf numFmtId="0" fontId="2" fillId="0" borderId="10" xfId="0" applyFont="1" applyBorder="1"/>
    <xf numFmtId="0" fontId="2" fillId="0" borderId="11" xfId="0" applyFont="1" applyBorder="1"/>
    <xf numFmtId="0" fontId="7" fillId="0" borderId="18" xfId="0" applyFont="1" applyBorder="1"/>
    <xf numFmtId="0" fontId="2" fillId="0" borderId="18" xfId="0" applyFont="1" applyBorder="1"/>
    <xf numFmtId="0" fontId="2" fillId="0" borderId="12" xfId="0" applyFont="1" applyBorder="1"/>
    <xf numFmtId="0" fontId="7" fillId="0" borderId="12" xfId="0" applyFont="1" applyBorder="1"/>
    <xf numFmtId="0" fontId="2" fillId="0" borderId="13" xfId="0" applyFont="1" applyBorder="1"/>
    <xf numFmtId="0" fontId="2" fillId="0" borderId="0" xfId="0" applyFont="1" applyBorder="1"/>
    <xf numFmtId="0" fontId="7" fillId="0" borderId="19" xfId="0" applyFont="1" applyBorder="1"/>
    <xf numFmtId="0" fontId="2" fillId="0" borderId="19" xfId="0" applyFont="1" applyBorder="1"/>
    <xf numFmtId="0" fontId="2" fillId="0" borderId="14" xfId="0" applyFont="1" applyBorder="1"/>
    <xf numFmtId="0" fontId="7" fillId="0" borderId="14" xfId="0" applyFont="1" applyBorder="1"/>
    <xf numFmtId="0" fontId="2" fillId="0" borderId="15" xfId="0" applyFont="1" applyBorder="1"/>
    <xf numFmtId="0" fontId="2" fillId="0" borderId="16" xfId="0" applyFont="1" applyBorder="1"/>
    <xf numFmtId="0" fontId="7" fillId="0" borderId="20" xfId="0" applyFont="1" applyBorder="1"/>
    <xf numFmtId="0" fontId="2" fillId="0" borderId="20" xfId="0" applyFont="1" applyBorder="1"/>
    <xf numFmtId="0" fontId="2" fillId="0" borderId="17" xfId="0" applyFont="1" applyBorder="1"/>
    <xf numFmtId="0" fontId="7" fillId="0" borderId="17" xfId="0" applyFont="1" applyBorder="1"/>
    <xf numFmtId="0" fontId="7" fillId="0" borderId="18" xfId="0" applyFont="1" applyFill="1" applyBorder="1"/>
    <xf numFmtId="0" fontId="2" fillId="0" borderId="18" xfId="0" applyFont="1" applyBorder="1" applyAlignment="1">
      <alignment horizontal="left"/>
    </xf>
    <xf numFmtId="0" fontId="2" fillId="0" borderId="18" xfId="0" applyFont="1" applyFill="1" applyBorder="1"/>
    <xf numFmtId="0" fontId="2" fillId="0" borderId="25" xfId="0" applyFont="1" applyBorder="1"/>
    <xf numFmtId="0" fontId="2" fillId="0" borderId="26" xfId="0" applyFont="1" applyBorder="1"/>
    <xf numFmtId="0" fontId="2" fillId="0" borderId="27" xfId="0" applyFont="1" applyFill="1" applyBorder="1"/>
    <xf numFmtId="0" fontId="2" fillId="0" borderId="26" xfId="0" applyFont="1" applyFill="1" applyBorder="1"/>
    <xf numFmtId="0" fontId="2" fillId="0" borderId="1" xfId="0" applyFont="1" applyFill="1" applyBorder="1"/>
    <xf numFmtId="0" fontId="2" fillId="0" borderId="33" xfId="0" applyFont="1" applyFill="1" applyBorder="1"/>
    <xf numFmtId="0" fontId="2" fillId="0" borderId="34" xfId="0" applyFont="1" applyBorder="1"/>
    <xf numFmtId="0" fontId="2" fillId="0" borderId="35" xfId="0" applyFont="1" applyBorder="1"/>
    <xf numFmtId="0" fontId="2" fillId="0" borderId="28" xfId="0" applyFont="1" applyBorder="1"/>
    <xf numFmtId="0" fontId="7" fillId="0" borderId="8" xfId="0" applyFont="1" applyBorder="1"/>
    <xf numFmtId="0" fontId="2" fillId="0" borderId="36" xfId="0" applyFont="1" applyBorder="1"/>
    <xf numFmtId="0" fontId="2" fillId="0" borderId="37" xfId="0" applyFont="1" applyBorder="1"/>
    <xf numFmtId="0" fontId="2" fillId="0" borderId="38" xfId="0" applyFont="1" applyBorder="1"/>
    <xf numFmtId="0" fontId="2" fillId="0" borderId="0" xfId="0" applyFont="1" applyAlignment="1">
      <alignment horizontal="left"/>
    </xf>
    <xf numFmtId="0" fontId="7" fillId="0" borderId="0" xfId="0" applyFont="1" applyBorder="1"/>
    <xf numFmtId="0" fontId="1" fillId="0" borderId="6" xfId="0" applyFont="1" applyBorder="1" applyAlignment="1">
      <alignment horizontal="center" vertical="center"/>
    </xf>
    <xf numFmtId="0" fontId="12" fillId="0" borderId="3" xfId="0" applyFont="1" applyBorder="1" applyAlignment="1">
      <alignment horizontal="center" vertical="center"/>
    </xf>
    <xf numFmtId="0" fontId="12" fillId="0" borderId="6" xfId="0" applyFont="1" applyBorder="1" applyAlignment="1">
      <alignment horizontal="center" vertical="center"/>
    </xf>
    <xf numFmtId="0" fontId="12" fillId="0" borderId="9" xfId="0" applyFont="1" applyBorder="1" applyAlignment="1">
      <alignment horizontal="center" vertical="center"/>
    </xf>
    <xf numFmtId="0" fontId="9" fillId="0" borderId="44" xfId="0" applyFont="1" applyBorder="1" applyAlignment="1">
      <alignment horizontal="center" vertical="center"/>
    </xf>
    <xf numFmtId="0" fontId="9" fillId="0" borderId="32" xfId="0" applyFont="1" applyBorder="1" applyAlignment="1">
      <alignment horizontal="center" vertical="center"/>
    </xf>
    <xf numFmtId="0" fontId="9" fillId="0" borderId="45" xfId="0" applyFont="1" applyBorder="1" applyAlignment="1">
      <alignment horizontal="center" vertical="center"/>
    </xf>
    <xf numFmtId="0" fontId="9" fillId="0" borderId="46" xfId="0" applyFont="1" applyBorder="1" applyAlignment="1">
      <alignment horizontal="center" vertical="center"/>
    </xf>
    <xf numFmtId="0" fontId="9" fillId="0" borderId="47" xfId="0" applyFont="1" applyBorder="1" applyAlignment="1">
      <alignment horizontal="center" vertical="center"/>
    </xf>
    <xf numFmtId="0" fontId="9" fillId="0" borderId="48" xfId="0" applyFont="1" applyBorder="1" applyAlignment="1">
      <alignment horizontal="center" vertical="center"/>
    </xf>
    <xf numFmtId="0" fontId="11" fillId="0" borderId="41" xfId="0" applyFont="1" applyBorder="1" applyAlignment="1">
      <alignment horizontal="center" vertical="center"/>
    </xf>
    <xf numFmtId="0" fontId="7" fillId="0" borderId="50" xfId="0" applyFont="1" applyBorder="1" applyAlignment="1">
      <alignment horizontal="center" vertical="center"/>
    </xf>
    <xf numFmtId="0" fontId="7" fillId="0" borderId="51" xfId="0" applyFont="1" applyBorder="1" applyAlignment="1">
      <alignment horizontal="center" vertical="center"/>
    </xf>
    <xf numFmtId="0" fontId="7" fillId="0" borderId="52" xfId="0" applyFont="1" applyBorder="1" applyAlignment="1">
      <alignment horizontal="center" vertical="center"/>
    </xf>
    <xf numFmtId="0" fontId="7" fillId="0" borderId="53"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2" fillId="0" borderId="31" xfId="0" applyFont="1" applyBorder="1" applyAlignment="1">
      <alignment vertical="center"/>
    </xf>
    <xf numFmtId="0" fontId="1" fillId="0" borderId="0" xfId="0" applyFont="1" applyBorder="1" applyAlignment="1">
      <alignment horizontal="right" vertical="center"/>
    </xf>
    <xf numFmtId="0" fontId="2" fillId="0" borderId="21" xfId="0" applyFont="1" applyBorder="1" applyAlignment="1">
      <alignment horizontal="left" vertical="center"/>
    </xf>
    <xf numFmtId="0" fontId="20" fillId="0" borderId="18" xfId="0" applyFont="1" applyBorder="1" applyAlignment="1">
      <alignment horizontal="center"/>
    </xf>
    <xf numFmtId="0" fontId="20" fillId="0" borderId="19" xfId="0" applyFont="1" applyBorder="1" applyAlignment="1">
      <alignment horizontal="center"/>
    </xf>
    <xf numFmtId="0" fontId="20" fillId="0" borderId="20" xfId="0" applyFont="1" applyBorder="1" applyAlignment="1">
      <alignment horizontal="center"/>
    </xf>
    <xf numFmtId="0" fontId="20" fillId="0" borderId="12" xfId="0" applyFont="1" applyBorder="1" applyAlignment="1">
      <alignment horizontal="center"/>
    </xf>
    <xf numFmtId="0" fontId="2" fillId="0" borderId="10"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7" fillId="0" borderId="11" xfId="0" applyFont="1" applyBorder="1" applyAlignment="1">
      <alignment horizontal="center"/>
    </xf>
    <xf numFmtId="0" fontId="2" fillId="0" borderId="33" xfId="0" applyFont="1" applyBorder="1"/>
    <xf numFmtId="0" fontId="0" fillId="0" borderId="5" xfId="0" applyBorder="1"/>
    <xf numFmtId="0" fontId="2" fillId="2" borderId="5" xfId="0" applyFont="1" applyFill="1" applyBorder="1" applyAlignment="1">
      <alignment horizontal="center"/>
    </xf>
    <xf numFmtId="0" fontId="2" fillId="2" borderId="8" xfId="0" applyFont="1" applyFill="1" applyBorder="1" applyAlignment="1">
      <alignment horizontal="center"/>
    </xf>
    <xf numFmtId="0" fontId="2" fillId="2" borderId="0" xfId="0" applyFont="1" applyFill="1"/>
    <xf numFmtId="0" fontId="2" fillId="3" borderId="6" xfId="0" applyFont="1" applyFill="1" applyBorder="1" applyAlignment="1">
      <alignment horizontal="center"/>
    </xf>
    <xf numFmtId="0" fontId="2" fillId="3" borderId="9" xfId="0" applyFont="1" applyFill="1" applyBorder="1" applyAlignment="1">
      <alignment horizontal="center"/>
    </xf>
    <xf numFmtId="0" fontId="2" fillId="3" borderId="0" xfId="0" applyFont="1" applyFill="1"/>
    <xf numFmtId="3" fontId="1" fillId="0" borderId="0" xfId="0" applyNumberFormat="1" applyFont="1" applyBorder="1" applyAlignment="1">
      <alignment horizontal="center"/>
    </xf>
    <xf numFmtId="3" fontId="21" fillId="0" borderId="0" xfId="0" applyNumberFormat="1" applyFont="1" applyBorder="1" applyAlignment="1">
      <alignment horizontal="center" vertical="center"/>
    </xf>
    <xf numFmtId="3" fontId="2" fillId="0" borderId="0" xfId="0" applyNumberFormat="1" applyFont="1" applyBorder="1" applyAlignment="1">
      <alignment horizontal="center"/>
    </xf>
    <xf numFmtId="3" fontId="2" fillId="0" borderId="0" xfId="0" applyNumberFormat="1" applyFont="1" applyAlignment="1">
      <alignment horizontal="center" vertical="center"/>
    </xf>
    <xf numFmtId="3" fontId="1" fillId="4" borderId="24" xfId="0" applyNumberFormat="1" applyFont="1" applyFill="1" applyBorder="1" applyAlignment="1">
      <alignment horizontal="center"/>
    </xf>
    <xf numFmtId="3" fontId="2" fillId="4" borderId="24" xfId="0" applyNumberFormat="1" applyFont="1" applyFill="1" applyBorder="1" applyAlignment="1">
      <alignment horizontal="center"/>
    </xf>
    <xf numFmtId="3" fontId="1" fillId="4" borderId="39" xfId="0" applyNumberFormat="1" applyFont="1" applyFill="1" applyBorder="1" applyAlignment="1">
      <alignment horizontal="center"/>
    </xf>
    <xf numFmtId="3" fontId="2" fillId="4" borderId="39" xfId="0" applyNumberFormat="1" applyFont="1" applyFill="1" applyBorder="1" applyAlignment="1">
      <alignment horizontal="center"/>
    </xf>
    <xf numFmtId="3" fontId="1" fillId="2" borderId="39" xfId="0" applyNumberFormat="1" applyFont="1" applyFill="1" applyBorder="1" applyAlignment="1">
      <alignment horizontal="center"/>
    </xf>
    <xf numFmtId="3" fontId="2" fillId="2" borderId="39" xfId="0" applyNumberFormat="1" applyFont="1" applyFill="1" applyBorder="1" applyAlignment="1">
      <alignment horizontal="center"/>
    </xf>
    <xf numFmtId="3" fontId="1" fillId="5" borderId="39" xfId="0" applyNumberFormat="1" applyFont="1" applyFill="1" applyBorder="1" applyAlignment="1">
      <alignment horizontal="center"/>
    </xf>
    <xf numFmtId="3" fontId="2" fillId="5" borderId="39" xfId="0" applyNumberFormat="1" applyFont="1" applyFill="1" applyBorder="1" applyAlignment="1">
      <alignment horizontal="center"/>
    </xf>
    <xf numFmtId="3" fontId="1" fillId="6" borderId="39" xfId="0" applyNumberFormat="1" applyFont="1" applyFill="1" applyBorder="1" applyAlignment="1">
      <alignment horizontal="center"/>
    </xf>
    <xf numFmtId="3" fontId="2" fillId="6" borderId="39" xfId="0" applyNumberFormat="1" applyFont="1" applyFill="1" applyBorder="1" applyAlignment="1">
      <alignment horizontal="center"/>
    </xf>
    <xf numFmtId="0" fontId="7" fillId="0" borderId="0" xfId="0" applyFont="1" applyAlignment="1">
      <alignment horizontal="center" vertical="center"/>
    </xf>
    <xf numFmtId="0" fontId="7" fillId="0" borderId="0" xfId="0" applyFont="1" applyBorder="1" applyAlignment="1">
      <alignment horizontal="center" vertical="center"/>
    </xf>
    <xf numFmtId="0" fontId="1" fillId="0" borderId="0" xfId="0" applyFont="1" applyBorder="1" applyAlignment="1">
      <alignment horizontal="center" vertical="center"/>
    </xf>
    <xf numFmtId="0" fontId="8" fillId="0" borderId="0" xfId="0" applyFont="1" applyBorder="1" applyAlignment="1">
      <alignment vertical="center"/>
    </xf>
    <xf numFmtId="0" fontId="2" fillId="0" borderId="0" xfId="0" applyFont="1" applyAlignment="1">
      <alignment horizontal="center"/>
    </xf>
    <xf numFmtId="0" fontId="6" fillId="0" borderId="0" xfId="0" applyFont="1" applyBorder="1" applyAlignment="1"/>
    <xf numFmtId="0" fontId="8" fillId="0" borderId="0" xfId="0" applyFont="1" applyBorder="1" applyAlignment="1">
      <alignment horizontal="center" vertical="center"/>
    </xf>
    <xf numFmtId="0" fontId="1" fillId="0" borderId="0" xfId="0" applyFont="1" applyBorder="1" applyAlignment="1"/>
    <xf numFmtId="0" fontId="2" fillId="0" borderId="0" xfId="0" applyFont="1" applyBorder="1" applyAlignment="1"/>
    <xf numFmtId="0" fontId="1" fillId="0" borderId="0" xfId="0" applyFont="1" applyBorder="1" applyAlignment="1">
      <alignment vertical="center"/>
    </xf>
    <xf numFmtId="0" fontId="1" fillId="0" borderId="0" xfId="0" applyFont="1" applyFill="1" applyBorder="1" applyAlignment="1">
      <alignment vertical="center"/>
    </xf>
    <xf numFmtId="0" fontId="25" fillId="0" borderId="5" xfId="0" applyFont="1" applyBorder="1" applyAlignment="1">
      <alignment vertical="center"/>
    </xf>
    <xf numFmtId="0" fontId="2" fillId="0" borderId="5" xfId="0" applyFont="1" applyBorder="1" applyAlignment="1">
      <alignment horizontal="center" vertical="center"/>
    </xf>
    <xf numFmtId="1" fontId="7" fillId="0" borderId="0" xfId="0" applyNumberFormat="1" applyFont="1" applyBorder="1" applyAlignment="1">
      <alignment horizontal="center" vertical="center"/>
    </xf>
    <xf numFmtId="0" fontId="7" fillId="0" borderId="21" xfId="0" applyFont="1" applyBorder="1" applyAlignment="1">
      <alignment horizontal="center" vertical="center"/>
    </xf>
    <xf numFmtId="0" fontId="2" fillId="0" borderId="5" xfId="0" applyFont="1" applyBorder="1" applyAlignment="1">
      <alignment vertical="center"/>
    </xf>
    <xf numFmtId="0" fontId="5" fillId="0" borderId="0" xfId="0" applyFont="1" applyAlignment="1">
      <alignment vertical="center"/>
    </xf>
    <xf numFmtId="0" fontId="5" fillId="0" borderId="5" xfId="0" applyFont="1" applyBorder="1" applyAlignment="1">
      <alignment vertical="center"/>
    </xf>
    <xf numFmtId="0" fontId="5" fillId="0" borderId="0" xfId="0" applyFont="1" applyBorder="1" applyAlignment="1">
      <alignment vertical="center"/>
    </xf>
    <xf numFmtId="0" fontId="5" fillId="0" borderId="0" xfId="0" applyFont="1" applyAlignment="1">
      <alignment vertical="center"/>
    </xf>
    <xf numFmtId="0" fontId="7" fillId="0" borderId="0" xfId="0" applyFont="1" applyBorder="1" applyAlignment="1">
      <alignment horizontal="center" vertical="center"/>
    </xf>
    <xf numFmtId="0" fontId="2" fillId="0" borderId="0" xfId="0" applyFont="1" applyBorder="1" applyAlignment="1">
      <alignment vertical="center"/>
    </xf>
    <xf numFmtId="0" fontId="1" fillId="0" borderId="0" xfId="0" applyFont="1" applyBorder="1" applyAlignment="1">
      <alignment horizontal="center" vertical="center"/>
    </xf>
    <xf numFmtId="0" fontId="7" fillId="0" borderId="5" xfId="0" applyFont="1" applyBorder="1" applyAlignment="1">
      <alignment horizontal="center" vertical="center"/>
    </xf>
    <xf numFmtId="0" fontId="27" fillId="0" borderId="5" xfId="0" applyFont="1" applyBorder="1" applyAlignment="1">
      <alignment horizontal="center" vertical="center"/>
    </xf>
    <xf numFmtId="0" fontId="27" fillId="0" borderId="21" xfId="0" applyFont="1" applyBorder="1" applyAlignment="1">
      <alignment horizontal="center" vertical="center"/>
    </xf>
    <xf numFmtId="0" fontId="24" fillId="0" borderId="5" xfId="0" applyFont="1" applyFill="1" applyBorder="1" applyAlignment="1">
      <alignment vertical="center"/>
    </xf>
    <xf numFmtId="0" fontId="26" fillId="0" borderId="5" xfId="0" applyFont="1" applyBorder="1" applyAlignment="1">
      <alignment vertical="center"/>
    </xf>
    <xf numFmtId="0" fontId="2" fillId="0" borderId="11" xfId="0" applyFont="1" applyBorder="1" applyAlignment="1">
      <alignment vertical="center"/>
    </xf>
    <xf numFmtId="0" fontId="2" fillId="0" borderId="0" xfId="0" applyFont="1" applyBorder="1" applyAlignment="1">
      <alignment vertical="center"/>
    </xf>
    <xf numFmtId="0" fontId="2" fillId="0" borderId="0" xfId="0" applyFont="1" applyAlignment="1">
      <alignment horizontal="center" vertical="center"/>
    </xf>
    <xf numFmtId="0" fontId="2" fillId="0" borderId="0" xfId="0" applyFont="1" applyBorder="1" applyAlignment="1">
      <alignment horizontal="left" vertical="center"/>
    </xf>
    <xf numFmtId="0" fontId="7"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0" xfId="0" applyFont="1" applyFill="1" applyBorder="1" applyAlignment="1">
      <alignment vertical="center"/>
    </xf>
    <xf numFmtId="0" fontId="10" fillId="0" borderId="0"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Border="1" applyAlignment="1">
      <alignment horizontal="center" vertical="center"/>
    </xf>
    <xf numFmtId="0" fontId="15" fillId="0" borderId="0" xfId="0" applyFont="1" applyBorder="1" applyAlignment="1">
      <alignment horizontal="center" vertical="center"/>
    </xf>
    <xf numFmtId="1" fontId="16" fillId="0" borderId="0" xfId="0" applyNumberFormat="1" applyFont="1" applyBorder="1" applyAlignment="1">
      <alignment horizontal="center" vertical="center"/>
    </xf>
    <xf numFmtId="0" fontId="2" fillId="0" borderId="0" xfId="0" applyFont="1" applyBorder="1" applyAlignment="1">
      <alignment vertical="center" wrapText="1"/>
    </xf>
    <xf numFmtId="1" fontId="2" fillId="0" borderId="0" xfId="0" applyNumberFormat="1" applyFont="1" applyFill="1" applyBorder="1" applyAlignment="1">
      <alignment vertical="center"/>
    </xf>
    <xf numFmtId="1" fontId="13" fillId="0" borderId="0" xfId="0" applyNumberFormat="1" applyFont="1" applyBorder="1" applyAlignment="1">
      <alignment vertical="center"/>
    </xf>
    <xf numFmtId="0" fontId="13" fillId="0" borderId="0" xfId="0" applyFont="1" applyBorder="1" applyAlignment="1">
      <alignment vertical="center"/>
    </xf>
    <xf numFmtId="0" fontId="7" fillId="0" borderId="0" xfId="0" applyFont="1" applyBorder="1" applyAlignment="1">
      <alignment horizontal="left" vertical="center"/>
    </xf>
    <xf numFmtId="0" fontId="1" fillId="0" borderId="5" xfId="0" applyFont="1" applyBorder="1" applyAlignment="1">
      <alignment vertical="center" wrapText="1"/>
    </xf>
    <xf numFmtId="0" fontId="5" fillId="0" borderId="21" xfId="0" applyFont="1" applyBorder="1" applyAlignment="1">
      <alignment vertical="center"/>
    </xf>
    <xf numFmtId="0" fontId="24" fillId="0" borderId="22" xfId="0" applyFont="1" applyFill="1" applyBorder="1" applyAlignment="1">
      <alignment vertical="center"/>
    </xf>
    <xf numFmtId="0" fontId="7" fillId="0" borderId="11" xfId="0" applyFont="1" applyBorder="1" applyAlignment="1">
      <alignment vertical="center"/>
    </xf>
    <xf numFmtId="0" fontId="2" fillId="0" borderId="20" xfId="0" applyFont="1" applyBorder="1" applyAlignment="1">
      <alignment vertical="center"/>
    </xf>
    <xf numFmtId="0" fontId="2" fillId="0" borderId="20" xfId="0" applyFont="1" applyBorder="1" applyAlignment="1">
      <alignment horizontal="center" vertical="center"/>
    </xf>
    <xf numFmtId="0" fontId="28" fillId="0" borderId="5" xfId="0" applyFont="1" applyFill="1" applyBorder="1" applyAlignment="1">
      <alignment vertical="center"/>
    </xf>
    <xf numFmtId="0" fontId="2" fillId="0" borderId="15" xfId="0" applyFont="1" applyBorder="1" applyAlignment="1">
      <alignment horizontal="center" vertical="center"/>
    </xf>
    <xf numFmtId="1" fontId="5" fillId="0" borderId="5" xfId="0" applyNumberFormat="1" applyFont="1" applyBorder="1"/>
    <xf numFmtId="1" fontId="5" fillId="0" borderId="5" xfId="0" applyNumberFormat="1" applyFont="1" applyBorder="1" applyAlignment="1">
      <alignment horizontal="center" vertical="top" wrapText="1"/>
    </xf>
    <xf numFmtId="0" fontId="18" fillId="0" borderId="0" xfId="0" applyFont="1" applyBorder="1" applyAlignment="1">
      <alignment vertical="center"/>
    </xf>
    <xf numFmtId="0" fontId="18" fillId="0" borderId="0" xfId="0" applyFont="1" applyBorder="1" applyAlignment="1">
      <alignment horizontal="center" vertical="center"/>
    </xf>
    <xf numFmtId="0" fontId="19" fillId="0" borderId="0" xfId="0" applyFont="1" applyBorder="1" applyAlignment="1">
      <alignment vertical="center"/>
    </xf>
    <xf numFmtId="0" fontId="29" fillId="0" borderId="0" xfId="0" applyFont="1" applyFill="1" applyBorder="1" applyAlignment="1">
      <alignment horizontal="center" vertical="center"/>
    </xf>
    <xf numFmtId="0" fontId="29" fillId="0" borderId="0" xfId="0" applyFont="1" applyFill="1" applyBorder="1" applyAlignment="1">
      <alignment vertical="top"/>
    </xf>
    <xf numFmtId="0" fontId="30" fillId="0" borderId="0" xfId="0" applyNumberFormat="1" applyFont="1" applyFill="1" applyBorder="1" applyAlignment="1">
      <alignment horizontal="left" vertical="center"/>
    </xf>
    <xf numFmtId="1" fontId="31" fillId="0" borderId="0" xfId="0" quotePrefix="1" applyNumberFormat="1" applyFont="1" applyFill="1" applyBorder="1" applyAlignment="1">
      <alignment horizontal="center" vertical="center"/>
    </xf>
    <xf numFmtId="0" fontId="8" fillId="0" borderId="0" xfId="0" applyFont="1" applyBorder="1" applyAlignment="1">
      <alignment horizontal="left"/>
    </xf>
    <xf numFmtId="0" fontId="8" fillId="0" borderId="0" xfId="0" applyFont="1" applyBorder="1" applyAlignment="1"/>
    <xf numFmtId="0" fontId="2" fillId="0" borderId="0" xfId="0" applyNumberFormat="1" applyFont="1" applyBorder="1" applyAlignment="1">
      <alignment horizontal="left"/>
    </xf>
    <xf numFmtId="0" fontId="2" fillId="0" borderId="0" xfId="0" applyFont="1" applyBorder="1" applyAlignment="1">
      <alignment horizontal="left"/>
    </xf>
    <xf numFmtId="0" fontId="2" fillId="0" borderId="0" xfId="0" applyNumberFormat="1" applyFont="1" applyBorder="1" applyAlignment="1"/>
    <xf numFmtId="0" fontId="2" fillId="0" borderId="0" xfId="0" applyFont="1" applyBorder="1" applyAlignment="1">
      <alignment horizontal="center"/>
    </xf>
    <xf numFmtId="0" fontId="2" fillId="0" borderId="0" xfId="0" applyNumberFormat="1" applyFont="1" applyFill="1" applyBorder="1" applyAlignment="1"/>
    <xf numFmtId="0" fontId="2" fillId="0" borderId="0" xfId="0" applyFont="1" applyAlignment="1">
      <alignment vertical="center"/>
    </xf>
    <xf numFmtId="0" fontId="2" fillId="0" borderId="0" xfId="0" applyFont="1" applyBorder="1" applyAlignment="1">
      <alignment vertical="center"/>
    </xf>
    <xf numFmtId="1" fontId="32" fillId="0" borderId="0" xfId="0" applyNumberFormat="1" applyFont="1" applyFill="1" applyBorder="1" applyAlignment="1">
      <alignment horizontal="center" vertical="center"/>
    </xf>
    <xf numFmtId="0" fontId="32" fillId="0" borderId="0" xfId="0" applyNumberFormat="1" applyFont="1" applyFill="1" applyBorder="1" applyAlignment="1">
      <alignment horizontal="center" vertical="center"/>
    </xf>
    <xf numFmtId="0" fontId="22" fillId="0" borderId="0" xfId="0" applyFont="1" applyAlignment="1">
      <alignment horizontal="center" vertical="center"/>
    </xf>
    <xf numFmtId="0" fontId="33" fillId="0" borderId="0" xfId="0" applyNumberFormat="1" applyFont="1" applyFill="1" applyBorder="1" applyAlignment="1">
      <alignment horizontal="center" vertical="center"/>
    </xf>
    <xf numFmtId="0" fontId="34" fillId="0" borderId="0" xfId="0" applyNumberFormat="1" applyFont="1" applyFill="1" applyBorder="1" applyAlignment="1">
      <alignment horizontal="center" vertical="center"/>
    </xf>
    <xf numFmtId="0" fontId="2" fillId="0" borderId="25" xfId="0" applyFont="1" applyBorder="1" applyAlignment="1">
      <alignment vertical="center"/>
    </xf>
    <xf numFmtId="0" fontId="2" fillId="0" borderId="26" xfId="0" applyFont="1" applyBorder="1" applyAlignment="1">
      <alignment vertical="center"/>
    </xf>
    <xf numFmtId="0" fontId="2" fillId="0" borderId="27" xfId="0" applyFont="1" applyBorder="1" applyAlignment="1">
      <alignment vertical="center"/>
    </xf>
    <xf numFmtId="0" fontId="2" fillId="0" borderId="58" xfId="0" applyFont="1" applyBorder="1" applyAlignment="1">
      <alignment horizontal="center" vertical="center"/>
    </xf>
    <xf numFmtId="0" fontId="2" fillId="0" borderId="59" xfId="0" applyFont="1" applyBorder="1" applyAlignment="1">
      <alignment vertical="center"/>
    </xf>
    <xf numFmtId="0" fontId="2" fillId="0" borderId="58" xfId="0" applyFont="1" applyBorder="1" applyAlignment="1">
      <alignment vertical="center"/>
    </xf>
    <xf numFmtId="0" fontId="2" fillId="0" borderId="28" xfId="0" applyFont="1" applyBorder="1" applyAlignment="1">
      <alignment vertical="center"/>
    </xf>
    <xf numFmtId="0" fontId="2" fillId="0" borderId="29" xfId="0" applyFont="1" applyBorder="1" applyAlignment="1">
      <alignment vertical="center"/>
    </xf>
    <xf numFmtId="0" fontId="2" fillId="0" borderId="60" xfId="0" applyFont="1" applyBorder="1" applyAlignment="1">
      <alignment vertical="center"/>
    </xf>
    <xf numFmtId="0" fontId="5" fillId="0" borderId="0" xfId="0" applyFont="1" applyBorder="1" applyAlignment="1">
      <alignment horizontal="right" vertical="center"/>
    </xf>
    <xf numFmtId="0" fontId="4" fillId="0" borderId="0" xfId="0" applyFont="1" applyBorder="1" applyAlignment="1">
      <alignment horizontal="right" vertical="center"/>
    </xf>
    <xf numFmtId="1" fontId="7" fillId="0" borderId="0" xfId="0" applyNumberFormat="1" applyFont="1" applyBorder="1" applyAlignment="1">
      <alignment vertical="center"/>
    </xf>
    <xf numFmtId="0" fontId="35" fillId="0" borderId="0" xfId="0" applyFont="1" applyAlignment="1">
      <alignment horizontal="center" vertical="center"/>
    </xf>
    <xf numFmtId="0" fontId="5" fillId="0" borderId="0" xfId="0" applyFont="1" applyBorder="1" applyAlignment="1">
      <alignment horizontal="left" vertical="center"/>
    </xf>
    <xf numFmtId="0" fontId="5" fillId="3" borderId="0" xfId="0" applyFont="1" applyFill="1"/>
    <xf numFmtId="0" fontId="5" fillId="0" borderId="0" xfId="0" applyFont="1" applyBorder="1"/>
    <xf numFmtId="0" fontId="5" fillId="0" borderId="0" xfId="0" applyFont="1" applyFill="1" applyBorder="1"/>
    <xf numFmtId="0" fontId="5" fillId="0" borderId="0" xfId="0" applyFont="1" applyFill="1"/>
    <xf numFmtId="0" fontId="5" fillId="0" borderId="0" xfId="0" applyFont="1" applyAlignment="1"/>
    <xf numFmtId="0" fontId="35" fillId="0" borderId="0" xfId="0" applyFont="1" applyAlignment="1">
      <alignment vertical="center"/>
    </xf>
    <xf numFmtId="0" fontId="5" fillId="0" borderId="0" xfId="0" applyFont="1" applyFill="1" applyBorder="1" applyAlignment="1">
      <alignment horizontal="left" vertical="center"/>
    </xf>
    <xf numFmtId="0" fontId="5" fillId="0" borderId="5" xfId="0" applyFont="1" applyBorder="1" applyAlignment="1">
      <alignment vertical="center"/>
    </xf>
    <xf numFmtId="0" fontId="2" fillId="0" borderId="5" xfId="0" applyFont="1" applyBorder="1" applyAlignment="1">
      <alignment vertical="center"/>
    </xf>
    <xf numFmtId="0" fontId="1" fillId="0" borderId="5" xfId="0" applyFont="1" applyBorder="1" applyAlignment="1">
      <alignment horizontal="center" vertical="center"/>
    </xf>
    <xf numFmtId="0" fontId="2" fillId="0" borderId="0" xfId="0" applyFont="1" applyBorder="1" applyAlignment="1">
      <alignment vertical="center"/>
    </xf>
    <xf numFmtId="0" fontId="2" fillId="0" borderId="0" xfId="0" applyFont="1" applyBorder="1" applyAlignment="1">
      <alignment horizontal="center" vertical="center"/>
    </xf>
    <xf numFmtId="0" fontId="1" fillId="0" borderId="0" xfId="0" applyFont="1" applyBorder="1" applyAlignment="1">
      <alignment horizontal="center" vertical="center"/>
    </xf>
    <xf numFmtId="0" fontId="2" fillId="0" borderId="0" xfId="0" applyFont="1" applyBorder="1" applyAlignment="1">
      <alignment horizontal="left" vertical="center"/>
    </xf>
    <xf numFmtId="0" fontId="5" fillId="0" borderId="5" xfId="0" applyFont="1" applyBorder="1" applyAlignment="1">
      <alignment horizontal="left" vertical="center"/>
    </xf>
    <xf numFmtId="0" fontId="6" fillId="0" borderId="0" xfId="0" applyFont="1" applyBorder="1" applyAlignment="1">
      <alignment horizontal="center" vertical="center"/>
    </xf>
    <xf numFmtId="0" fontId="1" fillId="0" borderId="0" xfId="0" applyFont="1" applyBorder="1"/>
    <xf numFmtId="0" fontId="2" fillId="0" borderId="0" xfId="0" applyFont="1" applyBorder="1" applyAlignment="1">
      <alignment horizontal="left" vertical="top"/>
    </xf>
    <xf numFmtId="0" fontId="2" fillId="0" borderId="0" xfId="0" applyFont="1" applyBorder="1" applyAlignment="1">
      <alignment vertical="top"/>
    </xf>
    <xf numFmtId="0" fontId="25" fillId="0" borderId="0" xfId="0" applyFont="1" applyBorder="1" applyAlignment="1"/>
    <xf numFmtId="0" fontId="3" fillId="0" borderId="0" xfId="0" applyFont="1" applyBorder="1" applyAlignment="1"/>
    <xf numFmtId="2" fontId="2" fillId="0" borderId="0" xfId="0" applyNumberFormat="1" applyFont="1" applyBorder="1"/>
    <xf numFmtId="0" fontId="2" fillId="0" borderId="0" xfId="0" applyFont="1" applyBorder="1" applyAlignment="1">
      <alignment wrapText="1"/>
    </xf>
    <xf numFmtId="0" fontId="36" fillId="0" borderId="0" xfId="0" applyFont="1" applyBorder="1" applyAlignment="1">
      <alignment horizontal="center"/>
    </xf>
    <xf numFmtId="0" fontId="8" fillId="0" borderId="0" xfId="0" applyFont="1" applyBorder="1"/>
    <xf numFmtId="0" fontId="1" fillId="0" borderId="0" xfId="0" applyFont="1" applyFill="1" applyBorder="1" applyAlignment="1">
      <alignment horizontal="left" vertical="top"/>
    </xf>
    <xf numFmtId="1" fontId="1" fillId="0" borderId="0" xfId="0" applyNumberFormat="1" applyFont="1" applyBorder="1" applyAlignment="1">
      <alignment horizontal="center" vertical="center"/>
    </xf>
    <xf numFmtId="0" fontId="1" fillId="0" borderId="0" xfId="0" applyFont="1" applyBorder="1" applyAlignment="1">
      <alignment horizontal="left"/>
    </xf>
    <xf numFmtId="0" fontId="1" fillId="0" borderId="0" xfId="0" applyFont="1" applyAlignment="1">
      <alignment horizontal="left"/>
    </xf>
    <xf numFmtId="0" fontId="2" fillId="0" borderId="58" xfId="0" applyFont="1" applyBorder="1"/>
    <xf numFmtId="0" fontId="2" fillId="0" borderId="29" xfId="0" applyFont="1" applyBorder="1"/>
    <xf numFmtId="1" fontId="6" fillId="0" borderId="0" xfId="0" applyNumberFormat="1" applyFont="1" applyBorder="1" applyAlignment="1">
      <alignment horizontal="center" vertical="center"/>
    </xf>
    <xf numFmtId="0" fontId="37" fillId="0" borderId="0" xfId="0" applyFont="1" applyBorder="1" applyAlignment="1">
      <alignment vertical="center"/>
    </xf>
    <xf numFmtId="0" fontId="8" fillId="0" borderId="0" xfId="0" applyFont="1" applyAlignment="1">
      <alignment vertical="center"/>
    </xf>
    <xf numFmtId="1" fontId="6" fillId="0" borderId="0" xfId="0" applyNumberFormat="1" applyFont="1" applyBorder="1" applyAlignment="1">
      <alignment vertical="center"/>
    </xf>
    <xf numFmtId="0" fontId="6" fillId="0" borderId="0" xfId="0" applyFont="1" applyBorder="1" applyAlignment="1">
      <alignment vertical="center"/>
    </xf>
    <xf numFmtId="0" fontId="8" fillId="0" borderId="0" xfId="0" applyFont="1" applyFill="1" applyBorder="1" applyAlignment="1">
      <alignment vertical="center"/>
    </xf>
    <xf numFmtId="1" fontId="8" fillId="0" borderId="0" xfId="0" applyNumberFormat="1" applyFont="1" applyFill="1" applyBorder="1" applyAlignment="1">
      <alignment vertical="center"/>
    </xf>
    <xf numFmtId="0" fontId="8" fillId="0" borderId="0" xfId="1" applyNumberFormat="1" applyFont="1" applyFill="1" applyBorder="1" applyAlignment="1" applyProtection="1">
      <alignment vertical="center"/>
      <protection locked="0"/>
    </xf>
    <xf numFmtId="0" fontId="6" fillId="0" borderId="0" xfId="0" applyNumberFormat="1" applyFont="1" applyBorder="1" applyAlignment="1">
      <alignment vertical="center"/>
    </xf>
    <xf numFmtId="0" fontId="8" fillId="0" borderId="0" xfId="0" applyNumberFormat="1" applyFont="1" applyBorder="1" applyAlignment="1">
      <alignment vertical="center"/>
    </xf>
    <xf numFmtId="1" fontId="8" fillId="0" borderId="0" xfId="0" applyNumberFormat="1" applyFont="1" applyBorder="1" applyAlignment="1">
      <alignment horizontal="left" vertical="center"/>
    </xf>
    <xf numFmtId="0" fontId="33" fillId="0" borderId="0" xfId="0" applyFont="1" applyAlignment="1">
      <alignment horizontal="center" vertical="center"/>
    </xf>
    <xf numFmtId="0" fontId="41" fillId="0" borderId="57" xfId="0" applyFont="1" applyBorder="1" applyAlignment="1">
      <alignment horizontal="center" vertical="center"/>
    </xf>
    <xf numFmtId="0" fontId="40" fillId="0" borderId="41" xfId="0" applyFont="1" applyBorder="1" applyAlignment="1">
      <alignment vertical="center"/>
    </xf>
    <xf numFmtId="0" fontId="40" fillId="0" borderId="23" xfId="0" applyFont="1" applyBorder="1" applyAlignment="1">
      <alignment vertical="center"/>
    </xf>
    <xf numFmtId="0" fontId="40" fillId="0" borderId="30" xfId="0" applyFont="1" applyBorder="1" applyAlignment="1">
      <alignment vertical="center"/>
    </xf>
    <xf numFmtId="0" fontId="39" fillId="0" borderId="5" xfId="0" applyFont="1" applyBorder="1" applyAlignment="1">
      <alignment vertical="center"/>
    </xf>
    <xf numFmtId="0" fontId="1" fillId="0" borderId="5" xfId="0" applyFont="1" applyBorder="1" applyAlignment="1">
      <alignment vertical="center"/>
    </xf>
    <xf numFmtId="0" fontId="2" fillId="0" borderId="0" xfId="0" applyFont="1" applyBorder="1" applyAlignment="1">
      <alignment vertical="center"/>
    </xf>
    <xf numFmtId="0" fontId="2" fillId="0" borderId="0" xfId="0" applyFont="1" applyAlignment="1">
      <alignment vertical="center"/>
    </xf>
    <xf numFmtId="0" fontId="42" fillId="0" borderId="25" xfId="0" applyFont="1" applyFill="1" applyBorder="1" applyAlignment="1">
      <alignment horizontal="center"/>
    </xf>
    <xf numFmtId="0" fontId="42" fillId="0" borderId="27" xfId="0" applyFont="1" applyFill="1" applyBorder="1" applyAlignment="1">
      <alignment horizontal="center"/>
    </xf>
    <xf numFmtId="0" fontId="43" fillId="0" borderId="0" xfId="0" applyFont="1" applyFill="1" applyBorder="1"/>
    <xf numFmtId="0" fontId="43" fillId="0" borderId="1" xfId="0" applyFont="1" applyFill="1" applyBorder="1" applyAlignment="1">
      <alignment horizontal="left"/>
    </xf>
    <xf numFmtId="0" fontId="43" fillId="0" borderId="41" xfId="0" applyFont="1" applyFill="1" applyBorder="1" applyAlignment="1">
      <alignment horizontal="left"/>
    </xf>
    <xf numFmtId="0" fontId="43" fillId="0" borderId="2" xfId="0" applyFont="1" applyFill="1" applyBorder="1" applyAlignment="1">
      <alignment horizontal="left"/>
    </xf>
    <xf numFmtId="0" fontId="43" fillId="0" borderId="41" xfId="0" applyFont="1" applyFill="1" applyBorder="1" applyAlignment="1">
      <alignment horizontal="center"/>
    </xf>
    <xf numFmtId="0" fontId="0" fillId="0" borderId="0" xfId="0" applyFont="1" applyBorder="1" applyAlignment="1">
      <alignment horizontal="left" vertical="top"/>
    </xf>
    <xf numFmtId="0" fontId="0" fillId="0" borderId="0" xfId="0" applyBorder="1" applyAlignment="1">
      <alignment horizontal="left" vertical="top"/>
    </xf>
    <xf numFmtId="0" fontId="0" fillId="0" borderId="0" xfId="0" applyNumberFormat="1" applyFont="1" applyBorder="1" applyAlignment="1">
      <alignment horizontal="left" vertical="top"/>
    </xf>
    <xf numFmtId="0" fontId="42" fillId="0" borderId="58" xfId="0" applyFont="1" applyFill="1" applyBorder="1" applyAlignment="1">
      <alignment horizontal="center"/>
    </xf>
    <xf numFmtId="0" fontId="42" fillId="0" borderId="59" xfId="0" applyFont="1" applyFill="1" applyBorder="1" applyAlignment="1">
      <alignment horizontal="center"/>
    </xf>
    <xf numFmtId="0" fontId="43" fillId="0" borderId="4" xfId="0" applyFont="1" applyFill="1" applyBorder="1" applyAlignment="1">
      <alignment horizontal="left"/>
    </xf>
    <xf numFmtId="0" fontId="43" fillId="0" borderId="23" xfId="0" applyFont="1" applyFill="1" applyBorder="1" applyAlignment="1">
      <alignment horizontal="left"/>
    </xf>
    <xf numFmtId="0" fontId="43" fillId="0" borderId="5" xfId="0" applyFont="1" applyFill="1" applyBorder="1" applyAlignment="1">
      <alignment horizontal="left"/>
    </xf>
    <xf numFmtId="0" fontId="43" fillId="0" borderId="23" xfId="0" applyFont="1" applyFill="1" applyBorder="1" applyAlignment="1">
      <alignment horizontal="center"/>
    </xf>
    <xf numFmtId="0" fontId="42" fillId="0" borderId="28" xfId="0" applyFont="1" applyFill="1" applyBorder="1" applyAlignment="1">
      <alignment horizontal="center"/>
    </xf>
    <xf numFmtId="0" fontId="42" fillId="0" borderId="60" xfId="0" applyFont="1" applyFill="1" applyBorder="1" applyAlignment="1">
      <alignment horizontal="center"/>
    </xf>
    <xf numFmtId="0" fontId="43" fillId="0" borderId="4" xfId="0" applyFont="1" applyFill="1" applyBorder="1"/>
    <xf numFmtId="0" fontId="43" fillId="0" borderId="7" xfId="0" applyFont="1" applyFill="1" applyBorder="1"/>
    <xf numFmtId="0" fontId="43" fillId="0" borderId="30" xfId="0" applyFont="1" applyFill="1" applyBorder="1" applyAlignment="1">
      <alignment horizontal="left"/>
    </xf>
    <xf numFmtId="0" fontId="43" fillId="0" borderId="30" xfId="0" applyFont="1" applyFill="1" applyBorder="1" applyAlignment="1">
      <alignment horizontal="center"/>
    </xf>
    <xf numFmtId="0" fontId="43" fillId="0" borderId="0" xfId="0" applyFont="1" applyFill="1" applyBorder="1" applyAlignment="1">
      <alignment horizontal="center"/>
    </xf>
    <xf numFmtId="0" fontId="43" fillId="0" borderId="61" xfId="0" applyFont="1" applyFill="1" applyBorder="1" applyAlignment="1">
      <alignment horizontal="center" vertical="center"/>
    </xf>
    <xf numFmtId="0" fontId="43" fillId="0" borderId="62" xfId="0" applyFont="1" applyFill="1" applyBorder="1" applyAlignment="1">
      <alignment horizontal="center" vertical="center"/>
    </xf>
    <xf numFmtId="0" fontId="43" fillId="0" borderId="61" xfId="0" applyFont="1" applyFill="1" applyBorder="1" applyAlignment="1">
      <alignment vertical="center"/>
    </xf>
    <xf numFmtId="0" fontId="43" fillId="0" borderId="63" xfId="0" applyFont="1" applyFill="1" applyBorder="1" applyAlignment="1">
      <alignment horizontal="center" vertical="center"/>
    </xf>
    <xf numFmtId="0" fontId="43" fillId="0" borderId="62" xfId="0" applyFont="1" applyFill="1" applyBorder="1"/>
    <xf numFmtId="0" fontId="43" fillId="0" borderId="61" xfId="0" applyFont="1" applyFill="1" applyBorder="1" applyAlignment="1">
      <alignment horizontal="center"/>
    </xf>
    <xf numFmtId="0" fontId="43" fillId="0" borderId="63" xfId="0" applyFont="1" applyFill="1" applyBorder="1" applyAlignment="1">
      <alignment horizontal="center"/>
    </xf>
    <xf numFmtId="0" fontId="42" fillId="0" borderId="63" xfId="0" applyFont="1" applyFill="1" applyBorder="1" applyAlignment="1">
      <alignment horizontal="center"/>
    </xf>
    <xf numFmtId="0" fontId="43" fillId="0" borderId="62" xfId="0" applyFont="1" applyFill="1" applyBorder="1" applyAlignment="1">
      <alignment horizontal="center"/>
    </xf>
    <xf numFmtId="0" fontId="42" fillId="0" borderId="26" xfId="0" applyFont="1" applyFill="1" applyBorder="1" applyAlignment="1">
      <alignment horizontal="center"/>
    </xf>
    <xf numFmtId="0" fontId="43" fillId="0" borderId="40" xfId="0" applyFont="1" applyFill="1" applyBorder="1" applyAlignment="1">
      <alignment horizontal="center"/>
    </xf>
    <xf numFmtId="0" fontId="43" fillId="0" borderId="34" xfId="0" applyFont="1" applyFill="1" applyBorder="1" applyAlignment="1">
      <alignment horizontal="center"/>
    </xf>
    <xf numFmtId="0" fontId="43" fillId="0" borderId="33" xfId="0" applyFont="1" applyFill="1" applyBorder="1" applyAlignment="1">
      <alignment horizontal="center"/>
    </xf>
    <xf numFmtId="0" fontId="43" fillId="0" borderId="33" xfId="0" applyFont="1" applyFill="1" applyBorder="1" applyAlignment="1">
      <alignment horizontal="left"/>
    </xf>
    <xf numFmtId="0" fontId="43" fillId="0" borderId="2" xfId="0" applyFont="1" applyFill="1" applyBorder="1" applyAlignment="1">
      <alignment horizontal="center"/>
    </xf>
    <xf numFmtId="0" fontId="43" fillId="0" borderId="3" xfId="0" applyFont="1" applyFill="1" applyBorder="1"/>
    <xf numFmtId="0" fontId="42" fillId="0" borderId="0" xfId="0" applyFont="1" applyFill="1" applyBorder="1" applyAlignment="1">
      <alignment horizontal="center"/>
    </xf>
    <xf numFmtId="0" fontId="43" fillId="0" borderId="42" xfId="0" applyFont="1" applyFill="1" applyBorder="1" applyAlignment="1"/>
    <xf numFmtId="0" fontId="43" fillId="0" borderId="22" xfId="0" applyFont="1" applyFill="1" applyBorder="1" applyAlignment="1"/>
    <xf numFmtId="0" fontId="43" fillId="0" borderId="21" xfId="0" applyFont="1" applyFill="1" applyBorder="1" applyAlignment="1"/>
    <xf numFmtId="0" fontId="43" fillId="0" borderId="21" xfId="0" applyFont="1" applyFill="1" applyBorder="1" applyAlignment="1">
      <alignment horizontal="center"/>
    </xf>
    <xf numFmtId="0" fontId="43" fillId="0" borderId="22" xfId="0" applyFont="1" applyFill="1" applyBorder="1" applyAlignment="1">
      <alignment horizontal="center"/>
    </xf>
    <xf numFmtId="0" fontId="43" fillId="0" borderId="5" xfId="0" applyFont="1" applyFill="1" applyBorder="1" applyAlignment="1">
      <alignment horizontal="center"/>
    </xf>
    <xf numFmtId="0" fontId="43" fillId="0" borderId="6" xfId="0" applyFont="1" applyFill="1" applyBorder="1"/>
    <xf numFmtId="0" fontId="43" fillId="0" borderId="42" xfId="0" applyFont="1" applyBorder="1" applyAlignment="1"/>
    <xf numFmtId="0" fontId="43" fillId="0" borderId="43" xfId="0" applyFont="1" applyFill="1" applyBorder="1" applyAlignment="1"/>
    <xf numFmtId="0" fontId="43" fillId="0" borderId="37" xfId="0" applyFont="1" applyFill="1" applyBorder="1" applyAlignment="1"/>
    <xf numFmtId="0" fontId="43" fillId="0" borderId="36" xfId="0" applyFont="1" applyFill="1" applyBorder="1" applyAlignment="1"/>
    <xf numFmtId="0" fontId="43" fillId="0" borderId="36" xfId="0" applyFont="1" applyFill="1" applyBorder="1" applyAlignment="1">
      <alignment horizontal="center"/>
    </xf>
    <xf numFmtId="0" fontId="43" fillId="0" borderId="37" xfId="0" applyFont="1" applyFill="1" applyBorder="1" applyAlignment="1">
      <alignment horizontal="center"/>
    </xf>
    <xf numFmtId="0" fontId="43" fillId="0" borderId="8" xfId="0" applyFont="1" applyFill="1" applyBorder="1" applyAlignment="1">
      <alignment horizontal="center"/>
    </xf>
    <xf numFmtId="0" fontId="43" fillId="0" borderId="9" xfId="0" applyFont="1" applyFill="1" applyBorder="1"/>
    <xf numFmtId="0" fontId="43" fillId="0" borderId="0" xfId="0" applyFont="1" applyFill="1" applyBorder="1" applyAlignment="1"/>
    <xf numFmtId="0" fontId="43" fillId="0" borderId="58" xfId="0" applyFont="1" applyFill="1" applyBorder="1" applyAlignment="1">
      <alignment horizontal="center"/>
    </xf>
    <xf numFmtId="0" fontId="43" fillId="0" borderId="5" xfId="0" applyFont="1" applyFill="1" applyBorder="1" applyAlignment="1">
      <alignment horizontal="left" vertical="top"/>
    </xf>
    <xf numFmtId="0" fontId="42" fillId="0" borderId="29" xfId="0" applyFont="1" applyFill="1" applyBorder="1" applyAlignment="1">
      <alignment horizontal="center"/>
    </xf>
    <xf numFmtId="0" fontId="42" fillId="0" borderId="25" xfId="0" applyFont="1" applyFill="1" applyBorder="1" applyAlignment="1">
      <alignment horizontal="left"/>
    </xf>
    <xf numFmtId="0" fontId="42" fillId="0" borderId="58" xfId="0" applyFont="1" applyFill="1" applyBorder="1" applyAlignment="1">
      <alignment horizontal="left"/>
    </xf>
    <xf numFmtId="0" fontId="42" fillId="0" borderId="28" xfId="0" applyFont="1" applyFill="1" applyBorder="1" applyAlignment="1">
      <alignment horizontal="left"/>
    </xf>
    <xf numFmtId="0" fontId="43" fillId="0" borderId="1" xfId="0" applyFont="1" applyFill="1" applyBorder="1"/>
    <xf numFmtId="0" fontId="43" fillId="0" borderId="2" xfId="0" applyFont="1" applyFill="1" applyBorder="1" applyAlignment="1">
      <alignment horizontal="center" vertical="center"/>
    </xf>
    <xf numFmtId="0" fontId="43" fillId="0" borderId="2" xfId="0" applyFont="1" applyFill="1" applyBorder="1"/>
    <xf numFmtId="0" fontId="43" fillId="0" borderId="25" xfId="0" applyFont="1" applyFill="1" applyBorder="1" applyAlignment="1">
      <alignment horizontal="left"/>
    </xf>
    <xf numFmtId="0" fontId="43" fillId="0" borderId="26" xfId="0" applyFont="1" applyFill="1" applyBorder="1"/>
    <xf numFmtId="0" fontId="43" fillId="0" borderId="27" xfId="0" applyFont="1" applyFill="1" applyBorder="1" applyAlignment="1">
      <alignment horizontal="center"/>
    </xf>
    <xf numFmtId="0" fontId="43" fillId="0" borderId="5" xfId="0" applyFont="1" applyFill="1" applyBorder="1" applyAlignment="1">
      <alignment horizontal="center" vertical="center"/>
    </xf>
    <xf numFmtId="0" fontId="43" fillId="0" borderId="5" xfId="0" applyFont="1" applyFill="1" applyBorder="1"/>
    <xf numFmtId="0" fontId="43" fillId="0" borderId="58" xfId="0" applyFont="1" applyBorder="1" applyAlignment="1">
      <alignment horizontal="left"/>
    </xf>
    <xf numFmtId="0" fontId="43" fillId="0" borderId="59" xfId="0" applyFont="1" applyFill="1" applyBorder="1" applyAlignment="1">
      <alignment horizontal="center"/>
    </xf>
    <xf numFmtId="0" fontId="43" fillId="0" borderId="4" xfId="0" applyFont="1" applyFill="1" applyBorder="1" applyAlignment="1">
      <alignment vertical="center"/>
    </xf>
    <xf numFmtId="0" fontId="43" fillId="0" borderId="7" xfId="0" applyFont="1" applyFill="1" applyBorder="1" applyAlignment="1">
      <alignment vertical="center"/>
    </xf>
    <xf numFmtId="0" fontId="43" fillId="0" borderId="8" xfId="0" applyFont="1" applyFill="1" applyBorder="1" applyAlignment="1">
      <alignment horizontal="center" vertical="center"/>
    </xf>
    <xf numFmtId="0" fontId="43" fillId="0" borderId="8" xfId="0" applyFont="1" applyFill="1" applyBorder="1"/>
    <xf numFmtId="0" fontId="43" fillId="0" borderId="0" xfId="0" applyFont="1" applyFill="1" applyBorder="1" applyAlignment="1">
      <alignment vertical="center"/>
    </xf>
    <xf numFmtId="0" fontId="43" fillId="0" borderId="28" xfId="0" applyFont="1" applyBorder="1" applyAlignment="1">
      <alignment horizontal="left"/>
    </xf>
    <xf numFmtId="0" fontId="43" fillId="0" borderId="29" xfId="0" applyFont="1" applyFill="1" applyBorder="1"/>
    <xf numFmtId="0" fontId="43" fillId="0" borderId="60" xfId="0" applyFont="1" applyFill="1" applyBorder="1" applyAlignment="1">
      <alignment horizontal="center"/>
    </xf>
    <xf numFmtId="0" fontId="0" fillId="0" borderId="0" xfId="0" applyFont="1" applyBorder="1" applyAlignment="1">
      <alignment vertical="center"/>
    </xf>
    <xf numFmtId="0" fontId="0" fillId="0" borderId="0" xfId="0" applyFont="1" applyBorder="1" applyAlignment="1">
      <alignment horizontal="center" vertical="center"/>
    </xf>
    <xf numFmtId="0" fontId="0" fillId="0" borderId="0" xfId="0" applyFont="1" applyBorder="1" applyAlignment="1">
      <alignment horizontal="left" vertical="center" wrapText="1"/>
    </xf>
    <xf numFmtId="0" fontId="0" fillId="0" borderId="0" xfId="0" applyBorder="1" applyAlignment="1">
      <alignment horizontal="center" vertical="center"/>
    </xf>
    <xf numFmtId="0" fontId="0" fillId="0" borderId="0" xfId="0" applyNumberFormat="1" applyFont="1" applyBorder="1" applyAlignment="1">
      <alignment horizontal="center" vertical="center"/>
    </xf>
    <xf numFmtId="0" fontId="0" fillId="0" borderId="25" xfId="0" applyBorder="1"/>
    <xf numFmtId="0" fontId="0" fillId="0" borderId="26" xfId="0" applyBorder="1"/>
    <xf numFmtId="0" fontId="0" fillId="0" borderId="27" xfId="0" applyBorder="1"/>
    <xf numFmtId="0" fontId="0" fillId="0" borderId="58" xfId="0" applyBorder="1"/>
    <xf numFmtId="0" fontId="0" fillId="0" borderId="0" xfId="0" applyBorder="1"/>
    <xf numFmtId="3" fontId="0" fillId="0" borderId="0" xfId="0" applyNumberFormat="1" applyBorder="1"/>
    <xf numFmtId="0" fontId="0" fillId="0" borderId="59" xfId="0" applyBorder="1"/>
    <xf numFmtId="0" fontId="0" fillId="0" borderId="28" xfId="0" applyBorder="1"/>
    <xf numFmtId="0" fontId="0" fillId="0" borderId="29" xfId="0" applyBorder="1"/>
    <xf numFmtId="3" fontId="0" fillId="0" borderId="29" xfId="0" applyNumberFormat="1" applyBorder="1"/>
    <xf numFmtId="0" fontId="0" fillId="0" borderId="60" xfId="0" applyBorder="1"/>
    <xf numFmtId="3" fontId="0" fillId="0" borderId="0" xfId="0" applyNumberFormat="1"/>
    <xf numFmtId="3" fontId="0" fillId="0" borderId="26" xfId="0" applyNumberFormat="1" applyBorder="1"/>
    <xf numFmtId="0" fontId="0" fillId="0" borderId="1" xfId="0" applyBorder="1"/>
    <xf numFmtId="3" fontId="0" fillId="0" borderId="3" xfId="0" applyNumberFormat="1" applyBorder="1"/>
    <xf numFmtId="0" fontId="0" fillId="0" borderId="4" xfId="0" applyBorder="1"/>
    <xf numFmtId="3" fontId="0" fillId="0" borderId="6" xfId="0" applyNumberFormat="1" applyBorder="1"/>
    <xf numFmtId="0" fontId="0" fillId="0" borderId="42" xfId="0" applyBorder="1"/>
    <xf numFmtId="3" fontId="0" fillId="0" borderId="49" xfId="0" applyNumberFormat="1" applyBorder="1"/>
    <xf numFmtId="0" fontId="0" fillId="0" borderId="7" xfId="0" applyBorder="1"/>
    <xf numFmtId="3" fontId="0" fillId="0" borderId="9" xfId="0" applyNumberFormat="1" applyBorder="1"/>
    <xf numFmtId="0" fontId="0" fillId="7" borderId="0" xfId="0" applyFill="1"/>
    <xf numFmtId="0" fontId="0" fillId="0" borderId="0" xfId="0" applyFill="1" applyBorder="1"/>
    <xf numFmtId="0" fontId="43" fillId="0" borderId="40" xfId="0" applyFont="1" applyFill="1" applyBorder="1" applyAlignment="1">
      <alignment horizontal="center" vertical="center"/>
    </xf>
    <xf numFmtId="0" fontId="43" fillId="0" borderId="42" xfId="0" applyFont="1" applyFill="1" applyBorder="1" applyAlignment="1">
      <alignment horizontal="center" vertical="center"/>
    </xf>
    <xf numFmtId="0" fontId="43" fillId="0" borderId="43" xfId="0" applyFont="1" applyFill="1" applyBorder="1" applyAlignment="1">
      <alignment horizontal="center" vertical="center"/>
    </xf>
    <xf numFmtId="0" fontId="43" fillId="0" borderId="0" xfId="0" applyFont="1" applyFill="1" applyBorder="1" applyAlignment="1">
      <alignment horizontal="center" vertical="center"/>
    </xf>
    <xf numFmtId="0" fontId="43" fillId="0" borderId="22" xfId="0" applyFont="1" applyFill="1" applyBorder="1" applyAlignment="1">
      <alignment horizontal="center" vertical="center"/>
    </xf>
    <xf numFmtId="0" fontId="43" fillId="0" borderId="42" xfId="0" applyNumberFormat="1" applyFont="1" applyFill="1" applyBorder="1" applyAlignment="1">
      <alignment horizontal="center" vertical="center"/>
    </xf>
    <xf numFmtId="0" fontId="43" fillId="0" borderId="67" xfId="0" applyFont="1" applyFill="1" applyBorder="1" applyAlignment="1">
      <alignment horizontal="center" vertical="center"/>
    </xf>
    <xf numFmtId="0" fontId="43" fillId="0" borderId="41" xfId="0" applyFont="1" applyFill="1" applyBorder="1" applyAlignment="1">
      <alignment horizontal="center" vertical="center"/>
    </xf>
    <xf numFmtId="0" fontId="43" fillId="0" borderId="23" xfId="0" applyFont="1" applyFill="1" applyBorder="1" applyAlignment="1">
      <alignment horizontal="center" vertical="center"/>
    </xf>
    <xf numFmtId="0" fontId="43" fillId="0" borderId="30" xfId="0" applyFont="1" applyFill="1" applyBorder="1" applyAlignment="1">
      <alignment horizontal="center" vertical="center"/>
    </xf>
    <xf numFmtId="0" fontId="43" fillId="0" borderId="64" xfId="0" applyFont="1" applyFill="1" applyBorder="1" applyAlignment="1">
      <alignment vertical="center"/>
    </xf>
    <xf numFmtId="0" fontId="43" fillId="0" borderId="65" xfId="0" applyFont="1" applyFill="1" applyBorder="1" applyAlignment="1">
      <alignment vertical="center"/>
    </xf>
    <xf numFmtId="0" fontId="43" fillId="0" borderId="66" xfId="0" applyFont="1" applyFill="1" applyBorder="1" applyAlignment="1">
      <alignment vertical="center"/>
    </xf>
    <xf numFmtId="0" fontId="43" fillId="0" borderId="39" xfId="0" applyFont="1" applyFill="1" applyBorder="1" applyAlignment="1">
      <alignment vertical="center"/>
    </xf>
    <xf numFmtId="0" fontId="43" fillId="0" borderId="21" xfId="0" applyFont="1" applyFill="1" applyBorder="1" applyAlignment="1">
      <alignment horizontal="center" vertical="center"/>
    </xf>
    <xf numFmtId="0" fontId="45" fillId="0" borderId="5" xfId="0" applyFont="1" applyFill="1" applyBorder="1" applyAlignment="1">
      <alignment horizontal="center" vertical="center"/>
    </xf>
    <xf numFmtId="49" fontId="43" fillId="0" borderId="5" xfId="0" applyNumberFormat="1" applyFont="1" applyFill="1" applyBorder="1" applyAlignment="1">
      <alignment horizontal="center" vertical="center"/>
    </xf>
    <xf numFmtId="0" fontId="44" fillId="0" borderId="0" xfId="0" applyFont="1" applyBorder="1" applyAlignment="1">
      <alignment horizontal="left" vertical="center"/>
    </xf>
    <xf numFmtId="0" fontId="44" fillId="0" borderId="0" xfId="0" applyFont="1" applyFill="1" applyBorder="1"/>
    <xf numFmtId="1" fontId="2" fillId="0" borderId="0" xfId="0" applyNumberFormat="1" applyFont="1" applyAlignment="1">
      <alignment vertical="center"/>
    </xf>
    <xf numFmtId="0" fontId="39" fillId="0" borderId="0" xfId="0" applyNumberFormat="1" applyFont="1" applyAlignment="1">
      <alignment horizontal="center" vertical="center"/>
    </xf>
    <xf numFmtId="0" fontId="39" fillId="0" borderId="0" xfId="0" applyFont="1" applyAlignment="1">
      <alignment horizontal="center" vertical="center"/>
    </xf>
    <xf numFmtId="0" fontId="39" fillId="0" borderId="0" xfId="0" applyFont="1" applyAlignment="1">
      <alignment vertical="center"/>
    </xf>
    <xf numFmtId="0" fontId="43" fillId="0" borderId="61" xfId="0" applyFont="1" applyFill="1" applyBorder="1"/>
    <xf numFmtId="0" fontId="43" fillId="0" borderId="63" xfId="0" applyFont="1" applyFill="1" applyBorder="1"/>
    <xf numFmtId="0" fontId="2" fillId="0" borderId="0" xfId="0" applyFont="1" applyBorder="1" applyAlignment="1">
      <alignment vertical="center"/>
    </xf>
    <xf numFmtId="0" fontId="2" fillId="0" borderId="0" xfId="0" applyFont="1" applyBorder="1" applyAlignment="1">
      <alignment horizontal="center" vertical="center"/>
    </xf>
    <xf numFmtId="0" fontId="29" fillId="0" borderId="0" xfId="0" applyFont="1" applyFill="1" applyBorder="1" applyAlignment="1">
      <alignment vertical="top"/>
    </xf>
    <xf numFmtId="0" fontId="38" fillId="0" borderId="5" xfId="0" applyFont="1" applyBorder="1" applyAlignment="1"/>
    <xf numFmtId="0" fontId="1" fillId="0" borderId="5" xfId="0" applyFont="1" applyBorder="1" applyAlignment="1">
      <alignment horizontal="left" vertical="center"/>
    </xf>
    <xf numFmtId="1" fontId="6" fillId="0" borderId="5" xfId="0" applyNumberFormat="1" applyFont="1" applyBorder="1" applyAlignment="1">
      <alignment horizontal="left" vertical="center"/>
    </xf>
    <xf numFmtId="0" fontId="6" fillId="0" borderId="5" xfId="0" applyFont="1" applyBorder="1" applyAlignment="1">
      <alignment horizontal="center" vertical="center"/>
    </xf>
    <xf numFmtId="0" fontId="1" fillId="0" borderId="5" xfId="0" applyFont="1" applyBorder="1" applyAlignment="1">
      <alignment horizontal="center" vertical="center"/>
    </xf>
    <xf numFmtId="1" fontId="6" fillId="0" borderId="5" xfId="0" applyNumberFormat="1" applyFont="1" applyBorder="1" applyAlignment="1">
      <alignment horizontal="center" vertical="center"/>
    </xf>
    <xf numFmtId="0" fontId="8" fillId="0" borderId="5" xfId="0" applyNumberFormat="1" applyFont="1" applyBorder="1" applyAlignment="1">
      <alignment horizontal="center" vertical="center"/>
    </xf>
    <xf numFmtId="0" fontId="6" fillId="0" borderId="0" xfId="0" applyNumberFormat="1" applyFont="1" applyBorder="1" applyAlignment="1">
      <alignment horizontal="center" vertical="center"/>
    </xf>
    <xf numFmtId="0" fontId="6" fillId="0" borderId="14" xfId="0" applyNumberFormat="1" applyFont="1" applyBorder="1" applyAlignment="1">
      <alignment horizontal="center" vertical="center"/>
    </xf>
    <xf numFmtId="0" fontId="6" fillId="0" borderId="5" xfId="0" applyNumberFormat="1" applyFont="1" applyBorder="1" applyAlignment="1">
      <alignment horizontal="center" vertical="center"/>
    </xf>
    <xf numFmtId="0" fontId="8" fillId="0" borderId="21" xfId="0" applyNumberFormat="1" applyFont="1" applyBorder="1" applyAlignment="1">
      <alignment horizontal="center" vertical="center"/>
    </xf>
    <xf numFmtId="0" fontId="8" fillId="0" borderId="22" xfId="0" applyNumberFormat="1" applyFont="1" applyBorder="1" applyAlignment="1">
      <alignment horizontal="center" vertical="center"/>
    </xf>
    <xf numFmtId="0" fontId="8" fillId="0" borderId="5" xfId="1" applyNumberFormat="1" applyFont="1" applyFill="1" applyBorder="1" applyAlignment="1" applyProtection="1">
      <alignment vertical="center"/>
      <protection locked="0"/>
    </xf>
    <xf numFmtId="0" fontId="8" fillId="0" borderId="5" xfId="0" applyFont="1" applyBorder="1"/>
    <xf numFmtId="0" fontId="8" fillId="0" borderId="5" xfId="0" applyFont="1" applyBorder="1" applyAlignment="1">
      <alignment horizontal="center" vertical="center"/>
    </xf>
    <xf numFmtId="0" fontId="8" fillId="0" borderId="5" xfId="1" applyNumberFormat="1" applyFont="1" applyFill="1" applyBorder="1" applyAlignment="1" applyProtection="1">
      <alignment horizontal="left" vertical="center"/>
      <protection locked="0"/>
    </xf>
    <xf numFmtId="1" fontId="6" fillId="0" borderId="5" xfId="0" applyNumberFormat="1" applyFont="1" applyBorder="1" applyAlignment="1">
      <alignment vertical="center"/>
    </xf>
    <xf numFmtId="0" fontId="2" fillId="0" borderId="5" xfId="0" applyFont="1" applyBorder="1" applyAlignment="1">
      <alignment horizontal="center" vertical="center"/>
    </xf>
    <xf numFmtId="0" fontId="5" fillId="0" borderId="16" xfId="0" applyFont="1" applyBorder="1" applyAlignment="1">
      <alignment vertical="center"/>
    </xf>
    <xf numFmtId="0" fontId="5" fillId="0" borderId="5" xfId="0" applyFont="1" applyBorder="1" applyAlignment="1"/>
    <xf numFmtId="0" fontId="27" fillId="0" borderId="21" xfId="0" applyFont="1" applyBorder="1" applyAlignment="1">
      <alignment horizontal="center" vertical="center"/>
    </xf>
    <xf numFmtId="0" fontId="27" fillId="0" borderId="22" xfId="0" applyFont="1" applyBorder="1" applyAlignment="1">
      <alignment horizontal="center" vertical="center"/>
    </xf>
    <xf numFmtId="0" fontId="8" fillId="0" borderId="0" xfId="1" applyNumberFormat="1" applyFont="1" applyFill="1" applyBorder="1" applyAlignment="1" applyProtection="1">
      <alignment vertical="center"/>
      <protection locked="0"/>
    </xf>
    <xf numFmtId="0" fontId="6" fillId="0" borderId="5" xfId="0" applyFont="1" applyBorder="1" applyAlignment="1">
      <alignment vertical="center"/>
    </xf>
    <xf numFmtId="0" fontId="4" fillId="0" borderId="21" xfId="0" applyFont="1" applyBorder="1" applyAlignment="1"/>
    <xf numFmtId="0" fontId="4" fillId="0" borderId="23" xfId="0" applyFont="1" applyBorder="1" applyAlignment="1"/>
    <xf numFmtId="0" fontId="4" fillId="0" borderId="22" xfId="0" applyFont="1" applyBorder="1" applyAlignment="1"/>
    <xf numFmtId="0" fontId="5" fillId="0" borderId="21" xfId="0" applyFont="1" applyBorder="1" applyAlignment="1"/>
    <xf numFmtId="0" fontId="5" fillId="0" borderId="23" xfId="0" applyFont="1" applyBorder="1" applyAlignment="1"/>
    <xf numFmtId="0" fontId="5" fillId="0" borderId="22" xfId="0" applyFont="1" applyBorder="1" applyAlignment="1"/>
    <xf numFmtId="0" fontId="2" fillId="0" borderId="5" xfId="0" applyFont="1" applyBorder="1" applyAlignment="1">
      <alignment vertical="center"/>
    </xf>
    <xf numFmtId="0" fontId="2" fillId="0" borderId="40" xfId="0" applyFont="1" applyBorder="1" applyAlignment="1">
      <alignment horizontal="center" vertical="center"/>
    </xf>
    <xf numFmtId="0" fontId="2" fillId="0" borderId="35" xfId="0" applyFont="1" applyBorder="1" applyAlignment="1">
      <alignment horizontal="center" vertical="center"/>
    </xf>
    <xf numFmtId="0" fontId="2" fillId="0" borderId="42" xfId="0" applyFont="1" applyBorder="1" applyAlignment="1">
      <alignment horizontal="center" vertical="center"/>
    </xf>
    <xf numFmtId="0" fontId="2" fillId="0" borderId="49" xfId="0" applyFont="1" applyBorder="1" applyAlignment="1">
      <alignment horizontal="center" vertical="center"/>
    </xf>
    <xf numFmtId="0" fontId="2" fillId="0" borderId="43" xfId="0" applyFont="1" applyBorder="1" applyAlignment="1">
      <alignment horizontal="center" vertical="center"/>
    </xf>
    <xf numFmtId="0" fontId="2" fillId="0" borderId="38" xfId="0" applyFont="1" applyBorder="1" applyAlignment="1">
      <alignment horizontal="center" vertical="center"/>
    </xf>
    <xf numFmtId="0" fontId="2" fillId="0" borderId="34" xfId="0" applyFont="1" applyBorder="1" applyAlignment="1">
      <alignment horizontal="center" vertical="center"/>
    </xf>
    <xf numFmtId="0" fontId="2" fillId="0" borderId="22" xfId="0" applyFont="1" applyBorder="1" applyAlignment="1">
      <alignment horizontal="center" vertical="center"/>
    </xf>
    <xf numFmtId="0" fontId="2" fillId="0" borderId="37" xfId="0" applyFont="1" applyBorder="1" applyAlignment="1">
      <alignment horizontal="center" vertical="center"/>
    </xf>
    <xf numFmtId="0" fontId="5" fillId="0" borderId="5" xfId="0" applyFont="1" applyBorder="1" applyAlignment="1">
      <alignment vertical="center"/>
    </xf>
    <xf numFmtId="0" fontId="5" fillId="0" borderId="5" xfId="0" applyFont="1" applyBorder="1" applyAlignment="1">
      <alignment horizontal="left" vertical="center"/>
    </xf>
    <xf numFmtId="0" fontId="2" fillId="0" borderId="0" xfId="0" applyFont="1" applyAlignment="1">
      <alignment horizontal="center" vertical="center"/>
    </xf>
    <xf numFmtId="0" fontId="2" fillId="0" borderId="13" xfId="0" applyFont="1" applyBorder="1" applyAlignment="1">
      <alignment vertical="center"/>
    </xf>
    <xf numFmtId="0" fontId="2" fillId="0" borderId="0" xfId="0" applyFont="1" applyAlignment="1">
      <alignment vertical="center"/>
    </xf>
    <xf numFmtId="0" fontId="5" fillId="0" borderId="0" xfId="0" applyFont="1" applyAlignment="1">
      <alignment vertical="center"/>
    </xf>
    <xf numFmtId="0" fontId="2" fillId="0" borderId="13" xfId="0" applyFont="1" applyBorder="1" applyAlignment="1">
      <alignment horizontal="left" vertical="center"/>
    </xf>
    <xf numFmtId="0" fontId="2" fillId="0" borderId="0" xfId="0" applyFont="1" applyAlignment="1">
      <alignment horizontal="left" vertical="center"/>
    </xf>
    <xf numFmtId="0" fontId="8" fillId="0" borderId="21" xfId="0" applyFont="1" applyBorder="1" applyAlignment="1">
      <alignment horizontal="left" vertical="center"/>
    </xf>
    <xf numFmtId="0" fontId="8" fillId="0" borderId="23" xfId="0" applyFont="1" applyBorder="1" applyAlignment="1">
      <alignment horizontal="left" vertical="center"/>
    </xf>
    <xf numFmtId="0" fontId="8" fillId="0" borderId="22" xfId="0" applyFont="1" applyBorder="1" applyAlignment="1">
      <alignment horizontal="left" vertical="center"/>
    </xf>
    <xf numFmtId="0" fontId="1" fillId="0" borderId="5" xfId="0" applyFont="1" applyBorder="1" applyAlignment="1">
      <alignment vertical="center"/>
    </xf>
    <xf numFmtId="0" fontId="24" fillId="0" borderId="5" xfId="0" applyFont="1" applyFill="1" applyBorder="1" applyAlignment="1">
      <alignment vertical="center"/>
    </xf>
    <xf numFmtId="0" fontId="1" fillId="0" borderId="21" xfId="0" applyFont="1" applyBorder="1" applyAlignment="1">
      <alignment horizontal="center" vertical="center"/>
    </xf>
    <xf numFmtId="0" fontId="1" fillId="0" borderId="23" xfId="0" applyFont="1" applyBorder="1" applyAlignment="1">
      <alignment horizontal="center" vertical="center"/>
    </xf>
    <xf numFmtId="0" fontId="1" fillId="0" borderId="22" xfId="0" applyFont="1" applyBorder="1" applyAlignment="1">
      <alignment horizontal="center" vertical="center"/>
    </xf>
    <xf numFmtId="0" fontId="28" fillId="0" borderId="5" xfId="0" applyFont="1" applyFill="1" applyBorder="1" applyAlignment="1">
      <alignment vertical="center"/>
    </xf>
    <xf numFmtId="0" fontId="26" fillId="0" borderId="5" xfId="0" applyFont="1" applyBorder="1" applyAlignment="1">
      <alignment vertical="center"/>
    </xf>
    <xf numFmtId="0" fontId="24" fillId="0" borderId="20" xfId="0" applyFont="1" applyFill="1" applyBorder="1" applyAlignment="1">
      <alignment vertical="center"/>
    </xf>
    <xf numFmtId="0" fontId="2" fillId="0" borderId="0" xfId="0" applyFont="1" applyBorder="1" applyAlignment="1">
      <alignment vertical="center"/>
    </xf>
    <xf numFmtId="0" fontId="1" fillId="0" borderId="17" xfId="0" applyFont="1" applyBorder="1" applyAlignment="1">
      <alignment horizontal="center" vertical="center"/>
    </xf>
    <xf numFmtId="0" fontId="3" fillId="0" borderId="5" xfId="0" applyFont="1" applyBorder="1" applyAlignment="1">
      <alignment vertical="center"/>
    </xf>
    <xf numFmtId="0" fontId="28" fillId="0" borderId="5" xfId="0" applyFont="1" applyFill="1" applyBorder="1" applyAlignment="1">
      <alignment horizontal="center" vertical="center"/>
    </xf>
    <xf numFmtId="0" fontId="21" fillId="0" borderId="20" xfId="0" applyFont="1" applyBorder="1" applyAlignment="1">
      <alignment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7" fillId="0" borderId="0" xfId="0" applyFont="1" applyBorder="1" applyAlignment="1">
      <alignment horizontal="center" vertical="center"/>
    </xf>
    <xf numFmtId="0" fontId="2" fillId="0" borderId="21" xfId="0" applyFont="1" applyBorder="1" applyAlignment="1">
      <alignment horizontal="center" vertical="center"/>
    </xf>
    <xf numFmtId="0" fontId="2" fillId="0" borderId="0" xfId="0" applyFont="1" applyBorder="1" applyAlignment="1">
      <alignment horizontal="center" vertical="center"/>
    </xf>
    <xf numFmtId="0" fontId="2" fillId="0" borderId="5" xfId="0" quotePrefix="1" applyFont="1" applyBorder="1" applyAlignment="1">
      <alignment vertical="center"/>
    </xf>
    <xf numFmtId="0" fontId="2" fillId="0" borderId="23" xfId="0" applyFont="1" applyBorder="1" applyAlignment="1">
      <alignment horizontal="center" vertical="center"/>
    </xf>
    <xf numFmtId="0" fontId="7" fillId="0" borderId="5" xfId="0" applyFont="1" applyBorder="1" applyAlignment="1">
      <alignment horizontal="center" vertical="center"/>
    </xf>
    <xf numFmtId="0" fontId="7" fillId="0" borderId="22" xfId="0" applyFont="1" applyBorder="1" applyAlignment="1">
      <alignment horizontal="center"/>
    </xf>
    <xf numFmtId="0" fontId="7" fillId="0" borderId="5" xfId="0" applyFont="1" applyBorder="1" applyAlignment="1">
      <alignment horizontal="center"/>
    </xf>
    <xf numFmtId="0" fontId="2" fillId="0" borderId="5"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7" fillId="0" borderId="10" xfId="0" applyFont="1"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0" xfId="0" applyFont="1" applyBorder="1" applyAlignment="1">
      <alignment horizontal="center"/>
    </xf>
    <xf numFmtId="0" fontId="7" fillId="0" borderId="14" xfId="0" applyFont="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7" fillId="0" borderId="21" xfId="0" applyFont="1" applyBorder="1" applyAlignment="1">
      <alignment horizontal="center"/>
    </xf>
    <xf numFmtId="0" fontId="7" fillId="0" borderId="23" xfId="0" applyFont="1" applyBorder="1" applyAlignment="1">
      <alignment horizontal="center"/>
    </xf>
    <xf numFmtId="0" fontId="2" fillId="0" borderId="21" xfId="0" quotePrefix="1" applyFont="1" applyBorder="1" applyAlignment="1">
      <alignment vertical="center"/>
    </xf>
    <xf numFmtId="0" fontId="4" fillId="0" borderId="5" xfId="0" applyFont="1" applyBorder="1" applyAlignment="1"/>
    <xf numFmtId="0" fontId="17" fillId="0" borderId="0" xfId="0" applyFont="1" applyBorder="1" applyAlignment="1">
      <alignment horizontal="center" vertical="center"/>
    </xf>
    <xf numFmtId="0" fontId="17" fillId="0" borderId="56" xfId="0" applyFont="1" applyBorder="1" applyAlignment="1">
      <alignment horizontal="center" vertical="center"/>
    </xf>
    <xf numFmtId="0" fontId="2" fillId="0" borderId="5" xfId="0" applyFont="1" applyBorder="1" applyAlignment="1">
      <alignment horizontal="left" vertical="center"/>
    </xf>
    <xf numFmtId="0" fontId="14" fillId="0" borderId="0" xfId="0" applyFont="1" applyBorder="1" applyAlignment="1">
      <alignment horizontal="center" vertical="center"/>
    </xf>
    <xf numFmtId="0" fontId="2" fillId="0" borderId="5" xfId="0" applyFont="1" applyBorder="1" applyAlignment="1">
      <alignment horizontal="left" vertical="top"/>
    </xf>
    <xf numFmtId="0" fontId="2" fillId="0" borderId="29" xfId="0" applyFont="1" applyBorder="1" applyAlignment="1">
      <alignment horizontal="center" vertical="center"/>
    </xf>
    <xf numFmtId="0" fontId="2" fillId="0" borderId="21" xfId="0" applyFont="1" applyBorder="1" applyAlignment="1">
      <alignment horizontal="left" vertical="center"/>
    </xf>
    <xf numFmtId="0" fontId="2" fillId="0" borderId="22" xfId="0" applyFont="1" applyBorder="1" applyAlignment="1">
      <alignment horizontal="left" vertical="center"/>
    </xf>
    <xf numFmtId="0" fontId="5" fillId="0" borderId="5" xfId="0" applyFont="1" applyBorder="1" applyAlignment="1">
      <alignment horizontal="center" vertical="center"/>
    </xf>
    <xf numFmtId="0" fontId="2" fillId="0" borderId="32" xfId="0" applyFont="1" applyBorder="1" applyAlignment="1">
      <alignment horizontal="left" vertical="center"/>
    </xf>
    <xf numFmtId="0" fontId="2" fillId="0" borderId="0" xfId="0" applyFont="1" applyBorder="1" applyAlignment="1">
      <alignment horizontal="left" vertical="center"/>
    </xf>
    <xf numFmtId="0" fontId="2" fillId="0" borderId="5" xfId="0" applyFont="1" applyFill="1" applyBorder="1" applyAlignment="1">
      <alignment vertical="center"/>
    </xf>
    <xf numFmtId="1" fontId="8" fillId="0" borderId="5" xfId="0" applyNumberFormat="1" applyFont="1" applyBorder="1" applyAlignment="1">
      <alignment horizontal="center" vertical="center"/>
    </xf>
    <xf numFmtId="0" fontId="7" fillId="0" borderId="18" xfId="0" applyFont="1" applyBorder="1" applyAlignment="1">
      <alignment horizontal="center"/>
    </xf>
    <xf numFmtId="0" fontId="7" fillId="0" borderId="19" xfId="0" applyFont="1" applyBorder="1" applyAlignment="1">
      <alignment horizontal="center"/>
    </xf>
    <xf numFmtId="0" fontId="28" fillId="0" borderId="20" xfId="0" applyFont="1" applyFill="1" applyBorder="1" applyAlignment="1">
      <alignment vertical="center"/>
    </xf>
    <xf numFmtId="0" fontId="21" fillId="0" borderId="0" xfId="0" applyFont="1" applyBorder="1" applyAlignment="1">
      <alignment horizontal="center" vertical="center"/>
    </xf>
    <xf numFmtId="1" fontId="7" fillId="0" borderId="5" xfId="0" applyNumberFormat="1" applyFont="1" applyBorder="1" applyAlignment="1">
      <alignment vertical="center"/>
    </xf>
    <xf numFmtId="1" fontId="1" fillId="0" borderId="5" xfId="0" applyNumberFormat="1" applyFont="1" applyBorder="1" applyAlignment="1">
      <alignment vertical="center"/>
    </xf>
    <xf numFmtId="1" fontId="2" fillId="0" borderId="5" xfId="0" applyNumberFormat="1" applyFont="1" applyBorder="1" applyAlignment="1">
      <alignment horizontal="center" vertical="center"/>
    </xf>
    <xf numFmtId="0" fontId="8" fillId="0" borderId="5" xfId="0" applyFont="1" applyBorder="1" applyAlignment="1">
      <alignment vertical="center"/>
    </xf>
    <xf numFmtId="0" fontId="2" fillId="0" borderId="15" xfId="0" applyFont="1" applyBorder="1" applyAlignment="1">
      <alignment horizontal="center"/>
    </xf>
    <xf numFmtId="0" fontId="2" fillId="0" borderId="17" xfId="0"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5" fillId="0" borderId="21" xfId="0" applyFont="1" applyBorder="1" applyAlignment="1">
      <alignment horizontal="center"/>
    </xf>
    <xf numFmtId="0" fontId="5" fillId="0" borderId="23" xfId="0" applyFont="1" applyBorder="1" applyAlignment="1">
      <alignment horizontal="center"/>
    </xf>
    <xf numFmtId="0" fontId="5" fillId="0" borderId="5" xfId="0" applyFont="1" applyBorder="1"/>
    <xf numFmtId="0" fontId="5" fillId="0" borderId="10" xfId="0" applyFont="1" applyBorder="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5" fillId="0" borderId="13" xfId="0" applyFont="1" applyBorder="1"/>
    <xf numFmtId="0" fontId="5" fillId="0" borderId="0" xfId="0" applyFont="1" applyBorder="1"/>
    <xf numFmtId="0" fontId="5" fillId="0" borderId="15" xfId="0" applyFont="1" applyBorder="1"/>
    <xf numFmtId="0" fontId="5" fillId="0" borderId="16" xfId="0" applyFont="1" applyBorder="1"/>
    <xf numFmtId="0" fontId="5" fillId="0" borderId="14" xfId="0" applyFont="1" applyBorder="1"/>
    <xf numFmtId="0" fontId="5" fillId="0" borderId="17" xfId="0" applyFont="1" applyBorder="1"/>
    <xf numFmtId="0" fontId="5" fillId="0" borderId="22" xfId="0" applyFont="1" applyBorder="1" applyAlignment="1">
      <alignment horizontal="center"/>
    </xf>
    <xf numFmtId="0" fontId="5" fillId="0" borderId="5" xfId="0" applyFont="1" applyBorder="1" applyAlignment="1">
      <alignment horizontal="center"/>
    </xf>
    <xf numFmtId="0" fontId="5" fillId="0" borderId="5" xfId="0" quotePrefix="1" applyFont="1" applyBorder="1" applyAlignment="1">
      <alignment vertical="center"/>
    </xf>
    <xf numFmtId="0" fontId="5" fillId="0" borderId="5" xfId="0" applyFont="1" applyFill="1" applyBorder="1"/>
    <xf numFmtId="0" fontId="4" fillId="0" borderId="5" xfId="0" applyFont="1" applyFill="1" applyBorder="1" applyAlignment="1"/>
    <xf numFmtId="0" fontId="5" fillId="0" borderId="5" xfId="0" applyFont="1" applyFill="1" applyBorder="1" applyAlignment="1"/>
    <xf numFmtId="0" fontId="5" fillId="0" borderId="5" xfId="0" applyFont="1" applyFill="1" applyBorder="1" applyAlignment="1">
      <alignment vertical="center"/>
    </xf>
    <xf numFmtId="0" fontId="5" fillId="0" borderId="11" xfId="0" applyFont="1" applyBorder="1"/>
    <xf numFmtId="0" fontId="5" fillId="0" borderId="12" xfId="0" applyFont="1" applyBorder="1"/>
    <xf numFmtId="0" fontId="5" fillId="0" borderId="0" xfId="0" applyFont="1" applyBorder="1" applyAlignment="1"/>
    <xf numFmtId="0" fontId="5" fillId="0" borderId="16" xfId="0" applyFont="1" applyBorder="1" applyAlignment="1"/>
    <xf numFmtId="0" fontId="5" fillId="0" borderId="11" xfId="0" applyFont="1" applyBorder="1" applyAlignment="1"/>
    <xf numFmtId="0" fontId="5" fillId="0" borderId="12" xfId="0" applyFont="1" applyBorder="1" applyAlignment="1"/>
    <xf numFmtId="0" fontId="5" fillId="0" borderId="14" xfId="0" applyFont="1" applyBorder="1" applyAlignment="1"/>
    <xf numFmtId="0" fontId="5" fillId="0" borderId="17" xfId="0" applyFont="1" applyBorder="1" applyAlignment="1"/>
    <xf numFmtId="0" fontId="5" fillId="0" borderId="10" xfId="0" applyFont="1" applyBorder="1" applyAlignment="1">
      <alignment horizontal="left" vertical="center"/>
    </xf>
    <xf numFmtId="0" fontId="5" fillId="0" borderId="11" xfId="0" applyFont="1" applyBorder="1" applyAlignment="1">
      <alignment horizontal="left" vertical="center"/>
    </xf>
    <xf numFmtId="0" fontId="5" fillId="0" borderId="13" xfId="0" applyFont="1" applyBorder="1" applyAlignment="1">
      <alignment horizontal="left" vertical="center"/>
    </xf>
    <xf numFmtId="0" fontId="5" fillId="0" borderId="0" xfId="0" applyFont="1" applyBorder="1" applyAlignment="1">
      <alignment horizontal="left" vertical="center"/>
    </xf>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10" xfId="0" applyFont="1" applyBorder="1" applyAlignment="1">
      <alignment vertical="center"/>
    </xf>
    <xf numFmtId="0" fontId="5" fillId="0" borderId="11" xfId="0" applyFont="1" applyBorder="1" applyAlignment="1">
      <alignment vertical="center"/>
    </xf>
    <xf numFmtId="0" fontId="5" fillId="0" borderId="13" xfId="0" applyFont="1" applyBorder="1" applyAlignment="1">
      <alignment vertical="center"/>
    </xf>
    <xf numFmtId="0" fontId="5" fillId="0" borderId="0" xfId="0" applyFont="1" applyBorder="1" applyAlignment="1">
      <alignment vertical="center"/>
    </xf>
    <xf numFmtId="0" fontId="5" fillId="0" borderId="15" xfId="0" applyFont="1" applyBorder="1" applyAlignment="1">
      <alignment vertical="center"/>
    </xf>
    <xf numFmtId="0" fontId="35" fillId="0" borderId="0" xfId="0" applyFont="1" applyAlignment="1">
      <alignment horizontal="center" vertical="center"/>
    </xf>
    <xf numFmtId="0" fontId="5" fillId="0" borderId="5" xfId="0" applyFont="1" applyFill="1" applyBorder="1" applyAlignment="1">
      <alignment horizontal="center" vertical="center"/>
    </xf>
    <xf numFmtId="0" fontId="5" fillId="0" borderId="21" xfId="0" applyFont="1" applyBorder="1" applyAlignment="1">
      <alignment vertical="center"/>
    </xf>
    <xf numFmtId="0" fontId="5" fillId="0" borderId="23" xfId="0" applyFont="1" applyBorder="1" applyAlignment="1">
      <alignment vertical="center"/>
    </xf>
    <xf numFmtId="0" fontId="5" fillId="0" borderId="22" xfId="0" applyFont="1" applyBorder="1" applyAlignment="1">
      <alignment vertical="center"/>
    </xf>
    <xf numFmtId="0" fontId="43" fillId="0" borderId="21" xfId="0" applyFont="1" applyFill="1" applyBorder="1" applyAlignment="1">
      <alignment horizontal="left"/>
    </xf>
    <xf numFmtId="0" fontId="43" fillId="0" borderId="22" xfId="0" applyFont="1" applyFill="1" applyBorder="1" applyAlignment="1">
      <alignment horizontal="left"/>
    </xf>
    <xf numFmtId="0" fontId="43" fillId="0" borderId="26" xfId="0" applyFont="1" applyFill="1" applyBorder="1" applyAlignment="1">
      <alignment horizontal="left" vertical="top" wrapText="1"/>
    </xf>
    <xf numFmtId="0" fontId="43" fillId="0" borderId="27" xfId="0" applyFont="1" applyFill="1" applyBorder="1" applyAlignment="1">
      <alignment horizontal="left" vertical="top" wrapText="1"/>
    </xf>
    <xf numFmtId="0" fontId="43" fillId="0" borderId="0" xfId="0" applyFont="1" applyFill="1" applyBorder="1" applyAlignment="1">
      <alignment horizontal="left" vertical="top" wrapText="1"/>
    </xf>
    <xf numFmtId="0" fontId="43" fillId="0" borderId="59" xfId="0" applyFont="1" applyFill="1" applyBorder="1" applyAlignment="1">
      <alignment horizontal="left" vertical="top" wrapText="1"/>
    </xf>
    <xf numFmtId="0" fontId="43" fillId="0" borderId="29" xfId="0" applyFont="1" applyFill="1" applyBorder="1" applyAlignment="1">
      <alignment horizontal="left" vertical="top" wrapText="1"/>
    </xf>
    <xf numFmtId="0" fontId="43" fillId="0" borderId="60" xfId="0" applyFont="1" applyFill="1" applyBorder="1" applyAlignment="1">
      <alignment horizontal="left" vertical="top" wrapText="1"/>
    </xf>
    <xf numFmtId="0" fontId="43" fillId="0" borderId="21" xfId="0" applyFont="1" applyFill="1" applyBorder="1" applyAlignment="1">
      <alignment horizontal="left" vertical="top"/>
    </xf>
    <xf numFmtId="0" fontId="43" fillId="0" borderId="22" xfId="0" applyFont="1" applyFill="1" applyBorder="1" applyAlignment="1">
      <alignment horizontal="left" vertical="top"/>
    </xf>
    <xf numFmtId="0" fontId="43" fillId="0" borderId="42" xfId="0" applyFont="1" applyBorder="1" applyAlignment="1">
      <alignment vertical="top"/>
    </xf>
    <xf numFmtId="0" fontId="43" fillId="0" borderId="22" xfId="0" applyFont="1" applyBorder="1" applyAlignment="1">
      <alignment vertical="top"/>
    </xf>
    <xf numFmtId="0" fontId="0" fillId="0" borderId="58" xfId="0" applyBorder="1" applyAlignment="1">
      <alignment horizontal="left" vertical="center" wrapText="1"/>
    </xf>
    <xf numFmtId="0" fontId="0" fillId="0" borderId="0" xfId="0" applyBorder="1" applyAlignment="1">
      <alignment horizontal="left" vertical="center" wrapText="1"/>
    </xf>
    <xf numFmtId="0" fontId="0" fillId="0" borderId="58" xfId="0" applyBorder="1" applyAlignment="1">
      <alignment horizontal="left" vertical="center"/>
    </xf>
    <xf numFmtId="0" fontId="0" fillId="0" borderId="0" xfId="0" applyBorder="1" applyAlignment="1">
      <alignment horizontal="left" vertical="center"/>
    </xf>
  </cellXfs>
  <cellStyles count="2">
    <cellStyle name="Excel Built-in Normal" xfId="1" xr:uid="{00000000-0005-0000-0000-000000000000}"/>
    <cellStyle name="Standard" xfId="0" builtinId="0"/>
  </cellStyles>
  <dxfs count="1">
    <dxf>
      <fill>
        <patternFill>
          <bgColor rgb="FFFF0000"/>
        </patternFill>
      </fill>
    </dxf>
  </dxfs>
  <tableStyles count="0" defaultTableStyle="TableStyleMedium9" defaultPivotStyle="PivotStyleLight16"/>
  <colors>
    <mruColors>
      <color rgb="FFFFCC66"/>
      <color rgb="FFFF9933"/>
      <color rgb="FF099116"/>
      <color rgb="FFFF8401"/>
      <color rgb="FFEF8011"/>
      <color rgb="FFF7B909"/>
      <color rgb="FF008000"/>
      <color rgb="FF009900"/>
      <color rgb="FF33CC33"/>
      <color rgb="FF119F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171449</xdr:colOff>
      <xdr:row>2</xdr:row>
      <xdr:rowOff>0</xdr:rowOff>
    </xdr:from>
    <xdr:to>
      <xdr:col>10</xdr:col>
      <xdr:colOff>98372</xdr:colOff>
      <xdr:row>10</xdr:row>
      <xdr:rowOff>0</xdr:rowOff>
    </xdr:to>
    <xdr:pic>
      <xdr:nvPicPr>
        <xdr:cNvPr id="4" name="Picture 1">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1449" y="342900"/>
          <a:ext cx="1641423" cy="1371600"/>
        </a:xfrm>
        <a:prstGeom prst="rect">
          <a:avLst/>
        </a:prstGeom>
        <a:blipFill dpi="0" rotWithShape="1">
          <a:blip xmlns:r="http://schemas.openxmlformats.org/officeDocument/2006/relationships" r:embed="rId2" cstate="print">
            <a:alphaModFix amt="0"/>
          </a:blip>
          <a:srcRect/>
          <a:tile tx="0" ty="0" sx="100000" sy="100000" flip="none" algn="tl"/>
        </a:blip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Das%20Western%20Rollenspiel\__Neueste%20Entwicklung\_NPC-Rechner%20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lti-NPC-Ausgabe"/>
      <sheetName val="NPC-Rechner"/>
      <sheetName val="Elementar-Rechner"/>
      <sheetName val="Ressourcen"/>
      <sheetName val="NPC-Ausgabe"/>
      <sheetName val="Sheet1"/>
    </sheetNames>
    <sheetDataSet>
      <sheetData sheetId="0"/>
      <sheetData sheetId="1">
        <row r="89">
          <cell r="S89">
            <v>0</v>
          </cell>
        </row>
        <row r="90">
          <cell r="S90">
            <v>0</v>
          </cell>
        </row>
      </sheetData>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P298"/>
  <sheetViews>
    <sheetView tabSelected="1" view="pageLayout" topLeftCell="A46" zoomScaleNormal="100" workbookViewId="0">
      <selection activeCell="E71" sqref="E71:J74"/>
    </sheetView>
  </sheetViews>
  <sheetFormatPr baseColWidth="10" defaultColWidth="4.42578125" defaultRowHeight="15.6" customHeight="1" x14ac:dyDescent="0.25"/>
  <cols>
    <col min="1" max="6" width="4.42578125" style="17"/>
    <col min="7" max="8" width="5" style="17" bestFit="1" customWidth="1"/>
    <col min="9" max="19" width="4.42578125" style="17"/>
    <col min="20" max="21" width="5.140625" style="17" bestFit="1" customWidth="1"/>
    <col min="22" max="30" width="4.42578125" style="17"/>
    <col min="31" max="31" width="5.140625" style="17" bestFit="1" customWidth="1"/>
    <col min="32" max="41" width="4.42578125" style="17"/>
    <col min="42" max="42" width="4.7109375" style="17" bestFit="1" customWidth="1"/>
    <col min="43" max="44" width="4.42578125" style="17"/>
    <col min="45" max="45" width="5.140625" style="17" bestFit="1" customWidth="1"/>
    <col min="46" max="16384" width="4.42578125" style="17"/>
  </cols>
  <sheetData>
    <row r="1" spans="1:42" ht="15.6" customHeight="1" x14ac:dyDescent="0.25">
      <c r="A1" s="497" t="s">
        <v>157</v>
      </c>
      <c r="B1" s="497"/>
      <c r="C1" s="497"/>
      <c r="D1" s="497"/>
      <c r="E1" s="497"/>
      <c r="F1" s="497"/>
      <c r="G1" s="497"/>
      <c r="H1" s="497"/>
      <c r="I1" s="497"/>
      <c r="J1" s="497"/>
      <c r="K1" s="497"/>
      <c r="L1" s="497"/>
      <c r="M1" s="497"/>
      <c r="N1" s="497"/>
      <c r="O1" s="497"/>
      <c r="P1" s="497"/>
      <c r="Q1" s="497"/>
      <c r="R1" s="497"/>
      <c r="S1" s="497"/>
      <c r="T1" s="497"/>
      <c r="U1" s="497"/>
      <c r="V1" s="494" t="s">
        <v>156</v>
      </c>
      <c r="W1" s="494"/>
      <c r="X1" s="494"/>
      <c r="Y1" s="494"/>
      <c r="Z1" s="494"/>
      <c r="AA1" s="494"/>
      <c r="AB1" s="494"/>
      <c r="AC1" s="494"/>
      <c r="AD1" s="494"/>
      <c r="AE1" s="494"/>
      <c r="AF1" s="494"/>
      <c r="AG1" s="494"/>
      <c r="AH1" s="494"/>
      <c r="AI1" s="494"/>
      <c r="AJ1" s="494"/>
      <c r="AK1" s="494"/>
      <c r="AL1" s="494"/>
      <c r="AM1" s="494"/>
      <c r="AN1" s="494"/>
      <c r="AO1" s="494"/>
      <c r="AP1" s="494"/>
    </row>
    <row r="2" spans="1:42" ht="15.6" customHeight="1" thickBot="1" x14ac:dyDescent="0.3">
      <c r="A2" s="497"/>
      <c r="B2" s="497"/>
      <c r="C2" s="497"/>
      <c r="D2" s="497"/>
      <c r="E2" s="497"/>
      <c r="F2" s="497"/>
      <c r="G2" s="497"/>
      <c r="H2" s="497"/>
      <c r="I2" s="497"/>
      <c r="J2" s="497"/>
      <c r="K2" s="497"/>
      <c r="L2" s="497"/>
      <c r="M2" s="497"/>
      <c r="N2" s="497"/>
      <c r="O2" s="497"/>
      <c r="P2" s="497"/>
      <c r="Q2" s="497"/>
      <c r="R2" s="497"/>
      <c r="S2" s="497"/>
      <c r="T2" s="497"/>
      <c r="U2" s="497"/>
      <c r="V2" s="495"/>
      <c r="W2" s="495"/>
      <c r="X2" s="495"/>
      <c r="Y2" s="495"/>
      <c r="Z2" s="495"/>
      <c r="AA2" s="495"/>
      <c r="AB2" s="495"/>
      <c r="AC2" s="495"/>
      <c r="AD2" s="495"/>
      <c r="AE2" s="495"/>
      <c r="AF2" s="495"/>
      <c r="AG2" s="495"/>
      <c r="AH2" s="495"/>
      <c r="AI2" s="495"/>
      <c r="AJ2" s="495"/>
      <c r="AK2" s="495"/>
      <c r="AL2" s="495"/>
      <c r="AM2" s="495"/>
      <c r="AN2" s="495"/>
      <c r="AO2" s="495"/>
      <c r="AP2" s="495"/>
    </row>
    <row r="3" spans="1:42" ht="15.6" customHeight="1" thickTop="1" thickBot="1" x14ac:dyDescent="0.3">
      <c r="D3" s="17" t="s">
        <v>135</v>
      </c>
      <c r="G3" s="499"/>
      <c r="H3" s="499"/>
      <c r="I3" s="499"/>
      <c r="J3" s="499"/>
      <c r="K3" s="499"/>
      <c r="L3" s="499"/>
      <c r="M3" s="499"/>
      <c r="N3" s="499"/>
      <c r="O3" s="499"/>
      <c r="P3" s="499"/>
      <c r="Q3" s="499"/>
      <c r="R3" s="499"/>
      <c r="X3" s="17" t="s">
        <v>33</v>
      </c>
      <c r="Z3" s="17" t="s">
        <v>155</v>
      </c>
      <c r="AC3" s="17" t="s">
        <v>33</v>
      </c>
      <c r="AE3" s="17" t="s">
        <v>155</v>
      </c>
      <c r="AH3" s="17" t="s">
        <v>33</v>
      </c>
    </row>
    <row r="4" spans="1:42" ht="15.6" customHeight="1" x14ac:dyDescent="0.25">
      <c r="V4" s="500" t="s">
        <v>6</v>
      </c>
      <c r="W4" s="501"/>
      <c r="X4" s="468">
        <v>14</v>
      </c>
      <c r="Y4" s="469"/>
      <c r="Z4" s="93">
        <f>ROUNDUP((X4+Y4)/2,0)-5</f>
        <v>2</v>
      </c>
      <c r="AA4" s="503" t="s">
        <v>11</v>
      </c>
      <c r="AB4" s="501"/>
      <c r="AC4" s="468">
        <v>16</v>
      </c>
      <c r="AD4" s="469"/>
      <c r="AE4" s="142">
        <f>ROUNDUP((AC4+AD4)/2,0)-5</f>
        <v>3</v>
      </c>
      <c r="AF4" s="496" t="s">
        <v>16</v>
      </c>
      <c r="AG4" s="496"/>
      <c r="AH4" s="150">
        <v>3</v>
      </c>
      <c r="AI4" s="514" t="s">
        <v>1072</v>
      </c>
      <c r="AJ4" s="514"/>
      <c r="AK4" s="514"/>
      <c r="AL4" s="514"/>
      <c r="AM4" s="514"/>
      <c r="AN4" s="514"/>
      <c r="AO4" s="511">
        <v>13692</v>
      </c>
      <c r="AP4" s="511"/>
    </row>
    <row r="5" spans="1:42" ht="15.6" customHeight="1" thickBot="1" x14ac:dyDescent="0.3">
      <c r="A5" s="16"/>
      <c r="C5" s="16"/>
      <c r="D5" s="197"/>
      <c r="E5" s="197"/>
      <c r="F5" s="197"/>
      <c r="G5" s="197"/>
      <c r="H5" s="197" t="s">
        <v>153</v>
      </c>
      <c r="I5" s="197" t="s">
        <v>33</v>
      </c>
      <c r="J5" s="197" t="s">
        <v>155</v>
      </c>
      <c r="K5" s="197"/>
      <c r="L5" s="197"/>
      <c r="M5" s="197" t="s">
        <v>153</v>
      </c>
      <c r="N5" s="197" t="s">
        <v>33</v>
      </c>
      <c r="O5" s="197" t="s">
        <v>155</v>
      </c>
      <c r="V5" s="95" t="s">
        <v>7</v>
      </c>
      <c r="W5" s="21"/>
      <c r="X5" s="468">
        <v>20</v>
      </c>
      <c r="Y5" s="469"/>
      <c r="Z5" s="93">
        <f>ROUNDUP((X5+Y5)/2,0)-5</f>
        <v>5</v>
      </c>
      <c r="AA5" s="503" t="s">
        <v>12</v>
      </c>
      <c r="AB5" s="501"/>
      <c r="AC5" s="468">
        <v>16</v>
      </c>
      <c r="AD5" s="469"/>
      <c r="AE5" s="142">
        <f>ROUNDUP((AC5+AD5)/2,0)-5</f>
        <v>3</v>
      </c>
      <c r="AF5" s="496" t="s">
        <v>17</v>
      </c>
      <c r="AG5" s="496"/>
      <c r="AH5" s="150">
        <v>14</v>
      </c>
      <c r="AI5" s="434" t="s">
        <v>113</v>
      </c>
      <c r="AJ5" s="434"/>
      <c r="AK5" s="434"/>
      <c r="AL5" s="434"/>
      <c r="AM5" s="434"/>
      <c r="AN5" s="434"/>
      <c r="AO5" s="512">
        <f>SUM(AB10:AC14,AJ10:AK13)</f>
        <v>17207</v>
      </c>
      <c r="AP5" s="512"/>
    </row>
    <row r="6" spans="1:42" ht="15.6" customHeight="1" thickBot="1" x14ac:dyDescent="0.3">
      <c r="A6" s="434" t="s">
        <v>2</v>
      </c>
      <c r="B6" s="434"/>
      <c r="C6" s="76">
        <f>IF(AO4&lt;Ressourcen!H17,0,(IF(AO4&lt;Ressourcen!H20,1,(IF(AO4&lt;Ressourcen!H25,2,(IF(AO4&lt;Ressourcen!H32,3,(IF(AO4&lt;Ressourcen!H41,4,(IF(AO4&lt;Ressourcen!H52,5,(IF(AO4&lt;Ressourcen!H65,6,7)))))))))))))</f>
        <v>7</v>
      </c>
      <c r="D6" s="261" t="s">
        <v>149</v>
      </c>
      <c r="E6" s="77">
        <f>AH4</f>
        <v>3</v>
      </c>
      <c r="F6" s="435" t="s">
        <v>140</v>
      </c>
      <c r="G6" s="436"/>
      <c r="H6" s="87">
        <v>7</v>
      </c>
      <c r="I6" s="86">
        <f>X4+H6</f>
        <v>21</v>
      </c>
      <c r="J6" s="80">
        <f>ROUNDUP(Aus/2,0)-5</f>
        <v>6</v>
      </c>
      <c r="K6" s="435" t="s">
        <v>144</v>
      </c>
      <c r="L6" s="441"/>
      <c r="M6" s="90">
        <v>7</v>
      </c>
      <c r="N6" s="86">
        <f>AC4+M6</f>
        <v>23</v>
      </c>
      <c r="O6" s="83">
        <f>ROUNDUP(Ath/2,0)-5</f>
        <v>7</v>
      </c>
      <c r="P6" s="504"/>
      <c r="Q6" s="504"/>
      <c r="R6" s="504"/>
      <c r="S6" s="212"/>
      <c r="T6" s="158"/>
      <c r="V6" s="500" t="s">
        <v>8</v>
      </c>
      <c r="W6" s="501"/>
      <c r="X6" s="468">
        <v>14</v>
      </c>
      <c r="Y6" s="469"/>
      <c r="Z6" s="93">
        <f>ROUNDUP((X6+Y6)/2,0)-5</f>
        <v>2</v>
      </c>
      <c r="AA6" s="503" t="s">
        <v>13</v>
      </c>
      <c r="AB6" s="501"/>
      <c r="AC6" s="468">
        <v>31</v>
      </c>
      <c r="AD6" s="469"/>
      <c r="AE6" s="142">
        <f>ROUNDUP((AC6+AD6)/2,0)-5</f>
        <v>11</v>
      </c>
      <c r="AF6" s="496" t="s">
        <v>18</v>
      </c>
      <c r="AG6" s="496"/>
      <c r="AH6" s="150">
        <v>5</v>
      </c>
      <c r="AI6" s="455" t="s">
        <v>1073</v>
      </c>
      <c r="AJ6" s="455"/>
      <c r="AK6" s="455"/>
      <c r="AL6" s="455"/>
      <c r="AM6" s="455"/>
      <c r="AN6" s="455"/>
      <c r="AO6" s="420">
        <f>SUM(AO4-AJ14+6400)-SUM(AB10:AC14,AJ10:AK13)</f>
        <v>0</v>
      </c>
      <c r="AP6" s="420"/>
    </row>
    <row r="7" spans="1:42" ht="15.6" customHeight="1" thickBot="1" x14ac:dyDescent="0.3">
      <c r="A7" s="434" t="s">
        <v>3</v>
      </c>
      <c r="B7" s="434"/>
      <c r="C7" s="76">
        <f>IF(AO4&lt;20,0,VLOOKUP(AO4,Ressourcen!H17:J79,2))</f>
        <v>58</v>
      </c>
      <c r="D7" s="262" t="s">
        <v>150</v>
      </c>
      <c r="E7" s="78">
        <f>AH5</f>
        <v>14</v>
      </c>
      <c r="F7" s="437" t="s">
        <v>141</v>
      </c>
      <c r="G7" s="438"/>
      <c r="H7" s="88">
        <v>7</v>
      </c>
      <c r="I7" s="86">
        <f>H7+X5</f>
        <v>27</v>
      </c>
      <c r="J7" s="81">
        <f>ROUNDUP(Int/2,0)-5</f>
        <v>9</v>
      </c>
      <c r="K7" s="437" t="s">
        <v>145</v>
      </c>
      <c r="L7" s="442"/>
      <c r="M7" s="91">
        <v>7</v>
      </c>
      <c r="N7" s="86">
        <f>AC5+M7</f>
        <v>23</v>
      </c>
      <c r="O7" s="84">
        <f>ROUNDUP(Ges/2,0)-5</f>
        <v>7</v>
      </c>
      <c r="P7" s="504"/>
      <c r="Q7" s="504"/>
      <c r="R7" s="504"/>
      <c r="S7" s="213"/>
      <c r="T7" s="197"/>
      <c r="V7" s="95" t="s">
        <v>9</v>
      </c>
      <c r="W7" s="21"/>
      <c r="X7" s="468">
        <v>14</v>
      </c>
      <c r="Y7" s="469"/>
      <c r="Z7" s="93">
        <f>ROUNDUP((X7+Y7)/2,0)-5</f>
        <v>2</v>
      </c>
      <c r="AA7" s="503" t="s">
        <v>14</v>
      </c>
      <c r="AB7" s="501"/>
      <c r="AC7" s="468">
        <v>14</v>
      </c>
      <c r="AD7" s="469"/>
      <c r="AE7" s="142">
        <f>ROUNDUP((AC7+AD7)/2,0)-5</f>
        <v>2</v>
      </c>
      <c r="AF7" s="496" t="s">
        <v>19</v>
      </c>
      <c r="AG7" s="496"/>
      <c r="AH7" s="150">
        <v>5</v>
      </c>
      <c r="AI7" s="496" t="s">
        <v>727</v>
      </c>
      <c r="AJ7" s="496"/>
      <c r="AK7" s="496"/>
      <c r="AL7" s="496"/>
      <c r="AM7" s="496"/>
      <c r="AN7" s="496"/>
      <c r="AO7" s="471">
        <f>VLOOKUP(st,Ressourcen!$I$17:$K$80,3,FALSE)</f>
        <v>310</v>
      </c>
      <c r="AP7" s="442"/>
    </row>
    <row r="8" spans="1:42" ht="15.6" customHeight="1" thickBot="1" x14ac:dyDescent="0.3">
      <c r="A8" s="434" t="s">
        <v>4</v>
      </c>
      <c r="B8" s="434"/>
      <c r="C8" s="76">
        <f>IF(((SUM(Aur+mag+wei+kar+kr+wilb))&gt;=0),(SUM(Aur+mag+kar+wei+kr+wilb)),0)</f>
        <v>27</v>
      </c>
      <c r="D8" s="262" t="s">
        <v>151</v>
      </c>
      <c r="E8" s="78">
        <f>AH6</f>
        <v>5</v>
      </c>
      <c r="F8" s="437" t="s">
        <v>8</v>
      </c>
      <c r="G8" s="438"/>
      <c r="H8" s="88">
        <v>7</v>
      </c>
      <c r="I8" s="86">
        <f>X6+H8</f>
        <v>21</v>
      </c>
      <c r="J8" s="81">
        <f>ROUNDUP(Mut/2,0)-5</f>
        <v>6</v>
      </c>
      <c r="K8" s="437" t="s">
        <v>146</v>
      </c>
      <c r="L8" s="442"/>
      <c r="M8" s="91">
        <v>7</v>
      </c>
      <c r="N8" s="86">
        <f>AC6+M8</f>
        <v>38</v>
      </c>
      <c r="O8" s="84">
        <f>ROUNDUP(Kon/2,0)-5</f>
        <v>14</v>
      </c>
      <c r="P8" s="496" t="s">
        <v>108</v>
      </c>
      <c r="Q8" s="496"/>
      <c r="R8" s="496"/>
      <c r="S8" s="502">
        <f>Ath+2*Kon+ROUNDUP((Stä/2),0)+3*vit+st</f>
        <v>212</v>
      </c>
      <c r="T8" s="502"/>
      <c r="V8" s="95" t="s">
        <v>10</v>
      </c>
      <c r="W8" s="22"/>
      <c r="X8" s="468">
        <v>22</v>
      </c>
      <c r="Y8" s="469"/>
      <c r="Z8" s="93">
        <f>ROUNDUP((X8+Y8)/2,0)-5</f>
        <v>6</v>
      </c>
      <c r="AA8" s="503" t="s">
        <v>15</v>
      </c>
      <c r="AB8" s="501"/>
      <c r="AC8" s="468">
        <v>18</v>
      </c>
      <c r="AD8" s="469"/>
      <c r="AE8" s="142">
        <f>ROUNDUP((AC8+AD8)/2,0)-5</f>
        <v>4</v>
      </c>
      <c r="AF8" s="496" t="s">
        <v>834</v>
      </c>
      <c r="AG8" s="496"/>
      <c r="AH8" s="150">
        <v>0</v>
      </c>
      <c r="AI8" s="434" t="s">
        <v>728</v>
      </c>
      <c r="AJ8" s="434"/>
      <c r="AK8" s="434"/>
      <c r="AL8" s="434"/>
      <c r="AM8" s="434"/>
      <c r="AN8" s="434"/>
      <c r="AO8" s="421">
        <f>[0]!GesamteTAP</f>
        <v>467</v>
      </c>
      <c r="AP8" s="421"/>
    </row>
    <row r="9" spans="1:42" ht="15.6" customHeight="1" thickBot="1" x14ac:dyDescent="0.3">
      <c r="A9" s="434" t="s">
        <v>0</v>
      </c>
      <c r="B9" s="434"/>
      <c r="C9" s="260">
        <f>IF(((Aur*7+mag*3+3*Wil-30+intb*wei+st+Y31*2)&gt;=0),(Aur*7+mag*3+3*Wil-30+intb*wei+st+Y31*2),0)</f>
        <v>165</v>
      </c>
      <c r="D9" s="262" t="s">
        <v>152</v>
      </c>
      <c r="E9" s="78">
        <f>AH7</f>
        <v>5</v>
      </c>
      <c r="F9" s="437" t="s">
        <v>142</v>
      </c>
      <c r="G9" s="438"/>
      <c r="H9" s="88">
        <v>7</v>
      </c>
      <c r="I9" s="86">
        <f>X7+H9</f>
        <v>21</v>
      </c>
      <c r="J9" s="81">
        <f>ROUNDUP(Sin/2,0)-5</f>
        <v>6</v>
      </c>
      <c r="K9" s="437" t="s">
        <v>147</v>
      </c>
      <c r="L9" s="442"/>
      <c r="M9" s="91">
        <v>7</v>
      </c>
      <c r="N9" s="86">
        <f>AC7+M9</f>
        <v>21</v>
      </c>
      <c r="O9" s="84">
        <f>ROUNDUP(Sch/2,0)-5</f>
        <v>6</v>
      </c>
      <c r="P9" s="463"/>
      <c r="Q9" s="463"/>
      <c r="R9" s="463"/>
      <c r="S9" s="212"/>
      <c r="T9" s="197"/>
      <c r="AE9" s="148"/>
      <c r="AF9" s="148"/>
    </row>
    <row r="10" spans="1:42" ht="15.6" customHeight="1" thickBot="1" x14ac:dyDescent="0.3">
      <c r="A10" s="434" t="s">
        <v>176</v>
      </c>
      <c r="B10" s="434"/>
      <c r="C10" s="226">
        <f>Wil+Aur+st+MKTaW</f>
        <v>92</v>
      </c>
      <c r="D10" s="263" t="s">
        <v>872</v>
      </c>
      <c r="E10" s="79">
        <f>AH8</f>
        <v>0</v>
      </c>
      <c r="F10" s="439" t="s">
        <v>143</v>
      </c>
      <c r="G10" s="440"/>
      <c r="H10" s="89">
        <v>7</v>
      </c>
      <c r="I10" s="86">
        <f>X8+H10</f>
        <v>29</v>
      </c>
      <c r="J10" s="82">
        <f>ROUNDUP(Wil/2,0)-5</f>
        <v>10</v>
      </c>
      <c r="K10" s="439" t="s">
        <v>148</v>
      </c>
      <c r="L10" s="443"/>
      <c r="M10" s="92">
        <v>7</v>
      </c>
      <c r="N10" s="86">
        <f>AC8+M10</f>
        <v>25</v>
      </c>
      <c r="O10" s="85">
        <f>ROUNDUP(Stä/2,0)-5</f>
        <v>8</v>
      </c>
      <c r="P10" s="463"/>
      <c r="Q10" s="463"/>
      <c r="R10" s="463"/>
      <c r="S10" s="212"/>
      <c r="T10" s="197"/>
      <c r="V10" s="434" t="s">
        <v>34</v>
      </c>
      <c r="W10" s="434"/>
      <c r="X10" s="434"/>
      <c r="Y10" s="434"/>
      <c r="Z10" s="434"/>
      <c r="AA10" s="434"/>
      <c r="AB10" s="513">
        <f>SUM(AI186:AJ190)</f>
        <v>6579</v>
      </c>
      <c r="AC10" s="513"/>
      <c r="AD10" s="434" t="s">
        <v>136</v>
      </c>
      <c r="AE10" s="434"/>
      <c r="AF10" s="434"/>
      <c r="AG10" s="434"/>
      <c r="AH10" s="434"/>
      <c r="AI10" s="434"/>
      <c r="AJ10" s="513">
        <f>SUM(J103:J123,J125:J150,U103:U108,U110:U137,U139:U149,AE103:AE125,AE127:AE150,AP103:AP150,J153:J174,J176:J197,U153:U174,U176:U197,AE153:AE174)</f>
        <v>3488</v>
      </c>
      <c r="AK10" s="513"/>
      <c r="AL10" s="447" t="s">
        <v>866</v>
      </c>
      <c r="AM10" s="448"/>
      <c r="AN10" s="448"/>
      <c r="AO10" s="446">
        <f>20+st*5</f>
        <v>310</v>
      </c>
      <c r="AP10" s="446"/>
    </row>
    <row r="11" spans="1:42" ht="15.6" customHeight="1" x14ac:dyDescent="0.25">
      <c r="A11" s="264" t="s">
        <v>20</v>
      </c>
      <c r="B11" s="225"/>
      <c r="C11" s="226">
        <f>kr+1</f>
        <v>8</v>
      </c>
      <c r="V11" s="498" t="s">
        <v>68</v>
      </c>
      <c r="W11" s="498"/>
      <c r="X11" s="498"/>
      <c r="Y11" s="498"/>
      <c r="Z11" s="498"/>
      <c r="AA11" s="498"/>
      <c r="AB11" s="513">
        <f>SUM(AK186:AK190)</f>
        <v>3200</v>
      </c>
      <c r="AC11" s="513"/>
      <c r="AD11" s="434" t="s">
        <v>637</v>
      </c>
      <c r="AE11" s="434"/>
      <c r="AF11" s="434"/>
      <c r="AG11" s="434"/>
      <c r="AH11" s="434"/>
      <c r="AI11" s="434"/>
      <c r="AJ11" s="513">
        <f>SUM(AP20:AP49)+VLOOKUP(AD41,Ressourcen!$A$3:$D$67,4,FALSE)+VLOOKUP(AD42,Ressourcen!$A$3:$D$67,4,FALSE)+VLOOKUP(AD43,Ressourcen!$A$3:$D$67,4,FALSE)+VLOOKUP(AD44,Ressourcen!$A$3:$D$67,4,FALSE)+VLOOKUP(AD45,Ressourcen!$A$3:$D$67,4,FALSE)+VLOOKUP(AD46,Ressourcen!$A$3:$D$67,4,FALSE)+VLOOKUP(AD48,Ressourcen!$A$3:$D$67,4,FALSE)+VLOOKUP(AD49,Ressourcen!$A$3:$D$67,4,FALSE)</f>
        <v>754</v>
      </c>
      <c r="AK11" s="513"/>
      <c r="AL11" s="447" t="s">
        <v>867</v>
      </c>
      <c r="AM11" s="448"/>
      <c r="AN11" s="448"/>
      <c r="AO11" s="446">
        <f>TaP-[0]!GesamteTAP</f>
        <v>-157</v>
      </c>
      <c r="AP11" s="446"/>
    </row>
    <row r="12" spans="1:42" ht="15.6" customHeight="1" x14ac:dyDescent="0.25">
      <c r="V12" s="505" t="s">
        <v>137</v>
      </c>
      <c r="W12" s="505"/>
      <c r="X12" s="505"/>
      <c r="Y12" s="505"/>
      <c r="Z12" s="505"/>
      <c r="AA12" s="505"/>
      <c r="AB12" s="513">
        <f>SUM($E$52:$F$74)*25+SUM($K$52:$L$74)*15+SUM($M$52:$N$74)*8+SUM($O$52:$P$74)*4</f>
        <v>1332</v>
      </c>
      <c r="AC12" s="513"/>
      <c r="AD12" s="434" t="s">
        <v>138</v>
      </c>
      <c r="AE12" s="434"/>
      <c r="AF12" s="434"/>
      <c r="AG12" s="434"/>
      <c r="AH12" s="434"/>
      <c r="AI12" s="434"/>
      <c r="AJ12" s="513">
        <f>SUM(G83:H97,Q83:R95)</f>
        <v>0</v>
      </c>
      <c r="AK12" s="513"/>
      <c r="AL12" s="450" t="s">
        <v>1039</v>
      </c>
      <c r="AM12" s="451"/>
      <c r="AN12" s="451"/>
      <c r="AO12" s="446">
        <f>MagierTAP</f>
        <v>281</v>
      </c>
      <c r="AP12" s="446"/>
    </row>
    <row r="13" spans="1:42" ht="15.6" customHeight="1" x14ac:dyDescent="0.25">
      <c r="A13" s="404" t="s">
        <v>716</v>
      </c>
      <c r="B13" s="404"/>
      <c r="C13" s="404"/>
      <c r="D13" s="404"/>
      <c r="E13" s="404"/>
      <c r="F13" s="404"/>
      <c r="G13" s="407">
        <f>ROUNDUP((Ath+Sch+glü+AW)/5,0)+2-GBE</f>
        <v>14</v>
      </c>
      <c r="H13" s="407"/>
      <c r="I13" s="256"/>
      <c r="J13" s="256"/>
      <c r="K13" s="230"/>
      <c r="L13" s="148"/>
      <c r="M13" s="148"/>
      <c r="N13" s="148"/>
      <c r="O13" s="148"/>
      <c r="P13" s="421" t="s">
        <v>723</v>
      </c>
      <c r="Q13" s="421"/>
      <c r="R13" s="421"/>
      <c r="S13" s="421"/>
      <c r="T13" s="421"/>
      <c r="U13" s="24"/>
      <c r="V13" s="434" t="s">
        <v>134</v>
      </c>
      <c r="W13" s="434"/>
      <c r="X13" s="434"/>
      <c r="Y13" s="434"/>
      <c r="Z13" s="434"/>
      <c r="AA13" s="434"/>
      <c r="AB13" s="513">
        <f>SUM($C$77,$C$78)*18+SUM($G$77:$H$80)*10+SUM($I$77:$J$80)*5+SUM($K$77:$L$80)*3</f>
        <v>0</v>
      </c>
      <c r="AC13" s="513"/>
      <c r="AD13" s="434" t="s">
        <v>139</v>
      </c>
      <c r="AE13" s="434"/>
      <c r="AF13" s="434"/>
      <c r="AG13" s="434"/>
      <c r="AH13" s="434"/>
      <c r="AI13" s="434"/>
      <c r="AJ13" s="513">
        <f>E99*9</f>
        <v>0</v>
      </c>
      <c r="AK13" s="513"/>
      <c r="AL13" s="450" t="s">
        <v>1037</v>
      </c>
      <c r="AM13" s="451"/>
      <c r="AN13" s="451"/>
      <c r="AO13" s="446">
        <f>IF(MagierTAP&lt;=12,0,IF(MagierTAP&lt;36,1,IF(MagierTAP&lt;72,2,IF(MagierTAP&lt;130,3,IF(MagierTAP&lt;210,4,IF(MagierTAP&lt;280,5,IF(MagierTAP&lt;358,6,7)))))))</f>
        <v>6</v>
      </c>
      <c r="AP13" s="446"/>
    </row>
    <row r="14" spans="1:42" ht="15.6" customHeight="1" x14ac:dyDescent="0.25">
      <c r="A14" s="404" t="s">
        <v>717</v>
      </c>
      <c r="B14" s="404"/>
      <c r="C14" s="404"/>
      <c r="D14" s="404"/>
      <c r="E14" s="404"/>
      <c r="F14" s="404"/>
      <c r="G14" s="407">
        <f>ROUNDUP((Ath+Sch+glü+AW)/5,0)+6-GBE</f>
        <v>18</v>
      </c>
      <c r="H14" s="407"/>
      <c r="I14" s="256"/>
      <c r="J14" s="256"/>
      <c r="K14" s="230"/>
      <c r="L14" s="166"/>
      <c r="M14" s="140"/>
      <c r="N14" s="166"/>
      <c r="O14" s="140"/>
      <c r="P14" s="166"/>
      <c r="Q14" s="140"/>
      <c r="R14" s="166"/>
      <c r="S14" s="140"/>
      <c r="T14" s="166"/>
      <c r="U14" s="169"/>
      <c r="V14" s="434" t="s">
        <v>161</v>
      </c>
      <c r="W14" s="434"/>
      <c r="X14" s="434"/>
      <c r="Y14" s="434"/>
      <c r="Z14" s="434"/>
      <c r="AA14" s="434"/>
      <c r="AB14" s="513">
        <f>SUM($Y$20:$Y$43,$AD$20:$AD$37)*9</f>
        <v>1854</v>
      </c>
      <c r="AC14" s="513"/>
      <c r="AD14" s="452" t="s">
        <v>816</v>
      </c>
      <c r="AE14" s="453"/>
      <c r="AF14" s="453"/>
      <c r="AG14" s="453"/>
      <c r="AH14" s="453"/>
      <c r="AI14" s="454"/>
      <c r="AJ14" s="421">
        <f>SUM(AE52:AE100,AP52:AP100)</f>
        <v>2885</v>
      </c>
      <c r="AK14" s="421"/>
    </row>
    <row r="15" spans="1:42" ht="15.6" customHeight="1" x14ac:dyDescent="0.25">
      <c r="A15" s="404" t="s">
        <v>618</v>
      </c>
      <c r="B15" s="404"/>
      <c r="C15" s="404"/>
      <c r="D15" s="404"/>
      <c r="E15" s="404"/>
      <c r="F15" s="404"/>
      <c r="G15" s="407">
        <f>IF((athb+gAW)&lt;=0,1,ROUNDUP((athb+gAW)/5,0)+1)</f>
        <v>5</v>
      </c>
      <c r="H15" s="407"/>
      <c r="I15" s="256"/>
      <c r="J15" s="256"/>
      <c r="K15" s="258"/>
      <c r="L15" s="166"/>
      <c r="M15" s="140"/>
      <c r="N15" s="166"/>
      <c r="O15" s="140"/>
      <c r="P15" s="506" t="s">
        <v>817</v>
      </c>
      <c r="Q15" s="506"/>
      <c r="R15" s="506"/>
      <c r="S15" s="409">
        <f>ROUNDUP(((ROUNDUP(Kon/5,0)+Stä)/2),0)+RS</f>
        <v>29</v>
      </c>
      <c r="T15" s="409"/>
      <c r="U15" s="170"/>
      <c r="V15" s="182"/>
      <c r="W15" s="182"/>
      <c r="X15" s="184"/>
      <c r="Y15" s="184"/>
      <c r="Z15" s="183"/>
      <c r="AA15" s="182"/>
      <c r="AB15" s="182"/>
      <c r="AC15" s="184"/>
      <c r="AN15" s="395"/>
      <c r="AO15" s="267"/>
      <c r="AP15" s="267"/>
    </row>
    <row r="16" spans="1:42" ht="15.6" customHeight="1" x14ac:dyDescent="0.25">
      <c r="A16" s="404" t="s">
        <v>720</v>
      </c>
      <c r="B16" s="404"/>
      <c r="C16" s="404"/>
      <c r="D16" s="404"/>
      <c r="E16" s="404"/>
      <c r="F16" s="404"/>
      <c r="G16" s="407">
        <f>IF((schb+mAW)&lt;=0,21,ROUNDUP((schb+mAW)/5,0)+21)</f>
        <v>25</v>
      </c>
      <c r="H16" s="407"/>
      <c r="I16" s="256"/>
      <c r="J16" s="256"/>
      <c r="K16" s="258"/>
      <c r="L16" s="166"/>
      <c r="M16" s="140"/>
      <c r="N16" s="166"/>
      <c r="O16" s="140"/>
      <c r="P16" s="166"/>
      <c r="Q16" s="140"/>
      <c r="R16" s="166"/>
      <c r="S16" s="140"/>
      <c r="T16" s="166"/>
      <c r="U16" s="169"/>
      <c r="V16" s="182"/>
      <c r="W16" s="182"/>
      <c r="X16" s="184"/>
      <c r="Y16" s="184"/>
      <c r="Z16" s="183"/>
      <c r="AA16" s="182"/>
      <c r="AB16" s="182"/>
      <c r="AC16" s="184"/>
    </row>
    <row r="17" spans="1:42" ht="15.6" customHeight="1" x14ac:dyDescent="0.3">
      <c r="A17" s="405" t="s">
        <v>106</v>
      </c>
      <c r="B17" s="405"/>
      <c r="C17" s="405"/>
      <c r="D17" s="405"/>
      <c r="E17" s="405"/>
      <c r="F17" s="405"/>
      <c r="G17" s="408">
        <f>ROUNDUP(((Mut+Sch)/2),0)+ROUNDUP(((Int+Ges+Ath)/6),0)</f>
        <v>34</v>
      </c>
      <c r="H17" s="408"/>
      <c r="I17" s="227"/>
      <c r="J17" s="227"/>
      <c r="L17" s="166"/>
      <c r="M17" s="140"/>
      <c r="N17" s="166"/>
      <c r="O17" s="140"/>
      <c r="P17" s="6"/>
      <c r="Q17" s="140"/>
      <c r="R17" s="166"/>
      <c r="S17" s="140"/>
      <c r="T17" s="166"/>
      <c r="U17" s="170"/>
      <c r="AB17" s="16"/>
      <c r="AC17" s="16"/>
      <c r="AD17" s="16"/>
      <c r="AE17" s="16"/>
    </row>
    <row r="18" spans="1:42" ht="15" customHeight="1" x14ac:dyDescent="0.25">
      <c r="A18" s="406" t="s">
        <v>601</v>
      </c>
      <c r="B18" s="406"/>
      <c r="C18" s="406"/>
      <c r="D18" s="406"/>
      <c r="E18" s="406"/>
      <c r="F18" s="406"/>
      <c r="G18" s="409">
        <f>ROUNDUP((Mut+Wil+Kon+Stä+SB)/7,0)+vit+12+IF(Talente!E77="Ja",3,IF(Talente!E76="Ja",3,IF(Talente!E75="Ja",1,0)))</f>
        <v>47</v>
      </c>
      <c r="H18" s="409"/>
      <c r="I18" s="251"/>
      <c r="J18" s="166"/>
      <c r="K18" s="140"/>
      <c r="L18" s="166"/>
      <c r="M18" s="140"/>
      <c r="N18" s="166"/>
      <c r="O18" s="140"/>
      <c r="P18" s="166"/>
      <c r="Q18" s="140"/>
      <c r="R18" s="166"/>
      <c r="S18" s="140"/>
      <c r="T18" s="166"/>
      <c r="U18" s="169"/>
      <c r="AK18" s="17" t="s">
        <v>133</v>
      </c>
    </row>
    <row r="19" spans="1:42" ht="15.6" customHeight="1" x14ac:dyDescent="0.25">
      <c r="A19" s="148"/>
      <c r="B19" s="148"/>
      <c r="C19" s="167"/>
      <c r="D19" s="165"/>
      <c r="E19" s="140"/>
      <c r="F19" s="166"/>
      <c r="G19" s="140"/>
      <c r="H19" s="248"/>
      <c r="I19" s="248"/>
      <c r="J19" s="248"/>
      <c r="K19" s="248"/>
      <c r="L19" s="248"/>
      <c r="M19" s="248"/>
      <c r="N19" s="248"/>
      <c r="O19" s="248"/>
      <c r="Q19" s="17" t="s">
        <v>724</v>
      </c>
      <c r="R19" s="248"/>
      <c r="S19" s="248"/>
      <c r="U19" s="249"/>
      <c r="V19" s="422" t="s">
        <v>597</v>
      </c>
      <c r="W19" s="422"/>
      <c r="X19" s="422"/>
      <c r="Y19" s="143" t="s">
        <v>1</v>
      </c>
      <c r="Z19" s="422" t="s">
        <v>620</v>
      </c>
      <c r="AA19" s="422"/>
      <c r="AB19" s="422"/>
      <c r="AC19" s="422"/>
      <c r="AD19" s="143" t="s">
        <v>1</v>
      </c>
      <c r="AE19" s="422" t="s">
        <v>637</v>
      </c>
      <c r="AF19" s="422"/>
      <c r="AG19" s="422"/>
      <c r="AH19" s="422"/>
      <c r="AI19" s="449" t="s">
        <v>1</v>
      </c>
      <c r="AJ19" s="449"/>
      <c r="AK19" s="143">
        <v>1</v>
      </c>
      <c r="AL19" s="143">
        <v>2</v>
      </c>
      <c r="AM19" s="143">
        <v>3</v>
      </c>
      <c r="AN19" s="143">
        <v>4</v>
      </c>
      <c r="AO19" s="143">
        <v>5</v>
      </c>
      <c r="AP19" s="146" t="s">
        <v>31</v>
      </c>
    </row>
    <row r="20" spans="1:42" ht="15.6" customHeight="1" x14ac:dyDescent="0.3">
      <c r="A20" s="455" t="s">
        <v>81</v>
      </c>
      <c r="B20" s="455"/>
      <c r="C20" s="455"/>
      <c r="D20" s="455"/>
      <c r="E20" s="172">
        <f>ROUNDUP((Wil+Kon+kr)/3,0)+vit+IF(Talente!E77="Ja",7,IF(Talente!E76="Ja",4,IF(Talente!E75="Ja",2,0)))</f>
        <v>46</v>
      </c>
      <c r="F20" s="166"/>
      <c r="G20" s="140"/>
      <c r="H20" s="427" t="s">
        <v>1040</v>
      </c>
      <c r="I20" s="427"/>
      <c r="J20" s="427"/>
      <c r="K20" s="427"/>
      <c r="L20" s="427"/>
      <c r="M20" s="427"/>
      <c r="N20" s="409" t="s">
        <v>1041</v>
      </c>
      <c r="O20" s="409"/>
      <c r="P20" s="406" t="s">
        <v>1048</v>
      </c>
      <c r="Q20" s="406"/>
      <c r="R20" s="406"/>
      <c r="S20" s="406"/>
      <c r="T20" s="409" t="s">
        <v>722</v>
      </c>
      <c r="U20" s="409"/>
      <c r="V20" s="423" t="s">
        <v>73</v>
      </c>
      <c r="W20" s="423"/>
      <c r="X20" s="423"/>
      <c r="Y20" s="151">
        <v>12</v>
      </c>
      <c r="Z20" s="423" t="s">
        <v>621</v>
      </c>
      <c r="AA20" s="423"/>
      <c r="AB20" s="423"/>
      <c r="AC20" s="423"/>
      <c r="AD20" s="151">
        <v>0</v>
      </c>
      <c r="AE20" s="423" t="s">
        <v>1192</v>
      </c>
      <c r="AF20" s="423"/>
      <c r="AG20" s="423"/>
      <c r="AH20" s="423"/>
      <c r="AI20" s="424">
        <v>12</v>
      </c>
      <c r="AJ20" s="425"/>
      <c r="AK20" s="151">
        <v>12</v>
      </c>
      <c r="AL20" s="151">
        <v>10</v>
      </c>
      <c r="AM20" s="151">
        <v>0</v>
      </c>
      <c r="AN20" s="151">
        <v>0</v>
      </c>
      <c r="AO20" s="151">
        <v>0</v>
      </c>
      <c r="AP20" s="173">
        <f>VLOOKUP(AI20,Ressourcen!$A$3:$E$68,4,FALSE)+VLOOKUP(AK20,Ressourcen!$A$72:$C$111,3,FALSE)+VLOOKUP(AL20,Ressourcen!$A$72:$C$111,3,FALSE)+VLOOKUP(AM20,Ressourcen!$A$72:$C$111,3,FALSE)+VLOOKUP(AN20,Ressourcen!$A$72:$C$111,3,FALSE)+VLOOKUP(AO20,Ressourcen!$A$72:$C$111,3,FALSE)</f>
        <v>128</v>
      </c>
    </row>
    <row r="21" spans="1:42" ht="15.6" customHeight="1" x14ac:dyDescent="0.3">
      <c r="A21" s="455" t="s">
        <v>74</v>
      </c>
      <c r="B21" s="455"/>
      <c r="C21" s="455"/>
      <c r="D21" s="455"/>
      <c r="E21" s="172">
        <f>ROUNDUP((Kon/4),0)+vit+4</f>
        <v>28</v>
      </c>
      <c r="F21" s="166"/>
      <c r="G21" s="140"/>
      <c r="H21" s="419" t="s">
        <v>1061</v>
      </c>
      <c r="I21" s="419"/>
      <c r="J21" s="419"/>
      <c r="K21" s="419"/>
      <c r="L21" s="419"/>
      <c r="M21" s="419"/>
      <c r="N21" s="418">
        <f>ROUNDUP((Stä+tragen)*0.5,0)</f>
        <v>13</v>
      </c>
      <c r="O21" s="418"/>
      <c r="P21" s="416" t="s">
        <v>701</v>
      </c>
      <c r="Q21" s="416"/>
      <c r="R21" s="416"/>
      <c r="S21" s="416"/>
      <c r="T21" s="410">
        <f>ROUNDUP((Kon+Ath+dauerl)/9,2)+1</f>
        <v>8.4499999999999993</v>
      </c>
      <c r="U21" s="410"/>
      <c r="V21" s="423" t="s">
        <v>618</v>
      </c>
      <c r="W21" s="423"/>
      <c r="X21" s="423"/>
      <c r="Y21" s="151">
        <v>12</v>
      </c>
      <c r="Z21" s="423" t="s">
        <v>622</v>
      </c>
      <c r="AA21" s="423"/>
      <c r="AB21" s="423"/>
      <c r="AC21" s="423"/>
      <c r="AD21" s="151">
        <v>6</v>
      </c>
      <c r="AE21" s="423" t="s">
        <v>1193</v>
      </c>
      <c r="AF21" s="423"/>
      <c r="AG21" s="423"/>
      <c r="AH21" s="423"/>
      <c r="AI21" s="424">
        <v>12</v>
      </c>
      <c r="AJ21" s="425"/>
      <c r="AK21" s="151">
        <v>12</v>
      </c>
      <c r="AL21" s="151">
        <v>10</v>
      </c>
      <c r="AM21" s="151">
        <v>0</v>
      </c>
      <c r="AN21" s="151">
        <v>0</v>
      </c>
      <c r="AO21" s="151">
        <v>0</v>
      </c>
      <c r="AP21" s="173">
        <f>VLOOKUP(AI21,Ressourcen!$A$3:$E$68,4,FALSE)+VLOOKUP(AK21,Ressourcen!$A$72:$C$111,3,FALSE)+VLOOKUP(AL21,Ressourcen!$A$72:$C$111,3,FALSE)+VLOOKUP(AM21,Ressourcen!$A$72:$C$111,3,FALSE)+VLOOKUP(AN21,Ressourcen!$A$72:$C$111,3,FALSE)+VLOOKUP(AO21,Ressourcen!$A$72:$C$111,3,FALSE)</f>
        <v>128</v>
      </c>
    </row>
    <row r="22" spans="1:42" ht="15.6" customHeight="1" x14ac:dyDescent="0.3">
      <c r="A22" s="455" t="s">
        <v>75</v>
      </c>
      <c r="B22" s="455"/>
      <c r="C22" s="455"/>
      <c r="D22" s="455"/>
      <c r="E22" s="172">
        <f>ROUNDUP((ROUNDUP(Stä*2/5,0)+Kon+vit)/2,0)+10</f>
        <v>41</v>
      </c>
      <c r="F22" s="166"/>
      <c r="G22" s="140"/>
      <c r="H22" s="419" t="s">
        <v>1060</v>
      </c>
      <c r="I22" s="419"/>
      <c r="J22" s="419"/>
      <c r="K22" s="419"/>
      <c r="L22" s="419"/>
      <c r="M22" s="419"/>
      <c r="N22" s="418">
        <f>ROUNDUP((Stä+tragen)*1.5,0)</f>
        <v>38</v>
      </c>
      <c r="O22" s="418"/>
      <c r="P22" s="416" t="s">
        <v>702</v>
      </c>
      <c r="Q22" s="416"/>
      <c r="R22" s="416"/>
      <c r="S22" s="416"/>
      <c r="T22" s="410">
        <f>ROUNDUP(((Ath+Sch+Sprint)/7),2)+4</f>
        <v>11.29</v>
      </c>
      <c r="U22" s="410"/>
      <c r="V22" s="423" t="s">
        <v>619</v>
      </c>
      <c r="W22" s="423"/>
      <c r="X22" s="423"/>
      <c r="Y22" s="151">
        <v>12</v>
      </c>
      <c r="Z22" s="493" t="s">
        <v>623</v>
      </c>
      <c r="AA22" s="493"/>
      <c r="AB22" s="493"/>
      <c r="AC22" s="493"/>
      <c r="AD22" s="151">
        <v>12</v>
      </c>
      <c r="AE22" s="423" t="s">
        <v>1196</v>
      </c>
      <c r="AF22" s="423"/>
      <c r="AG22" s="423"/>
      <c r="AH22" s="423"/>
      <c r="AI22" s="424">
        <v>12</v>
      </c>
      <c r="AJ22" s="425"/>
      <c r="AK22" s="151">
        <v>12</v>
      </c>
      <c r="AL22" s="151">
        <v>10</v>
      </c>
      <c r="AM22" s="151">
        <v>0</v>
      </c>
      <c r="AN22" s="151">
        <v>0</v>
      </c>
      <c r="AO22" s="151">
        <v>0</v>
      </c>
      <c r="AP22" s="173">
        <f>VLOOKUP(AI22,Ressourcen!$A$3:$E$68,4,FALSE)+VLOOKUP(AK22,Ressourcen!$A$72:$C$111,3,FALSE)+VLOOKUP(AL22,Ressourcen!$A$72:$C$111,3,FALSE)+VLOOKUP(AM22,Ressourcen!$A$72:$C$111,3,FALSE)+VLOOKUP(AN22,Ressourcen!$A$72:$C$111,3,FALSE)+VLOOKUP(AO22,Ressourcen!$A$72:$C$111,3,FALSE)</f>
        <v>128</v>
      </c>
    </row>
    <row r="23" spans="1:42" ht="15.6" customHeight="1" x14ac:dyDescent="0.3">
      <c r="A23" s="455" t="s">
        <v>76</v>
      </c>
      <c r="B23" s="455"/>
      <c r="C23" s="455"/>
      <c r="D23" s="455"/>
      <c r="E23" s="172">
        <f>(ROUNDUP((Kon+vit)/2,0)+8)</f>
        <v>34</v>
      </c>
      <c r="F23" s="166"/>
      <c r="G23" s="140"/>
      <c r="H23" s="419" t="s">
        <v>1059</v>
      </c>
      <c r="I23" s="419"/>
      <c r="J23" s="419"/>
      <c r="K23" s="419"/>
      <c r="L23" s="419"/>
      <c r="M23" s="419"/>
      <c r="N23" s="418">
        <f>ROUNDUP((Stä+tragen)*3,0)</f>
        <v>75</v>
      </c>
      <c r="O23" s="418"/>
      <c r="P23" s="416" t="s">
        <v>629</v>
      </c>
      <c r="Q23" s="416"/>
      <c r="R23" s="416"/>
      <c r="S23" s="416"/>
      <c r="T23" s="410">
        <f>ROUNDUP((Ath+Kon+schwi)/30,2)</f>
        <v>2.2399999999999998</v>
      </c>
      <c r="U23" s="410"/>
      <c r="V23" s="423" t="s">
        <v>598</v>
      </c>
      <c r="W23" s="423"/>
      <c r="X23" s="423"/>
      <c r="Y23" s="151">
        <v>12</v>
      </c>
      <c r="Z23" s="493" t="s">
        <v>624</v>
      </c>
      <c r="AA23" s="493"/>
      <c r="AB23" s="493"/>
      <c r="AC23" s="493"/>
      <c r="AD23" s="151">
        <v>5</v>
      </c>
      <c r="AE23" s="423" t="s">
        <v>1194</v>
      </c>
      <c r="AF23" s="423"/>
      <c r="AG23" s="423"/>
      <c r="AH23" s="423"/>
      <c r="AI23" s="424">
        <v>12</v>
      </c>
      <c r="AJ23" s="425"/>
      <c r="AK23" s="151">
        <v>12</v>
      </c>
      <c r="AL23" s="151">
        <v>10</v>
      </c>
      <c r="AM23" s="151">
        <v>0</v>
      </c>
      <c r="AN23" s="151">
        <v>0</v>
      </c>
      <c r="AO23" s="151">
        <v>0</v>
      </c>
      <c r="AP23" s="144">
        <f>VLOOKUP(AI23,Ressourcen!$A$3:$E$68,4,FALSE)+VLOOKUP(AK23,Ressourcen!$A$72:$C$111,3,FALSE)+VLOOKUP(AL23,Ressourcen!$A$72:$C$111,3,FALSE)+VLOOKUP(AM23,Ressourcen!$A$72:$C$111,3,FALSE)+VLOOKUP(AN23,Ressourcen!$A$72:$C$111,3,FALSE)+VLOOKUP(AO23,Ressourcen!$A$72:$C$111,3,FALSE)</f>
        <v>128</v>
      </c>
    </row>
    <row r="24" spans="1:42" ht="15.6" customHeight="1" x14ac:dyDescent="0.3">
      <c r="A24" s="455" t="s">
        <v>78</v>
      </c>
      <c r="B24" s="455"/>
      <c r="C24" s="455"/>
      <c r="D24" s="455"/>
      <c r="E24" s="172">
        <f>ROUNDUP((((ROUNDUP((Kon/2),0)+Stä)/2)),0)+5</f>
        <v>27</v>
      </c>
      <c r="F24" s="166"/>
      <c r="G24" s="140"/>
      <c r="H24" s="419" t="s">
        <v>1058</v>
      </c>
      <c r="I24" s="419"/>
      <c r="J24" s="419"/>
      <c r="K24" s="419"/>
      <c r="L24" s="419"/>
      <c r="M24" s="419"/>
      <c r="N24" s="418">
        <f>ROUNDUP((Stä+tragen)*5,0)</f>
        <v>125</v>
      </c>
      <c r="O24" s="418"/>
      <c r="P24" s="426"/>
      <c r="Q24" s="426"/>
      <c r="R24" s="426"/>
      <c r="S24" s="426"/>
      <c r="T24" s="411"/>
      <c r="U24" s="412"/>
      <c r="V24" s="423" t="s">
        <v>599</v>
      </c>
      <c r="W24" s="423"/>
      <c r="X24" s="423"/>
      <c r="Y24" s="151">
        <v>0</v>
      </c>
      <c r="Z24" s="493" t="s">
        <v>107</v>
      </c>
      <c r="AA24" s="493"/>
      <c r="AB24" s="493"/>
      <c r="AC24" s="493"/>
      <c r="AD24" s="151">
        <v>7</v>
      </c>
      <c r="AE24" s="423" t="s">
        <v>1195</v>
      </c>
      <c r="AF24" s="423"/>
      <c r="AG24" s="423"/>
      <c r="AH24" s="423"/>
      <c r="AI24" s="424">
        <v>12</v>
      </c>
      <c r="AJ24" s="425"/>
      <c r="AK24" s="151">
        <v>12</v>
      </c>
      <c r="AL24" s="151">
        <v>10</v>
      </c>
      <c r="AM24" s="151">
        <v>0</v>
      </c>
      <c r="AN24" s="151">
        <v>0</v>
      </c>
      <c r="AO24" s="151">
        <v>0</v>
      </c>
      <c r="AP24" s="144">
        <f>VLOOKUP(AI24,Ressourcen!$A$3:$E$68,4,FALSE)+VLOOKUP(AK24,Ressourcen!$A$72:$C$111,3,FALSE)+VLOOKUP(AL24,Ressourcen!$A$72:$C$111,3,FALSE)+VLOOKUP(AM24,Ressourcen!$A$72:$C$111,3,FALSE)+VLOOKUP(AN24,Ressourcen!$A$72:$C$111,3,FALSE)+VLOOKUP(AO24,Ressourcen!$A$72:$C$111,3,FALSE)</f>
        <v>128</v>
      </c>
    </row>
    <row r="25" spans="1:42" ht="15.6" customHeight="1" x14ac:dyDescent="0.3">
      <c r="A25" s="455" t="s">
        <v>77</v>
      </c>
      <c r="B25" s="455"/>
      <c r="C25" s="455"/>
      <c r="D25" s="455"/>
      <c r="E25" s="172">
        <f>ROUNDUP((((ROUNDUP((Kon/2),0)+Stä)/2)),0)+5</f>
        <v>27</v>
      </c>
      <c r="F25" s="166"/>
      <c r="G25" s="140"/>
      <c r="H25" s="419" t="s">
        <v>1057</v>
      </c>
      <c r="I25" s="419"/>
      <c r="J25" s="419"/>
      <c r="K25" s="419"/>
      <c r="L25" s="419"/>
      <c r="M25" s="419"/>
      <c r="N25" s="418">
        <f>ROUNDUP((Stä+tragen)*7,0)</f>
        <v>175</v>
      </c>
      <c r="O25" s="418"/>
      <c r="P25" s="416" t="s">
        <v>1042</v>
      </c>
      <c r="Q25" s="416"/>
      <c r="R25" s="416"/>
      <c r="S25" s="416"/>
      <c r="T25" s="410">
        <f>ROUNDUP(((Ges+Sch+Stä+8*Klett)/300),2)</f>
        <v>0.39</v>
      </c>
      <c r="U25" s="410"/>
      <c r="V25" s="423" t="s">
        <v>600</v>
      </c>
      <c r="W25" s="423"/>
      <c r="X25" s="423"/>
      <c r="Y25" s="151">
        <v>12</v>
      </c>
      <c r="Z25" s="445" t="s">
        <v>701</v>
      </c>
      <c r="AA25" s="445"/>
      <c r="AB25" s="445"/>
      <c r="AC25" s="445"/>
      <c r="AD25" s="151">
        <v>6</v>
      </c>
      <c r="AE25" s="423" t="s">
        <v>639</v>
      </c>
      <c r="AF25" s="423"/>
      <c r="AG25" s="423"/>
      <c r="AH25" s="423"/>
      <c r="AI25" s="424">
        <v>0</v>
      </c>
      <c r="AJ25" s="425"/>
      <c r="AK25" s="151">
        <v>0</v>
      </c>
      <c r="AL25" s="151">
        <v>0</v>
      </c>
      <c r="AM25" s="151">
        <v>0</v>
      </c>
      <c r="AN25" s="151">
        <v>0</v>
      </c>
      <c r="AO25" s="151">
        <v>0</v>
      </c>
      <c r="AP25" s="144">
        <f>VLOOKUP(AI25,Ressourcen!$A$3:$E$68,4,FALSE)+VLOOKUP(AK25,Ressourcen!$A$72:$C$111,3,FALSE)+VLOOKUP(AL25,Ressourcen!$A$72:$C$111,3,FALSE)+VLOOKUP(AM25,Ressourcen!$A$72:$C$111,3,FALSE)+VLOOKUP(AN25,Ressourcen!$A$72:$C$111,3,FALSE)+VLOOKUP(AO25,Ressourcen!$A$72:$C$111,3,FALSE)</f>
        <v>0</v>
      </c>
    </row>
    <row r="26" spans="1:42" ht="15.6" customHeight="1" x14ac:dyDescent="0.3">
      <c r="A26" s="455" t="s">
        <v>80</v>
      </c>
      <c r="B26" s="455"/>
      <c r="C26" s="455"/>
      <c r="D26" s="455"/>
      <c r="E26" s="172">
        <f>Kon+8</f>
        <v>46</v>
      </c>
      <c r="F26" s="166"/>
      <c r="G26" s="140"/>
      <c r="H26" s="419" t="s">
        <v>1056</v>
      </c>
      <c r="I26" s="419"/>
      <c r="J26" s="419"/>
      <c r="K26" s="419"/>
      <c r="L26" s="419"/>
      <c r="M26" s="419"/>
      <c r="N26" s="418">
        <f>ROUNDUP((Stä+tragen)*11,0)</f>
        <v>275</v>
      </c>
      <c r="O26" s="418"/>
      <c r="P26" s="416" t="s">
        <v>1043</v>
      </c>
      <c r="Q26" s="416"/>
      <c r="R26" s="416"/>
      <c r="S26" s="416"/>
      <c r="T26" s="410">
        <f>ROUNDUP(((Int+Ges+Stä+63*Klett)/9067),2)</f>
        <v>0.05</v>
      </c>
      <c r="U26" s="410"/>
      <c r="V26" s="423" t="s">
        <v>601</v>
      </c>
      <c r="W26" s="423"/>
      <c r="X26" s="423"/>
      <c r="Y26" s="151">
        <v>12</v>
      </c>
      <c r="Z26" s="431" t="s">
        <v>625</v>
      </c>
      <c r="AA26" s="432"/>
      <c r="AB26" s="432"/>
      <c r="AC26" s="433"/>
      <c r="AD26" s="151">
        <v>4</v>
      </c>
      <c r="AE26" s="423" t="s">
        <v>640</v>
      </c>
      <c r="AF26" s="423"/>
      <c r="AG26" s="423"/>
      <c r="AH26" s="423"/>
      <c r="AI26" s="424">
        <v>0</v>
      </c>
      <c r="AJ26" s="425"/>
      <c r="AK26" s="151">
        <v>0</v>
      </c>
      <c r="AL26" s="151">
        <v>0</v>
      </c>
      <c r="AM26" s="151">
        <v>0</v>
      </c>
      <c r="AN26" s="151">
        <v>0</v>
      </c>
      <c r="AO26" s="151">
        <v>0</v>
      </c>
      <c r="AP26" s="144">
        <f>VLOOKUP(AI26,Ressourcen!$A$3:$E$68,4,FALSE)+VLOOKUP(AK26,Ressourcen!$A$72:$C$111,3,FALSE)+VLOOKUP(AL26,Ressourcen!$A$72:$C$111,3,FALSE)+VLOOKUP(AM26,Ressourcen!$A$72:$C$111,3,FALSE)+VLOOKUP(AN26,Ressourcen!$A$72:$C$111,3,FALSE)+VLOOKUP(AO26,Ressourcen!$A$72:$C$111,3,FALSE)</f>
        <v>0</v>
      </c>
    </row>
    <row r="27" spans="1:42" ht="15.6" customHeight="1" x14ac:dyDescent="0.3">
      <c r="A27" s="455" t="s">
        <v>79</v>
      </c>
      <c r="B27" s="455"/>
      <c r="C27" s="455"/>
      <c r="D27" s="455"/>
      <c r="E27" s="172">
        <f>Kon+8</f>
        <v>46</v>
      </c>
      <c r="F27" s="166"/>
      <c r="G27" s="140"/>
      <c r="H27" s="419" t="s">
        <v>1055</v>
      </c>
      <c r="I27" s="419"/>
      <c r="J27" s="419"/>
      <c r="K27" s="419"/>
      <c r="L27" s="419"/>
      <c r="M27" s="419"/>
      <c r="N27" s="418">
        <f>ROUNDUP((Stä+tragen)*15,0)</f>
        <v>375</v>
      </c>
      <c r="O27" s="418"/>
      <c r="P27" s="427" t="s">
        <v>1054</v>
      </c>
      <c r="Q27" s="427"/>
      <c r="R27" s="427"/>
      <c r="S27" s="427"/>
      <c r="T27" s="413" t="s">
        <v>120</v>
      </c>
      <c r="U27" s="413"/>
      <c r="V27" s="423" t="s">
        <v>602</v>
      </c>
      <c r="W27" s="423"/>
      <c r="X27" s="423"/>
      <c r="Y27" s="151">
        <v>0</v>
      </c>
      <c r="Z27" s="428" t="s">
        <v>626</v>
      </c>
      <c r="AA27" s="429"/>
      <c r="AB27" s="429"/>
      <c r="AC27" s="430"/>
      <c r="AD27" s="151">
        <v>6</v>
      </c>
      <c r="AE27" s="423" t="s">
        <v>641</v>
      </c>
      <c r="AF27" s="423"/>
      <c r="AG27" s="423"/>
      <c r="AH27" s="423"/>
      <c r="AI27" s="424">
        <v>0</v>
      </c>
      <c r="AJ27" s="425"/>
      <c r="AK27" s="151">
        <v>0</v>
      </c>
      <c r="AL27" s="151">
        <v>0</v>
      </c>
      <c r="AM27" s="151">
        <v>0</v>
      </c>
      <c r="AN27" s="151">
        <v>0</v>
      </c>
      <c r="AO27" s="151">
        <v>0</v>
      </c>
      <c r="AP27" s="144">
        <f>VLOOKUP(AI27,Ressourcen!$A$3:$E$68,4,FALSE)+VLOOKUP(AK27,Ressourcen!$A$72:$C$111,3,FALSE)+VLOOKUP(AL27,Ressourcen!$A$72:$C$111,3,FALSE)+VLOOKUP(AM27,Ressourcen!$A$72:$C$111,3,FALSE)+VLOOKUP(AN27,Ressourcen!$A$72:$C$111,3,FALSE)+VLOOKUP(AO27,Ressourcen!$A$72:$C$111,3,FALSE)</f>
        <v>0</v>
      </c>
    </row>
    <row r="28" spans="1:42" ht="15.6" customHeight="1" x14ac:dyDescent="0.3">
      <c r="A28" s="197"/>
      <c r="B28" s="197"/>
      <c r="C28" s="155"/>
      <c r="D28" s="155"/>
      <c r="E28" s="214"/>
      <c r="F28" s="214"/>
      <c r="G28" s="214"/>
      <c r="H28" s="420" t="s">
        <v>624</v>
      </c>
      <c r="I28" s="420"/>
      <c r="J28" s="420"/>
      <c r="K28" s="420"/>
      <c r="L28" s="420"/>
      <c r="M28" s="420"/>
      <c r="N28" s="409" t="s">
        <v>109</v>
      </c>
      <c r="O28" s="409"/>
      <c r="P28" s="416" t="s">
        <v>625</v>
      </c>
      <c r="Q28" s="416"/>
      <c r="R28" s="416"/>
      <c r="S28" s="416"/>
      <c r="T28" s="414">
        <f>(Wil+Kon+lufta*12)*3</f>
        <v>345</v>
      </c>
      <c r="U28" s="415"/>
      <c r="V28" s="423" t="s">
        <v>108</v>
      </c>
      <c r="W28" s="423"/>
      <c r="X28" s="423"/>
      <c r="Y28" s="151">
        <v>0</v>
      </c>
      <c r="Z28" s="428" t="s">
        <v>627</v>
      </c>
      <c r="AA28" s="429"/>
      <c r="AB28" s="429"/>
      <c r="AC28" s="430"/>
      <c r="AD28" s="151">
        <v>0</v>
      </c>
      <c r="AE28" s="423" t="s">
        <v>642</v>
      </c>
      <c r="AF28" s="423"/>
      <c r="AG28" s="423"/>
      <c r="AH28" s="423"/>
      <c r="AI28" s="424">
        <v>0</v>
      </c>
      <c r="AJ28" s="425"/>
      <c r="AK28" s="151">
        <v>0</v>
      </c>
      <c r="AL28" s="151">
        <v>0</v>
      </c>
      <c r="AM28" s="151">
        <v>0</v>
      </c>
      <c r="AN28" s="151">
        <v>0</v>
      </c>
      <c r="AO28" s="151">
        <v>0</v>
      </c>
      <c r="AP28" s="144">
        <f>VLOOKUP(AI28,Ressourcen!$A$3:$E$68,4,FALSE)+VLOOKUP(AK28,Ressourcen!$A$72:$C$111,3,FALSE)+VLOOKUP(AL28,Ressourcen!$A$72:$C$111,3,FALSE)+VLOOKUP(AM28,Ressourcen!$A$72:$C$111,3,FALSE)+VLOOKUP(AN28,Ressourcen!$A$72:$C$111,3,FALSE)+VLOOKUP(AO28,Ressourcen!$A$72:$C$111,3,FALSE)</f>
        <v>0</v>
      </c>
    </row>
    <row r="29" spans="1:42" ht="15.6" customHeight="1" x14ac:dyDescent="0.3">
      <c r="A29" s="405" t="s">
        <v>1187</v>
      </c>
      <c r="B29" s="405"/>
      <c r="C29" s="405"/>
      <c r="D29" s="405"/>
      <c r="E29" s="265">
        <f>vit+5+IF(Talente!E77="Ja",2,IF(Talente!E76="Ja",1,0))</f>
        <v>21</v>
      </c>
      <c r="F29" s="147"/>
      <c r="G29" s="147"/>
      <c r="H29" s="419" t="s">
        <v>1044</v>
      </c>
      <c r="I29" s="419"/>
      <c r="J29" s="419"/>
      <c r="K29" s="419"/>
      <c r="L29" s="419"/>
      <c r="M29" s="419"/>
      <c r="N29" s="418">
        <f>ROUNDUP((Stä+Sch+sprin)/40,2)</f>
        <v>1.28</v>
      </c>
      <c r="O29" s="418"/>
      <c r="P29" s="255"/>
      <c r="Q29" s="255"/>
      <c r="R29" s="255"/>
      <c r="S29" s="255"/>
      <c r="T29" s="257"/>
      <c r="U29" s="257"/>
      <c r="V29" s="423" t="s">
        <v>604</v>
      </c>
      <c r="W29" s="423"/>
      <c r="X29" s="423"/>
      <c r="Y29" s="151">
        <v>12</v>
      </c>
      <c r="Z29" s="428" t="s">
        <v>628</v>
      </c>
      <c r="AA29" s="429"/>
      <c r="AB29" s="429"/>
      <c r="AC29" s="430"/>
      <c r="AD29" s="151">
        <v>6</v>
      </c>
      <c r="AE29" s="423" t="s">
        <v>643</v>
      </c>
      <c r="AF29" s="423"/>
      <c r="AG29" s="423"/>
      <c r="AH29" s="423"/>
      <c r="AI29" s="424">
        <v>0</v>
      </c>
      <c r="AJ29" s="425"/>
      <c r="AK29" s="151">
        <v>0</v>
      </c>
      <c r="AL29" s="151">
        <v>0</v>
      </c>
      <c r="AM29" s="151">
        <v>0</v>
      </c>
      <c r="AN29" s="151">
        <v>0</v>
      </c>
      <c r="AO29" s="151">
        <v>0</v>
      </c>
      <c r="AP29" s="144">
        <f>VLOOKUP(AI29,Ressourcen!$A$3:$E$68,4,FALSE)+VLOOKUP(AK29,Ressourcen!$A$72:$C$111,3,FALSE)+VLOOKUP(AL29,Ressourcen!$A$72:$C$111,3,FALSE)+VLOOKUP(AM29,Ressourcen!$A$72:$C$111,3,FALSE)+VLOOKUP(AN29,Ressourcen!$A$72:$C$111,3,FALSE)+VLOOKUP(AO29,Ressourcen!$A$72:$C$111,3,FALSE)</f>
        <v>0</v>
      </c>
    </row>
    <row r="30" spans="1:42" ht="15.6" customHeight="1" x14ac:dyDescent="0.3">
      <c r="B30" s="136"/>
      <c r="C30" s="149"/>
      <c r="E30" s="196"/>
      <c r="F30" s="196"/>
      <c r="G30" s="196"/>
      <c r="H30" s="419" t="s">
        <v>1045</v>
      </c>
      <c r="I30" s="419"/>
      <c r="J30" s="419"/>
      <c r="K30" s="419"/>
      <c r="L30" s="419"/>
      <c r="M30" s="419"/>
      <c r="N30" s="418">
        <f>ROUNDUP((Stä+Ath+sprin)/13,2)+1</f>
        <v>5.08</v>
      </c>
      <c r="O30" s="418"/>
      <c r="Q30" s="255"/>
      <c r="R30" s="255"/>
      <c r="S30" s="255"/>
      <c r="T30" s="257"/>
      <c r="U30" s="257"/>
      <c r="V30" s="423" t="s">
        <v>871</v>
      </c>
      <c r="W30" s="423"/>
      <c r="X30" s="423"/>
      <c r="Y30" s="151">
        <v>0</v>
      </c>
      <c r="Z30" s="431" t="s">
        <v>629</v>
      </c>
      <c r="AA30" s="432"/>
      <c r="AB30" s="432"/>
      <c r="AC30" s="433"/>
      <c r="AD30" s="151">
        <v>6</v>
      </c>
      <c r="AE30" s="423" t="s">
        <v>644</v>
      </c>
      <c r="AF30" s="423"/>
      <c r="AG30" s="423"/>
      <c r="AH30" s="423"/>
      <c r="AI30" s="424">
        <v>0</v>
      </c>
      <c r="AJ30" s="425"/>
      <c r="AK30" s="151">
        <v>0</v>
      </c>
      <c r="AL30" s="151">
        <v>0</v>
      </c>
      <c r="AM30" s="151">
        <v>0</v>
      </c>
      <c r="AN30" s="151">
        <v>0</v>
      </c>
      <c r="AO30" s="151">
        <v>0</v>
      </c>
      <c r="AP30" s="144">
        <f>VLOOKUP(AI30,Ressourcen!$A$3:$E$68,4,FALSE)+VLOOKUP(AK30,Ressourcen!$A$72:$C$111,3,FALSE)+VLOOKUP(AL30,Ressourcen!$A$72:$C$111,3,FALSE)+VLOOKUP(AM30,Ressourcen!$A$72:$C$111,3,FALSE)+VLOOKUP(AN30,Ressourcen!$A$72:$C$111,3,FALSE)+VLOOKUP(AO30,Ressourcen!$A$72:$C$111,3,FALSE)</f>
        <v>0</v>
      </c>
    </row>
    <row r="31" spans="1:42" ht="15.6" customHeight="1" x14ac:dyDescent="0.3">
      <c r="A31" s="148" t="s">
        <v>1189</v>
      </c>
      <c r="B31" s="148"/>
      <c r="C31" s="148"/>
      <c r="D31" s="446">
        <f>SUM(E21:E27,3*gesundheit)</f>
        <v>387</v>
      </c>
      <c r="E31" s="446"/>
      <c r="F31" s="171"/>
      <c r="G31" s="148"/>
      <c r="H31" s="419" t="s">
        <v>1046</v>
      </c>
      <c r="I31" s="419"/>
      <c r="J31" s="419"/>
      <c r="K31" s="419"/>
      <c r="L31" s="419"/>
      <c r="M31" s="419"/>
      <c r="N31" s="421">
        <f>ROUNDUP((Stä+Sch+sprin)/8,2)+1</f>
        <v>7.38</v>
      </c>
      <c r="O31" s="421"/>
      <c r="Q31" s="255"/>
      <c r="R31" s="255"/>
      <c r="S31" s="255"/>
      <c r="T31" s="256"/>
      <c r="U31" s="256"/>
      <c r="V31" s="423" t="s">
        <v>606</v>
      </c>
      <c r="W31" s="423"/>
      <c r="X31" s="423"/>
      <c r="Y31" s="151">
        <v>0</v>
      </c>
      <c r="Z31" s="428" t="s">
        <v>630</v>
      </c>
      <c r="AA31" s="429"/>
      <c r="AB31" s="429"/>
      <c r="AC31" s="430"/>
      <c r="AD31" s="151">
        <v>10</v>
      </c>
      <c r="AE31" s="423" t="s">
        <v>645</v>
      </c>
      <c r="AF31" s="423"/>
      <c r="AG31" s="423"/>
      <c r="AH31" s="423"/>
      <c r="AI31" s="424">
        <v>0</v>
      </c>
      <c r="AJ31" s="425"/>
      <c r="AK31" s="151">
        <v>0</v>
      </c>
      <c r="AL31" s="151">
        <v>0</v>
      </c>
      <c r="AM31" s="151">
        <v>0</v>
      </c>
      <c r="AN31" s="151">
        <v>0</v>
      </c>
      <c r="AO31" s="151">
        <v>0</v>
      </c>
      <c r="AP31" s="144">
        <f>VLOOKUP(AI31,Ressourcen!$A$3:$E$68,4,FALSE)+VLOOKUP(AK31,Ressourcen!$A$72:$C$111,3,FALSE)+VLOOKUP(AL31,Ressourcen!$A$72:$C$111,3,FALSE)+VLOOKUP(AM31,Ressourcen!$A$72:$C$111,3,FALSE)+VLOOKUP(AN31,Ressourcen!$A$72:$C$111,3,FALSE)+VLOOKUP(AO31,Ressourcen!$A$72:$C$111,3,FALSE)</f>
        <v>0</v>
      </c>
    </row>
    <row r="32" spans="1:42" ht="15.6" customHeight="1" x14ac:dyDescent="0.3">
      <c r="A32" s="148"/>
      <c r="B32" s="148"/>
      <c r="C32" s="148"/>
      <c r="D32" s="148"/>
      <c r="E32" s="148"/>
      <c r="F32" s="148"/>
      <c r="G32" s="148"/>
      <c r="H32" s="419" t="s">
        <v>1047</v>
      </c>
      <c r="I32" s="419"/>
      <c r="J32" s="419"/>
      <c r="K32" s="419"/>
      <c r="L32" s="419"/>
      <c r="M32" s="419"/>
      <c r="N32" s="418">
        <f>ROUNDUP((Stä+Sch+sprin)/6,2)+1</f>
        <v>9.5</v>
      </c>
      <c r="O32" s="418"/>
      <c r="P32" s="250"/>
      <c r="Q32" s="130"/>
      <c r="R32" s="130"/>
      <c r="S32" s="130"/>
      <c r="T32" s="232"/>
      <c r="U32" s="130"/>
      <c r="V32" s="423" t="s">
        <v>607</v>
      </c>
      <c r="W32" s="423"/>
      <c r="X32" s="423"/>
      <c r="Y32" s="151">
        <v>0</v>
      </c>
      <c r="Z32" s="428" t="s">
        <v>631</v>
      </c>
      <c r="AA32" s="429"/>
      <c r="AB32" s="429"/>
      <c r="AC32" s="430"/>
      <c r="AD32" s="151">
        <v>0</v>
      </c>
      <c r="AE32" s="423" t="s">
        <v>646</v>
      </c>
      <c r="AF32" s="423"/>
      <c r="AG32" s="423"/>
      <c r="AH32" s="423"/>
      <c r="AI32" s="424">
        <v>0</v>
      </c>
      <c r="AJ32" s="425"/>
      <c r="AK32" s="151">
        <v>0</v>
      </c>
      <c r="AL32" s="151">
        <v>0</v>
      </c>
      <c r="AM32" s="151">
        <v>0</v>
      </c>
      <c r="AN32" s="151">
        <v>0</v>
      </c>
      <c r="AO32" s="151">
        <v>0</v>
      </c>
      <c r="AP32" s="144">
        <f>VLOOKUP(AI32,Ressourcen!$A$3:$E$68,4,FALSE)+VLOOKUP(AK32,Ressourcen!$A$72:$C$111,3,FALSE)+VLOOKUP(AL32,Ressourcen!$A$72:$C$111,3,FALSE)+VLOOKUP(AM32,Ressourcen!$A$72:$C$111,3,FALSE)+VLOOKUP(AN32,Ressourcen!$A$72:$C$111,3,FALSE)+VLOOKUP(AO32,Ressourcen!$A$72:$C$111,3,FALSE)</f>
        <v>0</v>
      </c>
    </row>
    <row r="33" spans="1:42" ht="15.6" customHeight="1" x14ac:dyDescent="0.3">
      <c r="A33" s="148"/>
      <c r="B33" s="148"/>
      <c r="C33" s="148"/>
      <c r="D33" s="148"/>
      <c r="E33" s="148"/>
      <c r="F33" s="148"/>
      <c r="G33" s="148"/>
      <c r="H33" s="427" t="s">
        <v>1053</v>
      </c>
      <c r="I33" s="427"/>
      <c r="J33" s="427"/>
      <c r="K33" s="427"/>
      <c r="L33" s="427"/>
      <c r="M33" s="427"/>
      <c r="N33" s="407" t="s">
        <v>109</v>
      </c>
      <c r="O33" s="407"/>
      <c r="P33" s="250"/>
      <c r="Q33" s="130"/>
      <c r="R33" s="130"/>
      <c r="S33" s="130"/>
      <c r="T33" s="130"/>
      <c r="U33" s="130"/>
      <c r="V33" s="493" t="s">
        <v>608</v>
      </c>
      <c r="W33" s="493"/>
      <c r="X33" s="493"/>
      <c r="Y33" s="151">
        <v>10</v>
      </c>
      <c r="Z33" s="428" t="s">
        <v>632</v>
      </c>
      <c r="AA33" s="429"/>
      <c r="AB33" s="429"/>
      <c r="AC33" s="430"/>
      <c r="AD33" s="151">
        <v>10</v>
      </c>
      <c r="AE33" s="423" t="s">
        <v>647</v>
      </c>
      <c r="AF33" s="423"/>
      <c r="AG33" s="423"/>
      <c r="AH33" s="423"/>
      <c r="AI33" s="424">
        <v>0</v>
      </c>
      <c r="AJ33" s="425"/>
      <c r="AK33" s="151">
        <v>0</v>
      </c>
      <c r="AL33" s="151">
        <v>0</v>
      </c>
      <c r="AM33" s="151">
        <v>0</v>
      </c>
      <c r="AN33" s="151">
        <v>0</v>
      </c>
      <c r="AO33" s="151">
        <v>0</v>
      </c>
      <c r="AP33" s="144">
        <f>VLOOKUP(AI33,Ressourcen!$A$3:$E$68,4,FALSE)+VLOOKUP(AK33,Ressourcen!$A$72:$C$111,3,FALSE)+VLOOKUP(AL33,Ressourcen!$A$72:$C$111,3,FALSE)+VLOOKUP(AM33,Ressourcen!$A$72:$C$111,3,FALSE)+VLOOKUP(AN33,Ressourcen!$A$72:$C$111,3,FALSE)+VLOOKUP(AO33,Ressourcen!$A$72:$C$111,3,FALSE)</f>
        <v>0</v>
      </c>
    </row>
    <row r="34" spans="1:42" ht="15.6" customHeight="1" x14ac:dyDescent="0.3">
      <c r="A34" s="148"/>
      <c r="B34" s="148"/>
      <c r="C34" s="148"/>
      <c r="D34" s="148"/>
      <c r="E34" s="148"/>
      <c r="F34" s="148"/>
      <c r="G34" s="148"/>
      <c r="H34" s="417" t="s">
        <v>1049</v>
      </c>
      <c r="I34" s="417"/>
      <c r="J34" s="417"/>
      <c r="K34" s="417"/>
      <c r="L34" s="417"/>
      <c r="M34" s="417"/>
      <c r="N34" s="418">
        <f>(werfen+Ath+Stä)*2</f>
        <v>96</v>
      </c>
      <c r="O34" s="418"/>
      <c r="P34" s="130"/>
      <c r="Q34" s="130"/>
      <c r="R34" s="130"/>
      <c r="S34" s="130"/>
      <c r="T34" s="130"/>
      <c r="U34" s="130"/>
      <c r="V34" s="423" t="s">
        <v>609</v>
      </c>
      <c r="W34" s="423"/>
      <c r="X34" s="423"/>
      <c r="Y34" s="151">
        <v>0</v>
      </c>
      <c r="Z34" s="428" t="s">
        <v>633</v>
      </c>
      <c r="AA34" s="429"/>
      <c r="AB34" s="429"/>
      <c r="AC34" s="430"/>
      <c r="AD34" s="151">
        <v>10</v>
      </c>
      <c r="AE34" s="423" t="s">
        <v>648</v>
      </c>
      <c r="AF34" s="423"/>
      <c r="AG34" s="423"/>
      <c r="AH34" s="423"/>
      <c r="AI34" s="424">
        <v>0</v>
      </c>
      <c r="AJ34" s="425"/>
      <c r="AK34" s="151">
        <v>0</v>
      </c>
      <c r="AL34" s="151">
        <v>0</v>
      </c>
      <c r="AM34" s="151">
        <v>0</v>
      </c>
      <c r="AN34" s="151">
        <v>0</v>
      </c>
      <c r="AO34" s="151">
        <v>0</v>
      </c>
      <c r="AP34" s="144">
        <f>VLOOKUP(AI34,Ressourcen!$A$3:$E$68,4,FALSE)+VLOOKUP(AK34,Ressourcen!$A$72:$C$111,3,FALSE)+VLOOKUP(AL34,Ressourcen!$A$72:$C$111,3,FALSE)+VLOOKUP(AM34,Ressourcen!$A$72:$C$111,3,FALSE)+VLOOKUP(AN34,Ressourcen!$A$72:$C$111,3,FALSE)+VLOOKUP(AO34,Ressourcen!$A$72:$C$111,3,FALSE)</f>
        <v>0</v>
      </c>
    </row>
    <row r="35" spans="1:42" ht="15.6" customHeight="1" x14ac:dyDescent="0.3">
      <c r="A35" s="136" t="s">
        <v>819</v>
      </c>
      <c r="B35" s="148"/>
      <c r="C35" s="227"/>
      <c r="D35" s="136"/>
      <c r="E35" s="136"/>
      <c r="F35" s="136"/>
      <c r="G35" s="229"/>
      <c r="H35" s="417" t="s">
        <v>1050</v>
      </c>
      <c r="I35" s="417"/>
      <c r="J35" s="417"/>
      <c r="K35" s="417"/>
      <c r="L35" s="417"/>
      <c r="M35" s="417"/>
      <c r="N35" s="418">
        <f>(werfen+Ath+Stä)*1.5</f>
        <v>72</v>
      </c>
      <c r="O35" s="418"/>
      <c r="P35" s="252"/>
      <c r="Q35" s="232"/>
      <c r="R35" s="130"/>
      <c r="S35" s="130"/>
      <c r="T35" s="252"/>
      <c r="U35" s="232"/>
      <c r="V35" s="423" t="s">
        <v>610</v>
      </c>
      <c r="W35" s="423"/>
      <c r="X35" s="423"/>
      <c r="Y35" s="151">
        <v>0</v>
      </c>
      <c r="Z35" s="428" t="s">
        <v>634</v>
      </c>
      <c r="AA35" s="429"/>
      <c r="AB35" s="429"/>
      <c r="AC35" s="430"/>
      <c r="AD35" s="151">
        <v>0</v>
      </c>
      <c r="AE35" s="423" t="s">
        <v>649</v>
      </c>
      <c r="AF35" s="423"/>
      <c r="AG35" s="423"/>
      <c r="AH35" s="423"/>
      <c r="AI35" s="424">
        <v>0</v>
      </c>
      <c r="AJ35" s="425"/>
      <c r="AK35" s="151">
        <v>0</v>
      </c>
      <c r="AL35" s="151">
        <v>0</v>
      </c>
      <c r="AM35" s="151">
        <v>0</v>
      </c>
      <c r="AN35" s="151">
        <v>0</v>
      </c>
      <c r="AO35" s="151">
        <v>0</v>
      </c>
      <c r="AP35" s="144">
        <f>VLOOKUP(AI35,Ressourcen!$A$3:$E$68,4,FALSE)+VLOOKUP(AK35,Ressourcen!$A$72:$C$111,3,FALSE)+VLOOKUP(AL35,Ressourcen!$A$72:$C$111,3,FALSE)+VLOOKUP(AM35,Ressourcen!$A$72:$C$111,3,FALSE)+VLOOKUP(AN35,Ressourcen!$A$72:$C$111,3,FALSE)+VLOOKUP(AO35,Ressourcen!$A$72:$C$111,3,FALSE)</f>
        <v>0</v>
      </c>
    </row>
    <row r="36" spans="1:42" ht="15.6" customHeight="1" x14ac:dyDescent="0.3">
      <c r="A36" s="148"/>
      <c r="B36" s="148"/>
      <c r="C36" s="148"/>
      <c r="D36" s="148"/>
      <c r="E36" s="148"/>
      <c r="F36" s="94"/>
      <c r="G36" s="94"/>
      <c r="H36" s="417" t="s">
        <v>1051</v>
      </c>
      <c r="I36" s="417"/>
      <c r="J36" s="417"/>
      <c r="K36" s="417"/>
      <c r="L36" s="417"/>
      <c r="M36" s="417"/>
      <c r="N36" s="418">
        <f>(werfen+Ath+Stä)</f>
        <v>48</v>
      </c>
      <c r="O36" s="418"/>
      <c r="P36" s="130"/>
      <c r="Q36" s="130"/>
      <c r="R36" s="130"/>
      <c r="S36" s="130"/>
      <c r="T36" s="130"/>
      <c r="U36" s="130"/>
      <c r="V36" s="423" t="s">
        <v>611</v>
      </c>
      <c r="W36" s="423"/>
      <c r="X36" s="423"/>
      <c r="Y36" s="152">
        <v>0</v>
      </c>
      <c r="Z36" s="428" t="s">
        <v>635</v>
      </c>
      <c r="AA36" s="429"/>
      <c r="AB36" s="429"/>
      <c r="AC36" s="430"/>
      <c r="AD36" s="151">
        <v>12</v>
      </c>
      <c r="AE36" s="423" t="s">
        <v>650</v>
      </c>
      <c r="AF36" s="423"/>
      <c r="AG36" s="423"/>
      <c r="AH36" s="423"/>
      <c r="AI36" s="424">
        <v>0</v>
      </c>
      <c r="AJ36" s="425"/>
      <c r="AK36" s="151">
        <v>0</v>
      </c>
      <c r="AL36" s="151">
        <v>0</v>
      </c>
      <c r="AM36" s="151">
        <v>0</v>
      </c>
      <c r="AN36" s="151">
        <v>0</v>
      </c>
      <c r="AO36" s="151">
        <v>0</v>
      </c>
      <c r="AP36" s="144">
        <f>VLOOKUP(AI36,Ressourcen!$A$3:$E$68,4,FALSE)+VLOOKUP(AK36,Ressourcen!$A$72:$C$111,3,FALSE)+VLOOKUP(AL36,Ressourcen!$A$72:$C$111,3,FALSE)+VLOOKUP(AM36,Ressourcen!$A$72:$C$111,3,FALSE)+VLOOKUP(AN36,Ressourcen!$A$72:$C$111,3,FALSE)+VLOOKUP(AO36,Ressourcen!$A$72:$C$111,3,FALSE)</f>
        <v>0</v>
      </c>
    </row>
    <row r="37" spans="1:42" ht="15.6" customHeight="1" x14ac:dyDescent="0.3">
      <c r="A37" s="161"/>
      <c r="B37" s="161"/>
      <c r="C37" s="161"/>
      <c r="D37" s="161"/>
      <c r="E37" s="161"/>
      <c r="F37" s="161"/>
      <c r="G37" s="160"/>
      <c r="H37" s="417" t="s">
        <v>1052</v>
      </c>
      <c r="I37" s="417"/>
      <c r="J37" s="417"/>
      <c r="K37" s="417"/>
      <c r="L37" s="417"/>
      <c r="M37" s="417"/>
      <c r="N37" s="418">
        <f>(werfen+Ath+Sch)*1.5</f>
        <v>66</v>
      </c>
      <c r="O37" s="418"/>
      <c r="P37" s="253"/>
      <c r="Q37" s="253"/>
      <c r="R37" s="253"/>
      <c r="S37" s="253"/>
      <c r="T37" s="253"/>
      <c r="U37" s="253"/>
      <c r="V37" s="423" t="s">
        <v>612</v>
      </c>
      <c r="W37" s="423"/>
      <c r="X37" s="423"/>
      <c r="Y37" s="151">
        <v>0</v>
      </c>
      <c r="Z37" s="428" t="s">
        <v>636</v>
      </c>
      <c r="AA37" s="429"/>
      <c r="AB37" s="429"/>
      <c r="AC37" s="430"/>
      <c r="AD37" s="151">
        <v>12</v>
      </c>
      <c r="AE37" s="423" t="s">
        <v>651</v>
      </c>
      <c r="AF37" s="423"/>
      <c r="AG37" s="423"/>
      <c r="AH37" s="423"/>
      <c r="AI37" s="424">
        <v>0</v>
      </c>
      <c r="AJ37" s="425"/>
      <c r="AK37" s="151">
        <v>0</v>
      </c>
      <c r="AL37" s="151">
        <v>0</v>
      </c>
      <c r="AM37" s="151">
        <v>0</v>
      </c>
      <c r="AN37" s="151">
        <v>0</v>
      </c>
      <c r="AO37" s="151">
        <v>0</v>
      </c>
      <c r="AP37" s="144">
        <f>VLOOKUP(AI37,Ressourcen!$A$3:$E$68,4,FALSE)+VLOOKUP(AK37,Ressourcen!$A$72:$C$111,3,FALSE)+VLOOKUP(AL37,Ressourcen!$A$72:$C$111,3,FALSE)+VLOOKUP(AM37,Ressourcen!$A$72:$C$111,3,FALSE)+VLOOKUP(AN37,Ressourcen!$A$72:$C$111,3,FALSE)+VLOOKUP(AO37,Ressourcen!$A$72:$C$111,3,FALSE)</f>
        <v>0</v>
      </c>
    </row>
    <row r="38" spans="1:42" ht="15.6" customHeight="1" x14ac:dyDescent="0.3">
      <c r="A38" s="161"/>
      <c r="B38" s="161"/>
      <c r="C38" s="161"/>
      <c r="D38" s="161"/>
      <c r="E38" s="161"/>
      <c r="F38" s="161"/>
      <c r="G38" s="160"/>
      <c r="H38" s="253"/>
      <c r="I38" s="253"/>
      <c r="J38" s="254"/>
      <c r="K38" s="254"/>
      <c r="L38" s="254"/>
      <c r="N38" s="254"/>
      <c r="O38" s="254"/>
      <c r="P38" s="254"/>
      <c r="Q38" s="254"/>
      <c r="R38" s="254"/>
      <c r="S38" s="254"/>
      <c r="T38" s="254"/>
      <c r="U38" s="254"/>
      <c r="V38" s="423" t="s">
        <v>613</v>
      </c>
      <c r="W38" s="423"/>
      <c r="X38" s="423"/>
      <c r="Y38" s="151">
        <v>0</v>
      </c>
      <c r="AD38" s="143"/>
      <c r="AE38" s="423" t="s">
        <v>652</v>
      </c>
      <c r="AF38" s="423"/>
      <c r="AG38" s="423"/>
      <c r="AH38" s="423"/>
      <c r="AI38" s="424">
        <v>0</v>
      </c>
      <c r="AJ38" s="425"/>
      <c r="AK38" s="151">
        <v>0</v>
      </c>
      <c r="AL38" s="151">
        <v>0</v>
      </c>
      <c r="AM38" s="151">
        <v>0</v>
      </c>
      <c r="AN38" s="151">
        <v>0</v>
      </c>
      <c r="AO38" s="151">
        <v>0</v>
      </c>
      <c r="AP38" s="144">
        <f>VLOOKUP(AI38,Ressourcen!$A$3:$E$68,4,FALSE)+VLOOKUP(AK38,Ressourcen!$A$72:$C$111,3,FALSE)+VLOOKUP(AL38,Ressourcen!$A$72:$C$111,3,FALSE)+VLOOKUP(AM38,Ressourcen!$A$72:$C$111,3,FALSE)+VLOOKUP(AN38,Ressourcen!$A$72:$C$111,3,FALSE)+VLOOKUP(AO38,Ressourcen!$A$72:$C$111,3,FALSE)</f>
        <v>0</v>
      </c>
    </row>
    <row r="39" spans="1:42" ht="15.6" customHeight="1" x14ac:dyDescent="0.3">
      <c r="A39" s="161"/>
      <c r="B39" s="161"/>
      <c r="C39" s="161"/>
      <c r="D39" s="161"/>
      <c r="E39" s="161"/>
      <c r="F39" s="161"/>
      <c r="G39" s="160"/>
      <c r="H39" s="253"/>
      <c r="I39" s="253"/>
      <c r="J39" s="254"/>
      <c r="K39" s="254"/>
      <c r="L39" s="254"/>
      <c r="N39" s="254"/>
      <c r="O39" s="254"/>
      <c r="P39" s="254"/>
      <c r="Q39" s="254"/>
      <c r="R39" s="254"/>
      <c r="S39" s="254"/>
      <c r="T39" s="254"/>
      <c r="U39" s="254"/>
      <c r="V39" s="493" t="s">
        <v>614</v>
      </c>
      <c r="W39" s="493"/>
      <c r="X39" s="493"/>
      <c r="Y39" s="151">
        <v>0</v>
      </c>
      <c r="AD39" s="143"/>
      <c r="AE39" s="423" t="s">
        <v>653</v>
      </c>
      <c r="AF39" s="423"/>
      <c r="AG39" s="423"/>
      <c r="AH39" s="423"/>
      <c r="AI39" s="424">
        <v>0</v>
      </c>
      <c r="AJ39" s="425"/>
      <c r="AK39" s="151">
        <v>0</v>
      </c>
      <c r="AL39" s="151">
        <v>0</v>
      </c>
      <c r="AM39" s="151">
        <v>0</v>
      </c>
      <c r="AN39" s="151">
        <v>0</v>
      </c>
      <c r="AO39" s="151">
        <v>0</v>
      </c>
      <c r="AP39" s="144">
        <f>VLOOKUP(AI39,Ressourcen!$A$3:$E$68,4,FALSE)+VLOOKUP(AK39,Ressourcen!$A$72:$C$111,3,FALSE)+VLOOKUP(AL39,Ressourcen!$A$72:$C$111,3,FALSE)+VLOOKUP(AM39,Ressourcen!$A$72:$C$111,3,FALSE)+VLOOKUP(AN39,Ressourcen!$A$72:$C$111,3,FALSE)+VLOOKUP(AO39,Ressourcen!$A$72:$C$111,3,FALSE)</f>
        <v>0</v>
      </c>
    </row>
    <row r="40" spans="1:42" ht="15.6" customHeight="1" x14ac:dyDescent="0.3">
      <c r="A40" s="161"/>
      <c r="B40" s="161"/>
      <c r="C40" s="161"/>
      <c r="D40" s="161"/>
      <c r="E40" s="161"/>
      <c r="F40" s="161"/>
      <c r="G40" s="160"/>
      <c r="H40" s="253"/>
      <c r="I40" s="253"/>
      <c r="J40" s="254"/>
      <c r="K40" s="254"/>
      <c r="L40" s="254"/>
      <c r="N40" s="254"/>
      <c r="O40" s="254"/>
      <c r="P40" s="254"/>
      <c r="Q40" s="254"/>
      <c r="R40" s="254"/>
      <c r="S40" s="254"/>
      <c r="T40" s="254"/>
      <c r="U40" s="254"/>
      <c r="V40" s="493" t="s">
        <v>615</v>
      </c>
      <c r="W40" s="493"/>
      <c r="X40" s="493"/>
      <c r="Y40" s="151">
        <v>0</v>
      </c>
      <c r="Z40" s="444" t="s">
        <v>869</v>
      </c>
      <c r="AA40" s="444"/>
      <c r="AB40" s="444"/>
      <c r="AC40" s="444"/>
      <c r="AD40" s="231" t="s">
        <v>1</v>
      </c>
      <c r="AE40" s="423" t="s">
        <v>654</v>
      </c>
      <c r="AF40" s="423"/>
      <c r="AG40" s="423"/>
      <c r="AH40" s="423"/>
      <c r="AI40" s="424">
        <v>0</v>
      </c>
      <c r="AJ40" s="425"/>
      <c r="AK40" s="151">
        <v>0</v>
      </c>
      <c r="AL40" s="151">
        <v>0</v>
      </c>
      <c r="AM40" s="151">
        <v>0</v>
      </c>
      <c r="AN40" s="151">
        <v>0</v>
      </c>
      <c r="AO40" s="151">
        <v>0</v>
      </c>
      <c r="AP40" s="144">
        <f>VLOOKUP(AI40,Ressourcen!$A$3:$E$68,4,FALSE)+VLOOKUP(AK40,Ressourcen!$A$72:$C$111,3,FALSE)+VLOOKUP(AL40,Ressourcen!$A$72:$C$111,3,FALSE)+VLOOKUP(AM40,Ressourcen!$A$72:$C$111,3,FALSE)+VLOOKUP(AN40,Ressourcen!$A$72:$C$111,3,FALSE)+VLOOKUP(AO40,Ressourcen!$A$72:$C$111,3,FALSE)</f>
        <v>0</v>
      </c>
    </row>
    <row r="41" spans="1:42" ht="15.6" customHeight="1" x14ac:dyDescent="0.3">
      <c r="A41" s="161"/>
      <c r="B41" s="161"/>
      <c r="C41" s="161"/>
      <c r="D41" s="161"/>
      <c r="E41" s="161"/>
      <c r="F41" s="161"/>
      <c r="G41" s="160"/>
      <c r="H41" s="161"/>
      <c r="I41" s="161"/>
      <c r="J41" s="168"/>
      <c r="K41" s="168"/>
      <c r="L41" s="168"/>
      <c r="N41" s="168"/>
      <c r="O41" s="168"/>
      <c r="P41" s="168"/>
      <c r="Q41" s="168"/>
      <c r="R41" s="168"/>
      <c r="S41" s="168"/>
      <c r="T41" s="168"/>
      <c r="U41" s="168"/>
      <c r="V41" s="423" t="s">
        <v>616</v>
      </c>
      <c r="W41" s="423"/>
      <c r="X41" s="423"/>
      <c r="Y41" s="151">
        <v>0</v>
      </c>
      <c r="Z41" s="423" t="s">
        <v>851</v>
      </c>
      <c r="AA41" s="423"/>
      <c r="AB41" s="423"/>
      <c r="AC41" s="423"/>
      <c r="AD41" s="151">
        <v>0</v>
      </c>
      <c r="AE41" s="423" t="s">
        <v>655</v>
      </c>
      <c r="AF41" s="423"/>
      <c r="AG41" s="423"/>
      <c r="AH41" s="423"/>
      <c r="AI41" s="424">
        <v>0</v>
      </c>
      <c r="AJ41" s="425"/>
      <c r="AK41" s="151">
        <v>0</v>
      </c>
      <c r="AL41" s="151">
        <v>0</v>
      </c>
      <c r="AM41" s="151">
        <v>0</v>
      </c>
      <c r="AN41" s="151">
        <v>0</v>
      </c>
      <c r="AO41" s="151">
        <v>0</v>
      </c>
      <c r="AP41" s="144">
        <f>VLOOKUP(AI41,Ressourcen!$A$3:$E$68,4,FALSE)+VLOOKUP(AK41,Ressourcen!$A$72:$C$111,3,FALSE)+VLOOKUP(AL41,Ressourcen!$A$72:$C$111,3,FALSE)+VLOOKUP(AM41,Ressourcen!$A$72:$C$111,3,FALSE)+VLOOKUP(AN41,Ressourcen!$A$72:$C$111,3,FALSE)+VLOOKUP(AO41,Ressourcen!$A$72:$C$111,3,FALSE)</f>
        <v>0</v>
      </c>
    </row>
    <row r="42" spans="1:42" ht="15.6" customHeight="1" x14ac:dyDescent="0.3">
      <c r="E42" s="148"/>
      <c r="F42" s="148"/>
      <c r="G42" s="148"/>
      <c r="H42" s="148"/>
      <c r="I42" s="148"/>
      <c r="J42" s="148"/>
      <c r="K42" s="148"/>
      <c r="L42" s="148"/>
      <c r="V42" s="423" t="s">
        <v>617</v>
      </c>
      <c r="W42" s="423"/>
      <c r="X42" s="423"/>
      <c r="Y42" s="151">
        <v>0</v>
      </c>
      <c r="Z42" s="423" t="s">
        <v>852</v>
      </c>
      <c r="AA42" s="423"/>
      <c r="AB42" s="423"/>
      <c r="AC42" s="423"/>
      <c r="AD42" s="151">
        <v>0</v>
      </c>
      <c r="AE42" s="423" t="s">
        <v>656</v>
      </c>
      <c r="AF42" s="423"/>
      <c r="AG42" s="423"/>
      <c r="AH42" s="423"/>
      <c r="AI42" s="424">
        <v>0</v>
      </c>
      <c r="AJ42" s="425"/>
      <c r="AK42" s="151">
        <v>0</v>
      </c>
      <c r="AL42" s="151">
        <v>0</v>
      </c>
      <c r="AM42" s="151">
        <v>0</v>
      </c>
      <c r="AN42" s="151">
        <v>0</v>
      </c>
      <c r="AO42" s="151">
        <v>0</v>
      </c>
      <c r="AP42" s="144">
        <f>VLOOKUP(AI42,Ressourcen!$A$3:$E$68,4,FALSE)+VLOOKUP(AK42,Ressourcen!$A$72:$C$111,3,FALSE)+VLOOKUP(AL42,Ressourcen!$A$72:$C$111,3,FALSE)+VLOOKUP(AM42,Ressourcen!$A$72:$C$111,3,FALSE)+VLOOKUP(AN42,Ressourcen!$A$72:$C$111,3,FALSE)+VLOOKUP(AO42,Ressourcen!$A$72:$C$111,3,FALSE)</f>
        <v>0</v>
      </c>
    </row>
    <row r="43" spans="1:42" ht="15.6" customHeight="1" x14ac:dyDescent="0.3">
      <c r="A43" s="161"/>
      <c r="B43" s="161"/>
      <c r="C43" s="160"/>
      <c r="D43" s="161"/>
      <c r="E43" s="161"/>
      <c r="F43" s="161"/>
      <c r="G43" s="160"/>
      <c r="H43" s="160"/>
      <c r="I43" s="160"/>
      <c r="J43" s="160"/>
      <c r="K43" s="160"/>
      <c r="L43" s="160"/>
      <c r="M43" s="160"/>
      <c r="N43" s="161"/>
      <c r="O43" s="161"/>
      <c r="P43" s="161"/>
      <c r="Q43" s="137"/>
      <c r="R43" s="137"/>
      <c r="S43" s="137"/>
      <c r="T43" s="137"/>
      <c r="U43" s="137"/>
      <c r="V43" s="445" t="s">
        <v>1053</v>
      </c>
      <c r="W43" s="445"/>
      <c r="X43" s="445"/>
      <c r="Y43" s="151">
        <v>0</v>
      </c>
      <c r="Z43" s="423" t="s">
        <v>853</v>
      </c>
      <c r="AA43" s="423"/>
      <c r="AB43" s="423"/>
      <c r="AC43" s="423"/>
      <c r="AD43" s="151">
        <v>0</v>
      </c>
      <c r="AE43" s="423" t="s">
        <v>657</v>
      </c>
      <c r="AF43" s="423"/>
      <c r="AG43" s="423"/>
      <c r="AH43" s="423"/>
      <c r="AI43" s="424">
        <v>0</v>
      </c>
      <c r="AJ43" s="425"/>
      <c r="AK43" s="151">
        <v>0</v>
      </c>
      <c r="AL43" s="151">
        <v>0</v>
      </c>
      <c r="AM43" s="151">
        <v>0</v>
      </c>
      <c r="AN43" s="151">
        <v>0</v>
      </c>
      <c r="AO43" s="151">
        <v>0</v>
      </c>
      <c r="AP43" s="144">
        <f>VLOOKUP(AI43,Ressourcen!$A$3:$E$68,4,FALSE)+VLOOKUP(AK43,Ressourcen!$A$72:$C$111,3,FALSE)+VLOOKUP(AL43,Ressourcen!$A$72:$C$111,3,FALSE)+VLOOKUP(AM43,Ressourcen!$A$72:$C$111,3,FALSE)+VLOOKUP(AN43,Ressourcen!$A$72:$C$111,3,FALSE)+VLOOKUP(AO43,Ressourcen!$A$72:$C$111,3,FALSE)</f>
        <v>0</v>
      </c>
    </row>
    <row r="44" spans="1:42" ht="15.6" customHeight="1" x14ac:dyDescent="0.3">
      <c r="A44" s="162"/>
      <c r="B44" s="163"/>
      <c r="C44" s="159"/>
      <c r="D44" s="159"/>
      <c r="E44" s="163"/>
      <c r="F44" s="163"/>
      <c r="G44" s="160"/>
      <c r="H44" s="160"/>
      <c r="I44" s="160"/>
      <c r="J44" s="160"/>
      <c r="K44" s="160"/>
      <c r="L44" s="160"/>
      <c r="M44" s="160"/>
      <c r="N44" s="161"/>
      <c r="O44" s="159"/>
      <c r="P44" s="161"/>
      <c r="Q44" s="137"/>
      <c r="R44" s="137"/>
      <c r="S44" s="137"/>
      <c r="T44" s="137"/>
      <c r="U44" s="137"/>
      <c r="Z44" s="423" t="s">
        <v>854</v>
      </c>
      <c r="AA44" s="423"/>
      <c r="AB44" s="423"/>
      <c r="AC44" s="423"/>
      <c r="AD44" s="151">
        <v>0</v>
      </c>
      <c r="AE44" s="423" t="s">
        <v>658</v>
      </c>
      <c r="AF44" s="423"/>
      <c r="AG44" s="423"/>
      <c r="AH44" s="423"/>
      <c r="AI44" s="424">
        <v>0</v>
      </c>
      <c r="AJ44" s="425"/>
      <c r="AK44" s="151">
        <v>0</v>
      </c>
      <c r="AL44" s="151">
        <v>0</v>
      </c>
      <c r="AM44" s="151">
        <v>0</v>
      </c>
      <c r="AN44" s="151">
        <v>0</v>
      </c>
      <c r="AO44" s="151">
        <v>0</v>
      </c>
      <c r="AP44" s="144">
        <f>VLOOKUP(AI44,Ressourcen!$A$3:$E$68,4,FALSE)+VLOOKUP(AK44,Ressourcen!$A$72:$C$111,3,FALSE)+VLOOKUP(AL44,Ressourcen!$A$72:$C$111,3,FALSE)+VLOOKUP(AM44,Ressourcen!$A$72:$C$111,3,FALSE)+VLOOKUP(AN44,Ressourcen!$A$72:$C$111,3,FALSE)+VLOOKUP(AO44,Ressourcen!$A$72:$C$111,3,FALSE)</f>
        <v>0</v>
      </c>
    </row>
    <row r="45" spans="1:42" ht="15.6" customHeight="1" x14ac:dyDescent="0.3">
      <c r="A45" s="163"/>
      <c r="B45" s="163"/>
      <c r="C45" s="160"/>
      <c r="D45" s="160"/>
      <c r="E45" s="163"/>
      <c r="F45" s="163"/>
      <c r="G45" s="160"/>
      <c r="H45" s="160"/>
      <c r="I45" s="160"/>
      <c r="J45" s="160"/>
      <c r="K45" s="160"/>
      <c r="L45" s="160"/>
      <c r="M45" s="160"/>
      <c r="N45" s="161"/>
      <c r="O45" s="159"/>
      <c r="P45" s="161"/>
      <c r="Q45" s="137"/>
      <c r="R45" s="137"/>
      <c r="S45" s="137"/>
      <c r="T45" s="137"/>
      <c r="U45" s="137"/>
      <c r="Z45" s="423" t="s">
        <v>855</v>
      </c>
      <c r="AA45" s="423"/>
      <c r="AB45" s="423"/>
      <c r="AC45" s="423"/>
      <c r="AD45" s="151">
        <v>0</v>
      </c>
      <c r="AE45" s="423" t="s">
        <v>685</v>
      </c>
      <c r="AF45" s="423"/>
      <c r="AG45" s="423"/>
      <c r="AH45" s="423"/>
      <c r="AI45" s="424">
        <v>0</v>
      </c>
      <c r="AJ45" s="425"/>
      <c r="AK45" s="151">
        <v>0</v>
      </c>
      <c r="AL45" s="151">
        <v>0</v>
      </c>
      <c r="AM45" s="151">
        <v>0</v>
      </c>
      <c r="AN45" s="151">
        <v>0</v>
      </c>
      <c r="AO45" s="151">
        <v>0</v>
      </c>
      <c r="AP45" s="144">
        <f>VLOOKUP(AI45,Ressourcen!$A$3:$E$68,4,FALSE)+VLOOKUP(AK45,Ressourcen!$A$72:$C$111,3,FALSE)+VLOOKUP(AL45,Ressourcen!$A$72:$C$111,3,FALSE)+VLOOKUP(AM45,Ressourcen!$A$72:$C$111,3,FALSE)+VLOOKUP(AN45,Ressourcen!$A$72:$C$111,3,FALSE)+VLOOKUP(AO45,Ressourcen!$A$72:$C$111,3,FALSE)</f>
        <v>0</v>
      </c>
    </row>
    <row r="46" spans="1:42" ht="15.6" customHeight="1" x14ac:dyDescent="0.3">
      <c r="A46" s="163"/>
      <c r="B46" s="163"/>
      <c r="C46" s="160"/>
      <c r="D46" s="160"/>
      <c r="E46" s="163"/>
      <c r="F46" s="163"/>
      <c r="G46" s="160"/>
      <c r="H46" s="160"/>
      <c r="I46" s="160"/>
      <c r="J46" s="160"/>
      <c r="K46" s="160"/>
      <c r="L46" s="160"/>
      <c r="M46" s="160"/>
      <c r="N46" s="161"/>
      <c r="O46" s="159"/>
      <c r="P46" s="161"/>
      <c r="Q46" s="137"/>
      <c r="R46" s="137"/>
      <c r="S46" s="137"/>
      <c r="T46" s="137"/>
      <c r="U46" s="137"/>
      <c r="Z46" s="434" t="s">
        <v>868</v>
      </c>
      <c r="AA46" s="434"/>
      <c r="AB46" s="434"/>
      <c r="AC46" s="434"/>
      <c r="AD46" s="151">
        <v>12</v>
      </c>
      <c r="AE46" s="423" t="s">
        <v>686</v>
      </c>
      <c r="AF46" s="423"/>
      <c r="AG46" s="423"/>
      <c r="AH46" s="423"/>
      <c r="AI46" s="424">
        <v>0</v>
      </c>
      <c r="AJ46" s="425"/>
      <c r="AK46" s="151">
        <v>0</v>
      </c>
      <c r="AL46" s="151">
        <v>0</v>
      </c>
      <c r="AM46" s="151">
        <v>0</v>
      </c>
      <c r="AN46" s="151">
        <v>0</v>
      </c>
      <c r="AO46" s="151">
        <v>0</v>
      </c>
      <c r="AP46" s="144">
        <f>VLOOKUP(AI46,Ressourcen!$A$3:$E$68,4,FALSE)+VLOOKUP(AK46,Ressourcen!$A$72:$C$111,3,FALSE)+VLOOKUP(AL46,Ressourcen!$A$72:$C$111,3,FALSE)+VLOOKUP(AM46,Ressourcen!$A$72:$C$111,3,FALSE)+VLOOKUP(AN46,Ressourcen!$A$72:$C$111,3,FALSE)+VLOOKUP(AO46,Ressourcen!$A$72:$C$111,3,FALSE)</f>
        <v>0</v>
      </c>
    </row>
    <row r="47" spans="1:42" ht="15.6" customHeight="1" x14ac:dyDescent="0.3">
      <c r="A47" s="163"/>
      <c r="B47" s="163"/>
      <c r="C47" s="160"/>
      <c r="D47" s="160"/>
      <c r="E47" s="163"/>
      <c r="F47" s="163"/>
      <c r="G47" s="160"/>
      <c r="H47" s="160"/>
      <c r="I47" s="160"/>
      <c r="J47" s="160"/>
      <c r="K47" s="160"/>
      <c r="L47" s="160"/>
      <c r="M47" s="160"/>
      <c r="N47" s="161"/>
      <c r="O47" s="159"/>
      <c r="P47" s="161"/>
      <c r="Q47" s="137"/>
      <c r="R47" s="137"/>
      <c r="S47" s="137"/>
      <c r="T47" s="137"/>
      <c r="U47" s="137"/>
      <c r="Z47" s="444" t="s">
        <v>870</v>
      </c>
      <c r="AA47" s="444"/>
      <c r="AB47" s="444"/>
      <c r="AC47" s="444"/>
      <c r="AD47" s="224" t="s">
        <v>1</v>
      </c>
      <c r="AE47" s="423" t="s">
        <v>687</v>
      </c>
      <c r="AF47" s="423"/>
      <c r="AG47" s="423"/>
      <c r="AH47" s="423"/>
      <c r="AI47" s="424">
        <v>0</v>
      </c>
      <c r="AJ47" s="425"/>
      <c r="AK47" s="151">
        <v>0</v>
      </c>
      <c r="AL47" s="151">
        <v>0</v>
      </c>
      <c r="AM47" s="151">
        <v>0</v>
      </c>
      <c r="AN47" s="151">
        <v>0</v>
      </c>
      <c r="AO47" s="151">
        <v>0</v>
      </c>
      <c r="AP47" s="144">
        <f>VLOOKUP(AI47,Ressourcen!$A$3:$E$68,4,FALSE)+VLOOKUP(AK47,Ressourcen!$A$72:$C$111,3,FALSE)+VLOOKUP(AL47,Ressourcen!$A$72:$C$111,3,FALSE)+VLOOKUP(AM47,Ressourcen!$A$72:$C$111,3,FALSE)+VLOOKUP(AN47,Ressourcen!$A$72:$C$111,3,FALSE)+VLOOKUP(AO47,Ressourcen!$A$72:$C$111,3,FALSE)</f>
        <v>0</v>
      </c>
    </row>
    <row r="48" spans="1:42" ht="15.6" customHeight="1" x14ac:dyDescent="0.3">
      <c r="Z48" s="423" t="s">
        <v>851</v>
      </c>
      <c r="AA48" s="423"/>
      <c r="AB48" s="423"/>
      <c r="AC48" s="423"/>
      <c r="AD48" s="151">
        <v>8</v>
      </c>
      <c r="AE48" s="423" t="s">
        <v>688</v>
      </c>
      <c r="AF48" s="423"/>
      <c r="AG48" s="423"/>
      <c r="AH48" s="423"/>
      <c r="AI48" s="424">
        <v>0</v>
      </c>
      <c r="AJ48" s="425"/>
      <c r="AK48" s="151">
        <v>0</v>
      </c>
      <c r="AL48" s="151">
        <v>0</v>
      </c>
      <c r="AM48" s="151">
        <v>0</v>
      </c>
      <c r="AN48" s="151">
        <v>0</v>
      </c>
      <c r="AO48" s="151">
        <v>0</v>
      </c>
      <c r="AP48" s="144">
        <f>VLOOKUP(AI48,Ressourcen!$A$3:$E$68,4,FALSE)+VLOOKUP(AK48,Ressourcen!$A$72:$C$111,3,FALSE)+VLOOKUP(AL48,Ressourcen!$A$72:$C$111,3,FALSE)+VLOOKUP(AM48,Ressourcen!$A$72:$C$111,3,FALSE)+VLOOKUP(AN48,Ressourcen!$A$72:$C$111,3,FALSE)+VLOOKUP(AO48,Ressourcen!$A$72:$C$111,3,FALSE)</f>
        <v>0</v>
      </c>
    </row>
    <row r="49" spans="1:42" ht="15.6" customHeight="1" x14ac:dyDescent="0.3">
      <c r="Z49" s="423" t="s">
        <v>852</v>
      </c>
      <c r="AA49" s="423"/>
      <c r="AB49" s="423"/>
      <c r="AC49" s="423"/>
      <c r="AD49" s="151">
        <v>0</v>
      </c>
      <c r="AE49" s="423" t="s">
        <v>689</v>
      </c>
      <c r="AF49" s="423"/>
      <c r="AG49" s="423"/>
      <c r="AH49" s="423"/>
      <c r="AI49" s="424">
        <v>0</v>
      </c>
      <c r="AJ49" s="425"/>
      <c r="AK49" s="151">
        <v>0</v>
      </c>
      <c r="AL49" s="151">
        <v>0</v>
      </c>
      <c r="AM49" s="151">
        <v>0</v>
      </c>
      <c r="AN49" s="151">
        <v>0</v>
      </c>
      <c r="AO49" s="151">
        <v>0</v>
      </c>
      <c r="AP49" s="144">
        <f>VLOOKUP(AI49,Ressourcen!$A$3:$E$68,4,FALSE)+VLOOKUP(AK49,Ressourcen!$A$72:$C$111,3,FALSE)+VLOOKUP(AL49,Ressourcen!$A$72:$C$111,3,FALSE)+VLOOKUP(AM49,Ressourcen!$A$72:$C$111,3,FALSE)+VLOOKUP(AN49,Ressourcen!$A$72:$C$111,3,FALSE)+VLOOKUP(AO49,Ressourcen!$A$72:$C$111,3,FALSE)</f>
        <v>0</v>
      </c>
    </row>
    <row r="50" spans="1:42" ht="15.6" customHeight="1" x14ac:dyDescent="0.25">
      <c r="V50" s="16"/>
      <c r="W50" s="16"/>
      <c r="X50" s="16"/>
      <c r="Y50" s="16"/>
      <c r="Z50" s="16"/>
      <c r="AA50" s="128"/>
      <c r="AB50" s="16"/>
      <c r="AC50" s="16"/>
      <c r="AD50" s="16"/>
      <c r="AE50" s="16"/>
      <c r="AF50" s="16"/>
      <c r="AG50" s="16"/>
      <c r="AH50" s="16"/>
      <c r="AI50" s="16"/>
      <c r="AJ50" s="16"/>
      <c r="AK50" s="16"/>
      <c r="AL50" s="16"/>
      <c r="AM50" s="16"/>
      <c r="AN50" s="16"/>
      <c r="AO50" s="16"/>
      <c r="AP50" s="16"/>
    </row>
    <row r="51" spans="1:42" ht="15.6" customHeight="1" x14ac:dyDescent="0.25">
      <c r="A51" s="434" t="s">
        <v>21</v>
      </c>
      <c r="B51" s="434"/>
      <c r="C51" s="434"/>
      <c r="D51" s="434"/>
      <c r="E51" s="478" t="s">
        <v>1</v>
      </c>
      <c r="F51" s="478"/>
      <c r="G51" s="478" t="s">
        <v>25</v>
      </c>
      <c r="H51" s="478"/>
      <c r="I51" s="478" t="s">
        <v>28</v>
      </c>
      <c r="J51" s="478"/>
      <c r="K51" s="478" t="s">
        <v>638</v>
      </c>
      <c r="L51" s="478"/>
      <c r="M51" s="478" t="s">
        <v>659</v>
      </c>
      <c r="N51" s="478"/>
      <c r="O51" s="478" t="s">
        <v>660</v>
      </c>
      <c r="P51" s="478"/>
      <c r="V51" s="510" t="s">
        <v>764</v>
      </c>
      <c r="W51" s="510"/>
      <c r="X51" s="510"/>
      <c r="Y51" s="510"/>
      <c r="Z51" s="510"/>
      <c r="AA51" s="510"/>
      <c r="AB51" s="510"/>
      <c r="AC51" s="510"/>
      <c r="AD51" s="510"/>
      <c r="AE51" s="510"/>
      <c r="AF51" s="510"/>
      <c r="AG51" s="510"/>
      <c r="AH51" s="510"/>
      <c r="AI51" s="510"/>
      <c r="AJ51" s="510"/>
      <c r="AK51" s="510"/>
      <c r="AL51" s="510"/>
      <c r="AM51" s="510"/>
      <c r="AN51" s="510"/>
      <c r="AO51" s="510"/>
      <c r="AP51" s="510"/>
    </row>
    <row r="52" spans="1:42" ht="15.6" customHeight="1" x14ac:dyDescent="0.25">
      <c r="A52" s="434" t="s">
        <v>71</v>
      </c>
      <c r="B52" s="434"/>
      <c r="C52" s="434"/>
      <c r="D52" s="434"/>
      <c r="E52" s="507">
        <v>24</v>
      </c>
      <c r="F52" s="507"/>
      <c r="G52" s="479">
        <f>ROUNDUP(((Mut+Sch+E52)/3),0)</f>
        <v>22</v>
      </c>
      <c r="H52" s="479"/>
      <c r="I52" s="479">
        <f>ROUNDUP(((E52+Ath+Sch)/3),0)</f>
        <v>23</v>
      </c>
      <c r="J52" s="479"/>
      <c r="K52" s="490"/>
      <c r="L52" s="491"/>
      <c r="M52" s="491"/>
      <c r="N52" s="491"/>
      <c r="O52" s="491"/>
      <c r="P52" s="476"/>
      <c r="V52" s="403" t="s">
        <v>730</v>
      </c>
      <c r="W52" s="403"/>
      <c r="X52" s="403"/>
      <c r="Y52" s="403"/>
      <c r="Z52" s="403"/>
      <c r="AA52" s="403"/>
      <c r="AB52" s="403"/>
      <c r="AC52" s="185" t="s">
        <v>729</v>
      </c>
      <c r="AD52" s="198" t="s">
        <v>1190</v>
      </c>
      <c r="AE52" s="396">
        <f>IF(AD52="Ja",0,0)</f>
        <v>0</v>
      </c>
      <c r="AG52" s="403" t="s">
        <v>766</v>
      </c>
      <c r="AH52" s="403"/>
      <c r="AI52" s="403"/>
      <c r="AJ52" s="403"/>
      <c r="AK52" s="403"/>
      <c r="AL52" s="403"/>
      <c r="AM52" s="403"/>
      <c r="AN52" s="185" t="s">
        <v>732</v>
      </c>
      <c r="AO52" s="188">
        <v>0</v>
      </c>
      <c r="AP52" s="397">
        <f>AO52*-10</f>
        <v>0</v>
      </c>
    </row>
    <row r="53" spans="1:42" ht="15.6" customHeight="1" x14ac:dyDescent="0.25">
      <c r="A53" s="473" t="s">
        <v>661</v>
      </c>
      <c r="B53" s="473"/>
      <c r="C53" s="473"/>
      <c r="D53" s="492"/>
      <c r="E53" s="481"/>
      <c r="F53" s="482"/>
      <c r="G53" s="482"/>
      <c r="H53" s="482"/>
      <c r="I53" s="482"/>
      <c r="J53" s="483"/>
      <c r="K53" s="476">
        <v>0</v>
      </c>
      <c r="L53" s="477"/>
      <c r="M53" s="477">
        <v>0</v>
      </c>
      <c r="N53" s="477"/>
      <c r="O53" s="477">
        <v>0</v>
      </c>
      <c r="P53" s="477"/>
      <c r="V53" s="403" t="s">
        <v>757</v>
      </c>
      <c r="W53" s="403"/>
      <c r="X53" s="403"/>
      <c r="Y53" s="403"/>
      <c r="Z53" s="403"/>
      <c r="AA53" s="403"/>
      <c r="AB53" s="403"/>
      <c r="AC53" s="185" t="s">
        <v>729</v>
      </c>
      <c r="AD53" s="199" t="s">
        <v>315</v>
      </c>
      <c r="AE53" s="396">
        <f>IF(AD53="Ja",0,0)</f>
        <v>0</v>
      </c>
      <c r="AG53" s="403" t="s">
        <v>1191</v>
      </c>
      <c r="AH53" s="403"/>
      <c r="AI53" s="403"/>
      <c r="AJ53" s="403"/>
      <c r="AK53" s="403"/>
      <c r="AL53" s="403"/>
      <c r="AM53" s="403"/>
      <c r="AN53" s="185" t="s">
        <v>732</v>
      </c>
      <c r="AO53" s="188">
        <v>0</v>
      </c>
      <c r="AP53" s="188">
        <f>AO53*-4</f>
        <v>0</v>
      </c>
    </row>
    <row r="54" spans="1:42" ht="15.6" customHeight="1" x14ac:dyDescent="0.25">
      <c r="A54" s="473" t="s">
        <v>662</v>
      </c>
      <c r="B54" s="473"/>
      <c r="C54" s="473"/>
      <c r="D54" s="492"/>
      <c r="E54" s="484"/>
      <c r="F54" s="485"/>
      <c r="G54" s="485"/>
      <c r="H54" s="485"/>
      <c r="I54" s="485"/>
      <c r="J54" s="486"/>
      <c r="K54" s="476">
        <v>0</v>
      </c>
      <c r="L54" s="477"/>
      <c r="M54" s="477">
        <v>24</v>
      </c>
      <c r="N54" s="477"/>
      <c r="O54" s="477">
        <v>0</v>
      </c>
      <c r="P54" s="477"/>
      <c r="V54" s="403" t="s">
        <v>758</v>
      </c>
      <c r="W54" s="403"/>
      <c r="X54" s="403"/>
      <c r="Y54" s="403"/>
      <c r="Z54" s="403"/>
      <c r="AA54" s="403"/>
      <c r="AB54" s="403"/>
      <c r="AC54" s="185" t="s">
        <v>729</v>
      </c>
      <c r="AD54" s="199" t="s">
        <v>315</v>
      </c>
      <c r="AE54" s="396">
        <f t="shared" ref="AE54:AE59" si="0">IF(AD54="Ja",0,0)</f>
        <v>0</v>
      </c>
      <c r="AG54" s="403" t="s">
        <v>767</v>
      </c>
      <c r="AH54" s="403"/>
      <c r="AI54" s="403"/>
      <c r="AJ54" s="403"/>
      <c r="AK54" s="403"/>
      <c r="AL54" s="403"/>
      <c r="AM54" s="403"/>
      <c r="AN54" s="185" t="s">
        <v>732</v>
      </c>
      <c r="AO54" s="188">
        <v>0</v>
      </c>
      <c r="AP54" s="397">
        <f>AO54*-6</f>
        <v>0</v>
      </c>
    </row>
    <row r="55" spans="1:42" ht="15.6" customHeight="1" x14ac:dyDescent="0.25">
      <c r="A55" s="473" t="s">
        <v>663</v>
      </c>
      <c r="B55" s="473"/>
      <c r="C55" s="473"/>
      <c r="D55" s="492"/>
      <c r="E55" s="484"/>
      <c r="F55" s="485"/>
      <c r="G55" s="485"/>
      <c r="H55" s="485"/>
      <c r="I55" s="485"/>
      <c r="J55" s="486"/>
      <c r="K55" s="476">
        <v>24</v>
      </c>
      <c r="L55" s="477"/>
      <c r="M55" s="477">
        <v>0</v>
      </c>
      <c r="N55" s="477"/>
      <c r="O55" s="477">
        <v>0</v>
      </c>
      <c r="P55" s="477"/>
      <c r="V55" s="403" t="s">
        <v>759</v>
      </c>
      <c r="W55" s="403"/>
      <c r="X55" s="403"/>
      <c r="Y55" s="403"/>
      <c r="Z55" s="403"/>
      <c r="AA55" s="403"/>
      <c r="AB55" s="403"/>
      <c r="AC55" s="185" t="s">
        <v>729</v>
      </c>
      <c r="AD55" s="199" t="s">
        <v>315</v>
      </c>
      <c r="AE55" s="396">
        <f>IF(AD55="Ja",0,0)</f>
        <v>0</v>
      </c>
      <c r="AG55" s="403" t="s">
        <v>768</v>
      </c>
      <c r="AH55" s="403"/>
      <c r="AI55" s="403"/>
      <c r="AJ55" s="403"/>
      <c r="AK55" s="403"/>
      <c r="AL55" s="403"/>
      <c r="AM55" s="403"/>
      <c r="AN55" s="185" t="s">
        <v>732</v>
      </c>
      <c r="AO55" s="188">
        <v>0</v>
      </c>
      <c r="AP55" s="397">
        <f>AO55*-3</f>
        <v>0</v>
      </c>
    </row>
    <row r="56" spans="1:42" ht="15.6" customHeight="1" x14ac:dyDescent="0.25">
      <c r="A56" s="473" t="s">
        <v>664</v>
      </c>
      <c r="B56" s="473"/>
      <c r="C56" s="473"/>
      <c r="D56" s="492"/>
      <c r="E56" s="484"/>
      <c r="F56" s="485"/>
      <c r="G56" s="485"/>
      <c r="H56" s="485"/>
      <c r="I56" s="485"/>
      <c r="J56" s="486"/>
      <c r="K56" s="476">
        <v>0</v>
      </c>
      <c r="L56" s="477"/>
      <c r="M56" s="477">
        <v>0</v>
      </c>
      <c r="N56" s="477"/>
      <c r="O56" s="477">
        <v>0</v>
      </c>
      <c r="P56" s="477"/>
      <c r="V56" s="448"/>
      <c r="W56" s="448"/>
      <c r="X56" s="448"/>
      <c r="Y56" s="448"/>
      <c r="Z56" s="448"/>
      <c r="AA56" s="448"/>
      <c r="AB56" s="448"/>
      <c r="AC56" s="157"/>
      <c r="AD56" s="200"/>
      <c r="AE56" s="396"/>
      <c r="AG56" s="403" t="s">
        <v>769</v>
      </c>
      <c r="AH56" s="403"/>
      <c r="AI56" s="403"/>
      <c r="AJ56" s="403"/>
      <c r="AK56" s="403"/>
      <c r="AL56" s="403"/>
      <c r="AM56" s="403"/>
      <c r="AN56" s="185" t="s">
        <v>732</v>
      </c>
      <c r="AO56" s="188">
        <v>0</v>
      </c>
      <c r="AP56" s="397">
        <f>AO56*-5</f>
        <v>0</v>
      </c>
    </row>
    <row r="57" spans="1:42" ht="15.6" customHeight="1" x14ac:dyDescent="0.25">
      <c r="A57" s="473" t="s">
        <v>665</v>
      </c>
      <c r="B57" s="473"/>
      <c r="C57" s="473"/>
      <c r="D57" s="492"/>
      <c r="E57" s="487"/>
      <c r="F57" s="488"/>
      <c r="G57" s="488"/>
      <c r="H57" s="488"/>
      <c r="I57" s="488"/>
      <c r="J57" s="489"/>
      <c r="K57" s="476">
        <v>0</v>
      </c>
      <c r="L57" s="477"/>
      <c r="M57" s="477">
        <v>0</v>
      </c>
      <c r="N57" s="477"/>
      <c r="O57" s="477">
        <v>0</v>
      </c>
      <c r="P57" s="477"/>
      <c r="V57" s="403" t="s">
        <v>742</v>
      </c>
      <c r="W57" s="403"/>
      <c r="X57" s="403"/>
      <c r="Y57" s="403"/>
      <c r="Z57" s="403"/>
      <c r="AA57" s="403"/>
      <c r="AB57" s="403"/>
      <c r="AC57" s="185" t="s">
        <v>729</v>
      </c>
      <c r="AD57" s="201" t="s">
        <v>815</v>
      </c>
      <c r="AE57" s="396">
        <f>IF(AD57="Ja",250,0)</f>
        <v>0</v>
      </c>
      <c r="AG57" s="403" t="s">
        <v>770</v>
      </c>
      <c r="AH57" s="403"/>
      <c r="AI57" s="403"/>
      <c r="AJ57" s="403"/>
      <c r="AK57" s="403"/>
      <c r="AL57" s="403"/>
      <c r="AM57" s="403"/>
      <c r="AN57" s="185" t="s">
        <v>732</v>
      </c>
      <c r="AO57" s="188">
        <v>0</v>
      </c>
      <c r="AP57" s="397">
        <f>AO57*-4</f>
        <v>0</v>
      </c>
    </row>
    <row r="58" spans="1:42" ht="15.6" customHeight="1" x14ac:dyDescent="0.25">
      <c r="A58" s="434" t="s">
        <v>103</v>
      </c>
      <c r="B58" s="434"/>
      <c r="C58" s="434"/>
      <c r="D58" s="434"/>
      <c r="E58" s="508">
        <v>0</v>
      </c>
      <c r="F58" s="508"/>
      <c r="G58" s="480">
        <f>ROUNDUP(((Mut+Sch+E58)/3),0)</f>
        <v>14</v>
      </c>
      <c r="H58" s="480"/>
      <c r="I58" s="480">
        <f>ROUNDUP(((E58+Ath+Sch)/3),0)</f>
        <v>15</v>
      </c>
      <c r="J58" s="480"/>
      <c r="K58" s="490"/>
      <c r="L58" s="491"/>
      <c r="M58" s="491"/>
      <c r="N58" s="491"/>
      <c r="O58" s="491"/>
      <c r="P58" s="476"/>
      <c r="V58" s="403" t="s">
        <v>756</v>
      </c>
      <c r="W58" s="403"/>
      <c r="X58" s="403"/>
      <c r="Y58" s="403"/>
      <c r="Z58" s="403"/>
      <c r="AA58" s="403"/>
      <c r="AB58" s="403"/>
      <c r="AC58" s="185" t="s">
        <v>729</v>
      </c>
      <c r="AD58" s="201" t="s">
        <v>815</v>
      </c>
      <c r="AE58" s="396">
        <f>IF(AD58="Ja",100,0)</f>
        <v>0</v>
      </c>
      <c r="AG58" s="403" t="s">
        <v>771</v>
      </c>
      <c r="AH58" s="403"/>
      <c r="AI58" s="403"/>
      <c r="AJ58" s="403"/>
      <c r="AK58" s="403"/>
      <c r="AL58" s="403"/>
      <c r="AM58" s="403"/>
      <c r="AN58" s="185" t="s">
        <v>732</v>
      </c>
      <c r="AO58" s="188">
        <v>5</v>
      </c>
      <c r="AP58" s="397">
        <f>AO58*-3</f>
        <v>-15</v>
      </c>
    </row>
    <row r="59" spans="1:42" ht="15.6" customHeight="1" x14ac:dyDescent="0.25">
      <c r="A59" s="473" t="s">
        <v>666</v>
      </c>
      <c r="B59" s="473"/>
      <c r="C59" s="473"/>
      <c r="D59" s="492"/>
      <c r="E59" s="481"/>
      <c r="F59" s="482"/>
      <c r="G59" s="482"/>
      <c r="H59" s="482"/>
      <c r="I59" s="482"/>
      <c r="J59" s="483"/>
      <c r="K59" s="476">
        <v>0</v>
      </c>
      <c r="L59" s="477"/>
      <c r="M59" s="477">
        <v>0</v>
      </c>
      <c r="N59" s="477"/>
      <c r="O59" s="477">
        <v>0</v>
      </c>
      <c r="P59" s="477"/>
      <c r="V59" s="448" t="s">
        <v>782</v>
      </c>
      <c r="W59" s="448"/>
      <c r="X59" s="448"/>
      <c r="Y59" s="448"/>
      <c r="Z59" s="448"/>
      <c r="AA59" s="448"/>
      <c r="AB59" s="448"/>
      <c r="AC59" s="157" t="s">
        <v>729</v>
      </c>
      <c r="AD59" s="259" t="s">
        <v>815</v>
      </c>
      <c r="AE59" s="396">
        <f t="shared" si="0"/>
        <v>0</v>
      </c>
      <c r="AG59" s="403" t="s">
        <v>788</v>
      </c>
      <c r="AH59" s="403"/>
      <c r="AI59" s="403"/>
      <c r="AJ59" s="403"/>
      <c r="AK59" s="403"/>
      <c r="AL59" s="403"/>
      <c r="AM59" s="403"/>
      <c r="AN59" s="185" t="s">
        <v>732</v>
      </c>
      <c r="AO59" s="188">
        <v>0</v>
      </c>
      <c r="AP59" s="397">
        <f>AO59*-6</f>
        <v>0</v>
      </c>
    </row>
    <row r="60" spans="1:42" ht="15.6" customHeight="1" x14ac:dyDescent="0.25">
      <c r="A60" s="473" t="s">
        <v>667</v>
      </c>
      <c r="B60" s="473"/>
      <c r="C60" s="473"/>
      <c r="D60" s="492"/>
      <c r="E60" s="487"/>
      <c r="F60" s="488"/>
      <c r="G60" s="488"/>
      <c r="H60" s="488"/>
      <c r="I60" s="488"/>
      <c r="J60" s="489"/>
      <c r="K60" s="476">
        <v>0</v>
      </c>
      <c r="L60" s="477"/>
      <c r="M60" s="477">
        <v>0</v>
      </c>
      <c r="N60" s="477"/>
      <c r="O60" s="477">
        <v>0</v>
      </c>
      <c r="P60" s="477"/>
      <c r="V60" s="403" t="s">
        <v>743</v>
      </c>
      <c r="W60" s="403"/>
      <c r="X60" s="403"/>
      <c r="Y60" s="403"/>
      <c r="Z60" s="403"/>
      <c r="AA60" s="403"/>
      <c r="AB60" s="403"/>
      <c r="AC60" s="185" t="s">
        <v>729</v>
      </c>
      <c r="AD60" s="201" t="s">
        <v>815</v>
      </c>
      <c r="AE60" s="396">
        <f>IF(AD60="Ja",250,0)</f>
        <v>0</v>
      </c>
      <c r="AG60" s="403" t="s">
        <v>772</v>
      </c>
      <c r="AH60" s="403"/>
      <c r="AI60" s="403"/>
      <c r="AJ60" s="403"/>
      <c r="AK60" s="403"/>
      <c r="AL60" s="403"/>
      <c r="AM60" s="403"/>
      <c r="AN60" s="185" t="s">
        <v>732</v>
      </c>
      <c r="AO60" s="188">
        <v>0</v>
      </c>
      <c r="AP60" s="397">
        <f>AO60*-6</f>
        <v>0</v>
      </c>
    </row>
    <row r="61" spans="1:42" ht="15.6" customHeight="1" x14ac:dyDescent="0.25">
      <c r="A61" s="434" t="s">
        <v>104</v>
      </c>
      <c r="B61" s="434"/>
      <c r="C61" s="434"/>
      <c r="D61" s="434"/>
      <c r="E61" s="508">
        <v>0</v>
      </c>
      <c r="F61" s="508"/>
      <c r="G61" s="480">
        <f>ROUNDUP(((Mut+Ath+E61)/3),0)</f>
        <v>15</v>
      </c>
      <c r="H61" s="480"/>
      <c r="I61" s="480">
        <f>ROUNDUP(((E61+Ath+Sch)/3),0)</f>
        <v>15</v>
      </c>
      <c r="J61" s="480"/>
      <c r="K61" s="477"/>
      <c r="L61" s="477"/>
      <c r="M61" s="477"/>
      <c r="N61" s="477"/>
      <c r="O61" s="477"/>
      <c r="P61" s="477"/>
      <c r="V61" s="403" t="s">
        <v>760</v>
      </c>
      <c r="W61" s="403"/>
      <c r="X61" s="403"/>
      <c r="Y61" s="403"/>
      <c r="Z61" s="403"/>
      <c r="AA61" s="403"/>
      <c r="AB61" s="403"/>
      <c r="AC61" s="185" t="s">
        <v>729</v>
      </c>
      <c r="AD61" s="201" t="s">
        <v>315</v>
      </c>
      <c r="AE61" s="396">
        <f>IF(AD61="Ja",-100,0)</f>
        <v>0</v>
      </c>
      <c r="AG61" s="403" t="s">
        <v>773</v>
      </c>
      <c r="AH61" s="403"/>
      <c r="AI61" s="403"/>
      <c r="AJ61" s="403"/>
      <c r="AK61" s="403"/>
      <c r="AL61" s="403"/>
      <c r="AM61" s="403"/>
      <c r="AN61" s="185" t="s">
        <v>732</v>
      </c>
      <c r="AO61" s="188">
        <v>0</v>
      </c>
      <c r="AP61" s="397">
        <f>AO61*-6</f>
        <v>0</v>
      </c>
    </row>
    <row r="62" spans="1:42" ht="15.6" customHeight="1" x14ac:dyDescent="0.25">
      <c r="A62" s="473" t="s">
        <v>668</v>
      </c>
      <c r="B62" s="473"/>
      <c r="C62" s="473"/>
      <c r="D62" s="492"/>
      <c r="E62" s="481"/>
      <c r="F62" s="482"/>
      <c r="G62" s="482"/>
      <c r="H62" s="482"/>
      <c r="I62" s="482"/>
      <c r="J62" s="483"/>
      <c r="K62" s="476">
        <v>12</v>
      </c>
      <c r="L62" s="477"/>
      <c r="M62" s="477">
        <v>0</v>
      </c>
      <c r="N62" s="477"/>
      <c r="O62" s="477">
        <v>0</v>
      </c>
      <c r="P62" s="477"/>
      <c r="V62" s="403" t="s">
        <v>761</v>
      </c>
      <c r="W62" s="403"/>
      <c r="X62" s="403"/>
      <c r="Y62" s="403"/>
      <c r="Z62" s="403"/>
      <c r="AA62" s="403"/>
      <c r="AB62" s="403"/>
      <c r="AC62" s="185" t="s">
        <v>729</v>
      </c>
      <c r="AD62" s="202" t="s">
        <v>1190</v>
      </c>
      <c r="AE62" s="396">
        <f>IF(AD62="Ja",-200,0)</f>
        <v>-200</v>
      </c>
      <c r="AG62" s="403" t="s">
        <v>774</v>
      </c>
      <c r="AH62" s="403"/>
      <c r="AI62" s="403"/>
      <c r="AJ62" s="403"/>
      <c r="AK62" s="403"/>
      <c r="AL62" s="403"/>
      <c r="AM62" s="403"/>
      <c r="AN62" s="185" t="s">
        <v>732</v>
      </c>
      <c r="AO62" s="188">
        <v>0</v>
      </c>
      <c r="AP62" s="397">
        <f>AO62*-7</f>
        <v>0</v>
      </c>
    </row>
    <row r="63" spans="1:42" ht="15.6" customHeight="1" x14ac:dyDescent="0.25">
      <c r="A63" s="473" t="s">
        <v>669</v>
      </c>
      <c r="B63" s="473"/>
      <c r="C63" s="473"/>
      <c r="D63" s="492"/>
      <c r="E63" s="484"/>
      <c r="F63" s="485"/>
      <c r="G63" s="485"/>
      <c r="H63" s="485"/>
      <c r="I63" s="485"/>
      <c r="J63" s="486"/>
      <c r="K63" s="476">
        <v>0</v>
      </c>
      <c r="L63" s="477"/>
      <c r="M63" s="477">
        <v>0</v>
      </c>
      <c r="N63" s="477"/>
      <c r="O63" s="477">
        <v>0</v>
      </c>
      <c r="P63" s="477"/>
      <c r="V63" s="448"/>
      <c r="W63" s="448"/>
      <c r="X63" s="448"/>
      <c r="Y63" s="448"/>
      <c r="Z63" s="448"/>
      <c r="AA63" s="448"/>
      <c r="AB63" s="448"/>
      <c r="AC63" s="157"/>
      <c r="AD63" s="200"/>
      <c r="AE63" s="396"/>
      <c r="AG63" s="403" t="s">
        <v>775</v>
      </c>
      <c r="AH63" s="403"/>
      <c r="AI63" s="403"/>
      <c r="AJ63" s="403"/>
      <c r="AK63" s="403"/>
      <c r="AL63" s="403"/>
      <c r="AM63" s="403"/>
      <c r="AN63" s="185" t="s">
        <v>732</v>
      </c>
      <c r="AO63" s="188">
        <v>0</v>
      </c>
      <c r="AP63" s="397">
        <f t="shared" ref="AP63:AP69" si="1">AO63*-10</f>
        <v>0</v>
      </c>
    </row>
    <row r="64" spans="1:42" ht="15.6" customHeight="1" x14ac:dyDescent="0.25">
      <c r="A64" s="473" t="s">
        <v>670</v>
      </c>
      <c r="B64" s="473"/>
      <c r="C64" s="473"/>
      <c r="D64" s="492"/>
      <c r="E64" s="487"/>
      <c r="F64" s="488"/>
      <c r="G64" s="488"/>
      <c r="H64" s="488"/>
      <c r="I64" s="488"/>
      <c r="J64" s="489"/>
      <c r="K64" s="476">
        <v>0</v>
      </c>
      <c r="L64" s="477"/>
      <c r="M64" s="477">
        <v>0</v>
      </c>
      <c r="N64" s="477"/>
      <c r="O64" s="477">
        <v>0</v>
      </c>
      <c r="P64" s="477"/>
      <c r="V64" s="403" t="s">
        <v>740</v>
      </c>
      <c r="W64" s="403"/>
      <c r="X64" s="403"/>
      <c r="Y64" s="403"/>
      <c r="Z64" s="403"/>
      <c r="AA64" s="403"/>
      <c r="AB64" s="403"/>
      <c r="AC64" s="185" t="s">
        <v>729</v>
      </c>
      <c r="AD64" s="199" t="s">
        <v>1190</v>
      </c>
      <c r="AE64" s="396">
        <f>IF(AD64="Ja",250,0)</f>
        <v>250</v>
      </c>
      <c r="AG64" s="403" t="s">
        <v>776</v>
      </c>
      <c r="AH64" s="403"/>
      <c r="AI64" s="403"/>
      <c r="AJ64" s="403"/>
      <c r="AK64" s="403"/>
      <c r="AL64" s="403"/>
      <c r="AM64" s="403"/>
      <c r="AN64" s="185" t="s">
        <v>732</v>
      </c>
      <c r="AO64" s="188">
        <v>0</v>
      </c>
      <c r="AP64" s="397">
        <f t="shared" si="1"/>
        <v>0</v>
      </c>
    </row>
    <row r="65" spans="1:42" ht="15.6" customHeight="1" x14ac:dyDescent="0.25">
      <c r="A65" s="434" t="s">
        <v>105</v>
      </c>
      <c r="B65" s="434"/>
      <c r="C65" s="434"/>
      <c r="D65" s="434"/>
      <c r="E65" s="508">
        <v>0</v>
      </c>
      <c r="F65" s="508"/>
      <c r="G65" s="480">
        <f>ROUNDUP(((Mut+Ath+E65)/3),0)</f>
        <v>15</v>
      </c>
      <c r="H65" s="480"/>
      <c r="I65" s="480">
        <f>ROUNDUP(((E65+Ath+Sch)/3),0)</f>
        <v>15</v>
      </c>
      <c r="J65" s="480"/>
      <c r="K65" s="490"/>
      <c r="L65" s="491"/>
      <c r="M65" s="491"/>
      <c r="N65" s="491"/>
      <c r="O65" s="491"/>
      <c r="P65" s="476"/>
      <c r="V65" s="403" t="s">
        <v>748</v>
      </c>
      <c r="W65" s="403"/>
      <c r="X65" s="403"/>
      <c r="Y65" s="403"/>
      <c r="Z65" s="403"/>
      <c r="AA65" s="403"/>
      <c r="AB65" s="403"/>
      <c r="AC65" s="185" t="s">
        <v>729</v>
      </c>
      <c r="AD65" s="199" t="s">
        <v>1190</v>
      </c>
      <c r="AE65" s="396">
        <f>IF(AD65="Ja",150,0)</f>
        <v>150</v>
      </c>
      <c r="AG65" s="403" t="s">
        <v>777</v>
      </c>
      <c r="AH65" s="403"/>
      <c r="AI65" s="403"/>
      <c r="AJ65" s="403"/>
      <c r="AK65" s="403"/>
      <c r="AL65" s="403"/>
      <c r="AM65" s="403"/>
      <c r="AN65" s="185" t="s">
        <v>732</v>
      </c>
      <c r="AO65" s="188">
        <v>0</v>
      </c>
      <c r="AP65" s="397">
        <f>AO65*-6</f>
        <v>0</v>
      </c>
    </row>
    <row r="66" spans="1:42" ht="15.6" customHeight="1" x14ac:dyDescent="0.25">
      <c r="A66" s="473" t="s">
        <v>671</v>
      </c>
      <c r="B66" s="473"/>
      <c r="C66" s="473"/>
      <c r="D66" s="492"/>
      <c r="E66" s="481"/>
      <c r="F66" s="482"/>
      <c r="G66" s="482"/>
      <c r="H66" s="482"/>
      <c r="I66" s="482"/>
      <c r="J66" s="483"/>
      <c r="K66" s="476">
        <v>0</v>
      </c>
      <c r="L66" s="477"/>
      <c r="M66" s="477">
        <v>0</v>
      </c>
      <c r="N66" s="477"/>
      <c r="O66" s="477">
        <v>0</v>
      </c>
      <c r="P66" s="477"/>
      <c r="V66" s="403" t="s">
        <v>752</v>
      </c>
      <c r="W66" s="403"/>
      <c r="X66" s="403"/>
      <c r="Y66" s="403"/>
      <c r="Z66" s="403"/>
      <c r="AA66" s="403"/>
      <c r="AB66" s="403"/>
      <c r="AC66" s="185" t="s">
        <v>729</v>
      </c>
      <c r="AD66" s="199" t="s">
        <v>1190</v>
      </c>
      <c r="AE66" s="396">
        <f>IF(AD66="Ja",100,0)</f>
        <v>100</v>
      </c>
      <c r="AG66" s="403" t="s">
        <v>778</v>
      </c>
      <c r="AH66" s="403"/>
      <c r="AI66" s="403"/>
      <c r="AJ66" s="403"/>
      <c r="AK66" s="403"/>
      <c r="AL66" s="403"/>
      <c r="AM66" s="403"/>
      <c r="AN66" s="185" t="s">
        <v>732</v>
      </c>
      <c r="AO66" s="188">
        <v>0</v>
      </c>
      <c r="AP66" s="397">
        <f>AO66*-9</f>
        <v>0</v>
      </c>
    </row>
    <row r="67" spans="1:42" ht="15.6" customHeight="1" x14ac:dyDescent="0.25">
      <c r="A67" s="473" t="s">
        <v>672</v>
      </c>
      <c r="B67" s="473"/>
      <c r="C67" s="473"/>
      <c r="D67" s="492"/>
      <c r="E67" s="484"/>
      <c r="F67" s="485"/>
      <c r="G67" s="485"/>
      <c r="H67" s="485"/>
      <c r="I67" s="485"/>
      <c r="J67" s="486"/>
      <c r="K67" s="476">
        <v>0</v>
      </c>
      <c r="L67" s="477"/>
      <c r="M67" s="477">
        <v>0</v>
      </c>
      <c r="N67" s="477"/>
      <c r="O67" s="477">
        <v>0</v>
      </c>
      <c r="P67" s="477"/>
      <c r="V67" s="403" t="s">
        <v>763</v>
      </c>
      <c r="W67" s="403"/>
      <c r="X67" s="403"/>
      <c r="Y67" s="403"/>
      <c r="Z67" s="403"/>
      <c r="AA67" s="403"/>
      <c r="AB67" s="403"/>
      <c r="AC67" s="185" t="s">
        <v>729</v>
      </c>
      <c r="AD67" s="202" t="s">
        <v>1190</v>
      </c>
      <c r="AE67" s="396">
        <f>IF(AD67="Ja",-800,0)</f>
        <v>-800</v>
      </c>
      <c r="AG67" s="403" t="s">
        <v>779</v>
      </c>
      <c r="AH67" s="403"/>
      <c r="AI67" s="403"/>
      <c r="AJ67" s="403"/>
      <c r="AK67" s="403"/>
      <c r="AL67" s="403"/>
      <c r="AM67" s="403"/>
      <c r="AN67" s="185" t="s">
        <v>732</v>
      </c>
      <c r="AO67" s="188">
        <v>0</v>
      </c>
      <c r="AP67" s="397">
        <f>AO67*-9</f>
        <v>0</v>
      </c>
    </row>
    <row r="68" spans="1:42" ht="15.6" customHeight="1" x14ac:dyDescent="0.25">
      <c r="A68" s="473" t="s">
        <v>673</v>
      </c>
      <c r="B68" s="473"/>
      <c r="C68" s="473"/>
      <c r="D68" s="492"/>
      <c r="E68" s="484"/>
      <c r="F68" s="485"/>
      <c r="G68" s="485"/>
      <c r="H68" s="485"/>
      <c r="I68" s="485"/>
      <c r="J68" s="486"/>
      <c r="K68" s="476">
        <v>0</v>
      </c>
      <c r="L68" s="477"/>
      <c r="M68" s="477">
        <v>0</v>
      </c>
      <c r="N68" s="477"/>
      <c r="O68" s="477">
        <v>0</v>
      </c>
      <c r="P68" s="477"/>
      <c r="V68" s="403" t="s">
        <v>751</v>
      </c>
      <c r="W68" s="403"/>
      <c r="X68" s="403"/>
      <c r="Y68" s="403"/>
      <c r="Z68" s="403"/>
      <c r="AA68" s="403"/>
      <c r="AB68" s="403"/>
      <c r="AC68" s="185" t="s">
        <v>729</v>
      </c>
      <c r="AD68" s="199" t="s">
        <v>815</v>
      </c>
      <c r="AE68" s="396">
        <f>IF(AD68="Ja",100,0)</f>
        <v>0</v>
      </c>
      <c r="AG68" s="403" t="s">
        <v>780</v>
      </c>
      <c r="AH68" s="403"/>
      <c r="AI68" s="403"/>
      <c r="AJ68" s="403"/>
      <c r="AK68" s="403"/>
      <c r="AL68" s="403"/>
      <c r="AM68" s="403"/>
      <c r="AN68" s="185" t="s">
        <v>732</v>
      </c>
      <c r="AO68" s="188">
        <v>0</v>
      </c>
      <c r="AP68" s="397">
        <f t="shared" si="1"/>
        <v>0</v>
      </c>
    </row>
    <row r="69" spans="1:42" ht="15.6" customHeight="1" x14ac:dyDescent="0.25">
      <c r="A69" s="473" t="s">
        <v>674</v>
      </c>
      <c r="B69" s="473"/>
      <c r="C69" s="473"/>
      <c r="D69" s="492"/>
      <c r="E69" s="487"/>
      <c r="F69" s="488"/>
      <c r="G69" s="488"/>
      <c r="H69" s="488"/>
      <c r="I69" s="488"/>
      <c r="J69" s="489"/>
      <c r="K69" s="476">
        <v>0</v>
      </c>
      <c r="L69" s="477"/>
      <c r="M69" s="477">
        <v>0</v>
      </c>
      <c r="N69" s="477"/>
      <c r="O69" s="477">
        <v>0</v>
      </c>
      <c r="P69" s="477"/>
      <c r="V69" s="403" t="s">
        <v>762</v>
      </c>
      <c r="W69" s="403"/>
      <c r="X69" s="403"/>
      <c r="Y69" s="403"/>
      <c r="Z69" s="403"/>
      <c r="AA69" s="403"/>
      <c r="AB69" s="403"/>
      <c r="AC69" s="185" t="s">
        <v>729</v>
      </c>
      <c r="AD69" s="202" t="s">
        <v>815</v>
      </c>
      <c r="AE69" s="396">
        <f>IF(AD69="Ja",-400,0)</f>
        <v>0</v>
      </c>
      <c r="AG69" s="403" t="s">
        <v>781</v>
      </c>
      <c r="AH69" s="403"/>
      <c r="AI69" s="403"/>
      <c r="AJ69" s="403"/>
      <c r="AK69" s="403"/>
      <c r="AL69" s="403"/>
      <c r="AM69" s="403"/>
      <c r="AN69" s="185" t="s">
        <v>732</v>
      </c>
      <c r="AO69" s="188">
        <v>30</v>
      </c>
      <c r="AP69" s="397">
        <f t="shared" si="1"/>
        <v>-300</v>
      </c>
    </row>
    <row r="70" spans="1:42" ht="15.6" customHeight="1" x14ac:dyDescent="0.25">
      <c r="A70" s="434" t="s">
        <v>101</v>
      </c>
      <c r="B70" s="434"/>
      <c r="C70" s="434"/>
      <c r="D70" s="434"/>
      <c r="E70" s="508">
        <v>0</v>
      </c>
      <c r="F70" s="508"/>
      <c r="G70" s="480">
        <f>ROUNDUP(((Mut+Ath+E70)/3),0)</f>
        <v>15</v>
      </c>
      <c r="H70" s="480"/>
      <c r="I70" s="480">
        <f>ROUNDUP(((E70+Ath+Sch)/3),0)</f>
        <v>15</v>
      </c>
      <c r="J70" s="480"/>
      <c r="K70" s="490"/>
      <c r="L70" s="491"/>
      <c r="M70" s="491"/>
      <c r="N70" s="491"/>
      <c r="O70" s="491"/>
      <c r="P70" s="476"/>
      <c r="V70" s="403" t="s">
        <v>747</v>
      </c>
      <c r="W70" s="403"/>
      <c r="X70" s="403"/>
      <c r="Y70" s="403"/>
      <c r="Z70" s="403"/>
      <c r="AA70" s="403"/>
      <c r="AB70" s="403"/>
      <c r="AC70" s="185" t="s">
        <v>729</v>
      </c>
      <c r="AD70" s="199" t="s">
        <v>315</v>
      </c>
      <c r="AE70" s="396">
        <f>IF(AD70="Ja",150,0)</f>
        <v>0</v>
      </c>
      <c r="AG70" s="448"/>
      <c r="AH70" s="448"/>
      <c r="AI70" s="448"/>
      <c r="AJ70" s="448"/>
      <c r="AK70" s="448"/>
      <c r="AL70" s="448"/>
      <c r="AM70" s="448"/>
      <c r="AN70" s="157"/>
      <c r="AO70" s="200"/>
      <c r="AP70" s="397"/>
    </row>
    <row r="71" spans="1:42" ht="15.6" customHeight="1" x14ac:dyDescent="0.25">
      <c r="A71" s="473" t="s">
        <v>675</v>
      </c>
      <c r="B71" s="473"/>
      <c r="C71" s="473"/>
      <c r="D71" s="492"/>
      <c r="E71" s="481"/>
      <c r="F71" s="482"/>
      <c r="G71" s="482"/>
      <c r="H71" s="482"/>
      <c r="I71" s="482"/>
      <c r="J71" s="483"/>
      <c r="K71" s="476">
        <v>0</v>
      </c>
      <c r="L71" s="477"/>
      <c r="M71" s="477">
        <v>0</v>
      </c>
      <c r="N71" s="477"/>
      <c r="O71" s="477">
        <v>0</v>
      </c>
      <c r="P71" s="477"/>
      <c r="V71" s="403" t="s">
        <v>746</v>
      </c>
      <c r="W71" s="403"/>
      <c r="X71" s="403"/>
      <c r="Y71" s="403"/>
      <c r="Z71" s="403"/>
      <c r="AA71" s="403"/>
      <c r="AB71" s="403"/>
      <c r="AC71" s="185" t="s">
        <v>729</v>
      </c>
      <c r="AD71" s="199" t="s">
        <v>815</v>
      </c>
      <c r="AE71" s="396">
        <f>IF(AD71="Ja",150,0)</f>
        <v>0</v>
      </c>
      <c r="AG71" s="403" t="s">
        <v>785</v>
      </c>
      <c r="AH71" s="403"/>
      <c r="AI71" s="403"/>
      <c r="AJ71" s="403"/>
      <c r="AK71" s="403"/>
      <c r="AL71" s="403"/>
      <c r="AM71" s="403"/>
      <c r="AN71" s="185" t="s">
        <v>729</v>
      </c>
      <c r="AO71" s="201" t="s">
        <v>315</v>
      </c>
      <c r="AP71" s="396">
        <f>IF(AO71="Ja",200,0)</f>
        <v>0</v>
      </c>
    </row>
    <row r="72" spans="1:42" ht="15.6" customHeight="1" x14ac:dyDescent="0.25">
      <c r="A72" s="473" t="s">
        <v>676</v>
      </c>
      <c r="B72" s="473"/>
      <c r="C72" s="473"/>
      <c r="D72" s="492"/>
      <c r="E72" s="484"/>
      <c r="F72" s="485"/>
      <c r="G72" s="485"/>
      <c r="H72" s="485"/>
      <c r="I72" s="485"/>
      <c r="J72" s="486"/>
      <c r="K72" s="476">
        <v>0</v>
      </c>
      <c r="L72" s="477"/>
      <c r="M72" s="477">
        <v>0</v>
      </c>
      <c r="N72" s="477"/>
      <c r="O72" s="477">
        <v>0</v>
      </c>
      <c r="P72" s="477"/>
      <c r="V72" s="403" t="s">
        <v>814</v>
      </c>
      <c r="W72" s="403"/>
      <c r="X72" s="403"/>
      <c r="Y72" s="403"/>
      <c r="Z72" s="403"/>
      <c r="AA72" s="403"/>
      <c r="AB72" s="403"/>
      <c r="AC72" s="185" t="s">
        <v>729</v>
      </c>
      <c r="AD72" s="188">
        <v>0</v>
      </c>
      <c r="AE72" s="397">
        <f>AD72*-6</f>
        <v>0</v>
      </c>
      <c r="AG72" s="403" t="s">
        <v>783</v>
      </c>
      <c r="AH72" s="403"/>
      <c r="AI72" s="403"/>
      <c r="AJ72" s="403"/>
      <c r="AK72" s="403"/>
      <c r="AL72" s="403"/>
      <c r="AM72" s="403"/>
      <c r="AN72" s="185" t="s">
        <v>729</v>
      </c>
      <c r="AO72" s="201" t="s">
        <v>815</v>
      </c>
      <c r="AP72" s="396">
        <f>IF(AO72="Ja",500,0)</f>
        <v>0</v>
      </c>
    </row>
    <row r="73" spans="1:42" ht="15.6" customHeight="1" x14ac:dyDescent="0.25">
      <c r="A73" s="473" t="s">
        <v>677</v>
      </c>
      <c r="B73" s="473"/>
      <c r="C73" s="473"/>
      <c r="D73" s="492"/>
      <c r="E73" s="484"/>
      <c r="F73" s="485"/>
      <c r="G73" s="485"/>
      <c r="H73" s="485"/>
      <c r="I73" s="485"/>
      <c r="J73" s="486"/>
      <c r="K73" s="476">
        <v>0</v>
      </c>
      <c r="L73" s="477"/>
      <c r="M73" s="477">
        <v>0</v>
      </c>
      <c r="N73" s="477"/>
      <c r="O73" s="477">
        <v>0</v>
      </c>
      <c r="P73" s="477"/>
      <c r="V73" s="403" t="s">
        <v>813</v>
      </c>
      <c r="W73" s="403"/>
      <c r="X73" s="403"/>
      <c r="Y73" s="403"/>
      <c r="Z73" s="403"/>
      <c r="AA73" s="403"/>
      <c r="AB73" s="403"/>
      <c r="AC73" s="185" t="s">
        <v>729</v>
      </c>
      <c r="AD73" s="188">
        <v>0</v>
      </c>
      <c r="AE73" s="397">
        <f>AD73*-6</f>
        <v>0</v>
      </c>
      <c r="AG73" s="403" t="s">
        <v>784</v>
      </c>
      <c r="AH73" s="403"/>
      <c r="AI73" s="403"/>
      <c r="AJ73" s="403"/>
      <c r="AK73" s="403"/>
      <c r="AL73" s="403"/>
      <c r="AM73" s="403"/>
      <c r="AN73" s="185">
        <v>3</v>
      </c>
      <c r="AO73" s="201" t="s">
        <v>315</v>
      </c>
      <c r="AP73" s="396">
        <f>IF(AO73="Ja",300,0)</f>
        <v>0</v>
      </c>
    </row>
    <row r="74" spans="1:42" ht="15.6" customHeight="1" x14ac:dyDescent="0.25">
      <c r="A74" s="473" t="s">
        <v>678</v>
      </c>
      <c r="B74" s="473"/>
      <c r="C74" s="473"/>
      <c r="D74" s="492"/>
      <c r="E74" s="487"/>
      <c r="F74" s="488"/>
      <c r="G74" s="488"/>
      <c r="H74" s="488"/>
      <c r="I74" s="488"/>
      <c r="J74" s="489"/>
      <c r="K74" s="476">
        <v>0</v>
      </c>
      <c r="L74" s="477"/>
      <c r="M74" s="477">
        <v>0</v>
      </c>
      <c r="N74" s="477"/>
      <c r="O74" s="477">
        <v>0</v>
      </c>
      <c r="P74" s="477"/>
      <c r="V74" s="448"/>
      <c r="W74" s="448"/>
      <c r="X74" s="448"/>
      <c r="Y74" s="448"/>
      <c r="Z74" s="448"/>
      <c r="AA74" s="448"/>
      <c r="AB74" s="448"/>
      <c r="AC74" s="157"/>
      <c r="AD74" s="200"/>
      <c r="AE74" s="397"/>
      <c r="AG74" s="403" t="s">
        <v>733</v>
      </c>
      <c r="AH74" s="403"/>
      <c r="AI74" s="403"/>
      <c r="AJ74" s="403"/>
      <c r="AK74" s="403"/>
      <c r="AL74" s="403"/>
      <c r="AM74" s="403"/>
      <c r="AN74" s="185">
        <v>7</v>
      </c>
      <c r="AO74" s="202" t="s">
        <v>815</v>
      </c>
      <c r="AP74" s="396">
        <f>IF(AO74="Ja",2500,0)</f>
        <v>0</v>
      </c>
    </row>
    <row r="75" spans="1:42" ht="15.6" customHeight="1" x14ac:dyDescent="0.25">
      <c r="A75" s="16"/>
      <c r="B75" s="16"/>
      <c r="C75" s="19"/>
      <c r="D75" s="16"/>
      <c r="E75" s="16"/>
      <c r="F75" s="16"/>
      <c r="G75" s="16"/>
      <c r="H75" s="16"/>
      <c r="I75" s="128"/>
      <c r="J75" s="128"/>
      <c r="K75" s="128"/>
      <c r="L75" s="129"/>
      <c r="M75" s="16"/>
      <c r="V75" s="403" t="s">
        <v>786</v>
      </c>
      <c r="W75" s="403"/>
      <c r="X75" s="403"/>
      <c r="Y75" s="403"/>
      <c r="Z75" s="403"/>
      <c r="AA75" s="403"/>
      <c r="AB75" s="403"/>
      <c r="AC75" s="185" t="s">
        <v>729</v>
      </c>
      <c r="AD75" s="201" t="s">
        <v>315</v>
      </c>
      <c r="AE75" s="396">
        <f>IF(AD75="Ja",-100,0)</f>
        <v>0</v>
      </c>
      <c r="AG75" s="403" t="s">
        <v>754</v>
      </c>
      <c r="AH75" s="403"/>
      <c r="AI75" s="403"/>
      <c r="AJ75" s="403"/>
      <c r="AK75" s="403"/>
      <c r="AL75" s="403"/>
      <c r="AM75" s="403"/>
      <c r="AN75" s="185" t="s">
        <v>744</v>
      </c>
      <c r="AO75" s="201" t="s">
        <v>315</v>
      </c>
      <c r="AP75" s="396">
        <f>IF(AO75="Ja",100,0)</f>
        <v>0</v>
      </c>
    </row>
    <row r="76" spans="1:42" ht="15.6" customHeight="1" x14ac:dyDescent="0.25">
      <c r="A76" s="18" t="s">
        <v>679</v>
      </c>
      <c r="B76" s="18"/>
      <c r="C76" s="18"/>
      <c r="D76" s="471"/>
      <c r="E76" s="474"/>
      <c r="F76" s="442"/>
      <c r="G76" s="421" t="s">
        <v>638</v>
      </c>
      <c r="H76" s="421"/>
      <c r="I76" s="421" t="s">
        <v>659</v>
      </c>
      <c r="J76" s="421"/>
      <c r="K76" s="421" t="s">
        <v>660</v>
      </c>
      <c r="L76" s="421"/>
      <c r="M76" s="18"/>
      <c r="N76" s="18" t="s">
        <v>110</v>
      </c>
      <c r="O76" s="18"/>
      <c r="V76" s="403" t="s">
        <v>731</v>
      </c>
      <c r="W76" s="403"/>
      <c r="X76" s="403"/>
      <c r="Y76" s="403"/>
      <c r="Z76" s="403"/>
      <c r="AA76" s="403"/>
      <c r="AB76" s="403"/>
      <c r="AC76" s="185" t="s">
        <v>729</v>
      </c>
      <c r="AD76" s="188">
        <v>0</v>
      </c>
      <c r="AE76" s="397">
        <f>AD76*-5</f>
        <v>0</v>
      </c>
      <c r="AG76" s="403" t="s">
        <v>753</v>
      </c>
      <c r="AH76" s="403"/>
      <c r="AI76" s="403"/>
      <c r="AJ76" s="403"/>
      <c r="AK76" s="403"/>
      <c r="AL76" s="403"/>
      <c r="AM76" s="403"/>
      <c r="AN76" s="185" t="s">
        <v>744</v>
      </c>
      <c r="AO76" s="201" t="s">
        <v>315</v>
      </c>
      <c r="AP76" s="396">
        <f>IF(AO76="Ja",100,0)</f>
        <v>0</v>
      </c>
    </row>
    <row r="77" spans="1:42" ht="15.6" customHeight="1" x14ac:dyDescent="0.25">
      <c r="A77" s="434" t="s">
        <v>102</v>
      </c>
      <c r="B77" s="434"/>
      <c r="C77" s="23">
        <v>0</v>
      </c>
      <c r="D77" s="473" t="s">
        <v>680</v>
      </c>
      <c r="E77" s="473"/>
      <c r="F77" s="473"/>
      <c r="G77" s="475">
        <v>0</v>
      </c>
      <c r="H77" s="475"/>
      <c r="I77" s="475">
        <v>0</v>
      </c>
      <c r="J77" s="475"/>
      <c r="K77" s="475">
        <v>0</v>
      </c>
      <c r="L77" s="475"/>
      <c r="M77" s="18"/>
      <c r="N77" s="408">
        <f>ROUNDUP(((C77+G77+I77+K77+Sin+Ges)/4),0)</f>
        <v>11</v>
      </c>
      <c r="O77" s="408"/>
      <c r="V77" s="448"/>
      <c r="W77" s="448"/>
      <c r="X77" s="448"/>
      <c r="Y77" s="448"/>
      <c r="Z77" s="448"/>
      <c r="AA77" s="448"/>
      <c r="AB77" s="448"/>
      <c r="AC77" s="157"/>
      <c r="AD77" s="200"/>
      <c r="AE77" s="396"/>
      <c r="AG77" s="403" t="s">
        <v>737</v>
      </c>
      <c r="AH77" s="403"/>
      <c r="AI77" s="403"/>
      <c r="AJ77" s="403"/>
      <c r="AK77" s="403"/>
      <c r="AL77" s="403"/>
      <c r="AM77" s="403"/>
      <c r="AN77" s="185">
        <v>3</v>
      </c>
      <c r="AO77" s="201" t="s">
        <v>1190</v>
      </c>
      <c r="AP77" s="396">
        <f>IF(AO77="Ja",800,0)</f>
        <v>800</v>
      </c>
    </row>
    <row r="78" spans="1:42" ht="15.6" customHeight="1" x14ac:dyDescent="0.25">
      <c r="A78" s="421" t="s">
        <v>681</v>
      </c>
      <c r="B78" s="421"/>
      <c r="C78" s="475">
        <v>0</v>
      </c>
      <c r="D78" s="473" t="s">
        <v>682</v>
      </c>
      <c r="E78" s="473"/>
      <c r="F78" s="473"/>
      <c r="G78" s="475">
        <v>0</v>
      </c>
      <c r="H78" s="475"/>
      <c r="I78" s="475">
        <v>0</v>
      </c>
      <c r="J78" s="475"/>
      <c r="K78" s="475">
        <v>0</v>
      </c>
      <c r="L78" s="475"/>
      <c r="M78" s="18"/>
      <c r="N78" s="408">
        <f>ROUNDUP(((C78+G78+I78+K78+Sin+Ges)/4),0)</f>
        <v>11</v>
      </c>
      <c r="O78" s="408"/>
      <c r="V78" s="403" t="s">
        <v>749</v>
      </c>
      <c r="W78" s="403"/>
      <c r="X78" s="403"/>
      <c r="Y78" s="403"/>
      <c r="Z78" s="403"/>
      <c r="AA78" s="403"/>
      <c r="AB78" s="403"/>
      <c r="AC78" s="185" t="s">
        <v>729</v>
      </c>
      <c r="AD78" s="199" t="s">
        <v>315</v>
      </c>
      <c r="AE78" s="396">
        <f>IF(AD78="Ja",120,0)</f>
        <v>0</v>
      </c>
      <c r="AG78" s="403" t="s">
        <v>736</v>
      </c>
      <c r="AH78" s="403"/>
      <c r="AI78" s="403"/>
      <c r="AJ78" s="403"/>
      <c r="AK78" s="403"/>
      <c r="AL78" s="403"/>
      <c r="AM78" s="403"/>
      <c r="AN78" s="185">
        <v>5</v>
      </c>
      <c r="AO78" s="201" t="s">
        <v>1190</v>
      </c>
      <c r="AP78" s="396">
        <f>IF(AO78="Ja",800,0)</f>
        <v>800</v>
      </c>
    </row>
    <row r="79" spans="1:42" ht="15.6" customHeight="1" x14ac:dyDescent="0.25">
      <c r="A79" s="421"/>
      <c r="B79" s="421"/>
      <c r="C79" s="475"/>
      <c r="D79" s="473" t="s">
        <v>683</v>
      </c>
      <c r="E79" s="473"/>
      <c r="F79" s="473"/>
      <c r="G79" s="475">
        <v>0</v>
      </c>
      <c r="H79" s="475"/>
      <c r="I79" s="475">
        <v>0</v>
      </c>
      <c r="J79" s="475"/>
      <c r="K79" s="475">
        <v>0</v>
      </c>
      <c r="L79" s="475"/>
      <c r="M79" s="18"/>
      <c r="N79" s="408">
        <f>ROUNDUP(((C78+G79+I79+K79+Sin+Ges)/4),0)</f>
        <v>11</v>
      </c>
      <c r="O79" s="408"/>
      <c r="V79" s="403" t="s">
        <v>789</v>
      </c>
      <c r="W79" s="403"/>
      <c r="X79" s="403"/>
      <c r="Y79" s="403"/>
      <c r="Z79" s="403"/>
      <c r="AA79" s="403"/>
      <c r="AB79" s="403"/>
      <c r="AC79" s="185" t="s">
        <v>744</v>
      </c>
      <c r="AD79" s="199" t="s">
        <v>315</v>
      </c>
      <c r="AE79" s="396">
        <f>IF(AD79="Ja",-50,0)</f>
        <v>0</v>
      </c>
      <c r="AG79" s="403" t="s">
        <v>735</v>
      </c>
      <c r="AH79" s="403"/>
      <c r="AI79" s="403"/>
      <c r="AJ79" s="403"/>
      <c r="AK79" s="403"/>
      <c r="AL79" s="403"/>
      <c r="AM79" s="403"/>
      <c r="AN79" s="185">
        <v>7</v>
      </c>
      <c r="AO79" s="201" t="s">
        <v>1190</v>
      </c>
      <c r="AP79" s="396">
        <f>IF(AO79="Ja",800,0)</f>
        <v>800</v>
      </c>
    </row>
    <row r="80" spans="1:42" ht="15.6" customHeight="1" x14ac:dyDescent="0.25">
      <c r="A80" s="421"/>
      <c r="B80" s="421"/>
      <c r="C80" s="475"/>
      <c r="D80" s="473" t="s">
        <v>684</v>
      </c>
      <c r="E80" s="473"/>
      <c r="F80" s="473"/>
      <c r="G80" s="475">
        <v>0</v>
      </c>
      <c r="H80" s="475"/>
      <c r="I80" s="475">
        <v>0</v>
      </c>
      <c r="J80" s="475"/>
      <c r="K80" s="475">
        <v>0</v>
      </c>
      <c r="L80" s="475"/>
      <c r="M80" s="18"/>
      <c r="N80" s="408">
        <f>ROUNDUP(((C78+G80+I80+K80+Sin+Ges)/4),0)</f>
        <v>11</v>
      </c>
      <c r="O80" s="408"/>
      <c r="AE80" s="398"/>
      <c r="AG80" s="403" t="s">
        <v>734</v>
      </c>
      <c r="AH80" s="403"/>
      <c r="AI80" s="403"/>
      <c r="AJ80" s="403"/>
      <c r="AK80" s="403"/>
      <c r="AL80" s="403"/>
      <c r="AM80" s="403"/>
      <c r="AN80" s="185">
        <v>6</v>
      </c>
      <c r="AO80" s="202" t="s">
        <v>1190</v>
      </c>
      <c r="AP80" s="396">
        <f>IF(AO80="Ja",1000,0)</f>
        <v>1000</v>
      </c>
    </row>
    <row r="81" spans="1:42" ht="15.6" customHeight="1" x14ac:dyDescent="0.25">
      <c r="C81" s="127"/>
      <c r="V81" s="403" t="s">
        <v>790</v>
      </c>
      <c r="W81" s="403"/>
      <c r="X81" s="403"/>
      <c r="Y81" s="403"/>
      <c r="Z81" s="403"/>
      <c r="AA81" s="403"/>
      <c r="AB81" s="403"/>
      <c r="AC81" s="185" t="s">
        <v>739</v>
      </c>
      <c r="AD81" s="199" t="s">
        <v>815</v>
      </c>
      <c r="AE81" s="396">
        <f>IF(AD81="Ja",300,0)</f>
        <v>0</v>
      </c>
      <c r="AG81" s="403" t="s">
        <v>738</v>
      </c>
      <c r="AH81" s="403"/>
      <c r="AI81" s="403"/>
      <c r="AJ81" s="403"/>
      <c r="AK81" s="403"/>
      <c r="AL81" s="403"/>
      <c r="AM81" s="403"/>
      <c r="AN81" s="185">
        <v>4</v>
      </c>
      <c r="AO81" s="201" t="s">
        <v>1190</v>
      </c>
      <c r="AP81" s="396">
        <f>IF(AO81="Ja",500,0)</f>
        <v>500</v>
      </c>
    </row>
    <row r="82" spans="1:42" ht="15.6" customHeight="1" x14ac:dyDescent="0.25">
      <c r="A82" s="471" t="s">
        <v>714</v>
      </c>
      <c r="B82" s="474"/>
      <c r="C82" s="474"/>
      <c r="D82" s="442"/>
      <c r="E82" s="471" t="s">
        <v>1</v>
      </c>
      <c r="F82" s="442"/>
      <c r="G82" s="471" t="s">
        <v>31</v>
      </c>
      <c r="H82" s="442"/>
      <c r="I82" s="471" t="s">
        <v>714</v>
      </c>
      <c r="J82" s="474"/>
      <c r="K82" s="474"/>
      <c r="L82" s="474"/>
      <c r="M82" s="474"/>
      <c r="N82" s="442"/>
      <c r="O82" s="471" t="s">
        <v>1</v>
      </c>
      <c r="P82" s="442"/>
      <c r="Q82" s="471" t="s">
        <v>31</v>
      </c>
      <c r="R82" s="442"/>
      <c r="V82" s="403" t="s">
        <v>791</v>
      </c>
      <c r="W82" s="403"/>
      <c r="X82" s="403"/>
      <c r="Y82" s="403"/>
      <c r="Z82" s="403"/>
      <c r="AA82" s="403"/>
      <c r="AB82" s="403"/>
      <c r="AC82" s="185" t="s">
        <v>739</v>
      </c>
      <c r="AD82" s="199" t="s">
        <v>815</v>
      </c>
      <c r="AE82" s="396">
        <f>IF(AD82="Ja",300,0)</f>
        <v>0</v>
      </c>
      <c r="AG82" s="403" t="s">
        <v>787</v>
      </c>
      <c r="AH82" s="403"/>
      <c r="AI82" s="403"/>
      <c r="AJ82" s="403"/>
      <c r="AK82" s="403"/>
      <c r="AL82" s="403"/>
      <c r="AM82" s="403"/>
      <c r="AN82" s="185" t="s">
        <v>729</v>
      </c>
      <c r="AO82" s="201" t="s">
        <v>315</v>
      </c>
      <c r="AP82" s="396">
        <f>IF(AO82="Ja",-120,0)</f>
        <v>0</v>
      </c>
    </row>
    <row r="83" spans="1:42" ht="15.6" customHeight="1" x14ac:dyDescent="0.3">
      <c r="A83" s="431" t="s">
        <v>604</v>
      </c>
      <c r="B83" s="432"/>
      <c r="C83" s="432"/>
      <c r="D83" s="433"/>
      <c r="E83" s="468">
        <v>0</v>
      </c>
      <c r="F83" s="469"/>
      <c r="G83" s="471">
        <f>VLOOKUP(E83,Ressourcen!$A$3:$E$68,4,FALSE)</f>
        <v>0</v>
      </c>
      <c r="H83" s="442"/>
      <c r="I83" s="431" t="s">
        <v>701</v>
      </c>
      <c r="J83" s="432"/>
      <c r="K83" s="432"/>
      <c r="L83" s="432"/>
      <c r="M83" s="432"/>
      <c r="N83" s="433"/>
      <c r="O83" s="468">
        <v>0</v>
      </c>
      <c r="P83" s="469"/>
      <c r="Q83" s="471">
        <f>VLOOKUP(O83,Ressourcen!$A$3:$E$68,4,FALSE)</f>
        <v>0</v>
      </c>
      <c r="R83" s="442"/>
      <c r="V83" s="403" t="s">
        <v>792</v>
      </c>
      <c r="W83" s="403"/>
      <c r="X83" s="403"/>
      <c r="Y83" s="403"/>
      <c r="Z83" s="403"/>
      <c r="AA83" s="403"/>
      <c r="AB83" s="403"/>
      <c r="AC83" s="185" t="s">
        <v>739</v>
      </c>
      <c r="AD83" s="199" t="s">
        <v>815</v>
      </c>
      <c r="AE83" s="396">
        <f>IF(AD83="Ja",300,0)</f>
        <v>0</v>
      </c>
      <c r="AG83" s="403" t="s">
        <v>741</v>
      </c>
      <c r="AH83" s="403"/>
      <c r="AI83" s="403"/>
      <c r="AJ83" s="403"/>
      <c r="AK83" s="403"/>
      <c r="AL83" s="403"/>
      <c r="AM83" s="403"/>
      <c r="AN83" s="185" t="s">
        <v>739</v>
      </c>
      <c r="AO83" s="199" t="s">
        <v>315</v>
      </c>
      <c r="AP83" s="396">
        <f>IF(AO83="Ja",250,0)</f>
        <v>0</v>
      </c>
    </row>
    <row r="84" spans="1:42" ht="15.6" customHeight="1" x14ac:dyDescent="0.3">
      <c r="A84" s="431" t="s">
        <v>690</v>
      </c>
      <c r="B84" s="432"/>
      <c r="C84" s="432"/>
      <c r="D84" s="433"/>
      <c r="E84" s="468">
        <v>0</v>
      </c>
      <c r="F84" s="469"/>
      <c r="G84" s="471">
        <f>VLOOKUP(E84,Ressourcen!$A$3:$E$68,4,FALSE)</f>
        <v>0</v>
      </c>
      <c r="H84" s="442"/>
      <c r="I84" s="431" t="s">
        <v>702</v>
      </c>
      <c r="J84" s="432"/>
      <c r="K84" s="432"/>
      <c r="L84" s="432"/>
      <c r="M84" s="432"/>
      <c r="N84" s="433"/>
      <c r="O84" s="468">
        <v>0</v>
      </c>
      <c r="P84" s="469"/>
      <c r="Q84" s="471">
        <f>VLOOKUP(O84,Ressourcen!$A$3:$E$68,4,FALSE)</f>
        <v>0</v>
      </c>
      <c r="R84" s="442"/>
      <c r="V84" s="403" t="s">
        <v>794</v>
      </c>
      <c r="W84" s="403"/>
      <c r="X84" s="403"/>
      <c r="Y84" s="403"/>
      <c r="Z84" s="403"/>
      <c r="AA84" s="403"/>
      <c r="AB84" s="403"/>
      <c r="AC84" s="185" t="s">
        <v>739</v>
      </c>
      <c r="AD84" s="199" t="s">
        <v>815</v>
      </c>
      <c r="AE84" s="396">
        <f>IF(AD84="Ja",300,0)</f>
        <v>0</v>
      </c>
      <c r="AG84" s="403" t="s">
        <v>793</v>
      </c>
      <c r="AH84" s="403"/>
      <c r="AI84" s="403"/>
      <c r="AJ84" s="403"/>
      <c r="AK84" s="403"/>
      <c r="AL84" s="403"/>
      <c r="AM84" s="403"/>
      <c r="AN84" s="185" t="s">
        <v>729</v>
      </c>
      <c r="AO84" s="202" t="s">
        <v>815</v>
      </c>
      <c r="AP84" s="396">
        <f>IF(AO84="Ja",1000,0)</f>
        <v>0</v>
      </c>
    </row>
    <row r="85" spans="1:42" ht="15.6" customHeight="1" x14ac:dyDescent="0.3">
      <c r="A85" s="431" t="s">
        <v>691</v>
      </c>
      <c r="B85" s="432"/>
      <c r="C85" s="432"/>
      <c r="D85" s="433"/>
      <c r="E85" s="468">
        <v>0</v>
      </c>
      <c r="F85" s="469"/>
      <c r="G85" s="471">
        <f>VLOOKUP(E85,Ressourcen!$A$3:$E$68,4,FALSE)</f>
        <v>0</v>
      </c>
      <c r="H85" s="442"/>
      <c r="I85" s="431" t="s">
        <v>703</v>
      </c>
      <c r="J85" s="432"/>
      <c r="K85" s="432"/>
      <c r="L85" s="432"/>
      <c r="M85" s="432"/>
      <c r="N85" s="433"/>
      <c r="O85" s="468">
        <v>0</v>
      </c>
      <c r="P85" s="469"/>
      <c r="Q85" s="471">
        <f>VLOOKUP(O85,Ressourcen!$A$3:$E$68,4,FALSE)</f>
        <v>0</v>
      </c>
      <c r="R85" s="442"/>
      <c r="V85" s="403" t="s">
        <v>795</v>
      </c>
      <c r="W85" s="403"/>
      <c r="X85" s="403"/>
      <c r="Y85" s="403"/>
      <c r="Z85" s="403"/>
      <c r="AA85" s="403"/>
      <c r="AB85" s="403"/>
      <c r="AC85" s="185" t="s">
        <v>739</v>
      </c>
      <c r="AD85" s="199" t="s">
        <v>815</v>
      </c>
      <c r="AE85" s="396">
        <f>IF(AD85="Ja",300,0)</f>
        <v>0</v>
      </c>
      <c r="AG85" s="448"/>
      <c r="AH85" s="448"/>
      <c r="AI85" s="448"/>
      <c r="AJ85" s="448"/>
      <c r="AK85" s="448"/>
      <c r="AL85" s="448"/>
      <c r="AM85" s="448"/>
      <c r="AN85" s="157"/>
      <c r="AO85" s="200"/>
      <c r="AP85" s="396"/>
    </row>
    <row r="86" spans="1:42" ht="15.6" customHeight="1" x14ac:dyDescent="0.3">
      <c r="A86" s="431" t="s">
        <v>692</v>
      </c>
      <c r="B86" s="432"/>
      <c r="C86" s="432"/>
      <c r="D86" s="433"/>
      <c r="E86" s="468">
        <v>0</v>
      </c>
      <c r="F86" s="469"/>
      <c r="G86" s="471">
        <f>VLOOKUP(E86,Ressourcen!$A$3:$E$68,4,FALSE)</f>
        <v>0</v>
      </c>
      <c r="H86" s="442"/>
      <c r="I86" s="431" t="s">
        <v>704</v>
      </c>
      <c r="J86" s="432"/>
      <c r="K86" s="432"/>
      <c r="L86" s="432"/>
      <c r="M86" s="432"/>
      <c r="N86" s="433"/>
      <c r="O86" s="468">
        <v>0</v>
      </c>
      <c r="P86" s="469"/>
      <c r="Q86" s="471">
        <f>VLOOKUP(O86,Ressourcen!$A$3:$E$68,4,FALSE)</f>
        <v>0</v>
      </c>
      <c r="R86" s="442"/>
      <c r="V86" s="403" t="s">
        <v>797</v>
      </c>
      <c r="W86" s="403"/>
      <c r="X86" s="403"/>
      <c r="Y86" s="403"/>
      <c r="Z86" s="403"/>
      <c r="AA86" s="403"/>
      <c r="AB86" s="403"/>
      <c r="AC86" s="185" t="s">
        <v>739</v>
      </c>
      <c r="AD86" s="199" t="s">
        <v>815</v>
      </c>
      <c r="AE86" s="396">
        <f>IF(AD86="Ja",250,0)</f>
        <v>0</v>
      </c>
      <c r="AG86" s="403" t="s">
        <v>803</v>
      </c>
      <c r="AH86" s="403"/>
      <c r="AI86" s="403"/>
      <c r="AJ86" s="403"/>
      <c r="AK86" s="403"/>
      <c r="AL86" s="403"/>
      <c r="AM86" s="403"/>
      <c r="AN86" s="185" t="s">
        <v>729</v>
      </c>
      <c r="AO86" s="202" t="s">
        <v>315</v>
      </c>
      <c r="AP86" s="396">
        <f>IF(AO86="Ja",-200,0)</f>
        <v>0</v>
      </c>
    </row>
    <row r="87" spans="1:42" ht="15.6" customHeight="1" x14ac:dyDescent="0.3">
      <c r="A87" s="431" t="s">
        <v>693</v>
      </c>
      <c r="B87" s="432"/>
      <c r="C87" s="432"/>
      <c r="D87" s="433"/>
      <c r="E87" s="468">
        <v>0</v>
      </c>
      <c r="F87" s="469"/>
      <c r="G87" s="471">
        <f>VLOOKUP(E87,Ressourcen!$A$3:$E$68,4,FALSE)</f>
        <v>0</v>
      </c>
      <c r="H87" s="442"/>
      <c r="I87" s="431" t="s">
        <v>705</v>
      </c>
      <c r="J87" s="432"/>
      <c r="K87" s="432"/>
      <c r="L87" s="432"/>
      <c r="M87" s="432"/>
      <c r="N87" s="433"/>
      <c r="O87" s="468">
        <v>0</v>
      </c>
      <c r="P87" s="469"/>
      <c r="Q87" s="471">
        <f>VLOOKUP(O87,Ressourcen!$A$3:$E$68,4,FALSE)</f>
        <v>0</v>
      </c>
      <c r="R87" s="442"/>
      <c r="V87" s="403" t="s">
        <v>799</v>
      </c>
      <c r="W87" s="403"/>
      <c r="X87" s="403"/>
      <c r="Y87" s="403"/>
      <c r="Z87" s="403"/>
      <c r="AA87" s="403"/>
      <c r="AB87" s="403"/>
      <c r="AC87" s="185" t="s">
        <v>739</v>
      </c>
      <c r="AD87" s="202" t="s">
        <v>315</v>
      </c>
      <c r="AE87" s="396">
        <f>IF(AD87="Ja",-300,0)</f>
        <v>0</v>
      </c>
      <c r="AG87" s="403" t="s">
        <v>808</v>
      </c>
      <c r="AH87" s="403"/>
      <c r="AI87" s="403"/>
      <c r="AJ87" s="403"/>
      <c r="AK87" s="403"/>
      <c r="AL87" s="403"/>
      <c r="AM87" s="403"/>
      <c r="AN87" s="185" t="s">
        <v>729</v>
      </c>
      <c r="AO87" s="202" t="s">
        <v>315</v>
      </c>
      <c r="AP87" s="396">
        <f>IF(AO87="Ja",-500,0)</f>
        <v>0</v>
      </c>
    </row>
    <row r="88" spans="1:42" ht="15.6" customHeight="1" x14ac:dyDescent="0.3">
      <c r="A88" s="431" t="s">
        <v>694</v>
      </c>
      <c r="B88" s="432"/>
      <c r="C88" s="432"/>
      <c r="D88" s="433"/>
      <c r="E88" s="468">
        <v>0</v>
      </c>
      <c r="F88" s="469"/>
      <c r="G88" s="471">
        <f>VLOOKUP(E88,Ressourcen!$A$3:$E$68,4,FALSE)</f>
        <v>0</v>
      </c>
      <c r="H88" s="442"/>
      <c r="I88" s="431" t="s">
        <v>706</v>
      </c>
      <c r="J88" s="432"/>
      <c r="K88" s="432"/>
      <c r="L88" s="432"/>
      <c r="M88" s="432"/>
      <c r="N88" s="433"/>
      <c r="O88" s="468">
        <v>0</v>
      </c>
      <c r="P88" s="469"/>
      <c r="Q88" s="471">
        <f>VLOOKUP(O88,Ressourcen!$A$3:$E$68,4,FALSE)</f>
        <v>0</v>
      </c>
      <c r="R88" s="442"/>
      <c r="V88" s="403" t="s">
        <v>801</v>
      </c>
      <c r="W88" s="403"/>
      <c r="X88" s="403"/>
      <c r="Y88" s="403"/>
      <c r="Z88" s="403"/>
      <c r="AA88" s="403"/>
      <c r="AB88" s="403"/>
      <c r="AC88" s="185" t="s">
        <v>739</v>
      </c>
      <c r="AD88" s="201" t="s">
        <v>815</v>
      </c>
      <c r="AE88" s="396">
        <f>IF(AD88="Ja",-100,0)</f>
        <v>0</v>
      </c>
      <c r="AG88" s="403" t="s">
        <v>802</v>
      </c>
      <c r="AH88" s="403"/>
      <c r="AI88" s="403"/>
      <c r="AJ88" s="403"/>
      <c r="AK88" s="403"/>
      <c r="AL88" s="403"/>
      <c r="AM88" s="403"/>
      <c r="AN88" s="185" t="s">
        <v>729</v>
      </c>
      <c r="AO88" s="202" t="s">
        <v>315</v>
      </c>
      <c r="AP88" s="396">
        <f t="shared" ref="AP88:AP90" si="2">IF(AO88="Ja",-200,0)</f>
        <v>0</v>
      </c>
    </row>
    <row r="89" spans="1:42" ht="15.6" customHeight="1" x14ac:dyDescent="0.3">
      <c r="A89" s="431" t="s">
        <v>159</v>
      </c>
      <c r="B89" s="432"/>
      <c r="C89" s="432"/>
      <c r="D89" s="433"/>
      <c r="E89" s="468">
        <v>0</v>
      </c>
      <c r="F89" s="469"/>
      <c r="G89" s="471">
        <f>VLOOKUP(E89,Ressourcen!$A$3:$E$68,4,FALSE)</f>
        <v>0</v>
      </c>
      <c r="H89" s="442"/>
      <c r="I89" s="431" t="s">
        <v>707</v>
      </c>
      <c r="J89" s="432"/>
      <c r="K89" s="432"/>
      <c r="L89" s="432"/>
      <c r="M89" s="432"/>
      <c r="N89" s="433"/>
      <c r="O89" s="468">
        <v>0</v>
      </c>
      <c r="P89" s="469"/>
      <c r="Q89" s="471">
        <f>VLOOKUP(O89,Ressourcen!$A$3:$E$68,4,FALSE)</f>
        <v>0</v>
      </c>
      <c r="R89" s="442"/>
      <c r="V89" s="403" t="s">
        <v>745</v>
      </c>
      <c r="W89" s="403"/>
      <c r="X89" s="403"/>
      <c r="Y89" s="403"/>
      <c r="Z89" s="403"/>
      <c r="AA89" s="403"/>
      <c r="AB89" s="403"/>
      <c r="AC89" s="185" t="s">
        <v>729</v>
      </c>
      <c r="AD89" s="199" t="s">
        <v>815</v>
      </c>
      <c r="AE89" s="396">
        <f>IF(AD89="Ja",1500,0)</f>
        <v>0</v>
      </c>
      <c r="AG89" s="403" t="s">
        <v>807</v>
      </c>
      <c r="AH89" s="403"/>
      <c r="AI89" s="403"/>
      <c r="AJ89" s="403"/>
      <c r="AK89" s="403"/>
      <c r="AL89" s="403"/>
      <c r="AM89" s="403"/>
      <c r="AN89" s="185" t="s">
        <v>729</v>
      </c>
      <c r="AO89" s="202" t="s">
        <v>315</v>
      </c>
      <c r="AP89" s="396">
        <f>IF(AO89="Ja",-500,0)</f>
        <v>0</v>
      </c>
    </row>
    <row r="90" spans="1:42" ht="15.6" customHeight="1" x14ac:dyDescent="0.3">
      <c r="A90" s="431" t="s">
        <v>695</v>
      </c>
      <c r="B90" s="432"/>
      <c r="C90" s="432"/>
      <c r="D90" s="433"/>
      <c r="E90" s="468">
        <v>0</v>
      </c>
      <c r="F90" s="469"/>
      <c r="G90" s="471">
        <f>VLOOKUP(E90,Ressourcen!$A$3:$E$68,4,FALSE)</f>
        <v>0</v>
      </c>
      <c r="H90" s="442"/>
      <c r="I90" s="431" t="s">
        <v>708</v>
      </c>
      <c r="J90" s="432"/>
      <c r="K90" s="432"/>
      <c r="L90" s="432"/>
      <c r="M90" s="432"/>
      <c r="N90" s="433"/>
      <c r="O90" s="468">
        <v>0</v>
      </c>
      <c r="P90" s="469"/>
      <c r="Q90" s="471">
        <f>VLOOKUP(O90,Ressourcen!$A$3:$E$68,4,FALSE)</f>
        <v>0</v>
      </c>
      <c r="R90" s="442"/>
      <c r="V90" s="403" t="s">
        <v>750</v>
      </c>
      <c r="W90" s="403"/>
      <c r="X90" s="403"/>
      <c r="Y90" s="403"/>
      <c r="Z90" s="403"/>
      <c r="AA90" s="403"/>
      <c r="AB90" s="403"/>
      <c r="AC90" s="185" t="s">
        <v>729</v>
      </c>
      <c r="AD90" s="199" t="s">
        <v>815</v>
      </c>
      <c r="AE90" s="396">
        <f>IF(AD90="Ja",100,0)</f>
        <v>0</v>
      </c>
      <c r="AG90" s="403" t="s">
        <v>798</v>
      </c>
      <c r="AH90" s="403"/>
      <c r="AI90" s="403"/>
      <c r="AJ90" s="403"/>
      <c r="AK90" s="403"/>
      <c r="AL90" s="403"/>
      <c r="AM90" s="403"/>
      <c r="AN90" s="185" t="s">
        <v>729</v>
      </c>
      <c r="AO90" s="202" t="s">
        <v>315</v>
      </c>
      <c r="AP90" s="396">
        <f t="shared" si="2"/>
        <v>0</v>
      </c>
    </row>
    <row r="91" spans="1:42" ht="15.6" customHeight="1" x14ac:dyDescent="0.3">
      <c r="A91" s="431" t="s">
        <v>696</v>
      </c>
      <c r="B91" s="432"/>
      <c r="C91" s="432"/>
      <c r="D91" s="433"/>
      <c r="E91" s="468">
        <v>0</v>
      </c>
      <c r="F91" s="469"/>
      <c r="G91" s="471">
        <f>VLOOKUP(E91,Ressourcen!$A$3:$E$68,4,FALSE)</f>
        <v>0</v>
      </c>
      <c r="H91" s="442"/>
      <c r="I91" s="431" t="s">
        <v>709</v>
      </c>
      <c r="J91" s="432"/>
      <c r="K91" s="432"/>
      <c r="L91" s="432"/>
      <c r="M91" s="432"/>
      <c r="N91" s="433"/>
      <c r="O91" s="468">
        <v>0</v>
      </c>
      <c r="P91" s="469"/>
      <c r="Q91" s="471">
        <f>VLOOKUP(O91,Ressourcen!$A$3:$E$68,4,FALSE)</f>
        <v>0</v>
      </c>
      <c r="R91" s="442"/>
      <c r="V91" s="403" t="s">
        <v>1062</v>
      </c>
      <c r="W91" s="403"/>
      <c r="X91" s="403"/>
      <c r="Y91" s="403"/>
      <c r="Z91" s="403"/>
      <c r="AA91" s="403"/>
      <c r="AB91" s="403"/>
      <c r="AC91" s="185" t="s">
        <v>729</v>
      </c>
      <c r="AD91" s="202" t="s">
        <v>315</v>
      </c>
      <c r="AE91" s="396">
        <f t="shared" ref="AE91:AE92" si="3">IF(AD91="Ja",-200,0)</f>
        <v>0</v>
      </c>
      <c r="AG91" s="403" t="s">
        <v>805</v>
      </c>
      <c r="AH91" s="403"/>
      <c r="AI91" s="403"/>
      <c r="AJ91" s="403"/>
      <c r="AK91" s="403"/>
      <c r="AL91" s="403"/>
      <c r="AM91" s="403"/>
      <c r="AN91" s="185" t="s">
        <v>729</v>
      </c>
      <c r="AO91" s="202" t="s">
        <v>315</v>
      </c>
      <c r="AP91" s="396">
        <f>IF(AO91="Ja",-500,0)</f>
        <v>0</v>
      </c>
    </row>
    <row r="92" spans="1:42" ht="15.6" customHeight="1" x14ac:dyDescent="0.3">
      <c r="A92" s="431" t="s">
        <v>697</v>
      </c>
      <c r="B92" s="432"/>
      <c r="C92" s="432"/>
      <c r="D92" s="433"/>
      <c r="E92" s="468">
        <v>0</v>
      </c>
      <c r="F92" s="469"/>
      <c r="G92" s="471">
        <f>VLOOKUP(E92,Ressourcen!$A$3:$E$68,4,FALSE)</f>
        <v>0</v>
      </c>
      <c r="H92" s="442"/>
      <c r="I92" s="431" t="s">
        <v>710</v>
      </c>
      <c r="J92" s="432"/>
      <c r="K92" s="432"/>
      <c r="L92" s="432"/>
      <c r="M92" s="432"/>
      <c r="N92" s="433"/>
      <c r="O92" s="468">
        <v>0</v>
      </c>
      <c r="P92" s="469"/>
      <c r="Q92" s="471">
        <f>VLOOKUP(O92,Ressourcen!$A$3:$E$68,4,FALSE)</f>
        <v>0</v>
      </c>
      <c r="R92" s="442"/>
      <c r="V92" s="403" t="s">
        <v>1063</v>
      </c>
      <c r="W92" s="403"/>
      <c r="X92" s="403"/>
      <c r="Y92" s="403"/>
      <c r="Z92" s="403"/>
      <c r="AA92" s="403"/>
      <c r="AB92" s="403"/>
      <c r="AC92" s="185" t="s">
        <v>729</v>
      </c>
      <c r="AD92" s="202" t="s">
        <v>315</v>
      </c>
      <c r="AE92" s="396">
        <f t="shared" si="3"/>
        <v>0</v>
      </c>
      <c r="AG92" s="403" t="s">
        <v>796</v>
      </c>
      <c r="AH92" s="403"/>
      <c r="AI92" s="403"/>
      <c r="AJ92" s="403"/>
      <c r="AK92" s="403"/>
      <c r="AL92" s="403"/>
      <c r="AM92" s="403"/>
      <c r="AN92" s="185" t="s">
        <v>729</v>
      </c>
      <c r="AO92" s="202" t="s">
        <v>815</v>
      </c>
      <c r="AP92" s="396">
        <f>IF(AO92="Ja",-200,0)</f>
        <v>0</v>
      </c>
    </row>
    <row r="93" spans="1:42" ht="15.6" customHeight="1" x14ac:dyDescent="0.3">
      <c r="A93" s="431" t="s">
        <v>698</v>
      </c>
      <c r="B93" s="432"/>
      <c r="C93" s="432"/>
      <c r="D93" s="433"/>
      <c r="E93" s="468">
        <v>0</v>
      </c>
      <c r="F93" s="469"/>
      <c r="G93" s="471">
        <f>VLOOKUP(E93,Ressourcen!$A$3:$E$68,4,FALSE)</f>
        <v>0</v>
      </c>
      <c r="H93" s="442"/>
      <c r="I93" s="431" t="s">
        <v>711</v>
      </c>
      <c r="J93" s="432"/>
      <c r="K93" s="432"/>
      <c r="L93" s="432"/>
      <c r="M93" s="432"/>
      <c r="N93" s="433"/>
      <c r="O93" s="468">
        <v>0</v>
      </c>
      <c r="P93" s="469"/>
      <c r="Q93" s="471">
        <f>VLOOKUP(O93,Ressourcen!$A$3:$E$68,4,FALSE)</f>
        <v>0</v>
      </c>
      <c r="R93" s="442"/>
      <c r="V93" s="403" t="s">
        <v>1064</v>
      </c>
      <c r="W93" s="403"/>
      <c r="X93" s="403"/>
      <c r="Y93" s="403"/>
      <c r="Z93" s="403"/>
      <c r="AA93" s="403"/>
      <c r="AB93" s="403"/>
      <c r="AC93" s="185" t="s">
        <v>729</v>
      </c>
      <c r="AD93" s="202" t="s">
        <v>315</v>
      </c>
      <c r="AE93" s="396">
        <f>IF(AD93="Ja",-200,0)</f>
        <v>0</v>
      </c>
      <c r="AG93" s="403" t="s">
        <v>804</v>
      </c>
      <c r="AH93" s="403"/>
      <c r="AI93" s="403"/>
      <c r="AJ93" s="403"/>
      <c r="AK93" s="403"/>
      <c r="AL93" s="403"/>
      <c r="AM93" s="403"/>
      <c r="AN93" s="185" t="s">
        <v>729</v>
      </c>
      <c r="AO93" s="202" t="s">
        <v>315</v>
      </c>
      <c r="AP93" s="396">
        <f t="shared" ref="AP93" si="4">IF(AO93="Ja",-500,0)</f>
        <v>0</v>
      </c>
    </row>
    <row r="94" spans="1:42" ht="15.6" customHeight="1" x14ac:dyDescent="0.3">
      <c r="A94" s="431" t="s">
        <v>699</v>
      </c>
      <c r="B94" s="432"/>
      <c r="C94" s="432"/>
      <c r="D94" s="433"/>
      <c r="E94" s="468">
        <v>0</v>
      </c>
      <c r="F94" s="469"/>
      <c r="G94" s="471">
        <f>VLOOKUP(E94,Ressourcen!$A$3:$E$68,4,FALSE)</f>
        <v>0</v>
      </c>
      <c r="H94" s="442"/>
      <c r="I94" s="423" t="s">
        <v>712</v>
      </c>
      <c r="J94" s="423"/>
      <c r="K94" s="423"/>
      <c r="L94" s="423"/>
      <c r="M94" s="423"/>
      <c r="N94" s="423"/>
      <c r="O94" s="468">
        <v>0</v>
      </c>
      <c r="P94" s="469"/>
      <c r="Q94" s="421">
        <f>VLOOKUP(O94,Ressourcen!$A$3:$E$68,4,FALSE)</f>
        <v>0</v>
      </c>
      <c r="R94" s="421"/>
      <c r="V94" s="403" t="s">
        <v>1065</v>
      </c>
      <c r="W94" s="403"/>
      <c r="X94" s="403"/>
      <c r="Y94" s="403"/>
      <c r="Z94" s="403"/>
      <c r="AA94" s="403"/>
      <c r="AB94" s="403"/>
      <c r="AC94" s="185" t="s">
        <v>729</v>
      </c>
      <c r="AD94" s="202" t="s">
        <v>315</v>
      </c>
      <c r="AE94" s="396">
        <f t="shared" ref="AE94:AE100" si="5">IF(AD94="Ja",-200,0)</f>
        <v>0</v>
      </c>
      <c r="AG94" s="403" t="s">
        <v>800</v>
      </c>
      <c r="AH94" s="403"/>
      <c r="AI94" s="403"/>
      <c r="AJ94" s="403"/>
      <c r="AK94" s="403"/>
      <c r="AL94" s="403"/>
      <c r="AM94" s="403"/>
      <c r="AN94" s="185" t="s">
        <v>729</v>
      </c>
      <c r="AO94" s="202" t="s">
        <v>315</v>
      </c>
      <c r="AP94" s="396">
        <f>IF(AO94="Ja",-200,0)</f>
        <v>0</v>
      </c>
    </row>
    <row r="95" spans="1:42" ht="15.6" customHeight="1" x14ac:dyDescent="0.3">
      <c r="A95" s="431" t="s">
        <v>398</v>
      </c>
      <c r="B95" s="432"/>
      <c r="C95" s="432"/>
      <c r="D95" s="433"/>
      <c r="E95" s="468">
        <v>0</v>
      </c>
      <c r="F95" s="469"/>
      <c r="G95" s="471">
        <f>VLOOKUP(E95,Ressourcen!$A$3:$E$68,4,FALSE)</f>
        <v>0</v>
      </c>
      <c r="H95" s="442"/>
      <c r="I95" s="423" t="s">
        <v>713</v>
      </c>
      <c r="J95" s="423"/>
      <c r="K95" s="423"/>
      <c r="L95" s="423"/>
      <c r="M95" s="423"/>
      <c r="N95" s="423"/>
      <c r="O95" s="468">
        <v>0</v>
      </c>
      <c r="P95" s="469"/>
      <c r="Q95" s="421">
        <f>VLOOKUP(O95,Ressourcen!$A$3:$E$68,4,FALSE)</f>
        <v>0</v>
      </c>
      <c r="R95" s="421"/>
      <c r="V95" s="403" t="s">
        <v>1066</v>
      </c>
      <c r="W95" s="403"/>
      <c r="X95" s="403"/>
      <c r="Y95" s="403"/>
      <c r="Z95" s="403"/>
      <c r="AA95" s="403"/>
      <c r="AB95" s="403"/>
      <c r="AC95" s="185" t="s">
        <v>729</v>
      </c>
      <c r="AD95" s="202" t="s">
        <v>315</v>
      </c>
      <c r="AE95" s="396">
        <f t="shared" si="5"/>
        <v>0</v>
      </c>
      <c r="AG95" s="403" t="s">
        <v>806</v>
      </c>
      <c r="AH95" s="403"/>
      <c r="AI95" s="403"/>
      <c r="AJ95" s="403"/>
      <c r="AK95" s="403"/>
      <c r="AL95" s="403"/>
      <c r="AM95" s="403"/>
      <c r="AN95" s="185" t="s">
        <v>729</v>
      </c>
      <c r="AO95" s="202" t="s">
        <v>315</v>
      </c>
      <c r="AP95" s="396">
        <f>IF(AO95="Ja",-500,0)</f>
        <v>0</v>
      </c>
    </row>
    <row r="96" spans="1:42" ht="15.6" customHeight="1" x14ac:dyDescent="0.3">
      <c r="A96" s="431" t="s">
        <v>700</v>
      </c>
      <c r="B96" s="432"/>
      <c r="C96" s="432"/>
      <c r="D96" s="433"/>
      <c r="E96" s="468">
        <v>0</v>
      </c>
      <c r="F96" s="469"/>
      <c r="G96" s="421">
        <f>VLOOKUP(E96,Ressourcen!$A$3:$E$68,4,FALSE)</f>
        <v>0</v>
      </c>
      <c r="H96" s="421"/>
      <c r="I96" s="463"/>
      <c r="J96" s="463"/>
      <c r="K96" s="463"/>
      <c r="L96" s="463"/>
      <c r="M96" s="463"/>
      <c r="N96" s="463"/>
      <c r="O96" s="470"/>
      <c r="P96" s="470"/>
      <c r="Q96" s="472"/>
      <c r="R96" s="472"/>
      <c r="V96" s="403" t="s">
        <v>1067</v>
      </c>
      <c r="W96" s="403"/>
      <c r="X96" s="403"/>
      <c r="Y96" s="403"/>
      <c r="Z96" s="403"/>
      <c r="AA96" s="403"/>
      <c r="AB96" s="403"/>
      <c r="AC96" s="185" t="s">
        <v>729</v>
      </c>
      <c r="AD96" s="202" t="s">
        <v>315</v>
      </c>
      <c r="AE96" s="396">
        <f t="shared" si="5"/>
        <v>0</v>
      </c>
      <c r="AG96" s="403" t="s">
        <v>809</v>
      </c>
      <c r="AH96" s="403"/>
      <c r="AI96" s="403"/>
      <c r="AJ96" s="403"/>
      <c r="AK96" s="403"/>
      <c r="AL96" s="403"/>
      <c r="AM96" s="403"/>
      <c r="AN96" s="185" t="s">
        <v>729</v>
      </c>
      <c r="AO96" s="202" t="s">
        <v>815</v>
      </c>
      <c r="AP96" s="396">
        <f>IF(AO96="Ja",-200,0)</f>
        <v>0</v>
      </c>
    </row>
    <row r="97" spans="1:42" ht="15.6" customHeight="1" x14ac:dyDescent="0.3">
      <c r="A97" s="431" t="s">
        <v>413</v>
      </c>
      <c r="B97" s="432"/>
      <c r="C97" s="432"/>
      <c r="D97" s="433"/>
      <c r="E97" s="468">
        <v>0</v>
      </c>
      <c r="F97" s="469"/>
      <c r="G97" s="421">
        <f>VLOOKUP(E97,Ressourcen!$A$3:$E$68,4,FALSE)</f>
        <v>0</v>
      </c>
      <c r="H97" s="471"/>
      <c r="I97" s="421" t="s">
        <v>1186</v>
      </c>
      <c r="J97" s="421"/>
      <c r="K97" s="421"/>
      <c r="L97" s="421"/>
      <c r="M97" s="421"/>
      <c r="N97" s="421"/>
      <c r="O97" s="407">
        <f>IF(tapkigute1="Ja",mag,0)+IF(tapkigute2="Ja",Aur,1)</f>
        <v>1</v>
      </c>
      <c r="P97" s="407"/>
      <c r="Q97" s="266"/>
      <c r="R97" s="266"/>
      <c r="V97" s="403" t="s">
        <v>1068</v>
      </c>
      <c r="W97" s="403"/>
      <c r="X97" s="403"/>
      <c r="Y97" s="403"/>
      <c r="Z97" s="403"/>
      <c r="AA97" s="403"/>
      <c r="AB97" s="403"/>
      <c r="AC97" s="185" t="s">
        <v>729</v>
      </c>
      <c r="AD97" s="202" t="s">
        <v>315</v>
      </c>
      <c r="AE97" s="396">
        <f t="shared" si="5"/>
        <v>0</v>
      </c>
      <c r="AG97" s="403" t="s">
        <v>810</v>
      </c>
      <c r="AH97" s="403"/>
      <c r="AI97" s="403"/>
      <c r="AJ97" s="403"/>
      <c r="AK97" s="403"/>
      <c r="AL97" s="403"/>
      <c r="AM97" s="403"/>
      <c r="AN97" s="185" t="s">
        <v>729</v>
      </c>
      <c r="AO97" s="202" t="s">
        <v>315</v>
      </c>
      <c r="AP97" s="396">
        <f>IF(AO97="Ja",-500,0)</f>
        <v>0</v>
      </c>
    </row>
    <row r="98" spans="1:42" ht="15.6" customHeight="1" x14ac:dyDescent="0.25">
      <c r="V98" s="403" t="s">
        <v>1069</v>
      </c>
      <c r="W98" s="403"/>
      <c r="X98" s="403"/>
      <c r="Y98" s="403"/>
      <c r="Z98" s="403"/>
      <c r="AA98" s="403"/>
      <c r="AB98" s="403"/>
      <c r="AC98" s="185" t="s">
        <v>729</v>
      </c>
      <c r="AD98" s="202" t="s">
        <v>1190</v>
      </c>
      <c r="AE98" s="396">
        <f t="shared" si="5"/>
        <v>-200</v>
      </c>
      <c r="AG98" s="403" t="s">
        <v>811</v>
      </c>
      <c r="AH98" s="403"/>
      <c r="AI98" s="403"/>
      <c r="AJ98" s="403"/>
      <c r="AK98" s="403"/>
      <c r="AL98" s="403"/>
      <c r="AM98" s="403"/>
      <c r="AN98" s="185" t="s">
        <v>729</v>
      </c>
      <c r="AO98" s="202" t="s">
        <v>315</v>
      </c>
      <c r="AP98" s="396">
        <f>IF(AO98="Ja",-500,0)</f>
        <v>0</v>
      </c>
    </row>
    <row r="99" spans="1:42" ht="15.6" customHeight="1" x14ac:dyDescent="0.25">
      <c r="A99" s="421" t="s">
        <v>725</v>
      </c>
      <c r="B99" s="421"/>
      <c r="C99" s="421"/>
      <c r="D99" s="421"/>
      <c r="E99" s="475">
        <v>0</v>
      </c>
      <c r="F99" s="475"/>
      <c r="G99" s="421" t="s">
        <v>726</v>
      </c>
      <c r="H99" s="421"/>
      <c r="I99" s="421"/>
      <c r="J99" s="421"/>
      <c r="K99" s="421"/>
      <c r="L99" s="421"/>
      <c r="M99" s="421"/>
      <c r="N99" s="421"/>
      <c r="O99" s="421"/>
      <c r="P99" s="421"/>
      <c r="Q99" s="421"/>
      <c r="R99" s="421"/>
      <c r="V99" s="403" t="s">
        <v>1070</v>
      </c>
      <c r="W99" s="403"/>
      <c r="X99" s="403"/>
      <c r="Y99" s="403"/>
      <c r="Z99" s="403"/>
      <c r="AA99" s="403"/>
      <c r="AB99" s="403"/>
      <c r="AC99" s="185" t="s">
        <v>729</v>
      </c>
      <c r="AD99" s="202" t="s">
        <v>315</v>
      </c>
      <c r="AE99" s="396">
        <f t="shared" si="5"/>
        <v>0</v>
      </c>
      <c r="AG99" s="403" t="s">
        <v>812</v>
      </c>
      <c r="AH99" s="403"/>
      <c r="AI99" s="403"/>
      <c r="AJ99" s="403"/>
      <c r="AK99" s="403"/>
      <c r="AL99" s="403"/>
      <c r="AM99" s="403"/>
      <c r="AN99" s="185" t="s">
        <v>729</v>
      </c>
      <c r="AO99" s="188">
        <v>0</v>
      </c>
      <c r="AP99" s="397">
        <f>AO99*-4</f>
        <v>0</v>
      </c>
    </row>
    <row r="100" spans="1:42" ht="15.6" customHeight="1" x14ac:dyDescent="0.25">
      <c r="V100" s="403" t="s">
        <v>1071</v>
      </c>
      <c r="W100" s="403"/>
      <c r="X100" s="403"/>
      <c r="Y100" s="403"/>
      <c r="Z100" s="403"/>
      <c r="AA100" s="403"/>
      <c r="AB100" s="403"/>
      <c r="AC100" s="185" t="s">
        <v>729</v>
      </c>
      <c r="AD100" s="202" t="s">
        <v>315</v>
      </c>
      <c r="AE100" s="396">
        <f t="shared" si="5"/>
        <v>0</v>
      </c>
    </row>
    <row r="101" spans="1:42" ht="15.6" customHeight="1" x14ac:dyDescent="0.25">
      <c r="A101" s="408" t="s">
        <v>715</v>
      </c>
      <c r="B101" s="408"/>
      <c r="C101" s="408"/>
      <c r="D101" s="408"/>
      <c r="E101" s="408"/>
      <c r="F101" s="408"/>
      <c r="G101" s="408"/>
      <c r="H101" s="408"/>
      <c r="I101" s="408"/>
      <c r="J101" s="408"/>
      <c r="K101" s="408"/>
      <c r="L101" s="408"/>
      <c r="M101" s="408"/>
      <c r="N101" s="408"/>
      <c r="O101" s="408"/>
      <c r="P101" s="408"/>
      <c r="Q101" s="408"/>
      <c r="R101" s="408"/>
      <c r="S101" s="408"/>
      <c r="T101" s="408"/>
      <c r="U101" s="408"/>
      <c r="V101" s="408" t="s">
        <v>715</v>
      </c>
      <c r="W101" s="408"/>
      <c r="X101" s="408"/>
      <c r="Y101" s="408"/>
      <c r="Z101" s="408"/>
      <c r="AA101" s="408"/>
      <c r="AB101" s="408"/>
      <c r="AC101" s="408"/>
      <c r="AD101" s="408"/>
      <c r="AE101" s="408"/>
      <c r="AF101" s="408"/>
      <c r="AG101" s="408"/>
      <c r="AH101" s="408"/>
      <c r="AI101" s="408"/>
      <c r="AJ101" s="408"/>
      <c r="AK101" s="408"/>
      <c r="AL101" s="408"/>
      <c r="AM101" s="408"/>
      <c r="AN101" s="408"/>
      <c r="AO101" s="408"/>
      <c r="AP101" s="408"/>
    </row>
    <row r="102" spans="1:42" ht="15.6" customHeight="1" x14ac:dyDescent="0.25">
      <c r="A102" s="176" t="s">
        <v>160</v>
      </c>
      <c r="B102" s="509" t="s">
        <v>290</v>
      </c>
      <c r="C102" s="509"/>
      <c r="D102" s="509"/>
      <c r="E102" s="509"/>
      <c r="F102" s="509"/>
      <c r="G102" s="509"/>
      <c r="H102" s="509"/>
      <c r="I102" s="177" t="s">
        <v>1</v>
      </c>
      <c r="J102" s="177" t="s">
        <v>31</v>
      </c>
      <c r="L102" s="176" t="s">
        <v>160</v>
      </c>
      <c r="M102" s="467" t="s">
        <v>387</v>
      </c>
      <c r="N102" s="467"/>
      <c r="O102" s="467"/>
      <c r="P102" s="467"/>
      <c r="Q102" s="467"/>
      <c r="R102" s="467"/>
      <c r="S102" s="467"/>
      <c r="T102" s="177" t="s">
        <v>1</v>
      </c>
      <c r="U102" s="177" t="s">
        <v>31</v>
      </c>
      <c r="V102" s="176" t="s">
        <v>160</v>
      </c>
      <c r="W102" s="509" t="s">
        <v>432</v>
      </c>
      <c r="X102" s="509"/>
      <c r="Y102" s="509"/>
      <c r="Z102" s="509"/>
      <c r="AA102" s="509"/>
      <c r="AB102" s="509"/>
      <c r="AC102" s="509"/>
      <c r="AD102" s="179" t="s">
        <v>1</v>
      </c>
      <c r="AE102" s="139" t="s">
        <v>31</v>
      </c>
      <c r="AG102" s="176" t="s">
        <v>160</v>
      </c>
      <c r="AH102" s="462" t="s">
        <v>527</v>
      </c>
      <c r="AI102" s="462"/>
      <c r="AJ102" s="462"/>
      <c r="AK102" s="462"/>
      <c r="AL102" s="462"/>
      <c r="AM102" s="462"/>
      <c r="AN102" s="462"/>
      <c r="AO102" s="179" t="s">
        <v>1</v>
      </c>
      <c r="AP102" s="139" t="s">
        <v>31</v>
      </c>
    </row>
    <row r="103" spans="1:42" ht="15.6" customHeight="1" x14ac:dyDescent="0.25">
      <c r="A103" s="153">
        <v>1</v>
      </c>
      <c r="B103" s="456" t="s">
        <v>289</v>
      </c>
      <c r="C103" s="456"/>
      <c r="D103" s="456"/>
      <c r="E103" s="456"/>
      <c r="F103" s="456"/>
      <c r="G103" s="456"/>
      <c r="H103" s="456"/>
      <c r="I103" s="150">
        <v>20</v>
      </c>
      <c r="J103" s="139">
        <f t="shared" ref="J103:J123" si="6">IF(I103&gt;0,(I103*A103-A103+10),0)</f>
        <v>29</v>
      </c>
      <c r="L103" s="153">
        <v>6</v>
      </c>
      <c r="M103" s="456" t="s">
        <v>413</v>
      </c>
      <c r="N103" s="456"/>
      <c r="O103" s="456"/>
      <c r="P103" s="456"/>
      <c r="Q103" s="456"/>
      <c r="R103" s="456"/>
      <c r="S103" s="456"/>
      <c r="T103" s="150">
        <v>0</v>
      </c>
      <c r="U103" s="139">
        <f>IF(T103&gt;0,(T103*L103-L103+10),0)</f>
        <v>0</v>
      </c>
      <c r="V103" s="153">
        <v>1</v>
      </c>
      <c r="W103" s="456" t="s">
        <v>435</v>
      </c>
      <c r="X103" s="456"/>
      <c r="Y103" s="456"/>
      <c r="Z103" s="456"/>
      <c r="AA103" s="456"/>
      <c r="AB103" s="456"/>
      <c r="AC103" s="456"/>
      <c r="AD103" s="141">
        <v>20</v>
      </c>
      <c r="AE103" s="139">
        <f t="shared" ref="AE103:AE125" si="7">IF(AD103&gt;0,(AD103*V103-V103+10),0)</f>
        <v>29</v>
      </c>
      <c r="AG103" s="153">
        <v>1</v>
      </c>
      <c r="AH103" s="456" t="s">
        <v>540</v>
      </c>
      <c r="AI103" s="456"/>
      <c r="AJ103" s="456"/>
      <c r="AK103" s="456"/>
      <c r="AL103" s="456"/>
      <c r="AM103" s="456"/>
      <c r="AN103" s="456"/>
      <c r="AO103" s="141">
        <v>0</v>
      </c>
      <c r="AP103" s="139">
        <f>IF(AO103&gt;0,(AO103*AG103-AG103+10),0)</f>
        <v>0</v>
      </c>
    </row>
    <row r="104" spans="1:42" ht="15.6" customHeight="1" x14ac:dyDescent="0.25">
      <c r="A104" s="153">
        <v>1</v>
      </c>
      <c r="B104" s="456" t="s">
        <v>291</v>
      </c>
      <c r="C104" s="456"/>
      <c r="D104" s="456"/>
      <c r="E104" s="456"/>
      <c r="F104" s="456"/>
      <c r="G104" s="456"/>
      <c r="H104" s="456"/>
      <c r="I104" s="150">
        <v>0</v>
      </c>
      <c r="J104" s="139">
        <f t="shared" si="6"/>
        <v>0</v>
      </c>
      <c r="L104" s="153">
        <v>6</v>
      </c>
      <c r="M104" s="456" t="s">
        <v>414</v>
      </c>
      <c r="N104" s="456"/>
      <c r="O104" s="456"/>
      <c r="P104" s="456"/>
      <c r="Q104" s="456"/>
      <c r="R104" s="456"/>
      <c r="S104" s="456"/>
      <c r="T104" s="150">
        <v>0</v>
      </c>
      <c r="U104" s="139">
        <f t="shared" ref="U104:U167" si="8">IF(T104&gt;0,(T104*L104-L104+10),0)</f>
        <v>0</v>
      </c>
      <c r="V104" s="153">
        <v>1</v>
      </c>
      <c r="W104" s="456" t="s">
        <v>436</v>
      </c>
      <c r="X104" s="456"/>
      <c r="Y104" s="456"/>
      <c r="Z104" s="456"/>
      <c r="AA104" s="456"/>
      <c r="AB104" s="456"/>
      <c r="AC104" s="456"/>
      <c r="AD104" s="141">
        <v>0</v>
      </c>
      <c r="AE104" s="139">
        <f t="shared" si="7"/>
        <v>0</v>
      </c>
      <c r="AG104" s="153">
        <v>1</v>
      </c>
      <c r="AH104" s="456" t="s">
        <v>541</v>
      </c>
      <c r="AI104" s="456"/>
      <c r="AJ104" s="456"/>
      <c r="AK104" s="456"/>
      <c r="AL104" s="456"/>
      <c r="AM104" s="456"/>
      <c r="AN104" s="456"/>
      <c r="AO104" s="141">
        <v>0</v>
      </c>
      <c r="AP104" s="139">
        <f t="shared" ref="AP104:AP150" si="9">IF(AO104&gt;0,(AO104*AG104-AG104+10),0)</f>
        <v>0</v>
      </c>
    </row>
    <row r="105" spans="1:42" ht="15.6" customHeight="1" x14ac:dyDescent="0.25">
      <c r="A105" s="153">
        <v>2</v>
      </c>
      <c r="B105" s="456" t="s">
        <v>292</v>
      </c>
      <c r="C105" s="456"/>
      <c r="D105" s="456"/>
      <c r="E105" s="456"/>
      <c r="F105" s="456"/>
      <c r="G105" s="456"/>
      <c r="H105" s="456"/>
      <c r="I105" s="150">
        <v>20</v>
      </c>
      <c r="J105" s="139">
        <f t="shared" si="6"/>
        <v>48</v>
      </c>
      <c r="L105" s="153">
        <v>7</v>
      </c>
      <c r="M105" s="456" t="s">
        <v>415</v>
      </c>
      <c r="N105" s="456"/>
      <c r="O105" s="456"/>
      <c r="P105" s="456"/>
      <c r="Q105" s="456"/>
      <c r="R105" s="456"/>
      <c r="S105" s="456"/>
      <c r="T105" s="150">
        <v>0</v>
      </c>
      <c r="U105" s="139">
        <f t="shared" si="8"/>
        <v>0</v>
      </c>
      <c r="V105" s="153">
        <v>1</v>
      </c>
      <c r="W105" s="456" t="s">
        <v>437</v>
      </c>
      <c r="X105" s="456"/>
      <c r="Y105" s="456"/>
      <c r="Z105" s="456"/>
      <c r="AA105" s="456"/>
      <c r="AB105" s="456"/>
      <c r="AC105" s="456"/>
      <c r="AD105" s="141">
        <v>0</v>
      </c>
      <c r="AE105" s="139">
        <f t="shared" si="7"/>
        <v>0</v>
      </c>
      <c r="AG105" s="153">
        <v>1</v>
      </c>
      <c r="AH105" s="456" t="s">
        <v>542</v>
      </c>
      <c r="AI105" s="456"/>
      <c r="AJ105" s="456"/>
      <c r="AK105" s="456"/>
      <c r="AL105" s="456"/>
      <c r="AM105" s="456"/>
      <c r="AN105" s="456"/>
      <c r="AO105" s="141">
        <v>0</v>
      </c>
      <c r="AP105" s="139">
        <f t="shared" si="9"/>
        <v>0</v>
      </c>
    </row>
    <row r="106" spans="1:42" ht="15.6" customHeight="1" x14ac:dyDescent="0.25">
      <c r="A106" s="153">
        <v>2</v>
      </c>
      <c r="B106" s="456" t="s">
        <v>293</v>
      </c>
      <c r="C106" s="456"/>
      <c r="D106" s="456"/>
      <c r="E106" s="456"/>
      <c r="F106" s="456"/>
      <c r="G106" s="456"/>
      <c r="H106" s="456"/>
      <c r="I106" s="150">
        <v>0</v>
      </c>
      <c r="J106" s="139">
        <f t="shared" si="6"/>
        <v>0</v>
      </c>
      <c r="L106" s="153">
        <v>7</v>
      </c>
      <c r="M106" s="456" t="s">
        <v>416</v>
      </c>
      <c r="N106" s="456"/>
      <c r="O106" s="456"/>
      <c r="P106" s="456"/>
      <c r="Q106" s="456"/>
      <c r="R106" s="456"/>
      <c r="S106" s="456"/>
      <c r="T106" s="150">
        <v>0</v>
      </c>
      <c r="U106" s="139">
        <f t="shared" si="8"/>
        <v>0</v>
      </c>
      <c r="V106" s="153">
        <v>1</v>
      </c>
      <c r="W106" s="456" t="s">
        <v>438</v>
      </c>
      <c r="X106" s="456"/>
      <c r="Y106" s="456"/>
      <c r="Z106" s="456"/>
      <c r="AA106" s="456"/>
      <c r="AB106" s="456"/>
      <c r="AC106" s="456"/>
      <c r="AD106" s="141">
        <v>0</v>
      </c>
      <c r="AE106" s="139">
        <f t="shared" si="7"/>
        <v>0</v>
      </c>
      <c r="AG106" s="153">
        <v>1</v>
      </c>
      <c r="AH106" s="456" t="s">
        <v>543</v>
      </c>
      <c r="AI106" s="456"/>
      <c r="AJ106" s="456"/>
      <c r="AK106" s="456"/>
      <c r="AL106" s="456"/>
      <c r="AM106" s="456"/>
      <c r="AN106" s="456"/>
      <c r="AO106" s="141">
        <v>0</v>
      </c>
      <c r="AP106" s="139">
        <f t="shared" si="9"/>
        <v>0</v>
      </c>
    </row>
    <row r="107" spans="1:42" ht="15.6" customHeight="1" x14ac:dyDescent="0.25">
      <c r="A107" s="153">
        <v>2</v>
      </c>
      <c r="B107" s="456" t="s">
        <v>294</v>
      </c>
      <c r="C107" s="456"/>
      <c r="D107" s="456"/>
      <c r="E107" s="456"/>
      <c r="F107" s="456"/>
      <c r="G107" s="456"/>
      <c r="H107" s="456"/>
      <c r="I107" s="150">
        <v>20</v>
      </c>
      <c r="J107" s="139">
        <f t="shared" si="6"/>
        <v>48</v>
      </c>
      <c r="L107" s="153">
        <v>7</v>
      </c>
      <c r="M107" s="456" t="s">
        <v>417</v>
      </c>
      <c r="N107" s="456"/>
      <c r="O107" s="456"/>
      <c r="P107" s="456"/>
      <c r="Q107" s="456"/>
      <c r="R107" s="456"/>
      <c r="S107" s="456"/>
      <c r="T107" s="150">
        <v>0</v>
      </c>
      <c r="U107" s="139">
        <f t="shared" si="8"/>
        <v>0</v>
      </c>
      <c r="V107" s="153">
        <v>2</v>
      </c>
      <c r="W107" s="456" t="s">
        <v>439</v>
      </c>
      <c r="X107" s="456"/>
      <c r="Y107" s="456"/>
      <c r="Z107" s="456"/>
      <c r="AA107" s="456"/>
      <c r="AB107" s="456"/>
      <c r="AC107" s="456"/>
      <c r="AD107" s="141">
        <v>20</v>
      </c>
      <c r="AE107" s="139">
        <f t="shared" si="7"/>
        <v>48</v>
      </c>
      <c r="AG107" s="153">
        <v>1</v>
      </c>
      <c r="AH107" s="456" t="s">
        <v>544</v>
      </c>
      <c r="AI107" s="456"/>
      <c r="AJ107" s="456"/>
      <c r="AK107" s="456"/>
      <c r="AL107" s="456"/>
      <c r="AM107" s="456"/>
      <c r="AN107" s="456"/>
      <c r="AO107" s="141">
        <v>0</v>
      </c>
      <c r="AP107" s="139">
        <f t="shared" si="9"/>
        <v>0</v>
      </c>
    </row>
    <row r="108" spans="1:42" ht="15.6" customHeight="1" x14ac:dyDescent="0.25">
      <c r="A108" s="153">
        <v>2</v>
      </c>
      <c r="B108" s="456" t="s">
        <v>295</v>
      </c>
      <c r="C108" s="456"/>
      <c r="D108" s="456"/>
      <c r="E108" s="456"/>
      <c r="F108" s="456"/>
      <c r="G108" s="456"/>
      <c r="H108" s="456"/>
      <c r="I108" s="150">
        <v>20</v>
      </c>
      <c r="J108" s="139">
        <f t="shared" si="6"/>
        <v>48</v>
      </c>
      <c r="L108" s="153">
        <v>7</v>
      </c>
      <c r="M108" s="456" t="s">
        <v>418</v>
      </c>
      <c r="N108" s="456"/>
      <c r="O108" s="456"/>
      <c r="P108" s="456"/>
      <c r="Q108" s="456"/>
      <c r="R108" s="456"/>
      <c r="S108" s="456"/>
      <c r="T108" s="150">
        <v>0</v>
      </c>
      <c r="U108" s="139">
        <f t="shared" si="8"/>
        <v>0</v>
      </c>
      <c r="V108" s="153">
        <v>2</v>
      </c>
      <c r="W108" s="456" t="s">
        <v>440</v>
      </c>
      <c r="X108" s="456"/>
      <c r="Y108" s="456"/>
      <c r="Z108" s="456"/>
      <c r="AA108" s="456"/>
      <c r="AB108" s="456"/>
      <c r="AC108" s="456"/>
      <c r="AD108" s="141">
        <v>0</v>
      </c>
      <c r="AE108" s="139">
        <f t="shared" si="7"/>
        <v>0</v>
      </c>
      <c r="AG108" s="153">
        <v>2</v>
      </c>
      <c r="AH108" s="456" t="s">
        <v>545</v>
      </c>
      <c r="AI108" s="456"/>
      <c r="AJ108" s="456"/>
      <c r="AK108" s="456"/>
      <c r="AL108" s="456"/>
      <c r="AM108" s="456"/>
      <c r="AN108" s="456"/>
      <c r="AO108" s="141">
        <v>0</v>
      </c>
      <c r="AP108" s="139">
        <f t="shared" si="9"/>
        <v>0</v>
      </c>
    </row>
    <row r="109" spans="1:42" ht="15.6" customHeight="1" x14ac:dyDescent="0.25">
      <c r="A109" s="153">
        <v>3</v>
      </c>
      <c r="B109" s="456" t="s">
        <v>296</v>
      </c>
      <c r="C109" s="456"/>
      <c r="D109" s="456"/>
      <c r="E109" s="456"/>
      <c r="F109" s="456"/>
      <c r="G109" s="456"/>
      <c r="H109" s="456"/>
      <c r="I109" s="150">
        <v>20</v>
      </c>
      <c r="J109" s="139">
        <f t="shared" si="6"/>
        <v>67</v>
      </c>
      <c r="L109" s="142" t="s">
        <v>160</v>
      </c>
      <c r="M109" s="455" t="s">
        <v>123</v>
      </c>
      <c r="N109" s="455"/>
      <c r="O109" s="455"/>
      <c r="P109" s="455"/>
      <c r="Q109" s="455"/>
      <c r="R109" s="455"/>
      <c r="S109" s="455"/>
      <c r="T109" s="139" t="s">
        <v>1</v>
      </c>
      <c r="U109" s="139" t="s">
        <v>31</v>
      </c>
      <c r="V109" s="153">
        <v>2</v>
      </c>
      <c r="W109" s="456" t="s">
        <v>441</v>
      </c>
      <c r="X109" s="456"/>
      <c r="Y109" s="456"/>
      <c r="Z109" s="456"/>
      <c r="AA109" s="456"/>
      <c r="AB109" s="456"/>
      <c r="AC109" s="456"/>
      <c r="AD109" s="141">
        <v>0</v>
      </c>
      <c r="AE109" s="139">
        <f t="shared" si="7"/>
        <v>0</v>
      </c>
      <c r="AG109" s="153">
        <v>2</v>
      </c>
      <c r="AH109" s="456" t="s">
        <v>546</v>
      </c>
      <c r="AI109" s="456"/>
      <c r="AJ109" s="456"/>
      <c r="AK109" s="456"/>
      <c r="AL109" s="456"/>
      <c r="AM109" s="456"/>
      <c r="AN109" s="456"/>
      <c r="AO109" s="141">
        <v>0</v>
      </c>
      <c r="AP109" s="139">
        <f t="shared" si="9"/>
        <v>0</v>
      </c>
    </row>
    <row r="110" spans="1:42" ht="15.6" customHeight="1" x14ac:dyDescent="0.25">
      <c r="A110" s="153">
        <v>3</v>
      </c>
      <c r="B110" s="456" t="s">
        <v>297</v>
      </c>
      <c r="C110" s="456"/>
      <c r="D110" s="456"/>
      <c r="E110" s="456"/>
      <c r="F110" s="456"/>
      <c r="G110" s="456"/>
      <c r="H110" s="456"/>
      <c r="I110" s="150">
        <v>20</v>
      </c>
      <c r="J110" s="139">
        <f t="shared" si="6"/>
        <v>67</v>
      </c>
      <c r="L110" s="138">
        <v>1</v>
      </c>
      <c r="M110" s="465" t="s">
        <v>314</v>
      </c>
      <c r="N110" s="465"/>
      <c r="O110" s="465"/>
      <c r="P110" s="465"/>
      <c r="Q110" s="465"/>
      <c r="R110" s="465"/>
      <c r="S110" s="465"/>
      <c r="T110" s="150">
        <v>0</v>
      </c>
      <c r="U110" s="139">
        <f t="shared" si="8"/>
        <v>0</v>
      </c>
      <c r="V110" s="153">
        <v>2</v>
      </c>
      <c r="W110" s="456" t="s">
        <v>442</v>
      </c>
      <c r="X110" s="456"/>
      <c r="Y110" s="456"/>
      <c r="Z110" s="456"/>
      <c r="AA110" s="456"/>
      <c r="AB110" s="456"/>
      <c r="AC110" s="456"/>
      <c r="AD110" s="141">
        <v>0</v>
      </c>
      <c r="AE110" s="139">
        <f t="shared" si="7"/>
        <v>0</v>
      </c>
      <c r="AG110" s="153">
        <v>2</v>
      </c>
      <c r="AH110" s="456" t="s">
        <v>547</v>
      </c>
      <c r="AI110" s="456"/>
      <c r="AJ110" s="456"/>
      <c r="AK110" s="456"/>
      <c r="AL110" s="456"/>
      <c r="AM110" s="456"/>
      <c r="AN110" s="456"/>
      <c r="AO110" s="141">
        <v>0</v>
      </c>
      <c r="AP110" s="139">
        <f t="shared" si="9"/>
        <v>0</v>
      </c>
    </row>
    <row r="111" spans="1:42" ht="15.6" customHeight="1" x14ac:dyDescent="0.25">
      <c r="A111" s="153">
        <v>3</v>
      </c>
      <c r="B111" s="456" t="s">
        <v>298</v>
      </c>
      <c r="C111" s="456"/>
      <c r="D111" s="456"/>
      <c r="E111" s="456"/>
      <c r="F111" s="456"/>
      <c r="G111" s="456"/>
      <c r="H111" s="456"/>
      <c r="I111" s="150">
        <v>0</v>
      </c>
      <c r="J111" s="139">
        <f t="shared" si="6"/>
        <v>0</v>
      </c>
      <c r="L111" s="138">
        <v>1</v>
      </c>
      <c r="M111" s="465" t="s">
        <v>316</v>
      </c>
      <c r="N111" s="465"/>
      <c r="O111" s="465"/>
      <c r="P111" s="465"/>
      <c r="Q111" s="465"/>
      <c r="R111" s="465"/>
      <c r="S111" s="465"/>
      <c r="T111" s="150">
        <v>0</v>
      </c>
      <c r="U111" s="139">
        <f t="shared" si="8"/>
        <v>0</v>
      </c>
      <c r="V111" s="153">
        <v>2</v>
      </c>
      <c r="W111" s="456" t="s">
        <v>443</v>
      </c>
      <c r="X111" s="456"/>
      <c r="Y111" s="456"/>
      <c r="Z111" s="456"/>
      <c r="AA111" s="456"/>
      <c r="AB111" s="456"/>
      <c r="AC111" s="456"/>
      <c r="AD111" s="141">
        <v>0</v>
      </c>
      <c r="AE111" s="139">
        <f t="shared" si="7"/>
        <v>0</v>
      </c>
      <c r="AG111" s="153">
        <v>2</v>
      </c>
      <c r="AH111" s="456" t="s">
        <v>548</v>
      </c>
      <c r="AI111" s="456"/>
      <c r="AJ111" s="456"/>
      <c r="AK111" s="456"/>
      <c r="AL111" s="456"/>
      <c r="AM111" s="456"/>
      <c r="AN111" s="456"/>
      <c r="AO111" s="141">
        <v>0</v>
      </c>
      <c r="AP111" s="139">
        <f t="shared" si="9"/>
        <v>0</v>
      </c>
    </row>
    <row r="112" spans="1:42" ht="15.6" customHeight="1" x14ac:dyDescent="0.25">
      <c r="A112" s="153">
        <v>4</v>
      </c>
      <c r="B112" s="456" t="s">
        <v>299</v>
      </c>
      <c r="C112" s="456"/>
      <c r="D112" s="456"/>
      <c r="E112" s="456"/>
      <c r="F112" s="456"/>
      <c r="G112" s="456"/>
      <c r="H112" s="456"/>
      <c r="I112" s="150">
        <v>20</v>
      </c>
      <c r="J112" s="139">
        <f t="shared" si="6"/>
        <v>86</v>
      </c>
      <c r="L112" s="138">
        <v>1</v>
      </c>
      <c r="M112" s="465" t="s">
        <v>317</v>
      </c>
      <c r="N112" s="465"/>
      <c r="O112" s="465"/>
      <c r="P112" s="465"/>
      <c r="Q112" s="465"/>
      <c r="R112" s="465"/>
      <c r="S112" s="465"/>
      <c r="T112" s="150">
        <v>0</v>
      </c>
      <c r="U112" s="139">
        <f t="shared" si="8"/>
        <v>0</v>
      </c>
      <c r="V112" s="153">
        <v>3</v>
      </c>
      <c r="W112" s="456" t="s">
        <v>444</v>
      </c>
      <c r="X112" s="456"/>
      <c r="Y112" s="456"/>
      <c r="Z112" s="456"/>
      <c r="AA112" s="456"/>
      <c r="AB112" s="456"/>
      <c r="AC112" s="456"/>
      <c r="AD112" s="141">
        <v>20</v>
      </c>
      <c r="AE112" s="139">
        <f t="shared" si="7"/>
        <v>67</v>
      </c>
      <c r="AG112" s="153">
        <v>2</v>
      </c>
      <c r="AH112" s="456" t="s">
        <v>573</v>
      </c>
      <c r="AI112" s="456"/>
      <c r="AJ112" s="456"/>
      <c r="AK112" s="456"/>
      <c r="AL112" s="456"/>
      <c r="AM112" s="456"/>
      <c r="AN112" s="456"/>
      <c r="AO112" s="141">
        <v>0</v>
      </c>
      <c r="AP112" s="139">
        <f t="shared" si="9"/>
        <v>0</v>
      </c>
    </row>
    <row r="113" spans="1:42" ht="15.6" customHeight="1" x14ac:dyDescent="0.25">
      <c r="A113" s="153">
        <v>4</v>
      </c>
      <c r="B113" s="456" t="s">
        <v>300</v>
      </c>
      <c r="C113" s="456"/>
      <c r="D113" s="456"/>
      <c r="E113" s="456"/>
      <c r="F113" s="456"/>
      <c r="G113" s="456"/>
      <c r="H113" s="456"/>
      <c r="I113" s="150">
        <v>20</v>
      </c>
      <c r="J113" s="139">
        <f t="shared" si="6"/>
        <v>86</v>
      </c>
      <c r="L113" s="138">
        <v>1</v>
      </c>
      <c r="M113" s="465" t="s">
        <v>318</v>
      </c>
      <c r="N113" s="465"/>
      <c r="O113" s="465"/>
      <c r="P113" s="465"/>
      <c r="Q113" s="465"/>
      <c r="R113" s="465"/>
      <c r="S113" s="465"/>
      <c r="T113" s="150">
        <v>20</v>
      </c>
      <c r="U113" s="139">
        <f t="shared" si="8"/>
        <v>29</v>
      </c>
      <c r="V113" s="153">
        <v>3</v>
      </c>
      <c r="W113" s="456" t="s">
        <v>445</v>
      </c>
      <c r="X113" s="456"/>
      <c r="Y113" s="456"/>
      <c r="Z113" s="456"/>
      <c r="AA113" s="456"/>
      <c r="AB113" s="456"/>
      <c r="AC113" s="456"/>
      <c r="AD113" s="141">
        <v>0</v>
      </c>
      <c r="AE113" s="139">
        <f t="shared" si="7"/>
        <v>0</v>
      </c>
      <c r="AG113" s="153">
        <v>3</v>
      </c>
      <c r="AH113" s="456" t="s">
        <v>526</v>
      </c>
      <c r="AI113" s="456"/>
      <c r="AJ113" s="456"/>
      <c r="AK113" s="456"/>
      <c r="AL113" s="456"/>
      <c r="AM113" s="456"/>
      <c r="AN113" s="456"/>
      <c r="AO113" s="141">
        <v>0</v>
      </c>
      <c r="AP113" s="139">
        <f t="shared" si="9"/>
        <v>0</v>
      </c>
    </row>
    <row r="114" spans="1:42" ht="15.6" customHeight="1" x14ac:dyDescent="0.25">
      <c r="A114" s="153">
        <v>5</v>
      </c>
      <c r="B114" s="456" t="s">
        <v>301</v>
      </c>
      <c r="C114" s="456"/>
      <c r="D114" s="456"/>
      <c r="E114" s="456"/>
      <c r="F114" s="456"/>
      <c r="G114" s="456"/>
      <c r="H114" s="456"/>
      <c r="I114" s="150">
        <v>20</v>
      </c>
      <c r="J114" s="139">
        <f t="shared" si="6"/>
        <v>105</v>
      </c>
      <c r="L114" s="138">
        <v>2</v>
      </c>
      <c r="M114" s="465" t="s">
        <v>319</v>
      </c>
      <c r="N114" s="465"/>
      <c r="O114" s="465"/>
      <c r="P114" s="465"/>
      <c r="Q114" s="465"/>
      <c r="R114" s="465"/>
      <c r="S114" s="465"/>
      <c r="T114" s="150">
        <v>20</v>
      </c>
      <c r="U114" s="139">
        <f t="shared" si="8"/>
        <v>48</v>
      </c>
      <c r="V114" s="153">
        <v>3</v>
      </c>
      <c r="W114" s="456" t="s">
        <v>446</v>
      </c>
      <c r="X114" s="456"/>
      <c r="Y114" s="456"/>
      <c r="Z114" s="456"/>
      <c r="AA114" s="456"/>
      <c r="AB114" s="456"/>
      <c r="AC114" s="456"/>
      <c r="AD114" s="141">
        <v>0</v>
      </c>
      <c r="AE114" s="139">
        <f t="shared" si="7"/>
        <v>0</v>
      </c>
      <c r="AG114" s="153">
        <v>3</v>
      </c>
      <c r="AH114" s="456" t="s">
        <v>528</v>
      </c>
      <c r="AI114" s="456"/>
      <c r="AJ114" s="456"/>
      <c r="AK114" s="456"/>
      <c r="AL114" s="456"/>
      <c r="AM114" s="456"/>
      <c r="AN114" s="456"/>
      <c r="AO114" s="141">
        <v>0</v>
      </c>
      <c r="AP114" s="139">
        <f t="shared" si="9"/>
        <v>0</v>
      </c>
    </row>
    <row r="115" spans="1:42" ht="15.6" customHeight="1" x14ac:dyDescent="0.25">
      <c r="A115" s="153">
        <v>5</v>
      </c>
      <c r="B115" s="456" t="s">
        <v>302</v>
      </c>
      <c r="C115" s="456"/>
      <c r="D115" s="456"/>
      <c r="E115" s="456"/>
      <c r="F115" s="456"/>
      <c r="G115" s="456"/>
      <c r="H115" s="456"/>
      <c r="I115" s="150">
        <v>0</v>
      </c>
      <c r="J115" s="139">
        <f t="shared" si="6"/>
        <v>0</v>
      </c>
      <c r="L115" s="138">
        <v>2</v>
      </c>
      <c r="M115" s="465" t="s">
        <v>320</v>
      </c>
      <c r="N115" s="465"/>
      <c r="O115" s="465"/>
      <c r="P115" s="465"/>
      <c r="Q115" s="465"/>
      <c r="R115" s="465"/>
      <c r="S115" s="465"/>
      <c r="T115" s="150">
        <v>0</v>
      </c>
      <c r="U115" s="139">
        <f t="shared" si="8"/>
        <v>0</v>
      </c>
      <c r="V115" s="153">
        <v>3</v>
      </c>
      <c r="W115" s="456" t="s">
        <v>447</v>
      </c>
      <c r="X115" s="456"/>
      <c r="Y115" s="456"/>
      <c r="Z115" s="456"/>
      <c r="AA115" s="456"/>
      <c r="AB115" s="456"/>
      <c r="AC115" s="456"/>
      <c r="AD115" s="141">
        <v>0</v>
      </c>
      <c r="AE115" s="139">
        <f t="shared" si="7"/>
        <v>0</v>
      </c>
      <c r="AG115" s="153">
        <v>3</v>
      </c>
      <c r="AH115" s="456" t="s">
        <v>536</v>
      </c>
      <c r="AI115" s="456"/>
      <c r="AJ115" s="456"/>
      <c r="AK115" s="456"/>
      <c r="AL115" s="456"/>
      <c r="AM115" s="456"/>
      <c r="AN115" s="456"/>
      <c r="AO115" s="141">
        <v>0</v>
      </c>
      <c r="AP115" s="139">
        <f t="shared" si="9"/>
        <v>0</v>
      </c>
    </row>
    <row r="116" spans="1:42" ht="15.6" customHeight="1" x14ac:dyDescent="0.25">
      <c r="A116" s="153">
        <v>5</v>
      </c>
      <c r="B116" s="456" t="s">
        <v>303</v>
      </c>
      <c r="C116" s="456"/>
      <c r="D116" s="456"/>
      <c r="E116" s="456"/>
      <c r="F116" s="456"/>
      <c r="G116" s="456"/>
      <c r="H116" s="456"/>
      <c r="I116" s="150">
        <v>0</v>
      </c>
      <c r="J116" s="139">
        <f t="shared" si="6"/>
        <v>0</v>
      </c>
      <c r="L116" s="138">
        <v>2</v>
      </c>
      <c r="M116" s="465" t="s">
        <v>321</v>
      </c>
      <c r="N116" s="465"/>
      <c r="O116" s="465"/>
      <c r="P116" s="465"/>
      <c r="Q116" s="465"/>
      <c r="R116" s="465"/>
      <c r="S116" s="465"/>
      <c r="T116" s="150">
        <v>0</v>
      </c>
      <c r="U116" s="139">
        <f t="shared" si="8"/>
        <v>0</v>
      </c>
      <c r="V116" s="153">
        <v>4</v>
      </c>
      <c r="W116" s="456" t="s">
        <v>448</v>
      </c>
      <c r="X116" s="456"/>
      <c r="Y116" s="456"/>
      <c r="Z116" s="456"/>
      <c r="AA116" s="456"/>
      <c r="AB116" s="456"/>
      <c r="AC116" s="456"/>
      <c r="AD116" s="141">
        <v>0</v>
      </c>
      <c r="AE116" s="139">
        <f t="shared" si="7"/>
        <v>0</v>
      </c>
      <c r="AG116" s="153">
        <v>3</v>
      </c>
      <c r="AH116" s="456" t="s">
        <v>537</v>
      </c>
      <c r="AI116" s="456"/>
      <c r="AJ116" s="456"/>
      <c r="AK116" s="456"/>
      <c r="AL116" s="456"/>
      <c r="AM116" s="456"/>
      <c r="AN116" s="456"/>
      <c r="AO116" s="141">
        <v>0</v>
      </c>
      <c r="AP116" s="139">
        <f t="shared" si="9"/>
        <v>0</v>
      </c>
    </row>
    <row r="117" spans="1:42" ht="15.6" customHeight="1" x14ac:dyDescent="0.25">
      <c r="A117" s="153">
        <v>5</v>
      </c>
      <c r="B117" s="456" t="s">
        <v>304</v>
      </c>
      <c r="C117" s="456"/>
      <c r="D117" s="456"/>
      <c r="E117" s="456"/>
      <c r="F117" s="456"/>
      <c r="G117" s="456"/>
      <c r="H117" s="456"/>
      <c r="I117" s="150">
        <v>0</v>
      </c>
      <c r="J117" s="139">
        <f t="shared" si="6"/>
        <v>0</v>
      </c>
      <c r="L117" s="138">
        <v>2</v>
      </c>
      <c r="M117" s="465" t="s">
        <v>322</v>
      </c>
      <c r="N117" s="465"/>
      <c r="O117" s="465"/>
      <c r="P117" s="465"/>
      <c r="Q117" s="465"/>
      <c r="R117" s="465"/>
      <c r="S117" s="465"/>
      <c r="T117" s="150">
        <v>0</v>
      </c>
      <c r="U117" s="139">
        <f t="shared" si="8"/>
        <v>0</v>
      </c>
      <c r="V117" s="153">
        <v>4</v>
      </c>
      <c r="W117" s="456" t="s">
        <v>449</v>
      </c>
      <c r="X117" s="456"/>
      <c r="Y117" s="456"/>
      <c r="Z117" s="456"/>
      <c r="AA117" s="456"/>
      <c r="AB117" s="456"/>
      <c r="AC117" s="456"/>
      <c r="AD117" s="141">
        <v>20</v>
      </c>
      <c r="AE117" s="139">
        <f t="shared" si="7"/>
        <v>86</v>
      </c>
      <c r="AG117" s="153">
        <v>3</v>
      </c>
      <c r="AH117" s="456" t="s">
        <v>549</v>
      </c>
      <c r="AI117" s="456"/>
      <c r="AJ117" s="456"/>
      <c r="AK117" s="456"/>
      <c r="AL117" s="456"/>
      <c r="AM117" s="456"/>
      <c r="AN117" s="456"/>
      <c r="AO117" s="141">
        <v>0</v>
      </c>
      <c r="AP117" s="139">
        <f t="shared" si="9"/>
        <v>0</v>
      </c>
    </row>
    <row r="118" spans="1:42" ht="15.6" customHeight="1" x14ac:dyDescent="0.25">
      <c r="A118" s="153">
        <v>6</v>
      </c>
      <c r="B118" s="456" t="s">
        <v>305</v>
      </c>
      <c r="C118" s="456"/>
      <c r="D118" s="456"/>
      <c r="E118" s="456"/>
      <c r="F118" s="456"/>
      <c r="G118" s="456"/>
      <c r="H118" s="456"/>
      <c r="I118" s="150">
        <v>20</v>
      </c>
      <c r="J118" s="139">
        <f t="shared" si="6"/>
        <v>124</v>
      </c>
      <c r="L118" s="138">
        <v>2</v>
      </c>
      <c r="M118" s="465" t="s">
        <v>323</v>
      </c>
      <c r="N118" s="465"/>
      <c r="O118" s="465"/>
      <c r="P118" s="465"/>
      <c r="Q118" s="465"/>
      <c r="R118" s="465"/>
      <c r="S118" s="465"/>
      <c r="T118" s="150">
        <v>0</v>
      </c>
      <c r="U118" s="139">
        <f t="shared" si="8"/>
        <v>0</v>
      </c>
      <c r="V118" s="153">
        <v>4</v>
      </c>
      <c r="W118" s="456" t="s">
        <v>450</v>
      </c>
      <c r="X118" s="456"/>
      <c r="Y118" s="456"/>
      <c r="Z118" s="456"/>
      <c r="AA118" s="456"/>
      <c r="AB118" s="456"/>
      <c r="AC118" s="456"/>
      <c r="AD118" s="141">
        <v>0</v>
      </c>
      <c r="AE118" s="139">
        <f t="shared" si="7"/>
        <v>0</v>
      </c>
      <c r="AG118" s="153">
        <v>3</v>
      </c>
      <c r="AH118" s="456" t="s">
        <v>550</v>
      </c>
      <c r="AI118" s="456"/>
      <c r="AJ118" s="456"/>
      <c r="AK118" s="456"/>
      <c r="AL118" s="456"/>
      <c r="AM118" s="456"/>
      <c r="AN118" s="456"/>
      <c r="AO118" s="141">
        <v>0</v>
      </c>
      <c r="AP118" s="139">
        <f t="shared" si="9"/>
        <v>0</v>
      </c>
    </row>
    <row r="119" spans="1:42" ht="15.6" customHeight="1" x14ac:dyDescent="0.25">
      <c r="A119" s="153">
        <v>6</v>
      </c>
      <c r="B119" s="456" t="s">
        <v>306</v>
      </c>
      <c r="C119" s="456"/>
      <c r="D119" s="456"/>
      <c r="E119" s="456"/>
      <c r="F119" s="456"/>
      <c r="G119" s="456"/>
      <c r="H119" s="456"/>
      <c r="I119" s="150">
        <v>0</v>
      </c>
      <c r="J119" s="139">
        <f t="shared" si="6"/>
        <v>0</v>
      </c>
      <c r="L119" s="138">
        <v>2</v>
      </c>
      <c r="M119" s="465" t="s">
        <v>324</v>
      </c>
      <c r="N119" s="465"/>
      <c r="O119" s="465"/>
      <c r="P119" s="465"/>
      <c r="Q119" s="465"/>
      <c r="R119" s="465"/>
      <c r="S119" s="465"/>
      <c r="T119" s="150">
        <v>0</v>
      </c>
      <c r="U119" s="139">
        <f t="shared" si="8"/>
        <v>0</v>
      </c>
      <c r="V119" s="153">
        <v>5</v>
      </c>
      <c r="W119" s="456" t="s">
        <v>431</v>
      </c>
      <c r="X119" s="456"/>
      <c r="Y119" s="456"/>
      <c r="Z119" s="456"/>
      <c r="AA119" s="456"/>
      <c r="AB119" s="456"/>
      <c r="AC119" s="456"/>
      <c r="AD119" s="141">
        <v>0</v>
      </c>
      <c r="AE119" s="139">
        <f t="shared" si="7"/>
        <v>0</v>
      </c>
      <c r="AG119" s="153">
        <v>3</v>
      </c>
      <c r="AH119" s="456" t="s">
        <v>551</v>
      </c>
      <c r="AI119" s="456"/>
      <c r="AJ119" s="456"/>
      <c r="AK119" s="456"/>
      <c r="AL119" s="456"/>
      <c r="AM119" s="456"/>
      <c r="AN119" s="456"/>
      <c r="AO119" s="141">
        <v>0</v>
      </c>
      <c r="AP119" s="139">
        <f t="shared" si="9"/>
        <v>0</v>
      </c>
    </row>
    <row r="120" spans="1:42" ht="15.6" customHeight="1" x14ac:dyDescent="0.25">
      <c r="A120" s="153">
        <v>6</v>
      </c>
      <c r="B120" s="456" t="s">
        <v>307</v>
      </c>
      <c r="C120" s="456"/>
      <c r="D120" s="456"/>
      <c r="E120" s="456"/>
      <c r="F120" s="456"/>
      <c r="G120" s="456"/>
      <c r="H120" s="456"/>
      <c r="I120" s="150">
        <v>0</v>
      </c>
      <c r="J120" s="139">
        <f t="shared" si="6"/>
        <v>0</v>
      </c>
      <c r="L120" s="138">
        <v>3</v>
      </c>
      <c r="M120" s="465" t="s">
        <v>325</v>
      </c>
      <c r="N120" s="465"/>
      <c r="O120" s="465"/>
      <c r="P120" s="465"/>
      <c r="Q120" s="465"/>
      <c r="R120" s="465"/>
      <c r="S120" s="465"/>
      <c r="T120" s="150">
        <v>0</v>
      </c>
      <c r="U120" s="139">
        <f t="shared" si="8"/>
        <v>0</v>
      </c>
      <c r="V120" s="153">
        <v>5</v>
      </c>
      <c r="W120" s="456" t="s">
        <v>433</v>
      </c>
      <c r="X120" s="456"/>
      <c r="Y120" s="456"/>
      <c r="Z120" s="456"/>
      <c r="AA120" s="456"/>
      <c r="AB120" s="456"/>
      <c r="AC120" s="456"/>
      <c r="AD120" s="141">
        <v>20</v>
      </c>
      <c r="AE120" s="139">
        <f t="shared" si="7"/>
        <v>105</v>
      </c>
      <c r="AG120" s="153">
        <v>3</v>
      </c>
      <c r="AH120" s="456" t="s">
        <v>552</v>
      </c>
      <c r="AI120" s="456"/>
      <c r="AJ120" s="456"/>
      <c r="AK120" s="456"/>
      <c r="AL120" s="456"/>
      <c r="AM120" s="456"/>
      <c r="AN120" s="456"/>
      <c r="AO120" s="141">
        <v>0</v>
      </c>
      <c r="AP120" s="139">
        <f t="shared" si="9"/>
        <v>0</v>
      </c>
    </row>
    <row r="121" spans="1:42" ht="15.6" customHeight="1" x14ac:dyDescent="0.25">
      <c r="A121" s="153">
        <v>7</v>
      </c>
      <c r="B121" s="456" t="s">
        <v>308</v>
      </c>
      <c r="C121" s="456"/>
      <c r="D121" s="456"/>
      <c r="E121" s="456"/>
      <c r="F121" s="456"/>
      <c r="G121" s="456"/>
      <c r="H121" s="456"/>
      <c r="I121" s="150">
        <v>20</v>
      </c>
      <c r="J121" s="139">
        <f t="shared" si="6"/>
        <v>143</v>
      </c>
      <c r="L121" s="138">
        <v>3</v>
      </c>
      <c r="M121" s="465" t="s">
        <v>326</v>
      </c>
      <c r="N121" s="465"/>
      <c r="O121" s="465"/>
      <c r="P121" s="465"/>
      <c r="Q121" s="465"/>
      <c r="R121" s="465"/>
      <c r="S121" s="465"/>
      <c r="T121" s="150">
        <v>20</v>
      </c>
      <c r="U121" s="139">
        <f t="shared" si="8"/>
        <v>67</v>
      </c>
      <c r="V121" s="153">
        <v>5</v>
      </c>
      <c r="W121" s="456" t="s">
        <v>434</v>
      </c>
      <c r="X121" s="456"/>
      <c r="Y121" s="456"/>
      <c r="Z121" s="456"/>
      <c r="AA121" s="456"/>
      <c r="AB121" s="456"/>
      <c r="AC121" s="456"/>
      <c r="AD121" s="141">
        <v>0</v>
      </c>
      <c r="AE121" s="139">
        <f t="shared" si="7"/>
        <v>0</v>
      </c>
      <c r="AG121" s="153">
        <v>3</v>
      </c>
      <c r="AH121" s="456" t="s">
        <v>553</v>
      </c>
      <c r="AI121" s="456"/>
      <c r="AJ121" s="456"/>
      <c r="AK121" s="456"/>
      <c r="AL121" s="456"/>
      <c r="AM121" s="456"/>
      <c r="AN121" s="456"/>
      <c r="AO121" s="141">
        <v>0</v>
      </c>
      <c r="AP121" s="139">
        <f t="shared" si="9"/>
        <v>0</v>
      </c>
    </row>
    <row r="122" spans="1:42" ht="15.6" customHeight="1" x14ac:dyDescent="0.25">
      <c r="A122" s="153">
        <v>7</v>
      </c>
      <c r="B122" s="456" t="s">
        <v>309</v>
      </c>
      <c r="C122" s="456"/>
      <c r="D122" s="456"/>
      <c r="E122" s="456"/>
      <c r="F122" s="456"/>
      <c r="G122" s="456"/>
      <c r="H122" s="456"/>
      <c r="I122" s="150">
        <v>0</v>
      </c>
      <c r="J122" s="139">
        <f t="shared" si="6"/>
        <v>0</v>
      </c>
      <c r="L122" s="138">
        <v>3</v>
      </c>
      <c r="M122" s="465" t="s">
        <v>327</v>
      </c>
      <c r="N122" s="465"/>
      <c r="O122" s="465"/>
      <c r="P122" s="465"/>
      <c r="Q122" s="465"/>
      <c r="R122" s="465"/>
      <c r="S122" s="465"/>
      <c r="T122" s="150">
        <v>0</v>
      </c>
      <c r="U122" s="139">
        <f t="shared" si="8"/>
        <v>0</v>
      </c>
      <c r="V122" s="153">
        <v>6</v>
      </c>
      <c r="W122" s="456" t="s">
        <v>451</v>
      </c>
      <c r="X122" s="456"/>
      <c r="Y122" s="456"/>
      <c r="Z122" s="456"/>
      <c r="AA122" s="456"/>
      <c r="AB122" s="456"/>
      <c r="AC122" s="456"/>
      <c r="AD122" s="141">
        <v>20</v>
      </c>
      <c r="AE122" s="139">
        <f t="shared" si="7"/>
        <v>124</v>
      </c>
      <c r="AG122" s="153">
        <v>3</v>
      </c>
      <c r="AH122" s="456" t="s">
        <v>554</v>
      </c>
      <c r="AI122" s="456"/>
      <c r="AJ122" s="456"/>
      <c r="AK122" s="456"/>
      <c r="AL122" s="456"/>
      <c r="AM122" s="456"/>
      <c r="AN122" s="456"/>
      <c r="AO122" s="141">
        <v>0</v>
      </c>
      <c r="AP122" s="139">
        <f t="shared" si="9"/>
        <v>0</v>
      </c>
    </row>
    <row r="123" spans="1:42" ht="15.6" customHeight="1" x14ac:dyDescent="0.25">
      <c r="A123" s="153">
        <v>7</v>
      </c>
      <c r="B123" s="456" t="s">
        <v>310</v>
      </c>
      <c r="C123" s="456"/>
      <c r="D123" s="456"/>
      <c r="E123" s="456"/>
      <c r="F123" s="456"/>
      <c r="G123" s="456"/>
      <c r="H123" s="456"/>
      <c r="I123" s="150">
        <v>0</v>
      </c>
      <c r="J123" s="139">
        <f t="shared" si="6"/>
        <v>0</v>
      </c>
      <c r="L123" s="138">
        <v>3</v>
      </c>
      <c r="M123" s="465" t="s">
        <v>328</v>
      </c>
      <c r="N123" s="465"/>
      <c r="O123" s="465"/>
      <c r="P123" s="465"/>
      <c r="Q123" s="465"/>
      <c r="R123" s="465"/>
      <c r="S123" s="465"/>
      <c r="T123" s="150">
        <v>0</v>
      </c>
      <c r="U123" s="139">
        <f t="shared" si="8"/>
        <v>0</v>
      </c>
      <c r="V123" s="153">
        <v>6</v>
      </c>
      <c r="W123" s="456" t="s">
        <v>452</v>
      </c>
      <c r="X123" s="456"/>
      <c r="Y123" s="456"/>
      <c r="Z123" s="456"/>
      <c r="AA123" s="456"/>
      <c r="AB123" s="456"/>
      <c r="AC123" s="456"/>
      <c r="AD123" s="141">
        <v>20</v>
      </c>
      <c r="AE123" s="139">
        <f t="shared" si="7"/>
        <v>124</v>
      </c>
      <c r="AG123" s="153">
        <v>3</v>
      </c>
      <c r="AH123" s="456" t="s">
        <v>555</v>
      </c>
      <c r="AI123" s="456"/>
      <c r="AJ123" s="456"/>
      <c r="AK123" s="456"/>
      <c r="AL123" s="456"/>
      <c r="AM123" s="456"/>
      <c r="AN123" s="456"/>
      <c r="AO123" s="141">
        <v>0</v>
      </c>
      <c r="AP123" s="139">
        <f t="shared" si="9"/>
        <v>0</v>
      </c>
    </row>
    <row r="124" spans="1:42" ht="15.6" customHeight="1" x14ac:dyDescent="0.25">
      <c r="A124" s="142" t="s">
        <v>160</v>
      </c>
      <c r="B124" s="466" t="s">
        <v>387</v>
      </c>
      <c r="C124" s="466"/>
      <c r="D124" s="466"/>
      <c r="E124" s="466"/>
      <c r="F124" s="466"/>
      <c r="G124" s="466"/>
      <c r="H124" s="466"/>
      <c r="I124" s="139" t="s">
        <v>1</v>
      </c>
      <c r="J124" s="139" t="s">
        <v>31</v>
      </c>
      <c r="L124" s="138">
        <v>3</v>
      </c>
      <c r="M124" s="465" t="s">
        <v>329</v>
      </c>
      <c r="N124" s="465"/>
      <c r="O124" s="465"/>
      <c r="P124" s="465"/>
      <c r="Q124" s="465"/>
      <c r="R124" s="465"/>
      <c r="S124" s="465"/>
      <c r="T124" s="150">
        <v>0</v>
      </c>
      <c r="U124" s="139">
        <f t="shared" si="8"/>
        <v>0</v>
      </c>
      <c r="V124" s="153">
        <v>6</v>
      </c>
      <c r="W124" s="456" t="s">
        <v>453</v>
      </c>
      <c r="X124" s="456"/>
      <c r="Y124" s="456"/>
      <c r="Z124" s="456"/>
      <c r="AA124" s="456"/>
      <c r="AB124" s="456"/>
      <c r="AC124" s="456"/>
      <c r="AD124" s="141">
        <v>20</v>
      </c>
      <c r="AE124" s="139">
        <f t="shared" si="7"/>
        <v>124</v>
      </c>
      <c r="AG124" s="153">
        <v>3</v>
      </c>
      <c r="AH124" s="456" t="s">
        <v>556</v>
      </c>
      <c r="AI124" s="456"/>
      <c r="AJ124" s="456"/>
      <c r="AK124" s="456"/>
      <c r="AL124" s="456"/>
      <c r="AM124" s="456"/>
      <c r="AN124" s="456"/>
      <c r="AO124" s="141">
        <v>0</v>
      </c>
      <c r="AP124" s="139">
        <f t="shared" si="9"/>
        <v>0</v>
      </c>
    </row>
    <row r="125" spans="1:42" ht="15.6" customHeight="1" x14ac:dyDescent="0.25">
      <c r="A125" s="153">
        <v>1</v>
      </c>
      <c r="B125" s="456" t="s">
        <v>392</v>
      </c>
      <c r="C125" s="456"/>
      <c r="D125" s="456"/>
      <c r="E125" s="456"/>
      <c r="F125" s="456"/>
      <c r="G125" s="456"/>
      <c r="H125" s="456"/>
      <c r="I125" s="150">
        <v>20</v>
      </c>
      <c r="J125" s="139">
        <f t="shared" ref="J125:J150" si="10">IF(I125&gt;0,(I125*A125-A125+10),0)</f>
        <v>29</v>
      </c>
      <c r="L125" s="138">
        <v>4</v>
      </c>
      <c r="M125" s="465" t="s">
        <v>330</v>
      </c>
      <c r="N125" s="465"/>
      <c r="O125" s="465"/>
      <c r="P125" s="465"/>
      <c r="Q125" s="465"/>
      <c r="R125" s="465"/>
      <c r="S125" s="465"/>
      <c r="T125" s="150">
        <v>0</v>
      </c>
      <c r="U125" s="139">
        <f t="shared" si="8"/>
        <v>0</v>
      </c>
      <c r="V125" s="153">
        <v>7</v>
      </c>
      <c r="W125" s="456" t="s">
        <v>454</v>
      </c>
      <c r="X125" s="456"/>
      <c r="Y125" s="456"/>
      <c r="Z125" s="456"/>
      <c r="AA125" s="456"/>
      <c r="AB125" s="456"/>
      <c r="AC125" s="456"/>
      <c r="AD125" s="141">
        <v>20</v>
      </c>
      <c r="AE125" s="139">
        <f t="shared" si="7"/>
        <v>143</v>
      </c>
      <c r="AG125" s="153">
        <v>3</v>
      </c>
      <c r="AH125" s="456" t="s">
        <v>557</v>
      </c>
      <c r="AI125" s="456"/>
      <c r="AJ125" s="456"/>
      <c r="AK125" s="456"/>
      <c r="AL125" s="456"/>
      <c r="AM125" s="456"/>
      <c r="AN125" s="456"/>
      <c r="AO125" s="141">
        <v>0</v>
      </c>
      <c r="AP125" s="139">
        <f t="shared" si="9"/>
        <v>0</v>
      </c>
    </row>
    <row r="126" spans="1:42" ht="15.6" customHeight="1" x14ac:dyDescent="0.25">
      <c r="A126" s="153">
        <v>1</v>
      </c>
      <c r="B126" s="456" t="s">
        <v>393</v>
      </c>
      <c r="C126" s="456"/>
      <c r="D126" s="456"/>
      <c r="E126" s="456"/>
      <c r="F126" s="456"/>
      <c r="G126" s="456"/>
      <c r="H126" s="456"/>
      <c r="I126" s="150">
        <v>0</v>
      </c>
      <c r="J126" s="139">
        <f t="shared" si="10"/>
        <v>0</v>
      </c>
      <c r="L126" s="138">
        <v>4</v>
      </c>
      <c r="M126" s="465" t="s">
        <v>331</v>
      </c>
      <c r="N126" s="465"/>
      <c r="O126" s="465"/>
      <c r="P126" s="465"/>
      <c r="Q126" s="465"/>
      <c r="R126" s="465"/>
      <c r="S126" s="465"/>
      <c r="T126" s="150">
        <v>0</v>
      </c>
      <c r="U126" s="139">
        <f t="shared" si="8"/>
        <v>0</v>
      </c>
      <c r="V126" s="17" t="s">
        <v>160</v>
      </c>
      <c r="W126" s="460" t="s">
        <v>502</v>
      </c>
      <c r="X126" s="460"/>
      <c r="Y126" s="460"/>
      <c r="Z126" s="460"/>
      <c r="AA126" s="460"/>
      <c r="AB126" s="460"/>
      <c r="AC126" s="460"/>
      <c r="AD126" s="139" t="s">
        <v>1</v>
      </c>
      <c r="AE126" s="139" t="s">
        <v>31</v>
      </c>
      <c r="AG126" s="153">
        <v>3</v>
      </c>
      <c r="AH126" s="456" t="s">
        <v>558</v>
      </c>
      <c r="AI126" s="456"/>
      <c r="AJ126" s="456"/>
      <c r="AK126" s="456"/>
      <c r="AL126" s="456"/>
      <c r="AM126" s="456"/>
      <c r="AN126" s="456"/>
      <c r="AO126" s="141">
        <v>0</v>
      </c>
      <c r="AP126" s="139">
        <f t="shared" si="9"/>
        <v>0</v>
      </c>
    </row>
    <row r="127" spans="1:42" ht="15.6" customHeight="1" x14ac:dyDescent="0.25">
      <c r="A127" s="153">
        <v>1</v>
      </c>
      <c r="B127" s="456" t="s">
        <v>394</v>
      </c>
      <c r="C127" s="456"/>
      <c r="D127" s="456"/>
      <c r="E127" s="456"/>
      <c r="F127" s="456"/>
      <c r="G127" s="456"/>
      <c r="H127" s="456"/>
      <c r="I127" s="150">
        <v>0</v>
      </c>
      <c r="J127" s="139">
        <f t="shared" si="10"/>
        <v>0</v>
      </c>
      <c r="L127" s="138">
        <v>4</v>
      </c>
      <c r="M127" s="465" t="s">
        <v>332</v>
      </c>
      <c r="N127" s="465"/>
      <c r="O127" s="465"/>
      <c r="P127" s="465"/>
      <c r="Q127" s="465"/>
      <c r="R127" s="465"/>
      <c r="S127" s="465"/>
      <c r="T127" s="150">
        <v>20</v>
      </c>
      <c r="U127" s="139">
        <f t="shared" si="8"/>
        <v>86</v>
      </c>
      <c r="V127" s="153">
        <v>1</v>
      </c>
      <c r="W127" s="456" t="s">
        <v>507</v>
      </c>
      <c r="X127" s="456"/>
      <c r="Y127" s="456"/>
      <c r="Z127" s="456"/>
      <c r="AA127" s="456"/>
      <c r="AB127" s="456"/>
      <c r="AC127" s="456"/>
      <c r="AD127" s="141">
        <v>0</v>
      </c>
      <c r="AE127" s="139">
        <f t="shared" ref="AE127:AE150" si="11">IF(AD127&gt;0,(AD127*V127-V127+10),0)</f>
        <v>0</v>
      </c>
      <c r="AG127" s="153">
        <v>3</v>
      </c>
      <c r="AH127" s="456" t="s">
        <v>559</v>
      </c>
      <c r="AI127" s="456"/>
      <c r="AJ127" s="456"/>
      <c r="AK127" s="456"/>
      <c r="AL127" s="456"/>
      <c r="AM127" s="456"/>
      <c r="AN127" s="456"/>
      <c r="AO127" s="141">
        <v>0</v>
      </c>
      <c r="AP127" s="139">
        <f t="shared" si="9"/>
        <v>0</v>
      </c>
    </row>
    <row r="128" spans="1:42" ht="15.6" customHeight="1" x14ac:dyDescent="0.25">
      <c r="A128" s="153">
        <v>1</v>
      </c>
      <c r="B128" s="456" t="s">
        <v>395</v>
      </c>
      <c r="C128" s="456"/>
      <c r="D128" s="456"/>
      <c r="E128" s="456"/>
      <c r="F128" s="456"/>
      <c r="G128" s="456"/>
      <c r="H128" s="456"/>
      <c r="I128" s="150">
        <v>0</v>
      </c>
      <c r="J128" s="139">
        <f t="shared" si="10"/>
        <v>0</v>
      </c>
      <c r="L128" s="138">
        <v>4</v>
      </c>
      <c r="M128" s="465" t="s">
        <v>333</v>
      </c>
      <c r="N128" s="465"/>
      <c r="O128" s="465"/>
      <c r="P128" s="465"/>
      <c r="Q128" s="465"/>
      <c r="R128" s="465"/>
      <c r="S128" s="465"/>
      <c r="T128" s="150">
        <v>0</v>
      </c>
      <c r="U128" s="139">
        <f t="shared" si="8"/>
        <v>0</v>
      </c>
      <c r="V128" s="153">
        <v>1</v>
      </c>
      <c r="W128" s="456" t="s">
        <v>508</v>
      </c>
      <c r="X128" s="456"/>
      <c r="Y128" s="456"/>
      <c r="Z128" s="456"/>
      <c r="AA128" s="456"/>
      <c r="AB128" s="456"/>
      <c r="AC128" s="456"/>
      <c r="AD128" s="141">
        <v>0</v>
      </c>
      <c r="AE128" s="139">
        <f t="shared" si="11"/>
        <v>0</v>
      </c>
      <c r="AG128" s="153">
        <v>3</v>
      </c>
      <c r="AH128" s="456" t="s">
        <v>560</v>
      </c>
      <c r="AI128" s="456"/>
      <c r="AJ128" s="456"/>
      <c r="AK128" s="456"/>
      <c r="AL128" s="456"/>
      <c r="AM128" s="456"/>
      <c r="AN128" s="456"/>
      <c r="AO128" s="141">
        <v>0</v>
      </c>
      <c r="AP128" s="139">
        <f t="shared" si="9"/>
        <v>0</v>
      </c>
    </row>
    <row r="129" spans="1:42" ht="15.6" customHeight="1" x14ac:dyDescent="0.25">
      <c r="A129" s="153">
        <v>2</v>
      </c>
      <c r="B129" s="456" t="s">
        <v>396</v>
      </c>
      <c r="C129" s="456"/>
      <c r="D129" s="456"/>
      <c r="E129" s="456"/>
      <c r="F129" s="456"/>
      <c r="G129" s="456"/>
      <c r="H129" s="456"/>
      <c r="I129" s="150">
        <v>0</v>
      </c>
      <c r="J129" s="139">
        <f t="shared" si="10"/>
        <v>0</v>
      </c>
      <c r="L129" s="138">
        <v>4</v>
      </c>
      <c r="M129" s="465" t="s">
        <v>334</v>
      </c>
      <c r="N129" s="465"/>
      <c r="O129" s="465"/>
      <c r="P129" s="465"/>
      <c r="Q129" s="465"/>
      <c r="R129" s="465"/>
      <c r="S129" s="465"/>
      <c r="T129" s="150">
        <v>0</v>
      </c>
      <c r="U129" s="139">
        <f t="shared" si="8"/>
        <v>0</v>
      </c>
      <c r="V129" s="153">
        <v>1</v>
      </c>
      <c r="W129" s="456" t="s">
        <v>509</v>
      </c>
      <c r="X129" s="456"/>
      <c r="Y129" s="456"/>
      <c r="Z129" s="456"/>
      <c r="AA129" s="456"/>
      <c r="AB129" s="456"/>
      <c r="AC129" s="456"/>
      <c r="AD129" s="141">
        <v>0</v>
      </c>
      <c r="AE129" s="139">
        <f t="shared" si="11"/>
        <v>0</v>
      </c>
      <c r="AG129" s="153">
        <v>3</v>
      </c>
      <c r="AH129" s="456" t="s">
        <v>566</v>
      </c>
      <c r="AI129" s="456"/>
      <c r="AJ129" s="456"/>
      <c r="AK129" s="456"/>
      <c r="AL129" s="456"/>
      <c r="AM129" s="456"/>
      <c r="AN129" s="456"/>
      <c r="AO129" s="141">
        <v>0</v>
      </c>
      <c r="AP129" s="139">
        <f t="shared" si="9"/>
        <v>0</v>
      </c>
    </row>
    <row r="130" spans="1:42" ht="15.6" customHeight="1" x14ac:dyDescent="0.25">
      <c r="A130" s="153">
        <v>2</v>
      </c>
      <c r="B130" s="456" t="s">
        <v>397</v>
      </c>
      <c r="C130" s="456"/>
      <c r="D130" s="456"/>
      <c r="E130" s="456"/>
      <c r="F130" s="456"/>
      <c r="G130" s="456"/>
      <c r="H130" s="456"/>
      <c r="I130" s="150">
        <v>20</v>
      </c>
      <c r="J130" s="139">
        <f t="shared" si="10"/>
        <v>48</v>
      </c>
      <c r="L130" s="138">
        <v>5</v>
      </c>
      <c r="M130" s="465" t="s">
        <v>311</v>
      </c>
      <c r="N130" s="465"/>
      <c r="O130" s="465"/>
      <c r="P130" s="465"/>
      <c r="Q130" s="465"/>
      <c r="R130" s="465"/>
      <c r="S130" s="465"/>
      <c r="T130" s="150">
        <v>0</v>
      </c>
      <c r="U130" s="139">
        <f t="shared" si="8"/>
        <v>0</v>
      </c>
      <c r="V130" s="153">
        <v>2</v>
      </c>
      <c r="W130" s="456" t="s">
        <v>510</v>
      </c>
      <c r="X130" s="456"/>
      <c r="Y130" s="456"/>
      <c r="Z130" s="456"/>
      <c r="AA130" s="456"/>
      <c r="AB130" s="456"/>
      <c r="AC130" s="456"/>
      <c r="AD130" s="141">
        <v>0</v>
      </c>
      <c r="AE130" s="139">
        <f t="shared" si="11"/>
        <v>0</v>
      </c>
      <c r="AG130" s="153">
        <v>4</v>
      </c>
      <c r="AH130" s="456" t="s">
        <v>561</v>
      </c>
      <c r="AI130" s="456"/>
      <c r="AJ130" s="456"/>
      <c r="AK130" s="456"/>
      <c r="AL130" s="456"/>
      <c r="AM130" s="456"/>
      <c r="AN130" s="456"/>
      <c r="AO130" s="141">
        <v>0</v>
      </c>
      <c r="AP130" s="139">
        <f t="shared" si="9"/>
        <v>0</v>
      </c>
    </row>
    <row r="131" spans="1:42" ht="15.6" customHeight="1" x14ac:dyDescent="0.25">
      <c r="A131" s="153">
        <v>2</v>
      </c>
      <c r="B131" s="456" t="s">
        <v>398</v>
      </c>
      <c r="C131" s="456"/>
      <c r="D131" s="456"/>
      <c r="E131" s="456"/>
      <c r="F131" s="456"/>
      <c r="G131" s="456"/>
      <c r="H131" s="456"/>
      <c r="I131" s="150">
        <v>0</v>
      </c>
      <c r="J131" s="139">
        <f t="shared" si="10"/>
        <v>0</v>
      </c>
      <c r="L131" s="138">
        <v>5</v>
      </c>
      <c r="M131" s="465" t="s">
        <v>312</v>
      </c>
      <c r="N131" s="465"/>
      <c r="O131" s="465"/>
      <c r="P131" s="465"/>
      <c r="Q131" s="465"/>
      <c r="R131" s="465"/>
      <c r="S131" s="465"/>
      <c r="T131" s="150">
        <v>20</v>
      </c>
      <c r="U131" s="139">
        <f t="shared" si="8"/>
        <v>105</v>
      </c>
      <c r="V131" s="153">
        <v>2</v>
      </c>
      <c r="W131" s="456" t="s">
        <v>511</v>
      </c>
      <c r="X131" s="456"/>
      <c r="Y131" s="456"/>
      <c r="Z131" s="456"/>
      <c r="AA131" s="456"/>
      <c r="AB131" s="456"/>
      <c r="AC131" s="456"/>
      <c r="AD131" s="141">
        <v>0</v>
      </c>
      <c r="AE131" s="139">
        <f t="shared" si="11"/>
        <v>0</v>
      </c>
      <c r="AG131" s="153">
        <v>4</v>
      </c>
      <c r="AH131" s="456" t="s">
        <v>562</v>
      </c>
      <c r="AI131" s="456"/>
      <c r="AJ131" s="456"/>
      <c r="AK131" s="456"/>
      <c r="AL131" s="456"/>
      <c r="AM131" s="456"/>
      <c r="AN131" s="456"/>
      <c r="AO131" s="141">
        <v>0</v>
      </c>
      <c r="AP131" s="139">
        <f t="shared" si="9"/>
        <v>0</v>
      </c>
    </row>
    <row r="132" spans="1:42" ht="15.6" customHeight="1" x14ac:dyDescent="0.25">
      <c r="A132" s="153">
        <v>2</v>
      </c>
      <c r="B132" s="456" t="s">
        <v>399</v>
      </c>
      <c r="C132" s="456"/>
      <c r="D132" s="456"/>
      <c r="E132" s="456"/>
      <c r="F132" s="456"/>
      <c r="G132" s="456"/>
      <c r="H132" s="456"/>
      <c r="I132" s="150">
        <v>0</v>
      </c>
      <c r="J132" s="139">
        <f t="shared" si="10"/>
        <v>0</v>
      </c>
      <c r="L132" s="138">
        <v>5</v>
      </c>
      <c r="M132" s="465" t="s">
        <v>313</v>
      </c>
      <c r="N132" s="465"/>
      <c r="O132" s="465"/>
      <c r="P132" s="465"/>
      <c r="Q132" s="465"/>
      <c r="R132" s="465"/>
      <c r="S132" s="465"/>
      <c r="T132" s="150">
        <v>20</v>
      </c>
      <c r="U132" s="139">
        <f t="shared" si="8"/>
        <v>105</v>
      </c>
      <c r="V132" s="153">
        <v>2</v>
      </c>
      <c r="W132" s="456" t="s">
        <v>512</v>
      </c>
      <c r="X132" s="456"/>
      <c r="Y132" s="456"/>
      <c r="Z132" s="456"/>
      <c r="AA132" s="456"/>
      <c r="AB132" s="456"/>
      <c r="AC132" s="456"/>
      <c r="AD132" s="141">
        <v>0</v>
      </c>
      <c r="AE132" s="139">
        <f t="shared" si="11"/>
        <v>0</v>
      </c>
      <c r="AG132" s="153">
        <v>4</v>
      </c>
      <c r="AH132" s="456" t="s">
        <v>563</v>
      </c>
      <c r="AI132" s="456"/>
      <c r="AJ132" s="456"/>
      <c r="AK132" s="456"/>
      <c r="AL132" s="456"/>
      <c r="AM132" s="456"/>
      <c r="AN132" s="456"/>
      <c r="AO132" s="141">
        <v>0</v>
      </c>
      <c r="AP132" s="139">
        <f t="shared" si="9"/>
        <v>0</v>
      </c>
    </row>
    <row r="133" spans="1:42" ht="15.6" customHeight="1" x14ac:dyDescent="0.25">
      <c r="A133" s="153">
        <v>3</v>
      </c>
      <c r="B133" s="456" t="s">
        <v>400</v>
      </c>
      <c r="C133" s="456"/>
      <c r="D133" s="456"/>
      <c r="E133" s="456"/>
      <c r="F133" s="456"/>
      <c r="G133" s="456"/>
      <c r="H133" s="456"/>
      <c r="I133" s="150">
        <v>20</v>
      </c>
      <c r="J133" s="139">
        <f t="shared" si="10"/>
        <v>67</v>
      </c>
      <c r="L133" s="138">
        <v>6</v>
      </c>
      <c r="M133" s="465" t="s">
        <v>335</v>
      </c>
      <c r="N133" s="465"/>
      <c r="O133" s="465"/>
      <c r="P133" s="465"/>
      <c r="Q133" s="465"/>
      <c r="R133" s="465"/>
      <c r="S133" s="465"/>
      <c r="T133" s="150">
        <v>0</v>
      </c>
      <c r="U133" s="139">
        <f t="shared" si="8"/>
        <v>0</v>
      </c>
      <c r="V133" s="153">
        <v>2</v>
      </c>
      <c r="W133" s="456" t="s">
        <v>513</v>
      </c>
      <c r="X133" s="456"/>
      <c r="Y133" s="456"/>
      <c r="Z133" s="456"/>
      <c r="AA133" s="456"/>
      <c r="AB133" s="456"/>
      <c r="AC133" s="456"/>
      <c r="AD133" s="141">
        <v>0</v>
      </c>
      <c r="AE133" s="139">
        <f t="shared" si="11"/>
        <v>0</v>
      </c>
      <c r="AG133" s="153">
        <v>4</v>
      </c>
      <c r="AH133" s="456" t="s">
        <v>564</v>
      </c>
      <c r="AI133" s="456"/>
      <c r="AJ133" s="456"/>
      <c r="AK133" s="456"/>
      <c r="AL133" s="456"/>
      <c r="AM133" s="456"/>
      <c r="AN133" s="456"/>
      <c r="AO133" s="141">
        <v>0</v>
      </c>
      <c r="AP133" s="139">
        <f t="shared" si="9"/>
        <v>0</v>
      </c>
    </row>
    <row r="134" spans="1:42" ht="15.6" customHeight="1" x14ac:dyDescent="0.25">
      <c r="A134" s="153">
        <v>3</v>
      </c>
      <c r="B134" s="456" t="s">
        <v>401</v>
      </c>
      <c r="C134" s="456"/>
      <c r="D134" s="456"/>
      <c r="E134" s="456"/>
      <c r="F134" s="456"/>
      <c r="G134" s="456"/>
      <c r="H134" s="456"/>
      <c r="I134" s="150">
        <v>0</v>
      </c>
      <c r="J134" s="139">
        <f t="shared" si="10"/>
        <v>0</v>
      </c>
      <c r="L134" s="138">
        <v>6</v>
      </c>
      <c r="M134" s="465" t="s">
        <v>336</v>
      </c>
      <c r="N134" s="465"/>
      <c r="O134" s="465"/>
      <c r="P134" s="465"/>
      <c r="Q134" s="465"/>
      <c r="R134" s="465"/>
      <c r="S134" s="465"/>
      <c r="T134" s="150">
        <v>20</v>
      </c>
      <c r="U134" s="139">
        <f t="shared" si="8"/>
        <v>124</v>
      </c>
      <c r="V134" s="153">
        <v>3</v>
      </c>
      <c r="W134" s="456" t="s">
        <v>514</v>
      </c>
      <c r="X134" s="456"/>
      <c r="Y134" s="456"/>
      <c r="Z134" s="456"/>
      <c r="AA134" s="456"/>
      <c r="AB134" s="456"/>
      <c r="AC134" s="456"/>
      <c r="AD134" s="141">
        <v>0</v>
      </c>
      <c r="AE134" s="139">
        <f t="shared" si="11"/>
        <v>0</v>
      </c>
      <c r="AG134" s="153">
        <v>4</v>
      </c>
      <c r="AH134" s="456" t="s">
        <v>565</v>
      </c>
      <c r="AI134" s="456"/>
      <c r="AJ134" s="456"/>
      <c r="AK134" s="456"/>
      <c r="AL134" s="456"/>
      <c r="AM134" s="456"/>
      <c r="AN134" s="456"/>
      <c r="AO134" s="141">
        <v>0</v>
      </c>
      <c r="AP134" s="139">
        <f t="shared" si="9"/>
        <v>0</v>
      </c>
    </row>
    <row r="135" spans="1:42" ht="15.6" customHeight="1" x14ac:dyDescent="0.25">
      <c r="A135" s="153">
        <v>3</v>
      </c>
      <c r="B135" s="456" t="s">
        <v>402</v>
      </c>
      <c r="C135" s="456"/>
      <c r="D135" s="456"/>
      <c r="E135" s="456"/>
      <c r="F135" s="456"/>
      <c r="G135" s="456"/>
      <c r="H135" s="456"/>
      <c r="I135" s="150">
        <v>0</v>
      </c>
      <c r="J135" s="139">
        <f t="shared" si="10"/>
        <v>0</v>
      </c>
      <c r="L135" s="138">
        <v>6</v>
      </c>
      <c r="M135" s="465" t="s">
        <v>337</v>
      </c>
      <c r="N135" s="465"/>
      <c r="O135" s="465"/>
      <c r="P135" s="465"/>
      <c r="Q135" s="465"/>
      <c r="R135" s="465"/>
      <c r="S135" s="465"/>
      <c r="T135" s="150">
        <v>0</v>
      </c>
      <c r="U135" s="139">
        <f t="shared" si="8"/>
        <v>0</v>
      </c>
      <c r="V135" s="153">
        <v>3</v>
      </c>
      <c r="W135" s="456" t="s">
        <v>515</v>
      </c>
      <c r="X135" s="456"/>
      <c r="Y135" s="456"/>
      <c r="Z135" s="456"/>
      <c r="AA135" s="456"/>
      <c r="AB135" s="456"/>
      <c r="AC135" s="456"/>
      <c r="AD135" s="141">
        <v>0</v>
      </c>
      <c r="AE135" s="139">
        <f t="shared" si="11"/>
        <v>0</v>
      </c>
      <c r="AG135" s="153">
        <v>4</v>
      </c>
      <c r="AH135" s="456" t="s">
        <v>572</v>
      </c>
      <c r="AI135" s="456"/>
      <c r="AJ135" s="456"/>
      <c r="AK135" s="456"/>
      <c r="AL135" s="456"/>
      <c r="AM135" s="456"/>
      <c r="AN135" s="456"/>
      <c r="AO135" s="141">
        <v>0</v>
      </c>
      <c r="AP135" s="139">
        <f t="shared" si="9"/>
        <v>0</v>
      </c>
    </row>
    <row r="136" spans="1:42" ht="15.6" customHeight="1" x14ac:dyDescent="0.25">
      <c r="A136" s="153">
        <v>3</v>
      </c>
      <c r="B136" s="456" t="s">
        <v>403</v>
      </c>
      <c r="C136" s="456"/>
      <c r="D136" s="456"/>
      <c r="E136" s="456"/>
      <c r="F136" s="456"/>
      <c r="G136" s="456"/>
      <c r="H136" s="456"/>
      <c r="I136" s="150">
        <v>0</v>
      </c>
      <c r="J136" s="139">
        <f t="shared" si="10"/>
        <v>0</v>
      </c>
      <c r="L136" s="138">
        <v>7</v>
      </c>
      <c r="M136" s="465" t="s">
        <v>338</v>
      </c>
      <c r="N136" s="465"/>
      <c r="O136" s="465"/>
      <c r="P136" s="465"/>
      <c r="Q136" s="465"/>
      <c r="R136" s="465"/>
      <c r="S136" s="465"/>
      <c r="T136" s="150">
        <v>20</v>
      </c>
      <c r="U136" s="139">
        <f t="shared" si="8"/>
        <v>143</v>
      </c>
      <c r="V136" s="153">
        <v>3</v>
      </c>
      <c r="W136" s="456" t="s">
        <v>516</v>
      </c>
      <c r="X136" s="456"/>
      <c r="Y136" s="456"/>
      <c r="Z136" s="456"/>
      <c r="AA136" s="456"/>
      <c r="AB136" s="456"/>
      <c r="AC136" s="456"/>
      <c r="AD136" s="141">
        <v>0</v>
      </c>
      <c r="AE136" s="139">
        <f t="shared" si="11"/>
        <v>0</v>
      </c>
      <c r="AG136" s="153">
        <v>5</v>
      </c>
      <c r="AH136" s="456" t="s">
        <v>529</v>
      </c>
      <c r="AI136" s="456"/>
      <c r="AJ136" s="456"/>
      <c r="AK136" s="456"/>
      <c r="AL136" s="456"/>
      <c r="AM136" s="456"/>
      <c r="AN136" s="456"/>
      <c r="AO136" s="141">
        <v>0</v>
      </c>
      <c r="AP136" s="139">
        <f t="shared" si="9"/>
        <v>0</v>
      </c>
    </row>
    <row r="137" spans="1:42" ht="15.6" customHeight="1" x14ac:dyDescent="0.25">
      <c r="A137" s="153">
        <v>4</v>
      </c>
      <c r="B137" s="456" t="s">
        <v>404</v>
      </c>
      <c r="C137" s="456"/>
      <c r="D137" s="456"/>
      <c r="E137" s="456"/>
      <c r="F137" s="456"/>
      <c r="G137" s="456"/>
      <c r="H137" s="456"/>
      <c r="I137" s="150">
        <v>0</v>
      </c>
      <c r="J137" s="139">
        <f t="shared" si="10"/>
        <v>0</v>
      </c>
      <c r="L137" s="138">
        <v>7</v>
      </c>
      <c r="M137" s="465" t="s">
        <v>339</v>
      </c>
      <c r="N137" s="465"/>
      <c r="O137" s="465"/>
      <c r="P137" s="465"/>
      <c r="Q137" s="465"/>
      <c r="R137" s="465"/>
      <c r="S137" s="465"/>
      <c r="T137" s="150">
        <v>20</v>
      </c>
      <c r="U137" s="139">
        <f t="shared" si="8"/>
        <v>143</v>
      </c>
      <c r="V137" s="153">
        <v>3</v>
      </c>
      <c r="W137" s="456" t="s">
        <v>517</v>
      </c>
      <c r="X137" s="456"/>
      <c r="Y137" s="456"/>
      <c r="Z137" s="456"/>
      <c r="AA137" s="456"/>
      <c r="AB137" s="456"/>
      <c r="AC137" s="456"/>
      <c r="AD137" s="141">
        <v>0</v>
      </c>
      <c r="AE137" s="139">
        <f t="shared" si="11"/>
        <v>0</v>
      </c>
      <c r="AG137" s="153">
        <v>5</v>
      </c>
      <c r="AH137" s="456" t="s">
        <v>530</v>
      </c>
      <c r="AI137" s="456"/>
      <c r="AJ137" s="456"/>
      <c r="AK137" s="456"/>
      <c r="AL137" s="456"/>
      <c r="AM137" s="456"/>
      <c r="AN137" s="456"/>
      <c r="AO137" s="141">
        <v>0</v>
      </c>
      <c r="AP137" s="139">
        <f t="shared" si="9"/>
        <v>0</v>
      </c>
    </row>
    <row r="138" spans="1:42" ht="15.6" customHeight="1" x14ac:dyDescent="0.25">
      <c r="A138" s="153">
        <v>4</v>
      </c>
      <c r="B138" s="456" t="s">
        <v>405</v>
      </c>
      <c r="C138" s="456"/>
      <c r="D138" s="456"/>
      <c r="E138" s="456"/>
      <c r="F138" s="456"/>
      <c r="G138" s="456"/>
      <c r="H138" s="456"/>
      <c r="I138" s="150">
        <v>0</v>
      </c>
      <c r="J138" s="139">
        <f t="shared" si="10"/>
        <v>0</v>
      </c>
      <c r="L138" s="142" t="s">
        <v>160</v>
      </c>
      <c r="M138" s="466" t="s">
        <v>420</v>
      </c>
      <c r="N138" s="466"/>
      <c r="O138" s="466"/>
      <c r="P138" s="466"/>
      <c r="Q138" s="466"/>
      <c r="R138" s="466"/>
      <c r="S138" s="466"/>
      <c r="T138" s="139" t="s">
        <v>1</v>
      </c>
      <c r="U138" s="139" t="s">
        <v>31</v>
      </c>
      <c r="V138" s="153">
        <v>3</v>
      </c>
      <c r="W138" s="456" t="s">
        <v>518</v>
      </c>
      <c r="X138" s="456"/>
      <c r="Y138" s="456"/>
      <c r="Z138" s="456"/>
      <c r="AA138" s="456"/>
      <c r="AB138" s="456"/>
      <c r="AC138" s="456"/>
      <c r="AD138" s="141">
        <v>0</v>
      </c>
      <c r="AE138" s="139">
        <f t="shared" si="11"/>
        <v>0</v>
      </c>
      <c r="AG138" s="153">
        <v>5</v>
      </c>
      <c r="AH138" s="456" t="s">
        <v>531</v>
      </c>
      <c r="AI138" s="456"/>
      <c r="AJ138" s="456"/>
      <c r="AK138" s="456"/>
      <c r="AL138" s="456"/>
      <c r="AM138" s="456"/>
      <c r="AN138" s="456"/>
      <c r="AO138" s="141">
        <v>0</v>
      </c>
      <c r="AP138" s="139">
        <f t="shared" si="9"/>
        <v>0</v>
      </c>
    </row>
    <row r="139" spans="1:42" ht="15.6" customHeight="1" x14ac:dyDescent="0.25">
      <c r="A139" s="153">
        <v>4</v>
      </c>
      <c r="B139" s="456" t="s">
        <v>406</v>
      </c>
      <c r="C139" s="456"/>
      <c r="D139" s="456"/>
      <c r="E139" s="456"/>
      <c r="F139" s="456"/>
      <c r="G139" s="456"/>
      <c r="H139" s="456"/>
      <c r="I139" s="150">
        <v>0</v>
      </c>
      <c r="J139" s="139">
        <f t="shared" si="10"/>
        <v>0</v>
      </c>
      <c r="L139" s="153">
        <v>1</v>
      </c>
      <c r="M139" s="456" t="s">
        <v>421</v>
      </c>
      <c r="N139" s="456"/>
      <c r="O139" s="456"/>
      <c r="P139" s="456"/>
      <c r="Q139" s="456"/>
      <c r="R139" s="456"/>
      <c r="S139" s="456"/>
      <c r="T139" s="150">
        <v>0</v>
      </c>
      <c r="U139" s="139">
        <f t="shared" si="8"/>
        <v>0</v>
      </c>
      <c r="V139" s="153">
        <v>4</v>
      </c>
      <c r="W139" s="456" t="s">
        <v>519</v>
      </c>
      <c r="X139" s="456"/>
      <c r="Y139" s="456"/>
      <c r="Z139" s="456"/>
      <c r="AA139" s="456"/>
      <c r="AB139" s="456"/>
      <c r="AC139" s="456"/>
      <c r="AD139" s="141">
        <v>0</v>
      </c>
      <c r="AE139" s="139">
        <f t="shared" si="11"/>
        <v>0</v>
      </c>
      <c r="AG139" s="153">
        <v>5</v>
      </c>
      <c r="AH139" s="456" t="s">
        <v>532</v>
      </c>
      <c r="AI139" s="456"/>
      <c r="AJ139" s="456"/>
      <c r="AK139" s="456"/>
      <c r="AL139" s="456"/>
      <c r="AM139" s="456"/>
      <c r="AN139" s="456"/>
      <c r="AO139" s="141">
        <v>0</v>
      </c>
      <c r="AP139" s="139">
        <f t="shared" si="9"/>
        <v>0</v>
      </c>
    </row>
    <row r="140" spans="1:42" ht="15.6" customHeight="1" x14ac:dyDescent="0.25">
      <c r="A140" s="153">
        <v>4</v>
      </c>
      <c r="B140" s="456" t="s">
        <v>407</v>
      </c>
      <c r="C140" s="456"/>
      <c r="D140" s="456"/>
      <c r="E140" s="456"/>
      <c r="F140" s="456"/>
      <c r="G140" s="456"/>
      <c r="H140" s="456"/>
      <c r="I140" s="150">
        <v>0</v>
      </c>
      <c r="J140" s="139">
        <f t="shared" si="10"/>
        <v>0</v>
      </c>
      <c r="L140" s="153">
        <v>1</v>
      </c>
      <c r="M140" s="456" t="s">
        <v>422</v>
      </c>
      <c r="N140" s="456"/>
      <c r="O140" s="456"/>
      <c r="P140" s="456"/>
      <c r="Q140" s="456"/>
      <c r="R140" s="456"/>
      <c r="S140" s="456"/>
      <c r="T140" s="150">
        <v>0</v>
      </c>
      <c r="U140" s="139">
        <f t="shared" si="8"/>
        <v>0</v>
      </c>
      <c r="V140" s="153">
        <v>4</v>
      </c>
      <c r="W140" s="456" t="s">
        <v>520</v>
      </c>
      <c r="X140" s="456"/>
      <c r="Y140" s="456"/>
      <c r="Z140" s="456"/>
      <c r="AA140" s="456"/>
      <c r="AB140" s="456"/>
      <c r="AC140" s="456"/>
      <c r="AD140" s="141">
        <v>0</v>
      </c>
      <c r="AE140" s="139">
        <f t="shared" si="11"/>
        <v>0</v>
      </c>
      <c r="AG140" s="153">
        <v>5</v>
      </c>
      <c r="AH140" s="456" t="s">
        <v>533</v>
      </c>
      <c r="AI140" s="456"/>
      <c r="AJ140" s="456"/>
      <c r="AK140" s="456"/>
      <c r="AL140" s="456"/>
      <c r="AM140" s="456"/>
      <c r="AN140" s="456"/>
      <c r="AO140" s="141">
        <v>0</v>
      </c>
      <c r="AP140" s="139">
        <f t="shared" si="9"/>
        <v>0</v>
      </c>
    </row>
    <row r="141" spans="1:42" ht="15.6" customHeight="1" x14ac:dyDescent="0.25">
      <c r="A141" s="153">
        <v>4</v>
      </c>
      <c r="B141" s="456" t="s">
        <v>408</v>
      </c>
      <c r="C141" s="456"/>
      <c r="D141" s="456"/>
      <c r="E141" s="456"/>
      <c r="F141" s="456"/>
      <c r="G141" s="456"/>
      <c r="H141" s="456"/>
      <c r="I141" s="150">
        <v>20</v>
      </c>
      <c r="J141" s="139">
        <f t="shared" si="10"/>
        <v>86</v>
      </c>
      <c r="L141" s="153">
        <v>2</v>
      </c>
      <c r="M141" s="456" t="s">
        <v>423</v>
      </c>
      <c r="N141" s="456"/>
      <c r="O141" s="456"/>
      <c r="P141" s="456"/>
      <c r="Q141" s="456"/>
      <c r="R141" s="456"/>
      <c r="S141" s="456"/>
      <c r="T141" s="150">
        <v>0</v>
      </c>
      <c r="U141" s="139">
        <f t="shared" si="8"/>
        <v>0</v>
      </c>
      <c r="V141" s="153">
        <v>4</v>
      </c>
      <c r="W141" s="456" t="s">
        <v>521</v>
      </c>
      <c r="X141" s="456"/>
      <c r="Y141" s="456"/>
      <c r="Z141" s="456"/>
      <c r="AA141" s="456"/>
      <c r="AB141" s="456"/>
      <c r="AC141" s="456"/>
      <c r="AD141" s="141">
        <v>0</v>
      </c>
      <c r="AE141" s="139">
        <f t="shared" si="11"/>
        <v>0</v>
      </c>
      <c r="AG141" s="153">
        <v>5</v>
      </c>
      <c r="AH141" s="456" t="s">
        <v>534</v>
      </c>
      <c r="AI141" s="456"/>
      <c r="AJ141" s="456"/>
      <c r="AK141" s="456"/>
      <c r="AL141" s="456"/>
      <c r="AM141" s="456"/>
      <c r="AN141" s="456"/>
      <c r="AO141" s="141">
        <v>0</v>
      </c>
      <c r="AP141" s="139">
        <f t="shared" si="9"/>
        <v>0</v>
      </c>
    </row>
    <row r="142" spans="1:42" ht="15.6" customHeight="1" x14ac:dyDescent="0.25">
      <c r="A142" s="153">
        <v>5</v>
      </c>
      <c r="B142" s="456" t="s">
        <v>386</v>
      </c>
      <c r="C142" s="456"/>
      <c r="D142" s="456"/>
      <c r="E142" s="456"/>
      <c r="F142" s="456"/>
      <c r="G142" s="456"/>
      <c r="H142" s="456"/>
      <c r="I142" s="150">
        <v>0</v>
      </c>
      <c r="J142" s="139">
        <f t="shared" si="10"/>
        <v>0</v>
      </c>
      <c r="L142" s="153">
        <v>2</v>
      </c>
      <c r="M142" s="456" t="s">
        <v>424</v>
      </c>
      <c r="N142" s="456"/>
      <c r="O142" s="456"/>
      <c r="P142" s="456"/>
      <c r="Q142" s="456"/>
      <c r="R142" s="456"/>
      <c r="S142" s="456"/>
      <c r="T142" s="150">
        <v>0</v>
      </c>
      <c r="U142" s="139">
        <f t="shared" si="8"/>
        <v>0</v>
      </c>
      <c r="V142" s="153">
        <v>4</v>
      </c>
      <c r="W142" s="456" t="s">
        <v>522</v>
      </c>
      <c r="X142" s="456"/>
      <c r="Y142" s="456"/>
      <c r="Z142" s="456"/>
      <c r="AA142" s="456"/>
      <c r="AB142" s="456"/>
      <c r="AC142" s="456"/>
      <c r="AD142" s="141">
        <v>0</v>
      </c>
      <c r="AE142" s="139">
        <f t="shared" si="11"/>
        <v>0</v>
      </c>
      <c r="AG142" s="106">
        <v>5</v>
      </c>
      <c r="AH142" s="456" t="s">
        <v>535</v>
      </c>
      <c r="AI142" s="456"/>
      <c r="AJ142" s="456"/>
      <c r="AK142" s="456"/>
      <c r="AL142" s="456"/>
      <c r="AM142" s="456"/>
      <c r="AN142" s="456"/>
      <c r="AO142" s="141">
        <v>0</v>
      </c>
      <c r="AP142" s="139">
        <f t="shared" si="9"/>
        <v>0</v>
      </c>
    </row>
    <row r="143" spans="1:42" ht="15.6" customHeight="1" x14ac:dyDescent="0.25">
      <c r="A143" s="153">
        <v>5</v>
      </c>
      <c r="B143" s="456" t="s">
        <v>388</v>
      </c>
      <c r="C143" s="456"/>
      <c r="D143" s="456"/>
      <c r="E143" s="456"/>
      <c r="F143" s="456"/>
      <c r="G143" s="456"/>
      <c r="H143" s="456"/>
      <c r="I143" s="150">
        <v>0</v>
      </c>
      <c r="J143" s="139">
        <f t="shared" si="10"/>
        <v>0</v>
      </c>
      <c r="L143" s="153">
        <v>3</v>
      </c>
      <c r="M143" s="456" t="s">
        <v>425</v>
      </c>
      <c r="N143" s="456"/>
      <c r="O143" s="456"/>
      <c r="P143" s="456"/>
      <c r="Q143" s="456"/>
      <c r="R143" s="456"/>
      <c r="S143" s="456"/>
      <c r="T143" s="150">
        <v>0</v>
      </c>
      <c r="U143" s="139">
        <f t="shared" si="8"/>
        <v>0</v>
      </c>
      <c r="V143" s="153">
        <v>5</v>
      </c>
      <c r="W143" s="456" t="s">
        <v>501</v>
      </c>
      <c r="X143" s="456"/>
      <c r="Y143" s="456"/>
      <c r="Z143" s="456"/>
      <c r="AA143" s="456"/>
      <c r="AB143" s="456"/>
      <c r="AC143" s="456"/>
      <c r="AD143" s="141">
        <v>0</v>
      </c>
      <c r="AE143" s="139">
        <f t="shared" si="11"/>
        <v>0</v>
      </c>
      <c r="AG143" s="153">
        <v>6</v>
      </c>
      <c r="AH143" s="456" t="s">
        <v>538</v>
      </c>
      <c r="AI143" s="456"/>
      <c r="AJ143" s="456"/>
      <c r="AK143" s="456"/>
      <c r="AL143" s="456"/>
      <c r="AM143" s="456"/>
      <c r="AN143" s="456"/>
      <c r="AO143" s="141">
        <v>0</v>
      </c>
      <c r="AP143" s="139">
        <f t="shared" si="9"/>
        <v>0</v>
      </c>
    </row>
    <row r="144" spans="1:42" ht="15.6" customHeight="1" x14ac:dyDescent="0.25">
      <c r="A144" s="153">
        <v>5</v>
      </c>
      <c r="B144" s="456" t="s">
        <v>389</v>
      </c>
      <c r="C144" s="456"/>
      <c r="D144" s="456"/>
      <c r="E144" s="456"/>
      <c r="F144" s="456"/>
      <c r="G144" s="456"/>
      <c r="H144" s="456"/>
      <c r="I144" s="150">
        <v>0</v>
      </c>
      <c r="J144" s="139">
        <f t="shared" si="10"/>
        <v>0</v>
      </c>
      <c r="L144" s="153">
        <v>3</v>
      </c>
      <c r="M144" s="456" t="s">
        <v>426</v>
      </c>
      <c r="N144" s="456"/>
      <c r="O144" s="456"/>
      <c r="P144" s="456"/>
      <c r="Q144" s="456"/>
      <c r="R144" s="456"/>
      <c r="S144" s="456"/>
      <c r="T144" s="150">
        <v>0</v>
      </c>
      <c r="U144" s="139">
        <f t="shared" si="8"/>
        <v>0</v>
      </c>
      <c r="V144" s="153">
        <v>5</v>
      </c>
      <c r="W144" s="456" t="s">
        <v>503</v>
      </c>
      <c r="X144" s="456"/>
      <c r="Y144" s="456"/>
      <c r="Z144" s="456"/>
      <c r="AA144" s="456"/>
      <c r="AB144" s="456"/>
      <c r="AC144" s="456"/>
      <c r="AD144" s="141">
        <v>0</v>
      </c>
      <c r="AE144" s="139">
        <f t="shared" si="11"/>
        <v>0</v>
      </c>
      <c r="AG144" s="153">
        <v>6</v>
      </c>
      <c r="AH144" s="456" t="s">
        <v>539</v>
      </c>
      <c r="AI144" s="456"/>
      <c r="AJ144" s="456"/>
      <c r="AK144" s="456"/>
      <c r="AL144" s="456"/>
      <c r="AM144" s="456"/>
      <c r="AN144" s="456"/>
      <c r="AO144" s="141">
        <v>0</v>
      </c>
      <c r="AP144" s="139">
        <f t="shared" si="9"/>
        <v>0</v>
      </c>
    </row>
    <row r="145" spans="1:42" ht="15.6" customHeight="1" x14ac:dyDescent="0.25">
      <c r="A145" s="153">
        <v>5</v>
      </c>
      <c r="B145" s="456" t="s">
        <v>390</v>
      </c>
      <c r="C145" s="456"/>
      <c r="D145" s="456"/>
      <c r="E145" s="456"/>
      <c r="F145" s="456"/>
      <c r="G145" s="456"/>
      <c r="H145" s="456"/>
      <c r="I145" s="150">
        <v>0</v>
      </c>
      <c r="J145" s="139">
        <f t="shared" si="10"/>
        <v>0</v>
      </c>
      <c r="L145" s="153">
        <v>4</v>
      </c>
      <c r="M145" s="456" t="s">
        <v>427</v>
      </c>
      <c r="N145" s="456"/>
      <c r="O145" s="456"/>
      <c r="P145" s="456"/>
      <c r="Q145" s="456"/>
      <c r="R145" s="456"/>
      <c r="S145" s="456"/>
      <c r="T145" s="150">
        <v>0</v>
      </c>
      <c r="U145" s="139">
        <f t="shared" si="8"/>
        <v>0</v>
      </c>
      <c r="V145" s="153">
        <v>6</v>
      </c>
      <c r="W145" s="456" t="s">
        <v>504</v>
      </c>
      <c r="X145" s="456"/>
      <c r="Y145" s="456"/>
      <c r="Z145" s="456"/>
      <c r="AA145" s="456"/>
      <c r="AB145" s="456"/>
      <c r="AC145" s="456"/>
      <c r="AD145" s="141">
        <v>0</v>
      </c>
      <c r="AE145" s="139">
        <f t="shared" si="11"/>
        <v>0</v>
      </c>
      <c r="AG145" s="154">
        <v>6</v>
      </c>
      <c r="AH145" s="461" t="s">
        <v>158</v>
      </c>
      <c r="AI145" s="461"/>
      <c r="AJ145" s="461"/>
      <c r="AK145" s="461"/>
      <c r="AL145" s="461"/>
      <c r="AM145" s="461"/>
      <c r="AN145" s="461"/>
      <c r="AO145" s="141">
        <v>0</v>
      </c>
      <c r="AP145" s="139">
        <f t="shared" si="9"/>
        <v>0</v>
      </c>
    </row>
    <row r="146" spans="1:42" ht="15.6" customHeight="1" x14ac:dyDescent="0.25">
      <c r="A146" s="153">
        <v>5</v>
      </c>
      <c r="B146" s="456" t="s">
        <v>391</v>
      </c>
      <c r="C146" s="456"/>
      <c r="D146" s="456"/>
      <c r="E146" s="456"/>
      <c r="F146" s="456"/>
      <c r="G146" s="456"/>
      <c r="H146" s="456"/>
      <c r="I146" s="150">
        <v>0</v>
      </c>
      <c r="J146" s="139">
        <f t="shared" si="10"/>
        <v>0</v>
      </c>
      <c r="L146" s="153">
        <v>4</v>
      </c>
      <c r="M146" s="456" t="s">
        <v>428</v>
      </c>
      <c r="N146" s="456"/>
      <c r="O146" s="456"/>
      <c r="P146" s="456"/>
      <c r="Q146" s="456"/>
      <c r="R146" s="456"/>
      <c r="S146" s="456"/>
      <c r="T146" s="150">
        <v>0</v>
      </c>
      <c r="U146" s="139">
        <f t="shared" si="8"/>
        <v>0</v>
      </c>
      <c r="V146" s="153">
        <v>6</v>
      </c>
      <c r="W146" s="456" t="s">
        <v>505</v>
      </c>
      <c r="X146" s="456"/>
      <c r="Y146" s="456"/>
      <c r="Z146" s="456"/>
      <c r="AA146" s="456"/>
      <c r="AB146" s="456"/>
      <c r="AC146" s="456"/>
      <c r="AD146" s="141">
        <v>0</v>
      </c>
      <c r="AE146" s="139">
        <f t="shared" si="11"/>
        <v>0</v>
      </c>
      <c r="AG146" s="153">
        <v>7</v>
      </c>
      <c r="AH146" s="456" t="s">
        <v>567</v>
      </c>
      <c r="AI146" s="456"/>
      <c r="AJ146" s="456"/>
      <c r="AK146" s="456"/>
      <c r="AL146" s="456"/>
      <c r="AM146" s="456"/>
      <c r="AN146" s="456"/>
      <c r="AO146" s="141">
        <v>0</v>
      </c>
      <c r="AP146" s="139">
        <f t="shared" si="9"/>
        <v>0</v>
      </c>
    </row>
    <row r="147" spans="1:42" ht="15.6" customHeight="1" x14ac:dyDescent="0.25">
      <c r="A147" s="153">
        <v>6</v>
      </c>
      <c r="B147" s="456" t="s">
        <v>409</v>
      </c>
      <c r="C147" s="456"/>
      <c r="D147" s="456"/>
      <c r="E147" s="456"/>
      <c r="F147" s="456"/>
      <c r="G147" s="456"/>
      <c r="H147" s="456"/>
      <c r="I147" s="150">
        <v>0</v>
      </c>
      <c r="J147" s="139">
        <f t="shared" si="10"/>
        <v>0</v>
      </c>
      <c r="L147" s="153">
        <v>5</v>
      </c>
      <c r="M147" s="456" t="s">
        <v>419</v>
      </c>
      <c r="N147" s="456"/>
      <c r="O147" s="456"/>
      <c r="P147" s="456"/>
      <c r="Q147" s="456"/>
      <c r="R147" s="456"/>
      <c r="S147" s="456"/>
      <c r="T147" s="150">
        <v>0</v>
      </c>
      <c r="U147" s="139">
        <f t="shared" si="8"/>
        <v>0</v>
      </c>
      <c r="V147" s="153">
        <v>6</v>
      </c>
      <c r="W147" s="456" t="s">
        <v>506</v>
      </c>
      <c r="X147" s="456"/>
      <c r="Y147" s="456"/>
      <c r="Z147" s="456"/>
      <c r="AA147" s="456"/>
      <c r="AB147" s="456"/>
      <c r="AC147" s="456"/>
      <c r="AD147" s="141">
        <v>0</v>
      </c>
      <c r="AE147" s="139">
        <f t="shared" si="11"/>
        <v>0</v>
      </c>
      <c r="AG147" s="153">
        <v>7</v>
      </c>
      <c r="AH147" s="456" t="s">
        <v>568</v>
      </c>
      <c r="AI147" s="456"/>
      <c r="AJ147" s="456"/>
      <c r="AK147" s="456"/>
      <c r="AL147" s="456"/>
      <c r="AM147" s="456"/>
      <c r="AN147" s="456"/>
      <c r="AO147" s="141">
        <v>0</v>
      </c>
      <c r="AP147" s="139">
        <f t="shared" si="9"/>
        <v>0</v>
      </c>
    </row>
    <row r="148" spans="1:42" ht="15.6" customHeight="1" x14ac:dyDescent="0.25">
      <c r="A148" s="153">
        <v>6</v>
      </c>
      <c r="B148" s="456" t="s">
        <v>410</v>
      </c>
      <c r="C148" s="456"/>
      <c r="D148" s="456"/>
      <c r="E148" s="456"/>
      <c r="F148" s="456"/>
      <c r="G148" s="456"/>
      <c r="H148" s="456"/>
      <c r="I148" s="150">
        <v>0</v>
      </c>
      <c r="J148" s="139">
        <f t="shared" si="10"/>
        <v>0</v>
      </c>
      <c r="L148" s="153">
        <v>6</v>
      </c>
      <c r="M148" s="456" t="s">
        <v>429</v>
      </c>
      <c r="N148" s="456"/>
      <c r="O148" s="456"/>
      <c r="P148" s="456"/>
      <c r="Q148" s="456"/>
      <c r="R148" s="456"/>
      <c r="S148" s="456"/>
      <c r="T148" s="150">
        <v>0</v>
      </c>
      <c r="U148" s="139">
        <f t="shared" si="8"/>
        <v>0</v>
      </c>
      <c r="V148" s="153">
        <v>7</v>
      </c>
      <c r="W148" s="456" t="s">
        <v>523</v>
      </c>
      <c r="X148" s="456"/>
      <c r="Y148" s="456"/>
      <c r="Z148" s="456"/>
      <c r="AA148" s="456"/>
      <c r="AB148" s="456"/>
      <c r="AC148" s="456"/>
      <c r="AD148" s="141">
        <v>0</v>
      </c>
      <c r="AE148" s="139">
        <f t="shared" si="11"/>
        <v>0</v>
      </c>
      <c r="AG148" s="153">
        <v>7</v>
      </c>
      <c r="AH148" s="456" t="s">
        <v>569</v>
      </c>
      <c r="AI148" s="456"/>
      <c r="AJ148" s="456"/>
      <c r="AK148" s="456"/>
      <c r="AL148" s="456"/>
      <c r="AM148" s="456"/>
      <c r="AN148" s="456"/>
      <c r="AO148" s="141">
        <v>0</v>
      </c>
      <c r="AP148" s="139">
        <f t="shared" si="9"/>
        <v>0</v>
      </c>
    </row>
    <row r="149" spans="1:42" ht="15.6" customHeight="1" x14ac:dyDescent="0.25">
      <c r="A149" s="153">
        <v>6</v>
      </c>
      <c r="B149" s="456" t="s">
        <v>411</v>
      </c>
      <c r="C149" s="456"/>
      <c r="D149" s="456"/>
      <c r="E149" s="456"/>
      <c r="F149" s="456"/>
      <c r="G149" s="456"/>
      <c r="H149" s="456"/>
      <c r="I149" s="150">
        <v>0</v>
      </c>
      <c r="J149" s="139">
        <f t="shared" si="10"/>
        <v>0</v>
      </c>
      <c r="L149" s="153">
        <v>7</v>
      </c>
      <c r="M149" s="456" t="s">
        <v>430</v>
      </c>
      <c r="N149" s="456"/>
      <c r="O149" s="456"/>
      <c r="P149" s="456"/>
      <c r="Q149" s="456"/>
      <c r="R149" s="456"/>
      <c r="S149" s="456"/>
      <c r="T149" s="150">
        <v>0</v>
      </c>
      <c r="U149" s="139">
        <f t="shared" si="8"/>
        <v>0</v>
      </c>
      <c r="V149" s="153">
        <v>7</v>
      </c>
      <c r="W149" s="456" t="s">
        <v>524</v>
      </c>
      <c r="X149" s="456"/>
      <c r="Y149" s="456"/>
      <c r="Z149" s="456"/>
      <c r="AA149" s="456"/>
      <c r="AB149" s="456"/>
      <c r="AC149" s="456"/>
      <c r="AD149" s="141">
        <v>0</v>
      </c>
      <c r="AE149" s="139">
        <f t="shared" si="11"/>
        <v>0</v>
      </c>
      <c r="AG149" s="153">
        <v>7</v>
      </c>
      <c r="AH149" s="456" t="s">
        <v>570</v>
      </c>
      <c r="AI149" s="456"/>
      <c r="AJ149" s="456"/>
      <c r="AK149" s="456"/>
      <c r="AL149" s="456"/>
      <c r="AM149" s="456"/>
      <c r="AN149" s="456"/>
      <c r="AO149" s="141">
        <v>0</v>
      </c>
      <c r="AP149" s="139">
        <f t="shared" si="9"/>
        <v>0</v>
      </c>
    </row>
    <row r="150" spans="1:42" ht="15.6" customHeight="1" x14ac:dyDescent="0.25">
      <c r="A150" s="153">
        <v>6</v>
      </c>
      <c r="B150" s="456" t="s">
        <v>412</v>
      </c>
      <c r="C150" s="456"/>
      <c r="D150" s="456"/>
      <c r="E150" s="456"/>
      <c r="F150" s="456"/>
      <c r="G150" s="456"/>
      <c r="H150" s="456"/>
      <c r="I150" s="150">
        <v>0</v>
      </c>
      <c r="J150" s="139">
        <f t="shared" si="10"/>
        <v>0</v>
      </c>
      <c r="K150" s="148"/>
      <c r="L150" s="148"/>
      <c r="M150" s="463"/>
      <c r="N150" s="463"/>
      <c r="O150" s="463"/>
      <c r="P150" s="463"/>
      <c r="Q150" s="463"/>
      <c r="R150" s="463"/>
      <c r="S150" s="463"/>
      <c r="T150" s="147"/>
      <c r="U150" s="24"/>
      <c r="V150" s="174">
        <v>7</v>
      </c>
      <c r="W150" s="456" t="s">
        <v>525</v>
      </c>
      <c r="X150" s="456"/>
      <c r="Y150" s="456"/>
      <c r="Z150" s="456"/>
      <c r="AA150" s="456"/>
      <c r="AB150" s="456"/>
      <c r="AC150" s="456"/>
      <c r="AD150" s="141">
        <v>0</v>
      </c>
      <c r="AE150" s="139">
        <f t="shared" si="11"/>
        <v>0</v>
      </c>
      <c r="AG150" s="153">
        <v>7</v>
      </c>
      <c r="AH150" s="456" t="s">
        <v>571</v>
      </c>
      <c r="AI150" s="456"/>
      <c r="AJ150" s="456"/>
      <c r="AK150" s="456"/>
      <c r="AL150" s="456"/>
      <c r="AM150" s="456"/>
      <c r="AN150" s="456"/>
      <c r="AO150" s="141">
        <v>0</v>
      </c>
      <c r="AP150" s="139">
        <f t="shared" si="9"/>
        <v>0</v>
      </c>
    </row>
    <row r="151" spans="1:42" ht="15.6" customHeight="1" x14ac:dyDescent="0.25">
      <c r="A151" s="457" t="s">
        <v>715</v>
      </c>
      <c r="B151" s="458"/>
      <c r="C151" s="458"/>
      <c r="D151" s="458"/>
      <c r="E151" s="458"/>
      <c r="F151" s="458"/>
      <c r="G151" s="458"/>
      <c r="H151" s="458"/>
      <c r="I151" s="458"/>
      <c r="J151" s="458"/>
      <c r="K151" s="458"/>
      <c r="L151" s="458"/>
      <c r="M151" s="458"/>
      <c r="N151" s="458"/>
      <c r="O151" s="458"/>
      <c r="P151" s="458"/>
      <c r="Q151" s="458"/>
      <c r="R151" s="458"/>
      <c r="S151" s="458"/>
      <c r="T151" s="458"/>
      <c r="U151" s="464"/>
      <c r="V151" s="457" t="s">
        <v>715</v>
      </c>
      <c r="W151" s="458"/>
      <c r="X151" s="458"/>
      <c r="Y151" s="458"/>
      <c r="Z151" s="458"/>
      <c r="AA151" s="458"/>
      <c r="AB151" s="458"/>
      <c r="AC151" s="458"/>
      <c r="AD151" s="458"/>
      <c r="AE151" s="459"/>
    </row>
    <row r="152" spans="1:42" ht="15.6" customHeight="1" x14ac:dyDescent="0.25">
      <c r="A152" s="176" t="s">
        <v>160</v>
      </c>
      <c r="B152" s="462" t="s">
        <v>341</v>
      </c>
      <c r="C152" s="462"/>
      <c r="D152" s="462"/>
      <c r="E152" s="462"/>
      <c r="F152" s="462"/>
      <c r="G152" s="462"/>
      <c r="H152" s="462"/>
      <c r="I152" s="177" t="s">
        <v>1</v>
      </c>
      <c r="J152" s="177" t="s">
        <v>31</v>
      </c>
      <c r="L152" s="176" t="s">
        <v>160</v>
      </c>
      <c r="M152" s="462" t="s">
        <v>364</v>
      </c>
      <c r="N152" s="462"/>
      <c r="O152" s="462"/>
      <c r="P152" s="462"/>
      <c r="Q152" s="462"/>
      <c r="R152" s="462"/>
      <c r="S152" s="462"/>
      <c r="T152" s="177" t="s">
        <v>1</v>
      </c>
      <c r="U152" s="139" t="s">
        <v>31</v>
      </c>
      <c r="V152" s="142" t="s">
        <v>160</v>
      </c>
      <c r="W152" s="178" t="s">
        <v>575</v>
      </c>
      <c r="X152" s="178"/>
      <c r="Y152" s="178"/>
      <c r="Z152" s="178"/>
      <c r="AA152" s="142"/>
      <c r="AB152" s="178"/>
      <c r="AC152" s="142"/>
      <c r="AD152" s="139" t="s">
        <v>1</v>
      </c>
      <c r="AE152" s="139" t="s">
        <v>31</v>
      </c>
    </row>
    <row r="153" spans="1:42" ht="15.6" customHeight="1" x14ac:dyDescent="0.25">
      <c r="A153" s="153">
        <v>1</v>
      </c>
      <c r="B153" s="456" t="s">
        <v>344</v>
      </c>
      <c r="C153" s="456"/>
      <c r="D153" s="456"/>
      <c r="E153" s="456"/>
      <c r="F153" s="456"/>
      <c r="G153" s="456"/>
      <c r="H153" s="456"/>
      <c r="I153" s="150">
        <v>0</v>
      </c>
      <c r="J153" s="139">
        <f t="shared" ref="J153:J174" si="12">IF(I153&gt;0,(I153*A153-A153+10),0)</f>
        <v>0</v>
      </c>
      <c r="L153" s="153">
        <v>1</v>
      </c>
      <c r="M153" s="456" t="s">
        <v>367</v>
      </c>
      <c r="N153" s="456"/>
      <c r="O153" s="456"/>
      <c r="P153" s="456"/>
      <c r="Q153" s="456"/>
      <c r="R153" s="456"/>
      <c r="S153" s="456"/>
      <c r="T153" s="150">
        <v>0</v>
      </c>
      <c r="U153" s="139">
        <f t="shared" si="8"/>
        <v>0</v>
      </c>
      <c r="V153" s="153">
        <v>1</v>
      </c>
      <c r="W153" s="456" t="s">
        <v>583</v>
      </c>
      <c r="X153" s="456"/>
      <c r="Y153" s="456"/>
      <c r="Z153" s="456"/>
      <c r="AA153" s="456"/>
      <c r="AB153" s="456"/>
      <c r="AC153" s="456"/>
      <c r="AD153" s="150">
        <v>0</v>
      </c>
      <c r="AE153" s="139">
        <f t="shared" ref="AE153:AE174" si="13">IF(AD153&gt;0,(AD153*V153-V153+10),0)</f>
        <v>0</v>
      </c>
    </row>
    <row r="154" spans="1:42" ht="15.6" customHeight="1" x14ac:dyDescent="0.25">
      <c r="A154" s="153">
        <v>1</v>
      </c>
      <c r="B154" s="456" t="s">
        <v>345</v>
      </c>
      <c r="C154" s="456"/>
      <c r="D154" s="456"/>
      <c r="E154" s="456"/>
      <c r="F154" s="456"/>
      <c r="G154" s="456"/>
      <c r="H154" s="456"/>
      <c r="I154" s="150">
        <v>0</v>
      </c>
      <c r="J154" s="139">
        <f t="shared" si="12"/>
        <v>0</v>
      </c>
      <c r="L154" s="153">
        <v>1</v>
      </c>
      <c r="M154" s="456" t="s">
        <v>368</v>
      </c>
      <c r="N154" s="456"/>
      <c r="O154" s="456"/>
      <c r="P154" s="456"/>
      <c r="Q154" s="456"/>
      <c r="R154" s="456"/>
      <c r="S154" s="456"/>
      <c r="T154" s="150">
        <v>0</v>
      </c>
      <c r="U154" s="139">
        <f t="shared" si="8"/>
        <v>0</v>
      </c>
      <c r="V154" s="153">
        <v>1</v>
      </c>
      <c r="W154" s="456" t="s">
        <v>584</v>
      </c>
      <c r="X154" s="456"/>
      <c r="Y154" s="456"/>
      <c r="Z154" s="456"/>
      <c r="AA154" s="456"/>
      <c r="AB154" s="456"/>
      <c r="AC154" s="456"/>
      <c r="AD154" s="150">
        <v>0</v>
      </c>
      <c r="AE154" s="139">
        <f t="shared" si="13"/>
        <v>0</v>
      </c>
    </row>
    <row r="155" spans="1:42" ht="15.6" customHeight="1" x14ac:dyDescent="0.25">
      <c r="A155" s="153">
        <v>1</v>
      </c>
      <c r="B155" s="456" t="s">
        <v>346</v>
      </c>
      <c r="C155" s="456"/>
      <c r="D155" s="456"/>
      <c r="E155" s="456"/>
      <c r="F155" s="456"/>
      <c r="G155" s="456"/>
      <c r="H155" s="456"/>
      <c r="I155" s="150">
        <v>0</v>
      </c>
      <c r="J155" s="139">
        <f t="shared" si="12"/>
        <v>0</v>
      </c>
      <c r="L155" s="153">
        <v>1</v>
      </c>
      <c r="M155" s="456" t="s">
        <v>369</v>
      </c>
      <c r="N155" s="456"/>
      <c r="O155" s="456"/>
      <c r="P155" s="456"/>
      <c r="Q155" s="456"/>
      <c r="R155" s="456"/>
      <c r="S155" s="456"/>
      <c r="T155" s="150">
        <v>0</v>
      </c>
      <c r="U155" s="139">
        <f t="shared" si="8"/>
        <v>0</v>
      </c>
      <c r="V155" s="153">
        <v>1</v>
      </c>
      <c r="W155" s="456" t="s">
        <v>585</v>
      </c>
      <c r="X155" s="456"/>
      <c r="Y155" s="456"/>
      <c r="Z155" s="456"/>
      <c r="AA155" s="456"/>
      <c r="AB155" s="456"/>
      <c r="AC155" s="456"/>
      <c r="AD155" s="150">
        <v>0</v>
      </c>
      <c r="AE155" s="139">
        <f t="shared" si="13"/>
        <v>0</v>
      </c>
    </row>
    <row r="156" spans="1:42" ht="15.6" customHeight="1" x14ac:dyDescent="0.25">
      <c r="A156" s="153">
        <v>2</v>
      </c>
      <c r="B156" s="456" t="s">
        <v>347</v>
      </c>
      <c r="C156" s="456"/>
      <c r="D156" s="456"/>
      <c r="E156" s="456"/>
      <c r="F156" s="456"/>
      <c r="G156" s="456"/>
      <c r="H156" s="456"/>
      <c r="I156" s="150">
        <v>0</v>
      </c>
      <c r="J156" s="139">
        <f t="shared" si="12"/>
        <v>0</v>
      </c>
      <c r="L156" s="153">
        <v>2</v>
      </c>
      <c r="M156" s="456" t="s">
        <v>370</v>
      </c>
      <c r="N156" s="456"/>
      <c r="O156" s="456"/>
      <c r="P156" s="456"/>
      <c r="Q156" s="456"/>
      <c r="R156" s="456"/>
      <c r="S156" s="456"/>
      <c r="T156" s="150">
        <v>0</v>
      </c>
      <c r="U156" s="139">
        <f t="shared" si="8"/>
        <v>0</v>
      </c>
      <c r="V156" s="153">
        <v>2</v>
      </c>
      <c r="W156" s="456" t="s">
        <v>586</v>
      </c>
      <c r="X156" s="456"/>
      <c r="Y156" s="456"/>
      <c r="Z156" s="456"/>
      <c r="AA156" s="456"/>
      <c r="AB156" s="456"/>
      <c r="AC156" s="456"/>
      <c r="AD156" s="150">
        <v>0</v>
      </c>
      <c r="AE156" s="139">
        <f t="shared" si="13"/>
        <v>0</v>
      </c>
    </row>
    <row r="157" spans="1:42" ht="15.6" customHeight="1" x14ac:dyDescent="0.25">
      <c r="A157" s="153">
        <v>2</v>
      </c>
      <c r="B157" s="456" t="s">
        <v>348</v>
      </c>
      <c r="C157" s="456"/>
      <c r="D157" s="456"/>
      <c r="E157" s="456"/>
      <c r="F157" s="456"/>
      <c r="G157" s="456"/>
      <c r="H157" s="456"/>
      <c r="I157" s="150">
        <v>0</v>
      </c>
      <c r="J157" s="139">
        <f t="shared" si="12"/>
        <v>0</v>
      </c>
      <c r="L157" s="153">
        <v>2</v>
      </c>
      <c r="M157" s="456" t="s">
        <v>371</v>
      </c>
      <c r="N157" s="456"/>
      <c r="O157" s="456"/>
      <c r="P157" s="456"/>
      <c r="Q157" s="456"/>
      <c r="R157" s="456"/>
      <c r="S157" s="456"/>
      <c r="T157" s="150">
        <v>0</v>
      </c>
      <c r="U157" s="139">
        <f t="shared" si="8"/>
        <v>0</v>
      </c>
      <c r="V157" s="153">
        <v>2</v>
      </c>
      <c r="W157" s="456" t="s">
        <v>587</v>
      </c>
      <c r="X157" s="456"/>
      <c r="Y157" s="456"/>
      <c r="Z157" s="456"/>
      <c r="AA157" s="456"/>
      <c r="AB157" s="456"/>
      <c r="AC157" s="456"/>
      <c r="AD157" s="150">
        <v>0</v>
      </c>
      <c r="AE157" s="139">
        <f t="shared" si="13"/>
        <v>0</v>
      </c>
    </row>
    <row r="158" spans="1:42" ht="15.6" customHeight="1" x14ac:dyDescent="0.25">
      <c r="A158" s="153">
        <v>2</v>
      </c>
      <c r="B158" s="456" t="s">
        <v>349</v>
      </c>
      <c r="C158" s="456"/>
      <c r="D158" s="456"/>
      <c r="E158" s="456"/>
      <c r="F158" s="456"/>
      <c r="G158" s="456"/>
      <c r="H158" s="456"/>
      <c r="I158" s="150">
        <v>0</v>
      </c>
      <c r="J158" s="139">
        <f t="shared" si="12"/>
        <v>0</v>
      </c>
      <c r="L158" s="153">
        <v>2</v>
      </c>
      <c r="M158" s="456" t="s">
        <v>372</v>
      </c>
      <c r="N158" s="456"/>
      <c r="O158" s="456"/>
      <c r="P158" s="456"/>
      <c r="Q158" s="456"/>
      <c r="R158" s="456"/>
      <c r="S158" s="456"/>
      <c r="T158" s="150">
        <v>0</v>
      </c>
      <c r="U158" s="139">
        <f t="shared" si="8"/>
        <v>0</v>
      </c>
      <c r="V158" s="153">
        <v>2</v>
      </c>
      <c r="W158" s="456" t="s">
        <v>588</v>
      </c>
      <c r="X158" s="456"/>
      <c r="Y158" s="456"/>
      <c r="Z158" s="456"/>
      <c r="AA158" s="456"/>
      <c r="AB158" s="456"/>
      <c r="AC158" s="456"/>
      <c r="AD158" s="150">
        <v>0</v>
      </c>
      <c r="AE158" s="139">
        <f t="shared" si="13"/>
        <v>0</v>
      </c>
    </row>
    <row r="159" spans="1:42" ht="15.6" customHeight="1" x14ac:dyDescent="0.25">
      <c r="A159" s="153">
        <v>3</v>
      </c>
      <c r="B159" s="456" t="s">
        <v>350</v>
      </c>
      <c r="C159" s="456"/>
      <c r="D159" s="456"/>
      <c r="E159" s="456"/>
      <c r="F159" s="456"/>
      <c r="G159" s="456"/>
      <c r="H159" s="456"/>
      <c r="I159" s="150">
        <v>0</v>
      </c>
      <c r="J159" s="139">
        <f t="shared" si="12"/>
        <v>0</v>
      </c>
      <c r="L159" s="153">
        <v>3</v>
      </c>
      <c r="M159" s="456" t="s">
        <v>373</v>
      </c>
      <c r="N159" s="456"/>
      <c r="O159" s="456"/>
      <c r="P159" s="456"/>
      <c r="Q159" s="456"/>
      <c r="R159" s="456"/>
      <c r="S159" s="456"/>
      <c r="T159" s="150">
        <v>0</v>
      </c>
      <c r="U159" s="139">
        <f t="shared" si="8"/>
        <v>0</v>
      </c>
      <c r="V159" s="153">
        <v>3</v>
      </c>
      <c r="W159" s="456" t="s">
        <v>579</v>
      </c>
      <c r="X159" s="456"/>
      <c r="Y159" s="456"/>
      <c r="Z159" s="456"/>
      <c r="AA159" s="456"/>
      <c r="AB159" s="456"/>
      <c r="AC159" s="456"/>
      <c r="AD159" s="150">
        <v>0</v>
      </c>
      <c r="AE159" s="139">
        <f t="shared" si="13"/>
        <v>0</v>
      </c>
    </row>
    <row r="160" spans="1:42" ht="15.6" customHeight="1" x14ac:dyDescent="0.25">
      <c r="A160" s="153">
        <v>3</v>
      </c>
      <c r="B160" s="456" t="s">
        <v>351</v>
      </c>
      <c r="C160" s="456"/>
      <c r="D160" s="456"/>
      <c r="E160" s="456"/>
      <c r="F160" s="456"/>
      <c r="G160" s="456"/>
      <c r="H160" s="456"/>
      <c r="I160" s="150">
        <v>0</v>
      </c>
      <c r="J160" s="139">
        <f t="shared" si="12"/>
        <v>0</v>
      </c>
      <c r="L160" s="153">
        <v>3</v>
      </c>
      <c r="M160" s="456" t="s">
        <v>374</v>
      </c>
      <c r="N160" s="456"/>
      <c r="O160" s="456"/>
      <c r="P160" s="456"/>
      <c r="Q160" s="456"/>
      <c r="R160" s="456"/>
      <c r="S160" s="456"/>
      <c r="T160" s="150">
        <v>0</v>
      </c>
      <c r="U160" s="139">
        <f t="shared" si="8"/>
        <v>0</v>
      </c>
      <c r="V160" s="153">
        <v>3</v>
      </c>
      <c r="W160" s="456" t="s">
        <v>580</v>
      </c>
      <c r="X160" s="456"/>
      <c r="Y160" s="456"/>
      <c r="Z160" s="456"/>
      <c r="AA160" s="456"/>
      <c r="AB160" s="456"/>
      <c r="AC160" s="456"/>
      <c r="AD160" s="150">
        <v>0</v>
      </c>
      <c r="AE160" s="139">
        <f t="shared" si="13"/>
        <v>0</v>
      </c>
    </row>
    <row r="161" spans="1:31" ht="15.6" customHeight="1" x14ac:dyDescent="0.25">
      <c r="A161" s="153">
        <v>3</v>
      </c>
      <c r="B161" s="456" t="s">
        <v>352</v>
      </c>
      <c r="C161" s="456"/>
      <c r="D161" s="456"/>
      <c r="E161" s="456"/>
      <c r="F161" s="456"/>
      <c r="G161" s="456"/>
      <c r="H161" s="456"/>
      <c r="I161" s="150">
        <v>0</v>
      </c>
      <c r="J161" s="139">
        <f t="shared" si="12"/>
        <v>0</v>
      </c>
      <c r="L161" s="153">
        <v>3</v>
      </c>
      <c r="M161" s="456" t="s">
        <v>375</v>
      </c>
      <c r="N161" s="456"/>
      <c r="O161" s="456"/>
      <c r="P161" s="456"/>
      <c r="Q161" s="456"/>
      <c r="R161" s="456"/>
      <c r="S161" s="456"/>
      <c r="T161" s="150">
        <v>0</v>
      </c>
      <c r="U161" s="139">
        <f t="shared" si="8"/>
        <v>0</v>
      </c>
      <c r="V161" s="153">
        <v>3</v>
      </c>
      <c r="W161" s="456" t="s">
        <v>589</v>
      </c>
      <c r="X161" s="456"/>
      <c r="Y161" s="456"/>
      <c r="Z161" s="456"/>
      <c r="AA161" s="456"/>
      <c r="AB161" s="456"/>
      <c r="AC161" s="456"/>
      <c r="AD161" s="150">
        <v>0</v>
      </c>
      <c r="AE161" s="139">
        <f t="shared" si="13"/>
        <v>0</v>
      </c>
    </row>
    <row r="162" spans="1:31" ht="15.6" customHeight="1" x14ac:dyDescent="0.25">
      <c r="A162" s="153">
        <v>3</v>
      </c>
      <c r="B162" s="456" t="s">
        <v>356</v>
      </c>
      <c r="C162" s="456"/>
      <c r="D162" s="456"/>
      <c r="E162" s="456"/>
      <c r="F162" s="456"/>
      <c r="G162" s="456"/>
      <c r="H162" s="456"/>
      <c r="I162" s="150">
        <v>0</v>
      </c>
      <c r="J162" s="139">
        <f t="shared" si="12"/>
        <v>0</v>
      </c>
      <c r="L162" s="153">
        <v>3</v>
      </c>
      <c r="M162" s="456" t="s">
        <v>382</v>
      </c>
      <c r="N162" s="456"/>
      <c r="O162" s="456"/>
      <c r="P162" s="456"/>
      <c r="Q162" s="456"/>
      <c r="R162" s="456"/>
      <c r="S162" s="456"/>
      <c r="T162" s="150">
        <v>0</v>
      </c>
      <c r="U162" s="139">
        <f t="shared" si="8"/>
        <v>0</v>
      </c>
      <c r="V162" s="153">
        <v>3</v>
      </c>
      <c r="W162" s="456" t="s">
        <v>590</v>
      </c>
      <c r="X162" s="456"/>
      <c r="Y162" s="456"/>
      <c r="Z162" s="456"/>
      <c r="AA162" s="456"/>
      <c r="AB162" s="456"/>
      <c r="AC162" s="456"/>
      <c r="AD162" s="150">
        <v>0</v>
      </c>
      <c r="AE162" s="139">
        <f t="shared" si="13"/>
        <v>0</v>
      </c>
    </row>
    <row r="163" spans="1:31" ht="15.6" customHeight="1" x14ac:dyDescent="0.25">
      <c r="A163" s="153">
        <v>3</v>
      </c>
      <c r="B163" s="456" t="s">
        <v>360</v>
      </c>
      <c r="C163" s="456"/>
      <c r="D163" s="456"/>
      <c r="E163" s="456"/>
      <c r="F163" s="456"/>
      <c r="G163" s="456"/>
      <c r="H163" s="456"/>
      <c r="I163" s="150">
        <v>0</v>
      </c>
      <c r="J163" s="139">
        <f t="shared" si="12"/>
        <v>0</v>
      </c>
      <c r="L163" s="153">
        <v>3</v>
      </c>
      <c r="M163" s="456" t="s">
        <v>383</v>
      </c>
      <c r="N163" s="456"/>
      <c r="O163" s="456"/>
      <c r="P163" s="456"/>
      <c r="Q163" s="456"/>
      <c r="R163" s="456"/>
      <c r="S163" s="456"/>
      <c r="T163" s="150">
        <v>0</v>
      </c>
      <c r="U163" s="139">
        <f t="shared" si="8"/>
        <v>0</v>
      </c>
      <c r="V163" s="153">
        <v>3</v>
      </c>
      <c r="W163" s="456" t="s">
        <v>591</v>
      </c>
      <c r="X163" s="456"/>
      <c r="Y163" s="456"/>
      <c r="Z163" s="456"/>
      <c r="AA163" s="456"/>
      <c r="AB163" s="456"/>
      <c r="AC163" s="456"/>
      <c r="AD163" s="150">
        <v>0</v>
      </c>
      <c r="AE163" s="139">
        <f t="shared" si="13"/>
        <v>0</v>
      </c>
    </row>
    <row r="164" spans="1:31" ht="15.6" customHeight="1" x14ac:dyDescent="0.25">
      <c r="A164" s="153">
        <v>4</v>
      </c>
      <c r="B164" s="456" t="s">
        <v>353</v>
      </c>
      <c r="C164" s="456"/>
      <c r="D164" s="456"/>
      <c r="E164" s="456"/>
      <c r="F164" s="456"/>
      <c r="G164" s="456"/>
      <c r="H164" s="456"/>
      <c r="I164" s="150">
        <v>0</v>
      </c>
      <c r="J164" s="139">
        <f t="shared" si="12"/>
        <v>0</v>
      </c>
      <c r="L164" s="153">
        <v>4</v>
      </c>
      <c r="M164" s="456" t="s">
        <v>376</v>
      </c>
      <c r="N164" s="456"/>
      <c r="O164" s="456"/>
      <c r="P164" s="456"/>
      <c r="Q164" s="456"/>
      <c r="R164" s="456"/>
      <c r="S164" s="456"/>
      <c r="T164" s="150">
        <v>0</v>
      </c>
      <c r="U164" s="139">
        <f t="shared" si="8"/>
        <v>0</v>
      </c>
      <c r="V164" s="153">
        <v>4</v>
      </c>
      <c r="W164" s="456" t="s">
        <v>592</v>
      </c>
      <c r="X164" s="456"/>
      <c r="Y164" s="456"/>
      <c r="Z164" s="456"/>
      <c r="AA164" s="456"/>
      <c r="AB164" s="456"/>
      <c r="AC164" s="456"/>
      <c r="AD164" s="150">
        <v>0</v>
      </c>
      <c r="AE164" s="139">
        <f t="shared" si="13"/>
        <v>0</v>
      </c>
    </row>
    <row r="165" spans="1:31" ht="15.6" customHeight="1" x14ac:dyDescent="0.25">
      <c r="A165" s="153">
        <v>4</v>
      </c>
      <c r="B165" s="456" t="s">
        <v>354</v>
      </c>
      <c r="C165" s="456"/>
      <c r="D165" s="456"/>
      <c r="E165" s="456"/>
      <c r="F165" s="456"/>
      <c r="G165" s="456"/>
      <c r="H165" s="456"/>
      <c r="I165" s="150">
        <v>0</v>
      </c>
      <c r="J165" s="139">
        <f t="shared" si="12"/>
        <v>0</v>
      </c>
      <c r="L165" s="153">
        <v>4</v>
      </c>
      <c r="M165" s="456" t="s">
        <v>377</v>
      </c>
      <c r="N165" s="456"/>
      <c r="O165" s="456"/>
      <c r="P165" s="456"/>
      <c r="Q165" s="456"/>
      <c r="R165" s="456"/>
      <c r="S165" s="456"/>
      <c r="T165" s="150">
        <v>0</v>
      </c>
      <c r="U165" s="139">
        <f t="shared" si="8"/>
        <v>0</v>
      </c>
      <c r="V165" s="153">
        <v>4</v>
      </c>
      <c r="W165" s="456" t="s">
        <v>593</v>
      </c>
      <c r="X165" s="456"/>
      <c r="Y165" s="456"/>
      <c r="Z165" s="456"/>
      <c r="AA165" s="456"/>
      <c r="AB165" s="456"/>
      <c r="AC165" s="456"/>
      <c r="AD165" s="150">
        <v>0</v>
      </c>
      <c r="AE165" s="139">
        <f t="shared" si="13"/>
        <v>0</v>
      </c>
    </row>
    <row r="166" spans="1:31" ht="15.6" customHeight="1" x14ac:dyDescent="0.25">
      <c r="A166" s="153">
        <v>4</v>
      </c>
      <c r="B166" s="456" t="s">
        <v>355</v>
      </c>
      <c r="C166" s="456"/>
      <c r="D166" s="456"/>
      <c r="E166" s="456"/>
      <c r="F166" s="456"/>
      <c r="G166" s="456"/>
      <c r="H166" s="456"/>
      <c r="I166" s="150">
        <v>0</v>
      </c>
      <c r="J166" s="139">
        <f t="shared" si="12"/>
        <v>0</v>
      </c>
      <c r="L166" s="153">
        <v>4</v>
      </c>
      <c r="M166" s="456" t="s">
        <v>378</v>
      </c>
      <c r="N166" s="456"/>
      <c r="O166" s="456"/>
      <c r="P166" s="456"/>
      <c r="Q166" s="456"/>
      <c r="R166" s="456"/>
      <c r="S166" s="456"/>
      <c r="T166" s="150">
        <v>0</v>
      </c>
      <c r="U166" s="139">
        <f t="shared" si="8"/>
        <v>0</v>
      </c>
      <c r="V166" s="153">
        <v>4</v>
      </c>
      <c r="W166" s="456" t="s">
        <v>594</v>
      </c>
      <c r="X166" s="456"/>
      <c r="Y166" s="456"/>
      <c r="Z166" s="456"/>
      <c r="AA166" s="456"/>
      <c r="AB166" s="456"/>
      <c r="AC166" s="456"/>
      <c r="AD166" s="150">
        <v>0</v>
      </c>
      <c r="AE166" s="139">
        <f t="shared" si="13"/>
        <v>0</v>
      </c>
    </row>
    <row r="167" spans="1:31" ht="15.6" customHeight="1" x14ac:dyDescent="0.25">
      <c r="A167" s="153">
        <v>5</v>
      </c>
      <c r="B167" s="456" t="s">
        <v>340</v>
      </c>
      <c r="C167" s="456"/>
      <c r="D167" s="456"/>
      <c r="E167" s="456"/>
      <c r="F167" s="456"/>
      <c r="G167" s="456"/>
      <c r="H167" s="456"/>
      <c r="I167" s="150">
        <v>0</v>
      </c>
      <c r="J167" s="139">
        <f t="shared" si="12"/>
        <v>0</v>
      </c>
      <c r="L167" s="153">
        <v>5</v>
      </c>
      <c r="M167" s="456" t="s">
        <v>363</v>
      </c>
      <c r="N167" s="456"/>
      <c r="O167" s="456"/>
      <c r="P167" s="456"/>
      <c r="Q167" s="456"/>
      <c r="R167" s="456"/>
      <c r="S167" s="456"/>
      <c r="T167" s="150">
        <v>0</v>
      </c>
      <c r="U167" s="139">
        <f t="shared" si="8"/>
        <v>0</v>
      </c>
      <c r="V167" s="153">
        <v>5</v>
      </c>
      <c r="W167" s="456" t="s">
        <v>574</v>
      </c>
      <c r="X167" s="456"/>
      <c r="Y167" s="456"/>
      <c r="Z167" s="456"/>
      <c r="AA167" s="456"/>
      <c r="AB167" s="456"/>
      <c r="AC167" s="456"/>
      <c r="AD167" s="150">
        <v>0</v>
      </c>
      <c r="AE167" s="139">
        <f t="shared" si="13"/>
        <v>0</v>
      </c>
    </row>
    <row r="168" spans="1:31" ht="15.6" customHeight="1" x14ac:dyDescent="0.25">
      <c r="A168" s="153">
        <v>5</v>
      </c>
      <c r="B168" s="456" t="s">
        <v>342</v>
      </c>
      <c r="C168" s="456"/>
      <c r="D168" s="456"/>
      <c r="E168" s="456"/>
      <c r="F168" s="456"/>
      <c r="G168" s="456"/>
      <c r="H168" s="456"/>
      <c r="I168" s="150">
        <v>0</v>
      </c>
      <c r="J168" s="139">
        <f t="shared" si="12"/>
        <v>0</v>
      </c>
      <c r="L168" s="153">
        <v>5</v>
      </c>
      <c r="M168" s="456" t="s">
        <v>365</v>
      </c>
      <c r="N168" s="456"/>
      <c r="O168" s="456"/>
      <c r="P168" s="456"/>
      <c r="Q168" s="456"/>
      <c r="R168" s="456"/>
      <c r="S168" s="456"/>
      <c r="T168" s="150">
        <v>0</v>
      </c>
      <c r="U168" s="139">
        <f t="shared" ref="U168:U197" si="14">IF(T168&gt;0,(T168*L168-L168+10),0)</f>
        <v>0</v>
      </c>
      <c r="V168" s="153">
        <v>5</v>
      </c>
      <c r="W168" s="456" t="s">
        <v>576</v>
      </c>
      <c r="X168" s="456"/>
      <c r="Y168" s="456"/>
      <c r="Z168" s="456"/>
      <c r="AA168" s="456"/>
      <c r="AB168" s="456"/>
      <c r="AC168" s="456"/>
      <c r="AD168" s="150">
        <v>0</v>
      </c>
      <c r="AE168" s="139">
        <f t="shared" si="13"/>
        <v>0</v>
      </c>
    </row>
    <row r="169" spans="1:31" ht="15.6" customHeight="1" x14ac:dyDescent="0.25">
      <c r="A169" s="153">
        <v>5</v>
      </c>
      <c r="B169" s="456" t="s">
        <v>343</v>
      </c>
      <c r="C169" s="456"/>
      <c r="D169" s="456"/>
      <c r="E169" s="456"/>
      <c r="F169" s="456"/>
      <c r="G169" s="456"/>
      <c r="H169" s="456"/>
      <c r="I169" s="150">
        <v>0</v>
      </c>
      <c r="J169" s="139">
        <f t="shared" si="12"/>
        <v>0</v>
      </c>
      <c r="L169" s="153">
        <v>5</v>
      </c>
      <c r="M169" s="456" t="s">
        <v>366</v>
      </c>
      <c r="N169" s="456"/>
      <c r="O169" s="456"/>
      <c r="P169" s="456"/>
      <c r="Q169" s="456"/>
      <c r="R169" s="456"/>
      <c r="S169" s="456"/>
      <c r="T169" s="150">
        <v>0</v>
      </c>
      <c r="U169" s="139">
        <f t="shared" si="14"/>
        <v>0</v>
      </c>
      <c r="V169" s="153">
        <v>5</v>
      </c>
      <c r="W169" s="456" t="s">
        <v>577</v>
      </c>
      <c r="X169" s="456"/>
      <c r="Y169" s="456"/>
      <c r="Z169" s="456"/>
      <c r="AA169" s="456"/>
      <c r="AB169" s="456"/>
      <c r="AC169" s="456"/>
      <c r="AD169" s="150">
        <v>0</v>
      </c>
      <c r="AE169" s="139">
        <f t="shared" si="13"/>
        <v>0</v>
      </c>
    </row>
    <row r="170" spans="1:31" ht="15.6" customHeight="1" x14ac:dyDescent="0.25">
      <c r="A170" s="153">
        <v>6</v>
      </c>
      <c r="B170" s="456" t="s">
        <v>357</v>
      </c>
      <c r="C170" s="456"/>
      <c r="D170" s="456"/>
      <c r="E170" s="456"/>
      <c r="F170" s="456"/>
      <c r="G170" s="456"/>
      <c r="H170" s="456"/>
      <c r="I170" s="150">
        <v>0</v>
      </c>
      <c r="J170" s="139">
        <f t="shared" si="12"/>
        <v>0</v>
      </c>
      <c r="L170" s="153">
        <v>6</v>
      </c>
      <c r="M170" s="456" t="s">
        <v>379</v>
      </c>
      <c r="N170" s="456"/>
      <c r="O170" s="456"/>
      <c r="P170" s="456"/>
      <c r="Q170" s="456"/>
      <c r="R170" s="456"/>
      <c r="S170" s="456"/>
      <c r="T170" s="150">
        <v>0</v>
      </c>
      <c r="U170" s="139">
        <f t="shared" si="14"/>
        <v>0</v>
      </c>
      <c r="V170" s="153">
        <v>6</v>
      </c>
      <c r="W170" s="456" t="s">
        <v>578</v>
      </c>
      <c r="X170" s="456"/>
      <c r="Y170" s="456"/>
      <c r="Z170" s="456"/>
      <c r="AA170" s="456"/>
      <c r="AB170" s="456"/>
      <c r="AC170" s="456"/>
      <c r="AD170" s="150">
        <v>0</v>
      </c>
      <c r="AE170" s="139">
        <f t="shared" si="13"/>
        <v>0</v>
      </c>
    </row>
    <row r="171" spans="1:31" ht="15.6" customHeight="1" x14ac:dyDescent="0.25">
      <c r="A171" s="153">
        <v>6</v>
      </c>
      <c r="B171" s="456" t="s">
        <v>358</v>
      </c>
      <c r="C171" s="456"/>
      <c r="D171" s="456"/>
      <c r="E171" s="456"/>
      <c r="F171" s="456"/>
      <c r="G171" s="456"/>
      <c r="H171" s="456"/>
      <c r="I171" s="150">
        <v>0</v>
      </c>
      <c r="J171" s="139">
        <f t="shared" si="12"/>
        <v>0</v>
      </c>
      <c r="L171" s="153">
        <v>6</v>
      </c>
      <c r="M171" s="456" t="s">
        <v>380</v>
      </c>
      <c r="N171" s="456"/>
      <c r="O171" s="456"/>
      <c r="P171" s="456"/>
      <c r="Q171" s="456"/>
      <c r="R171" s="456"/>
      <c r="S171" s="456"/>
      <c r="T171" s="150">
        <v>0</v>
      </c>
      <c r="U171" s="139">
        <f t="shared" si="14"/>
        <v>0</v>
      </c>
      <c r="V171" s="153">
        <v>6</v>
      </c>
      <c r="W171" s="456" t="s">
        <v>581</v>
      </c>
      <c r="X171" s="456"/>
      <c r="Y171" s="456"/>
      <c r="Z171" s="456"/>
      <c r="AA171" s="456"/>
      <c r="AB171" s="456"/>
      <c r="AC171" s="456"/>
      <c r="AD171" s="150">
        <v>0</v>
      </c>
      <c r="AE171" s="139">
        <f t="shared" si="13"/>
        <v>0</v>
      </c>
    </row>
    <row r="172" spans="1:31" ht="15.6" customHeight="1" x14ac:dyDescent="0.25">
      <c r="A172" s="153">
        <v>6</v>
      </c>
      <c r="B172" s="456" t="s">
        <v>359</v>
      </c>
      <c r="C172" s="456"/>
      <c r="D172" s="456"/>
      <c r="E172" s="456"/>
      <c r="F172" s="456"/>
      <c r="G172" s="456"/>
      <c r="H172" s="456"/>
      <c r="I172" s="150">
        <v>0</v>
      </c>
      <c r="J172" s="139">
        <f t="shared" si="12"/>
        <v>0</v>
      </c>
      <c r="L172" s="153">
        <v>6</v>
      </c>
      <c r="M172" s="456" t="s">
        <v>381</v>
      </c>
      <c r="N172" s="456"/>
      <c r="O172" s="456"/>
      <c r="P172" s="456"/>
      <c r="Q172" s="456"/>
      <c r="R172" s="456"/>
      <c r="S172" s="456"/>
      <c r="T172" s="150">
        <v>0</v>
      </c>
      <c r="U172" s="139">
        <f t="shared" si="14"/>
        <v>0</v>
      </c>
      <c r="V172" s="153">
        <v>6</v>
      </c>
      <c r="W172" s="456" t="s">
        <v>582</v>
      </c>
      <c r="X172" s="456"/>
      <c r="Y172" s="456"/>
      <c r="Z172" s="456"/>
      <c r="AA172" s="456"/>
      <c r="AB172" s="456"/>
      <c r="AC172" s="456"/>
      <c r="AD172" s="150">
        <v>0</v>
      </c>
      <c r="AE172" s="139">
        <f t="shared" si="13"/>
        <v>0</v>
      </c>
    </row>
    <row r="173" spans="1:31" ht="15.6" customHeight="1" x14ac:dyDescent="0.25">
      <c r="A173" s="153">
        <v>7</v>
      </c>
      <c r="B173" s="456" t="s">
        <v>361</v>
      </c>
      <c r="C173" s="456"/>
      <c r="D173" s="456"/>
      <c r="E173" s="456"/>
      <c r="F173" s="456"/>
      <c r="G173" s="456"/>
      <c r="H173" s="456"/>
      <c r="I173" s="150">
        <v>0</v>
      </c>
      <c r="J173" s="139">
        <f t="shared" si="12"/>
        <v>0</v>
      </c>
      <c r="L173" s="153">
        <v>7</v>
      </c>
      <c r="M173" s="456" t="s">
        <v>384</v>
      </c>
      <c r="N173" s="456"/>
      <c r="O173" s="456"/>
      <c r="P173" s="456"/>
      <c r="Q173" s="456"/>
      <c r="R173" s="456"/>
      <c r="S173" s="456"/>
      <c r="T173" s="150">
        <v>0</v>
      </c>
      <c r="U173" s="139">
        <f t="shared" si="14"/>
        <v>0</v>
      </c>
      <c r="V173" s="153">
        <v>7</v>
      </c>
      <c r="W173" s="456" t="s">
        <v>595</v>
      </c>
      <c r="X173" s="456"/>
      <c r="Y173" s="456"/>
      <c r="Z173" s="456"/>
      <c r="AA173" s="456"/>
      <c r="AB173" s="456"/>
      <c r="AC173" s="456"/>
      <c r="AD173" s="150">
        <v>0</v>
      </c>
      <c r="AE173" s="139">
        <f t="shared" si="13"/>
        <v>0</v>
      </c>
    </row>
    <row r="174" spans="1:31" ht="15.6" customHeight="1" x14ac:dyDescent="0.25">
      <c r="A174" s="153">
        <v>7</v>
      </c>
      <c r="B174" s="456" t="s">
        <v>362</v>
      </c>
      <c r="C174" s="456"/>
      <c r="D174" s="456"/>
      <c r="E174" s="456"/>
      <c r="F174" s="456"/>
      <c r="G174" s="456"/>
      <c r="H174" s="456"/>
      <c r="I174" s="150">
        <v>0</v>
      </c>
      <c r="J174" s="139">
        <f t="shared" si="12"/>
        <v>0</v>
      </c>
      <c r="L174" s="153">
        <v>7</v>
      </c>
      <c r="M174" s="456" t="s">
        <v>385</v>
      </c>
      <c r="N174" s="456"/>
      <c r="O174" s="456"/>
      <c r="P174" s="456"/>
      <c r="Q174" s="456"/>
      <c r="R174" s="456"/>
      <c r="S174" s="456"/>
      <c r="T174" s="150">
        <v>0</v>
      </c>
      <c r="U174" s="139">
        <f t="shared" si="14"/>
        <v>0</v>
      </c>
      <c r="V174" s="153">
        <v>7</v>
      </c>
      <c r="W174" s="456" t="s">
        <v>596</v>
      </c>
      <c r="X174" s="456"/>
      <c r="Y174" s="456"/>
      <c r="Z174" s="456"/>
      <c r="AA174" s="456"/>
      <c r="AB174" s="456"/>
      <c r="AC174" s="456"/>
      <c r="AD174" s="150">
        <v>0</v>
      </c>
      <c r="AE174" s="139">
        <f t="shared" si="13"/>
        <v>0</v>
      </c>
    </row>
    <row r="175" spans="1:31" ht="15.6" customHeight="1" x14ac:dyDescent="0.25">
      <c r="A175" s="142" t="s">
        <v>160</v>
      </c>
      <c r="B175" s="456" t="s">
        <v>456</v>
      </c>
      <c r="C175" s="456"/>
      <c r="D175" s="456"/>
      <c r="E175" s="456"/>
      <c r="F175" s="456"/>
      <c r="G175" s="456"/>
      <c r="H175" s="456"/>
      <c r="I175" s="139" t="s">
        <v>1</v>
      </c>
      <c r="J175" s="139" t="s">
        <v>31</v>
      </c>
      <c r="L175" s="142" t="s">
        <v>160</v>
      </c>
      <c r="M175" s="460" t="s">
        <v>480</v>
      </c>
      <c r="N175" s="460"/>
      <c r="O175" s="460"/>
      <c r="P175" s="460"/>
      <c r="Q175" s="460"/>
      <c r="R175" s="460"/>
      <c r="S175" s="460"/>
      <c r="T175" s="139" t="s">
        <v>1</v>
      </c>
      <c r="U175" s="139" t="s">
        <v>31</v>
      </c>
    </row>
    <row r="176" spans="1:31" ht="15.6" customHeight="1" x14ac:dyDescent="0.25">
      <c r="A176" s="153">
        <v>1</v>
      </c>
      <c r="B176" s="456" t="s">
        <v>460</v>
      </c>
      <c r="C176" s="456"/>
      <c r="D176" s="456"/>
      <c r="E176" s="456"/>
      <c r="F176" s="456"/>
      <c r="G176" s="456"/>
      <c r="H176" s="456"/>
      <c r="I176" s="150">
        <v>0</v>
      </c>
      <c r="J176" s="139">
        <f t="shared" ref="J176:J197" si="15">IF(I176&gt;0,(I176*A176-A176+10),0)</f>
        <v>0</v>
      </c>
      <c r="L176" s="153">
        <v>1</v>
      </c>
      <c r="M176" s="456" t="s">
        <v>483</v>
      </c>
      <c r="N176" s="456"/>
      <c r="O176" s="456"/>
      <c r="P176" s="456"/>
      <c r="Q176" s="456"/>
      <c r="R176" s="456"/>
      <c r="S176" s="456"/>
      <c r="T176" s="150">
        <v>0</v>
      </c>
      <c r="U176" s="139">
        <f t="shared" si="14"/>
        <v>0</v>
      </c>
    </row>
    <row r="177" spans="1:39" ht="15.6" customHeight="1" x14ac:dyDescent="0.25">
      <c r="A177" s="153">
        <v>1</v>
      </c>
      <c r="B177" s="456" t="s">
        <v>461</v>
      </c>
      <c r="C177" s="456"/>
      <c r="D177" s="456"/>
      <c r="E177" s="456"/>
      <c r="F177" s="456"/>
      <c r="G177" s="456"/>
      <c r="H177" s="456"/>
      <c r="I177" s="150">
        <v>0</v>
      </c>
      <c r="J177" s="139">
        <f t="shared" si="15"/>
        <v>0</v>
      </c>
      <c r="L177" s="153">
        <v>1</v>
      </c>
      <c r="M177" s="456" t="s">
        <v>484</v>
      </c>
      <c r="N177" s="456"/>
      <c r="O177" s="456"/>
      <c r="P177" s="456"/>
      <c r="Q177" s="456"/>
      <c r="R177" s="456"/>
      <c r="S177" s="456"/>
      <c r="T177" s="150">
        <v>0</v>
      </c>
      <c r="U177" s="139">
        <f t="shared" si="14"/>
        <v>0</v>
      </c>
    </row>
    <row r="178" spans="1:39" ht="15.6" customHeight="1" x14ac:dyDescent="0.25">
      <c r="A178" s="153">
        <v>1</v>
      </c>
      <c r="B178" s="456" t="s">
        <v>473</v>
      </c>
      <c r="C178" s="456"/>
      <c r="D178" s="456"/>
      <c r="E178" s="456"/>
      <c r="F178" s="456"/>
      <c r="G178" s="456"/>
      <c r="H178" s="456"/>
      <c r="I178" s="150">
        <v>0</v>
      </c>
      <c r="J178" s="139">
        <f t="shared" si="15"/>
        <v>0</v>
      </c>
      <c r="L178" s="153">
        <v>1</v>
      </c>
      <c r="M178" s="456" t="s">
        <v>488</v>
      </c>
      <c r="N178" s="456"/>
      <c r="O178" s="456"/>
      <c r="P178" s="456"/>
      <c r="Q178" s="456"/>
      <c r="R178" s="456"/>
      <c r="S178" s="456"/>
      <c r="T178" s="150">
        <v>20</v>
      </c>
      <c r="U178" s="139">
        <f t="shared" si="14"/>
        <v>29</v>
      </c>
    </row>
    <row r="179" spans="1:39" ht="15.6" customHeight="1" x14ac:dyDescent="0.25">
      <c r="A179" s="153">
        <v>2</v>
      </c>
      <c r="B179" s="456" t="s">
        <v>462</v>
      </c>
      <c r="C179" s="456"/>
      <c r="D179" s="456"/>
      <c r="E179" s="456"/>
      <c r="F179" s="456"/>
      <c r="G179" s="456"/>
      <c r="H179" s="456"/>
      <c r="I179" s="150">
        <v>0</v>
      </c>
      <c r="J179" s="139">
        <f t="shared" si="15"/>
        <v>0</v>
      </c>
      <c r="L179" s="153">
        <v>2</v>
      </c>
      <c r="M179" s="456" t="s">
        <v>489</v>
      </c>
      <c r="N179" s="456"/>
      <c r="O179" s="456"/>
      <c r="P179" s="456"/>
      <c r="Q179" s="456"/>
      <c r="R179" s="456"/>
      <c r="S179" s="456"/>
      <c r="T179" s="150">
        <v>0</v>
      </c>
      <c r="U179" s="139">
        <f t="shared" si="14"/>
        <v>0</v>
      </c>
    </row>
    <row r="180" spans="1:39" ht="15.6" customHeight="1" x14ac:dyDescent="0.25">
      <c r="A180" s="153">
        <v>2</v>
      </c>
      <c r="B180" s="456" t="s">
        <v>463</v>
      </c>
      <c r="C180" s="456"/>
      <c r="D180" s="456"/>
      <c r="E180" s="456"/>
      <c r="F180" s="456"/>
      <c r="G180" s="456"/>
      <c r="H180" s="456"/>
      <c r="I180" s="150">
        <v>0</v>
      </c>
      <c r="J180" s="139">
        <f t="shared" si="15"/>
        <v>0</v>
      </c>
      <c r="L180" s="153">
        <v>2</v>
      </c>
      <c r="M180" s="456" t="s">
        <v>490</v>
      </c>
      <c r="N180" s="456"/>
      <c r="O180" s="456"/>
      <c r="P180" s="456"/>
      <c r="Q180" s="456"/>
      <c r="R180" s="456"/>
      <c r="S180" s="456"/>
      <c r="T180" s="150">
        <v>20</v>
      </c>
      <c r="U180" s="139">
        <f t="shared" si="14"/>
        <v>48</v>
      </c>
    </row>
    <row r="181" spans="1:39" ht="15.6" customHeight="1" x14ac:dyDescent="0.25">
      <c r="A181" s="153">
        <v>2</v>
      </c>
      <c r="B181" s="456" t="s">
        <v>465</v>
      </c>
      <c r="C181" s="456"/>
      <c r="D181" s="456"/>
      <c r="E181" s="456"/>
      <c r="F181" s="456"/>
      <c r="G181" s="456"/>
      <c r="H181" s="456"/>
      <c r="I181" s="150">
        <v>0</v>
      </c>
      <c r="J181" s="139">
        <f t="shared" si="15"/>
        <v>0</v>
      </c>
      <c r="L181" s="153">
        <v>2</v>
      </c>
      <c r="M181" s="456" t="s">
        <v>464</v>
      </c>
      <c r="N181" s="456"/>
      <c r="O181" s="456"/>
      <c r="P181" s="456"/>
      <c r="Q181" s="456"/>
      <c r="R181" s="456"/>
      <c r="S181" s="456"/>
      <c r="T181" s="150">
        <v>0</v>
      </c>
      <c r="U181" s="139">
        <f t="shared" si="14"/>
        <v>0</v>
      </c>
    </row>
    <row r="182" spans="1:39" ht="15.6" customHeight="1" x14ac:dyDescent="0.25">
      <c r="A182" s="153">
        <v>3</v>
      </c>
      <c r="B182" s="456" t="s">
        <v>466</v>
      </c>
      <c r="C182" s="456"/>
      <c r="D182" s="456"/>
      <c r="E182" s="456"/>
      <c r="F182" s="456"/>
      <c r="G182" s="456"/>
      <c r="H182" s="456"/>
      <c r="I182" s="150">
        <v>0</v>
      </c>
      <c r="J182" s="139">
        <f t="shared" si="15"/>
        <v>0</v>
      </c>
      <c r="L182" s="153">
        <v>3</v>
      </c>
      <c r="M182" s="456" t="s">
        <v>479</v>
      </c>
      <c r="N182" s="456"/>
      <c r="O182" s="456"/>
      <c r="P182" s="456"/>
      <c r="Q182" s="456"/>
      <c r="R182" s="456"/>
      <c r="S182" s="456"/>
      <c r="T182" s="150">
        <v>0</v>
      </c>
      <c r="U182" s="139">
        <f t="shared" si="14"/>
        <v>0</v>
      </c>
    </row>
    <row r="183" spans="1:39" ht="15.6" customHeight="1" thickBot="1" x14ac:dyDescent="0.3">
      <c r="A183" s="153">
        <v>3</v>
      </c>
      <c r="B183" s="456" t="s">
        <v>467</v>
      </c>
      <c r="C183" s="456"/>
      <c r="D183" s="456"/>
      <c r="E183" s="456"/>
      <c r="F183" s="456"/>
      <c r="G183" s="456"/>
      <c r="H183" s="456"/>
      <c r="I183" s="150">
        <v>0</v>
      </c>
      <c r="J183" s="139">
        <f t="shared" si="15"/>
        <v>0</v>
      </c>
      <c r="L183" s="153">
        <v>3</v>
      </c>
      <c r="M183" s="456" t="s">
        <v>491</v>
      </c>
      <c r="N183" s="456"/>
      <c r="O183" s="456"/>
      <c r="P183" s="456"/>
      <c r="Q183" s="456"/>
      <c r="R183" s="456"/>
      <c r="S183" s="456"/>
      <c r="T183" s="150">
        <v>20</v>
      </c>
      <c r="U183" s="139">
        <f t="shared" si="14"/>
        <v>67</v>
      </c>
    </row>
    <row r="184" spans="1:39" ht="15.6" customHeight="1" thickBot="1" x14ac:dyDescent="0.3">
      <c r="A184" s="153">
        <v>3</v>
      </c>
      <c r="B184" s="456" t="s">
        <v>474</v>
      </c>
      <c r="C184" s="456"/>
      <c r="D184" s="456"/>
      <c r="E184" s="456"/>
      <c r="F184" s="456"/>
      <c r="G184" s="456"/>
      <c r="H184" s="456"/>
      <c r="I184" s="150">
        <v>0</v>
      </c>
      <c r="J184" s="139">
        <f t="shared" si="15"/>
        <v>0</v>
      </c>
      <c r="L184" s="153">
        <v>3</v>
      </c>
      <c r="M184" s="456" t="s">
        <v>492</v>
      </c>
      <c r="N184" s="456"/>
      <c r="O184" s="456"/>
      <c r="P184" s="456"/>
      <c r="Q184" s="456"/>
      <c r="R184" s="456"/>
      <c r="S184" s="456"/>
      <c r="T184" s="150">
        <v>0</v>
      </c>
      <c r="U184" s="139">
        <f t="shared" si="14"/>
        <v>0</v>
      </c>
      <c r="AI184" s="203" t="s">
        <v>818</v>
      </c>
      <c r="AJ184" s="204"/>
      <c r="AK184" s="204"/>
      <c r="AL184" s="204"/>
      <c r="AM184" s="205"/>
    </row>
    <row r="185" spans="1:39" ht="15.6" customHeight="1" x14ac:dyDescent="0.25">
      <c r="A185" s="153">
        <v>3</v>
      </c>
      <c r="B185" s="456" t="s">
        <v>475</v>
      </c>
      <c r="C185" s="456"/>
      <c r="D185" s="456"/>
      <c r="E185" s="456"/>
      <c r="F185" s="456"/>
      <c r="G185" s="456"/>
      <c r="H185" s="456"/>
      <c r="I185" s="150">
        <v>0</v>
      </c>
      <c r="J185" s="139">
        <f t="shared" si="15"/>
        <v>0</v>
      </c>
      <c r="L185" s="153">
        <v>3</v>
      </c>
      <c r="M185" s="456" t="s">
        <v>493</v>
      </c>
      <c r="N185" s="456"/>
      <c r="O185" s="456"/>
      <c r="P185" s="456"/>
      <c r="Q185" s="456"/>
      <c r="R185" s="456"/>
      <c r="S185" s="456"/>
      <c r="T185" s="150">
        <v>0</v>
      </c>
      <c r="U185" s="139">
        <f t="shared" si="14"/>
        <v>0</v>
      </c>
      <c r="AI185" s="203" t="s">
        <v>34</v>
      </c>
      <c r="AJ185" s="204"/>
      <c r="AK185" s="204" t="s">
        <v>68</v>
      </c>
      <c r="AL185" s="204"/>
      <c r="AM185" s="205"/>
    </row>
    <row r="186" spans="1:39" ht="15.6" customHeight="1" x14ac:dyDescent="0.25">
      <c r="A186" s="153">
        <v>3</v>
      </c>
      <c r="B186" s="456" t="s">
        <v>478</v>
      </c>
      <c r="C186" s="456"/>
      <c r="D186" s="456"/>
      <c r="E186" s="456"/>
      <c r="F186" s="456"/>
      <c r="G186" s="456"/>
      <c r="H186" s="456"/>
      <c r="I186" s="150">
        <v>0</v>
      </c>
      <c r="J186" s="139">
        <f t="shared" si="15"/>
        <v>0</v>
      </c>
      <c r="L186" s="153">
        <v>3</v>
      </c>
      <c r="M186" s="456" t="s">
        <v>498</v>
      </c>
      <c r="N186" s="456"/>
      <c r="O186" s="456"/>
      <c r="P186" s="456"/>
      <c r="Q186" s="456"/>
      <c r="R186" s="456"/>
      <c r="S186" s="456"/>
      <c r="T186" s="150">
        <v>0</v>
      </c>
      <c r="U186" s="139">
        <f t="shared" si="14"/>
        <v>0</v>
      </c>
      <c r="AI186" s="206">
        <f>VLOOKUP(X4,Ressourcen!A3:E68,2)</f>
        <v>438</v>
      </c>
      <c r="AJ186" s="228">
        <f>VLOOKUP(AC4,Ressourcen!A3:E68,2)</f>
        <v>525</v>
      </c>
      <c r="AK186" s="228">
        <f>VLOOKUP(AH4,Ressourcen!$H$3:$J$13,2)</f>
        <v>300</v>
      </c>
      <c r="AL186" s="227"/>
      <c r="AM186" s="207"/>
    </row>
    <row r="187" spans="1:39" ht="15.6" customHeight="1" x14ac:dyDescent="0.25">
      <c r="A187" s="153">
        <v>4</v>
      </c>
      <c r="B187" s="456" t="s">
        <v>468</v>
      </c>
      <c r="C187" s="456"/>
      <c r="D187" s="456"/>
      <c r="E187" s="456"/>
      <c r="F187" s="456"/>
      <c r="G187" s="456"/>
      <c r="H187" s="456"/>
      <c r="I187" s="150">
        <v>0</v>
      </c>
      <c r="J187" s="139">
        <f t="shared" si="15"/>
        <v>0</v>
      </c>
      <c r="L187" s="153">
        <v>4</v>
      </c>
      <c r="M187" s="456" t="s">
        <v>494</v>
      </c>
      <c r="N187" s="456"/>
      <c r="O187" s="456"/>
      <c r="P187" s="456"/>
      <c r="Q187" s="456"/>
      <c r="R187" s="456"/>
      <c r="S187" s="456"/>
      <c r="T187" s="150">
        <v>0</v>
      </c>
      <c r="U187" s="139">
        <f t="shared" si="14"/>
        <v>0</v>
      </c>
      <c r="AI187" s="206">
        <f>VLOOKUP(X5,Ressourcen!A3:E68,2)</f>
        <v>735</v>
      </c>
      <c r="AJ187" s="228">
        <f>VLOOKUP(AC5,Ressourcen!A3:E68,2)</f>
        <v>525</v>
      </c>
      <c r="AK187" s="228">
        <f>VLOOKUP(AH5,Ressourcen!$H$3:$J$13,2)</f>
        <v>1700</v>
      </c>
      <c r="AL187" s="227"/>
      <c r="AM187" s="207"/>
    </row>
    <row r="188" spans="1:39" ht="15.6" customHeight="1" x14ac:dyDescent="0.25">
      <c r="A188" s="153">
        <v>4</v>
      </c>
      <c r="B188" s="456" t="s">
        <v>469</v>
      </c>
      <c r="C188" s="456"/>
      <c r="D188" s="456"/>
      <c r="E188" s="456"/>
      <c r="F188" s="456"/>
      <c r="G188" s="456"/>
      <c r="H188" s="456"/>
      <c r="I188" s="150">
        <v>0</v>
      </c>
      <c r="J188" s="139">
        <f t="shared" si="15"/>
        <v>0</v>
      </c>
      <c r="L188" s="153">
        <v>4</v>
      </c>
      <c r="M188" s="456" t="s">
        <v>495</v>
      </c>
      <c r="N188" s="456"/>
      <c r="O188" s="456"/>
      <c r="P188" s="456"/>
      <c r="Q188" s="456"/>
      <c r="R188" s="456"/>
      <c r="S188" s="456"/>
      <c r="T188" s="150">
        <v>0</v>
      </c>
      <c r="U188" s="139">
        <f t="shared" si="14"/>
        <v>0</v>
      </c>
      <c r="AI188" s="206">
        <f>VLOOKUP(X6,Ressourcen!A3:E68,2)</f>
        <v>438</v>
      </c>
      <c r="AJ188" s="228">
        <f>VLOOKUP(AC6,Ressourcen!A3:E68,2)</f>
        <v>1560</v>
      </c>
      <c r="AK188" s="228">
        <f>VLOOKUP(AH6,Ressourcen!$H$3:$J$13,2)</f>
        <v>600</v>
      </c>
      <c r="AL188" s="227"/>
      <c r="AM188" s="207"/>
    </row>
    <row r="189" spans="1:39" ht="15.6" customHeight="1" x14ac:dyDescent="0.25">
      <c r="A189" s="153">
        <v>4</v>
      </c>
      <c r="B189" s="456" t="s">
        <v>470</v>
      </c>
      <c r="C189" s="456"/>
      <c r="D189" s="456"/>
      <c r="E189" s="456"/>
      <c r="F189" s="456"/>
      <c r="G189" s="456"/>
      <c r="H189" s="456"/>
      <c r="I189" s="150">
        <v>0</v>
      </c>
      <c r="J189" s="139">
        <f t="shared" si="15"/>
        <v>0</v>
      </c>
      <c r="L189" s="153">
        <v>4</v>
      </c>
      <c r="M189" s="456" t="s">
        <v>496</v>
      </c>
      <c r="N189" s="456"/>
      <c r="O189" s="456"/>
      <c r="P189" s="456"/>
      <c r="Q189" s="456"/>
      <c r="R189" s="456"/>
      <c r="S189" s="456"/>
      <c r="T189" s="150">
        <v>20</v>
      </c>
      <c r="U189" s="139">
        <f t="shared" si="14"/>
        <v>86</v>
      </c>
      <c r="AI189" s="206">
        <f>VLOOKUP(X7,Ressourcen!A3:E68,2)</f>
        <v>438</v>
      </c>
      <c r="AJ189" s="228">
        <f>VLOOKUP(AC7,Ressourcen!A3:E68,2)</f>
        <v>438</v>
      </c>
      <c r="AK189" s="228">
        <f>VLOOKUP(AH7,Ressourcen!$H$3:$J$13,2)</f>
        <v>600</v>
      </c>
      <c r="AL189" s="227"/>
      <c r="AM189" s="207"/>
    </row>
    <row r="190" spans="1:39" ht="15.6" customHeight="1" x14ac:dyDescent="0.25">
      <c r="A190" s="153">
        <v>5</v>
      </c>
      <c r="B190" s="456" t="s">
        <v>455</v>
      </c>
      <c r="C190" s="456"/>
      <c r="D190" s="456"/>
      <c r="E190" s="456"/>
      <c r="F190" s="456"/>
      <c r="G190" s="456"/>
      <c r="H190" s="456"/>
      <c r="I190" s="150">
        <v>0</v>
      </c>
      <c r="J190" s="139">
        <f t="shared" si="15"/>
        <v>0</v>
      </c>
      <c r="L190" s="153">
        <v>5</v>
      </c>
      <c r="M190" s="456" t="s">
        <v>481</v>
      </c>
      <c r="N190" s="456"/>
      <c r="O190" s="456"/>
      <c r="P190" s="456"/>
      <c r="Q190" s="456"/>
      <c r="R190" s="456"/>
      <c r="S190" s="456"/>
      <c r="T190" s="150">
        <v>20</v>
      </c>
      <c r="U190" s="139">
        <f t="shared" si="14"/>
        <v>105</v>
      </c>
      <c r="AI190" s="206">
        <f>VLOOKUP(X8,Ressourcen!A3:E68,2)</f>
        <v>858</v>
      </c>
      <c r="AJ190" s="228">
        <f>VLOOKUP(AC8,Ressourcen!A3:E68,2)</f>
        <v>624</v>
      </c>
      <c r="AK190" s="228">
        <f>VLOOKUP(AH8,Ressourcen!$H$3:$J$13,2)</f>
        <v>0</v>
      </c>
      <c r="AL190" s="227"/>
      <c r="AM190" s="207"/>
    </row>
    <row r="191" spans="1:39" ht="15.6" customHeight="1" x14ac:dyDescent="0.25">
      <c r="A191" s="153">
        <v>5</v>
      </c>
      <c r="B191" s="456" t="s">
        <v>458</v>
      </c>
      <c r="C191" s="456"/>
      <c r="D191" s="456"/>
      <c r="E191" s="456"/>
      <c r="F191" s="456"/>
      <c r="G191" s="456"/>
      <c r="H191" s="456"/>
      <c r="I191" s="150">
        <v>0</v>
      </c>
      <c r="J191" s="139">
        <f t="shared" si="15"/>
        <v>0</v>
      </c>
      <c r="L191" s="153">
        <v>5</v>
      </c>
      <c r="M191" s="456" t="s">
        <v>482</v>
      </c>
      <c r="N191" s="456"/>
      <c r="O191" s="456"/>
      <c r="P191" s="456"/>
      <c r="Q191" s="456"/>
      <c r="R191" s="456"/>
      <c r="S191" s="456"/>
      <c r="T191" s="150">
        <v>0</v>
      </c>
      <c r="U191" s="139">
        <f t="shared" si="14"/>
        <v>0</v>
      </c>
      <c r="AI191" s="208"/>
      <c r="AJ191" s="227"/>
      <c r="AK191" s="227"/>
      <c r="AL191" s="227"/>
      <c r="AM191" s="207"/>
    </row>
    <row r="192" spans="1:39" ht="15.6" customHeight="1" x14ac:dyDescent="0.25">
      <c r="A192" s="153">
        <v>5</v>
      </c>
      <c r="B192" s="456" t="s">
        <v>459</v>
      </c>
      <c r="C192" s="456"/>
      <c r="D192" s="456"/>
      <c r="E192" s="456"/>
      <c r="F192" s="456"/>
      <c r="G192" s="456"/>
      <c r="H192" s="456"/>
      <c r="I192" s="150">
        <v>0</v>
      </c>
      <c r="J192" s="139">
        <f t="shared" si="15"/>
        <v>0</v>
      </c>
      <c r="L192" s="153">
        <v>5</v>
      </c>
      <c r="M192" s="456" t="s">
        <v>457</v>
      </c>
      <c r="N192" s="456"/>
      <c r="O192" s="456"/>
      <c r="P192" s="456"/>
      <c r="Q192" s="456"/>
      <c r="R192" s="456"/>
      <c r="S192" s="456"/>
      <c r="T192" s="150">
        <v>20</v>
      </c>
      <c r="U192" s="139">
        <f t="shared" si="14"/>
        <v>105</v>
      </c>
      <c r="AI192" s="208" t="s">
        <v>765</v>
      </c>
      <c r="AJ192" s="227"/>
      <c r="AK192" s="227"/>
      <c r="AL192" s="227"/>
      <c r="AM192" s="207"/>
    </row>
    <row r="193" spans="1:39" ht="15.6" customHeight="1" thickBot="1" x14ac:dyDescent="0.3">
      <c r="A193" s="153">
        <v>6</v>
      </c>
      <c r="B193" s="456" t="s">
        <v>485</v>
      </c>
      <c r="C193" s="456"/>
      <c r="D193" s="456"/>
      <c r="E193" s="456"/>
      <c r="F193" s="456"/>
      <c r="G193" s="456"/>
      <c r="H193" s="456"/>
      <c r="I193" s="150">
        <v>0</v>
      </c>
      <c r="J193" s="139">
        <f t="shared" si="15"/>
        <v>0</v>
      </c>
      <c r="L193" s="153">
        <v>6</v>
      </c>
      <c r="M193" s="456" t="s">
        <v>486</v>
      </c>
      <c r="N193" s="456"/>
      <c r="O193" s="456"/>
      <c r="P193" s="456"/>
      <c r="Q193" s="456"/>
      <c r="R193" s="456"/>
      <c r="S193" s="456"/>
      <c r="T193" s="150">
        <v>0</v>
      </c>
      <c r="U193" s="139">
        <f t="shared" si="14"/>
        <v>0</v>
      </c>
      <c r="AI193" s="209" t="s">
        <v>315</v>
      </c>
      <c r="AJ193" s="210"/>
      <c r="AK193" s="210"/>
      <c r="AL193" s="210"/>
      <c r="AM193" s="211"/>
    </row>
    <row r="194" spans="1:39" ht="15.6" customHeight="1" x14ac:dyDescent="0.25">
      <c r="A194" s="153">
        <v>6</v>
      </c>
      <c r="B194" s="456" t="s">
        <v>471</v>
      </c>
      <c r="C194" s="456"/>
      <c r="D194" s="456"/>
      <c r="E194" s="456"/>
      <c r="F194" s="456"/>
      <c r="G194" s="456"/>
      <c r="H194" s="456"/>
      <c r="I194" s="150">
        <v>0</v>
      </c>
      <c r="J194" s="139">
        <f t="shared" si="15"/>
        <v>0</v>
      </c>
      <c r="L194" s="153">
        <v>6</v>
      </c>
      <c r="M194" s="456" t="s">
        <v>487</v>
      </c>
      <c r="N194" s="456"/>
      <c r="O194" s="456"/>
      <c r="P194" s="456"/>
      <c r="Q194" s="456"/>
      <c r="R194" s="456"/>
      <c r="S194" s="456"/>
      <c r="T194" s="150">
        <v>0</v>
      </c>
      <c r="U194" s="139">
        <f t="shared" si="14"/>
        <v>0</v>
      </c>
    </row>
    <row r="195" spans="1:39" ht="15.6" customHeight="1" x14ac:dyDescent="0.25">
      <c r="A195" s="153">
        <v>6</v>
      </c>
      <c r="B195" s="456" t="s">
        <v>472</v>
      </c>
      <c r="C195" s="456"/>
      <c r="D195" s="456"/>
      <c r="E195" s="456"/>
      <c r="F195" s="456"/>
      <c r="G195" s="456"/>
      <c r="H195" s="456"/>
      <c r="I195" s="150">
        <v>0</v>
      </c>
      <c r="J195" s="139">
        <f t="shared" si="15"/>
        <v>0</v>
      </c>
      <c r="L195" s="153">
        <v>6</v>
      </c>
      <c r="M195" s="456" t="s">
        <v>497</v>
      </c>
      <c r="N195" s="456"/>
      <c r="O195" s="456"/>
      <c r="P195" s="456"/>
      <c r="Q195" s="456"/>
      <c r="R195" s="456"/>
      <c r="S195" s="456"/>
      <c r="T195" s="150">
        <v>20</v>
      </c>
      <c r="U195" s="139">
        <f t="shared" si="14"/>
        <v>124</v>
      </c>
    </row>
    <row r="196" spans="1:39" ht="15.6" customHeight="1" x14ac:dyDescent="0.25">
      <c r="A196" s="153">
        <v>7</v>
      </c>
      <c r="B196" s="456" t="s">
        <v>476</v>
      </c>
      <c r="C196" s="456"/>
      <c r="D196" s="456"/>
      <c r="E196" s="456"/>
      <c r="F196" s="456"/>
      <c r="G196" s="456"/>
      <c r="H196" s="456"/>
      <c r="I196" s="150">
        <v>0</v>
      </c>
      <c r="J196" s="139">
        <f t="shared" si="15"/>
        <v>0</v>
      </c>
      <c r="L196" s="153">
        <v>7</v>
      </c>
      <c r="M196" s="456" t="s">
        <v>499</v>
      </c>
      <c r="N196" s="456"/>
      <c r="O196" s="456"/>
      <c r="P196" s="456"/>
      <c r="Q196" s="456"/>
      <c r="R196" s="456"/>
      <c r="S196" s="456"/>
      <c r="T196" s="150">
        <v>20</v>
      </c>
      <c r="U196" s="139">
        <f t="shared" si="14"/>
        <v>143</v>
      </c>
    </row>
    <row r="197" spans="1:39" ht="15.6" customHeight="1" x14ac:dyDescent="0.25">
      <c r="A197" s="153">
        <v>7</v>
      </c>
      <c r="B197" s="456" t="s">
        <v>477</v>
      </c>
      <c r="C197" s="456"/>
      <c r="D197" s="456"/>
      <c r="E197" s="456"/>
      <c r="F197" s="456"/>
      <c r="G197" s="456"/>
      <c r="H197" s="456"/>
      <c r="I197" s="150">
        <v>0</v>
      </c>
      <c r="J197" s="139">
        <f t="shared" si="15"/>
        <v>0</v>
      </c>
      <c r="L197" s="153">
        <v>7</v>
      </c>
      <c r="M197" s="456" t="s">
        <v>500</v>
      </c>
      <c r="N197" s="456"/>
      <c r="O197" s="456"/>
      <c r="P197" s="456"/>
      <c r="Q197" s="456"/>
      <c r="R197" s="456"/>
      <c r="S197" s="456"/>
      <c r="T197" s="150">
        <v>0</v>
      </c>
      <c r="U197" s="139">
        <f t="shared" si="14"/>
        <v>0</v>
      </c>
    </row>
    <row r="198" spans="1:39" ht="15.6" customHeight="1" x14ac:dyDescent="0.25">
      <c r="A198" s="155"/>
      <c r="B198" s="155"/>
      <c r="C198" s="155"/>
      <c r="D198" s="155"/>
      <c r="E198" s="155"/>
      <c r="F198" s="175"/>
      <c r="G198" s="175"/>
      <c r="H198" s="155"/>
      <c r="I198" s="155"/>
    </row>
    <row r="199" spans="1:39" ht="15.6" customHeight="1" x14ac:dyDescent="0.25">
      <c r="A199" s="148"/>
      <c r="B199" s="148"/>
      <c r="C199" s="148"/>
      <c r="D199" s="148"/>
      <c r="E199" s="148"/>
      <c r="F199" s="19"/>
      <c r="G199" s="19"/>
      <c r="H199" s="148"/>
      <c r="I199" s="148"/>
    </row>
    <row r="200" spans="1:39" ht="15.6" customHeight="1" x14ac:dyDescent="0.25">
      <c r="A200" s="148"/>
      <c r="B200" s="148"/>
      <c r="C200" s="148"/>
      <c r="D200" s="148"/>
      <c r="E200" s="148"/>
      <c r="F200" s="19"/>
      <c r="G200" s="19"/>
      <c r="H200" s="148"/>
      <c r="I200" s="148"/>
    </row>
    <row r="251" spans="1:21" ht="15.6" customHeight="1" x14ac:dyDescent="0.25">
      <c r="G251" s="145"/>
      <c r="H251" s="145"/>
      <c r="I251" s="145"/>
      <c r="J251" s="145"/>
      <c r="K251" s="145"/>
      <c r="L251" s="145"/>
      <c r="M251" s="145"/>
      <c r="N251" s="145"/>
      <c r="O251" s="145"/>
      <c r="P251" s="145"/>
      <c r="Q251" s="145"/>
      <c r="R251" s="145"/>
      <c r="S251" s="145"/>
      <c r="T251" s="145"/>
      <c r="U251" s="145"/>
    </row>
    <row r="252" spans="1:21" ht="15.6" customHeight="1" x14ac:dyDescent="0.25">
      <c r="A252" s="189"/>
      <c r="B252" s="133"/>
      <c r="C252" s="190"/>
      <c r="D252" s="156"/>
      <c r="E252" s="156"/>
      <c r="F252" s="156"/>
      <c r="G252" s="156"/>
      <c r="H252" s="156"/>
      <c r="I252" s="145"/>
      <c r="J252" s="145"/>
      <c r="K252" s="145"/>
      <c r="L252" s="156"/>
      <c r="M252" s="164"/>
      <c r="N252" s="191"/>
      <c r="U252" s="145"/>
    </row>
    <row r="253" spans="1:21" ht="15.6" customHeight="1" x14ac:dyDescent="0.25">
      <c r="A253" s="189"/>
      <c r="B253" s="133"/>
      <c r="C253" s="190"/>
      <c r="D253" s="156"/>
      <c r="E253" s="156"/>
      <c r="F253" s="156"/>
      <c r="G253" s="156"/>
      <c r="H253" s="156"/>
      <c r="I253" s="145"/>
      <c r="J253" s="145"/>
      <c r="K253" s="145"/>
      <c r="L253" s="156"/>
      <c r="M253" s="164"/>
      <c r="N253" s="191"/>
      <c r="U253" s="145"/>
    </row>
    <row r="254" spans="1:21" ht="15.6" customHeight="1" x14ac:dyDescent="0.25">
      <c r="A254" s="156"/>
      <c r="B254" s="164"/>
      <c r="C254" s="135"/>
      <c r="D254" s="156"/>
      <c r="E254" s="156"/>
      <c r="F254" s="156"/>
      <c r="G254" s="156"/>
      <c r="H254" s="156"/>
      <c r="I254" s="145"/>
      <c r="J254" s="145"/>
      <c r="K254" s="145"/>
      <c r="L254" s="156"/>
      <c r="M254" s="164"/>
      <c r="N254" s="191"/>
      <c r="U254" s="145"/>
    </row>
    <row r="255" spans="1:21" ht="15.6" customHeight="1" x14ac:dyDescent="0.25">
      <c r="A255" s="192"/>
      <c r="B255" s="164"/>
      <c r="C255" s="135"/>
      <c r="D255" s="156"/>
      <c r="E255" s="156"/>
      <c r="F255" s="156"/>
      <c r="G255" s="156"/>
      <c r="H255" s="156"/>
      <c r="I255" s="145"/>
      <c r="J255" s="145"/>
      <c r="K255" s="145"/>
      <c r="L255" s="156"/>
      <c r="M255" s="164"/>
      <c r="N255" s="135"/>
      <c r="U255" s="145"/>
    </row>
    <row r="256" spans="1:21" ht="15.6" customHeight="1" x14ac:dyDescent="0.25">
      <c r="A256" s="192"/>
      <c r="B256" s="164"/>
      <c r="C256" s="135"/>
      <c r="D256" s="156"/>
      <c r="E256" s="156"/>
      <c r="F256" s="156"/>
      <c r="G256" s="156"/>
      <c r="H256" s="156"/>
      <c r="I256" s="145"/>
      <c r="J256" s="145"/>
      <c r="K256" s="145"/>
      <c r="L256" s="156"/>
      <c r="M256" s="164"/>
      <c r="N256" s="135"/>
      <c r="U256" s="145"/>
    </row>
    <row r="257" spans="1:21" ht="15.6" customHeight="1" x14ac:dyDescent="0.25">
      <c r="A257" s="192"/>
      <c r="B257" s="164"/>
      <c r="C257" s="135"/>
      <c r="D257" s="156"/>
      <c r="E257" s="156"/>
      <c r="F257" s="156"/>
      <c r="G257" s="156"/>
      <c r="H257" s="156"/>
      <c r="I257" s="145"/>
      <c r="J257" s="145"/>
      <c r="K257" s="145"/>
      <c r="L257" s="135"/>
      <c r="M257" s="164"/>
      <c r="N257" s="135"/>
      <c r="U257" s="145"/>
    </row>
    <row r="258" spans="1:21" ht="15.6" customHeight="1" x14ac:dyDescent="0.25">
      <c r="A258" s="192"/>
      <c r="B258" s="164"/>
      <c r="C258" s="135"/>
      <c r="D258" s="156"/>
      <c r="E258" s="156"/>
      <c r="F258" s="156"/>
      <c r="G258" s="156"/>
      <c r="H258" s="156"/>
      <c r="I258" s="145"/>
      <c r="J258" s="145"/>
      <c r="K258" s="145"/>
      <c r="L258" s="135"/>
      <c r="M258" s="164"/>
      <c r="N258" s="135"/>
      <c r="U258" s="145"/>
    </row>
    <row r="259" spans="1:21" ht="15.6" customHeight="1" x14ac:dyDescent="0.25">
      <c r="A259" s="156"/>
      <c r="B259" s="164"/>
      <c r="C259" s="193"/>
      <c r="D259" s="156"/>
      <c r="E259" s="156"/>
      <c r="F259" s="156"/>
      <c r="G259" s="156"/>
      <c r="H259" s="156"/>
      <c r="I259" s="145"/>
      <c r="J259" s="145"/>
      <c r="K259" s="145"/>
      <c r="L259" s="156"/>
      <c r="M259" s="164"/>
      <c r="N259" s="135"/>
      <c r="U259" s="145"/>
    </row>
    <row r="260" spans="1:21" ht="15.6" customHeight="1" x14ac:dyDescent="0.25">
      <c r="A260" s="156"/>
      <c r="B260" s="164"/>
      <c r="C260" s="135"/>
      <c r="D260" s="156"/>
      <c r="E260" s="156"/>
      <c r="F260" s="156"/>
      <c r="G260" s="156"/>
      <c r="H260" s="156"/>
      <c r="I260" s="145"/>
      <c r="J260" s="145"/>
      <c r="K260" s="145"/>
      <c r="L260" s="156"/>
      <c r="M260" s="164"/>
      <c r="N260" s="135"/>
      <c r="U260" s="145"/>
    </row>
    <row r="261" spans="1:21" ht="15.6" customHeight="1" x14ac:dyDescent="0.25">
      <c r="A261" s="156"/>
      <c r="B261" s="164"/>
      <c r="C261" s="135"/>
      <c r="D261" s="156"/>
      <c r="E261" s="156"/>
      <c r="F261" s="156"/>
      <c r="G261" s="156"/>
      <c r="H261" s="156"/>
      <c r="I261" s="145"/>
      <c r="J261" s="145"/>
      <c r="K261" s="145"/>
      <c r="L261" s="156"/>
      <c r="M261" s="164"/>
      <c r="N261" s="135"/>
      <c r="U261" s="145"/>
    </row>
    <row r="262" spans="1:21" ht="15.6" customHeight="1" x14ac:dyDescent="0.25">
      <c r="A262" s="156"/>
      <c r="B262" s="164"/>
      <c r="C262" s="135"/>
      <c r="D262" s="156"/>
      <c r="E262" s="156"/>
      <c r="F262" s="156"/>
      <c r="G262" s="156"/>
      <c r="H262" s="156"/>
      <c r="I262" s="145"/>
      <c r="J262" s="145"/>
      <c r="K262" s="145"/>
      <c r="L262" s="156"/>
      <c r="M262" s="164"/>
      <c r="N262" s="135"/>
      <c r="U262" s="145"/>
    </row>
    <row r="263" spans="1:21" ht="15.6" customHeight="1" x14ac:dyDescent="0.25">
      <c r="A263" s="156"/>
      <c r="B263" s="164"/>
      <c r="C263" s="135"/>
      <c r="D263" s="156"/>
      <c r="E263" s="156"/>
      <c r="F263" s="156"/>
      <c r="G263" s="156"/>
      <c r="H263" s="156"/>
      <c r="I263" s="145"/>
      <c r="J263" s="145"/>
      <c r="K263" s="145"/>
      <c r="L263" s="156"/>
      <c r="M263" s="164"/>
      <c r="N263" s="135"/>
      <c r="U263" s="145"/>
    </row>
    <row r="264" spans="1:21" ht="15.6" customHeight="1" x14ac:dyDescent="0.25">
      <c r="A264" s="156"/>
      <c r="B264" s="164"/>
      <c r="C264" s="135"/>
      <c r="D264" s="156"/>
      <c r="E264" s="156"/>
      <c r="F264" s="156"/>
      <c r="G264" s="156"/>
      <c r="H264" s="156"/>
      <c r="I264" s="145"/>
      <c r="J264" s="145"/>
      <c r="K264" s="145"/>
      <c r="L264" s="156"/>
      <c r="M264" s="164"/>
      <c r="N264" s="135"/>
      <c r="U264" s="145"/>
    </row>
    <row r="265" spans="1:21" ht="15.6" customHeight="1" x14ac:dyDescent="0.25">
      <c r="A265" s="156"/>
      <c r="B265" s="164"/>
      <c r="C265" s="135"/>
      <c r="D265" s="156"/>
      <c r="E265" s="156"/>
      <c r="F265" s="156"/>
      <c r="G265" s="156"/>
      <c r="H265" s="156"/>
      <c r="I265" s="145"/>
      <c r="J265" s="145"/>
      <c r="K265" s="145"/>
      <c r="L265" s="156"/>
      <c r="M265" s="164"/>
      <c r="N265" s="135"/>
      <c r="U265" s="145"/>
    </row>
    <row r="266" spans="1:21" ht="15.6" customHeight="1" x14ac:dyDescent="0.25">
      <c r="A266" s="156"/>
      <c r="B266" s="164"/>
      <c r="C266" s="135"/>
      <c r="D266" s="156"/>
      <c r="E266" s="156"/>
      <c r="F266" s="156"/>
      <c r="G266" s="156"/>
      <c r="H266" s="156"/>
      <c r="I266" s="145"/>
      <c r="J266" s="145"/>
      <c r="K266" s="145"/>
      <c r="L266" s="156"/>
      <c r="M266" s="164"/>
      <c r="N266" s="135"/>
      <c r="U266" s="145"/>
    </row>
    <row r="267" spans="1:21" ht="15.6" customHeight="1" x14ac:dyDescent="0.25">
      <c r="A267" s="156"/>
      <c r="B267" s="164"/>
      <c r="C267" s="135"/>
      <c r="D267" s="156"/>
      <c r="E267" s="156"/>
      <c r="F267" s="156"/>
      <c r="G267" s="156"/>
      <c r="H267" s="156"/>
      <c r="I267" s="145"/>
      <c r="J267" s="145"/>
      <c r="K267" s="145"/>
      <c r="L267" s="156"/>
      <c r="M267" s="164"/>
      <c r="N267" s="135"/>
      <c r="U267" s="145"/>
    </row>
    <row r="268" spans="1:21" ht="15.6" customHeight="1" x14ac:dyDescent="0.25">
      <c r="A268" s="156"/>
      <c r="B268" s="164"/>
      <c r="C268" s="135"/>
      <c r="D268" s="156"/>
      <c r="E268" s="156"/>
      <c r="F268" s="156"/>
      <c r="G268" s="156"/>
      <c r="H268" s="156"/>
      <c r="I268" s="145"/>
      <c r="J268" s="145"/>
      <c r="K268" s="145"/>
      <c r="L268" s="156"/>
      <c r="M268" s="164"/>
      <c r="N268" s="135"/>
      <c r="U268" s="145"/>
    </row>
    <row r="269" spans="1:21" ht="15.6" customHeight="1" x14ac:dyDescent="0.25">
      <c r="A269" s="156"/>
      <c r="B269" s="164"/>
      <c r="C269" s="135"/>
      <c r="D269" s="156"/>
      <c r="E269" s="156"/>
      <c r="F269" s="156"/>
      <c r="G269" s="156"/>
      <c r="H269" s="156"/>
      <c r="I269" s="145"/>
      <c r="J269" s="145"/>
      <c r="K269" s="145"/>
      <c r="L269" s="156"/>
      <c r="M269" s="194"/>
      <c r="N269" s="193"/>
      <c r="U269" s="145"/>
    </row>
    <row r="270" spans="1:21" ht="15.6" customHeight="1" x14ac:dyDescent="0.25">
      <c r="A270" s="156"/>
      <c r="B270" s="164"/>
      <c r="C270" s="193"/>
      <c r="D270" s="156"/>
      <c r="E270" s="156"/>
      <c r="F270" s="156"/>
      <c r="G270" s="156"/>
      <c r="H270" s="156"/>
      <c r="I270" s="145"/>
      <c r="J270" s="145"/>
      <c r="K270" s="145"/>
      <c r="L270" s="156"/>
      <c r="M270" s="194"/>
      <c r="N270" s="193"/>
      <c r="U270" s="145"/>
    </row>
    <row r="271" spans="1:21" ht="15.6" customHeight="1" x14ac:dyDescent="0.25">
      <c r="A271" s="156"/>
      <c r="B271" s="164"/>
      <c r="C271" s="135"/>
      <c r="D271" s="156"/>
      <c r="E271" s="156"/>
      <c r="F271" s="156"/>
      <c r="G271" s="156"/>
      <c r="H271" s="156"/>
      <c r="I271" s="145"/>
      <c r="J271" s="145"/>
      <c r="K271" s="145"/>
      <c r="L271" s="135"/>
      <c r="M271" s="194"/>
      <c r="N271" s="135"/>
      <c r="U271" s="145"/>
    </row>
    <row r="272" spans="1:21" ht="15.6" customHeight="1" x14ac:dyDescent="0.25">
      <c r="A272" s="161"/>
      <c r="B272" s="194"/>
      <c r="C272" s="135"/>
      <c r="D272" s="156"/>
      <c r="E272" s="156"/>
      <c r="F272" s="156"/>
      <c r="G272" s="156"/>
      <c r="H272" s="156"/>
      <c r="I272" s="145"/>
      <c r="J272" s="145"/>
      <c r="K272" s="145"/>
      <c r="L272" s="135"/>
      <c r="M272" s="194"/>
      <c r="N272" s="135"/>
      <c r="U272" s="145"/>
    </row>
    <row r="273" spans="1:21" ht="15.6" customHeight="1" x14ac:dyDescent="0.25">
      <c r="A273" s="161"/>
      <c r="B273" s="194"/>
      <c r="C273" s="135"/>
      <c r="D273" s="156"/>
      <c r="E273" s="156"/>
      <c r="F273" s="156"/>
      <c r="G273" s="156"/>
      <c r="H273" s="156"/>
      <c r="I273" s="145"/>
      <c r="J273" s="145"/>
      <c r="K273" s="145"/>
      <c r="L273" s="156"/>
      <c r="M273" s="164"/>
      <c r="N273" s="135"/>
      <c r="U273" s="145"/>
    </row>
    <row r="274" spans="1:21" ht="15.6" customHeight="1" x14ac:dyDescent="0.25">
      <c r="A274" s="161"/>
      <c r="B274" s="194"/>
      <c r="C274" s="135"/>
      <c r="D274" s="156"/>
      <c r="E274" s="156"/>
      <c r="F274" s="156"/>
      <c r="G274" s="156"/>
      <c r="H274" s="156"/>
      <c r="I274" s="145"/>
      <c r="J274" s="145"/>
      <c r="K274" s="145"/>
      <c r="L274" s="156"/>
      <c r="M274" s="164"/>
      <c r="N274" s="135"/>
      <c r="U274" s="145"/>
    </row>
    <row r="275" spans="1:21" ht="15.6" customHeight="1" x14ac:dyDescent="0.25">
      <c r="A275" s="156"/>
      <c r="B275" s="164"/>
      <c r="C275" s="135"/>
      <c r="D275" s="156"/>
      <c r="E275" s="156"/>
      <c r="F275" s="156"/>
      <c r="G275" s="156"/>
      <c r="H275" s="156"/>
      <c r="I275" s="145"/>
      <c r="J275" s="145"/>
      <c r="K275" s="145"/>
      <c r="L275" s="156"/>
      <c r="M275" s="164"/>
      <c r="N275" s="193"/>
      <c r="O275" s="145"/>
      <c r="P275" s="145"/>
      <c r="Q275" s="145"/>
      <c r="R275" s="145"/>
      <c r="S275" s="145"/>
      <c r="T275" s="145"/>
      <c r="U275" s="145"/>
    </row>
    <row r="276" spans="1:21" ht="15.6" customHeight="1" x14ac:dyDescent="0.25">
      <c r="A276" s="156"/>
      <c r="B276" s="164"/>
      <c r="C276" s="135"/>
      <c r="D276" s="156"/>
      <c r="E276" s="156"/>
      <c r="F276" s="156"/>
      <c r="G276" s="156"/>
      <c r="H276" s="156"/>
      <c r="I276" s="145"/>
      <c r="J276" s="145"/>
      <c r="K276" s="145"/>
      <c r="L276" s="156"/>
      <c r="M276" s="164"/>
      <c r="N276" s="193"/>
      <c r="O276" s="145"/>
      <c r="P276" s="145"/>
      <c r="Q276" s="145"/>
      <c r="R276" s="145"/>
      <c r="S276" s="145"/>
      <c r="T276" s="145"/>
      <c r="U276" s="145"/>
    </row>
    <row r="277" spans="1:21" ht="15.6" customHeight="1" x14ac:dyDescent="0.25">
      <c r="A277" s="156"/>
      <c r="B277" s="164"/>
      <c r="C277" s="135"/>
      <c r="D277" s="156"/>
      <c r="E277" s="156"/>
      <c r="F277" s="156"/>
      <c r="G277" s="156"/>
      <c r="H277" s="156"/>
      <c r="I277" s="145"/>
      <c r="J277" s="145"/>
      <c r="K277" s="145"/>
      <c r="L277" s="156"/>
      <c r="M277" s="164"/>
      <c r="N277" s="193"/>
      <c r="O277" s="145"/>
      <c r="P277" s="145"/>
      <c r="Q277" s="145"/>
      <c r="R277" s="145"/>
      <c r="S277" s="145"/>
      <c r="T277" s="145"/>
      <c r="U277" s="145"/>
    </row>
    <row r="278" spans="1:21" ht="15.6" customHeight="1" x14ac:dyDescent="0.25">
      <c r="A278" s="156"/>
      <c r="B278" s="164"/>
      <c r="C278" s="135"/>
      <c r="D278" s="156"/>
      <c r="E278" s="156"/>
      <c r="F278" s="156"/>
      <c r="G278" s="156"/>
      <c r="H278" s="156"/>
      <c r="I278" s="145"/>
      <c r="J278" s="145"/>
      <c r="K278" s="145"/>
      <c r="L278" s="156"/>
      <c r="M278" s="164"/>
      <c r="N278" s="135"/>
      <c r="O278" s="145"/>
      <c r="P278" s="145"/>
      <c r="Q278" s="145"/>
      <c r="R278" s="145"/>
      <c r="S278" s="145"/>
      <c r="T278" s="145"/>
      <c r="U278" s="145"/>
    </row>
    <row r="279" spans="1:21" ht="15.6" customHeight="1" x14ac:dyDescent="0.25">
      <c r="A279" s="156"/>
      <c r="B279" s="164"/>
      <c r="C279" s="135"/>
      <c r="D279" s="156"/>
      <c r="E279" s="156"/>
      <c r="F279" s="156"/>
      <c r="G279" s="156"/>
      <c r="H279" s="156"/>
      <c r="I279" s="145"/>
      <c r="J279" s="145"/>
      <c r="K279" s="145"/>
      <c r="L279" s="156"/>
      <c r="M279" s="164"/>
      <c r="N279" s="135"/>
      <c r="O279" s="145"/>
      <c r="P279" s="145"/>
      <c r="Q279" s="145"/>
      <c r="R279" s="145"/>
      <c r="S279" s="145"/>
      <c r="T279" s="145"/>
      <c r="U279" s="145"/>
    </row>
    <row r="280" spans="1:21" ht="15.6" customHeight="1" x14ac:dyDescent="0.25">
      <c r="A280" s="156"/>
      <c r="B280" s="164"/>
      <c r="C280" s="135"/>
      <c r="D280" s="186"/>
      <c r="E280" s="186"/>
      <c r="F280" s="185"/>
      <c r="G280" s="187"/>
      <c r="H280" s="156"/>
      <c r="I280" s="145"/>
      <c r="J280" s="145"/>
      <c r="K280" s="145"/>
      <c r="L280" s="156"/>
      <c r="M280" s="164"/>
      <c r="N280" s="135"/>
      <c r="O280" s="145"/>
      <c r="P280" s="145"/>
      <c r="Q280" s="145"/>
      <c r="R280" s="145"/>
      <c r="S280" s="145"/>
      <c r="T280" s="145"/>
      <c r="U280" s="145"/>
    </row>
    <row r="281" spans="1:21" ht="15.6" customHeight="1" x14ac:dyDescent="0.25">
      <c r="A281" s="156"/>
      <c r="B281" s="164"/>
      <c r="C281" s="135"/>
      <c r="D281" s="156"/>
      <c r="E281" s="156"/>
      <c r="F281" s="156"/>
      <c r="G281" s="156"/>
      <c r="H281" s="156"/>
      <c r="I281" s="145"/>
      <c r="J281" s="145"/>
      <c r="K281" s="145"/>
      <c r="L281" s="156"/>
      <c r="M281" s="164"/>
      <c r="N281" s="135"/>
      <c r="O281" s="145"/>
      <c r="P281" s="145"/>
      <c r="Q281" s="145"/>
      <c r="R281" s="145"/>
      <c r="S281" s="145"/>
      <c r="T281" s="145"/>
      <c r="U281" s="145"/>
    </row>
    <row r="282" spans="1:21" ht="15.6" customHeight="1" x14ac:dyDescent="0.25">
      <c r="A282" s="156"/>
      <c r="B282" s="164"/>
      <c r="C282" s="135"/>
      <c r="D282" s="156"/>
      <c r="E282" s="156"/>
      <c r="F282" s="156"/>
      <c r="G282" s="156"/>
      <c r="H282" s="156"/>
      <c r="I282" s="145"/>
      <c r="J282" s="145"/>
      <c r="K282" s="145"/>
      <c r="L282" s="156"/>
      <c r="M282" s="164"/>
      <c r="N282" s="135"/>
      <c r="O282" s="145"/>
      <c r="P282" s="145"/>
      <c r="Q282" s="145"/>
      <c r="R282" s="145"/>
      <c r="S282" s="145"/>
      <c r="T282" s="145"/>
      <c r="U282" s="145"/>
    </row>
    <row r="283" spans="1:21" ht="15.6" customHeight="1" x14ac:dyDescent="0.25">
      <c r="A283" s="156"/>
      <c r="B283" s="164"/>
      <c r="C283" s="135"/>
      <c r="D283" s="156"/>
      <c r="E283" s="156"/>
      <c r="F283" s="156"/>
      <c r="G283" s="156"/>
      <c r="H283" s="156"/>
      <c r="I283" s="145"/>
      <c r="J283" s="145"/>
      <c r="K283" s="145"/>
      <c r="L283" s="156"/>
      <c r="M283" s="164"/>
      <c r="N283" s="135"/>
      <c r="O283" s="145"/>
      <c r="P283" s="145"/>
      <c r="Q283" s="145"/>
      <c r="R283" s="145"/>
      <c r="S283" s="145"/>
      <c r="T283" s="145"/>
      <c r="U283" s="145"/>
    </row>
    <row r="284" spans="1:21" ht="15.6" customHeight="1" x14ac:dyDescent="0.25">
      <c r="A284" s="156"/>
      <c r="B284" s="164"/>
      <c r="C284" s="135"/>
      <c r="D284" s="156"/>
      <c r="E284" s="156"/>
      <c r="F284" s="156"/>
      <c r="G284" s="156"/>
      <c r="H284" s="156"/>
      <c r="I284" s="145"/>
      <c r="J284" s="145"/>
      <c r="K284" s="145"/>
      <c r="L284" s="156"/>
      <c r="M284" s="164"/>
      <c r="N284" s="135"/>
      <c r="O284" s="145"/>
      <c r="P284" s="145"/>
      <c r="Q284" s="145"/>
      <c r="R284" s="145"/>
      <c r="S284" s="145"/>
      <c r="T284" s="145"/>
      <c r="U284" s="145"/>
    </row>
    <row r="285" spans="1:21" ht="15.6" customHeight="1" x14ac:dyDescent="0.25">
      <c r="A285" s="156"/>
      <c r="B285" s="164"/>
      <c r="C285" s="156"/>
      <c r="D285" s="156"/>
      <c r="E285" s="156"/>
      <c r="F285" s="156"/>
      <c r="G285" s="156"/>
      <c r="H285" s="156"/>
      <c r="I285" s="145"/>
      <c r="J285" s="145"/>
      <c r="K285" s="145"/>
      <c r="L285" s="156"/>
      <c r="M285" s="164"/>
      <c r="N285" s="130"/>
      <c r="O285" s="145"/>
      <c r="P285" s="145"/>
      <c r="Q285" s="145"/>
      <c r="R285" s="145"/>
      <c r="S285" s="145"/>
      <c r="T285" s="145"/>
      <c r="U285" s="145"/>
    </row>
    <row r="286" spans="1:21" ht="15.6" customHeight="1" x14ac:dyDescent="0.25">
      <c r="A286" s="156"/>
      <c r="B286" s="164"/>
      <c r="C286" s="135"/>
      <c r="D286" s="156"/>
      <c r="E286" s="156"/>
      <c r="F286" s="156"/>
      <c r="G286" s="156"/>
      <c r="H286" s="156"/>
      <c r="I286" s="145"/>
      <c r="J286" s="145"/>
      <c r="K286" s="145"/>
      <c r="L286" s="156"/>
      <c r="M286" s="164"/>
      <c r="N286" s="130"/>
      <c r="O286" s="145"/>
      <c r="P286" s="145"/>
      <c r="Q286" s="145"/>
      <c r="R286" s="145"/>
      <c r="S286" s="145"/>
      <c r="T286" s="145"/>
      <c r="U286" s="145"/>
    </row>
    <row r="287" spans="1:21" ht="15.6" customHeight="1" x14ac:dyDescent="0.25">
      <c r="A287" s="156"/>
      <c r="B287" s="164"/>
      <c r="C287" s="135"/>
      <c r="D287" s="156"/>
      <c r="E287" s="156"/>
      <c r="F287" s="156"/>
      <c r="G287" s="156"/>
      <c r="H287" s="156"/>
      <c r="I287" s="145"/>
      <c r="J287" s="145"/>
      <c r="K287" s="145"/>
      <c r="L287" s="156"/>
      <c r="M287" s="164"/>
      <c r="N287" s="130"/>
      <c r="O287" s="145"/>
      <c r="P287" s="145"/>
      <c r="Q287" s="145"/>
      <c r="R287" s="145"/>
      <c r="S287" s="145"/>
      <c r="T287" s="145"/>
      <c r="U287" s="145"/>
    </row>
    <row r="288" spans="1:21" ht="15.6" customHeight="1" x14ac:dyDescent="0.25">
      <c r="A288" s="156"/>
      <c r="B288" s="164"/>
      <c r="C288" s="135"/>
      <c r="D288" s="156"/>
      <c r="E288" s="156"/>
      <c r="F288" s="156"/>
      <c r="G288" s="156"/>
      <c r="H288" s="156"/>
      <c r="I288" s="145"/>
      <c r="J288" s="145"/>
      <c r="K288" s="145"/>
      <c r="L288" s="156"/>
      <c r="M288" s="164"/>
      <c r="N288" s="130"/>
      <c r="O288" s="145"/>
      <c r="P288" s="145"/>
      <c r="Q288" s="145"/>
      <c r="R288" s="145"/>
      <c r="S288" s="145"/>
      <c r="T288" s="145"/>
      <c r="U288" s="145"/>
    </row>
    <row r="289" spans="1:21" ht="15.6" customHeight="1" x14ac:dyDescent="0.25">
      <c r="A289" s="156"/>
      <c r="B289" s="164"/>
      <c r="C289" s="135"/>
      <c r="D289" s="156"/>
      <c r="E289" s="156"/>
      <c r="F289" s="156"/>
      <c r="G289" s="156"/>
      <c r="H289" s="156"/>
      <c r="I289" s="145"/>
      <c r="J289" s="145"/>
      <c r="K289" s="145"/>
      <c r="L289" s="135"/>
      <c r="M289" s="164"/>
      <c r="N289" s="135"/>
      <c r="O289" s="145"/>
      <c r="P289" s="145"/>
      <c r="Q289" s="145"/>
      <c r="R289" s="145"/>
      <c r="S289" s="145"/>
      <c r="T289" s="145"/>
      <c r="U289" s="145"/>
    </row>
    <row r="290" spans="1:21" ht="15.6" customHeight="1" x14ac:dyDescent="0.25">
      <c r="A290" s="156"/>
      <c r="B290" s="164"/>
      <c r="C290" s="135"/>
      <c r="D290" s="156"/>
      <c r="E290" s="156"/>
      <c r="F290" s="156"/>
      <c r="G290" s="156"/>
      <c r="H290" s="156"/>
      <c r="I290" s="145"/>
      <c r="J290" s="145"/>
      <c r="K290" s="145"/>
      <c r="L290" s="135"/>
      <c r="M290" s="164"/>
      <c r="N290" s="135"/>
      <c r="O290" s="145"/>
      <c r="P290" s="145"/>
      <c r="Q290" s="145"/>
      <c r="R290" s="145"/>
      <c r="S290" s="145"/>
      <c r="T290" s="145"/>
      <c r="U290" s="145"/>
    </row>
    <row r="291" spans="1:21" ht="15.6" customHeight="1" x14ac:dyDescent="0.25">
      <c r="A291" s="156"/>
      <c r="B291" s="164"/>
      <c r="C291" s="135"/>
      <c r="D291" s="156"/>
      <c r="E291" s="156"/>
      <c r="F291" s="156"/>
      <c r="G291" s="156"/>
      <c r="H291" s="156"/>
      <c r="I291" s="145"/>
      <c r="J291" s="145"/>
      <c r="K291" s="145"/>
      <c r="L291" s="156"/>
      <c r="M291" s="164"/>
      <c r="N291" s="135"/>
      <c r="O291" s="145"/>
      <c r="P291" s="145"/>
      <c r="Q291" s="145"/>
      <c r="R291" s="145"/>
      <c r="S291" s="145"/>
      <c r="T291" s="145"/>
      <c r="U291" s="145"/>
    </row>
    <row r="292" spans="1:21" ht="15.6" customHeight="1" x14ac:dyDescent="0.25">
      <c r="A292" s="156"/>
      <c r="B292" s="164"/>
      <c r="C292" s="135"/>
      <c r="D292" s="156"/>
      <c r="E292" s="156"/>
      <c r="F292" s="156"/>
      <c r="G292" s="156"/>
      <c r="H292" s="156"/>
      <c r="I292" s="145"/>
      <c r="J292" s="145"/>
      <c r="K292" s="145"/>
      <c r="L292" s="156"/>
      <c r="M292" s="164"/>
      <c r="N292" s="135"/>
      <c r="O292" s="145"/>
      <c r="P292" s="145"/>
      <c r="Q292" s="145"/>
      <c r="R292" s="145"/>
      <c r="S292" s="145"/>
      <c r="T292" s="145"/>
      <c r="U292" s="145"/>
    </row>
    <row r="293" spans="1:21" ht="15.6" customHeight="1" x14ac:dyDescent="0.25">
      <c r="A293" s="156"/>
      <c r="B293" s="164"/>
      <c r="C293" s="135"/>
      <c r="D293" s="156"/>
      <c r="E293" s="156"/>
      <c r="F293" s="156"/>
      <c r="G293" s="156"/>
      <c r="H293" s="156"/>
      <c r="I293" s="145"/>
      <c r="J293" s="145"/>
      <c r="K293" s="145"/>
      <c r="L293" s="156"/>
      <c r="M293" s="164"/>
      <c r="N293" s="135"/>
      <c r="O293" s="145"/>
      <c r="P293" s="145"/>
      <c r="Q293" s="145"/>
      <c r="R293" s="145"/>
      <c r="S293" s="145"/>
      <c r="T293" s="145"/>
      <c r="U293" s="145"/>
    </row>
    <row r="294" spans="1:21" ht="15.6" customHeight="1" x14ac:dyDescent="0.25">
      <c r="A294" s="156"/>
      <c r="B294" s="133"/>
      <c r="C294" s="135"/>
      <c r="D294" s="156"/>
      <c r="E294" s="156"/>
      <c r="F294" s="156"/>
      <c r="G294" s="156"/>
      <c r="H294" s="156"/>
      <c r="I294" s="145"/>
      <c r="J294" s="145"/>
      <c r="K294" s="145"/>
      <c r="L294" s="156"/>
      <c r="M294" s="164"/>
      <c r="N294" s="195"/>
      <c r="O294" s="145"/>
      <c r="P294" s="145"/>
      <c r="Q294" s="145"/>
      <c r="R294" s="145"/>
      <c r="S294" s="145"/>
      <c r="T294" s="145"/>
      <c r="U294" s="145"/>
    </row>
    <row r="295" spans="1:21" ht="15.6" customHeight="1" x14ac:dyDescent="0.25">
      <c r="A295" s="156"/>
      <c r="B295" s="133"/>
      <c r="C295" s="135"/>
      <c r="D295" s="156"/>
      <c r="E295" s="156"/>
      <c r="F295" s="156"/>
      <c r="G295" s="156"/>
      <c r="H295" s="156"/>
      <c r="I295" s="145"/>
      <c r="J295" s="145"/>
      <c r="K295" s="145"/>
      <c r="L295" s="156"/>
      <c r="M295" s="164"/>
      <c r="N295" s="135"/>
      <c r="O295" s="145"/>
      <c r="P295" s="145"/>
      <c r="Q295" s="145"/>
      <c r="R295" s="145"/>
      <c r="S295" s="145"/>
      <c r="T295" s="145"/>
      <c r="U295" s="145"/>
    </row>
    <row r="296" spans="1:21" ht="15.6" customHeight="1" x14ac:dyDescent="0.25">
      <c r="A296" s="192"/>
      <c r="B296" s="164"/>
      <c r="C296" s="135"/>
      <c r="D296" s="156"/>
      <c r="E296" s="156"/>
      <c r="F296" s="156"/>
      <c r="G296" s="156"/>
      <c r="H296" s="156"/>
      <c r="I296" s="145"/>
      <c r="J296" s="145"/>
      <c r="K296" s="145"/>
      <c r="L296" s="156"/>
      <c r="M296" s="164"/>
      <c r="N296" s="135"/>
      <c r="O296" s="145"/>
      <c r="P296" s="145"/>
      <c r="Q296" s="145"/>
      <c r="R296" s="145"/>
      <c r="S296" s="145"/>
      <c r="T296" s="145"/>
      <c r="U296" s="145"/>
    </row>
    <row r="297" spans="1:21" ht="15.6" customHeight="1" x14ac:dyDescent="0.25">
      <c r="A297" s="192"/>
      <c r="B297" s="164"/>
      <c r="C297" s="135"/>
      <c r="D297" s="156"/>
      <c r="E297" s="156"/>
      <c r="F297" s="156"/>
      <c r="G297" s="156"/>
      <c r="H297" s="156"/>
      <c r="I297" s="145"/>
      <c r="J297" s="145"/>
      <c r="K297" s="145"/>
      <c r="L297" s="156"/>
      <c r="M297" s="164"/>
      <c r="N297" s="135"/>
      <c r="O297" s="145"/>
      <c r="P297" s="145"/>
      <c r="Q297" s="145"/>
      <c r="R297" s="145"/>
      <c r="S297" s="145"/>
      <c r="T297" s="145"/>
      <c r="U297" s="145"/>
    </row>
    <row r="298" spans="1:21" ht="15.6" customHeight="1" x14ac:dyDescent="0.25">
      <c r="A298" s="156"/>
      <c r="B298" s="164"/>
      <c r="C298" s="135"/>
      <c r="D298" s="156"/>
    </row>
  </sheetData>
  <sortState xmlns:xlrd2="http://schemas.microsoft.com/office/spreadsheetml/2017/richdata2" ref="AG86:AM95">
    <sortCondition ref="AG95"/>
  </sortState>
  <mergeCells count="927">
    <mergeCell ref="D31:E31"/>
    <mergeCell ref="O97:P97"/>
    <mergeCell ref="A29:D29"/>
    <mergeCell ref="V40:X40"/>
    <mergeCell ref="V41:X41"/>
    <mergeCell ref="V42:X42"/>
    <mergeCell ref="Z36:AC36"/>
    <mergeCell ref="Z37:AC37"/>
    <mergeCell ref="AE45:AH45"/>
    <mergeCell ref="O82:P82"/>
    <mergeCell ref="O83:P83"/>
    <mergeCell ref="O84:P84"/>
    <mergeCell ref="O85:P85"/>
    <mergeCell ref="Q82:R82"/>
    <mergeCell ref="E61:F61"/>
    <mergeCell ref="E65:F65"/>
    <mergeCell ref="E70:F70"/>
    <mergeCell ref="A51:D51"/>
    <mergeCell ref="A52:D52"/>
    <mergeCell ref="A53:D53"/>
    <mergeCell ref="A54:D54"/>
    <mergeCell ref="A55:D55"/>
    <mergeCell ref="A56:D56"/>
    <mergeCell ref="A57:D57"/>
    <mergeCell ref="A83:D83"/>
    <mergeCell ref="G99:R99"/>
    <mergeCell ref="AO4:AP4"/>
    <mergeCell ref="AO5:AP5"/>
    <mergeCell ref="AO6:AP6"/>
    <mergeCell ref="AB10:AC10"/>
    <mergeCell ref="AB11:AC11"/>
    <mergeCell ref="AB12:AC12"/>
    <mergeCell ref="AB13:AC13"/>
    <mergeCell ref="AB14:AC14"/>
    <mergeCell ref="AJ10:AK10"/>
    <mergeCell ref="AJ11:AK11"/>
    <mergeCell ref="AJ12:AK12"/>
    <mergeCell ref="AJ13:AK13"/>
    <mergeCell ref="AO7:AP7"/>
    <mergeCell ref="AI4:AN4"/>
    <mergeCell ref="AI5:AN5"/>
    <mergeCell ref="AI6:AN6"/>
    <mergeCell ref="AE29:AH29"/>
    <mergeCell ref="Z48:AC48"/>
    <mergeCell ref="Z49:AC49"/>
    <mergeCell ref="Z47:AC47"/>
    <mergeCell ref="V95:AB95"/>
    <mergeCell ref="V97:AB97"/>
    <mergeCell ref="I97:N97"/>
    <mergeCell ref="AH102:AN102"/>
    <mergeCell ref="AH103:AN103"/>
    <mergeCell ref="AE24:AH24"/>
    <mergeCell ref="AE25:AH25"/>
    <mergeCell ref="AE26:AH26"/>
    <mergeCell ref="AE27:AH27"/>
    <mergeCell ref="AE28:AH28"/>
    <mergeCell ref="AI32:AJ32"/>
    <mergeCell ref="AI33:AJ33"/>
    <mergeCell ref="AI34:AJ34"/>
    <mergeCell ref="AI35:AJ35"/>
    <mergeCell ref="AI36:AJ36"/>
    <mergeCell ref="AG94:AM94"/>
    <mergeCell ref="AG95:AM95"/>
    <mergeCell ref="AG71:AM71"/>
    <mergeCell ref="AI45:AJ45"/>
    <mergeCell ref="AE32:AH32"/>
    <mergeCell ref="AE33:AH33"/>
    <mergeCell ref="AE34:AH34"/>
    <mergeCell ref="AE44:AH44"/>
    <mergeCell ref="AE38:AH38"/>
    <mergeCell ref="AE46:AH46"/>
    <mergeCell ref="AE30:AH30"/>
    <mergeCell ref="AE31:AH31"/>
    <mergeCell ref="V98:AB98"/>
    <mergeCell ref="V99:AB99"/>
    <mergeCell ref="V100:AB100"/>
    <mergeCell ref="V38:X38"/>
    <mergeCell ref="V39:X39"/>
    <mergeCell ref="AE35:AH35"/>
    <mergeCell ref="AH104:AN104"/>
    <mergeCell ref="AH105:AN105"/>
    <mergeCell ref="AG93:AM93"/>
    <mergeCell ref="V69:AB69"/>
    <mergeCell ref="V70:AB70"/>
    <mergeCell ref="V73:AB73"/>
    <mergeCell ref="V72:AB72"/>
    <mergeCell ref="AG97:AM97"/>
    <mergeCell ref="AG80:AM80"/>
    <mergeCell ref="AG81:AM81"/>
    <mergeCell ref="AG82:AM82"/>
    <mergeCell ref="AG83:AM83"/>
    <mergeCell ref="AG84:AM84"/>
    <mergeCell ref="AG85:AM85"/>
    <mergeCell ref="AG86:AM86"/>
    <mergeCell ref="V96:AB96"/>
    <mergeCell ref="V51:AP51"/>
    <mergeCell ref="AH106:AN106"/>
    <mergeCell ref="AI46:AJ46"/>
    <mergeCell ref="AG69:AM69"/>
    <mergeCell ref="AG70:AM70"/>
    <mergeCell ref="V52:AB52"/>
    <mergeCell ref="V53:AB53"/>
    <mergeCell ref="V54:AB54"/>
    <mergeCell ref="V55:AB55"/>
    <mergeCell ref="V56:AB56"/>
    <mergeCell ref="V57:AB57"/>
    <mergeCell ref="V58:AB58"/>
    <mergeCell ref="V59:AB59"/>
    <mergeCell ref="V60:AB60"/>
    <mergeCell ref="V61:AB61"/>
    <mergeCell ref="V62:AB62"/>
    <mergeCell ref="V63:AB63"/>
    <mergeCell ref="AG87:AM87"/>
    <mergeCell ref="AG88:AM88"/>
    <mergeCell ref="AG98:AM98"/>
    <mergeCell ref="AG99:AM99"/>
    <mergeCell ref="AG89:AM89"/>
    <mergeCell ref="AG90:AM90"/>
    <mergeCell ref="AG91:AM91"/>
    <mergeCell ref="AG92:AM92"/>
    <mergeCell ref="AH107:AN107"/>
    <mergeCell ref="AH108:AN108"/>
    <mergeCell ref="AH109:AN109"/>
    <mergeCell ref="AH110:AN110"/>
    <mergeCell ref="AH111:AN111"/>
    <mergeCell ref="AH112:AN112"/>
    <mergeCell ref="AH113:AN113"/>
    <mergeCell ref="AH114:AN114"/>
    <mergeCell ref="AH115:AN115"/>
    <mergeCell ref="AH116:AN116"/>
    <mergeCell ref="AH117:AN117"/>
    <mergeCell ref="AH118:AN118"/>
    <mergeCell ref="M182:S182"/>
    <mergeCell ref="M183:S183"/>
    <mergeCell ref="M184:S184"/>
    <mergeCell ref="M121:S121"/>
    <mergeCell ref="M122:S122"/>
    <mergeCell ref="M123:S123"/>
    <mergeCell ref="M124:S124"/>
    <mergeCell ref="M125:S125"/>
    <mergeCell ref="M126:S126"/>
    <mergeCell ref="M127:S127"/>
    <mergeCell ref="M128:S128"/>
    <mergeCell ref="M129:S129"/>
    <mergeCell ref="M130:S130"/>
    <mergeCell ref="M131:S131"/>
    <mergeCell ref="M132:S132"/>
    <mergeCell ref="M133:S133"/>
    <mergeCell ref="M134:S134"/>
    <mergeCell ref="M135:S135"/>
    <mergeCell ref="W118:AC118"/>
    <mergeCell ref="W119:AC119"/>
    <mergeCell ref="W120:AC120"/>
    <mergeCell ref="M185:S185"/>
    <mergeCell ref="M186:S186"/>
    <mergeCell ref="M187:S187"/>
    <mergeCell ref="M188:S188"/>
    <mergeCell ref="M189:S189"/>
    <mergeCell ref="M190:S190"/>
    <mergeCell ref="M191:S191"/>
    <mergeCell ref="M192:S192"/>
    <mergeCell ref="M193:S193"/>
    <mergeCell ref="M194:S194"/>
    <mergeCell ref="M195:S195"/>
    <mergeCell ref="M196:S196"/>
    <mergeCell ref="M197:S197"/>
    <mergeCell ref="W102:AC102"/>
    <mergeCell ref="W103:AC103"/>
    <mergeCell ref="W104:AC104"/>
    <mergeCell ref="W105:AC105"/>
    <mergeCell ref="W106:AC106"/>
    <mergeCell ref="W107:AC107"/>
    <mergeCell ref="W108:AC108"/>
    <mergeCell ref="W109:AC109"/>
    <mergeCell ref="W110:AC110"/>
    <mergeCell ref="W111:AC111"/>
    <mergeCell ref="W112:AC112"/>
    <mergeCell ref="W113:AC113"/>
    <mergeCell ref="W114:AC114"/>
    <mergeCell ref="W115:AC115"/>
    <mergeCell ref="W116:AC116"/>
    <mergeCell ref="W117:AC117"/>
    <mergeCell ref="M108:S108"/>
    <mergeCell ref="M109:S109"/>
    <mergeCell ref="M110:S110"/>
    <mergeCell ref="M111:S111"/>
    <mergeCell ref="B129:H129"/>
    <mergeCell ref="B130:H130"/>
    <mergeCell ref="B131:H131"/>
    <mergeCell ref="B132:H132"/>
    <mergeCell ref="M112:S112"/>
    <mergeCell ref="M113:S113"/>
    <mergeCell ref="M114:S114"/>
    <mergeCell ref="M115:S115"/>
    <mergeCell ref="M116:S116"/>
    <mergeCell ref="M117:S117"/>
    <mergeCell ref="M118:S118"/>
    <mergeCell ref="M119:S119"/>
    <mergeCell ref="M120:S120"/>
    <mergeCell ref="B140:H140"/>
    <mergeCell ref="A99:D99"/>
    <mergeCell ref="E99:F99"/>
    <mergeCell ref="B102:H102"/>
    <mergeCell ref="B103:H103"/>
    <mergeCell ref="B104:H104"/>
    <mergeCell ref="B105:H105"/>
    <mergeCell ref="B106:H106"/>
    <mergeCell ref="B107:H107"/>
    <mergeCell ref="B108:H108"/>
    <mergeCell ref="B109:H109"/>
    <mergeCell ref="B110:H110"/>
    <mergeCell ref="B117:H117"/>
    <mergeCell ref="B118:H118"/>
    <mergeCell ref="B119:H119"/>
    <mergeCell ref="B120:H120"/>
    <mergeCell ref="B121:H121"/>
    <mergeCell ref="B122:H122"/>
    <mergeCell ref="B123:H123"/>
    <mergeCell ref="B124:H124"/>
    <mergeCell ref="B125:H125"/>
    <mergeCell ref="B126:H126"/>
    <mergeCell ref="B127:H127"/>
    <mergeCell ref="B128:H128"/>
    <mergeCell ref="P15:R15"/>
    <mergeCell ref="A65:D65"/>
    <mergeCell ref="A66:D66"/>
    <mergeCell ref="A71:D71"/>
    <mergeCell ref="A73:D73"/>
    <mergeCell ref="A74:D74"/>
    <mergeCell ref="E51:F51"/>
    <mergeCell ref="E52:F52"/>
    <mergeCell ref="E58:F58"/>
    <mergeCell ref="G51:H51"/>
    <mergeCell ref="G52:H52"/>
    <mergeCell ref="G58:H58"/>
    <mergeCell ref="G61:H61"/>
    <mergeCell ref="O66:P66"/>
    <mergeCell ref="O67:P67"/>
    <mergeCell ref="O68:P68"/>
    <mergeCell ref="O69:P69"/>
    <mergeCell ref="A58:D58"/>
    <mergeCell ref="A59:D59"/>
    <mergeCell ref="A60:D60"/>
    <mergeCell ref="A61:D61"/>
    <mergeCell ref="A62:D62"/>
    <mergeCell ref="A63:D63"/>
    <mergeCell ref="A64:D64"/>
    <mergeCell ref="E82:F82"/>
    <mergeCell ref="E83:F83"/>
    <mergeCell ref="E84:F84"/>
    <mergeCell ref="E85:F85"/>
    <mergeCell ref="G82:H82"/>
    <mergeCell ref="G83:H83"/>
    <mergeCell ref="I82:N82"/>
    <mergeCell ref="I83:N83"/>
    <mergeCell ref="I84:N84"/>
    <mergeCell ref="I85:N85"/>
    <mergeCell ref="G84:H84"/>
    <mergeCell ref="G85:H85"/>
    <mergeCell ref="V13:AA13"/>
    <mergeCell ref="V14:AA14"/>
    <mergeCell ref="AD10:AI10"/>
    <mergeCell ref="S8:T8"/>
    <mergeCell ref="S13:T13"/>
    <mergeCell ref="P9:R9"/>
    <mergeCell ref="P10:R10"/>
    <mergeCell ref="X4:Y4"/>
    <mergeCell ref="X5:Y5"/>
    <mergeCell ref="X6:Y6"/>
    <mergeCell ref="X7:Y7"/>
    <mergeCell ref="X8:Y8"/>
    <mergeCell ref="AD11:AI11"/>
    <mergeCell ref="P13:R13"/>
    <mergeCell ref="AA8:AB8"/>
    <mergeCell ref="AA7:AB7"/>
    <mergeCell ref="AA6:AB6"/>
    <mergeCell ref="AA5:AB5"/>
    <mergeCell ref="AA4:AB4"/>
    <mergeCell ref="P6:R6"/>
    <mergeCell ref="P7:R7"/>
    <mergeCell ref="P8:R8"/>
    <mergeCell ref="V12:AA12"/>
    <mergeCell ref="Z23:AC23"/>
    <mergeCell ref="Z24:AC24"/>
    <mergeCell ref="Z26:AC26"/>
    <mergeCell ref="V1:AP2"/>
    <mergeCell ref="AD12:AI12"/>
    <mergeCell ref="AD13:AI13"/>
    <mergeCell ref="AI7:AN7"/>
    <mergeCell ref="AI8:AN8"/>
    <mergeCell ref="A1:U2"/>
    <mergeCell ref="V10:AA10"/>
    <mergeCell ref="V11:AA11"/>
    <mergeCell ref="AF4:AG4"/>
    <mergeCell ref="AF5:AG5"/>
    <mergeCell ref="AF6:AG6"/>
    <mergeCell ref="AF7:AG7"/>
    <mergeCell ref="AF8:AG8"/>
    <mergeCell ref="AC4:AD4"/>
    <mergeCell ref="AC5:AD5"/>
    <mergeCell ref="AC6:AD6"/>
    <mergeCell ref="AC7:AD7"/>
    <mergeCell ref="AC8:AD8"/>
    <mergeCell ref="G3:R3"/>
    <mergeCell ref="V4:W4"/>
    <mergeCell ref="V6:W6"/>
    <mergeCell ref="Z33:AC33"/>
    <mergeCell ref="Z34:AC34"/>
    <mergeCell ref="Z35:AC35"/>
    <mergeCell ref="AE20:AH20"/>
    <mergeCell ref="V20:X20"/>
    <mergeCell ref="V21:X21"/>
    <mergeCell ref="V22:X22"/>
    <mergeCell ref="V23:X23"/>
    <mergeCell ref="V37:X37"/>
    <mergeCell ref="V29:X29"/>
    <mergeCell ref="V30:X30"/>
    <mergeCell ref="V31:X31"/>
    <mergeCell ref="V32:X32"/>
    <mergeCell ref="V33:X33"/>
    <mergeCell ref="V34:X34"/>
    <mergeCell ref="V35:X35"/>
    <mergeCell ref="V36:X36"/>
    <mergeCell ref="AE37:AH37"/>
    <mergeCell ref="Z25:AC25"/>
    <mergeCell ref="V28:X28"/>
    <mergeCell ref="AE36:AH36"/>
    <mergeCell ref="Z20:AC20"/>
    <mergeCell ref="Z21:AC21"/>
    <mergeCell ref="Z22:AC22"/>
    <mergeCell ref="AE47:AH47"/>
    <mergeCell ref="AI47:AJ47"/>
    <mergeCell ref="AE48:AH48"/>
    <mergeCell ref="AI48:AJ48"/>
    <mergeCell ref="AE49:AH49"/>
    <mergeCell ref="AI49:AJ49"/>
    <mergeCell ref="AI37:AJ37"/>
    <mergeCell ref="AI38:AJ38"/>
    <mergeCell ref="AI39:AJ39"/>
    <mergeCell ref="AI40:AJ40"/>
    <mergeCell ref="AI41:AJ41"/>
    <mergeCell ref="AI42:AJ42"/>
    <mergeCell ref="AI43:AJ43"/>
    <mergeCell ref="AI44:AJ44"/>
    <mergeCell ref="AE39:AH39"/>
    <mergeCell ref="AE40:AH40"/>
    <mergeCell ref="AE41:AH41"/>
    <mergeCell ref="AE42:AH42"/>
    <mergeCell ref="AE43:AH43"/>
    <mergeCell ref="A72:D72"/>
    <mergeCell ref="K64:L64"/>
    <mergeCell ref="K66:L66"/>
    <mergeCell ref="K67:L67"/>
    <mergeCell ref="K68:L68"/>
    <mergeCell ref="K69:L69"/>
    <mergeCell ref="K71:L71"/>
    <mergeCell ref="K72:L72"/>
    <mergeCell ref="M68:N68"/>
    <mergeCell ref="M69:N69"/>
    <mergeCell ref="M71:N71"/>
    <mergeCell ref="M72:N72"/>
    <mergeCell ref="G65:H65"/>
    <mergeCell ref="G70:H70"/>
    <mergeCell ref="A67:D67"/>
    <mergeCell ref="A68:D68"/>
    <mergeCell ref="A69:D69"/>
    <mergeCell ref="A70:D70"/>
    <mergeCell ref="M51:N51"/>
    <mergeCell ref="M53:N53"/>
    <mergeCell ref="M54:N54"/>
    <mergeCell ref="M55:N55"/>
    <mergeCell ref="M56:N56"/>
    <mergeCell ref="M57:N57"/>
    <mergeCell ref="M59:N59"/>
    <mergeCell ref="M60:N60"/>
    <mergeCell ref="M61:N61"/>
    <mergeCell ref="K52:P52"/>
    <mergeCell ref="K51:L51"/>
    <mergeCell ref="K53:L53"/>
    <mergeCell ref="K55:L55"/>
    <mergeCell ref="O51:P51"/>
    <mergeCell ref="O53:P53"/>
    <mergeCell ref="I51:J51"/>
    <mergeCell ref="I52:J52"/>
    <mergeCell ref="I58:J58"/>
    <mergeCell ref="I61:J61"/>
    <mergeCell ref="I65:J65"/>
    <mergeCell ref="I70:J70"/>
    <mergeCell ref="A78:B80"/>
    <mergeCell ref="C78:C80"/>
    <mergeCell ref="O73:P73"/>
    <mergeCell ref="O74:P74"/>
    <mergeCell ref="E53:J57"/>
    <mergeCell ref="E59:J60"/>
    <mergeCell ref="E62:J64"/>
    <mergeCell ref="E66:J69"/>
    <mergeCell ref="E71:J74"/>
    <mergeCell ref="K70:P70"/>
    <mergeCell ref="K65:P65"/>
    <mergeCell ref="K58:P58"/>
    <mergeCell ref="M73:N73"/>
    <mergeCell ref="M74:N74"/>
    <mergeCell ref="O62:P62"/>
    <mergeCell ref="O63:P63"/>
    <mergeCell ref="O72:P72"/>
    <mergeCell ref="K73:L73"/>
    <mergeCell ref="K74:L74"/>
    <mergeCell ref="M62:N62"/>
    <mergeCell ref="M63:N63"/>
    <mergeCell ref="M64:N64"/>
    <mergeCell ref="M66:N66"/>
    <mergeCell ref="O64:P64"/>
    <mergeCell ref="O71:P71"/>
    <mergeCell ref="N78:O78"/>
    <mergeCell ref="K54:L54"/>
    <mergeCell ref="O54:P54"/>
    <mergeCell ref="O55:P55"/>
    <mergeCell ref="O56:P56"/>
    <mergeCell ref="O57:P57"/>
    <mergeCell ref="O59:P59"/>
    <mergeCell ref="O60:P60"/>
    <mergeCell ref="O61:P61"/>
    <mergeCell ref="K56:L56"/>
    <mergeCell ref="K57:L57"/>
    <mergeCell ref="K59:L59"/>
    <mergeCell ref="K60:L60"/>
    <mergeCell ref="K61:L61"/>
    <mergeCell ref="K62:L62"/>
    <mergeCell ref="K63:L63"/>
    <mergeCell ref="M67:N67"/>
    <mergeCell ref="E86:F86"/>
    <mergeCell ref="E87:F87"/>
    <mergeCell ref="E88:F88"/>
    <mergeCell ref="N79:O79"/>
    <mergeCell ref="N80:O80"/>
    <mergeCell ref="D76:F76"/>
    <mergeCell ref="G76:H76"/>
    <mergeCell ref="I76:J76"/>
    <mergeCell ref="K76:L76"/>
    <mergeCell ref="I77:J77"/>
    <mergeCell ref="I78:J78"/>
    <mergeCell ref="I79:J79"/>
    <mergeCell ref="I80:J80"/>
    <mergeCell ref="K77:L77"/>
    <mergeCell ref="K78:L78"/>
    <mergeCell ref="K79:L79"/>
    <mergeCell ref="K80:L80"/>
    <mergeCell ref="G77:H77"/>
    <mergeCell ref="G78:H78"/>
    <mergeCell ref="G79:H79"/>
    <mergeCell ref="G80:H80"/>
    <mergeCell ref="N77:O77"/>
    <mergeCell ref="D80:F80"/>
    <mergeCell ref="A82:D82"/>
    <mergeCell ref="G97:H97"/>
    <mergeCell ref="G93:H93"/>
    <mergeCell ref="G94:H94"/>
    <mergeCell ref="A77:B77"/>
    <mergeCell ref="D77:F77"/>
    <mergeCell ref="D78:F78"/>
    <mergeCell ref="D79:F79"/>
    <mergeCell ref="E95:F95"/>
    <mergeCell ref="E96:F96"/>
    <mergeCell ref="E97:F97"/>
    <mergeCell ref="A84:D84"/>
    <mergeCell ref="A85:D85"/>
    <mergeCell ref="A86:D86"/>
    <mergeCell ref="A87:D87"/>
    <mergeCell ref="A88:D88"/>
    <mergeCell ref="A89:D89"/>
    <mergeCell ref="A90:D90"/>
    <mergeCell ref="A91:D91"/>
    <mergeCell ref="A92:D92"/>
    <mergeCell ref="A93:D93"/>
    <mergeCell ref="A94:D94"/>
    <mergeCell ref="A95:D95"/>
    <mergeCell ref="A96:D96"/>
    <mergeCell ref="A97:D97"/>
    <mergeCell ref="E89:F89"/>
    <mergeCell ref="E90:F90"/>
    <mergeCell ref="E91:F91"/>
    <mergeCell ref="E92:F92"/>
    <mergeCell ref="E93:F93"/>
    <mergeCell ref="E94:F94"/>
    <mergeCell ref="G95:H95"/>
    <mergeCell ref="I95:N95"/>
    <mergeCell ref="G96:H96"/>
    <mergeCell ref="I96:N96"/>
    <mergeCell ref="I93:N93"/>
    <mergeCell ref="I94:N94"/>
    <mergeCell ref="G86:H86"/>
    <mergeCell ref="G87:H87"/>
    <mergeCell ref="G88:H88"/>
    <mergeCell ref="G89:H89"/>
    <mergeCell ref="G90:H90"/>
    <mergeCell ref="G91:H91"/>
    <mergeCell ref="G92:H92"/>
    <mergeCell ref="O86:P86"/>
    <mergeCell ref="O87:P87"/>
    <mergeCell ref="O88:P88"/>
    <mergeCell ref="O89:P89"/>
    <mergeCell ref="O90:P90"/>
    <mergeCell ref="O91:P91"/>
    <mergeCell ref="I86:N86"/>
    <mergeCell ref="I87:N87"/>
    <mergeCell ref="I88:N88"/>
    <mergeCell ref="I89:N89"/>
    <mergeCell ref="I90:N90"/>
    <mergeCell ref="I91:N91"/>
    <mergeCell ref="I92:N92"/>
    <mergeCell ref="O92:P92"/>
    <mergeCell ref="Q83:R83"/>
    <mergeCell ref="Q84:R84"/>
    <mergeCell ref="Q85:R85"/>
    <mergeCell ref="Q86:R86"/>
    <mergeCell ref="Q87:R87"/>
    <mergeCell ref="Q88:R88"/>
    <mergeCell ref="Q89:R89"/>
    <mergeCell ref="Q90:R90"/>
    <mergeCell ref="Q91:R91"/>
    <mergeCell ref="O93:P93"/>
    <mergeCell ref="O94:P94"/>
    <mergeCell ref="O95:P95"/>
    <mergeCell ref="O96:P96"/>
    <mergeCell ref="Q92:R92"/>
    <mergeCell ref="Q93:R93"/>
    <mergeCell ref="Q94:R94"/>
    <mergeCell ref="Q95:R95"/>
    <mergeCell ref="Q96:R96"/>
    <mergeCell ref="B111:H111"/>
    <mergeCell ref="B112:H112"/>
    <mergeCell ref="B113:H113"/>
    <mergeCell ref="B114:H114"/>
    <mergeCell ref="B115:H115"/>
    <mergeCell ref="B116:H116"/>
    <mergeCell ref="M102:S102"/>
    <mergeCell ref="M103:S103"/>
    <mergeCell ref="M104:S104"/>
    <mergeCell ref="M105:S105"/>
    <mergeCell ref="M106:S106"/>
    <mergeCell ref="M107:S107"/>
    <mergeCell ref="W121:AC121"/>
    <mergeCell ref="W122:AC122"/>
    <mergeCell ref="W123:AC123"/>
    <mergeCell ref="W124:AC124"/>
    <mergeCell ref="W125:AC125"/>
    <mergeCell ref="W126:AC126"/>
    <mergeCell ref="W127:AC127"/>
    <mergeCell ref="W128:AC128"/>
    <mergeCell ref="W129:AC129"/>
    <mergeCell ref="W130:AC130"/>
    <mergeCell ref="W131:AC131"/>
    <mergeCell ref="W132:AC132"/>
    <mergeCell ref="B141:H141"/>
    <mergeCell ref="B142:H142"/>
    <mergeCell ref="B143:H143"/>
    <mergeCell ref="M140:S140"/>
    <mergeCell ref="M141:S141"/>
    <mergeCell ref="M142:S142"/>
    <mergeCell ref="M143:S143"/>
    <mergeCell ref="M136:S136"/>
    <mergeCell ref="M137:S137"/>
    <mergeCell ref="M138:S138"/>
    <mergeCell ref="M139:S139"/>
    <mergeCell ref="B133:H133"/>
    <mergeCell ref="B134:H134"/>
    <mergeCell ref="B135:H135"/>
    <mergeCell ref="B136:H136"/>
    <mergeCell ref="B137:H137"/>
    <mergeCell ref="B138:H138"/>
    <mergeCell ref="B139:H139"/>
    <mergeCell ref="W142:AC142"/>
    <mergeCell ref="W143:AC143"/>
    <mergeCell ref="W133:AC133"/>
    <mergeCell ref="B158:H158"/>
    <mergeCell ref="B159:H159"/>
    <mergeCell ref="B160:H160"/>
    <mergeCell ref="B161:H161"/>
    <mergeCell ref="B162:H162"/>
    <mergeCell ref="B163:H163"/>
    <mergeCell ref="B164:H164"/>
    <mergeCell ref="B144:H144"/>
    <mergeCell ref="B145:H145"/>
    <mergeCell ref="B146:H146"/>
    <mergeCell ref="B147:H147"/>
    <mergeCell ref="B148:H148"/>
    <mergeCell ref="B149:H149"/>
    <mergeCell ref="B150:H150"/>
    <mergeCell ref="B154:H154"/>
    <mergeCell ref="B155:H155"/>
    <mergeCell ref="A151:U151"/>
    <mergeCell ref="M155:S155"/>
    <mergeCell ref="W134:AC134"/>
    <mergeCell ref="W135:AC135"/>
    <mergeCell ref="W136:AC136"/>
    <mergeCell ref="W137:AC137"/>
    <mergeCell ref="W138:AC138"/>
    <mergeCell ref="W139:AC139"/>
    <mergeCell ref="W140:AC140"/>
    <mergeCell ref="W141:AC141"/>
    <mergeCell ref="B186:H186"/>
    <mergeCell ref="M144:S144"/>
    <mergeCell ref="W144:AC144"/>
    <mergeCell ref="M145:S145"/>
    <mergeCell ref="M146:S146"/>
    <mergeCell ref="M147:S147"/>
    <mergeCell ref="M148:S148"/>
    <mergeCell ref="M149:S149"/>
    <mergeCell ref="M150:S150"/>
    <mergeCell ref="W145:AC145"/>
    <mergeCell ref="W146:AC146"/>
    <mergeCell ref="W147:AC147"/>
    <mergeCell ref="W148:AC148"/>
    <mergeCell ref="W149:AC149"/>
    <mergeCell ref="W150:AC150"/>
    <mergeCell ref="B156:H156"/>
    <mergeCell ref="B187:H187"/>
    <mergeCell ref="B152:H152"/>
    <mergeCell ref="M152:S152"/>
    <mergeCell ref="B178:H178"/>
    <mergeCell ref="B179:H179"/>
    <mergeCell ref="B180:H180"/>
    <mergeCell ref="B181:H181"/>
    <mergeCell ref="B182:H182"/>
    <mergeCell ref="B183:H183"/>
    <mergeCell ref="B184:H184"/>
    <mergeCell ref="B185:H185"/>
    <mergeCell ref="B153:H153"/>
    <mergeCell ref="B168:H168"/>
    <mergeCell ref="B169:H169"/>
    <mergeCell ref="B170:H170"/>
    <mergeCell ref="B171:H171"/>
    <mergeCell ref="M166:S166"/>
    <mergeCell ref="M167:S167"/>
    <mergeCell ref="M153:S153"/>
    <mergeCell ref="M154:S154"/>
    <mergeCell ref="B165:H165"/>
    <mergeCell ref="B176:H176"/>
    <mergeCell ref="B177:H177"/>
    <mergeCell ref="B157:H157"/>
    <mergeCell ref="B190:H190"/>
    <mergeCell ref="B191:H191"/>
    <mergeCell ref="B192:H192"/>
    <mergeCell ref="B193:H193"/>
    <mergeCell ref="B194:H194"/>
    <mergeCell ref="M180:S180"/>
    <mergeCell ref="M181:S181"/>
    <mergeCell ref="M157:S157"/>
    <mergeCell ref="M158:S158"/>
    <mergeCell ref="M159:S159"/>
    <mergeCell ref="M160:S160"/>
    <mergeCell ref="M161:S161"/>
    <mergeCell ref="M162:S162"/>
    <mergeCell ref="M163:S163"/>
    <mergeCell ref="M164:S164"/>
    <mergeCell ref="M165:S165"/>
    <mergeCell ref="B188:H188"/>
    <mergeCell ref="B189:H189"/>
    <mergeCell ref="B166:H166"/>
    <mergeCell ref="B167:H167"/>
    <mergeCell ref="B172:H172"/>
    <mergeCell ref="B173:H173"/>
    <mergeCell ref="B174:H174"/>
    <mergeCell ref="B175:H175"/>
    <mergeCell ref="B195:H195"/>
    <mergeCell ref="B196:H196"/>
    <mergeCell ref="B197:H197"/>
    <mergeCell ref="M168:S168"/>
    <mergeCell ref="M169:S169"/>
    <mergeCell ref="M170:S170"/>
    <mergeCell ref="M171:S171"/>
    <mergeCell ref="W154:AC154"/>
    <mergeCell ref="W155:AC155"/>
    <mergeCell ref="W156:AC156"/>
    <mergeCell ref="W157:AC157"/>
    <mergeCell ref="W158:AC158"/>
    <mergeCell ref="W159:AC159"/>
    <mergeCell ref="W160:AC160"/>
    <mergeCell ref="W161:AC161"/>
    <mergeCell ref="W162:AC162"/>
    <mergeCell ref="W163:AC163"/>
    <mergeCell ref="W164:AC164"/>
    <mergeCell ref="W165:AC165"/>
    <mergeCell ref="W166:AC166"/>
    <mergeCell ref="W167:AC167"/>
    <mergeCell ref="W168:AC168"/>
    <mergeCell ref="M178:S178"/>
    <mergeCell ref="M179:S179"/>
    <mergeCell ref="AH146:AN146"/>
    <mergeCell ref="AH142:AN142"/>
    <mergeCell ref="AH143:AN143"/>
    <mergeCell ref="AH144:AN144"/>
    <mergeCell ref="AH145:AN145"/>
    <mergeCell ref="AH119:AN119"/>
    <mergeCell ref="AH120:AN120"/>
    <mergeCell ref="AH121:AN121"/>
    <mergeCell ref="AH122:AN122"/>
    <mergeCell ref="AH123:AN123"/>
    <mergeCell ref="AH124:AN124"/>
    <mergeCell ref="AH125:AN125"/>
    <mergeCell ref="AH126:AN126"/>
    <mergeCell ref="AH127:AN127"/>
    <mergeCell ref="M174:S174"/>
    <mergeCell ref="M175:S175"/>
    <mergeCell ref="M176:S176"/>
    <mergeCell ref="M177:S177"/>
    <mergeCell ref="M156:S156"/>
    <mergeCell ref="W169:AC169"/>
    <mergeCell ref="W170:AC170"/>
    <mergeCell ref="W171:AC171"/>
    <mergeCell ref="W172:AC172"/>
    <mergeCell ref="W173:AC173"/>
    <mergeCell ref="W174:AC174"/>
    <mergeCell ref="AH150:AN150"/>
    <mergeCell ref="V151:AE151"/>
    <mergeCell ref="W153:AC153"/>
    <mergeCell ref="M172:S172"/>
    <mergeCell ref="M173:S173"/>
    <mergeCell ref="A101:U101"/>
    <mergeCell ref="V101:AP101"/>
    <mergeCell ref="AH137:AN137"/>
    <mergeCell ref="AH138:AN138"/>
    <mergeCell ref="AH139:AN139"/>
    <mergeCell ref="AH140:AN140"/>
    <mergeCell ref="AH141:AN141"/>
    <mergeCell ref="AH147:AN147"/>
    <mergeCell ref="AH148:AN148"/>
    <mergeCell ref="AH149:AN149"/>
    <mergeCell ref="AH128:AN128"/>
    <mergeCell ref="AH129:AN129"/>
    <mergeCell ref="AH130:AN130"/>
    <mergeCell ref="AH131:AN131"/>
    <mergeCell ref="AH132:AN132"/>
    <mergeCell ref="AH133:AN133"/>
    <mergeCell ref="AH134:AN134"/>
    <mergeCell ref="AH135:AN135"/>
    <mergeCell ref="AH136:AN136"/>
    <mergeCell ref="A27:D27"/>
    <mergeCell ref="AO8:AP8"/>
    <mergeCell ref="V82:AB82"/>
    <mergeCell ref="V83:AB83"/>
    <mergeCell ref="V84:AB84"/>
    <mergeCell ref="V85:AB85"/>
    <mergeCell ref="V86:AB86"/>
    <mergeCell ref="V87:AB87"/>
    <mergeCell ref="V88:AB88"/>
    <mergeCell ref="V74:AB74"/>
    <mergeCell ref="AG72:AM72"/>
    <mergeCell ref="AG73:AM73"/>
    <mergeCell ref="AG74:AM74"/>
    <mergeCell ref="AG75:AM75"/>
    <mergeCell ref="AG76:AM76"/>
    <mergeCell ref="AG77:AM77"/>
    <mergeCell ref="AG78:AM78"/>
    <mergeCell ref="AG79:AM79"/>
    <mergeCell ref="AG52:AM52"/>
    <mergeCell ref="AG53:AM53"/>
    <mergeCell ref="AG54:AM54"/>
    <mergeCell ref="AG55:AM55"/>
    <mergeCell ref="AG56:AM56"/>
    <mergeCell ref="AG57:AM57"/>
    <mergeCell ref="A20:D20"/>
    <mergeCell ref="A21:D21"/>
    <mergeCell ref="A22:D22"/>
    <mergeCell ref="A23:D23"/>
    <mergeCell ref="A24:D24"/>
    <mergeCell ref="A25:D25"/>
    <mergeCell ref="A26:D26"/>
    <mergeCell ref="AI22:AJ22"/>
    <mergeCell ref="AI23:AJ23"/>
    <mergeCell ref="AI24:AJ24"/>
    <mergeCell ref="AI25:AJ25"/>
    <mergeCell ref="AI26:AJ26"/>
    <mergeCell ref="V24:X24"/>
    <mergeCell ref="V25:X25"/>
    <mergeCell ref="V26:X26"/>
    <mergeCell ref="H25:M25"/>
    <mergeCell ref="H26:M26"/>
    <mergeCell ref="N25:O25"/>
    <mergeCell ref="N26:O26"/>
    <mergeCell ref="H21:M21"/>
    <mergeCell ref="AE22:AH22"/>
    <mergeCell ref="AE23:AH23"/>
    <mergeCell ref="AI20:AJ20"/>
    <mergeCell ref="AI21:AJ21"/>
    <mergeCell ref="V71:AB71"/>
    <mergeCell ref="AG96:AM96"/>
    <mergeCell ref="AG58:AM58"/>
    <mergeCell ref="AG59:AM59"/>
    <mergeCell ref="AG60:AM60"/>
    <mergeCell ref="AG61:AM61"/>
    <mergeCell ref="AG62:AM62"/>
    <mergeCell ref="AG63:AM63"/>
    <mergeCell ref="AG64:AM64"/>
    <mergeCell ref="AG65:AM65"/>
    <mergeCell ref="AG66:AM66"/>
    <mergeCell ref="AG67:AM67"/>
    <mergeCell ref="AG68:AM68"/>
    <mergeCell ref="V89:AB89"/>
    <mergeCell ref="V90:AB90"/>
    <mergeCell ref="V94:AB94"/>
    <mergeCell ref="V93:AB93"/>
    <mergeCell ref="V75:AB75"/>
    <mergeCell ref="V76:AB76"/>
    <mergeCell ref="V77:AB77"/>
    <mergeCell ref="V78:AB78"/>
    <mergeCell ref="V79:AB79"/>
    <mergeCell ref="V81:AB81"/>
    <mergeCell ref="V64:AB64"/>
    <mergeCell ref="Z40:AC40"/>
    <mergeCell ref="Z41:AC41"/>
    <mergeCell ref="Z42:AC42"/>
    <mergeCell ref="Z43:AC43"/>
    <mergeCell ref="Z44:AC44"/>
    <mergeCell ref="Z45:AC45"/>
    <mergeCell ref="Z46:AC46"/>
    <mergeCell ref="V43:X43"/>
    <mergeCell ref="AO10:AP10"/>
    <mergeCell ref="AO11:AP11"/>
    <mergeCell ref="AL10:AN10"/>
    <mergeCell ref="AL11:AN11"/>
    <mergeCell ref="AI29:AJ29"/>
    <mergeCell ref="AI30:AJ30"/>
    <mergeCell ref="AI31:AJ31"/>
    <mergeCell ref="AI19:AJ19"/>
    <mergeCell ref="AI27:AJ27"/>
    <mergeCell ref="AL12:AN12"/>
    <mergeCell ref="AO12:AP12"/>
    <mergeCell ref="AL13:AN13"/>
    <mergeCell ref="AO13:AP13"/>
    <mergeCell ref="AJ14:AK14"/>
    <mergeCell ref="AD14:AI14"/>
    <mergeCell ref="AE21:AH21"/>
    <mergeCell ref="V65:AB65"/>
    <mergeCell ref="V66:AB66"/>
    <mergeCell ref="V67:AB67"/>
    <mergeCell ref="V68:AB68"/>
    <mergeCell ref="A6:B6"/>
    <mergeCell ref="A7:B7"/>
    <mergeCell ref="A8:B8"/>
    <mergeCell ref="A9:B9"/>
    <mergeCell ref="A10:B10"/>
    <mergeCell ref="F6:G6"/>
    <mergeCell ref="F7:G7"/>
    <mergeCell ref="F8:G8"/>
    <mergeCell ref="F9:G9"/>
    <mergeCell ref="F10:G10"/>
    <mergeCell ref="K6:L6"/>
    <mergeCell ref="K7:L7"/>
    <mergeCell ref="K8:L8"/>
    <mergeCell ref="K9:L9"/>
    <mergeCell ref="K10:L10"/>
    <mergeCell ref="H32:M32"/>
    <mergeCell ref="H33:M33"/>
    <mergeCell ref="H20:M20"/>
    <mergeCell ref="N20:O20"/>
    <mergeCell ref="P20:S20"/>
    <mergeCell ref="Z19:AC19"/>
    <mergeCell ref="V19:X19"/>
    <mergeCell ref="V27:X27"/>
    <mergeCell ref="H27:M27"/>
    <mergeCell ref="N27:O27"/>
    <mergeCell ref="S15:T15"/>
    <mergeCell ref="AE19:AH19"/>
    <mergeCell ref="AI28:AJ28"/>
    <mergeCell ref="H35:M35"/>
    <mergeCell ref="P22:S22"/>
    <mergeCell ref="P23:S23"/>
    <mergeCell ref="P24:S24"/>
    <mergeCell ref="P25:S25"/>
    <mergeCell ref="P26:S26"/>
    <mergeCell ref="P27:S27"/>
    <mergeCell ref="P28:S28"/>
    <mergeCell ref="T20:U20"/>
    <mergeCell ref="T21:U21"/>
    <mergeCell ref="Z27:AC27"/>
    <mergeCell ref="Z28:AC28"/>
    <mergeCell ref="Z29:AC29"/>
    <mergeCell ref="Z30:AC30"/>
    <mergeCell ref="Z31:AC31"/>
    <mergeCell ref="Z32:AC32"/>
    <mergeCell ref="N34:O34"/>
    <mergeCell ref="N35:O35"/>
    <mergeCell ref="N36:O36"/>
    <mergeCell ref="N37:O37"/>
    <mergeCell ref="H22:M22"/>
    <mergeCell ref="H23:M23"/>
    <mergeCell ref="H24:M24"/>
    <mergeCell ref="H28:M28"/>
    <mergeCell ref="H29:M29"/>
    <mergeCell ref="H30:M30"/>
    <mergeCell ref="H31:M31"/>
    <mergeCell ref="H34:M34"/>
    <mergeCell ref="N31:O31"/>
    <mergeCell ref="N21:O21"/>
    <mergeCell ref="N22:O22"/>
    <mergeCell ref="N23:O23"/>
    <mergeCell ref="N24:O24"/>
    <mergeCell ref="N28:O28"/>
    <mergeCell ref="N29:O29"/>
    <mergeCell ref="N30:O30"/>
    <mergeCell ref="N32:O32"/>
    <mergeCell ref="N33:O33"/>
    <mergeCell ref="V91:AB91"/>
    <mergeCell ref="V92:AB92"/>
    <mergeCell ref="A13:F13"/>
    <mergeCell ref="A14:F14"/>
    <mergeCell ref="A15:F15"/>
    <mergeCell ref="A16:F16"/>
    <mergeCell ref="A17:F17"/>
    <mergeCell ref="A18:F18"/>
    <mergeCell ref="G13:H13"/>
    <mergeCell ref="G14:H14"/>
    <mergeCell ref="G15:H15"/>
    <mergeCell ref="G16:H16"/>
    <mergeCell ref="G17:H17"/>
    <mergeCell ref="G18:H18"/>
    <mergeCell ref="T22:U22"/>
    <mergeCell ref="T23:U23"/>
    <mergeCell ref="T24:U24"/>
    <mergeCell ref="T25:U25"/>
    <mergeCell ref="T26:U26"/>
    <mergeCell ref="T27:U27"/>
    <mergeCell ref="T28:U28"/>
    <mergeCell ref="P21:S21"/>
    <mergeCell ref="H36:M36"/>
    <mergeCell ref="H37:M37"/>
  </mergeCells>
  <conditionalFormatting sqref="AO6:AP6">
    <cfRule type="cellIs" dxfId="0" priority="1" operator="lessThan">
      <formula>0</formula>
    </cfRule>
  </conditionalFormatting>
  <dataValidations count="1">
    <dataValidation type="list" allowBlank="1" showInputMessage="1" showErrorMessage="1" sqref="AD57:AD62 AD52:AD55 AD81:AD100 AI192:AI193 AD75 AD64:AD71 AD78:AD79 AO71:AO98" xr:uid="{00000000-0002-0000-0000-000000000000}">
      <formula1>$AI$192:$AI$193</formula1>
    </dataValidation>
  </dataValidations>
  <pageMargins left="0.45833333333333331" right="0.25" top="0.33653846153846156" bottom="0.75" header="0.3" footer="0.3"/>
  <pageSetup paperSize="9" orientation="portrait" r:id="rId1"/>
  <ignoredErrors>
    <ignoredError sqref="AE67 AP87:AP88 AP96 AP90 AP92 AP94 AP89 AP95 AP93 AP91"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55"/>
  <sheetViews>
    <sheetView zoomScaleNormal="100" workbookViewId="0">
      <pane ySplit="1" topLeftCell="A123" activePane="bottomLeft" state="frozen"/>
      <selection pane="bottomLeft" activeCell="E153" sqref="E153"/>
    </sheetView>
  </sheetViews>
  <sheetFormatPr baseColWidth="10" defaultColWidth="9.140625" defaultRowHeight="15" x14ac:dyDescent="0.25"/>
  <cols>
    <col min="1" max="1" width="14.5703125" style="136" customWidth="1"/>
    <col min="2" max="2" width="56" style="47" bestFit="1" customWidth="1"/>
    <col min="3" max="3" width="22.28515625" style="194" customWidth="1"/>
    <col min="4" max="4" width="22.28515625" style="194" hidden="1" customWidth="1"/>
    <col min="5" max="5" width="22.28515625" style="194" customWidth="1"/>
    <col min="6" max="6" width="139.7109375" style="47" customWidth="1"/>
    <col min="7" max="8" width="9.140625" style="47"/>
    <col min="9" max="9" width="10.7109375" style="47" bestFit="1" customWidth="1"/>
    <col min="10" max="16384" width="9.140625" style="47"/>
  </cols>
  <sheetData>
    <row r="1" spans="1:6" s="192" customFormat="1" x14ac:dyDescent="0.25">
      <c r="A1" s="244" t="s">
        <v>182</v>
      </c>
      <c r="B1" s="242" t="s">
        <v>38</v>
      </c>
      <c r="C1" s="243" t="s">
        <v>1035</v>
      </c>
      <c r="D1" s="243"/>
      <c r="E1" s="243" t="s">
        <v>1036</v>
      </c>
      <c r="F1" s="242" t="s">
        <v>183</v>
      </c>
    </row>
    <row r="2" spans="1:6" s="241" customFormat="1" ht="15.75" x14ac:dyDescent="0.25">
      <c r="A2" s="134" t="s">
        <v>184</v>
      </c>
      <c r="B2" s="236" t="s">
        <v>1005</v>
      </c>
      <c r="C2" s="194">
        <v>2</v>
      </c>
      <c r="D2" s="133">
        <f t="shared" ref="D2:D33" si="0">IF(E2="Ja",C2,0)</f>
        <v>0</v>
      </c>
      <c r="E2" s="133" t="s">
        <v>315</v>
      </c>
      <c r="F2" s="135" t="s">
        <v>1004</v>
      </c>
    </row>
    <row r="3" spans="1:6" s="241" customFormat="1" ht="15.75" x14ac:dyDescent="0.25">
      <c r="A3" s="134" t="s">
        <v>184</v>
      </c>
      <c r="B3" s="236" t="s">
        <v>1003</v>
      </c>
      <c r="C3" s="194">
        <v>2</v>
      </c>
      <c r="D3" s="133">
        <f t="shared" si="0"/>
        <v>0</v>
      </c>
      <c r="E3" s="133" t="s">
        <v>315</v>
      </c>
      <c r="F3" s="135" t="s">
        <v>1002</v>
      </c>
    </row>
    <row r="4" spans="1:6" s="241" customFormat="1" x14ac:dyDescent="0.25">
      <c r="A4" s="134" t="s">
        <v>184</v>
      </c>
      <c r="B4" s="235" t="s">
        <v>1017</v>
      </c>
      <c r="C4" s="402">
        <v>18</v>
      </c>
      <c r="D4" s="133">
        <f t="shared" si="0"/>
        <v>0</v>
      </c>
      <c r="E4" s="133" t="s">
        <v>315</v>
      </c>
      <c r="F4" s="234" t="s">
        <v>1013</v>
      </c>
    </row>
    <row r="5" spans="1:6" x14ac:dyDescent="0.25">
      <c r="A5" s="134" t="s">
        <v>184</v>
      </c>
      <c r="B5" s="235" t="s">
        <v>1018</v>
      </c>
      <c r="C5" s="228">
        <v>18</v>
      </c>
      <c r="D5" s="133">
        <f t="shared" si="0"/>
        <v>0</v>
      </c>
      <c r="E5" s="133" t="s">
        <v>315</v>
      </c>
      <c r="F5" s="234" t="s">
        <v>1013</v>
      </c>
    </row>
    <row r="6" spans="1:6" x14ac:dyDescent="0.25">
      <c r="A6" s="134" t="s">
        <v>184</v>
      </c>
      <c r="B6" s="235" t="s">
        <v>1014</v>
      </c>
      <c r="C6" s="228">
        <v>18</v>
      </c>
      <c r="D6" s="133">
        <f t="shared" si="0"/>
        <v>0</v>
      </c>
      <c r="E6" s="133" t="s">
        <v>315</v>
      </c>
      <c r="F6" s="234" t="s">
        <v>1013</v>
      </c>
    </row>
    <row r="7" spans="1:6" x14ac:dyDescent="0.25">
      <c r="A7" s="134" t="s">
        <v>184</v>
      </c>
      <c r="B7" s="235" t="s">
        <v>1015</v>
      </c>
      <c r="C7" s="228">
        <v>18</v>
      </c>
      <c r="D7" s="133">
        <f t="shared" si="0"/>
        <v>0</v>
      </c>
      <c r="E7" s="133" t="s">
        <v>315</v>
      </c>
      <c r="F7" s="234" t="s">
        <v>1013</v>
      </c>
    </row>
    <row r="8" spans="1:6" x14ac:dyDescent="0.25">
      <c r="A8" s="134" t="s">
        <v>184</v>
      </c>
      <c r="B8" s="235" t="s">
        <v>1016</v>
      </c>
      <c r="C8" s="402">
        <v>18</v>
      </c>
      <c r="D8" s="133">
        <f t="shared" si="0"/>
        <v>0</v>
      </c>
      <c r="E8" s="133" t="s">
        <v>315</v>
      </c>
      <c r="F8" s="234" t="s">
        <v>1013</v>
      </c>
    </row>
    <row r="9" spans="1:6" x14ac:dyDescent="0.25">
      <c r="A9" s="134" t="s">
        <v>184</v>
      </c>
      <c r="B9" s="401" t="s">
        <v>1028</v>
      </c>
      <c r="C9" s="402">
        <v>1</v>
      </c>
      <c r="D9" s="133">
        <f t="shared" si="0"/>
        <v>0</v>
      </c>
      <c r="E9" s="133" t="s">
        <v>315</v>
      </c>
      <c r="F9" s="135" t="s">
        <v>1027</v>
      </c>
    </row>
    <row r="10" spans="1:6" x14ac:dyDescent="0.25">
      <c r="A10" s="134" t="s">
        <v>184</v>
      </c>
      <c r="B10" s="401" t="s">
        <v>1026</v>
      </c>
      <c r="C10" s="402">
        <v>1</v>
      </c>
      <c r="D10" s="133">
        <f t="shared" si="0"/>
        <v>0</v>
      </c>
      <c r="E10" s="133" t="s">
        <v>315</v>
      </c>
      <c r="F10" s="135" t="s">
        <v>1025</v>
      </c>
    </row>
    <row r="11" spans="1:6" x14ac:dyDescent="0.25">
      <c r="A11" s="134" t="s">
        <v>184</v>
      </c>
      <c r="B11" s="401" t="s">
        <v>1024</v>
      </c>
      <c r="C11" s="402">
        <v>1</v>
      </c>
      <c r="D11" s="133">
        <f t="shared" si="0"/>
        <v>0</v>
      </c>
      <c r="E11" s="133" t="s">
        <v>315</v>
      </c>
      <c r="F11" s="135" t="s">
        <v>1023</v>
      </c>
    </row>
    <row r="12" spans="1:6" x14ac:dyDescent="0.25">
      <c r="A12" s="134" t="s">
        <v>184</v>
      </c>
      <c r="B12" s="401" t="s">
        <v>1032</v>
      </c>
      <c r="C12" s="160">
        <v>2</v>
      </c>
      <c r="D12" s="133">
        <f t="shared" si="0"/>
        <v>0</v>
      </c>
      <c r="E12" s="133" t="s">
        <v>315</v>
      </c>
      <c r="F12" s="135" t="s">
        <v>1031</v>
      </c>
    </row>
    <row r="13" spans="1:6" x14ac:dyDescent="0.25">
      <c r="A13" s="134" t="s">
        <v>184</v>
      </c>
      <c r="B13" s="401" t="s">
        <v>1030</v>
      </c>
      <c r="C13" s="402">
        <v>10</v>
      </c>
      <c r="D13" s="133">
        <f t="shared" si="0"/>
        <v>0</v>
      </c>
      <c r="E13" s="133" t="s">
        <v>315</v>
      </c>
      <c r="F13" s="135" t="s">
        <v>1029</v>
      </c>
    </row>
    <row r="14" spans="1:6" x14ac:dyDescent="0.25">
      <c r="A14" s="134" t="s">
        <v>184</v>
      </c>
      <c r="B14" s="235" t="s">
        <v>755</v>
      </c>
      <c r="C14" s="402">
        <v>4</v>
      </c>
      <c r="D14" s="133">
        <f t="shared" si="0"/>
        <v>0</v>
      </c>
      <c r="E14" s="133" t="s">
        <v>315</v>
      </c>
      <c r="F14" s="234" t="s">
        <v>989</v>
      </c>
    </row>
    <row r="15" spans="1:6" ht="15.75" x14ac:dyDescent="0.25">
      <c r="A15" s="134" t="s">
        <v>184</v>
      </c>
      <c r="B15" s="47" t="s">
        <v>994</v>
      </c>
      <c r="C15" s="194">
        <v>6</v>
      </c>
      <c r="D15" s="133">
        <f t="shared" si="0"/>
        <v>0</v>
      </c>
      <c r="E15" s="133" t="s">
        <v>315</v>
      </c>
      <c r="F15" s="236" t="s">
        <v>990</v>
      </c>
    </row>
    <row r="16" spans="1:6" ht="15.75" x14ac:dyDescent="0.25">
      <c r="A16" s="134" t="s">
        <v>184</v>
      </c>
      <c r="B16" s="47" t="s">
        <v>1000</v>
      </c>
      <c r="C16" s="194">
        <v>6</v>
      </c>
      <c r="D16" s="133">
        <f t="shared" si="0"/>
        <v>0</v>
      </c>
      <c r="E16" s="133" t="s">
        <v>315</v>
      </c>
      <c r="F16" s="236" t="s">
        <v>990</v>
      </c>
    </row>
    <row r="17" spans="1:6" ht="15.75" x14ac:dyDescent="0.25">
      <c r="A17" s="134" t="s">
        <v>184</v>
      </c>
      <c r="B17" s="47" t="s">
        <v>991</v>
      </c>
      <c r="C17" s="240">
        <v>6</v>
      </c>
      <c r="D17" s="133">
        <f t="shared" si="0"/>
        <v>0</v>
      </c>
      <c r="E17" s="133" t="s">
        <v>315</v>
      </c>
      <c r="F17" s="236" t="s">
        <v>990</v>
      </c>
    </row>
    <row r="18" spans="1:6" ht="15.75" x14ac:dyDescent="0.25">
      <c r="A18" s="134" t="s">
        <v>184</v>
      </c>
      <c r="B18" s="47" t="s">
        <v>998</v>
      </c>
      <c r="C18" s="240">
        <v>6</v>
      </c>
      <c r="D18" s="133">
        <f t="shared" si="0"/>
        <v>0</v>
      </c>
      <c r="E18" s="133" t="s">
        <v>315</v>
      </c>
      <c r="F18" s="236" t="s">
        <v>990</v>
      </c>
    </row>
    <row r="19" spans="1:6" ht="15.75" x14ac:dyDescent="0.25">
      <c r="A19" s="134" t="s">
        <v>184</v>
      </c>
      <c r="B19" s="47" t="s">
        <v>992</v>
      </c>
      <c r="C19" s="240">
        <v>6</v>
      </c>
      <c r="D19" s="133">
        <f t="shared" si="0"/>
        <v>0</v>
      </c>
      <c r="E19" s="133" t="s">
        <v>315</v>
      </c>
      <c r="F19" s="236" t="s">
        <v>990</v>
      </c>
    </row>
    <row r="20" spans="1:6" ht="15.75" x14ac:dyDescent="0.25">
      <c r="A20" s="134" t="s">
        <v>184</v>
      </c>
      <c r="B20" s="47" t="s">
        <v>999</v>
      </c>
      <c r="C20" s="194">
        <v>6</v>
      </c>
      <c r="D20" s="133">
        <f t="shared" si="0"/>
        <v>0</v>
      </c>
      <c r="E20" s="133" t="s">
        <v>315</v>
      </c>
      <c r="F20" s="236" t="s">
        <v>990</v>
      </c>
    </row>
    <row r="21" spans="1:6" ht="15.75" x14ac:dyDescent="0.25">
      <c r="A21" s="134" t="s">
        <v>184</v>
      </c>
      <c r="B21" s="47" t="s">
        <v>996</v>
      </c>
      <c r="C21" s="194">
        <v>6</v>
      </c>
      <c r="D21" s="133">
        <f t="shared" si="0"/>
        <v>0</v>
      </c>
      <c r="E21" s="133" t="s">
        <v>315</v>
      </c>
      <c r="F21" s="236" t="s">
        <v>990</v>
      </c>
    </row>
    <row r="22" spans="1:6" ht="15.75" x14ac:dyDescent="0.25">
      <c r="A22" s="134" t="s">
        <v>184</v>
      </c>
      <c r="B22" s="47" t="s">
        <v>995</v>
      </c>
      <c r="C22" s="194">
        <v>6</v>
      </c>
      <c r="D22" s="133">
        <f t="shared" si="0"/>
        <v>0</v>
      </c>
      <c r="E22" s="133" t="s">
        <v>315</v>
      </c>
      <c r="F22" s="236" t="s">
        <v>990</v>
      </c>
    </row>
    <row r="23" spans="1:6" ht="15.75" x14ac:dyDescent="0.25">
      <c r="A23" s="134" t="s">
        <v>184</v>
      </c>
      <c r="B23" s="47" t="s">
        <v>993</v>
      </c>
      <c r="C23" s="194">
        <v>6</v>
      </c>
      <c r="D23" s="133">
        <f t="shared" si="0"/>
        <v>0</v>
      </c>
      <c r="E23" s="133" t="s">
        <v>315</v>
      </c>
      <c r="F23" s="236" t="s">
        <v>990</v>
      </c>
    </row>
    <row r="24" spans="1:6" ht="15.75" x14ac:dyDescent="0.25">
      <c r="A24" s="134" t="s">
        <v>184</v>
      </c>
      <c r="B24" s="47" t="s">
        <v>997</v>
      </c>
      <c r="C24" s="194">
        <v>6</v>
      </c>
      <c r="D24" s="133">
        <f t="shared" si="0"/>
        <v>0</v>
      </c>
      <c r="E24" s="133" t="s">
        <v>315</v>
      </c>
      <c r="F24" s="236" t="s">
        <v>990</v>
      </c>
    </row>
    <row r="25" spans="1:6" x14ac:dyDescent="0.25">
      <c r="A25" s="134" t="s">
        <v>184</v>
      </c>
      <c r="B25" s="401" t="s">
        <v>1011</v>
      </c>
      <c r="C25" s="402">
        <v>1</v>
      </c>
      <c r="D25" s="133">
        <f t="shared" si="0"/>
        <v>0</v>
      </c>
      <c r="E25" s="133" t="s">
        <v>315</v>
      </c>
      <c r="F25" s="135" t="s">
        <v>1010</v>
      </c>
    </row>
    <row r="26" spans="1:6" x14ac:dyDescent="0.25">
      <c r="A26" s="134" t="s">
        <v>184</v>
      </c>
      <c r="B26" s="401" t="s">
        <v>1009</v>
      </c>
      <c r="C26" s="402">
        <v>1</v>
      </c>
      <c r="D26" s="133">
        <f t="shared" si="0"/>
        <v>0</v>
      </c>
      <c r="E26" s="133" t="s">
        <v>315</v>
      </c>
      <c r="F26" s="135" t="s">
        <v>1008</v>
      </c>
    </row>
    <row r="27" spans="1:6" x14ac:dyDescent="0.25">
      <c r="A27" s="134" t="s">
        <v>184</v>
      </c>
      <c r="B27" s="401" t="s">
        <v>1007</v>
      </c>
      <c r="C27" s="402">
        <v>1</v>
      </c>
      <c r="D27" s="133">
        <f t="shared" si="0"/>
        <v>0</v>
      </c>
      <c r="E27" s="133" t="s">
        <v>315</v>
      </c>
      <c r="F27" s="135" t="s">
        <v>1006</v>
      </c>
    </row>
    <row r="28" spans="1:6" ht="15.75" x14ac:dyDescent="0.25">
      <c r="A28" s="134" t="s">
        <v>184</v>
      </c>
      <c r="B28" s="237" t="s">
        <v>608</v>
      </c>
      <c r="C28" s="194">
        <v>2</v>
      </c>
      <c r="D28" s="133">
        <f t="shared" si="0"/>
        <v>0</v>
      </c>
      <c r="E28" s="133" t="s">
        <v>315</v>
      </c>
      <c r="F28" s="135" t="s">
        <v>1001</v>
      </c>
    </row>
    <row r="29" spans="1:6" ht="15.75" x14ac:dyDescent="0.25">
      <c r="A29" s="134" t="s">
        <v>184</v>
      </c>
      <c r="B29" s="192" t="s">
        <v>1022</v>
      </c>
      <c r="C29" s="402">
        <v>4</v>
      </c>
      <c r="D29" s="133">
        <f t="shared" si="0"/>
        <v>0</v>
      </c>
      <c r="E29" s="133" t="s">
        <v>315</v>
      </c>
      <c r="F29" s="135" t="s">
        <v>187</v>
      </c>
    </row>
    <row r="30" spans="1:6" ht="15.75" x14ac:dyDescent="0.25">
      <c r="A30" s="134" t="s">
        <v>184</v>
      </c>
      <c r="B30" s="192" t="s">
        <v>1021</v>
      </c>
      <c r="C30" s="402">
        <v>6</v>
      </c>
      <c r="D30" s="133">
        <f t="shared" si="0"/>
        <v>0</v>
      </c>
      <c r="E30" s="133" t="s">
        <v>315</v>
      </c>
      <c r="F30" s="135" t="s">
        <v>188</v>
      </c>
    </row>
    <row r="31" spans="1:6" ht="15.75" x14ac:dyDescent="0.25">
      <c r="A31" s="134" t="s">
        <v>184</v>
      </c>
      <c r="B31" s="192" t="s">
        <v>1020</v>
      </c>
      <c r="C31" s="402">
        <v>8</v>
      </c>
      <c r="D31" s="133">
        <f t="shared" si="0"/>
        <v>0</v>
      </c>
      <c r="E31" s="133" t="s">
        <v>315</v>
      </c>
      <c r="F31" s="135" t="s">
        <v>189</v>
      </c>
    </row>
    <row r="32" spans="1:6" ht="15.75" x14ac:dyDescent="0.25">
      <c r="A32" s="134" t="s">
        <v>184</v>
      </c>
      <c r="B32" s="192" t="s">
        <v>1019</v>
      </c>
      <c r="C32" s="402">
        <v>10</v>
      </c>
      <c r="D32" s="133">
        <f t="shared" si="0"/>
        <v>0</v>
      </c>
      <c r="E32" s="133" t="s">
        <v>315</v>
      </c>
      <c r="F32" s="135" t="s">
        <v>190</v>
      </c>
    </row>
    <row r="33" spans="1:9" x14ac:dyDescent="0.25">
      <c r="A33" s="134" t="s">
        <v>184</v>
      </c>
      <c r="B33" s="401" t="s">
        <v>191</v>
      </c>
      <c r="C33" s="402">
        <v>36</v>
      </c>
      <c r="D33" s="133">
        <f t="shared" si="0"/>
        <v>0</v>
      </c>
      <c r="E33" s="133" t="s">
        <v>315</v>
      </c>
      <c r="F33" s="135" t="s">
        <v>1012</v>
      </c>
    </row>
    <row r="34" spans="1:9" x14ac:dyDescent="0.25">
      <c r="A34" s="132" t="s">
        <v>184</v>
      </c>
      <c r="B34" s="189" t="s">
        <v>1034</v>
      </c>
      <c r="C34" s="133">
        <v>5</v>
      </c>
      <c r="D34" s="133">
        <f t="shared" ref="D34:D65" si="1">IF(E34="Ja",C34,0)</f>
        <v>0</v>
      </c>
      <c r="E34" s="133" t="s">
        <v>315</v>
      </c>
      <c r="F34" s="190" t="s">
        <v>185</v>
      </c>
    </row>
    <row r="35" spans="1:9" x14ac:dyDescent="0.25">
      <c r="A35" s="132" t="s">
        <v>184</v>
      </c>
      <c r="B35" s="189" t="s">
        <v>1033</v>
      </c>
      <c r="C35" s="133">
        <v>5</v>
      </c>
      <c r="D35" s="133">
        <f t="shared" si="1"/>
        <v>0</v>
      </c>
      <c r="E35" s="133" t="s">
        <v>315</v>
      </c>
      <c r="F35" s="190" t="s">
        <v>186</v>
      </c>
    </row>
    <row r="36" spans="1:9" x14ac:dyDescent="0.25">
      <c r="A36" s="136" t="s">
        <v>192</v>
      </c>
      <c r="B36" s="401" t="s">
        <v>988</v>
      </c>
      <c r="C36" s="402">
        <v>30</v>
      </c>
      <c r="D36" s="133">
        <f t="shared" si="1"/>
        <v>0</v>
      </c>
      <c r="E36" s="133" t="s">
        <v>815</v>
      </c>
      <c r="F36" s="135" t="s">
        <v>193</v>
      </c>
      <c r="I36" s="238"/>
    </row>
    <row r="37" spans="1:9" x14ac:dyDescent="0.25">
      <c r="A37" s="136" t="s">
        <v>192</v>
      </c>
      <c r="B37" s="401" t="s">
        <v>987</v>
      </c>
      <c r="C37" s="402">
        <v>40</v>
      </c>
      <c r="D37" s="133">
        <f t="shared" si="1"/>
        <v>0</v>
      </c>
      <c r="E37" s="133" t="s">
        <v>315</v>
      </c>
      <c r="F37" s="135" t="s">
        <v>194</v>
      </c>
      <c r="I37" s="238"/>
    </row>
    <row r="38" spans="1:9" x14ac:dyDescent="0.25">
      <c r="A38" s="134" t="s">
        <v>192</v>
      </c>
      <c r="B38" s="192" t="s">
        <v>986</v>
      </c>
      <c r="C38" s="194">
        <v>2</v>
      </c>
      <c r="D38" s="133">
        <f t="shared" si="1"/>
        <v>0</v>
      </c>
      <c r="E38" s="133" t="s">
        <v>315</v>
      </c>
      <c r="F38" s="135" t="s">
        <v>195</v>
      </c>
    </row>
    <row r="39" spans="1:9" x14ac:dyDescent="0.25">
      <c r="A39" s="134" t="s">
        <v>192</v>
      </c>
      <c r="B39" s="192" t="s">
        <v>985</v>
      </c>
      <c r="C39" s="402">
        <v>2</v>
      </c>
      <c r="D39" s="133">
        <f t="shared" si="1"/>
        <v>0</v>
      </c>
      <c r="E39" s="133" t="s">
        <v>315</v>
      </c>
      <c r="F39" s="135" t="s">
        <v>984</v>
      </c>
    </row>
    <row r="40" spans="1:9" x14ac:dyDescent="0.25">
      <c r="A40" s="134" t="s">
        <v>192</v>
      </c>
      <c r="B40" s="192" t="s">
        <v>983</v>
      </c>
      <c r="C40" s="402">
        <v>4</v>
      </c>
      <c r="D40" s="133">
        <f t="shared" si="1"/>
        <v>0</v>
      </c>
      <c r="E40" s="133" t="s">
        <v>315</v>
      </c>
      <c r="F40" s="135" t="s">
        <v>982</v>
      </c>
    </row>
    <row r="41" spans="1:9" x14ac:dyDescent="0.25">
      <c r="A41" s="134" t="s">
        <v>192</v>
      </c>
      <c r="B41" s="192" t="s">
        <v>981</v>
      </c>
      <c r="C41" s="402">
        <v>1</v>
      </c>
      <c r="D41" s="133">
        <f t="shared" si="1"/>
        <v>0</v>
      </c>
      <c r="E41" s="133" t="s">
        <v>315</v>
      </c>
      <c r="F41" s="135" t="s">
        <v>980</v>
      </c>
    </row>
    <row r="42" spans="1:9" x14ac:dyDescent="0.25">
      <c r="A42" s="136" t="s">
        <v>192</v>
      </c>
      <c r="B42" s="401" t="s">
        <v>196</v>
      </c>
      <c r="C42" s="402">
        <v>20</v>
      </c>
      <c r="D42" s="133">
        <f t="shared" si="1"/>
        <v>0</v>
      </c>
      <c r="E42" s="133" t="s">
        <v>315</v>
      </c>
      <c r="F42" s="135" t="s">
        <v>197</v>
      </c>
      <c r="I42" s="238"/>
    </row>
    <row r="43" spans="1:9" x14ac:dyDescent="0.25">
      <c r="A43" s="136" t="s">
        <v>198</v>
      </c>
      <c r="B43" s="401" t="s">
        <v>199</v>
      </c>
      <c r="C43" s="402">
        <v>40</v>
      </c>
      <c r="D43" s="133">
        <f t="shared" si="1"/>
        <v>0</v>
      </c>
      <c r="E43" s="133" t="s">
        <v>315</v>
      </c>
      <c r="F43" s="193" t="s">
        <v>200</v>
      </c>
    </row>
    <row r="44" spans="1:9" x14ac:dyDescent="0.25">
      <c r="A44" s="136" t="s">
        <v>198</v>
      </c>
      <c r="B44" s="401" t="s">
        <v>201</v>
      </c>
      <c r="C44" s="402">
        <v>30</v>
      </c>
      <c r="D44" s="133">
        <f t="shared" si="1"/>
        <v>0</v>
      </c>
      <c r="E44" s="133" t="s">
        <v>315</v>
      </c>
      <c r="F44" s="135" t="s">
        <v>202</v>
      </c>
    </row>
    <row r="45" spans="1:9" x14ac:dyDescent="0.25">
      <c r="A45" s="136" t="s">
        <v>198</v>
      </c>
      <c r="B45" s="401" t="s">
        <v>978</v>
      </c>
      <c r="C45" s="402">
        <v>28</v>
      </c>
      <c r="D45" s="133">
        <f t="shared" si="1"/>
        <v>28</v>
      </c>
      <c r="E45" s="133" t="s">
        <v>1190</v>
      </c>
      <c r="F45" s="135" t="s">
        <v>977</v>
      </c>
    </row>
    <row r="46" spans="1:9" x14ac:dyDescent="0.25">
      <c r="A46" s="136" t="s">
        <v>198</v>
      </c>
      <c r="B46" s="401" t="s">
        <v>976</v>
      </c>
      <c r="C46" s="402">
        <v>8</v>
      </c>
      <c r="D46" s="133">
        <f t="shared" si="1"/>
        <v>8</v>
      </c>
      <c r="E46" s="133" t="s">
        <v>1190</v>
      </c>
      <c r="F46" s="239" t="s">
        <v>975</v>
      </c>
    </row>
    <row r="47" spans="1:9" x14ac:dyDescent="0.25">
      <c r="A47" s="136" t="s">
        <v>198</v>
      </c>
      <c r="B47" s="401" t="s">
        <v>974</v>
      </c>
      <c r="C47" s="228">
        <v>12</v>
      </c>
      <c r="D47" s="133">
        <f t="shared" si="1"/>
        <v>12</v>
      </c>
      <c r="E47" s="133" t="s">
        <v>1190</v>
      </c>
      <c r="F47" s="239" t="s">
        <v>973</v>
      </c>
    </row>
    <row r="48" spans="1:9" x14ac:dyDescent="0.25">
      <c r="A48" s="136" t="s">
        <v>198</v>
      </c>
      <c r="B48" s="401" t="s">
        <v>972</v>
      </c>
      <c r="C48" s="402">
        <v>16</v>
      </c>
      <c r="D48" s="133">
        <f t="shared" si="1"/>
        <v>16</v>
      </c>
      <c r="E48" s="133" t="s">
        <v>1190</v>
      </c>
      <c r="F48" s="239" t="s">
        <v>971</v>
      </c>
    </row>
    <row r="49" spans="1:12" ht="15.75" x14ac:dyDescent="0.25">
      <c r="A49" s="136" t="s">
        <v>198</v>
      </c>
      <c r="B49" s="401" t="s">
        <v>946</v>
      </c>
      <c r="C49" s="228">
        <v>2</v>
      </c>
      <c r="D49" s="133">
        <f t="shared" si="1"/>
        <v>0</v>
      </c>
      <c r="E49" s="133" t="s">
        <v>315</v>
      </c>
      <c r="F49" s="236" t="s">
        <v>944</v>
      </c>
    </row>
    <row r="50" spans="1:12" ht="15.75" x14ac:dyDescent="0.25">
      <c r="A50" s="136" t="s">
        <v>198</v>
      </c>
      <c r="B50" s="401" t="s">
        <v>948</v>
      </c>
      <c r="C50" s="228">
        <v>2</v>
      </c>
      <c r="D50" s="133">
        <f t="shared" si="1"/>
        <v>0</v>
      </c>
      <c r="E50" s="133" t="s">
        <v>315</v>
      </c>
      <c r="F50" s="236" t="s">
        <v>944</v>
      </c>
    </row>
    <row r="51" spans="1:12" ht="15.75" x14ac:dyDescent="0.25">
      <c r="A51" s="136" t="s">
        <v>198</v>
      </c>
      <c r="B51" s="401" t="s">
        <v>949</v>
      </c>
      <c r="C51" s="228">
        <v>2</v>
      </c>
      <c r="D51" s="133">
        <f t="shared" si="1"/>
        <v>0</v>
      </c>
      <c r="E51" s="133" t="s">
        <v>315</v>
      </c>
      <c r="F51" s="236" t="s">
        <v>944</v>
      </c>
    </row>
    <row r="52" spans="1:12" ht="15.75" x14ac:dyDescent="0.25">
      <c r="A52" s="136" t="s">
        <v>198</v>
      </c>
      <c r="B52" s="401" t="s">
        <v>945</v>
      </c>
      <c r="C52" s="228">
        <v>2</v>
      </c>
      <c r="D52" s="133">
        <f t="shared" si="1"/>
        <v>0</v>
      </c>
      <c r="E52" s="133" t="s">
        <v>315</v>
      </c>
      <c r="F52" s="236" t="s">
        <v>944</v>
      </c>
      <c r="G52" s="233"/>
      <c r="H52" s="233"/>
      <c r="I52" s="233"/>
      <c r="J52" s="233"/>
      <c r="K52" s="233"/>
      <c r="L52" s="233"/>
    </row>
    <row r="53" spans="1:12" ht="15.75" x14ac:dyDescent="0.25">
      <c r="A53" s="136" t="s">
        <v>198</v>
      </c>
      <c r="B53" s="401" t="s">
        <v>947</v>
      </c>
      <c r="C53" s="228">
        <v>2</v>
      </c>
      <c r="D53" s="133">
        <f t="shared" si="1"/>
        <v>0</v>
      </c>
      <c r="E53" s="133" t="s">
        <v>815</v>
      </c>
      <c r="F53" s="236" t="s">
        <v>944</v>
      </c>
      <c r="G53" s="233"/>
      <c r="H53" s="233"/>
      <c r="I53" s="233"/>
      <c r="J53" s="233"/>
      <c r="K53" s="233"/>
      <c r="L53" s="233"/>
    </row>
    <row r="54" spans="1:12" ht="15.75" x14ac:dyDescent="0.25">
      <c r="A54" s="136" t="s">
        <v>198</v>
      </c>
      <c r="B54" s="401" t="s">
        <v>950</v>
      </c>
      <c r="C54" s="402">
        <v>2</v>
      </c>
      <c r="D54" s="133">
        <f t="shared" si="1"/>
        <v>0</v>
      </c>
      <c r="E54" s="133" t="s">
        <v>315</v>
      </c>
      <c r="F54" s="236" t="s">
        <v>944</v>
      </c>
      <c r="G54" s="233"/>
      <c r="H54" s="233"/>
      <c r="I54" s="233"/>
      <c r="J54" s="233"/>
      <c r="K54" s="233"/>
      <c r="L54" s="233"/>
    </row>
    <row r="55" spans="1:12" ht="15.75" x14ac:dyDescent="0.25">
      <c r="A55" s="136" t="s">
        <v>198</v>
      </c>
      <c r="B55" s="227" t="s">
        <v>951</v>
      </c>
      <c r="C55" s="228">
        <v>2</v>
      </c>
      <c r="D55" s="133">
        <f t="shared" si="1"/>
        <v>0</v>
      </c>
      <c r="E55" s="133" t="s">
        <v>315</v>
      </c>
      <c r="F55" s="236" t="s">
        <v>944</v>
      </c>
    </row>
    <row r="56" spans="1:12" x14ac:dyDescent="0.25">
      <c r="A56" s="136" t="s">
        <v>198</v>
      </c>
      <c r="B56" s="227" t="s">
        <v>699</v>
      </c>
      <c r="C56" s="228">
        <v>60</v>
      </c>
      <c r="D56" s="133">
        <f t="shared" si="1"/>
        <v>0</v>
      </c>
      <c r="E56" s="133" t="s">
        <v>315</v>
      </c>
      <c r="F56" s="135" t="s">
        <v>979</v>
      </c>
    </row>
    <row r="57" spans="1:12" x14ac:dyDescent="0.25">
      <c r="A57" s="136" t="s">
        <v>198</v>
      </c>
      <c r="B57" s="227" t="s">
        <v>203</v>
      </c>
      <c r="C57" s="228">
        <v>34</v>
      </c>
      <c r="D57" s="133">
        <f t="shared" si="1"/>
        <v>0</v>
      </c>
      <c r="E57" s="133" t="s">
        <v>315</v>
      </c>
      <c r="F57" s="135" t="s">
        <v>204</v>
      </c>
      <c r="I57" s="238"/>
    </row>
    <row r="58" spans="1:12" x14ac:dyDescent="0.25">
      <c r="A58" s="136" t="s">
        <v>198</v>
      </c>
      <c r="B58" s="401" t="s">
        <v>970</v>
      </c>
      <c r="C58" s="228">
        <v>2</v>
      </c>
      <c r="D58" s="133">
        <f t="shared" si="1"/>
        <v>2</v>
      </c>
      <c r="E58" s="133" t="s">
        <v>1190</v>
      </c>
      <c r="F58" s="135" t="s">
        <v>205</v>
      </c>
      <c r="I58" s="238"/>
    </row>
    <row r="59" spans="1:12" x14ac:dyDescent="0.25">
      <c r="A59" s="136" t="s">
        <v>198</v>
      </c>
      <c r="B59" s="401" t="s">
        <v>969</v>
      </c>
      <c r="C59" s="228">
        <v>2</v>
      </c>
      <c r="D59" s="133">
        <f t="shared" si="1"/>
        <v>2</v>
      </c>
      <c r="E59" s="133" t="s">
        <v>1190</v>
      </c>
      <c r="F59" s="135" t="s">
        <v>206</v>
      </c>
      <c r="I59" s="238"/>
    </row>
    <row r="60" spans="1:12" x14ac:dyDescent="0.25">
      <c r="A60" s="136" t="s">
        <v>198</v>
      </c>
      <c r="B60" s="227" t="s">
        <v>968</v>
      </c>
      <c r="C60" s="228">
        <v>2</v>
      </c>
      <c r="D60" s="133">
        <f t="shared" si="1"/>
        <v>2</v>
      </c>
      <c r="E60" s="133" t="s">
        <v>1190</v>
      </c>
      <c r="F60" s="135" t="s">
        <v>207</v>
      </c>
      <c r="I60" s="238"/>
    </row>
    <row r="61" spans="1:12" x14ac:dyDescent="0.25">
      <c r="A61" s="136" t="s">
        <v>198</v>
      </c>
      <c r="B61" s="401" t="s">
        <v>967</v>
      </c>
      <c r="C61" s="160">
        <v>2</v>
      </c>
      <c r="D61" s="133">
        <f t="shared" si="1"/>
        <v>0</v>
      </c>
      <c r="E61" s="133" t="s">
        <v>315</v>
      </c>
      <c r="F61" s="135" t="s">
        <v>966</v>
      </c>
    </row>
    <row r="62" spans="1:12" x14ac:dyDescent="0.25">
      <c r="A62" s="136" t="s">
        <v>198</v>
      </c>
      <c r="B62" s="401" t="s">
        <v>965</v>
      </c>
      <c r="C62" s="402">
        <v>14</v>
      </c>
      <c r="D62" s="133">
        <f t="shared" si="1"/>
        <v>0</v>
      </c>
      <c r="E62" s="133" t="s">
        <v>315</v>
      </c>
      <c r="F62" s="135" t="s">
        <v>964</v>
      </c>
    </row>
    <row r="63" spans="1:12" x14ac:dyDescent="0.25">
      <c r="A63" s="136" t="s">
        <v>198</v>
      </c>
      <c r="B63" s="401" t="s">
        <v>963</v>
      </c>
      <c r="C63" s="228">
        <v>16</v>
      </c>
      <c r="D63" s="133">
        <f t="shared" si="1"/>
        <v>0</v>
      </c>
      <c r="E63" s="133" t="s">
        <v>315</v>
      </c>
      <c r="F63" s="135" t="s">
        <v>962</v>
      </c>
    </row>
    <row r="64" spans="1:12" x14ac:dyDescent="0.25">
      <c r="A64" s="136" t="s">
        <v>198</v>
      </c>
      <c r="B64" s="401" t="s">
        <v>208</v>
      </c>
      <c r="C64" s="228">
        <v>12</v>
      </c>
      <c r="D64" s="133">
        <f t="shared" si="1"/>
        <v>0</v>
      </c>
      <c r="E64" s="133" t="s">
        <v>315</v>
      </c>
      <c r="F64" s="130" t="s">
        <v>209</v>
      </c>
      <c r="G64" s="233"/>
      <c r="H64" s="233"/>
      <c r="I64" s="233"/>
      <c r="J64" s="233"/>
      <c r="K64" s="233"/>
      <c r="L64" s="233"/>
    </row>
    <row r="65" spans="1:12" x14ac:dyDescent="0.25">
      <c r="A65" s="136" t="s">
        <v>198</v>
      </c>
      <c r="B65" s="401" t="s">
        <v>210</v>
      </c>
      <c r="C65" s="402">
        <v>12</v>
      </c>
      <c r="D65" s="133">
        <f t="shared" si="1"/>
        <v>0</v>
      </c>
      <c r="E65" s="133" t="s">
        <v>315</v>
      </c>
      <c r="F65" s="130" t="s">
        <v>209</v>
      </c>
      <c r="G65" s="233"/>
      <c r="H65" s="233"/>
      <c r="I65" s="233"/>
      <c r="J65" s="233"/>
      <c r="K65" s="233"/>
      <c r="L65" s="233"/>
    </row>
    <row r="66" spans="1:12" x14ac:dyDescent="0.25">
      <c r="A66" s="136" t="s">
        <v>198</v>
      </c>
      <c r="B66" s="401" t="s">
        <v>212</v>
      </c>
      <c r="C66" s="402">
        <v>12</v>
      </c>
      <c r="D66" s="133">
        <f t="shared" ref="D66:D97" si="2">IF(E66="Ja",C66,0)</f>
        <v>0</v>
      </c>
      <c r="E66" s="133" t="s">
        <v>315</v>
      </c>
      <c r="F66" s="130" t="s">
        <v>209</v>
      </c>
      <c r="G66" s="233"/>
      <c r="H66" s="233"/>
      <c r="I66" s="233"/>
      <c r="J66" s="233"/>
      <c r="K66" s="233"/>
      <c r="L66" s="233"/>
    </row>
    <row r="67" spans="1:12" x14ac:dyDescent="0.25">
      <c r="A67" s="136" t="s">
        <v>198</v>
      </c>
      <c r="B67" s="401" t="s">
        <v>211</v>
      </c>
      <c r="C67" s="402">
        <v>12</v>
      </c>
      <c r="D67" s="133">
        <f t="shared" si="2"/>
        <v>0</v>
      </c>
      <c r="E67" s="133" t="s">
        <v>315</v>
      </c>
      <c r="F67" s="130" t="s">
        <v>209</v>
      </c>
    </row>
    <row r="68" spans="1:12" x14ac:dyDescent="0.25">
      <c r="A68" s="134" t="s">
        <v>198</v>
      </c>
      <c r="B68" s="135" t="s">
        <v>961</v>
      </c>
      <c r="C68" s="402">
        <v>2</v>
      </c>
      <c r="D68" s="133">
        <f t="shared" si="2"/>
        <v>0</v>
      </c>
      <c r="E68" s="133" t="s">
        <v>315</v>
      </c>
      <c r="F68" s="135" t="s">
        <v>213</v>
      </c>
    </row>
    <row r="69" spans="1:12" x14ac:dyDescent="0.25">
      <c r="A69" s="134" t="s">
        <v>198</v>
      </c>
      <c r="B69" s="135" t="s">
        <v>960</v>
      </c>
      <c r="C69" s="402">
        <v>3</v>
      </c>
      <c r="D69" s="133">
        <f t="shared" si="2"/>
        <v>0</v>
      </c>
      <c r="E69" s="133" t="s">
        <v>315</v>
      </c>
      <c r="F69" s="135" t="s">
        <v>214</v>
      </c>
    </row>
    <row r="70" spans="1:12" x14ac:dyDescent="0.25">
      <c r="A70" s="134" t="s">
        <v>198</v>
      </c>
      <c r="B70" s="135" t="s">
        <v>959</v>
      </c>
      <c r="C70" s="402">
        <v>4</v>
      </c>
      <c r="D70" s="133">
        <f t="shared" si="2"/>
        <v>0</v>
      </c>
      <c r="E70" s="133" t="s">
        <v>315</v>
      </c>
      <c r="F70" s="135" t="s">
        <v>958</v>
      </c>
    </row>
    <row r="71" spans="1:12" ht="15.75" x14ac:dyDescent="0.25">
      <c r="A71" s="136" t="s">
        <v>198</v>
      </c>
      <c r="B71" s="401" t="s">
        <v>957</v>
      </c>
      <c r="C71" s="402">
        <v>2</v>
      </c>
      <c r="D71" s="133">
        <f t="shared" si="2"/>
        <v>0</v>
      </c>
      <c r="E71" s="133" t="s">
        <v>315</v>
      </c>
      <c r="F71" s="135" t="s">
        <v>215</v>
      </c>
      <c r="G71" s="227"/>
    </row>
    <row r="72" spans="1:12" ht="15.75" x14ac:dyDescent="0.25">
      <c r="A72" s="136" t="s">
        <v>198</v>
      </c>
      <c r="B72" s="401" t="s">
        <v>956</v>
      </c>
      <c r="C72" s="402">
        <v>2</v>
      </c>
      <c r="D72" s="133">
        <f t="shared" si="2"/>
        <v>0</v>
      </c>
      <c r="E72" s="133" t="s">
        <v>315</v>
      </c>
      <c r="F72" s="135" t="s">
        <v>216</v>
      </c>
      <c r="G72" s="227"/>
    </row>
    <row r="73" spans="1:12" ht="15.75" x14ac:dyDescent="0.25">
      <c r="A73" s="136" t="s">
        <v>198</v>
      </c>
      <c r="B73" s="401" t="s">
        <v>955</v>
      </c>
      <c r="C73" s="402">
        <v>2</v>
      </c>
      <c r="D73" s="133">
        <f t="shared" si="2"/>
        <v>0</v>
      </c>
      <c r="E73" s="133" t="s">
        <v>315</v>
      </c>
      <c r="F73" s="135" t="s">
        <v>217</v>
      </c>
      <c r="G73" s="227"/>
    </row>
    <row r="74" spans="1:12" x14ac:dyDescent="0.25">
      <c r="A74" s="136" t="s">
        <v>198</v>
      </c>
      <c r="B74" s="401" t="s">
        <v>218</v>
      </c>
      <c r="C74" s="402">
        <v>20</v>
      </c>
      <c r="D74" s="133">
        <f t="shared" si="2"/>
        <v>20</v>
      </c>
      <c r="E74" s="133" t="s">
        <v>1190</v>
      </c>
      <c r="F74" s="195" t="s">
        <v>219</v>
      </c>
      <c r="G74" s="227"/>
    </row>
    <row r="75" spans="1:12" x14ac:dyDescent="0.25">
      <c r="A75" s="136" t="s">
        <v>198</v>
      </c>
      <c r="B75" s="401" t="s">
        <v>954</v>
      </c>
      <c r="C75" s="402">
        <v>16</v>
      </c>
      <c r="D75" s="133">
        <f t="shared" si="2"/>
        <v>16</v>
      </c>
      <c r="E75" s="133" t="s">
        <v>1190</v>
      </c>
      <c r="F75" s="135" t="s">
        <v>220</v>
      </c>
      <c r="G75" s="227"/>
    </row>
    <row r="76" spans="1:12" x14ac:dyDescent="0.25">
      <c r="A76" s="136" t="s">
        <v>198</v>
      </c>
      <c r="B76" s="401" t="s">
        <v>953</v>
      </c>
      <c r="C76" s="402">
        <v>32</v>
      </c>
      <c r="D76" s="133">
        <f t="shared" si="2"/>
        <v>32</v>
      </c>
      <c r="E76" s="133" t="s">
        <v>1190</v>
      </c>
      <c r="F76" s="135" t="s">
        <v>221</v>
      </c>
    </row>
    <row r="77" spans="1:12" x14ac:dyDescent="0.25">
      <c r="A77" s="136" t="s">
        <v>198</v>
      </c>
      <c r="B77" s="401" t="s">
        <v>952</v>
      </c>
      <c r="C77" s="402">
        <v>48</v>
      </c>
      <c r="D77" s="133">
        <f t="shared" si="2"/>
        <v>48</v>
      </c>
      <c r="E77" s="133" t="s">
        <v>1190</v>
      </c>
      <c r="F77" s="135" t="s">
        <v>222</v>
      </c>
    </row>
    <row r="78" spans="1:12" x14ac:dyDescent="0.25">
      <c r="A78" s="136" t="s">
        <v>223</v>
      </c>
      <c r="B78" s="401" t="s">
        <v>943</v>
      </c>
      <c r="C78" s="402">
        <v>26</v>
      </c>
      <c r="D78" s="133">
        <f t="shared" si="2"/>
        <v>26</v>
      </c>
      <c r="E78" s="133" t="s">
        <v>1190</v>
      </c>
      <c r="F78" s="191" t="s">
        <v>224</v>
      </c>
    </row>
    <row r="79" spans="1:12" x14ac:dyDescent="0.25">
      <c r="A79" s="136" t="s">
        <v>223</v>
      </c>
      <c r="B79" s="401" t="s">
        <v>942</v>
      </c>
      <c r="C79" s="402">
        <v>26</v>
      </c>
      <c r="D79" s="133">
        <f t="shared" si="2"/>
        <v>26</v>
      </c>
      <c r="E79" s="133" t="s">
        <v>1190</v>
      </c>
      <c r="F79" s="191" t="s">
        <v>225</v>
      </c>
    </row>
    <row r="80" spans="1:12" x14ac:dyDescent="0.25">
      <c r="A80" s="136" t="s">
        <v>223</v>
      </c>
      <c r="B80" s="401" t="s">
        <v>941</v>
      </c>
      <c r="C80" s="402">
        <v>26</v>
      </c>
      <c r="D80" s="133">
        <f t="shared" si="2"/>
        <v>26</v>
      </c>
      <c r="E80" s="133" t="s">
        <v>1190</v>
      </c>
      <c r="F80" s="191" t="s">
        <v>226</v>
      </c>
    </row>
    <row r="81" spans="1:6" x14ac:dyDescent="0.25">
      <c r="A81" s="136" t="s">
        <v>223</v>
      </c>
      <c r="B81" s="401" t="s">
        <v>936</v>
      </c>
      <c r="C81" s="402">
        <v>16</v>
      </c>
      <c r="D81" s="133">
        <f t="shared" si="2"/>
        <v>0</v>
      </c>
      <c r="E81" s="133" t="s">
        <v>315</v>
      </c>
      <c r="F81" s="135" t="s">
        <v>935</v>
      </c>
    </row>
    <row r="82" spans="1:6" x14ac:dyDescent="0.25">
      <c r="A82" s="136" t="s">
        <v>223</v>
      </c>
      <c r="B82" s="47" t="s">
        <v>938</v>
      </c>
      <c r="C82" s="402">
        <v>12</v>
      </c>
      <c r="D82" s="133">
        <f t="shared" si="2"/>
        <v>0</v>
      </c>
      <c r="E82" s="133" t="s">
        <v>315</v>
      </c>
      <c r="F82" s="135" t="s">
        <v>937</v>
      </c>
    </row>
    <row r="83" spans="1:6" x14ac:dyDescent="0.25">
      <c r="A83" s="136" t="s">
        <v>223</v>
      </c>
      <c r="B83" s="135" t="s">
        <v>934</v>
      </c>
      <c r="C83" s="402">
        <v>2</v>
      </c>
      <c r="D83" s="133">
        <f t="shared" si="2"/>
        <v>0</v>
      </c>
      <c r="E83" s="133" t="s">
        <v>315</v>
      </c>
      <c r="F83" s="135" t="s">
        <v>227</v>
      </c>
    </row>
    <row r="84" spans="1:6" x14ac:dyDescent="0.25">
      <c r="A84" s="136" t="s">
        <v>223</v>
      </c>
      <c r="B84" s="135" t="s">
        <v>933</v>
      </c>
      <c r="C84" s="228">
        <v>3</v>
      </c>
      <c r="D84" s="133">
        <f t="shared" si="2"/>
        <v>0</v>
      </c>
      <c r="E84" s="133" t="s">
        <v>315</v>
      </c>
      <c r="F84" s="135" t="s">
        <v>932</v>
      </c>
    </row>
    <row r="85" spans="1:6" x14ac:dyDescent="0.25">
      <c r="A85" s="136" t="s">
        <v>223</v>
      </c>
      <c r="B85" s="135" t="s">
        <v>931</v>
      </c>
      <c r="C85" s="402">
        <v>5</v>
      </c>
      <c r="D85" s="133">
        <f t="shared" si="2"/>
        <v>0</v>
      </c>
      <c r="E85" s="133" t="s">
        <v>315</v>
      </c>
      <c r="F85" s="135" t="s">
        <v>930</v>
      </c>
    </row>
    <row r="86" spans="1:6" x14ac:dyDescent="0.25">
      <c r="A86" s="136" t="s">
        <v>223</v>
      </c>
      <c r="B86" s="401" t="s">
        <v>940</v>
      </c>
      <c r="C86" s="194">
        <v>6</v>
      </c>
      <c r="D86" s="133">
        <f t="shared" si="2"/>
        <v>0</v>
      </c>
      <c r="E86" s="133" t="s">
        <v>315</v>
      </c>
      <c r="F86" s="135" t="s">
        <v>939</v>
      </c>
    </row>
    <row r="87" spans="1:6" x14ac:dyDescent="0.25">
      <c r="A87" s="136" t="s">
        <v>223</v>
      </c>
      <c r="B87" s="401" t="s">
        <v>929</v>
      </c>
      <c r="C87" s="228">
        <v>2</v>
      </c>
      <c r="D87" s="133">
        <f t="shared" si="2"/>
        <v>0</v>
      </c>
      <c r="E87" s="133" t="s">
        <v>315</v>
      </c>
      <c r="F87" s="135" t="s">
        <v>228</v>
      </c>
    </row>
    <row r="88" spans="1:6" x14ac:dyDescent="0.25">
      <c r="A88" s="136" t="s">
        <v>223</v>
      </c>
      <c r="B88" s="227" t="s">
        <v>928</v>
      </c>
      <c r="C88" s="402">
        <v>2</v>
      </c>
      <c r="D88" s="133">
        <f t="shared" si="2"/>
        <v>0</v>
      </c>
      <c r="E88" s="133" t="s">
        <v>315</v>
      </c>
      <c r="F88" s="135" t="s">
        <v>229</v>
      </c>
    </row>
    <row r="89" spans="1:6" x14ac:dyDescent="0.25">
      <c r="A89" s="136" t="s">
        <v>223</v>
      </c>
      <c r="B89" s="401" t="s">
        <v>927</v>
      </c>
      <c r="C89" s="402">
        <v>2</v>
      </c>
      <c r="D89" s="133">
        <f t="shared" si="2"/>
        <v>0</v>
      </c>
      <c r="E89" s="133" t="s">
        <v>315</v>
      </c>
      <c r="F89" s="135" t="s">
        <v>926</v>
      </c>
    </row>
    <row r="90" spans="1:6" x14ac:dyDescent="0.25">
      <c r="A90" s="136" t="s">
        <v>223</v>
      </c>
      <c r="B90" s="401" t="s">
        <v>925</v>
      </c>
      <c r="C90" s="402">
        <v>10</v>
      </c>
      <c r="D90" s="133">
        <f t="shared" si="2"/>
        <v>0</v>
      </c>
      <c r="E90" s="133" t="s">
        <v>315</v>
      </c>
      <c r="F90" s="135" t="s">
        <v>230</v>
      </c>
    </row>
    <row r="91" spans="1:6" x14ac:dyDescent="0.25">
      <c r="A91" s="136" t="s">
        <v>223</v>
      </c>
      <c r="B91" s="401" t="s">
        <v>924</v>
      </c>
      <c r="C91" s="228">
        <v>13</v>
      </c>
      <c r="D91" s="133">
        <f t="shared" si="2"/>
        <v>0</v>
      </c>
      <c r="E91" s="133" t="s">
        <v>315</v>
      </c>
      <c r="F91" s="135" t="s">
        <v>231</v>
      </c>
    </row>
    <row r="92" spans="1:6" x14ac:dyDescent="0.25">
      <c r="A92" s="136" t="s">
        <v>223</v>
      </c>
      <c r="B92" s="401" t="s">
        <v>923</v>
      </c>
      <c r="C92" s="228">
        <v>1</v>
      </c>
      <c r="D92" s="133">
        <f t="shared" si="2"/>
        <v>0</v>
      </c>
      <c r="E92" s="133" t="s">
        <v>315</v>
      </c>
      <c r="F92" s="135" t="s">
        <v>232</v>
      </c>
    </row>
    <row r="93" spans="1:6" x14ac:dyDescent="0.25">
      <c r="A93" s="136" t="s">
        <v>223</v>
      </c>
      <c r="B93" s="401" t="s">
        <v>922</v>
      </c>
      <c r="C93" s="402">
        <v>1</v>
      </c>
      <c r="D93" s="133">
        <f t="shared" si="2"/>
        <v>0</v>
      </c>
      <c r="E93" s="133" t="s">
        <v>315</v>
      </c>
      <c r="F93" s="135" t="s">
        <v>233</v>
      </c>
    </row>
    <row r="94" spans="1:6" x14ac:dyDescent="0.25">
      <c r="A94" s="136" t="s">
        <v>223</v>
      </c>
      <c r="B94" s="227" t="s">
        <v>921</v>
      </c>
      <c r="C94" s="228">
        <v>1</v>
      </c>
      <c r="D94" s="133">
        <f t="shared" si="2"/>
        <v>0</v>
      </c>
      <c r="E94" s="133" t="s">
        <v>315</v>
      </c>
      <c r="F94" s="135" t="s">
        <v>234</v>
      </c>
    </row>
    <row r="95" spans="1:6" x14ac:dyDescent="0.25">
      <c r="A95" s="136" t="s">
        <v>223</v>
      </c>
      <c r="B95" s="227" t="s">
        <v>920</v>
      </c>
      <c r="C95" s="402">
        <v>2</v>
      </c>
      <c r="D95" s="133">
        <f t="shared" si="2"/>
        <v>0</v>
      </c>
      <c r="E95" s="133" t="s">
        <v>315</v>
      </c>
      <c r="F95" s="135" t="s">
        <v>919</v>
      </c>
    </row>
    <row r="96" spans="1:6" x14ac:dyDescent="0.25">
      <c r="A96" s="136" t="s">
        <v>223</v>
      </c>
      <c r="B96" s="227" t="s">
        <v>918</v>
      </c>
      <c r="C96" s="228">
        <v>85</v>
      </c>
      <c r="D96" s="133">
        <f t="shared" si="2"/>
        <v>85</v>
      </c>
      <c r="E96" s="133" t="s">
        <v>1190</v>
      </c>
      <c r="F96" s="135" t="s">
        <v>235</v>
      </c>
    </row>
    <row r="97" spans="1:9" x14ac:dyDescent="0.25">
      <c r="A97" s="136" t="s">
        <v>223</v>
      </c>
      <c r="B97" s="227" t="s">
        <v>917</v>
      </c>
      <c r="C97" s="402">
        <v>43</v>
      </c>
      <c r="D97" s="133">
        <f t="shared" si="2"/>
        <v>43</v>
      </c>
      <c r="E97" s="133" t="s">
        <v>1190</v>
      </c>
      <c r="F97" s="135" t="s">
        <v>236</v>
      </c>
    </row>
    <row r="98" spans="1:9" x14ac:dyDescent="0.25">
      <c r="A98" s="136" t="s">
        <v>223</v>
      </c>
      <c r="B98" s="227" t="s">
        <v>916</v>
      </c>
      <c r="C98" s="228">
        <v>21</v>
      </c>
      <c r="D98" s="133">
        <f t="shared" ref="D98:D129" si="3">IF(E98="Ja",C98,0)</f>
        <v>21</v>
      </c>
      <c r="E98" s="133" t="s">
        <v>1190</v>
      </c>
      <c r="F98" s="135" t="s">
        <v>237</v>
      </c>
    </row>
    <row r="99" spans="1:9" x14ac:dyDescent="0.25">
      <c r="A99" s="136" t="s">
        <v>223</v>
      </c>
      <c r="B99" s="227" t="s">
        <v>915</v>
      </c>
      <c r="C99" s="194">
        <v>16</v>
      </c>
      <c r="D99" s="133">
        <f t="shared" si="3"/>
        <v>16</v>
      </c>
      <c r="E99" s="133" t="s">
        <v>1190</v>
      </c>
      <c r="F99" s="193" t="s">
        <v>238</v>
      </c>
    </row>
    <row r="100" spans="1:9" x14ac:dyDescent="0.25">
      <c r="A100" s="136" t="s">
        <v>223</v>
      </c>
      <c r="B100" s="227" t="s">
        <v>914</v>
      </c>
      <c r="C100" s="194">
        <v>24</v>
      </c>
      <c r="D100" s="133">
        <f t="shared" si="3"/>
        <v>24</v>
      </c>
      <c r="E100" s="133" t="s">
        <v>1190</v>
      </c>
      <c r="F100" s="193" t="s">
        <v>239</v>
      </c>
    </row>
    <row r="101" spans="1:9" x14ac:dyDescent="0.25">
      <c r="A101" s="136" t="s">
        <v>223</v>
      </c>
      <c r="B101" s="135" t="s">
        <v>913</v>
      </c>
      <c r="C101" s="194">
        <v>7</v>
      </c>
      <c r="D101" s="133">
        <f t="shared" si="3"/>
        <v>7</v>
      </c>
      <c r="E101" s="133" t="s">
        <v>1190</v>
      </c>
      <c r="F101" s="135" t="s">
        <v>240</v>
      </c>
    </row>
    <row r="102" spans="1:9" x14ac:dyDescent="0.25">
      <c r="A102" s="136" t="s">
        <v>223</v>
      </c>
      <c r="B102" s="135" t="s">
        <v>912</v>
      </c>
      <c r="C102" s="194">
        <v>7</v>
      </c>
      <c r="D102" s="133">
        <f t="shared" si="3"/>
        <v>7</v>
      </c>
      <c r="E102" s="133" t="s">
        <v>1190</v>
      </c>
      <c r="F102" s="135" t="s">
        <v>241</v>
      </c>
    </row>
    <row r="103" spans="1:9" x14ac:dyDescent="0.25">
      <c r="A103" s="134" t="s">
        <v>242</v>
      </c>
      <c r="B103" s="227" t="s">
        <v>911</v>
      </c>
      <c r="C103" s="228">
        <v>14</v>
      </c>
      <c r="D103" s="133">
        <f t="shared" si="3"/>
        <v>0</v>
      </c>
      <c r="E103" s="133" t="s">
        <v>315</v>
      </c>
      <c r="F103" s="135" t="s">
        <v>243</v>
      </c>
    </row>
    <row r="104" spans="1:9" x14ac:dyDescent="0.25">
      <c r="A104" s="134" t="s">
        <v>242</v>
      </c>
      <c r="B104" s="401" t="s">
        <v>910</v>
      </c>
      <c r="C104" s="402">
        <v>22</v>
      </c>
      <c r="D104" s="133">
        <f t="shared" si="3"/>
        <v>0</v>
      </c>
      <c r="E104" s="133" t="s">
        <v>315</v>
      </c>
      <c r="F104" s="135" t="s">
        <v>244</v>
      </c>
    </row>
    <row r="105" spans="1:9" x14ac:dyDescent="0.25">
      <c r="A105" s="134" t="s">
        <v>242</v>
      </c>
      <c r="B105" s="227" t="s">
        <v>909</v>
      </c>
      <c r="C105" s="228">
        <v>1</v>
      </c>
      <c r="D105" s="133">
        <f t="shared" si="3"/>
        <v>0</v>
      </c>
      <c r="E105" s="133" t="s">
        <v>315</v>
      </c>
      <c r="F105" s="193" t="s">
        <v>245</v>
      </c>
      <c r="I105" s="238"/>
    </row>
    <row r="106" spans="1:9" x14ac:dyDescent="0.25">
      <c r="A106" s="134" t="s">
        <v>242</v>
      </c>
      <c r="B106" s="227" t="s">
        <v>908</v>
      </c>
      <c r="C106" s="228">
        <v>6</v>
      </c>
      <c r="D106" s="133">
        <f t="shared" si="3"/>
        <v>0</v>
      </c>
      <c r="E106" s="133" t="s">
        <v>315</v>
      </c>
      <c r="F106" s="193" t="s">
        <v>246</v>
      </c>
      <c r="I106" s="238"/>
    </row>
    <row r="107" spans="1:9" x14ac:dyDescent="0.25">
      <c r="A107" s="134" t="s">
        <v>242</v>
      </c>
      <c r="B107" s="227" t="s">
        <v>907</v>
      </c>
      <c r="C107" s="228">
        <v>12</v>
      </c>
      <c r="D107" s="133">
        <f t="shared" si="3"/>
        <v>0</v>
      </c>
      <c r="E107" s="133" t="s">
        <v>315</v>
      </c>
      <c r="F107" s="193" t="s">
        <v>906</v>
      </c>
      <c r="I107" s="238"/>
    </row>
    <row r="108" spans="1:9" x14ac:dyDescent="0.25">
      <c r="A108" s="134" t="s">
        <v>247</v>
      </c>
      <c r="B108" s="401" t="s">
        <v>889</v>
      </c>
      <c r="C108" s="402">
        <v>4</v>
      </c>
      <c r="D108" s="133">
        <f t="shared" si="3"/>
        <v>0</v>
      </c>
      <c r="E108" s="133" t="s">
        <v>315</v>
      </c>
      <c r="F108" s="135" t="s">
        <v>248</v>
      </c>
    </row>
    <row r="109" spans="1:9" x14ac:dyDescent="0.25">
      <c r="A109" s="134" t="s">
        <v>247</v>
      </c>
      <c r="B109" s="401" t="s">
        <v>888</v>
      </c>
      <c r="C109" s="402">
        <v>6</v>
      </c>
      <c r="D109" s="133">
        <f t="shared" si="3"/>
        <v>0</v>
      </c>
      <c r="E109" s="133" t="s">
        <v>315</v>
      </c>
      <c r="F109" s="135" t="s">
        <v>249</v>
      </c>
    </row>
    <row r="110" spans="1:9" x14ac:dyDescent="0.25">
      <c r="A110" s="134" t="s">
        <v>247</v>
      </c>
      <c r="B110" s="401" t="s">
        <v>887</v>
      </c>
      <c r="C110" s="402">
        <v>4</v>
      </c>
      <c r="D110" s="133">
        <f t="shared" si="3"/>
        <v>0</v>
      </c>
      <c r="E110" s="133" t="s">
        <v>315</v>
      </c>
      <c r="F110" s="135" t="s">
        <v>250</v>
      </c>
    </row>
    <row r="111" spans="1:9" x14ac:dyDescent="0.25">
      <c r="A111" s="134" t="s">
        <v>247</v>
      </c>
      <c r="B111" s="401" t="s">
        <v>886</v>
      </c>
      <c r="C111" s="402">
        <v>6</v>
      </c>
      <c r="D111" s="133">
        <f t="shared" si="3"/>
        <v>0</v>
      </c>
      <c r="E111" s="133" t="s">
        <v>315</v>
      </c>
      <c r="F111" s="135" t="s">
        <v>251</v>
      </c>
    </row>
    <row r="112" spans="1:9" x14ac:dyDescent="0.25">
      <c r="A112" s="134" t="s">
        <v>247</v>
      </c>
      <c r="B112" s="401" t="s">
        <v>885</v>
      </c>
      <c r="C112" s="402">
        <v>4</v>
      </c>
      <c r="D112" s="133">
        <f t="shared" si="3"/>
        <v>0</v>
      </c>
      <c r="E112" s="133" t="s">
        <v>315</v>
      </c>
      <c r="F112" s="135" t="s">
        <v>252</v>
      </c>
    </row>
    <row r="113" spans="1:17" x14ac:dyDescent="0.25">
      <c r="A113" s="134" t="s">
        <v>247</v>
      </c>
      <c r="B113" s="401" t="s">
        <v>884</v>
      </c>
      <c r="C113" s="402">
        <v>6</v>
      </c>
      <c r="D113" s="133">
        <f t="shared" si="3"/>
        <v>0</v>
      </c>
      <c r="E113" s="133" t="s">
        <v>315</v>
      </c>
      <c r="F113" s="135" t="s">
        <v>253</v>
      </c>
    </row>
    <row r="114" spans="1:17" x14ac:dyDescent="0.25">
      <c r="A114" s="134" t="s">
        <v>247</v>
      </c>
      <c r="B114" s="401" t="s">
        <v>883</v>
      </c>
      <c r="C114" s="402">
        <v>4</v>
      </c>
      <c r="D114" s="133">
        <f t="shared" si="3"/>
        <v>0</v>
      </c>
      <c r="E114" s="133" t="s">
        <v>315</v>
      </c>
      <c r="F114" s="135" t="s">
        <v>254</v>
      </c>
    </row>
    <row r="115" spans="1:17" x14ac:dyDescent="0.25">
      <c r="A115" s="134" t="s">
        <v>247</v>
      </c>
      <c r="B115" s="401" t="s">
        <v>882</v>
      </c>
      <c r="C115" s="402">
        <v>6</v>
      </c>
      <c r="D115" s="133">
        <f t="shared" si="3"/>
        <v>0</v>
      </c>
      <c r="E115" s="133" t="s">
        <v>315</v>
      </c>
      <c r="F115" s="135" t="s">
        <v>255</v>
      </c>
    </row>
    <row r="116" spans="1:17" x14ac:dyDescent="0.25">
      <c r="A116" s="134" t="s">
        <v>247</v>
      </c>
      <c r="B116" s="401" t="s">
        <v>881</v>
      </c>
      <c r="C116" s="228">
        <v>2</v>
      </c>
      <c r="D116" s="133">
        <f t="shared" si="3"/>
        <v>0</v>
      </c>
      <c r="E116" s="133" t="s">
        <v>315</v>
      </c>
      <c r="F116" s="135" t="s">
        <v>256</v>
      </c>
      <c r="M116" s="233"/>
      <c r="N116" s="233"/>
      <c r="O116" s="233"/>
      <c r="P116" s="233"/>
      <c r="Q116" s="233"/>
    </row>
    <row r="117" spans="1:17" x14ac:dyDescent="0.25">
      <c r="A117" s="134" t="s">
        <v>247</v>
      </c>
      <c r="B117" s="401" t="s">
        <v>880</v>
      </c>
      <c r="C117" s="228">
        <v>4</v>
      </c>
      <c r="D117" s="133">
        <f t="shared" si="3"/>
        <v>0</v>
      </c>
      <c r="E117" s="133" t="s">
        <v>315</v>
      </c>
      <c r="F117" s="135" t="s">
        <v>257</v>
      </c>
      <c r="M117" s="233"/>
      <c r="N117" s="233"/>
      <c r="O117" s="233"/>
      <c r="P117" s="233"/>
      <c r="Q117" s="233"/>
    </row>
    <row r="118" spans="1:17" x14ac:dyDescent="0.25">
      <c r="A118" s="137" t="s">
        <v>247</v>
      </c>
      <c r="B118" s="161" t="s">
        <v>877</v>
      </c>
      <c r="C118" s="194">
        <v>8</v>
      </c>
      <c r="D118" s="133">
        <f t="shared" si="3"/>
        <v>0</v>
      </c>
      <c r="E118" s="133" t="s">
        <v>315</v>
      </c>
      <c r="F118" s="135" t="s">
        <v>260</v>
      </c>
      <c r="M118" s="233"/>
      <c r="N118" s="233"/>
      <c r="O118" s="233"/>
      <c r="P118" s="233"/>
      <c r="Q118" s="233"/>
    </row>
    <row r="119" spans="1:17" x14ac:dyDescent="0.25">
      <c r="A119" s="137" t="s">
        <v>247</v>
      </c>
      <c r="B119" s="161" t="s">
        <v>876</v>
      </c>
      <c r="C119" s="194">
        <v>12</v>
      </c>
      <c r="D119" s="133">
        <f t="shared" si="3"/>
        <v>0</v>
      </c>
      <c r="E119" s="133" t="s">
        <v>315</v>
      </c>
      <c r="F119" s="135" t="s">
        <v>261</v>
      </c>
      <c r="M119" s="233"/>
      <c r="N119" s="233"/>
      <c r="O119" s="233"/>
      <c r="P119" s="233"/>
      <c r="Q119" s="233"/>
    </row>
    <row r="120" spans="1:17" x14ac:dyDescent="0.25">
      <c r="A120" s="137" t="s">
        <v>247</v>
      </c>
      <c r="B120" s="161" t="s">
        <v>875</v>
      </c>
      <c r="C120" s="194">
        <v>10</v>
      </c>
      <c r="D120" s="133">
        <f t="shared" si="3"/>
        <v>0</v>
      </c>
      <c r="E120" s="133" t="s">
        <v>315</v>
      </c>
      <c r="F120" s="135" t="s">
        <v>262</v>
      </c>
      <c r="M120" s="233"/>
      <c r="N120" s="233"/>
      <c r="O120" s="233"/>
      <c r="P120" s="233"/>
      <c r="Q120" s="233"/>
    </row>
    <row r="121" spans="1:17" x14ac:dyDescent="0.25">
      <c r="A121" s="134" t="s">
        <v>247</v>
      </c>
      <c r="B121" s="227" t="s">
        <v>263</v>
      </c>
      <c r="C121" s="228">
        <v>20</v>
      </c>
      <c r="D121" s="133">
        <f t="shared" si="3"/>
        <v>0</v>
      </c>
      <c r="E121" s="133" t="s">
        <v>315</v>
      </c>
      <c r="F121" s="135" t="s">
        <v>264</v>
      </c>
      <c r="M121" s="233"/>
      <c r="N121" s="233"/>
      <c r="O121" s="233"/>
      <c r="P121" s="233"/>
      <c r="Q121" s="233"/>
    </row>
    <row r="122" spans="1:17" x14ac:dyDescent="0.25">
      <c r="A122" s="134" t="s">
        <v>247</v>
      </c>
      <c r="B122" s="227" t="s">
        <v>265</v>
      </c>
      <c r="C122" s="228">
        <v>50</v>
      </c>
      <c r="D122" s="133">
        <f t="shared" si="3"/>
        <v>0</v>
      </c>
      <c r="E122" s="133" t="s">
        <v>315</v>
      </c>
      <c r="F122" s="135" t="s">
        <v>266</v>
      </c>
      <c r="M122" s="233"/>
      <c r="N122" s="233"/>
      <c r="O122" s="233"/>
      <c r="P122" s="233"/>
      <c r="Q122" s="233"/>
    </row>
    <row r="123" spans="1:17" ht="15.75" x14ac:dyDescent="0.25">
      <c r="A123" s="134" t="s">
        <v>247</v>
      </c>
      <c r="B123" s="236" t="s">
        <v>905</v>
      </c>
      <c r="C123" s="194">
        <v>2</v>
      </c>
      <c r="D123" s="133">
        <f t="shared" si="3"/>
        <v>0</v>
      </c>
      <c r="E123" s="133" t="s">
        <v>315</v>
      </c>
      <c r="F123" s="135" t="s">
        <v>904</v>
      </c>
      <c r="M123" s="233"/>
      <c r="N123" s="233"/>
      <c r="O123" s="233"/>
      <c r="P123" s="233"/>
      <c r="Q123" s="233"/>
    </row>
    <row r="124" spans="1:17" ht="15.75" x14ac:dyDescent="0.25">
      <c r="A124" s="134" t="s">
        <v>247</v>
      </c>
      <c r="B124" s="236" t="s">
        <v>901</v>
      </c>
      <c r="C124" s="194">
        <v>2</v>
      </c>
      <c r="D124" s="133">
        <f t="shared" si="3"/>
        <v>0</v>
      </c>
      <c r="E124" s="133" t="s">
        <v>315</v>
      </c>
      <c r="F124" s="135" t="s">
        <v>900</v>
      </c>
      <c r="M124" s="233"/>
      <c r="N124" s="233"/>
      <c r="O124" s="233"/>
      <c r="P124" s="233"/>
      <c r="Q124" s="233"/>
    </row>
    <row r="125" spans="1:17" ht="15.75" x14ac:dyDescent="0.25">
      <c r="A125" s="134" t="s">
        <v>247</v>
      </c>
      <c r="B125" s="236" t="s">
        <v>903</v>
      </c>
      <c r="C125" s="194">
        <v>2</v>
      </c>
      <c r="D125" s="133">
        <f t="shared" si="3"/>
        <v>0</v>
      </c>
      <c r="E125" s="133" t="s">
        <v>315</v>
      </c>
      <c r="F125" s="135" t="s">
        <v>902</v>
      </c>
      <c r="M125" s="233"/>
      <c r="N125" s="233"/>
      <c r="O125" s="233"/>
      <c r="P125" s="233"/>
      <c r="Q125" s="233"/>
    </row>
    <row r="126" spans="1:17" ht="15.75" x14ac:dyDescent="0.25">
      <c r="A126" s="134" t="s">
        <v>247</v>
      </c>
      <c r="B126" s="237" t="s">
        <v>895</v>
      </c>
      <c r="C126" s="194">
        <v>2</v>
      </c>
      <c r="D126" s="133">
        <f t="shared" si="3"/>
        <v>0</v>
      </c>
      <c r="E126" s="133" t="s">
        <v>315</v>
      </c>
      <c r="F126" s="135" t="s">
        <v>894</v>
      </c>
    </row>
    <row r="127" spans="1:17" ht="15.75" x14ac:dyDescent="0.25">
      <c r="A127" s="134" t="s">
        <v>247</v>
      </c>
      <c r="B127" s="236" t="s">
        <v>899</v>
      </c>
      <c r="C127" s="194">
        <v>2</v>
      </c>
      <c r="D127" s="133">
        <f t="shared" si="3"/>
        <v>0</v>
      </c>
      <c r="E127" s="133" t="s">
        <v>315</v>
      </c>
      <c r="F127" s="135" t="s">
        <v>898</v>
      </c>
    </row>
    <row r="128" spans="1:17" ht="15.75" x14ac:dyDescent="0.25">
      <c r="A128" s="134" t="s">
        <v>247</v>
      </c>
      <c r="B128" s="237" t="s">
        <v>897</v>
      </c>
      <c r="C128" s="194">
        <v>2</v>
      </c>
      <c r="D128" s="133">
        <f t="shared" si="3"/>
        <v>0</v>
      </c>
      <c r="E128" s="133" t="s">
        <v>315</v>
      </c>
      <c r="F128" s="135" t="s">
        <v>896</v>
      </c>
      <c r="M128" s="194"/>
    </row>
    <row r="129" spans="1:17" ht="15.75" x14ac:dyDescent="0.25">
      <c r="A129" s="134" t="s">
        <v>247</v>
      </c>
      <c r="B129" s="236" t="s">
        <v>893</v>
      </c>
      <c r="C129" s="194">
        <v>2</v>
      </c>
      <c r="D129" s="133">
        <f t="shared" si="3"/>
        <v>0</v>
      </c>
      <c r="E129" s="133" t="s">
        <v>315</v>
      </c>
      <c r="F129" s="135" t="s">
        <v>892</v>
      </c>
    </row>
    <row r="130" spans="1:17" ht="15.75" x14ac:dyDescent="0.25">
      <c r="A130" s="134" t="s">
        <v>247</v>
      </c>
      <c r="B130" s="236" t="s">
        <v>891</v>
      </c>
      <c r="C130" s="194">
        <v>2</v>
      </c>
      <c r="D130" s="133">
        <f t="shared" ref="D130:D145" si="4">IF(E130="Ja",C130,0)</f>
        <v>0</v>
      </c>
      <c r="E130" s="133" t="s">
        <v>315</v>
      </c>
      <c r="F130" s="135" t="s">
        <v>890</v>
      </c>
    </row>
    <row r="131" spans="1:17" x14ac:dyDescent="0.25">
      <c r="A131" s="134" t="s">
        <v>247</v>
      </c>
      <c r="B131" s="227" t="s">
        <v>271</v>
      </c>
      <c r="C131" s="402">
        <v>20</v>
      </c>
      <c r="D131" s="133">
        <f t="shared" si="4"/>
        <v>0</v>
      </c>
      <c r="E131" s="133" t="s">
        <v>315</v>
      </c>
      <c r="F131" s="135" t="s">
        <v>272</v>
      </c>
      <c r="M131" s="233"/>
      <c r="N131" s="233"/>
      <c r="O131" s="233"/>
      <c r="P131" s="233"/>
      <c r="Q131" s="233"/>
    </row>
    <row r="132" spans="1:17" x14ac:dyDescent="0.25">
      <c r="A132" s="134" t="s">
        <v>247</v>
      </c>
      <c r="B132" s="401" t="s">
        <v>879</v>
      </c>
      <c r="C132" s="402">
        <v>40</v>
      </c>
      <c r="D132" s="133">
        <f t="shared" si="4"/>
        <v>0</v>
      </c>
      <c r="E132" s="133" t="s">
        <v>315</v>
      </c>
      <c r="F132" s="193" t="s">
        <v>258</v>
      </c>
    </row>
    <row r="133" spans="1:17" x14ac:dyDescent="0.25">
      <c r="A133" s="134" t="s">
        <v>247</v>
      </c>
      <c r="B133" s="401" t="s">
        <v>878</v>
      </c>
      <c r="C133" s="402">
        <v>20</v>
      </c>
      <c r="D133" s="133">
        <f t="shared" si="4"/>
        <v>0</v>
      </c>
      <c r="E133" s="133" t="s">
        <v>315</v>
      </c>
      <c r="F133" s="135" t="s">
        <v>259</v>
      </c>
    </row>
    <row r="134" spans="1:17" x14ac:dyDescent="0.25">
      <c r="A134" s="134" t="s">
        <v>247</v>
      </c>
      <c r="B134" s="401" t="s">
        <v>273</v>
      </c>
      <c r="C134" s="402">
        <v>40</v>
      </c>
      <c r="D134" s="133">
        <f t="shared" si="4"/>
        <v>0</v>
      </c>
      <c r="E134" s="133" t="s">
        <v>315</v>
      </c>
      <c r="F134" s="135" t="s">
        <v>274</v>
      </c>
    </row>
    <row r="135" spans="1:17" x14ac:dyDescent="0.25">
      <c r="A135" s="134" t="s">
        <v>247</v>
      </c>
      <c r="B135" s="227" t="s">
        <v>275</v>
      </c>
      <c r="C135" s="228">
        <v>10</v>
      </c>
      <c r="D135" s="133">
        <f t="shared" si="4"/>
        <v>0</v>
      </c>
      <c r="E135" s="133" t="s">
        <v>315</v>
      </c>
      <c r="F135" s="135" t="s">
        <v>276</v>
      </c>
    </row>
    <row r="136" spans="1:17" x14ac:dyDescent="0.25">
      <c r="A136" s="134" t="s">
        <v>247</v>
      </c>
      <c r="B136" s="227" t="s">
        <v>277</v>
      </c>
      <c r="C136" s="228">
        <v>20</v>
      </c>
      <c r="D136" s="133">
        <f t="shared" si="4"/>
        <v>0</v>
      </c>
      <c r="E136" s="133" t="s">
        <v>315</v>
      </c>
      <c r="F136" s="135" t="s">
        <v>278</v>
      </c>
    </row>
    <row r="137" spans="1:17" x14ac:dyDescent="0.25">
      <c r="A137" s="134" t="s">
        <v>247</v>
      </c>
      <c r="B137" s="401" t="s">
        <v>279</v>
      </c>
      <c r="C137" s="402">
        <v>6</v>
      </c>
      <c r="D137" s="133">
        <f t="shared" si="4"/>
        <v>0</v>
      </c>
      <c r="E137" s="133" t="s">
        <v>315</v>
      </c>
      <c r="F137" s="401" t="s">
        <v>280</v>
      </c>
    </row>
    <row r="138" spans="1:17" x14ac:dyDescent="0.25">
      <c r="A138" s="134" t="s">
        <v>247</v>
      </c>
      <c r="B138" s="227" t="s">
        <v>281</v>
      </c>
      <c r="C138" s="228">
        <v>4</v>
      </c>
      <c r="D138" s="133">
        <f t="shared" si="4"/>
        <v>0</v>
      </c>
      <c r="E138" s="133" t="s">
        <v>315</v>
      </c>
      <c r="F138" s="135" t="s">
        <v>282</v>
      </c>
      <c r="G138" s="233"/>
      <c r="I138" s="233"/>
    </row>
    <row r="139" spans="1:17" x14ac:dyDescent="0.25">
      <c r="A139" s="134" t="s">
        <v>247</v>
      </c>
      <c r="B139" s="227" t="s">
        <v>283</v>
      </c>
      <c r="C139" s="228">
        <v>6</v>
      </c>
      <c r="D139" s="133">
        <f t="shared" si="4"/>
        <v>0</v>
      </c>
      <c r="E139" s="133" t="s">
        <v>315</v>
      </c>
      <c r="F139" s="135" t="s">
        <v>280</v>
      </c>
    </row>
    <row r="140" spans="1:17" x14ac:dyDescent="0.25">
      <c r="A140" s="134" t="s">
        <v>247</v>
      </c>
      <c r="B140" s="401" t="s">
        <v>284</v>
      </c>
      <c r="C140" s="402">
        <v>10</v>
      </c>
      <c r="D140" s="133">
        <f t="shared" si="4"/>
        <v>0</v>
      </c>
      <c r="E140" s="133" t="s">
        <v>315</v>
      </c>
      <c r="F140" s="135" t="s">
        <v>280</v>
      </c>
    </row>
    <row r="141" spans="1:17" x14ac:dyDescent="0.25">
      <c r="A141" s="134" t="s">
        <v>247</v>
      </c>
      <c r="B141" s="401" t="s">
        <v>285</v>
      </c>
      <c r="C141" s="402">
        <v>6</v>
      </c>
      <c r="D141" s="133">
        <f t="shared" si="4"/>
        <v>0</v>
      </c>
      <c r="E141" s="133" t="s">
        <v>315</v>
      </c>
      <c r="F141" s="135" t="s">
        <v>286</v>
      </c>
    </row>
    <row r="142" spans="1:17" x14ac:dyDescent="0.25">
      <c r="A142" s="134" t="s">
        <v>247</v>
      </c>
      <c r="B142" s="227" t="s">
        <v>874</v>
      </c>
      <c r="C142" s="228">
        <v>20</v>
      </c>
      <c r="D142" s="133">
        <f t="shared" si="4"/>
        <v>0</v>
      </c>
      <c r="E142" s="133" t="s">
        <v>315</v>
      </c>
      <c r="F142" s="135" t="s">
        <v>287</v>
      </c>
    </row>
    <row r="143" spans="1:17" x14ac:dyDescent="0.25">
      <c r="A143" s="134" t="s">
        <v>247</v>
      </c>
      <c r="B143" s="227" t="s">
        <v>873</v>
      </c>
      <c r="C143" s="228">
        <v>10</v>
      </c>
      <c r="D143" s="133">
        <f t="shared" si="4"/>
        <v>0</v>
      </c>
      <c r="E143" s="133" t="s">
        <v>315</v>
      </c>
      <c r="F143" s="135" t="s">
        <v>288</v>
      </c>
    </row>
    <row r="144" spans="1:17" x14ac:dyDescent="0.25">
      <c r="A144" s="134" t="s">
        <v>247</v>
      </c>
      <c r="B144" s="227" t="s">
        <v>267</v>
      </c>
      <c r="C144" s="228">
        <v>4</v>
      </c>
      <c r="D144" s="133">
        <f t="shared" si="4"/>
        <v>0</v>
      </c>
      <c r="E144" s="133" t="s">
        <v>315</v>
      </c>
      <c r="F144" s="135" t="s">
        <v>268</v>
      </c>
    </row>
    <row r="145" spans="1:17" x14ac:dyDescent="0.25">
      <c r="A145" s="134" t="s">
        <v>247</v>
      </c>
      <c r="B145" s="227" t="s">
        <v>269</v>
      </c>
      <c r="C145" s="228">
        <v>6</v>
      </c>
      <c r="D145" s="133">
        <f t="shared" si="4"/>
        <v>0</v>
      </c>
      <c r="E145" s="133" t="s">
        <v>315</v>
      </c>
      <c r="F145" s="135" t="s">
        <v>270</v>
      </c>
      <c r="G145" s="233"/>
      <c r="H145" s="233"/>
      <c r="I145" s="233"/>
      <c r="J145" s="233"/>
      <c r="K145" s="233"/>
      <c r="L145" s="233"/>
      <c r="M145" s="233"/>
      <c r="N145" s="233"/>
      <c r="O145" s="233"/>
      <c r="P145" s="233"/>
      <c r="Q145" s="233"/>
    </row>
    <row r="146" spans="1:17" x14ac:dyDescent="0.25">
      <c r="A146" s="134"/>
      <c r="B146" s="235"/>
      <c r="C146" s="228"/>
      <c r="D146" s="228">
        <f>SUM(D2:D145)</f>
        <v>467</v>
      </c>
      <c r="E146" s="228"/>
      <c r="F146" s="234"/>
    </row>
    <row r="147" spans="1:17" x14ac:dyDescent="0.25">
      <c r="A147" s="233"/>
      <c r="D147" s="194">
        <f>SUM(D78:D102)</f>
        <v>281</v>
      </c>
    </row>
    <row r="148" spans="1:17" x14ac:dyDescent="0.25">
      <c r="A148" s="134"/>
      <c r="B148" s="192"/>
      <c r="C148" s="228"/>
      <c r="D148" s="228" t="s">
        <v>765</v>
      </c>
      <c r="E148" s="228"/>
      <c r="F148" s="135"/>
    </row>
    <row r="149" spans="1:17" x14ac:dyDescent="0.25">
      <c r="A149" s="134"/>
      <c r="B149" s="192"/>
      <c r="C149" s="228"/>
      <c r="D149" s="228" t="s">
        <v>315</v>
      </c>
      <c r="E149" s="228"/>
      <c r="F149" s="135"/>
    </row>
    <row r="150" spans="1:17" x14ac:dyDescent="0.25">
      <c r="A150" s="134"/>
      <c r="B150" s="192"/>
      <c r="C150" s="228"/>
      <c r="D150" s="228"/>
      <c r="E150" s="228"/>
      <c r="F150" s="135"/>
    </row>
    <row r="151" spans="1:17" x14ac:dyDescent="0.25">
      <c r="A151" s="134"/>
      <c r="B151" s="192"/>
      <c r="C151" s="228"/>
      <c r="D151" s="228"/>
      <c r="E151" s="228"/>
      <c r="F151" s="135"/>
    </row>
    <row r="152" spans="1:17" x14ac:dyDescent="0.25">
      <c r="A152" s="134"/>
      <c r="B152" s="192"/>
      <c r="C152" s="228"/>
      <c r="D152" s="228"/>
      <c r="E152" s="228"/>
      <c r="F152" s="135"/>
    </row>
    <row r="153" spans="1:17" x14ac:dyDescent="0.25">
      <c r="A153" s="134"/>
      <c r="B153" s="192"/>
      <c r="C153" s="228"/>
      <c r="D153" s="228"/>
      <c r="E153" s="228"/>
      <c r="F153" s="135"/>
    </row>
    <row r="154" spans="1:17" x14ac:dyDescent="0.25">
      <c r="A154" s="134"/>
      <c r="B154" s="192"/>
      <c r="C154" s="228"/>
      <c r="D154" s="228"/>
      <c r="E154" s="228"/>
      <c r="F154" s="135"/>
    </row>
    <row r="155" spans="1:17" x14ac:dyDescent="0.25">
      <c r="B155" s="227"/>
      <c r="C155" s="228"/>
      <c r="D155" s="228"/>
      <c r="E155" s="228"/>
    </row>
  </sheetData>
  <autoFilter ref="A1:F158" xr:uid="{00000000-0009-0000-0000-000001000000}">
    <sortState xmlns:xlrd2="http://schemas.microsoft.com/office/spreadsheetml/2017/richdata2" ref="A2:F155">
      <sortCondition ref="A1:A158"/>
    </sortState>
  </autoFilter>
  <dataValidations count="1">
    <dataValidation type="list" allowBlank="1" showInputMessage="1" showErrorMessage="1" sqref="E2:E145" xr:uid="{00000000-0002-0000-0100-000000000000}">
      <formula1>$D$148:$D$149</formula1>
    </dataValidation>
  </dataValidation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R80"/>
  <sheetViews>
    <sheetView view="pageLayout" zoomScaleNormal="100" workbookViewId="0">
      <selection activeCell="B21" sqref="B21"/>
    </sheetView>
  </sheetViews>
  <sheetFormatPr baseColWidth="10" defaultColWidth="9.140625" defaultRowHeight="15" x14ac:dyDescent="0.25"/>
  <cols>
    <col min="1" max="14" width="6.85546875" style="9" customWidth="1"/>
    <col min="15" max="19" width="9.140625" style="9"/>
    <col min="20" max="20" width="27.42578125" style="9" customWidth="1"/>
    <col min="21" max="16384" width="9.140625" style="9"/>
  </cols>
  <sheetData>
    <row r="1" spans="1:13" x14ac:dyDescent="0.25">
      <c r="A1" s="26"/>
      <c r="B1" s="27"/>
      <c r="C1" s="28"/>
      <c r="D1" s="29" t="s">
        <v>114</v>
      </c>
      <c r="E1" s="29"/>
      <c r="F1" s="29" t="s">
        <v>115</v>
      </c>
      <c r="G1" s="29" t="s">
        <v>116</v>
      </c>
      <c r="H1" s="29" t="s">
        <v>117</v>
      </c>
      <c r="I1" s="26" t="s">
        <v>0</v>
      </c>
      <c r="J1" s="26" t="s">
        <v>118</v>
      </c>
      <c r="K1" s="27"/>
      <c r="L1" s="29">
        <f>MIN(10)+ROUNDUP(L3*2,0)</f>
        <v>20</v>
      </c>
    </row>
    <row r="2" spans="1:13" x14ac:dyDescent="0.25">
      <c r="A2" s="32" t="s">
        <v>119</v>
      </c>
      <c r="B2" s="26"/>
      <c r="C2" s="28"/>
      <c r="D2" s="33">
        <f>L4</f>
        <v>34</v>
      </c>
      <c r="E2" s="29" t="s">
        <v>120</v>
      </c>
      <c r="F2" s="29">
        <f>G69+G70+G74-ROUNDUP(+L4/6,0)</f>
        <v>24</v>
      </c>
      <c r="G2" s="29">
        <f>G69+G70+G74-ROUNDUP(L4/3,0)</f>
        <v>18</v>
      </c>
      <c r="H2" s="29">
        <f>G69+G70+G74-L4</f>
        <v>-4</v>
      </c>
      <c r="I2" s="26">
        <f>SUM(L3+1)</f>
        <v>6</v>
      </c>
      <c r="J2" s="26" t="s">
        <v>121</v>
      </c>
      <c r="K2" s="27"/>
      <c r="L2" s="34">
        <v>24</v>
      </c>
    </row>
    <row r="3" spans="1:13" x14ac:dyDescent="0.25">
      <c r="A3" s="32" t="s">
        <v>122</v>
      </c>
      <c r="B3" s="26"/>
      <c r="C3" s="28"/>
      <c r="D3" s="29">
        <f>SUM(L3*60)</f>
        <v>300</v>
      </c>
      <c r="E3" s="29" t="s">
        <v>120</v>
      </c>
      <c r="F3" s="29">
        <f>L2+G69+G70+ROUNDUP(-L4/4,0)</f>
        <v>21</v>
      </c>
      <c r="G3" s="29">
        <f>ROUNDUP(-L4/2,0)+L2+G69+G70</f>
        <v>13</v>
      </c>
      <c r="H3" s="29">
        <f>-L4+L2+G69+G70</f>
        <v>-4</v>
      </c>
      <c r="I3" s="26">
        <f>SUM(L4*3)</f>
        <v>102</v>
      </c>
      <c r="J3" s="26" t="s">
        <v>2</v>
      </c>
      <c r="K3" s="27"/>
      <c r="L3" s="29">
        <f>VLOOKUP($C$67,Ressourcen!$H$17:$J$79,3)</f>
        <v>5</v>
      </c>
    </row>
    <row r="4" spans="1:13" x14ac:dyDescent="0.25">
      <c r="A4" s="32" t="s">
        <v>123</v>
      </c>
      <c r="B4" s="26"/>
      <c r="C4" s="28"/>
      <c r="D4" s="29">
        <f>SUM(L3*2)</f>
        <v>10</v>
      </c>
      <c r="E4" s="29" t="s">
        <v>120</v>
      </c>
      <c r="F4" s="29">
        <f>ROUNDUP(-L3*2,0)+G75+G69+G70</f>
        <v>20</v>
      </c>
      <c r="G4" s="29">
        <f>ROUNDUP(-L3*4,0)+G75+G69+G70</f>
        <v>10</v>
      </c>
      <c r="H4" s="29">
        <f>SUM(-L3*8)+G75+G69+G70</f>
        <v>-10</v>
      </c>
      <c r="I4" s="26">
        <f>SUM(L3*5)</f>
        <v>25</v>
      </c>
      <c r="J4" s="26" t="s">
        <v>3</v>
      </c>
      <c r="K4" s="27"/>
      <c r="L4" s="29">
        <f>VLOOKUP($C$67,Ressourcen!$H$17:$J$79,2)</f>
        <v>34</v>
      </c>
    </row>
    <row r="5" spans="1:13" x14ac:dyDescent="0.25">
      <c r="A5" s="32" t="s">
        <v>124</v>
      </c>
      <c r="B5" s="26"/>
      <c r="C5" s="28"/>
      <c r="D5" s="29">
        <f>L3</f>
        <v>5</v>
      </c>
      <c r="E5" s="29" t="s">
        <v>120</v>
      </c>
      <c r="F5" s="29">
        <f>ROUNDUP(-L4/8,0)+G76+G69+G70</f>
        <v>25</v>
      </c>
      <c r="G5" s="29">
        <f>ROUNDUP(-L4/4,0)+G76+G69+G70</f>
        <v>21</v>
      </c>
      <c r="H5" s="29">
        <f>ROUNDUP(-L4/2,0)+G76+G69+G70</f>
        <v>13</v>
      </c>
      <c r="I5" s="26">
        <f>ROUNDUP(L3*3,0)</f>
        <v>15</v>
      </c>
      <c r="J5" s="26" t="s">
        <v>4</v>
      </c>
      <c r="K5" s="27"/>
      <c r="L5" s="29">
        <f>L3+M40+M41+M42+E42</f>
        <v>21</v>
      </c>
    </row>
    <row r="6" spans="1:13" x14ac:dyDescent="0.25">
      <c r="A6" s="35" t="s">
        <v>125</v>
      </c>
      <c r="B6" s="27"/>
      <c r="C6" s="28"/>
      <c r="D6" s="29">
        <f>L3</f>
        <v>5</v>
      </c>
      <c r="E6" s="29" t="s">
        <v>126</v>
      </c>
      <c r="F6" s="29">
        <v>12</v>
      </c>
      <c r="G6" s="26"/>
      <c r="H6" s="27">
        <f>ROUNDUP(PI()*(L3*2)^2,0)</f>
        <v>315</v>
      </c>
      <c r="I6" s="27" t="s">
        <v>127</v>
      </c>
      <c r="J6" s="26" t="s">
        <v>128</v>
      </c>
      <c r="K6" s="27"/>
      <c r="L6" s="34" t="s">
        <v>166</v>
      </c>
    </row>
    <row r="9" spans="1:13" x14ac:dyDescent="0.25">
      <c r="A9" s="40" t="s">
        <v>6</v>
      </c>
      <c r="B9" s="41"/>
      <c r="C9" s="41"/>
      <c r="D9" s="96">
        <f>D38+IF(L6="Magie",L3,0)</f>
        <v>6</v>
      </c>
      <c r="E9" s="96">
        <f>ROUNDUP(D9/2,0)-5</f>
        <v>-2</v>
      </c>
      <c r="F9" s="41" t="s">
        <v>11</v>
      </c>
      <c r="G9" s="41"/>
      <c r="H9" s="44"/>
      <c r="I9" s="96">
        <f>I38+IF(L6="Wasser",L3,0)</f>
        <v>22</v>
      </c>
      <c r="J9" s="96">
        <f>ROUNDUP(I9/2,0)-5</f>
        <v>6</v>
      </c>
      <c r="K9" s="100" t="s">
        <v>16</v>
      </c>
      <c r="L9" s="101"/>
      <c r="M9" s="99">
        <f>M38</f>
        <v>3</v>
      </c>
    </row>
    <row r="10" spans="1:13" x14ac:dyDescent="0.25">
      <c r="A10" s="46" t="s">
        <v>7</v>
      </c>
      <c r="B10" s="47"/>
      <c r="C10" s="47"/>
      <c r="D10" s="96">
        <f>D39</f>
        <v>9</v>
      </c>
      <c r="E10" s="97">
        <f>ROUNDUP(D10/2,0)-5</f>
        <v>0</v>
      </c>
      <c r="F10" s="47" t="s">
        <v>12</v>
      </c>
      <c r="G10" s="47"/>
      <c r="H10" s="50"/>
      <c r="I10" s="96">
        <f>I39</f>
        <v>13</v>
      </c>
      <c r="J10" s="97">
        <f>ROUNDUP(I10/2,0)-5</f>
        <v>2</v>
      </c>
      <c r="K10" s="102" t="s">
        <v>17</v>
      </c>
      <c r="L10" s="103"/>
      <c r="M10" s="99">
        <f>M39</f>
        <v>7</v>
      </c>
    </row>
    <row r="11" spans="1:13" x14ac:dyDescent="0.25">
      <c r="A11" s="46" t="s">
        <v>8</v>
      </c>
      <c r="B11" s="47"/>
      <c r="C11" s="47"/>
      <c r="D11" s="96">
        <f>D40+IF(L6="Feuer",L3,0)</f>
        <v>19</v>
      </c>
      <c r="E11" s="97">
        <f>ROUNDUP(D11/2,0)-5</f>
        <v>5</v>
      </c>
      <c r="F11" s="47" t="s">
        <v>13</v>
      </c>
      <c r="G11" s="47"/>
      <c r="H11" s="50"/>
      <c r="I11" s="96">
        <f>I40+IF(L6="Gift",L3,0)</f>
        <v>21</v>
      </c>
      <c r="J11" s="97">
        <f>ROUNDUP(I11/2,0)-5</f>
        <v>6</v>
      </c>
      <c r="K11" s="102" t="s">
        <v>18</v>
      </c>
      <c r="L11" s="103"/>
      <c r="M11" s="99">
        <f>M40</f>
        <v>5</v>
      </c>
    </row>
    <row r="12" spans="1:13" x14ac:dyDescent="0.25">
      <c r="A12" s="46" t="s">
        <v>9</v>
      </c>
      <c r="B12" s="47"/>
      <c r="C12" s="47"/>
      <c r="D12" s="96">
        <f>D41</f>
        <v>17</v>
      </c>
      <c r="E12" s="97">
        <f>ROUNDUP(D12/2,0)-5</f>
        <v>4</v>
      </c>
      <c r="F12" s="47" t="s">
        <v>14</v>
      </c>
      <c r="G12" s="47"/>
      <c r="H12" s="50"/>
      <c r="I12" s="96">
        <f>I41+IF(L6="Luft",L3,0)</f>
        <v>13</v>
      </c>
      <c r="J12" s="97">
        <f>ROUNDUP(I12/2,0)-5</f>
        <v>2</v>
      </c>
      <c r="K12" s="102" t="s">
        <v>19</v>
      </c>
      <c r="L12" s="103"/>
      <c r="M12" s="99">
        <f>M41</f>
        <v>5</v>
      </c>
    </row>
    <row r="13" spans="1:13" x14ac:dyDescent="0.25">
      <c r="A13" s="52" t="s">
        <v>10</v>
      </c>
      <c r="B13" s="53"/>
      <c r="C13" s="53"/>
      <c r="D13" s="96">
        <f>D42</f>
        <v>15</v>
      </c>
      <c r="E13" s="98">
        <f>ROUNDUP(D13/2,0)-5</f>
        <v>3</v>
      </c>
      <c r="F13" s="53" t="s">
        <v>15</v>
      </c>
      <c r="G13" s="53"/>
      <c r="H13" s="56"/>
      <c r="I13" s="96">
        <f>I42+IF(L6="Luft",L3,0)</f>
        <v>19</v>
      </c>
      <c r="J13" s="98">
        <f>ROUNDUP(I13/2,0)-5</f>
        <v>5</v>
      </c>
      <c r="K13" s="515" t="s">
        <v>20</v>
      </c>
      <c r="L13" s="516"/>
      <c r="M13" s="99">
        <f>M42</f>
        <v>3</v>
      </c>
    </row>
    <row r="14" spans="1:13" x14ac:dyDescent="0.25">
      <c r="A14" s="47"/>
      <c r="B14" s="47"/>
    </row>
    <row r="15" spans="1:13" x14ac:dyDescent="0.25">
      <c r="G15" s="47"/>
      <c r="H15" s="47"/>
      <c r="I15" s="47"/>
    </row>
    <row r="16" spans="1:13" x14ac:dyDescent="0.25">
      <c r="G16" s="47"/>
      <c r="H16" s="47"/>
      <c r="I16" s="47"/>
    </row>
    <row r="21" spans="1:18" x14ac:dyDescent="0.25">
      <c r="A21" s="29" t="s">
        <v>64</v>
      </c>
      <c r="B21" s="29">
        <f>J49</f>
        <v>22</v>
      </c>
    </row>
    <row r="22" spans="1:18" x14ac:dyDescent="0.25">
      <c r="A22" s="29" t="s">
        <v>61</v>
      </c>
      <c r="B22" s="29">
        <f>$C$49</f>
        <v>10</v>
      </c>
      <c r="E22" s="29" t="s">
        <v>23</v>
      </c>
      <c r="F22" s="29"/>
      <c r="G22" s="29" t="s">
        <v>24</v>
      </c>
      <c r="H22" s="29" t="s">
        <v>25</v>
      </c>
      <c r="I22" s="29" t="s">
        <v>26</v>
      </c>
      <c r="J22" s="29" t="s">
        <v>27</v>
      </c>
      <c r="K22" s="29" t="s">
        <v>28</v>
      </c>
      <c r="L22" s="29" t="s">
        <v>29</v>
      </c>
      <c r="M22" s="29" t="s">
        <v>30</v>
      </c>
    </row>
    <row r="23" spans="1:18" x14ac:dyDescent="0.25">
      <c r="A23" s="29" t="s">
        <v>62</v>
      </c>
      <c r="B23" s="29">
        <f>F49</f>
        <v>1</v>
      </c>
      <c r="E23" s="43" t="str">
        <f>VLOOKUP($L$6,$A$59:$D$64,2)</f>
        <v>W10 +</v>
      </c>
      <c r="F23" s="59">
        <f>ROUNDUP($I$42/2,0)-4+$M$40+$D$53</f>
        <v>16</v>
      </c>
      <c r="G23" s="43">
        <f>$L$3+4</f>
        <v>9</v>
      </c>
      <c r="H23" s="43">
        <f>ROUNDUP(($D$40+$I$41+$C$45)/3,0)+$H$46</f>
        <v>20</v>
      </c>
      <c r="I23" s="60">
        <f>1+$I$46</f>
        <v>7</v>
      </c>
      <c r="J23" s="43">
        <f>21+$J$46</f>
        <v>23</v>
      </c>
      <c r="K23" s="43">
        <f>ROUNDUP(($I$38+$I$41+$C$45)/3,0)+$K$46</f>
        <v>20</v>
      </c>
      <c r="L23" s="43">
        <f>1+$L$46</f>
        <v>5</v>
      </c>
      <c r="M23" s="43">
        <f>21+$M$46</f>
        <v>24</v>
      </c>
    </row>
    <row r="24" spans="1:18" x14ac:dyDescent="0.25">
      <c r="A24" s="29" t="s">
        <v>63</v>
      </c>
      <c r="B24" s="29">
        <f>I49</f>
        <v>21</v>
      </c>
    </row>
    <row r="25" spans="1:18" x14ac:dyDescent="0.25">
      <c r="A25" s="47"/>
      <c r="B25" s="47"/>
    </row>
    <row r="27" spans="1:18" ht="15.75" thickBot="1" x14ac:dyDescent="0.3">
      <c r="A27" s="29" t="s">
        <v>131</v>
      </c>
      <c r="B27" s="29">
        <f>J10</f>
        <v>2</v>
      </c>
      <c r="C27" s="43" t="s">
        <v>132</v>
      </c>
      <c r="D27" s="43">
        <f>I10</f>
        <v>13</v>
      </c>
    </row>
    <row r="28" spans="1:18" x14ac:dyDescent="0.25">
      <c r="A28" s="37" t="s">
        <v>130</v>
      </c>
      <c r="B28" s="105">
        <f>(M39*12+I40*3+ROUNDUP(L4/2,0)+L5)</f>
        <v>185</v>
      </c>
      <c r="C28" s="29"/>
      <c r="D28" s="29"/>
      <c r="E28" s="29"/>
      <c r="F28" s="29"/>
      <c r="G28" s="29"/>
      <c r="H28" s="29"/>
      <c r="I28" s="29"/>
      <c r="J28" s="29"/>
      <c r="K28" s="29"/>
      <c r="L28" s="29"/>
      <c r="M28" s="29"/>
      <c r="N28" s="29"/>
      <c r="O28" s="29"/>
      <c r="P28" s="29"/>
      <c r="Q28" s="29"/>
      <c r="R28" s="29"/>
    </row>
    <row r="29" spans="1:18" ht="15.75" thickBot="1" x14ac:dyDescent="0.3">
      <c r="A29" s="38" t="s">
        <v>0</v>
      </c>
      <c r="B29" s="71">
        <f>M40*7+M41*3+E42*6+E39*M42+L4</f>
        <v>102</v>
      </c>
      <c r="C29" s="29"/>
      <c r="D29" s="29"/>
      <c r="E29" s="29"/>
      <c r="F29" s="29"/>
      <c r="G29" s="29"/>
      <c r="H29" s="29"/>
      <c r="I29" s="29"/>
      <c r="J29" s="29"/>
      <c r="K29" s="29"/>
      <c r="L29" s="29"/>
      <c r="M29" s="29"/>
      <c r="N29" s="29"/>
      <c r="O29" s="29"/>
      <c r="P29" s="29"/>
      <c r="Q29" s="29"/>
      <c r="R29" s="29"/>
    </row>
    <row r="30" spans="1:18" x14ac:dyDescent="0.25">
      <c r="A30" s="47"/>
      <c r="B30" s="47"/>
    </row>
    <row r="31" spans="1:18" x14ac:dyDescent="0.25">
      <c r="A31" s="47"/>
      <c r="B31" s="47"/>
    </row>
    <row r="32" spans="1:18" x14ac:dyDescent="0.25">
      <c r="A32" s="47"/>
      <c r="B32" s="47"/>
    </row>
    <row r="33" spans="1:14" x14ac:dyDescent="0.25">
      <c r="A33" s="47"/>
      <c r="B33" s="47"/>
    </row>
    <row r="34" spans="1:14" x14ac:dyDescent="0.25">
      <c r="A34" s="47"/>
      <c r="B34" s="47"/>
    </row>
    <row r="35" spans="1:14" x14ac:dyDescent="0.25">
      <c r="A35" s="47"/>
      <c r="B35" s="47"/>
    </row>
    <row r="37" spans="1:14" x14ac:dyDescent="0.25">
      <c r="D37" s="9" t="s">
        <v>5</v>
      </c>
    </row>
    <row r="38" spans="1:14" x14ac:dyDescent="0.25">
      <c r="A38" s="40" t="s">
        <v>6</v>
      </c>
      <c r="B38" s="41"/>
      <c r="C38" s="41"/>
      <c r="D38" s="42">
        <v>6</v>
      </c>
      <c r="E38" s="43">
        <f>ROUNDUP(D38/2,0)-5</f>
        <v>-2</v>
      </c>
      <c r="F38" s="41" t="s">
        <v>11</v>
      </c>
      <c r="G38" s="41"/>
      <c r="H38" s="44"/>
      <c r="I38" s="42">
        <v>17</v>
      </c>
      <c r="J38" s="43">
        <f>ROUNDUP(I38/2,0)-5</f>
        <v>4</v>
      </c>
      <c r="K38" s="40" t="s">
        <v>16</v>
      </c>
      <c r="L38" s="44"/>
      <c r="M38" s="45">
        <v>3</v>
      </c>
    </row>
    <row r="39" spans="1:14" x14ac:dyDescent="0.25">
      <c r="A39" s="46" t="s">
        <v>7</v>
      </c>
      <c r="B39" s="47"/>
      <c r="C39" s="47"/>
      <c r="D39" s="48">
        <v>9</v>
      </c>
      <c r="E39" s="49">
        <f>ROUNDUP(D39/2,0)-5</f>
        <v>0</v>
      </c>
      <c r="F39" s="47" t="s">
        <v>12</v>
      </c>
      <c r="G39" s="47"/>
      <c r="H39" s="50"/>
      <c r="I39" s="48">
        <v>13</v>
      </c>
      <c r="J39" s="49">
        <f>ROUNDUP(I39/2,0)-5</f>
        <v>2</v>
      </c>
      <c r="K39" s="46" t="s">
        <v>17</v>
      </c>
      <c r="L39" s="50"/>
      <c r="M39" s="51">
        <v>7</v>
      </c>
    </row>
    <row r="40" spans="1:14" x14ac:dyDescent="0.25">
      <c r="A40" s="46" t="s">
        <v>8</v>
      </c>
      <c r="B40" s="47"/>
      <c r="C40" s="47"/>
      <c r="D40" s="48">
        <v>19</v>
      </c>
      <c r="E40" s="49">
        <f>ROUNDUP(D40/2,0)-5</f>
        <v>5</v>
      </c>
      <c r="F40" s="47" t="s">
        <v>13</v>
      </c>
      <c r="G40" s="47"/>
      <c r="H40" s="50"/>
      <c r="I40" s="48">
        <v>21</v>
      </c>
      <c r="J40" s="49">
        <f>ROUNDUP(I40/2,0)-5</f>
        <v>6</v>
      </c>
      <c r="K40" s="46" t="s">
        <v>18</v>
      </c>
      <c r="L40" s="50"/>
      <c r="M40" s="51">
        <v>5</v>
      </c>
    </row>
    <row r="41" spans="1:14" x14ac:dyDescent="0.25">
      <c r="A41" s="46" t="s">
        <v>9</v>
      </c>
      <c r="B41" s="47"/>
      <c r="C41" s="47"/>
      <c r="D41" s="48">
        <v>17</v>
      </c>
      <c r="E41" s="49">
        <f>ROUNDUP(D41/2,0)-5</f>
        <v>4</v>
      </c>
      <c r="F41" s="47" t="s">
        <v>14</v>
      </c>
      <c r="G41" s="47"/>
      <c r="H41" s="50"/>
      <c r="I41" s="48">
        <v>13</v>
      </c>
      <c r="J41" s="49">
        <f>ROUNDUP(I41/2,0)-5</f>
        <v>2</v>
      </c>
      <c r="K41" s="46" t="s">
        <v>19</v>
      </c>
      <c r="L41" s="50"/>
      <c r="M41" s="51">
        <v>5</v>
      </c>
    </row>
    <row r="42" spans="1:14" x14ac:dyDescent="0.25">
      <c r="A42" s="52" t="s">
        <v>10</v>
      </c>
      <c r="B42" s="53"/>
      <c r="C42" s="53"/>
      <c r="D42" s="54">
        <v>15</v>
      </c>
      <c r="E42" s="55">
        <f>ROUNDUP(D42/2,0)-5</f>
        <v>3</v>
      </c>
      <c r="F42" s="53" t="s">
        <v>15</v>
      </c>
      <c r="G42" s="53"/>
      <c r="H42" s="56"/>
      <c r="I42" s="54">
        <v>19</v>
      </c>
      <c r="J42" s="55">
        <f>ROUNDUP(I42/2,0)-5</f>
        <v>5</v>
      </c>
      <c r="K42" s="52" t="s">
        <v>20</v>
      </c>
      <c r="L42" s="56"/>
      <c r="M42" s="57">
        <v>3</v>
      </c>
    </row>
    <row r="44" spans="1:14" x14ac:dyDescent="0.25">
      <c r="A44" s="29" t="s">
        <v>21</v>
      </c>
      <c r="B44" s="29"/>
      <c r="C44" s="29" t="s">
        <v>1</v>
      </c>
      <c r="D44" s="29" t="s">
        <v>22</v>
      </c>
      <c r="E44" s="29" t="s">
        <v>23</v>
      </c>
      <c r="F44" s="29"/>
      <c r="G44" s="29" t="s">
        <v>24</v>
      </c>
      <c r="H44" s="29" t="s">
        <v>25</v>
      </c>
      <c r="I44" s="29" t="s">
        <v>26</v>
      </c>
      <c r="J44" s="29" t="s">
        <v>27</v>
      </c>
      <c r="K44" s="29" t="s">
        <v>28</v>
      </c>
      <c r="L44" s="29" t="s">
        <v>29</v>
      </c>
      <c r="M44" s="29" t="s">
        <v>30</v>
      </c>
    </row>
    <row r="45" spans="1:14" x14ac:dyDescent="0.25">
      <c r="A45" s="43" t="s">
        <v>71</v>
      </c>
      <c r="B45" s="43"/>
      <c r="C45" s="42">
        <v>20</v>
      </c>
      <c r="D45" s="58">
        <v>20</v>
      </c>
      <c r="E45" s="43" t="str">
        <f>VLOOKUP($L$6,$A$59:$D$64,2)</f>
        <v>W10 +</v>
      </c>
      <c r="F45" s="59">
        <f>ROUNDUP($I$42/2,0)-4+$M$40+$D$53</f>
        <v>16</v>
      </c>
      <c r="G45" s="43">
        <f>$L$3+4</f>
        <v>9</v>
      </c>
      <c r="H45" s="43">
        <f>ROUNDUP(($D$40+$I$41+$C$45)/3,0)+$H$46</f>
        <v>20</v>
      </c>
      <c r="I45" s="60">
        <f>1+$I$46</f>
        <v>7</v>
      </c>
      <c r="J45" s="43">
        <f>21+$J$46</f>
        <v>23</v>
      </c>
      <c r="K45" s="43">
        <f>ROUNDUP(($I$38+$I$41+$C$45)/3,0)+$K$46</f>
        <v>20</v>
      </c>
      <c r="L45" s="43">
        <f>1+$L$46</f>
        <v>5</v>
      </c>
      <c r="M45" s="43">
        <f>21+$M$46</f>
        <v>24</v>
      </c>
    </row>
    <row r="46" spans="1:14" x14ac:dyDescent="0.25">
      <c r="A46" s="41"/>
      <c r="B46" s="41"/>
      <c r="C46" s="41" t="s">
        <v>175</v>
      </c>
      <c r="D46" s="41"/>
      <c r="E46" s="41" t="s">
        <v>154</v>
      </c>
      <c r="F46" s="41">
        <f>D45-SUM(H46:M46)</f>
        <v>0</v>
      </c>
      <c r="G46" s="104"/>
      <c r="H46" s="104">
        <v>2</v>
      </c>
      <c r="I46" s="104">
        <v>6</v>
      </c>
      <c r="J46" s="104">
        <v>2</v>
      </c>
      <c r="K46" s="104">
        <v>3</v>
      </c>
      <c r="L46" s="104">
        <v>4</v>
      </c>
      <c r="M46" s="104">
        <v>3</v>
      </c>
    </row>
    <row r="47" spans="1:14" ht="15.75" thickBot="1" x14ac:dyDescent="0.3">
      <c r="A47" s="47"/>
      <c r="B47" s="47"/>
      <c r="C47" s="47"/>
      <c r="D47" s="47"/>
      <c r="E47" s="47"/>
      <c r="F47" s="47"/>
      <c r="G47" s="47"/>
      <c r="H47" s="47"/>
      <c r="I47" s="47"/>
      <c r="J47" s="47"/>
      <c r="K47" s="47"/>
    </row>
    <row r="48" spans="1:14" x14ac:dyDescent="0.25">
      <c r="A48" s="61"/>
      <c r="B48" s="62" t="s">
        <v>1</v>
      </c>
      <c r="C48" s="62" t="s">
        <v>42</v>
      </c>
      <c r="D48" s="61"/>
      <c r="E48" s="62" t="s">
        <v>1</v>
      </c>
      <c r="F48" s="63" t="s">
        <v>42</v>
      </c>
      <c r="G48" s="61"/>
      <c r="H48" s="64" t="s">
        <v>1</v>
      </c>
      <c r="I48" s="63" t="s">
        <v>42</v>
      </c>
      <c r="J48" s="65" t="s">
        <v>64</v>
      </c>
      <c r="K48" s="66" t="s">
        <v>131</v>
      </c>
      <c r="L48" s="67"/>
      <c r="M48" s="66" t="s">
        <v>132</v>
      </c>
      <c r="N48" s="68"/>
    </row>
    <row r="49" spans="1:14" ht="15.75" thickBot="1" x14ac:dyDescent="0.3">
      <c r="A49" s="69" t="s">
        <v>61</v>
      </c>
      <c r="B49" s="70">
        <v>0</v>
      </c>
      <c r="C49" s="71">
        <f>ROUNDUP(($I$38+$I$41+$M$38+$B$49)/5,0)+3</f>
        <v>10</v>
      </c>
      <c r="D49" s="69" t="s">
        <v>62</v>
      </c>
      <c r="E49" s="70">
        <v>0</v>
      </c>
      <c r="F49" s="39">
        <f>ROUNDUP(($J$38+$E$49)/5,0)</f>
        <v>1</v>
      </c>
      <c r="G49" s="69" t="s">
        <v>63</v>
      </c>
      <c r="H49" s="70">
        <v>0</v>
      </c>
      <c r="I49" s="39">
        <f>ROUNDUP(($H$49+$J$41)/5,0)+20</f>
        <v>21</v>
      </c>
      <c r="J49" s="38">
        <f>ROUNDUP(($D$40+$I$41)/2,0)+ROUNDUP(($D$39+$I$39+$I$38)/6,0)-1</f>
        <v>22</v>
      </c>
      <c r="K49" s="71">
        <f>$J$39</f>
        <v>2</v>
      </c>
      <c r="L49" s="72"/>
      <c r="M49" s="71">
        <f>$I$39</f>
        <v>13</v>
      </c>
      <c r="N49" s="73"/>
    </row>
    <row r="51" spans="1:14" x14ac:dyDescent="0.25">
      <c r="A51" s="9" t="s">
        <v>37</v>
      </c>
    </row>
    <row r="52" spans="1:14" x14ac:dyDescent="0.25">
      <c r="A52" s="9" t="s">
        <v>38</v>
      </c>
      <c r="C52" s="9" t="s">
        <v>40</v>
      </c>
      <c r="E52" s="9" t="s">
        <v>48</v>
      </c>
      <c r="F52" s="9" t="s">
        <v>47</v>
      </c>
      <c r="G52" s="9" t="s">
        <v>43</v>
      </c>
      <c r="H52" s="9" t="s">
        <v>49</v>
      </c>
      <c r="I52" s="9" t="s">
        <v>50</v>
      </c>
      <c r="J52" s="9" t="s">
        <v>51</v>
      </c>
      <c r="K52" s="9" t="s">
        <v>41</v>
      </c>
      <c r="L52" s="9" t="s">
        <v>45</v>
      </c>
      <c r="M52" s="9" t="s">
        <v>46</v>
      </c>
      <c r="N52" s="9" t="s">
        <v>1</v>
      </c>
    </row>
    <row r="53" spans="1:14" x14ac:dyDescent="0.25">
      <c r="A53" s="9" t="s">
        <v>44</v>
      </c>
      <c r="C53" s="9" t="s">
        <v>70</v>
      </c>
      <c r="D53" s="74">
        <f>M41</f>
        <v>5</v>
      </c>
      <c r="E53" s="9" t="s">
        <v>69</v>
      </c>
      <c r="N53" s="75">
        <v>20</v>
      </c>
    </row>
    <row r="54" spans="1:14" x14ac:dyDescent="0.25">
      <c r="A54" s="30"/>
      <c r="D54" s="74"/>
      <c r="N54" s="75"/>
    </row>
    <row r="55" spans="1:14" x14ac:dyDescent="0.25">
      <c r="A55" s="30"/>
      <c r="D55" s="74"/>
      <c r="N55" s="75"/>
    </row>
    <row r="56" spans="1:14" x14ac:dyDescent="0.25">
      <c r="A56" s="30"/>
      <c r="D56" s="74"/>
      <c r="N56" s="75"/>
    </row>
    <row r="57" spans="1:14" x14ac:dyDescent="0.25">
      <c r="A57" s="30"/>
      <c r="D57" s="74"/>
      <c r="N57" s="75"/>
    </row>
    <row r="58" spans="1:14" x14ac:dyDescent="0.25">
      <c r="A58" s="9" t="s">
        <v>162</v>
      </c>
      <c r="N58" s="75"/>
    </row>
    <row r="59" spans="1:14" x14ac:dyDescent="0.25">
      <c r="A59" s="9" t="s">
        <v>163</v>
      </c>
      <c r="B59" s="9" t="s">
        <v>70</v>
      </c>
      <c r="C59" s="9" t="s">
        <v>167</v>
      </c>
      <c r="D59" s="9" t="s">
        <v>168</v>
      </c>
      <c r="N59" s="75"/>
    </row>
    <row r="60" spans="1:14" x14ac:dyDescent="0.25">
      <c r="A60" s="9" t="s">
        <v>129</v>
      </c>
      <c r="B60" s="9" t="s">
        <v>169</v>
      </c>
      <c r="C60" s="9" t="s">
        <v>167</v>
      </c>
      <c r="D60" s="9" t="s">
        <v>72</v>
      </c>
      <c r="N60" s="75"/>
    </row>
    <row r="61" spans="1:14" x14ac:dyDescent="0.25">
      <c r="A61" s="9" t="s">
        <v>164</v>
      </c>
      <c r="B61" s="9" t="s">
        <v>70</v>
      </c>
      <c r="C61" s="9" t="s">
        <v>167</v>
      </c>
      <c r="D61" s="9" t="s">
        <v>174</v>
      </c>
      <c r="N61" s="75"/>
    </row>
    <row r="62" spans="1:14" x14ac:dyDescent="0.25">
      <c r="A62" s="9" t="s">
        <v>165</v>
      </c>
      <c r="B62" s="9" t="s">
        <v>170</v>
      </c>
      <c r="C62" s="9" t="s">
        <v>167</v>
      </c>
      <c r="D62" s="9" t="s">
        <v>173</v>
      </c>
      <c r="N62" s="75"/>
    </row>
    <row r="63" spans="1:14" x14ac:dyDescent="0.25">
      <c r="A63" s="9" t="s">
        <v>19</v>
      </c>
      <c r="B63" s="9" t="s">
        <v>70</v>
      </c>
      <c r="C63" s="9" t="s">
        <v>167</v>
      </c>
      <c r="D63" s="9" t="s">
        <v>171</v>
      </c>
      <c r="N63" s="75"/>
    </row>
    <row r="64" spans="1:14" x14ac:dyDescent="0.25">
      <c r="A64" s="9" t="s">
        <v>166</v>
      </c>
      <c r="B64" s="9" t="s">
        <v>70</v>
      </c>
      <c r="C64" s="9" t="s">
        <v>167</v>
      </c>
      <c r="D64" s="9" t="s">
        <v>172</v>
      </c>
      <c r="N64" s="75"/>
    </row>
    <row r="65" spans="1:14" x14ac:dyDescent="0.25">
      <c r="A65" s="30"/>
      <c r="D65" s="74"/>
      <c r="N65" s="75"/>
    </row>
    <row r="66" spans="1:14" ht="15.75" x14ac:dyDescent="0.3">
      <c r="A66" s="9" t="s">
        <v>111</v>
      </c>
      <c r="B66" s="9" t="s">
        <v>112</v>
      </c>
      <c r="C66" s="25" t="s">
        <v>113</v>
      </c>
      <c r="D66" s="25"/>
      <c r="E66" s="6"/>
      <c r="F66" s="6" t="s">
        <v>52</v>
      </c>
      <c r="G66" s="6"/>
      <c r="N66" s="75"/>
    </row>
    <row r="67" spans="1:14" ht="15.75" x14ac:dyDescent="0.3">
      <c r="A67" s="30">
        <v>5821</v>
      </c>
      <c r="B67" s="9">
        <f>3200+A67-(B75+C75+C77+C79+C78)</f>
        <v>0</v>
      </c>
      <c r="C67" s="31">
        <f>B75+C75+C77+C79+C78-3200</f>
        <v>5821</v>
      </c>
      <c r="D67" s="25"/>
      <c r="E67" s="13"/>
      <c r="F67" s="6"/>
      <c r="G67" s="6"/>
      <c r="N67" s="75"/>
    </row>
    <row r="68" spans="1:14" ht="15.75" x14ac:dyDescent="0.3">
      <c r="F68" s="7" t="s">
        <v>4</v>
      </c>
      <c r="G68" s="7">
        <v>12</v>
      </c>
      <c r="N68" s="75"/>
    </row>
    <row r="69" spans="1:14" ht="15.75" x14ac:dyDescent="0.3">
      <c r="A69" s="9" t="s">
        <v>34</v>
      </c>
      <c r="C69" s="9" t="s">
        <v>68</v>
      </c>
      <c r="F69" s="7" t="s">
        <v>19</v>
      </c>
      <c r="G69" s="7">
        <v>3</v>
      </c>
      <c r="N69" s="75"/>
    </row>
    <row r="70" spans="1:14" ht="15.75" x14ac:dyDescent="0.3">
      <c r="A70" s="9">
        <f>VLOOKUP(D38,Ressourcen!$A$3:$B$68,2)</f>
        <v>180</v>
      </c>
      <c r="B70" s="9">
        <f>VLOOKUP(I38,Ressourcen!$A$3:$B$68,2)</f>
        <v>573</v>
      </c>
      <c r="C70" s="9">
        <f>VLOOKUP(M38,Ressourcen!$H$3:$I$13,2)</f>
        <v>300</v>
      </c>
      <c r="F70" s="7" t="s">
        <v>57</v>
      </c>
      <c r="G70" s="7">
        <v>3</v>
      </c>
      <c r="N70" s="75"/>
    </row>
    <row r="71" spans="1:14" ht="15.75" x14ac:dyDescent="0.3">
      <c r="A71" s="9">
        <f>VLOOKUP(D39,Ressourcen!$A$3:$B$68,2)</f>
        <v>270</v>
      </c>
      <c r="B71" s="9">
        <f>VLOOKUP(I39,Ressourcen!$A$3:$B$68,2)</f>
        <v>399</v>
      </c>
      <c r="C71" s="9">
        <f>VLOOKUP(M39,Ressourcen!$H$3:$I$13,2)</f>
        <v>980</v>
      </c>
      <c r="F71" s="12" t="s">
        <v>58</v>
      </c>
      <c r="G71" s="12">
        <v>3</v>
      </c>
      <c r="N71" s="75"/>
    </row>
    <row r="72" spans="1:14" ht="15.75" x14ac:dyDescent="0.3">
      <c r="A72" s="9">
        <f>VLOOKUP(D40,Ressourcen!$A$3:$B$68,2)</f>
        <v>678</v>
      </c>
      <c r="B72" s="9">
        <f>VLOOKUP(I40,Ressourcen!$A$3:$B$68,2)</f>
        <v>795</v>
      </c>
      <c r="C72" s="9">
        <f>VLOOKUP(M40,Ressourcen!$H$3:$I$13,2)</f>
        <v>600</v>
      </c>
      <c r="F72" s="7" t="s">
        <v>53</v>
      </c>
      <c r="G72" s="7">
        <v>24</v>
      </c>
      <c r="N72" s="75"/>
    </row>
    <row r="73" spans="1:14" ht="15.75" x14ac:dyDescent="0.3">
      <c r="A73" s="9">
        <f>VLOOKUP(D41,Ressourcen!$A$3:$B$68,2)</f>
        <v>573</v>
      </c>
      <c r="B73" s="9">
        <f>VLOOKUP(I41,Ressourcen!$A$3:$B$68,2)</f>
        <v>399</v>
      </c>
      <c r="C73" s="9">
        <f>VLOOKUP(M41,Ressourcen!$H$3:$I$13,2)</f>
        <v>600</v>
      </c>
      <c r="F73" s="12" t="s">
        <v>59</v>
      </c>
      <c r="G73" s="12">
        <v>24</v>
      </c>
      <c r="N73" s="75"/>
    </row>
    <row r="74" spans="1:14" ht="15.75" x14ac:dyDescent="0.3">
      <c r="A74" s="9">
        <f>VLOOKUP(D42,Ressourcen!$A$3:$B$68,2)</f>
        <v>480</v>
      </c>
      <c r="B74" s="9">
        <f>VLOOKUP(I42,Ressourcen!$A$3:$B$68,2)</f>
        <v>678</v>
      </c>
      <c r="C74" s="9">
        <f>VLOOKUP(M42,Ressourcen!$H$3:$I$13,2)</f>
        <v>300</v>
      </c>
      <c r="F74" s="7" t="s">
        <v>54</v>
      </c>
      <c r="G74" s="7">
        <v>24</v>
      </c>
      <c r="N74" s="47"/>
    </row>
    <row r="75" spans="1:14" ht="15.75" x14ac:dyDescent="0.3">
      <c r="B75" s="9">
        <f>SUM(A70:B74)</f>
        <v>5025</v>
      </c>
      <c r="C75" s="9">
        <f>SUM(C70:C74)</f>
        <v>2780</v>
      </c>
      <c r="F75" s="7" t="s">
        <v>55</v>
      </c>
      <c r="G75" s="7">
        <v>24</v>
      </c>
    </row>
    <row r="76" spans="1:14" ht="15.75" x14ac:dyDescent="0.3">
      <c r="A76" s="36" t="s">
        <v>65</v>
      </c>
      <c r="B76" s="36" t="s">
        <v>66</v>
      </c>
      <c r="C76" s="36" t="s">
        <v>67</v>
      </c>
      <c r="F76" s="7" t="s">
        <v>56</v>
      </c>
      <c r="G76" s="7">
        <v>24</v>
      </c>
    </row>
    <row r="77" spans="1:14" x14ac:dyDescent="0.25">
      <c r="A77" s="9">
        <f>SUM(C45:C46)*25</f>
        <v>500</v>
      </c>
      <c r="B77" s="9">
        <f>SUM(D45:D46)*15</f>
        <v>300</v>
      </c>
      <c r="C77" s="9">
        <f>SUM(A77:B77)</f>
        <v>800</v>
      </c>
    </row>
    <row r="78" spans="1:14" x14ac:dyDescent="0.25">
      <c r="A78" s="9" t="s">
        <v>60</v>
      </c>
      <c r="C78" s="9">
        <f>(B49+E49+H49)*9</f>
        <v>0</v>
      </c>
      <c r="H78" s="9">
        <v>1</v>
      </c>
      <c r="I78" s="9">
        <v>2</v>
      </c>
      <c r="J78" s="9">
        <v>3</v>
      </c>
      <c r="K78" s="9">
        <v>4</v>
      </c>
      <c r="L78" s="9">
        <v>5</v>
      </c>
      <c r="M78" s="9">
        <v>6</v>
      </c>
      <c r="N78" s="9">
        <v>7</v>
      </c>
    </row>
    <row r="79" spans="1:14" x14ac:dyDescent="0.25">
      <c r="A79" s="9" t="s">
        <v>39</v>
      </c>
      <c r="C79" s="9">
        <f>SUM(H79:N79)*10+H80+I80*2+J80*3+K80*4+L80*5+M80*6+N80*7</f>
        <v>416</v>
      </c>
      <c r="E79" s="9" t="s">
        <v>177</v>
      </c>
      <c r="H79" s="9">
        <v>3</v>
      </c>
      <c r="I79" s="9">
        <v>3</v>
      </c>
      <c r="J79" s="9">
        <v>1</v>
      </c>
      <c r="K79" s="9">
        <v>1</v>
      </c>
      <c r="L79" s="9">
        <v>0</v>
      </c>
      <c r="M79" s="9">
        <v>0</v>
      </c>
      <c r="N79" s="9">
        <v>0</v>
      </c>
    </row>
    <row r="80" spans="1:14" x14ac:dyDescent="0.25">
      <c r="E80" s="9" t="s">
        <v>178</v>
      </c>
      <c r="H80" s="9">
        <v>64</v>
      </c>
      <c r="I80" s="9">
        <v>60</v>
      </c>
      <c r="J80" s="9">
        <v>24</v>
      </c>
      <c r="K80" s="9">
        <v>20</v>
      </c>
      <c r="L80" s="9">
        <v>0</v>
      </c>
      <c r="M80" s="9">
        <v>0</v>
      </c>
      <c r="N80" s="9">
        <v>0</v>
      </c>
    </row>
  </sheetData>
  <mergeCells count="1">
    <mergeCell ref="K13:L13"/>
  </mergeCells>
  <pageMargins left="0.45833333333333331" right="0.25" top="0.75" bottom="0.75" header="0.3" footer="0.3"/>
  <pageSetup paperSize="9" orientation="landscape" r:id="rId1"/>
  <headerFooter>
    <oddHeader>&amp;CToxischer Elbgeist</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P111"/>
  <sheetViews>
    <sheetView topLeftCell="A20" zoomScaleNormal="100" workbookViewId="0">
      <selection activeCell="N3" sqref="N3"/>
    </sheetView>
  </sheetViews>
  <sheetFormatPr baseColWidth="10" defaultColWidth="9.140625" defaultRowHeight="15" x14ac:dyDescent="0.25"/>
  <cols>
    <col min="1" max="3" width="9.140625" style="9"/>
    <col min="4" max="4" width="9.140625" style="109"/>
    <col min="5" max="5" width="9.140625" style="112"/>
    <col min="6" max="8" width="9.140625" style="9"/>
    <col min="9" max="9" width="9.28515625" style="9" bestFit="1" customWidth="1"/>
    <col min="10" max="10" width="13" style="9" bestFit="1" customWidth="1"/>
    <col min="11" max="11" width="9.140625" style="9"/>
    <col min="12" max="12" width="25" style="9" customWidth="1"/>
    <col min="13" max="13" width="9.140625" style="9"/>
    <col min="14" max="14" width="10.28515625" style="9" bestFit="1" customWidth="1"/>
    <col min="15" max="16384" width="9.140625" style="9"/>
  </cols>
  <sheetData>
    <row r="1" spans="1:16" ht="15.75" x14ac:dyDescent="0.3">
      <c r="A1" s="517" t="s">
        <v>5</v>
      </c>
      <c r="B1" s="518"/>
      <c r="C1" s="518"/>
      <c r="D1" s="518" t="s">
        <v>32</v>
      </c>
      <c r="E1" s="519"/>
      <c r="G1" s="6"/>
      <c r="H1" s="6" t="s">
        <v>35</v>
      </c>
      <c r="I1" s="6"/>
      <c r="J1" s="6"/>
      <c r="K1" s="6"/>
      <c r="L1" s="6"/>
      <c r="M1" s="6"/>
      <c r="N1" s="6"/>
    </row>
    <row r="2" spans="1:16" ht="16.5" thickBot="1" x14ac:dyDescent="0.35">
      <c r="A2" s="1" t="s">
        <v>33</v>
      </c>
      <c r="B2" s="520" t="s">
        <v>31</v>
      </c>
      <c r="C2" s="520"/>
      <c r="D2" s="520"/>
      <c r="E2" s="521"/>
      <c r="G2" s="6"/>
      <c r="H2" s="7" t="s">
        <v>33</v>
      </c>
      <c r="I2" s="7" t="s">
        <v>36</v>
      </c>
      <c r="J2" s="7" t="s">
        <v>31</v>
      </c>
      <c r="K2" s="6"/>
      <c r="N2" s="131" t="s">
        <v>1038</v>
      </c>
      <c r="O2" s="245" t="s">
        <v>1037</v>
      </c>
      <c r="P2" s="245"/>
    </row>
    <row r="3" spans="1:16" ht="15.75" x14ac:dyDescent="0.3">
      <c r="A3" s="2">
        <v>0</v>
      </c>
      <c r="B3" s="3">
        <v>0</v>
      </c>
      <c r="C3" s="3">
        <v>0</v>
      </c>
      <c r="D3" s="107">
        <v>0</v>
      </c>
      <c r="E3" s="110">
        <v>0</v>
      </c>
      <c r="G3" s="6"/>
      <c r="H3" s="10">
        <v>0</v>
      </c>
      <c r="I3" s="10">
        <v>0</v>
      </c>
      <c r="J3" s="10">
        <v>0</v>
      </c>
      <c r="K3" s="6"/>
      <c r="N3" s="62">
        <v>12</v>
      </c>
      <c r="O3" s="61">
        <v>1</v>
      </c>
    </row>
    <row r="4" spans="1:16" ht="15.75" x14ac:dyDescent="0.3">
      <c r="A4" s="2">
        <v>1</v>
      </c>
      <c r="B4" s="3">
        <f>30*A4</f>
        <v>30</v>
      </c>
      <c r="C4" s="3">
        <v>30</v>
      </c>
      <c r="D4" s="107">
        <v>10</v>
      </c>
      <c r="E4" s="110">
        <v>10</v>
      </c>
      <c r="G4" s="6"/>
      <c r="H4" s="10">
        <v>1</v>
      </c>
      <c r="I4" s="10">
        <f>SUM(J4:J4)</f>
        <v>80</v>
      </c>
      <c r="J4" s="10">
        <v>80</v>
      </c>
      <c r="K4" s="6"/>
      <c r="N4" s="47">
        <v>36</v>
      </c>
      <c r="O4" s="246">
        <v>2</v>
      </c>
    </row>
    <row r="5" spans="1:16" ht="15.75" x14ac:dyDescent="0.3">
      <c r="A5" s="2">
        <v>2</v>
      </c>
      <c r="B5" s="3">
        <f t="shared" ref="B5:B14" si="0">30*A5</f>
        <v>60</v>
      </c>
      <c r="C5" s="3">
        <v>30</v>
      </c>
      <c r="D5" s="107">
        <f t="shared" ref="D5:D51" si="1">D4+A5-1</f>
        <v>11</v>
      </c>
      <c r="E5" s="110">
        <f>A5-1</f>
        <v>1</v>
      </c>
      <c r="G5" s="6"/>
      <c r="H5" s="10">
        <v>2</v>
      </c>
      <c r="I5" s="10">
        <f>SUM(J4:J5)</f>
        <v>180</v>
      </c>
      <c r="J5" s="10">
        <f t="shared" ref="J5:J13" si="2">SUM(80+H4*20)</f>
        <v>100</v>
      </c>
      <c r="K5" s="6"/>
      <c r="N5" s="47">
        <v>72</v>
      </c>
      <c r="O5" s="246">
        <v>3</v>
      </c>
    </row>
    <row r="6" spans="1:16" ht="15.75" x14ac:dyDescent="0.3">
      <c r="A6" s="2">
        <v>3</v>
      </c>
      <c r="B6" s="3">
        <f t="shared" si="0"/>
        <v>90</v>
      </c>
      <c r="C6" s="3">
        <v>30</v>
      </c>
      <c r="D6" s="107">
        <f t="shared" si="1"/>
        <v>13</v>
      </c>
      <c r="E6" s="110">
        <f t="shared" ref="E6:E51" si="3">A6-1</f>
        <v>2</v>
      </c>
      <c r="G6" s="6"/>
      <c r="H6" s="11">
        <v>3</v>
      </c>
      <c r="I6" s="10">
        <f>SUM(J4:J6)</f>
        <v>300</v>
      </c>
      <c r="J6" s="10">
        <f t="shared" si="2"/>
        <v>120</v>
      </c>
      <c r="K6" s="6"/>
      <c r="N6" s="47">
        <v>130</v>
      </c>
      <c r="O6" s="246">
        <v>4</v>
      </c>
    </row>
    <row r="7" spans="1:16" ht="15.75" x14ac:dyDescent="0.3">
      <c r="A7" s="2">
        <v>4</v>
      </c>
      <c r="B7" s="3">
        <f t="shared" si="0"/>
        <v>120</v>
      </c>
      <c r="C7" s="3">
        <v>30</v>
      </c>
      <c r="D7" s="107">
        <f t="shared" si="1"/>
        <v>16</v>
      </c>
      <c r="E7" s="110">
        <f t="shared" si="3"/>
        <v>3</v>
      </c>
      <c r="G7" s="6"/>
      <c r="H7" s="10">
        <v>4</v>
      </c>
      <c r="I7" s="10">
        <f>SUM(J4:J7)</f>
        <v>440</v>
      </c>
      <c r="J7" s="10">
        <f t="shared" si="2"/>
        <v>140</v>
      </c>
      <c r="K7" s="6"/>
      <c r="N7" s="47">
        <v>210</v>
      </c>
      <c r="O7" s="246">
        <v>5</v>
      </c>
    </row>
    <row r="8" spans="1:16" ht="15.75" x14ac:dyDescent="0.3">
      <c r="A8" s="2">
        <v>5</v>
      </c>
      <c r="B8" s="3">
        <f t="shared" si="0"/>
        <v>150</v>
      </c>
      <c r="C8" s="3">
        <v>30</v>
      </c>
      <c r="D8" s="107">
        <f t="shared" si="1"/>
        <v>20</v>
      </c>
      <c r="E8" s="110">
        <f t="shared" si="3"/>
        <v>4</v>
      </c>
      <c r="G8" s="6"/>
      <c r="H8" s="10">
        <v>5</v>
      </c>
      <c r="I8" s="10">
        <f>SUM(J4:J8)</f>
        <v>600</v>
      </c>
      <c r="J8" s="10">
        <f t="shared" si="2"/>
        <v>160</v>
      </c>
      <c r="K8" s="6"/>
      <c r="N8" s="47">
        <v>280</v>
      </c>
      <c r="O8" s="246">
        <v>6</v>
      </c>
    </row>
    <row r="9" spans="1:16" ht="16.5" thickBot="1" x14ac:dyDescent="0.35">
      <c r="A9" s="2">
        <v>6</v>
      </c>
      <c r="B9" s="3">
        <f t="shared" si="0"/>
        <v>180</v>
      </c>
      <c r="C9" s="3">
        <v>30</v>
      </c>
      <c r="D9" s="107">
        <f t="shared" si="1"/>
        <v>25</v>
      </c>
      <c r="E9" s="110">
        <f t="shared" si="3"/>
        <v>5</v>
      </c>
      <c r="G9" s="6"/>
      <c r="H9" s="11">
        <v>6</v>
      </c>
      <c r="I9" s="10">
        <f>SUM(J4:J9)</f>
        <v>780</v>
      </c>
      <c r="J9" s="10">
        <f t="shared" si="2"/>
        <v>180</v>
      </c>
      <c r="K9" s="6"/>
      <c r="N9" s="247">
        <v>359</v>
      </c>
      <c r="O9" s="69">
        <v>7</v>
      </c>
    </row>
    <row r="10" spans="1:16" ht="15.75" x14ac:dyDescent="0.3">
      <c r="A10" s="2">
        <v>7</v>
      </c>
      <c r="B10" s="3">
        <f t="shared" si="0"/>
        <v>210</v>
      </c>
      <c r="C10" s="3">
        <v>30</v>
      </c>
      <c r="D10" s="107">
        <f t="shared" si="1"/>
        <v>31</v>
      </c>
      <c r="E10" s="110">
        <f t="shared" si="3"/>
        <v>6</v>
      </c>
      <c r="G10" s="6"/>
      <c r="H10" s="10">
        <v>7</v>
      </c>
      <c r="I10" s="10">
        <f>SUM(J4:J10)</f>
        <v>980</v>
      </c>
      <c r="J10" s="10">
        <f t="shared" si="2"/>
        <v>200</v>
      </c>
      <c r="K10" s="6"/>
      <c r="N10" s="6"/>
    </row>
    <row r="11" spans="1:16" ht="15.75" x14ac:dyDescent="0.3">
      <c r="A11" s="2">
        <v>8</v>
      </c>
      <c r="B11" s="3">
        <f t="shared" si="0"/>
        <v>240</v>
      </c>
      <c r="C11" s="3">
        <v>30</v>
      </c>
      <c r="D11" s="107">
        <f t="shared" si="1"/>
        <v>38</v>
      </c>
      <c r="E11" s="110">
        <f t="shared" si="3"/>
        <v>7</v>
      </c>
      <c r="G11" s="6"/>
      <c r="H11" s="10">
        <v>8</v>
      </c>
      <c r="I11" s="10">
        <f>SUM(J4:J11)</f>
        <v>1200</v>
      </c>
      <c r="J11" s="10">
        <f t="shared" si="2"/>
        <v>220</v>
      </c>
      <c r="K11" s="6"/>
      <c r="N11" s="6"/>
    </row>
    <row r="12" spans="1:16" ht="15.75" x14ac:dyDescent="0.3">
      <c r="A12" s="2">
        <v>9</v>
      </c>
      <c r="B12" s="3">
        <f t="shared" si="0"/>
        <v>270</v>
      </c>
      <c r="C12" s="3">
        <v>30</v>
      </c>
      <c r="D12" s="107">
        <f t="shared" si="1"/>
        <v>46</v>
      </c>
      <c r="E12" s="110">
        <f t="shared" si="3"/>
        <v>8</v>
      </c>
      <c r="G12" s="6"/>
      <c r="H12" s="11">
        <v>9</v>
      </c>
      <c r="I12" s="10">
        <f>SUM(J4:J12)</f>
        <v>1440</v>
      </c>
      <c r="J12" s="10">
        <f t="shared" si="2"/>
        <v>240</v>
      </c>
      <c r="K12" s="6"/>
      <c r="N12" s="6"/>
    </row>
    <row r="13" spans="1:16" ht="15.75" x14ac:dyDescent="0.3">
      <c r="A13" s="2">
        <v>10</v>
      </c>
      <c r="B13" s="3">
        <f t="shared" si="0"/>
        <v>300</v>
      </c>
      <c r="C13" s="3">
        <v>30</v>
      </c>
      <c r="D13" s="107">
        <f t="shared" si="1"/>
        <v>55</v>
      </c>
      <c r="E13" s="110">
        <f t="shared" si="3"/>
        <v>9</v>
      </c>
      <c r="G13" s="6"/>
      <c r="H13" s="10">
        <v>10</v>
      </c>
      <c r="I13" s="10">
        <f>SUM(J4:J13)</f>
        <v>1700</v>
      </c>
      <c r="J13" s="10">
        <f t="shared" si="2"/>
        <v>260</v>
      </c>
      <c r="K13" s="6"/>
      <c r="L13" s="6"/>
      <c r="M13" s="6"/>
      <c r="N13" s="6"/>
    </row>
    <row r="14" spans="1:16" ht="15.75" x14ac:dyDescent="0.3">
      <c r="A14" s="2">
        <v>11</v>
      </c>
      <c r="B14" s="3">
        <f t="shared" si="0"/>
        <v>330</v>
      </c>
      <c r="C14" s="3">
        <v>30</v>
      </c>
      <c r="D14" s="107">
        <f t="shared" si="1"/>
        <v>65</v>
      </c>
      <c r="E14" s="110">
        <f t="shared" si="3"/>
        <v>10</v>
      </c>
      <c r="G14" s="6"/>
      <c r="H14" s="6"/>
      <c r="I14" s="6"/>
      <c r="J14" s="6"/>
      <c r="K14" s="6"/>
      <c r="L14" s="6"/>
      <c r="M14" s="6"/>
      <c r="N14" s="6"/>
    </row>
    <row r="15" spans="1:16" ht="15.75" x14ac:dyDescent="0.3">
      <c r="A15" s="2">
        <v>12</v>
      </c>
      <c r="B15" s="3">
        <f>B14+3*A14</f>
        <v>363</v>
      </c>
      <c r="C15" s="3">
        <f>3*A14</f>
        <v>33</v>
      </c>
      <c r="D15" s="107">
        <f t="shared" si="1"/>
        <v>76</v>
      </c>
      <c r="E15" s="110">
        <f t="shared" si="3"/>
        <v>11</v>
      </c>
      <c r="G15" s="6"/>
      <c r="H15" s="6"/>
      <c r="I15" s="6"/>
      <c r="J15" s="6"/>
      <c r="K15" s="6"/>
      <c r="L15" s="6"/>
      <c r="M15" s="6"/>
      <c r="N15" s="6"/>
    </row>
    <row r="16" spans="1:16" ht="15.75" x14ac:dyDescent="0.3">
      <c r="A16" s="2">
        <v>13</v>
      </c>
      <c r="B16" s="3">
        <f t="shared" ref="B16:B51" si="4">B15+3*A15</f>
        <v>399</v>
      </c>
      <c r="C16" s="3">
        <f t="shared" ref="C16:C51" si="5">3*A15</f>
        <v>36</v>
      </c>
      <c r="D16" s="107">
        <f t="shared" si="1"/>
        <v>88</v>
      </c>
      <c r="E16" s="110">
        <f t="shared" si="3"/>
        <v>12</v>
      </c>
      <c r="G16" s="6"/>
      <c r="H16" s="180" t="s">
        <v>31</v>
      </c>
      <c r="I16" s="180" t="s">
        <v>3</v>
      </c>
      <c r="J16" s="180" t="s">
        <v>2</v>
      </c>
      <c r="K16" s="7" t="s">
        <v>727</v>
      </c>
      <c r="L16" s="8"/>
    </row>
    <row r="17" spans="1:16" ht="15.75" x14ac:dyDescent="0.3">
      <c r="A17" s="2">
        <v>14</v>
      </c>
      <c r="B17" s="3">
        <f t="shared" si="4"/>
        <v>438</v>
      </c>
      <c r="C17" s="3">
        <f t="shared" si="5"/>
        <v>39</v>
      </c>
      <c r="D17" s="107">
        <f t="shared" si="1"/>
        <v>101</v>
      </c>
      <c r="E17" s="110">
        <f t="shared" si="3"/>
        <v>13</v>
      </c>
      <c r="H17" s="181">
        <v>20</v>
      </c>
      <c r="I17" s="180">
        <v>1</v>
      </c>
      <c r="J17" s="180">
        <v>1</v>
      </c>
      <c r="K17" s="29">
        <v>25</v>
      </c>
    </row>
    <row r="18" spans="1:16" ht="15.75" x14ac:dyDescent="0.3">
      <c r="A18" s="2">
        <v>15</v>
      </c>
      <c r="B18" s="3">
        <f t="shared" si="4"/>
        <v>480</v>
      </c>
      <c r="C18" s="3">
        <f t="shared" si="5"/>
        <v>42</v>
      </c>
      <c r="D18" s="107">
        <f t="shared" si="1"/>
        <v>115</v>
      </c>
      <c r="E18" s="110">
        <f t="shared" si="3"/>
        <v>14</v>
      </c>
      <c r="H18" s="181">
        <v>60</v>
      </c>
      <c r="I18" s="180">
        <v>2</v>
      </c>
      <c r="J18" s="180">
        <v>1</v>
      </c>
      <c r="K18" s="29">
        <f>K17+5</f>
        <v>30</v>
      </c>
    </row>
    <row r="19" spans="1:16" ht="15.75" x14ac:dyDescent="0.3">
      <c r="A19" s="2">
        <v>16</v>
      </c>
      <c r="B19" s="3">
        <f t="shared" si="4"/>
        <v>525</v>
      </c>
      <c r="C19" s="3">
        <f t="shared" si="5"/>
        <v>45</v>
      </c>
      <c r="D19" s="107">
        <f t="shared" si="1"/>
        <v>130</v>
      </c>
      <c r="E19" s="110">
        <f t="shared" si="3"/>
        <v>15</v>
      </c>
      <c r="H19" s="181">
        <v>120</v>
      </c>
      <c r="I19" s="180">
        <v>3</v>
      </c>
      <c r="J19" s="180">
        <v>1</v>
      </c>
      <c r="K19" s="29">
        <f t="shared" ref="K19:K79" si="6">K18+5</f>
        <v>35</v>
      </c>
    </row>
    <row r="20" spans="1:16" ht="15.75" x14ac:dyDescent="0.3">
      <c r="A20" s="2">
        <v>17</v>
      </c>
      <c r="B20" s="3">
        <f t="shared" si="4"/>
        <v>573</v>
      </c>
      <c r="C20" s="3">
        <f t="shared" si="5"/>
        <v>48</v>
      </c>
      <c r="D20" s="107">
        <f t="shared" si="1"/>
        <v>146</v>
      </c>
      <c r="E20" s="110">
        <f t="shared" si="3"/>
        <v>16</v>
      </c>
      <c r="H20" s="181">
        <v>200</v>
      </c>
      <c r="I20" s="180">
        <v>4</v>
      </c>
      <c r="J20" s="180">
        <v>2</v>
      </c>
      <c r="K20" s="29">
        <f t="shared" si="6"/>
        <v>40</v>
      </c>
      <c r="M20" s="13"/>
    </row>
    <row r="21" spans="1:16" ht="15.75" x14ac:dyDescent="0.3">
      <c r="A21" s="2">
        <v>18</v>
      </c>
      <c r="B21" s="3">
        <f t="shared" si="4"/>
        <v>624</v>
      </c>
      <c r="C21" s="3">
        <f t="shared" si="5"/>
        <v>51</v>
      </c>
      <c r="D21" s="107">
        <f t="shared" si="1"/>
        <v>163</v>
      </c>
      <c r="E21" s="110">
        <f t="shared" si="3"/>
        <v>17</v>
      </c>
      <c r="H21" s="181">
        <v>300</v>
      </c>
      <c r="I21" s="180">
        <v>5</v>
      </c>
      <c r="J21" s="180">
        <v>2</v>
      </c>
      <c r="K21" s="29">
        <f t="shared" si="6"/>
        <v>45</v>
      </c>
    </row>
    <row r="22" spans="1:16" ht="15.75" x14ac:dyDescent="0.3">
      <c r="A22" s="2">
        <v>19</v>
      </c>
      <c r="B22" s="3">
        <f t="shared" si="4"/>
        <v>678</v>
      </c>
      <c r="C22" s="3">
        <f t="shared" si="5"/>
        <v>54</v>
      </c>
      <c r="D22" s="107">
        <f t="shared" si="1"/>
        <v>181</v>
      </c>
      <c r="E22" s="110">
        <f t="shared" si="3"/>
        <v>18</v>
      </c>
      <c r="H22" s="181">
        <v>400</v>
      </c>
      <c r="I22" s="180">
        <v>6</v>
      </c>
      <c r="J22" s="180">
        <v>2</v>
      </c>
      <c r="K22" s="29">
        <f t="shared" si="6"/>
        <v>50</v>
      </c>
    </row>
    <row r="23" spans="1:16" ht="15.75" x14ac:dyDescent="0.3">
      <c r="A23" s="2">
        <v>20</v>
      </c>
      <c r="B23" s="3">
        <f t="shared" si="4"/>
        <v>735</v>
      </c>
      <c r="C23" s="3">
        <f t="shared" si="5"/>
        <v>57</v>
      </c>
      <c r="D23" s="107">
        <f t="shared" si="1"/>
        <v>200</v>
      </c>
      <c r="E23" s="110">
        <f t="shared" si="3"/>
        <v>19</v>
      </c>
      <c r="H23" s="181">
        <v>500</v>
      </c>
      <c r="I23" s="180">
        <v>7</v>
      </c>
      <c r="J23" s="180">
        <v>2</v>
      </c>
      <c r="K23" s="29">
        <f t="shared" si="6"/>
        <v>55</v>
      </c>
    </row>
    <row r="24" spans="1:16" ht="15.75" x14ac:dyDescent="0.3">
      <c r="A24" s="2">
        <v>21</v>
      </c>
      <c r="B24" s="3">
        <f t="shared" si="4"/>
        <v>795</v>
      </c>
      <c r="C24" s="3">
        <f t="shared" si="5"/>
        <v>60</v>
      </c>
      <c r="D24" s="107">
        <f t="shared" si="1"/>
        <v>220</v>
      </c>
      <c r="E24" s="110">
        <f t="shared" si="3"/>
        <v>20</v>
      </c>
      <c r="H24" s="181">
        <v>600</v>
      </c>
      <c r="I24" s="180">
        <v>8</v>
      </c>
      <c r="J24" s="180">
        <v>2</v>
      </c>
      <c r="K24" s="29">
        <f t="shared" si="6"/>
        <v>60</v>
      </c>
      <c r="L24" s="9" t="s">
        <v>82</v>
      </c>
    </row>
    <row r="25" spans="1:16" ht="15.75" x14ac:dyDescent="0.3">
      <c r="A25" s="2">
        <v>22</v>
      </c>
      <c r="B25" s="3">
        <f t="shared" si="4"/>
        <v>858</v>
      </c>
      <c r="C25" s="3">
        <f t="shared" si="5"/>
        <v>63</v>
      </c>
      <c r="D25" s="107">
        <f t="shared" si="1"/>
        <v>241</v>
      </c>
      <c r="E25" s="110">
        <f t="shared" si="3"/>
        <v>21</v>
      </c>
      <c r="H25" s="181">
        <v>700</v>
      </c>
      <c r="I25" s="180">
        <v>9</v>
      </c>
      <c r="J25" s="180">
        <v>3</v>
      </c>
      <c r="K25" s="29">
        <f t="shared" si="6"/>
        <v>65</v>
      </c>
      <c r="L25" s="14" t="s">
        <v>90</v>
      </c>
      <c r="M25" s="9" t="s">
        <v>89</v>
      </c>
    </row>
    <row r="26" spans="1:16" ht="15.75" x14ac:dyDescent="0.3">
      <c r="A26" s="2">
        <v>23</v>
      </c>
      <c r="B26" s="3">
        <f t="shared" si="4"/>
        <v>924</v>
      </c>
      <c r="C26" s="3">
        <f t="shared" si="5"/>
        <v>66</v>
      </c>
      <c r="D26" s="107">
        <f t="shared" si="1"/>
        <v>263</v>
      </c>
      <c r="E26" s="110">
        <f t="shared" si="3"/>
        <v>22</v>
      </c>
      <c r="H26" s="181">
        <v>850</v>
      </c>
      <c r="I26" s="180">
        <v>10</v>
      </c>
      <c r="J26" s="180">
        <v>3</v>
      </c>
      <c r="K26" s="29">
        <f t="shared" si="6"/>
        <v>70</v>
      </c>
      <c r="L26" s="20">
        <v>1</v>
      </c>
      <c r="M26" s="20" t="s">
        <v>91</v>
      </c>
      <c r="N26" s="20" t="s">
        <v>83</v>
      </c>
      <c r="O26" s="20"/>
      <c r="P26" s="20"/>
    </row>
    <row r="27" spans="1:16" ht="15.75" x14ac:dyDescent="0.3">
      <c r="A27" s="2">
        <v>24</v>
      </c>
      <c r="B27" s="3">
        <f t="shared" si="4"/>
        <v>993</v>
      </c>
      <c r="C27" s="3">
        <f t="shared" si="5"/>
        <v>69</v>
      </c>
      <c r="D27" s="107">
        <f t="shared" si="1"/>
        <v>286</v>
      </c>
      <c r="E27" s="110">
        <f t="shared" si="3"/>
        <v>23</v>
      </c>
      <c r="H27" s="181">
        <v>1000</v>
      </c>
      <c r="I27" s="180">
        <v>11</v>
      </c>
      <c r="J27" s="180">
        <v>3</v>
      </c>
      <c r="K27" s="29">
        <f t="shared" si="6"/>
        <v>75</v>
      </c>
      <c r="L27" s="20">
        <v>2</v>
      </c>
      <c r="M27" s="20" t="s">
        <v>100</v>
      </c>
      <c r="N27" s="20" t="s">
        <v>83</v>
      </c>
      <c r="O27" s="20"/>
      <c r="P27" s="20"/>
    </row>
    <row r="28" spans="1:16" ht="15.75" x14ac:dyDescent="0.3">
      <c r="A28" s="2">
        <v>25</v>
      </c>
      <c r="B28" s="3">
        <f t="shared" si="4"/>
        <v>1065</v>
      </c>
      <c r="C28" s="3">
        <f t="shared" si="5"/>
        <v>72</v>
      </c>
      <c r="D28" s="107">
        <f t="shared" si="1"/>
        <v>310</v>
      </c>
      <c r="E28" s="110">
        <f t="shared" si="3"/>
        <v>24</v>
      </c>
      <c r="H28" s="181">
        <v>1150</v>
      </c>
      <c r="I28" s="180">
        <v>12</v>
      </c>
      <c r="J28" s="180">
        <v>3</v>
      </c>
      <c r="K28" s="29">
        <f t="shared" si="6"/>
        <v>80</v>
      </c>
      <c r="L28" s="20">
        <v>3</v>
      </c>
      <c r="M28" s="20" t="s">
        <v>92</v>
      </c>
      <c r="N28" s="20" t="s">
        <v>83</v>
      </c>
      <c r="O28" s="20"/>
      <c r="P28" s="20"/>
    </row>
    <row r="29" spans="1:16" ht="15.75" x14ac:dyDescent="0.3">
      <c r="A29" s="2">
        <v>26</v>
      </c>
      <c r="B29" s="3">
        <f t="shared" si="4"/>
        <v>1140</v>
      </c>
      <c r="C29" s="3">
        <f t="shared" si="5"/>
        <v>75</v>
      </c>
      <c r="D29" s="107">
        <f t="shared" si="1"/>
        <v>335</v>
      </c>
      <c r="E29" s="110">
        <f t="shared" si="3"/>
        <v>25</v>
      </c>
      <c r="H29" s="181">
        <v>1300</v>
      </c>
      <c r="I29" s="180">
        <v>13</v>
      </c>
      <c r="J29" s="180">
        <v>3</v>
      </c>
      <c r="K29" s="29">
        <f t="shared" si="6"/>
        <v>85</v>
      </c>
      <c r="L29" s="20">
        <v>4</v>
      </c>
      <c r="M29" s="20" t="s">
        <v>93</v>
      </c>
      <c r="N29" s="20" t="s">
        <v>83</v>
      </c>
      <c r="O29" s="20"/>
      <c r="P29" s="20"/>
    </row>
    <row r="30" spans="1:16" ht="15.75" x14ac:dyDescent="0.3">
      <c r="A30" s="2">
        <v>27</v>
      </c>
      <c r="B30" s="3">
        <f t="shared" si="4"/>
        <v>1218</v>
      </c>
      <c r="C30" s="3">
        <f t="shared" si="5"/>
        <v>78</v>
      </c>
      <c r="D30" s="107">
        <f t="shared" si="1"/>
        <v>361</v>
      </c>
      <c r="E30" s="110">
        <f t="shared" si="3"/>
        <v>26</v>
      </c>
      <c r="H30" s="181">
        <v>1450</v>
      </c>
      <c r="I30" s="180">
        <v>14</v>
      </c>
      <c r="J30" s="180">
        <v>3</v>
      </c>
      <c r="K30" s="29">
        <f t="shared" si="6"/>
        <v>90</v>
      </c>
      <c r="L30" s="20">
        <v>5</v>
      </c>
      <c r="M30" s="20" t="s">
        <v>94</v>
      </c>
      <c r="N30" s="20" t="s">
        <v>83</v>
      </c>
      <c r="O30" s="20"/>
      <c r="P30" s="20"/>
    </row>
    <row r="31" spans="1:16" ht="16.5" x14ac:dyDescent="0.3">
      <c r="A31" s="2">
        <v>28</v>
      </c>
      <c r="B31" s="3">
        <f t="shared" si="4"/>
        <v>1299</v>
      </c>
      <c r="C31" s="3">
        <f t="shared" si="5"/>
        <v>81</v>
      </c>
      <c r="D31" s="107">
        <f t="shared" si="1"/>
        <v>388</v>
      </c>
      <c r="E31" s="110">
        <f t="shared" si="3"/>
        <v>27</v>
      </c>
      <c r="H31" s="181">
        <v>1600</v>
      </c>
      <c r="I31" s="180">
        <v>15</v>
      </c>
      <c r="J31" s="180">
        <v>3</v>
      </c>
      <c r="K31" s="29">
        <f t="shared" si="6"/>
        <v>95</v>
      </c>
      <c r="L31" s="20">
        <v>6</v>
      </c>
      <c r="M31" s="15" t="s">
        <v>95</v>
      </c>
      <c r="N31" s="20" t="s">
        <v>84</v>
      </c>
      <c r="O31" s="20"/>
      <c r="P31" s="20"/>
    </row>
    <row r="32" spans="1:16" ht="16.5" x14ac:dyDescent="0.3">
      <c r="A32" s="2">
        <v>29</v>
      </c>
      <c r="B32" s="3">
        <f t="shared" si="4"/>
        <v>1383</v>
      </c>
      <c r="C32" s="3">
        <f t="shared" si="5"/>
        <v>84</v>
      </c>
      <c r="D32" s="107">
        <f t="shared" si="1"/>
        <v>416</v>
      </c>
      <c r="E32" s="110">
        <f t="shared" si="3"/>
        <v>28</v>
      </c>
      <c r="H32" s="181">
        <v>1750</v>
      </c>
      <c r="I32" s="180">
        <v>16</v>
      </c>
      <c r="J32" s="180">
        <v>4</v>
      </c>
      <c r="K32" s="29">
        <f t="shared" si="6"/>
        <v>100</v>
      </c>
      <c r="L32" s="20">
        <v>7</v>
      </c>
      <c r="M32" s="15" t="s">
        <v>95</v>
      </c>
      <c r="N32" s="20" t="s">
        <v>84</v>
      </c>
      <c r="O32" s="20"/>
      <c r="P32" s="20"/>
    </row>
    <row r="33" spans="1:16" ht="16.5" x14ac:dyDescent="0.3">
      <c r="A33" s="2">
        <v>30</v>
      </c>
      <c r="B33" s="3">
        <f t="shared" si="4"/>
        <v>1470</v>
      </c>
      <c r="C33" s="3">
        <f t="shared" si="5"/>
        <v>87</v>
      </c>
      <c r="D33" s="107">
        <f t="shared" si="1"/>
        <v>445</v>
      </c>
      <c r="E33" s="110">
        <f t="shared" si="3"/>
        <v>29</v>
      </c>
      <c r="H33" s="181">
        <v>1950</v>
      </c>
      <c r="I33" s="180">
        <v>17</v>
      </c>
      <c r="J33" s="180">
        <v>4</v>
      </c>
      <c r="K33" s="29">
        <f t="shared" si="6"/>
        <v>105</v>
      </c>
      <c r="L33" s="20">
        <v>8</v>
      </c>
      <c r="M33" s="15" t="s">
        <v>95</v>
      </c>
      <c r="N33" s="20" t="s">
        <v>84</v>
      </c>
      <c r="O33" s="20"/>
      <c r="P33" s="20"/>
    </row>
    <row r="34" spans="1:16" ht="16.5" x14ac:dyDescent="0.3">
      <c r="A34" s="2">
        <v>31</v>
      </c>
      <c r="B34" s="3">
        <f t="shared" si="4"/>
        <v>1560</v>
      </c>
      <c r="C34" s="3">
        <f t="shared" si="5"/>
        <v>90</v>
      </c>
      <c r="D34" s="107">
        <f t="shared" si="1"/>
        <v>475</v>
      </c>
      <c r="E34" s="110">
        <f t="shared" si="3"/>
        <v>30</v>
      </c>
      <c r="H34" s="181">
        <v>2150</v>
      </c>
      <c r="I34" s="180">
        <v>18</v>
      </c>
      <c r="J34" s="180">
        <v>4</v>
      </c>
      <c r="K34" s="29">
        <f t="shared" si="6"/>
        <v>110</v>
      </c>
      <c r="L34" s="20">
        <v>9</v>
      </c>
      <c r="M34" s="15" t="s">
        <v>95</v>
      </c>
      <c r="N34" s="20" t="s">
        <v>84</v>
      </c>
      <c r="O34" s="20"/>
      <c r="P34" s="20"/>
    </row>
    <row r="35" spans="1:16" ht="16.5" x14ac:dyDescent="0.3">
      <c r="A35" s="2">
        <v>32</v>
      </c>
      <c r="B35" s="3">
        <f t="shared" si="4"/>
        <v>1653</v>
      </c>
      <c r="C35" s="3">
        <f t="shared" si="5"/>
        <v>93</v>
      </c>
      <c r="D35" s="107">
        <f t="shared" si="1"/>
        <v>506</v>
      </c>
      <c r="E35" s="110">
        <f t="shared" si="3"/>
        <v>31</v>
      </c>
      <c r="H35" s="181">
        <v>2350</v>
      </c>
      <c r="I35" s="180">
        <v>19</v>
      </c>
      <c r="J35" s="180">
        <v>4</v>
      </c>
      <c r="K35" s="29">
        <f t="shared" si="6"/>
        <v>115</v>
      </c>
      <c r="L35" s="20">
        <v>10</v>
      </c>
      <c r="M35" s="15" t="s">
        <v>96</v>
      </c>
      <c r="N35" s="20" t="s">
        <v>85</v>
      </c>
      <c r="O35" s="20"/>
      <c r="P35" s="20"/>
    </row>
    <row r="36" spans="1:16" ht="16.5" x14ac:dyDescent="0.3">
      <c r="A36" s="2">
        <v>33</v>
      </c>
      <c r="B36" s="3">
        <f t="shared" si="4"/>
        <v>1749</v>
      </c>
      <c r="C36" s="3">
        <f t="shared" si="5"/>
        <v>96</v>
      </c>
      <c r="D36" s="107">
        <f t="shared" si="1"/>
        <v>538</v>
      </c>
      <c r="E36" s="110">
        <f t="shared" si="3"/>
        <v>32</v>
      </c>
      <c r="H36" s="181">
        <v>2550</v>
      </c>
      <c r="I36" s="180">
        <v>20</v>
      </c>
      <c r="J36" s="180">
        <v>4</v>
      </c>
      <c r="K36" s="29">
        <f t="shared" si="6"/>
        <v>120</v>
      </c>
      <c r="L36" s="20">
        <v>11</v>
      </c>
      <c r="M36" s="15" t="s">
        <v>96</v>
      </c>
      <c r="N36" s="20" t="s">
        <v>85</v>
      </c>
      <c r="O36" s="20"/>
      <c r="P36" s="20"/>
    </row>
    <row r="37" spans="1:16" ht="16.5" x14ac:dyDescent="0.3">
      <c r="A37" s="2">
        <v>34</v>
      </c>
      <c r="B37" s="3">
        <f t="shared" si="4"/>
        <v>1848</v>
      </c>
      <c r="C37" s="3">
        <f t="shared" si="5"/>
        <v>99</v>
      </c>
      <c r="D37" s="107">
        <f t="shared" si="1"/>
        <v>571</v>
      </c>
      <c r="E37" s="110">
        <f t="shared" si="3"/>
        <v>33</v>
      </c>
      <c r="H37" s="181">
        <v>2750</v>
      </c>
      <c r="I37" s="180">
        <v>21</v>
      </c>
      <c r="J37" s="180">
        <v>4</v>
      </c>
      <c r="K37" s="29">
        <f t="shared" si="6"/>
        <v>125</v>
      </c>
      <c r="L37" s="20">
        <v>12</v>
      </c>
      <c r="M37" s="15" t="s">
        <v>97</v>
      </c>
      <c r="N37" s="20" t="s">
        <v>86</v>
      </c>
      <c r="O37" s="20"/>
      <c r="P37" s="20"/>
    </row>
    <row r="38" spans="1:16" ht="16.5" x14ac:dyDescent="0.3">
      <c r="A38" s="2">
        <v>35</v>
      </c>
      <c r="B38" s="3">
        <f t="shared" si="4"/>
        <v>1950</v>
      </c>
      <c r="C38" s="3">
        <f t="shared" si="5"/>
        <v>102</v>
      </c>
      <c r="D38" s="107">
        <f t="shared" si="1"/>
        <v>605</v>
      </c>
      <c r="E38" s="110">
        <f t="shared" si="3"/>
        <v>34</v>
      </c>
      <c r="H38" s="181">
        <v>2950</v>
      </c>
      <c r="I38" s="180">
        <v>22</v>
      </c>
      <c r="J38" s="180">
        <v>4</v>
      </c>
      <c r="K38" s="29">
        <f t="shared" si="6"/>
        <v>130</v>
      </c>
      <c r="L38" s="20">
        <v>13</v>
      </c>
      <c r="M38" s="15" t="s">
        <v>98</v>
      </c>
      <c r="N38" s="20" t="s">
        <v>88</v>
      </c>
      <c r="O38" s="20"/>
      <c r="P38" s="20"/>
    </row>
    <row r="39" spans="1:16" ht="16.5" x14ac:dyDescent="0.3">
      <c r="A39" s="2">
        <v>36</v>
      </c>
      <c r="B39" s="3">
        <f t="shared" si="4"/>
        <v>2055</v>
      </c>
      <c r="C39" s="3">
        <f t="shared" si="5"/>
        <v>105</v>
      </c>
      <c r="D39" s="107">
        <f t="shared" si="1"/>
        <v>640</v>
      </c>
      <c r="E39" s="110">
        <f t="shared" si="3"/>
        <v>35</v>
      </c>
      <c r="H39" s="181">
        <v>3150</v>
      </c>
      <c r="I39" s="180">
        <v>23</v>
      </c>
      <c r="J39" s="180">
        <v>4</v>
      </c>
      <c r="K39" s="29">
        <f t="shared" si="6"/>
        <v>135</v>
      </c>
      <c r="L39" s="20">
        <v>14</v>
      </c>
      <c r="M39" s="15" t="s">
        <v>98</v>
      </c>
      <c r="N39" s="20" t="s">
        <v>88</v>
      </c>
      <c r="O39" s="20"/>
      <c r="P39" s="20"/>
    </row>
    <row r="40" spans="1:16" ht="16.5" x14ac:dyDescent="0.3">
      <c r="A40" s="2">
        <v>37</v>
      </c>
      <c r="B40" s="3">
        <f t="shared" si="4"/>
        <v>2163</v>
      </c>
      <c r="C40" s="3">
        <f t="shared" si="5"/>
        <v>108</v>
      </c>
      <c r="D40" s="107">
        <f t="shared" si="1"/>
        <v>676</v>
      </c>
      <c r="E40" s="110">
        <f t="shared" si="3"/>
        <v>36</v>
      </c>
      <c r="H40" s="181">
        <v>3350</v>
      </c>
      <c r="I40" s="180">
        <v>24</v>
      </c>
      <c r="J40" s="180">
        <v>4</v>
      </c>
      <c r="K40" s="29">
        <f t="shared" si="6"/>
        <v>140</v>
      </c>
      <c r="L40" s="20">
        <v>15</v>
      </c>
      <c r="M40" s="15" t="s">
        <v>98</v>
      </c>
      <c r="N40" s="9" t="s">
        <v>88</v>
      </c>
    </row>
    <row r="41" spans="1:16" ht="16.5" x14ac:dyDescent="0.3">
      <c r="A41" s="2">
        <v>38</v>
      </c>
      <c r="B41" s="3">
        <f t="shared" si="4"/>
        <v>2274</v>
      </c>
      <c r="C41" s="3">
        <f t="shared" si="5"/>
        <v>111</v>
      </c>
      <c r="D41" s="107">
        <f t="shared" si="1"/>
        <v>713</v>
      </c>
      <c r="E41" s="110">
        <f t="shared" si="3"/>
        <v>37</v>
      </c>
      <c r="H41" s="181">
        <v>3550</v>
      </c>
      <c r="I41" s="180">
        <v>25</v>
      </c>
      <c r="J41" s="180">
        <v>5</v>
      </c>
      <c r="K41" s="29">
        <f t="shared" si="6"/>
        <v>145</v>
      </c>
      <c r="L41" s="20">
        <v>16</v>
      </c>
      <c r="M41" s="15" t="s">
        <v>98</v>
      </c>
      <c r="N41" s="9" t="s">
        <v>88</v>
      </c>
    </row>
    <row r="42" spans="1:16" ht="16.5" x14ac:dyDescent="0.3">
      <c r="A42" s="2">
        <v>39</v>
      </c>
      <c r="B42" s="3">
        <f t="shared" si="4"/>
        <v>2388</v>
      </c>
      <c r="C42" s="3">
        <f t="shared" si="5"/>
        <v>114</v>
      </c>
      <c r="D42" s="107">
        <f t="shared" si="1"/>
        <v>751</v>
      </c>
      <c r="E42" s="110">
        <f t="shared" si="3"/>
        <v>38</v>
      </c>
      <c r="H42" s="181">
        <v>3800</v>
      </c>
      <c r="I42" s="180">
        <v>26</v>
      </c>
      <c r="J42" s="180">
        <v>5</v>
      </c>
      <c r="K42" s="29">
        <f t="shared" si="6"/>
        <v>150</v>
      </c>
      <c r="L42" s="20">
        <v>17</v>
      </c>
      <c r="M42" s="15" t="s">
        <v>99</v>
      </c>
      <c r="N42" s="9" t="s">
        <v>87</v>
      </c>
    </row>
    <row r="43" spans="1:16" ht="15.75" x14ac:dyDescent="0.3">
      <c r="A43" s="2">
        <v>40</v>
      </c>
      <c r="B43" s="3">
        <f t="shared" si="4"/>
        <v>2505</v>
      </c>
      <c r="C43" s="3">
        <f t="shared" si="5"/>
        <v>117</v>
      </c>
      <c r="D43" s="107">
        <f t="shared" si="1"/>
        <v>790</v>
      </c>
      <c r="E43" s="110">
        <f t="shared" si="3"/>
        <v>39</v>
      </c>
      <c r="H43" s="181">
        <v>4050</v>
      </c>
      <c r="I43" s="180">
        <v>27</v>
      </c>
      <c r="J43" s="180">
        <v>5</v>
      </c>
      <c r="K43" s="29">
        <f t="shared" si="6"/>
        <v>155</v>
      </c>
    </row>
    <row r="44" spans="1:16" ht="15.75" x14ac:dyDescent="0.3">
      <c r="A44" s="2">
        <v>41</v>
      </c>
      <c r="B44" s="3">
        <f t="shared" si="4"/>
        <v>2625</v>
      </c>
      <c r="C44" s="3">
        <f t="shared" si="5"/>
        <v>120</v>
      </c>
      <c r="D44" s="107">
        <f t="shared" si="1"/>
        <v>830</v>
      </c>
      <c r="E44" s="110">
        <f t="shared" si="3"/>
        <v>40</v>
      </c>
      <c r="H44" s="181">
        <v>4300</v>
      </c>
      <c r="I44" s="180">
        <v>28</v>
      </c>
      <c r="J44" s="180">
        <v>5</v>
      </c>
      <c r="K44" s="29">
        <f t="shared" si="6"/>
        <v>160</v>
      </c>
      <c r="L44" s="9" t="str">
        <f>IF(-'NPC-Rechner'!L31&gt;0,(IF(-'NPC-Rechner'!L31&lt;17,(INDEX(L26:M41,-'NPC-Rechner'!L31,2)),M42)),M25)</f>
        <v>geschafft</v>
      </c>
    </row>
    <row r="45" spans="1:16" ht="15.75" x14ac:dyDescent="0.3">
      <c r="A45" s="2">
        <v>42</v>
      </c>
      <c r="B45" s="3">
        <f t="shared" si="4"/>
        <v>2748</v>
      </c>
      <c r="C45" s="3">
        <f t="shared" si="5"/>
        <v>123</v>
      </c>
      <c r="D45" s="107">
        <f t="shared" si="1"/>
        <v>871</v>
      </c>
      <c r="E45" s="110">
        <f t="shared" si="3"/>
        <v>41</v>
      </c>
      <c r="H45" s="181">
        <v>4550</v>
      </c>
      <c r="I45" s="180">
        <v>29</v>
      </c>
      <c r="J45" s="180">
        <v>5</v>
      </c>
      <c r="K45" s="29">
        <f t="shared" si="6"/>
        <v>165</v>
      </c>
    </row>
    <row r="46" spans="1:16" ht="15.75" x14ac:dyDescent="0.3">
      <c r="A46" s="2">
        <v>43</v>
      </c>
      <c r="B46" s="3">
        <f t="shared" si="4"/>
        <v>2874</v>
      </c>
      <c r="C46" s="3">
        <f t="shared" si="5"/>
        <v>126</v>
      </c>
      <c r="D46" s="107">
        <f t="shared" si="1"/>
        <v>913</v>
      </c>
      <c r="E46" s="110">
        <f t="shared" si="3"/>
        <v>42</v>
      </c>
      <c r="H46" s="181">
        <v>4800</v>
      </c>
      <c r="I46" s="180">
        <v>30</v>
      </c>
      <c r="J46" s="180">
        <v>5</v>
      </c>
      <c r="K46" s="29">
        <f t="shared" si="6"/>
        <v>170</v>
      </c>
    </row>
    <row r="47" spans="1:16" ht="15.75" x14ac:dyDescent="0.3">
      <c r="A47" s="2">
        <v>44</v>
      </c>
      <c r="B47" s="3">
        <f t="shared" si="4"/>
        <v>3003</v>
      </c>
      <c r="C47" s="3">
        <f t="shared" si="5"/>
        <v>129</v>
      </c>
      <c r="D47" s="107">
        <f t="shared" si="1"/>
        <v>956</v>
      </c>
      <c r="E47" s="110">
        <f t="shared" si="3"/>
        <v>43</v>
      </c>
      <c r="H47" s="181">
        <v>5050</v>
      </c>
      <c r="I47" s="180">
        <v>31</v>
      </c>
      <c r="J47" s="180">
        <v>5</v>
      </c>
      <c r="K47" s="29">
        <f t="shared" si="6"/>
        <v>175</v>
      </c>
    </row>
    <row r="48" spans="1:16" ht="15.75" x14ac:dyDescent="0.3">
      <c r="A48" s="2">
        <v>45</v>
      </c>
      <c r="B48" s="3">
        <f t="shared" si="4"/>
        <v>3135</v>
      </c>
      <c r="C48" s="3">
        <f t="shared" si="5"/>
        <v>132</v>
      </c>
      <c r="D48" s="107">
        <f t="shared" si="1"/>
        <v>1000</v>
      </c>
      <c r="E48" s="110">
        <f t="shared" si="3"/>
        <v>44</v>
      </c>
      <c r="H48" s="181">
        <v>5300</v>
      </c>
      <c r="I48" s="180">
        <v>32</v>
      </c>
      <c r="J48" s="180">
        <v>5</v>
      </c>
      <c r="K48" s="29">
        <f t="shared" si="6"/>
        <v>180</v>
      </c>
    </row>
    <row r="49" spans="1:11" ht="15.75" x14ac:dyDescent="0.3">
      <c r="A49" s="2">
        <v>46</v>
      </c>
      <c r="B49" s="3">
        <f t="shared" si="4"/>
        <v>3270</v>
      </c>
      <c r="C49" s="3">
        <f t="shared" si="5"/>
        <v>135</v>
      </c>
      <c r="D49" s="107">
        <f t="shared" si="1"/>
        <v>1045</v>
      </c>
      <c r="E49" s="110">
        <f t="shared" si="3"/>
        <v>45</v>
      </c>
      <c r="H49" s="181">
        <v>5550</v>
      </c>
      <c r="I49" s="180">
        <v>33</v>
      </c>
      <c r="J49" s="180">
        <v>5</v>
      </c>
      <c r="K49" s="29">
        <f t="shared" si="6"/>
        <v>185</v>
      </c>
    </row>
    <row r="50" spans="1:11" ht="15.75" x14ac:dyDescent="0.3">
      <c r="A50" s="2">
        <v>47</v>
      </c>
      <c r="B50" s="3">
        <f t="shared" si="4"/>
        <v>3408</v>
      </c>
      <c r="C50" s="3">
        <f t="shared" si="5"/>
        <v>138</v>
      </c>
      <c r="D50" s="107">
        <f t="shared" si="1"/>
        <v>1091</v>
      </c>
      <c r="E50" s="110">
        <f t="shared" si="3"/>
        <v>46</v>
      </c>
      <c r="H50" s="181">
        <v>5800</v>
      </c>
      <c r="I50" s="180">
        <v>34</v>
      </c>
      <c r="J50" s="180">
        <v>5</v>
      </c>
      <c r="K50" s="29">
        <f t="shared" si="6"/>
        <v>190</v>
      </c>
    </row>
    <row r="51" spans="1:11" ht="16.5" thickBot="1" x14ac:dyDescent="0.35">
      <c r="A51" s="4">
        <v>48</v>
      </c>
      <c r="B51" s="5">
        <f t="shared" si="4"/>
        <v>3549</v>
      </c>
      <c r="C51" s="5">
        <f t="shared" si="5"/>
        <v>141</v>
      </c>
      <c r="D51" s="108">
        <f t="shared" si="1"/>
        <v>1138</v>
      </c>
      <c r="E51" s="111">
        <f t="shared" si="3"/>
        <v>47</v>
      </c>
      <c r="H51" s="181">
        <v>6050</v>
      </c>
      <c r="I51" s="180">
        <v>35</v>
      </c>
      <c r="J51" s="180">
        <v>5</v>
      </c>
      <c r="K51" s="29">
        <f t="shared" si="6"/>
        <v>195</v>
      </c>
    </row>
    <row r="52" spans="1:11" ht="16.5" thickBot="1" x14ac:dyDescent="0.35">
      <c r="A52" s="4">
        <v>49</v>
      </c>
      <c r="B52" s="5">
        <f>B51+3*A51</f>
        <v>3693</v>
      </c>
      <c r="C52" s="5">
        <f>3*A51</f>
        <v>144</v>
      </c>
      <c r="D52" s="108">
        <f>D51+A52-1</f>
        <v>1186</v>
      </c>
      <c r="E52" s="111">
        <f>A52-1</f>
        <v>48</v>
      </c>
      <c r="H52" s="181">
        <v>6300</v>
      </c>
      <c r="I52" s="180">
        <v>36</v>
      </c>
      <c r="J52" s="180">
        <v>6</v>
      </c>
      <c r="K52" s="29">
        <f t="shared" si="6"/>
        <v>200</v>
      </c>
    </row>
    <row r="53" spans="1:11" ht="16.5" thickBot="1" x14ac:dyDescent="0.35">
      <c r="A53" s="4">
        <v>50</v>
      </c>
      <c r="B53" s="5">
        <f>B52+3*A52</f>
        <v>3840</v>
      </c>
      <c r="C53" s="5">
        <f>3*A52</f>
        <v>147</v>
      </c>
      <c r="D53" s="108">
        <f>D52+A53-1</f>
        <v>1235</v>
      </c>
      <c r="E53" s="111">
        <f>A53-1</f>
        <v>49</v>
      </c>
      <c r="H53" s="181">
        <v>6600</v>
      </c>
      <c r="I53" s="180">
        <v>37</v>
      </c>
      <c r="J53" s="180">
        <v>6</v>
      </c>
      <c r="K53" s="29">
        <f t="shared" si="6"/>
        <v>205</v>
      </c>
    </row>
    <row r="54" spans="1:11" ht="16.5" thickBot="1" x14ac:dyDescent="0.35">
      <c r="A54" s="4">
        <v>51</v>
      </c>
      <c r="B54" s="5">
        <f>B53+3*A53</f>
        <v>3990</v>
      </c>
      <c r="C54" s="5">
        <f>3*A53</f>
        <v>150</v>
      </c>
      <c r="D54" s="108">
        <f>D53+A54-1</f>
        <v>1285</v>
      </c>
      <c r="E54" s="111">
        <f>A54-1</f>
        <v>50</v>
      </c>
      <c r="H54" s="181">
        <v>6900</v>
      </c>
      <c r="I54" s="180">
        <v>38</v>
      </c>
      <c r="J54" s="180">
        <v>6</v>
      </c>
      <c r="K54" s="29">
        <f t="shared" si="6"/>
        <v>210</v>
      </c>
    </row>
    <row r="55" spans="1:11" ht="16.5" thickBot="1" x14ac:dyDescent="0.35">
      <c r="A55" s="4">
        <v>52</v>
      </c>
      <c r="B55" s="5">
        <f t="shared" ref="B55:B67" si="7">B54+3*A54</f>
        <v>4143</v>
      </c>
      <c r="C55" s="5">
        <f t="shared" ref="C55:C67" si="8">3*A54</f>
        <v>153</v>
      </c>
      <c r="D55" s="108">
        <f t="shared" ref="D55:D67" si="9">D54+A55-1</f>
        <v>1336</v>
      </c>
      <c r="E55" s="111">
        <f t="shared" ref="E55:E67" si="10">A55-1</f>
        <v>51</v>
      </c>
      <c r="H55" s="181">
        <v>7200</v>
      </c>
      <c r="I55" s="180">
        <v>39</v>
      </c>
      <c r="J55" s="180">
        <v>6</v>
      </c>
      <c r="K55" s="29">
        <f t="shared" si="6"/>
        <v>215</v>
      </c>
    </row>
    <row r="56" spans="1:11" ht="16.5" thickBot="1" x14ac:dyDescent="0.35">
      <c r="A56" s="4">
        <v>53</v>
      </c>
      <c r="B56" s="5">
        <f t="shared" si="7"/>
        <v>4299</v>
      </c>
      <c r="C56" s="5">
        <f t="shared" si="8"/>
        <v>156</v>
      </c>
      <c r="D56" s="108">
        <f t="shared" si="9"/>
        <v>1388</v>
      </c>
      <c r="E56" s="111">
        <f t="shared" si="10"/>
        <v>52</v>
      </c>
      <c r="H56" s="181">
        <v>7500</v>
      </c>
      <c r="I56" s="180">
        <v>40</v>
      </c>
      <c r="J56" s="180">
        <v>6</v>
      </c>
      <c r="K56" s="29">
        <f t="shared" si="6"/>
        <v>220</v>
      </c>
    </row>
    <row r="57" spans="1:11" ht="16.5" thickBot="1" x14ac:dyDescent="0.35">
      <c r="A57" s="4">
        <v>54</v>
      </c>
      <c r="B57" s="5">
        <f t="shared" si="7"/>
        <v>4458</v>
      </c>
      <c r="C57" s="5">
        <f t="shared" si="8"/>
        <v>159</v>
      </c>
      <c r="D57" s="108">
        <f t="shared" si="9"/>
        <v>1441</v>
      </c>
      <c r="E57" s="111">
        <f t="shared" si="10"/>
        <v>53</v>
      </c>
      <c r="H57" s="181">
        <v>7800</v>
      </c>
      <c r="I57" s="180">
        <v>41</v>
      </c>
      <c r="J57" s="180">
        <v>6</v>
      </c>
      <c r="K57" s="29">
        <f t="shared" si="6"/>
        <v>225</v>
      </c>
    </row>
    <row r="58" spans="1:11" ht="16.5" thickBot="1" x14ac:dyDescent="0.35">
      <c r="A58" s="4">
        <v>55</v>
      </c>
      <c r="B58" s="5">
        <f t="shared" si="7"/>
        <v>4620</v>
      </c>
      <c r="C58" s="5">
        <f t="shared" si="8"/>
        <v>162</v>
      </c>
      <c r="D58" s="108">
        <f t="shared" si="9"/>
        <v>1495</v>
      </c>
      <c r="E58" s="111">
        <f t="shared" si="10"/>
        <v>54</v>
      </c>
      <c r="H58" s="181">
        <v>8100</v>
      </c>
      <c r="I58" s="180">
        <v>42</v>
      </c>
      <c r="J58" s="180">
        <v>6</v>
      </c>
      <c r="K58" s="29">
        <f t="shared" si="6"/>
        <v>230</v>
      </c>
    </row>
    <row r="59" spans="1:11" ht="16.5" thickBot="1" x14ac:dyDescent="0.35">
      <c r="A59" s="4">
        <v>56</v>
      </c>
      <c r="B59" s="5">
        <f t="shared" si="7"/>
        <v>4785</v>
      </c>
      <c r="C59" s="5">
        <f t="shared" si="8"/>
        <v>165</v>
      </c>
      <c r="D59" s="108">
        <f t="shared" si="9"/>
        <v>1550</v>
      </c>
      <c r="E59" s="111">
        <f t="shared" si="10"/>
        <v>55</v>
      </c>
      <c r="H59" s="181">
        <v>8400</v>
      </c>
      <c r="I59" s="180">
        <v>43</v>
      </c>
      <c r="J59" s="180">
        <v>6</v>
      </c>
      <c r="K59" s="29">
        <f t="shared" si="6"/>
        <v>235</v>
      </c>
    </row>
    <row r="60" spans="1:11" ht="16.5" thickBot="1" x14ac:dyDescent="0.35">
      <c r="A60" s="4">
        <v>57</v>
      </c>
      <c r="B60" s="5">
        <f t="shared" si="7"/>
        <v>4953</v>
      </c>
      <c r="C60" s="5">
        <f t="shared" si="8"/>
        <v>168</v>
      </c>
      <c r="D60" s="108">
        <f t="shared" si="9"/>
        <v>1606</v>
      </c>
      <c r="E60" s="111">
        <f t="shared" si="10"/>
        <v>56</v>
      </c>
      <c r="H60" s="181">
        <v>8700</v>
      </c>
      <c r="I60" s="180">
        <v>44</v>
      </c>
      <c r="J60" s="180">
        <v>6</v>
      </c>
      <c r="K60" s="29">
        <f t="shared" si="6"/>
        <v>240</v>
      </c>
    </row>
    <row r="61" spans="1:11" ht="16.5" thickBot="1" x14ac:dyDescent="0.35">
      <c r="A61" s="4">
        <v>58</v>
      </c>
      <c r="B61" s="5">
        <f t="shared" si="7"/>
        <v>5124</v>
      </c>
      <c r="C61" s="5">
        <f t="shared" si="8"/>
        <v>171</v>
      </c>
      <c r="D61" s="108">
        <f t="shared" si="9"/>
        <v>1663</v>
      </c>
      <c r="E61" s="111">
        <f t="shared" si="10"/>
        <v>57</v>
      </c>
      <c r="H61" s="181">
        <v>9000</v>
      </c>
      <c r="I61" s="180">
        <v>45</v>
      </c>
      <c r="J61" s="180">
        <v>6</v>
      </c>
      <c r="K61" s="29">
        <f t="shared" si="6"/>
        <v>245</v>
      </c>
    </row>
    <row r="62" spans="1:11" ht="16.5" thickBot="1" x14ac:dyDescent="0.35">
      <c r="A62" s="4">
        <v>59</v>
      </c>
      <c r="B62" s="5">
        <f t="shared" si="7"/>
        <v>5298</v>
      </c>
      <c r="C62" s="5">
        <f t="shared" si="8"/>
        <v>174</v>
      </c>
      <c r="D62" s="108">
        <f t="shared" si="9"/>
        <v>1721</v>
      </c>
      <c r="E62" s="111">
        <f t="shared" si="10"/>
        <v>58</v>
      </c>
      <c r="H62" s="181">
        <v>9300</v>
      </c>
      <c r="I62" s="180">
        <v>46</v>
      </c>
      <c r="J62" s="180">
        <v>6</v>
      </c>
      <c r="K62" s="29">
        <f t="shared" si="6"/>
        <v>250</v>
      </c>
    </row>
    <row r="63" spans="1:11" ht="16.5" thickBot="1" x14ac:dyDescent="0.35">
      <c r="A63" s="4">
        <v>60</v>
      </c>
      <c r="B63" s="5">
        <f t="shared" si="7"/>
        <v>5475</v>
      </c>
      <c r="C63" s="5">
        <f t="shared" si="8"/>
        <v>177</v>
      </c>
      <c r="D63" s="108">
        <f t="shared" si="9"/>
        <v>1780</v>
      </c>
      <c r="E63" s="111">
        <f t="shared" si="10"/>
        <v>59</v>
      </c>
      <c r="H63" s="181">
        <v>9600</v>
      </c>
      <c r="I63" s="180">
        <v>47</v>
      </c>
      <c r="J63" s="180">
        <v>6</v>
      </c>
      <c r="K63" s="29">
        <f t="shared" si="6"/>
        <v>255</v>
      </c>
    </row>
    <row r="64" spans="1:11" ht="16.5" thickBot="1" x14ac:dyDescent="0.35">
      <c r="A64" s="4">
        <v>61</v>
      </c>
      <c r="B64" s="5">
        <f t="shared" si="7"/>
        <v>5655</v>
      </c>
      <c r="C64" s="5">
        <f t="shared" si="8"/>
        <v>180</v>
      </c>
      <c r="D64" s="108">
        <f t="shared" si="9"/>
        <v>1840</v>
      </c>
      <c r="E64" s="111">
        <f t="shared" si="10"/>
        <v>60</v>
      </c>
      <c r="H64" s="181">
        <v>9900</v>
      </c>
      <c r="I64" s="180">
        <v>48</v>
      </c>
      <c r="J64" s="180">
        <v>6</v>
      </c>
      <c r="K64" s="29">
        <f t="shared" si="6"/>
        <v>260</v>
      </c>
    </row>
    <row r="65" spans="1:11" ht="16.5" thickBot="1" x14ac:dyDescent="0.35">
      <c r="A65" s="4">
        <v>62</v>
      </c>
      <c r="B65" s="5">
        <f t="shared" si="7"/>
        <v>5838</v>
      </c>
      <c r="C65" s="5">
        <f t="shared" si="8"/>
        <v>183</v>
      </c>
      <c r="D65" s="108">
        <f t="shared" si="9"/>
        <v>1901</v>
      </c>
      <c r="E65" s="111">
        <f t="shared" si="10"/>
        <v>61</v>
      </c>
      <c r="H65" s="181">
        <v>10250</v>
      </c>
      <c r="I65" s="180">
        <v>49</v>
      </c>
      <c r="J65" s="180">
        <v>7</v>
      </c>
      <c r="K65" s="29">
        <f t="shared" si="6"/>
        <v>265</v>
      </c>
    </row>
    <row r="66" spans="1:11" ht="16.5" thickBot="1" x14ac:dyDescent="0.35">
      <c r="A66" s="4">
        <v>63</v>
      </c>
      <c r="B66" s="5">
        <f t="shared" si="7"/>
        <v>6024</v>
      </c>
      <c r="C66" s="5">
        <f t="shared" si="8"/>
        <v>186</v>
      </c>
      <c r="D66" s="108">
        <f t="shared" si="9"/>
        <v>1963</v>
      </c>
      <c r="E66" s="111">
        <f t="shared" si="10"/>
        <v>62</v>
      </c>
      <c r="H66" s="181">
        <v>10600</v>
      </c>
      <c r="I66" s="180">
        <v>50</v>
      </c>
      <c r="J66" s="180">
        <v>7</v>
      </c>
      <c r="K66" s="29">
        <f t="shared" si="6"/>
        <v>270</v>
      </c>
    </row>
    <row r="67" spans="1:11" ht="16.5" thickBot="1" x14ac:dyDescent="0.35">
      <c r="A67" s="4">
        <v>64</v>
      </c>
      <c r="B67" s="5">
        <f t="shared" si="7"/>
        <v>6213</v>
      </c>
      <c r="C67" s="5">
        <f t="shared" si="8"/>
        <v>189</v>
      </c>
      <c r="D67" s="108">
        <f t="shared" si="9"/>
        <v>2026</v>
      </c>
      <c r="E67" s="111">
        <f t="shared" si="10"/>
        <v>63</v>
      </c>
      <c r="H67" s="181">
        <v>10950</v>
      </c>
      <c r="I67" s="180">
        <v>51</v>
      </c>
      <c r="J67" s="180">
        <v>7</v>
      </c>
      <c r="K67" s="29">
        <f t="shared" si="6"/>
        <v>275</v>
      </c>
    </row>
    <row r="68" spans="1:11" ht="16.5" thickBot="1" x14ac:dyDescent="0.35">
      <c r="A68" s="4">
        <v>0</v>
      </c>
      <c r="B68" s="5">
        <v>0</v>
      </c>
      <c r="C68" s="5">
        <v>0</v>
      </c>
      <c r="D68" s="108">
        <v>0</v>
      </c>
      <c r="E68" s="111">
        <v>0</v>
      </c>
      <c r="H68" s="181">
        <v>11300</v>
      </c>
      <c r="I68" s="180">
        <v>52</v>
      </c>
      <c r="J68" s="180">
        <v>7</v>
      </c>
      <c r="K68" s="29">
        <f t="shared" si="6"/>
        <v>280</v>
      </c>
    </row>
    <row r="69" spans="1:11" ht="15.75" x14ac:dyDescent="0.3">
      <c r="H69" s="181">
        <v>11650</v>
      </c>
      <c r="I69" s="180">
        <v>53</v>
      </c>
      <c r="J69" s="180">
        <v>7.28506787330317</v>
      </c>
      <c r="K69" s="29">
        <f t="shared" si="6"/>
        <v>285</v>
      </c>
    </row>
    <row r="70" spans="1:11" ht="15.75" x14ac:dyDescent="0.3">
      <c r="A70" s="113"/>
      <c r="B70" s="114" t="s">
        <v>179</v>
      </c>
      <c r="C70" s="115"/>
      <c r="H70" s="181">
        <v>12000</v>
      </c>
      <c r="I70" s="180">
        <v>54</v>
      </c>
      <c r="J70" s="180">
        <v>7.3923418423973404</v>
      </c>
      <c r="K70" s="29">
        <f t="shared" si="6"/>
        <v>290</v>
      </c>
    </row>
    <row r="71" spans="1:11" ht="16.5" thickBot="1" x14ac:dyDescent="0.35">
      <c r="A71" s="116" t="s">
        <v>33</v>
      </c>
      <c r="B71" s="116" t="s">
        <v>180</v>
      </c>
      <c r="C71" s="116" t="s">
        <v>181</v>
      </c>
      <c r="H71" s="181">
        <v>12350</v>
      </c>
      <c r="I71" s="180">
        <v>55</v>
      </c>
      <c r="J71" s="180">
        <v>7.4996158114915099</v>
      </c>
      <c r="K71" s="29">
        <f t="shared" si="6"/>
        <v>295</v>
      </c>
    </row>
    <row r="72" spans="1:11" ht="17.25" thickTop="1" thickBot="1" x14ac:dyDescent="0.35">
      <c r="A72" s="117">
        <v>1</v>
      </c>
      <c r="B72" s="118">
        <v>4</v>
      </c>
      <c r="C72" s="118">
        <v>4</v>
      </c>
      <c r="H72" s="181">
        <v>12700</v>
      </c>
      <c r="I72" s="180">
        <v>56</v>
      </c>
      <c r="J72" s="180">
        <v>7</v>
      </c>
      <c r="K72" s="29">
        <f t="shared" si="6"/>
        <v>300</v>
      </c>
    </row>
    <row r="73" spans="1:11" ht="16.5" thickBot="1" x14ac:dyDescent="0.35">
      <c r="A73" s="119">
        <v>2</v>
      </c>
      <c r="B73" s="120">
        <v>1</v>
      </c>
      <c r="C73" s="120">
        <v>5</v>
      </c>
      <c r="H73" s="181">
        <v>13050</v>
      </c>
      <c r="I73" s="180">
        <v>57</v>
      </c>
      <c r="J73" s="180">
        <v>7</v>
      </c>
      <c r="K73" s="29">
        <f t="shared" si="6"/>
        <v>305</v>
      </c>
    </row>
    <row r="74" spans="1:11" ht="16.5" thickBot="1" x14ac:dyDescent="0.35">
      <c r="A74" s="119">
        <v>3</v>
      </c>
      <c r="B74" s="120">
        <v>1</v>
      </c>
      <c r="C74" s="120">
        <v>6</v>
      </c>
      <c r="H74" s="181">
        <v>13400</v>
      </c>
      <c r="I74" s="180">
        <v>58</v>
      </c>
      <c r="J74" s="180">
        <v>7</v>
      </c>
      <c r="K74" s="29">
        <f t="shared" si="6"/>
        <v>310</v>
      </c>
    </row>
    <row r="75" spans="1:11" ht="16.5" thickBot="1" x14ac:dyDescent="0.35">
      <c r="A75" s="119">
        <v>4</v>
      </c>
      <c r="B75" s="120">
        <v>1</v>
      </c>
      <c r="C75" s="120">
        <v>7</v>
      </c>
      <c r="H75" s="181">
        <v>13750</v>
      </c>
      <c r="I75" s="180">
        <v>59</v>
      </c>
      <c r="J75" s="180">
        <v>7</v>
      </c>
      <c r="K75" s="29">
        <f t="shared" si="6"/>
        <v>315</v>
      </c>
    </row>
    <row r="76" spans="1:11" ht="16.5" thickBot="1" x14ac:dyDescent="0.35">
      <c r="A76" s="119">
        <v>5</v>
      </c>
      <c r="B76" s="120">
        <v>2</v>
      </c>
      <c r="C76" s="120">
        <v>9</v>
      </c>
      <c r="H76" s="181">
        <v>14100</v>
      </c>
      <c r="I76" s="180">
        <v>60</v>
      </c>
      <c r="J76" s="180">
        <v>7</v>
      </c>
      <c r="K76" s="29">
        <f t="shared" si="6"/>
        <v>320</v>
      </c>
    </row>
    <row r="77" spans="1:11" ht="16.5" thickBot="1" x14ac:dyDescent="0.35">
      <c r="A77" s="119">
        <v>6</v>
      </c>
      <c r="B77" s="120">
        <v>2</v>
      </c>
      <c r="C77" s="120">
        <v>11</v>
      </c>
      <c r="H77" s="181">
        <v>14450</v>
      </c>
      <c r="I77" s="180">
        <v>61</v>
      </c>
      <c r="J77" s="180">
        <v>7</v>
      </c>
      <c r="K77" s="29">
        <f t="shared" si="6"/>
        <v>325</v>
      </c>
    </row>
    <row r="78" spans="1:11" ht="16.5" thickBot="1" x14ac:dyDescent="0.35">
      <c r="A78" s="119">
        <v>7</v>
      </c>
      <c r="B78" s="120">
        <v>2</v>
      </c>
      <c r="C78" s="120">
        <v>13</v>
      </c>
      <c r="H78" s="181">
        <v>14800</v>
      </c>
      <c r="I78" s="180">
        <v>62</v>
      </c>
      <c r="J78" s="180">
        <v>7</v>
      </c>
      <c r="K78" s="29">
        <f t="shared" si="6"/>
        <v>330</v>
      </c>
    </row>
    <row r="79" spans="1:11" ht="16.5" thickBot="1" x14ac:dyDescent="0.35">
      <c r="A79" s="119">
        <v>8</v>
      </c>
      <c r="B79" s="120">
        <v>3</v>
      </c>
      <c r="C79" s="120">
        <v>16</v>
      </c>
      <c r="H79" s="181">
        <v>15150</v>
      </c>
      <c r="I79" s="180">
        <v>63</v>
      </c>
      <c r="J79" s="180">
        <v>7</v>
      </c>
      <c r="K79" s="29">
        <f t="shared" si="6"/>
        <v>335</v>
      </c>
    </row>
    <row r="80" spans="1:11" ht="16.5" thickBot="1" x14ac:dyDescent="0.35">
      <c r="A80" s="119">
        <v>9</v>
      </c>
      <c r="B80" s="120">
        <v>3</v>
      </c>
      <c r="C80" s="120">
        <v>19</v>
      </c>
      <c r="H80" s="180">
        <v>0</v>
      </c>
      <c r="I80" s="29">
        <v>0</v>
      </c>
      <c r="J80" s="29">
        <v>0</v>
      </c>
      <c r="K80" s="29">
        <v>20</v>
      </c>
    </row>
    <row r="81" spans="1:8" ht="16.5" thickBot="1" x14ac:dyDescent="0.35">
      <c r="A81" s="119">
        <v>10</v>
      </c>
      <c r="B81" s="120">
        <v>3</v>
      </c>
      <c r="C81" s="120">
        <v>22</v>
      </c>
      <c r="H81" s="8"/>
    </row>
    <row r="82" spans="1:8" ht="16.5" thickBot="1" x14ac:dyDescent="0.35">
      <c r="A82" s="119">
        <v>11</v>
      </c>
      <c r="B82" s="120">
        <v>4</v>
      </c>
      <c r="C82" s="120">
        <v>26</v>
      </c>
      <c r="H82" s="8"/>
    </row>
    <row r="83" spans="1:8" ht="16.5" thickBot="1" x14ac:dyDescent="0.35">
      <c r="A83" s="119">
        <v>12</v>
      </c>
      <c r="B83" s="120">
        <v>4</v>
      </c>
      <c r="C83" s="120">
        <v>30</v>
      </c>
      <c r="H83" s="8"/>
    </row>
    <row r="84" spans="1:8" ht="16.5" thickBot="1" x14ac:dyDescent="0.35">
      <c r="A84" s="119">
        <v>13</v>
      </c>
      <c r="B84" s="120">
        <v>4</v>
      </c>
      <c r="C84" s="120">
        <v>34</v>
      </c>
      <c r="H84" s="8"/>
    </row>
    <row r="85" spans="1:8" ht="16.5" thickBot="1" x14ac:dyDescent="0.35">
      <c r="A85" s="119">
        <v>14</v>
      </c>
      <c r="B85" s="120">
        <v>5</v>
      </c>
      <c r="C85" s="120">
        <v>39</v>
      </c>
      <c r="H85" s="8"/>
    </row>
    <row r="86" spans="1:8" ht="16.5" thickBot="1" x14ac:dyDescent="0.35">
      <c r="A86" s="119">
        <v>15</v>
      </c>
      <c r="B86" s="120">
        <v>5</v>
      </c>
      <c r="C86" s="120">
        <v>44</v>
      </c>
      <c r="H86" s="8"/>
    </row>
    <row r="87" spans="1:8" ht="16.5" thickBot="1" x14ac:dyDescent="0.35">
      <c r="A87" s="119">
        <v>16</v>
      </c>
      <c r="B87" s="120">
        <v>5</v>
      </c>
      <c r="C87" s="120">
        <v>49</v>
      </c>
      <c r="H87" s="8"/>
    </row>
    <row r="88" spans="1:8" ht="16.5" thickBot="1" x14ac:dyDescent="0.35">
      <c r="A88" s="119">
        <v>17</v>
      </c>
      <c r="B88" s="120">
        <v>6</v>
      </c>
      <c r="C88" s="120">
        <v>55</v>
      </c>
      <c r="H88" s="8"/>
    </row>
    <row r="89" spans="1:8" ht="16.5" thickBot="1" x14ac:dyDescent="0.35">
      <c r="A89" s="119">
        <v>18</v>
      </c>
      <c r="B89" s="120">
        <v>6</v>
      </c>
      <c r="C89" s="120">
        <v>61</v>
      </c>
      <c r="H89" s="8"/>
    </row>
    <row r="90" spans="1:8" ht="16.5" thickBot="1" x14ac:dyDescent="0.35">
      <c r="A90" s="119">
        <v>19</v>
      </c>
      <c r="B90" s="120">
        <v>6</v>
      </c>
      <c r="C90" s="120">
        <v>67</v>
      </c>
      <c r="H90" s="8"/>
    </row>
    <row r="91" spans="1:8" ht="16.5" thickBot="1" x14ac:dyDescent="0.35">
      <c r="A91" s="119">
        <v>20</v>
      </c>
      <c r="B91" s="120">
        <v>7</v>
      </c>
      <c r="C91" s="120">
        <v>74</v>
      </c>
      <c r="H91" s="8"/>
    </row>
    <row r="92" spans="1:8" ht="16.5" thickBot="1" x14ac:dyDescent="0.35">
      <c r="A92" s="121">
        <v>21</v>
      </c>
      <c r="B92" s="122">
        <v>7</v>
      </c>
      <c r="C92" s="122">
        <v>81</v>
      </c>
      <c r="H92" s="8"/>
    </row>
    <row r="93" spans="1:8" ht="16.5" thickBot="1" x14ac:dyDescent="0.35">
      <c r="A93" s="121">
        <v>22</v>
      </c>
      <c r="B93" s="122">
        <v>7</v>
      </c>
      <c r="C93" s="122">
        <v>88</v>
      </c>
      <c r="H93" s="8"/>
    </row>
    <row r="94" spans="1:8" ht="16.5" thickBot="1" x14ac:dyDescent="0.35">
      <c r="A94" s="121">
        <v>23</v>
      </c>
      <c r="B94" s="122">
        <v>8</v>
      </c>
      <c r="C94" s="122">
        <v>96</v>
      </c>
      <c r="H94" s="8"/>
    </row>
    <row r="95" spans="1:8" ht="16.5" thickBot="1" x14ac:dyDescent="0.35">
      <c r="A95" s="121">
        <v>24</v>
      </c>
      <c r="B95" s="122">
        <v>8</v>
      </c>
      <c r="C95" s="122">
        <v>104</v>
      </c>
      <c r="H95" s="8"/>
    </row>
    <row r="96" spans="1:8" ht="16.5" thickBot="1" x14ac:dyDescent="0.35">
      <c r="A96" s="123">
        <v>25</v>
      </c>
      <c r="B96" s="124">
        <v>8</v>
      </c>
      <c r="C96" s="124">
        <v>112</v>
      </c>
      <c r="H96" s="8"/>
    </row>
    <row r="97" spans="1:8" ht="16.5" thickBot="1" x14ac:dyDescent="0.35">
      <c r="A97" s="123">
        <v>26</v>
      </c>
      <c r="B97" s="124">
        <v>9</v>
      </c>
      <c r="C97" s="124">
        <v>121</v>
      </c>
      <c r="H97" s="8"/>
    </row>
    <row r="98" spans="1:8" ht="16.5" thickBot="1" x14ac:dyDescent="0.35">
      <c r="A98" s="123">
        <v>27</v>
      </c>
      <c r="B98" s="124">
        <v>9</v>
      </c>
      <c r="C98" s="124">
        <v>130</v>
      </c>
      <c r="H98" s="8"/>
    </row>
    <row r="99" spans="1:8" ht="16.5" thickBot="1" x14ac:dyDescent="0.35">
      <c r="A99" s="123">
        <v>28</v>
      </c>
      <c r="B99" s="124">
        <v>9</v>
      </c>
      <c r="C99" s="124">
        <v>139</v>
      </c>
      <c r="H99" s="8"/>
    </row>
    <row r="100" spans="1:8" ht="16.5" thickBot="1" x14ac:dyDescent="0.35">
      <c r="A100" s="123">
        <v>29</v>
      </c>
      <c r="B100" s="124">
        <v>10</v>
      </c>
      <c r="C100" s="124">
        <v>149</v>
      </c>
      <c r="H100" s="8"/>
    </row>
    <row r="101" spans="1:8" ht="16.5" thickBot="1" x14ac:dyDescent="0.35">
      <c r="A101" s="123">
        <v>30</v>
      </c>
      <c r="B101" s="124">
        <v>10</v>
      </c>
      <c r="C101" s="124">
        <v>159</v>
      </c>
      <c r="H101" s="8"/>
    </row>
    <row r="102" spans="1:8" ht="16.5" thickBot="1" x14ac:dyDescent="0.35">
      <c r="A102" s="125">
        <v>31</v>
      </c>
      <c r="B102" s="126">
        <v>10</v>
      </c>
      <c r="C102" s="126">
        <v>169</v>
      </c>
      <c r="H102" s="8"/>
    </row>
    <row r="103" spans="1:8" ht="16.5" thickBot="1" x14ac:dyDescent="0.35">
      <c r="A103" s="125">
        <v>32</v>
      </c>
      <c r="B103" s="126">
        <v>11</v>
      </c>
      <c r="C103" s="126">
        <v>180</v>
      </c>
      <c r="H103" s="8"/>
    </row>
    <row r="104" spans="1:8" ht="16.5" thickBot="1" x14ac:dyDescent="0.35">
      <c r="A104" s="125">
        <v>33</v>
      </c>
      <c r="B104" s="126">
        <v>11</v>
      </c>
      <c r="C104" s="126">
        <v>191</v>
      </c>
      <c r="H104" s="8"/>
    </row>
    <row r="105" spans="1:8" ht="16.5" thickBot="1" x14ac:dyDescent="0.35">
      <c r="A105" s="125">
        <v>34</v>
      </c>
      <c r="B105" s="126">
        <v>11</v>
      </c>
      <c r="C105" s="126">
        <v>202</v>
      </c>
      <c r="H105" s="8"/>
    </row>
    <row r="106" spans="1:8" ht="16.5" thickBot="1" x14ac:dyDescent="0.35">
      <c r="A106" s="125">
        <v>35</v>
      </c>
      <c r="B106" s="126">
        <v>12</v>
      </c>
      <c r="C106" s="126">
        <v>214</v>
      </c>
      <c r="H106" s="8"/>
    </row>
    <row r="107" spans="1:8" ht="16.5" thickBot="1" x14ac:dyDescent="0.35">
      <c r="A107" s="125">
        <v>36</v>
      </c>
      <c r="B107" s="126">
        <v>12</v>
      </c>
      <c r="C107" s="126">
        <v>226</v>
      </c>
      <c r="H107" s="8"/>
    </row>
    <row r="108" spans="1:8" ht="16.5" thickBot="1" x14ac:dyDescent="0.35">
      <c r="A108" s="125">
        <v>37</v>
      </c>
      <c r="B108" s="126">
        <v>12</v>
      </c>
      <c r="C108" s="126">
        <v>238</v>
      </c>
      <c r="H108" s="8"/>
    </row>
    <row r="109" spans="1:8" ht="15.75" thickBot="1" x14ac:dyDescent="0.3">
      <c r="A109" s="125">
        <v>38</v>
      </c>
      <c r="B109" s="126">
        <v>13</v>
      </c>
      <c r="C109" s="126">
        <v>251</v>
      </c>
    </row>
    <row r="110" spans="1:8" ht="15.75" thickBot="1" x14ac:dyDescent="0.3">
      <c r="A110" s="125">
        <v>39</v>
      </c>
      <c r="B110" s="126">
        <v>13</v>
      </c>
      <c r="C110" s="126">
        <v>264</v>
      </c>
    </row>
    <row r="111" spans="1:8" ht="15.75" thickBot="1" x14ac:dyDescent="0.3">
      <c r="A111" s="125">
        <v>0</v>
      </c>
      <c r="B111" s="126">
        <v>0</v>
      </c>
      <c r="C111" s="126">
        <v>0</v>
      </c>
    </row>
  </sheetData>
  <mergeCells count="3">
    <mergeCell ref="A1:C1"/>
    <mergeCell ref="D1:E1"/>
    <mergeCell ref="B2:E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10"/>
  <sheetViews>
    <sheetView view="pageLayout" topLeftCell="A12" zoomScaleNormal="100" workbookViewId="0">
      <selection activeCell="P16" sqref="P16:R16"/>
    </sheetView>
  </sheetViews>
  <sheetFormatPr baseColWidth="10" defaultColWidth="2.42578125" defaultRowHeight="14.1" customHeight="1" x14ac:dyDescent="0.3"/>
  <cols>
    <col min="1" max="16384" width="2.42578125" style="6"/>
  </cols>
  <sheetData>
    <row r="1" spans="1:83" ht="14.1" customHeight="1" x14ac:dyDescent="0.3">
      <c r="M1" s="222"/>
      <c r="N1" s="222"/>
      <c r="O1" s="222"/>
      <c r="P1" s="222"/>
      <c r="Q1" s="222"/>
      <c r="R1" s="222"/>
      <c r="S1" s="222"/>
      <c r="T1" s="222"/>
      <c r="U1" s="222"/>
      <c r="V1" s="222"/>
      <c r="W1" s="222"/>
      <c r="X1" s="222"/>
      <c r="Y1" s="222"/>
      <c r="Z1" s="222"/>
      <c r="BD1" s="216"/>
      <c r="BE1" s="218"/>
      <c r="BF1" s="218"/>
      <c r="BG1" s="218"/>
      <c r="BH1" s="218"/>
      <c r="BI1" s="218"/>
      <c r="BJ1" s="218"/>
      <c r="BK1" s="216"/>
      <c r="BL1" s="218"/>
      <c r="BM1" s="218"/>
      <c r="BN1" s="218"/>
      <c r="BO1" s="218"/>
      <c r="BP1" s="219"/>
      <c r="BQ1" s="219"/>
      <c r="BR1" s="219"/>
      <c r="BS1" s="219"/>
      <c r="BT1" s="216"/>
      <c r="BU1" s="218"/>
      <c r="BV1" s="218"/>
    </row>
    <row r="2" spans="1:83" ht="14.1" customHeight="1" x14ac:dyDescent="0.3">
      <c r="L2" s="222"/>
      <c r="M2" s="222"/>
      <c r="N2" s="222"/>
      <c r="O2" s="222"/>
      <c r="P2" s="222"/>
      <c r="Q2" s="222"/>
      <c r="R2" s="222"/>
      <c r="S2" s="222"/>
      <c r="T2" s="222"/>
      <c r="U2" s="222"/>
      <c r="V2" s="222"/>
      <c r="W2" s="222"/>
      <c r="X2" s="222"/>
      <c r="Y2" s="222"/>
      <c r="Z2" s="222"/>
      <c r="BD2" s="216"/>
      <c r="BE2" s="218"/>
      <c r="BF2" s="218"/>
      <c r="BG2" s="218"/>
      <c r="BH2" s="218"/>
      <c r="BI2" s="218"/>
      <c r="BJ2" s="218"/>
      <c r="BK2" s="216"/>
      <c r="BL2" s="218"/>
      <c r="BM2" s="218"/>
      <c r="BN2" s="218"/>
      <c r="BO2" s="218"/>
      <c r="BP2" s="219"/>
      <c r="BQ2" s="219"/>
      <c r="BR2" s="219"/>
      <c r="BS2" s="219"/>
      <c r="BT2" s="216"/>
      <c r="BU2" s="218"/>
      <c r="BV2" s="218"/>
    </row>
    <row r="3" spans="1:83" ht="14.1" customHeight="1" x14ac:dyDescent="0.3">
      <c r="L3" s="222"/>
      <c r="M3" s="222"/>
      <c r="N3" s="222"/>
      <c r="O3" s="222"/>
      <c r="P3" s="560" t="s">
        <v>844</v>
      </c>
      <c r="Q3" s="560"/>
      <c r="R3" s="560"/>
      <c r="S3" s="560"/>
      <c r="T3" s="560"/>
      <c r="U3" s="560"/>
      <c r="V3" s="560"/>
      <c r="W3" s="560"/>
      <c r="X3" s="560"/>
      <c r="Y3" s="560"/>
      <c r="Z3" s="560"/>
      <c r="AA3" s="560"/>
      <c r="AB3" s="215"/>
      <c r="BD3" s="216"/>
      <c r="BE3" s="218"/>
      <c r="BF3" s="218"/>
      <c r="BG3" s="218"/>
      <c r="BH3" s="218"/>
      <c r="BI3" s="218"/>
      <c r="BJ3" s="218"/>
      <c r="BK3" s="216"/>
      <c r="BL3" s="218"/>
      <c r="BM3" s="218"/>
      <c r="BN3" s="218"/>
      <c r="BO3" s="218"/>
      <c r="BP3" s="219"/>
      <c r="BQ3" s="219"/>
      <c r="BR3" s="219"/>
      <c r="BS3" s="219"/>
      <c r="BT3" s="216"/>
      <c r="BU3" s="218"/>
      <c r="BV3" s="218"/>
    </row>
    <row r="4" spans="1:83" ht="14.1" customHeight="1" x14ac:dyDescent="0.3">
      <c r="P4" s="560"/>
      <c r="Q4" s="560"/>
      <c r="R4" s="560"/>
      <c r="S4" s="560"/>
      <c r="T4" s="560"/>
      <c r="U4" s="560"/>
      <c r="V4" s="560"/>
      <c r="W4" s="560"/>
      <c r="X4" s="560"/>
      <c r="Y4" s="560"/>
      <c r="Z4" s="560"/>
      <c r="AA4" s="560"/>
      <c r="AB4" s="215"/>
      <c r="BR4" s="219"/>
      <c r="BS4" s="219"/>
      <c r="BT4" s="218"/>
      <c r="BU4" s="218"/>
      <c r="BV4" s="218"/>
    </row>
    <row r="5" spans="1:83" ht="14.1" customHeight="1" x14ac:dyDescent="0.3">
      <c r="P5" s="560"/>
      <c r="Q5" s="560"/>
      <c r="R5" s="560"/>
      <c r="S5" s="560"/>
      <c r="T5" s="560"/>
      <c r="U5" s="560"/>
      <c r="V5" s="560"/>
      <c r="W5" s="560"/>
      <c r="X5" s="560"/>
      <c r="Y5" s="560"/>
      <c r="Z5" s="560"/>
      <c r="AA5" s="560"/>
      <c r="AB5" s="215"/>
      <c r="BR5" s="218"/>
      <c r="BS5" s="218"/>
      <c r="BT5" s="218"/>
      <c r="BU5" s="218"/>
      <c r="BV5" s="218"/>
    </row>
    <row r="6" spans="1:83" ht="14.1" customHeight="1" x14ac:dyDescent="0.3">
      <c r="Y6" s="218"/>
      <c r="Z6" s="218"/>
      <c r="AA6" s="218"/>
      <c r="BR6" s="218"/>
      <c r="BS6" s="218"/>
      <c r="BT6" s="218"/>
      <c r="BU6" s="218"/>
      <c r="BV6" s="218"/>
    </row>
    <row r="7" spans="1:83" ht="14.1" customHeight="1" x14ac:dyDescent="0.3">
      <c r="M7" s="221" t="s">
        <v>845</v>
      </c>
      <c r="Y7" s="218"/>
      <c r="Z7" s="218"/>
      <c r="AA7" s="218"/>
      <c r="BR7" s="218"/>
      <c r="BS7" s="218"/>
      <c r="BT7" s="218"/>
      <c r="BU7" s="218"/>
      <c r="BV7" s="218"/>
    </row>
    <row r="8" spans="1:83" ht="14.1" customHeight="1" x14ac:dyDescent="0.3">
      <c r="Y8" s="218"/>
      <c r="Z8" s="218"/>
      <c r="AA8" s="218"/>
      <c r="BR8" s="218"/>
      <c r="BS8" s="218"/>
      <c r="BT8" s="218"/>
      <c r="BU8" s="218"/>
      <c r="BV8" s="218"/>
    </row>
    <row r="9" spans="1:83" ht="14.1" customHeight="1" x14ac:dyDescent="0.3">
      <c r="Y9" s="218"/>
      <c r="Z9" s="218"/>
      <c r="AA9" s="218"/>
    </row>
    <row r="10" spans="1:83" ht="14.1" customHeight="1" x14ac:dyDescent="0.3">
      <c r="N10" s="218"/>
      <c r="O10" s="218"/>
      <c r="P10" s="218"/>
      <c r="Q10" s="218"/>
      <c r="R10" s="218"/>
      <c r="S10" s="219"/>
      <c r="T10" s="218"/>
      <c r="U10" s="219"/>
      <c r="V10" s="219"/>
      <c r="W10" s="218"/>
      <c r="X10" s="218"/>
      <c r="Y10" s="218"/>
      <c r="Z10" s="218"/>
      <c r="AA10" s="218"/>
      <c r="AU10" s="218"/>
      <c r="AV10" s="218"/>
      <c r="AW10" s="218"/>
      <c r="AX10" s="218"/>
      <c r="AY10" s="218"/>
      <c r="AZ10" s="218"/>
      <c r="BA10" s="218"/>
      <c r="BB10" s="218"/>
      <c r="BC10" s="218"/>
      <c r="BD10" s="218"/>
      <c r="BE10" s="218"/>
      <c r="BF10" s="218"/>
      <c r="BG10" s="218"/>
      <c r="BH10" s="218"/>
      <c r="BI10" s="218"/>
      <c r="BJ10" s="218"/>
      <c r="BK10" s="218"/>
      <c r="BL10" s="218"/>
      <c r="BM10" s="218"/>
      <c r="BN10" s="218"/>
      <c r="BO10" s="218"/>
      <c r="BP10" s="218"/>
      <c r="BQ10" s="218"/>
      <c r="BR10" s="218"/>
      <c r="BS10" s="218"/>
      <c r="BT10" s="218"/>
      <c r="BU10" s="218"/>
      <c r="BV10" s="218"/>
      <c r="BW10" s="218"/>
      <c r="BX10" s="218"/>
      <c r="BY10" s="218"/>
      <c r="BZ10" s="218"/>
      <c r="CA10" s="218"/>
      <c r="CB10" s="218"/>
      <c r="CC10" s="218"/>
      <c r="CD10" s="218"/>
      <c r="CE10" s="218"/>
    </row>
    <row r="11" spans="1:83" ht="14.1" customHeight="1" x14ac:dyDescent="0.3">
      <c r="A11" s="220"/>
      <c r="B11" s="524" t="s">
        <v>2</v>
      </c>
      <c r="C11" s="524"/>
      <c r="D11" s="524"/>
      <c r="E11" s="524"/>
      <c r="F11" s="524"/>
      <c r="G11" s="524"/>
      <c r="H11" s="524"/>
      <c r="I11" s="502">
        <f>kr</f>
        <v>7</v>
      </c>
      <c r="J11" s="502"/>
      <c r="K11" s="502"/>
      <c r="L11" s="535" t="s">
        <v>846</v>
      </c>
      <c r="M11" s="535"/>
      <c r="N11" s="535"/>
      <c r="O11" s="535"/>
      <c r="P11" s="535"/>
      <c r="Q11" s="535"/>
      <c r="R11" s="535"/>
      <c r="S11" s="524" t="s">
        <v>820</v>
      </c>
      <c r="T11" s="524"/>
      <c r="U11" s="524"/>
      <c r="V11" s="524"/>
      <c r="W11" s="524"/>
      <c r="X11" s="524"/>
      <c r="Y11" s="524"/>
      <c r="Z11" s="524"/>
      <c r="AA11" s="524"/>
      <c r="AB11" s="524"/>
      <c r="AC11" s="524"/>
      <c r="AD11" s="524"/>
      <c r="AE11" s="524" t="s">
        <v>827</v>
      </c>
      <c r="AF11" s="524"/>
      <c r="AG11" s="524"/>
      <c r="AH11" s="524"/>
      <c r="AI11" s="524"/>
      <c r="AJ11" s="524"/>
      <c r="AK11" s="524"/>
      <c r="AL11" s="524"/>
      <c r="AM11" s="524"/>
      <c r="AN11" s="524"/>
      <c r="AO11" s="524"/>
      <c r="AU11" s="218"/>
      <c r="AV11" s="218"/>
      <c r="AW11" s="218"/>
      <c r="AX11" s="218"/>
      <c r="AY11" s="218"/>
      <c r="AZ11" s="218"/>
      <c r="BA11" s="218"/>
      <c r="BB11" s="218"/>
      <c r="BC11" s="218"/>
      <c r="BD11" s="218"/>
      <c r="BE11" s="218"/>
      <c r="BF11" s="218"/>
      <c r="BG11" s="218"/>
      <c r="BH11" s="218"/>
      <c r="BI11" s="218"/>
      <c r="BJ11" s="218"/>
      <c r="BK11" s="218"/>
      <c r="BL11" s="218"/>
      <c r="BM11" s="218"/>
      <c r="BN11" s="218"/>
      <c r="BO11" s="218"/>
      <c r="BP11" s="218"/>
      <c r="BQ11" s="218"/>
      <c r="BR11" s="218"/>
      <c r="BS11" s="218"/>
      <c r="BT11" s="218"/>
      <c r="BU11" s="218"/>
      <c r="BV11" s="218"/>
      <c r="BW11" s="218"/>
      <c r="BX11" s="218"/>
      <c r="BY11" s="218"/>
      <c r="BZ11" s="218"/>
      <c r="CA11" s="218"/>
      <c r="CB11" s="218"/>
      <c r="CC11" s="218"/>
      <c r="CD11" s="218"/>
      <c r="CE11" s="218"/>
    </row>
    <row r="12" spans="1:83" ht="14.1" customHeight="1" x14ac:dyDescent="0.3">
      <c r="B12" s="524" t="s">
        <v>3</v>
      </c>
      <c r="C12" s="524"/>
      <c r="D12" s="524"/>
      <c r="E12" s="524"/>
      <c r="F12" s="524"/>
      <c r="G12" s="524"/>
      <c r="H12" s="524"/>
      <c r="I12" s="502">
        <f>st</f>
        <v>58</v>
      </c>
      <c r="J12" s="502"/>
      <c r="K12" s="502"/>
      <c r="L12" s="444" t="s">
        <v>18</v>
      </c>
      <c r="M12" s="444"/>
      <c r="N12" s="444"/>
      <c r="O12" s="444"/>
      <c r="P12" s="524">
        <f>Aur</f>
        <v>5</v>
      </c>
      <c r="Q12" s="524"/>
      <c r="R12" s="524"/>
      <c r="S12" s="524" t="s">
        <v>821</v>
      </c>
      <c r="T12" s="524"/>
      <c r="U12" s="524"/>
      <c r="V12" s="524"/>
      <c r="W12" s="524"/>
      <c r="X12" s="524"/>
      <c r="Y12" s="524"/>
      <c r="Z12" s="524"/>
      <c r="AA12" s="524"/>
      <c r="AB12" s="524"/>
      <c r="AC12" s="524"/>
      <c r="AD12" s="524"/>
      <c r="AE12" s="524" t="s">
        <v>828</v>
      </c>
      <c r="AF12" s="524"/>
      <c r="AG12" s="524"/>
      <c r="AH12" s="524"/>
      <c r="AI12" s="524"/>
      <c r="AJ12" s="524"/>
      <c r="AK12" s="524"/>
      <c r="AL12" s="524"/>
      <c r="AM12" s="524"/>
      <c r="AN12" s="524"/>
      <c r="AO12" s="524"/>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8"/>
      <c r="BW12" s="218"/>
      <c r="BX12" s="218"/>
      <c r="BY12" s="218"/>
      <c r="BZ12" s="218"/>
      <c r="CA12" s="218"/>
      <c r="CB12" s="218"/>
      <c r="CC12" s="218"/>
      <c r="CD12" s="218"/>
      <c r="CE12" s="218"/>
    </row>
    <row r="13" spans="1:83" ht="14.1" customHeight="1" x14ac:dyDescent="0.3">
      <c r="B13" s="524" t="s">
        <v>4</v>
      </c>
      <c r="C13" s="524"/>
      <c r="D13" s="524"/>
      <c r="E13" s="524"/>
      <c r="F13" s="524"/>
      <c r="G13" s="524"/>
      <c r="H13" s="524"/>
      <c r="I13" s="561">
        <f>ma</f>
        <v>27</v>
      </c>
      <c r="J13" s="561"/>
      <c r="K13" s="561"/>
      <c r="L13" s="444" t="s">
        <v>16</v>
      </c>
      <c r="M13" s="444"/>
      <c r="N13" s="444"/>
      <c r="O13" s="444"/>
      <c r="P13" s="524">
        <f>glü</f>
        <v>3</v>
      </c>
      <c r="Q13" s="524"/>
      <c r="R13" s="524"/>
      <c r="S13" s="524" t="s">
        <v>822</v>
      </c>
      <c r="T13" s="524"/>
      <c r="U13" s="524"/>
      <c r="V13" s="524"/>
      <c r="W13" s="524"/>
      <c r="X13" s="524"/>
      <c r="Y13" s="524"/>
      <c r="Z13" s="524"/>
      <c r="AA13" s="524"/>
      <c r="AB13" s="524"/>
      <c r="AC13" s="524"/>
      <c r="AD13" s="524"/>
      <c r="AE13" s="524" t="s">
        <v>829</v>
      </c>
      <c r="AF13" s="524"/>
      <c r="AG13" s="524"/>
      <c r="AH13" s="524"/>
      <c r="AI13" s="524"/>
      <c r="AJ13" s="524"/>
      <c r="AK13" s="524"/>
      <c r="AL13" s="524"/>
      <c r="AM13" s="524"/>
      <c r="AN13" s="524"/>
      <c r="AO13" s="524"/>
      <c r="AU13" s="218"/>
      <c r="AV13" s="218"/>
      <c r="AW13" s="218"/>
      <c r="AX13" s="218"/>
      <c r="AY13" s="218"/>
      <c r="AZ13" s="218"/>
      <c r="BA13" s="218"/>
      <c r="BB13" s="218"/>
      <c r="BC13" s="218"/>
      <c r="BD13" s="218"/>
      <c r="BE13" s="218"/>
      <c r="BF13" s="218"/>
      <c r="BG13" s="218"/>
      <c r="BH13" s="218"/>
      <c r="BI13" s="218"/>
      <c r="BJ13" s="218"/>
      <c r="BK13" s="218"/>
      <c r="BL13" s="218"/>
      <c r="BM13" s="218"/>
      <c r="BN13" s="218"/>
      <c r="BO13" s="218"/>
      <c r="BP13" s="218"/>
      <c r="BQ13" s="218"/>
      <c r="BR13" s="218"/>
      <c r="BS13" s="218"/>
      <c r="BT13" s="218"/>
      <c r="BU13" s="218"/>
      <c r="BV13" s="218"/>
      <c r="BW13" s="218"/>
      <c r="BX13" s="218"/>
      <c r="BY13" s="218"/>
      <c r="BZ13" s="218"/>
      <c r="CA13" s="218"/>
      <c r="CB13" s="218"/>
      <c r="CC13" s="218"/>
      <c r="CD13" s="218"/>
      <c r="CE13" s="218"/>
    </row>
    <row r="14" spans="1:83" ht="14.1" customHeight="1" x14ac:dyDescent="0.3">
      <c r="B14" s="524" t="s">
        <v>0</v>
      </c>
      <c r="C14" s="524"/>
      <c r="D14" s="524"/>
      <c r="E14" s="524"/>
      <c r="F14" s="524"/>
      <c r="G14" s="524"/>
      <c r="H14" s="524"/>
      <c r="I14" s="502">
        <f>mn</f>
        <v>165</v>
      </c>
      <c r="J14" s="502"/>
      <c r="K14" s="502"/>
      <c r="L14" s="444" t="s">
        <v>19</v>
      </c>
      <c r="M14" s="444"/>
      <c r="N14" s="444"/>
      <c r="O14" s="444"/>
      <c r="P14" s="524">
        <f>mag</f>
        <v>5</v>
      </c>
      <c r="Q14" s="524"/>
      <c r="R14" s="524"/>
      <c r="S14" s="524" t="s">
        <v>823</v>
      </c>
      <c r="T14" s="524"/>
      <c r="U14" s="524"/>
      <c r="V14" s="524"/>
      <c r="W14" s="524"/>
      <c r="X14" s="524"/>
      <c r="Y14" s="524"/>
      <c r="Z14" s="524"/>
      <c r="AA14" s="524"/>
      <c r="AB14" s="524"/>
      <c r="AC14" s="524"/>
      <c r="AD14" s="524"/>
      <c r="AE14" s="524" t="s">
        <v>830</v>
      </c>
      <c r="AF14" s="524"/>
      <c r="AG14" s="524"/>
      <c r="AH14" s="524"/>
      <c r="AI14" s="524"/>
      <c r="AJ14" s="524"/>
      <c r="AK14" s="524"/>
      <c r="AL14" s="524"/>
      <c r="AM14" s="524"/>
      <c r="AN14" s="524"/>
      <c r="AO14" s="524"/>
      <c r="AU14" s="218"/>
      <c r="AV14" s="218"/>
      <c r="AW14" s="218"/>
      <c r="AX14" s="218"/>
      <c r="AY14" s="218"/>
      <c r="AZ14" s="218"/>
      <c r="BA14" s="218"/>
      <c r="BB14" s="218"/>
      <c r="BC14" s="218"/>
      <c r="BD14" s="218"/>
      <c r="BE14" s="218"/>
      <c r="BF14" s="218"/>
      <c r="BG14" s="218"/>
      <c r="BH14" s="218"/>
      <c r="BI14" s="218"/>
      <c r="BJ14" s="218"/>
      <c r="BK14" s="218"/>
      <c r="BL14" s="218"/>
      <c r="BM14" s="218"/>
      <c r="BN14" s="218"/>
      <c r="BO14" s="218"/>
      <c r="BP14" s="218"/>
      <c r="BQ14" s="218"/>
      <c r="BR14" s="218"/>
      <c r="BS14" s="218"/>
      <c r="BT14" s="218"/>
      <c r="BU14" s="218"/>
      <c r="BV14" s="218"/>
      <c r="BW14" s="218"/>
      <c r="BX14" s="218"/>
      <c r="BY14" s="218"/>
      <c r="BZ14" s="218"/>
      <c r="CA14" s="218"/>
      <c r="CB14" s="218"/>
      <c r="CC14" s="218"/>
      <c r="CD14" s="218"/>
      <c r="CE14" s="218"/>
    </row>
    <row r="15" spans="1:83" ht="14.1" customHeight="1" x14ac:dyDescent="0.3">
      <c r="B15" s="524" t="s">
        <v>841</v>
      </c>
      <c r="C15" s="524"/>
      <c r="D15" s="524"/>
      <c r="E15" s="524"/>
      <c r="F15" s="524"/>
      <c r="G15" s="524"/>
      <c r="H15" s="524"/>
      <c r="I15" s="561">
        <f>kr-1</f>
        <v>6</v>
      </c>
      <c r="J15" s="561"/>
      <c r="K15" s="561"/>
      <c r="L15" s="444" t="s">
        <v>17</v>
      </c>
      <c r="M15" s="444"/>
      <c r="N15" s="444"/>
      <c r="O15" s="444"/>
      <c r="P15" s="524">
        <f>vit</f>
        <v>14</v>
      </c>
      <c r="Q15" s="524"/>
      <c r="R15" s="524"/>
      <c r="S15" s="524" t="s">
        <v>824</v>
      </c>
      <c r="T15" s="524"/>
      <c r="U15" s="524"/>
      <c r="V15" s="524"/>
      <c r="W15" s="524"/>
      <c r="X15" s="524"/>
      <c r="Y15" s="524"/>
      <c r="Z15" s="524"/>
      <c r="AA15" s="524"/>
      <c r="AB15" s="524"/>
      <c r="AC15" s="524"/>
      <c r="AD15" s="524"/>
      <c r="AE15" s="524" t="s">
        <v>831</v>
      </c>
      <c r="AF15" s="524"/>
      <c r="AG15" s="524"/>
      <c r="AH15" s="524"/>
      <c r="AI15" s="524"/>
      <c r="AJ15" s="524"/>
      <c r="AK15" s="524"/>
      <c r="AL15" s="524"/>
      <c r="AM15" s="524"/>
      <c r="AN15" s="524"/>
      <c r="AO15" s="524"/>
      <c r="AU15" s="218"/>
      <c r="AV15" s="218"/>
      <c r="AW15" s="218"/>
      <c r="AX15" s="218"/>
      <c r="AY15" s="218"/>
      <c r="AZ15" s="218"/>
      <c r="BA15" s="218"/>
      <c r="BB15" s="218"/>
      <c r="BC15" s="218"/>
      <c r="BD15" s="218"/>
      <c r="BE15" s="218"/>
      <c r="BF15" s="218"/>
      <c r="BG15" s="218"/>
      <c r="BH15" s="218"/>
      <c r="BI15" s="218"/>
      <c r="BJ15" s="218"/>
      <c r="BK15" s="218"/>
      <c r="BL15" s="218"/>
      <c r="BM15" s="218"/>
      <c r="BN15" s="218"/>
      <c r="BO15" s="218"/>
      <c r="BP15" s="218"/>
      <c r="BQ15" s="218"/>
      <c r="BR15" s="218"/>
      <c r="BS15" s="218"/>
      <c r="BT15" s="218"/>
      <c r="BU15" s="218"/>
      <c r="BV15" s="218"/>
      <c r="BW15" s="218"/>
      <c r="BX15" s="218"/>
      <c r="BY15" s="218"/>
      <c r="BZ15" s="218"/>
      <c r="CA15" s="218"/>
      <c r="CB15" s="218"/>
      <c r="CC15" s="218"/>
      <c r="CD15" s="218"/>
      <c r="CE15" s="218"/>
    </row>
    <row r="16" spans="1:83" ht="14.1" customHeight="1" x14ac:dyDescent="0.3">
      <c r="B16" s="524" t="s">
        <v>842</v>
      </c>
      <c r="C16" s="524"/>
      <c r="D16" s="524"/>
      <c r="E16" s="524"/>
      <c r="F16" s="524"/>
      <c r="G16" s="524"/>
      <c r="H16" s="524"/>
      <c r="I16" s="561">
        <f>ep</f>
        <v>13692</v>
      </c>
      <c r="J16" s="561"/>
      <c r="K16" s="561"/>
      <c r="L16" s="444" t="s">
        <v>834</v>
      </c>
      <c r="M16" s="444"/>
      <c r="N16" s="444"/>
      <c r="O16" s="444"/>
      <c r="P16" s="524">
        <f>kar</f>
        <v>0</v>
      </c>
      <c r="Q16" s="524"/>
      <c r="R16" s="524"/>
      <c r="S16" s="524" t="s">
        <v>825</v>
      </c>
      <c r="T16" s="524"/>
      <c r="U16" s="524"/>
      <c r="V16" s="524"/>
      <c r="W16" s="524"/>
      <c r="X16" s="524"/>
      <c r="Y16" s="524"/>
      <c r="Z16" s="524"/>
      <c r="AA16" s="524"/>
      <c r="AB16" s="524"/>
      <c r="AC16" s="524"/>
      <c r="AD16" s="524"/>
      <c r="AE16" s="524" t="s">
        <v>832</v>
      </c>
      <c r="AF16" s="524"/>
      <c r="AG16" s="524"/>
      <c r="AH16" s="524"/>
      <c r="AI16" s="524"/>
      <c r="AJ16" s="524"/>
      <c r="AK16" s="524"/>
      <c r="AL16" s="524"/>
      <c r="AM16" s="524"/>
      <c r="AN16" s="524"/>
      <c r="AO16" s="524"/>
      <c r="AU16" s="218"/>
      <c r="AV16" s="218"/>
      <c r="AW16" s="218"/>
      <c r="AX16" s="218"/>
      <c r="AY16" s="223"/>
      <c r="AZ16" s="218"/>
      <c r="BA16" s="218"/>
      <c r="BB16" s="218"/>
      <c r="BC16" s="218"/>
      <c r="BD16" s="218"/>
      <c r="BE16" s="218"/>
      <c r="BF16" s="218"/>
      <c r="BG16" s="218"/>
      <c r="BH16" s="218"/>
      <c r="BI16" s="218"/>
      <c r="BJ16" s="218"/>
      <c r="BK16" s="218"/>
      <c r="BL16" s="218"/>
      <c r="BM16" s="218"/>
      <c r="BN16" s="218"/>
      <c r="BO16" s="218"/>
      <c r="BP16" s="218"/>
      <c r="BQ16" s="218"/>
      <c r="BR16" s="218"/>
      <c r="BS16" s="218"/>
      <c r="BT16" s="218"/>
      <c r="BU16" s="218"/>
      <c r="BV16" s="218"/>
      <c r="BW16" s="218"/>
      <c r="BX16" s="218"/>
      <c r="BY16" s="218"/>
      <c r="BZ16" s="218"/>
      <c r="CA16" s="218"/>
      <c r="CB16" s="218"/>
      <c r="CC16" s="218"/>
      <c r="CD16" s="218"/>
      <c r="CE16" s="218"/>
    </row>
    <row r="17" spans="1:83" ht="14.1" customHeight="1" x14ac:dyDescent="0.3">
      <c r="B17" s="524" t="s">
        <v>843</v>
      </c>
      <c r="C17" s="524"/>
      <c r="D17" s="524"/>
      <c r="E17" s="524"/>
      <c r="F17" s="524"/>
      <c r="G17" s="524"/>
      <c r="H17" s="524"/>
      <c r="I17" s="561">
        <f>epfrei</f>
        <v>0</v>
      </c>
      <c r="J17" s="561"/>
      <c r="K17" s="561"/>
      <c r="L17" s="562" t="s">
        <v>20</v>
      </c>
      <c r="M17" s="563"/>
      <c r="N17" s="563"/>
      <c r="O17" s="564"/>
      <c r="P17" s="524">
        <f>weisheit</f>
        <v>8</v>
      </c>
      <c r="Q17" s="524"/>
      <c r="R17" s="524"/>
      <c r="S17" s="524" t="s">
        <v>826</v>
      </c>
      <c r="T17" s="524"/>
      <c r="U17" s="524"/>
      <c r="V17" s="524"/>
      <c r="W17" s="524"/>
      <c r="X17" s="524"/>
      <c r="Y17" s="524"/>
      <c r="Z17" s="524"/>
      <c r="AA17" s="524"/>
      <c r="AB17" s="524"/>
      <c r="AC17" s="524"/>
      <c r="AD17" s="524"/>
      <c r="AE17" s="524" t="s">
        <v>833</v>
      </c>
      <c r="AF17" s="524"/>
      <c r="AG17" s="524"/>
      <c r="AH17" s="524"/>
      <c r="AI17" s="524"/>
      <c r="AJ17" s="524"/>
      <c r="AK17" s="524"/>
      <c r="AL17" s="524"/>
      <c r="AM17" s="524"/>
      <c r="AN17" s="524"/>
      <c r="AO17" s="524"/>
      <c r="AU17" s="218"/>
      <c r="AV17" s="218"/>
      <c r="AW17" s="218"/>
      <c r="AX17" s="218"/>
      <c r="AY17" s="218"/>
      <c r="AZ17" s="218"/>
      <c r="BA17" s="218"/>
      <c r="BB17" s="218"/>
      <c r="BC17" s="218"/>
      <c r="BD17" s="218"/>
      <c r="BE17" s="218"/>
      <c r="BF17" s="218"/>
      <c r="BG17" s="218"/>
      <c r="BH17" s="218"/>
      <c r="BI17" s="218"/>
      <c r="BJ17" s="218"/>
      <c r="BK17" s="218"/>
      <c r="BL17" s="218"/>
      <c r="BM17" s="218"/>
      <c r="BN17" s="218"/>
      <c r="BO17" s="218"/>
      <c r="BP17" s="218"/>
      <c r="BQ17" s="218"/>
      <c r="BR17" s="218"/>
      <c r="BS17" s="218"/>
      <c r="BT17" s="218"/>
      <c r="BU17" s="218"/>
      <c r="BV17" s="218"/>
      <c r="BW17" s="218"/>
      <c r="BX17" s="218"/>
      <c r="BY17" s="218"/>
      <c r="BZ17" s="218"/>
      <c r="CA17" s="218"/>
      <c r="CB17" s="218"/>
      <c r="CC17" s="218"/>
      <c r="CD17" s="218"/>
      <c r="CE17" s="218"/>
    </row>
    <row r="18" spans="1:83" ht="14.1" customHeight="1" x14ac:dyDescent="0.3">
      <c r="B18" s="218"/>
      <c r="C18" s="218"/>
      <c r="D18" s="218"/>
      <c r="E18" s="218"/>
      <c r="F18" s="218"/>
      <c r="G18" s="218"/>
      <c r="H18" s="218"/>
      <c r="I18" s="218"/>
      <c r="J18" s="218"/>
      <c r="K18" s="218"/>
      <c r="L18" s="218"/>
      <c r="M18" s="218"/>
      <c r="N18" s="218"/>
      <c r="O18" s="218"/>
      <c r="P18" s="218"/>
      <c r="Q18" s="218"/>
      <c r="R18" s="218"/>
      <c r="S18" s="218"/>
      <c r="T18" s="218"/>
      <c r="U18" s="218"/>
      <c r="V18" s="218"/>
      <c r="W18" s="218"/>
      <c r="X18" s="218"/>
      <c r="Y18" s="218"/>
      <c r="Z18" s="218"/>
      <c r="AA18" s="218"/>
      <c r="AB18" s="218"/>
      <c r="AC18" s="218"/>
      <c r="AD18" s="218"/>
      <c r="AE18" s="218"/>
      <c r="AF18" s="218"/>
      <c r="AG18" s="218"/>
      <c r="AH18" s="218"/>
      <c r="AI18" s="218"/>
      <c r="AJ18" s="218"/>
      <c r="AK18" s="218"/>
      <c r="AL18" s="218"/>
      <c r="AM18" s="218"/>
      <c r="AN18" s="218"/>
      <c r="AO18" s="218"/>
      <c r="AU18" s="218"/>
      <c r="AV18" s="218"/>
      <c r="AW18" s="218"/>
      <c r="AX18" s="218"/>
      <c r="AY18" s="218"/>
      <c r="AZ18" s="218"/>
      <c r="BA18" s="218"/>
      <c r="BB18" s="218"/>
      <c r="BC18" s="218"/>
      <c r="BD18" s="218"/>
      <c r="BE18" s="218"/>
      <c r="BF18" s="218"/>
      <c r="BG18" s="218"/>
      <c r="BH18" s="218"/>
      <c r="BI18" s="218"/>
      <c r="BJ18" s="218"/>
      <c r="BK18" s="218"/>
      <c r="BL18" s="218"/>
      <c r="BM18" s="218"/>
      <c r="BN18" s="218"/>
      <c r="BO18" s="218"/>
      <c r="BP18" s="218"/>
      <c r="BQ18" s="218"/>
      <c r="BR18" s="218"/>
      <c r="BS18" s="218"/>
      <c r="BT18" s="218"/>
      <c r="BU18" s="218"/>
      <c r="BV18" s="218"/>
      <c r="BW18" s="218"/>
      <c r="BX18" s="218"/>
      <c r="BY18" s="218"/>
      <c r="BZ18" s="218"/>
      <c r="CA18" s="218"/>
      <c r="CB18" s="218"/>
      <c r="CC18" s="218"/>
      <c r="CD18" s="218"/>
      <c r="CE18" s="218"/>
    </row>
    <row r="19" spans="1:83" ht="14.1" customHeight="1" x14ac:dyDescent="0.3">
      <c r="A19" s="218"/>
      <c r="B19" s="522" t="s">
        <v>849</v>
      </c>
      <c r="C19" s="523"/>
      <c r="D19" s="523"/>
      <c r="E19" s="523"/>
      <c r="F19" s="523"/>
      <c r="G19" s="523"/>
      <c r="H19" s="523"/>
      <c r="I19" s="523"/>
      <c r="J19" s="523"/>
      <c r="K19" s="523"/>
      <c r="L19" s="523"/>
      <c r="M19" s="523"/>
      <c r="N19" s="523"/>
      <c r="O19" s="523"/>
      <c r="P19" s="523"/>
      <c r="Q19" s="523"/>
      <c r="R19" s="523"/>
      <c r="S19" s="523"/>
      <c r="T19" s="523"/>
      <c r="U19" s="523"/>
      <c r="V19" s="522" t="s">
        <v>849</v>
      </c>
      <c r="W19" s="523"/>
      <c r="X19" s="523"/>
      <c r="Y19" s="523"/>
      <c r="Z19" s="523"/>
      <c r="AA19" s="523"/>
      <c r="AB19" s="523"/>
      <c r="AC19" s="523"/>
      <c r="AD19" s="523"/>
      <c r="AE19" s="523"/>
      <c r="AF19" s="523"/>
      <c r="AG19" s="523"/>
      <c r="AH19" s="523"/>
      <c r="AI19" s="523"/>
      <c r="AJ19" s="523"/>
      <c r="AK19" s="523"/>
      <c r="AL19" s="523"/>
      <c r="AM19" s="523"/>
      <c r="AN19" s="523"/>
      <c r="AO19" s="534"/>
      <c r="AP19" s="218"/>
      <c r="AU19" s="218"/>
      <c r="AV19" s="218"/>
      <c r="AW19" s="218"/>
      <c r="AX19" s="218"/>
      <c r="AY19" s="218"/>
      <c r="AZ19" s="218"/>
      <c r="BA19" s="218"/>
      <c r="BB19" s="218"/>
      <c r="BC19" s="218"/>
      <c r="BD19" s="218"/>
      <c r="BE19" s="218"/>
      <c r="BF19" s="218"/>
      <c r="BG19" s="218"/>
      <c r="BH19" s="218"/>
      <c r="BI19" s="218"/>
      <c r="BJ19" s="218"/>
      <c r="BK19" s="218"/>
      <c r="BL19" s="218"/>
      <c r="BM19" s="218"/>
      <c r="BN19" s="218"/>
      <c r="BO19" s="218"/>
      <c r="BP19" s="218"/>
      <c r="BQ19" s="218"/>
      <c r="BR19" s="218"/>
      <c r="BS19" s="218"/>
      <c r="BT19" s="218"/>
      <c r="BU19" s="218"/>
      <c r="BV19" s="218"/>
      <c r="BW19" s="218"/>
      <c r="BX19" s="218"/>
      <c r="BY19" s="218"/>
      <c r="BZ19" s="218"/>
      <c r="CA19" s="218"/>
      <c r="CB19" s="218"/>
      <c r="CC19" s="218"/>
      <c r="CD19" s="218"/>
      <c r="CE19" s="218"/>
    </row>
    <row r="20" spans="1:83" ht="14.1" customHeight="1" x14ac:dyDescent="0.3">
      <c r="A20" s="218"/>
      <c r="B20" s="555" t="s">
        <v>6</v>
      </c>
      <c r="C20" s="556"/>
      <c r="D20" s="556"/>
      <c r="E20" s="556"/>
      <c r="F20" s="556"/>
      <c r="G20" s="556"/>
      <c r="H20" s="556"/>
      <c r="I20" s="556"/>
      <c r="J20" s="545"/>
      <c r="K20" s="545"/>
      <c r="L20" s="545"/>
      <c r="M20" s="545"/>
      <c r="N20" s="545"/>
      <c r="O20" s="545"/>
      <c r="P20" s="545"/>
      <c r="Q20" s="545"/>
      <c r="R20" s="545"/>
      <c r="S20" s="545"/>
      <c r="T20" s="545"/>
      <c r="U20" s="546"/>
      <c r="V20" s="549" t="s">
        <v>837</v>
      </c>
      <c r="W20" s="550"/>
      <c r="X20" s="550"/>
      <c r="Y20" s="550"/>
      <c r="Z20" s="550"/>
      <c r="AA20" s="550"/>
      <c r="AB20" s="550"/>
      <c r="AC20" s="550"/>
      <c r="AD20" s="541"/>
      <c r="AE20" s="541"/>
      <c r="AF20" s="541"/>
      <c r="AG20" s="541"/>
      <c r="AH20" s="541"/>
      <c r="AI20" s="541"/>
      <c r="AJ20" s="541"/>
      <c r="AK20" s="541"/>
      <c r="AL20" s="541"/>
      <c r="AM20" s="541"/>
      <c r="AN20" s="541"/>
      <c r="AO20" s="542"/>
      <c r="AP20" s="218"/>
      <c r="AU20" s="218"/>
      <c r="AV20" s="218"/>
      <c r="AW20" s="218"/>
      <c r="AX20" s="218"/>
      <c r="AY20" s="218"/>
      <c r="AZ20" s="218"/>
      <c r="BA20" s="218"/>
      <c r="BB20" s="218"/>
      <c r="BC20" s="218"/>
      <c r="BD20" s="218"/>
      <c r="BE20" s="218"/>
      <c r="BF20" s="218"/>
      <c r="BG20" s="218"/>
      <c r="BH20" s="218"/>
      <c r="BI20" s="218"/>
      <c r="BJ20" s="218"/>
      <c r="BK20" s="218"/>
      <c r="BL20" s="218"/>
      <c r="BM20" s="218"/>
      <c r="BN20" s="218"/>
      <c r="BO20" s="218"/>
      <c r="BP20" s="218"/>
      <c r="BQ20" s="218"/>
      <c r="BR20" s="218"/>
      <c r="BS20" s="218"/>
      <c r="BT20" s="218"/>
      <c r="BU20" s="218"/>
      <c r="BV20" s="218"/>
      <c r="BW20" s="218"/>
      <c r="BX20" s="218"/>
      <c r="BY20" s="218"/>
      <c r="BZ20" s="218"/>
      <c r="CA20" s="218"/>
      <c r="CB20" s="218"/>
      <c r="CC20" s="218"/>
      <c r="CD20" s="218"/>
      <c r="CE20" s="218"/>
    </row>
    <row r="21" spans="1:83" ht="14.1" customHeight="1" x14ac:dyDescent="0.3">
      <c r="A21" s="218"/>
      <c r="B21" s="557" t="s">
        <v>835</v>
      </c>
      <c r="C21" s="558"/>
      <c r="D21" s="558"/>
      <c r="E21" s="558"/>
      <c r="F21" s="558"/>
      <c r="G21" s="558"/>
      <c r="H21" s="558"/>
      <c r="I21" s="558"/>
      <c r="J21" s="543"/>
      <c r="K21" s="543"/>
      <c r="L21" s="543"/>
      <c r="M21" s="543"/>
      <c r="N21" s="543"/>
      <c r="O21" s="543"/>
      <c r="P21" s="543"/>
      <c r="Q21" s="543"/>
      <c r="R21" s="543"/>
      <c r="S21" s="543"/>
      <c r="T21" s="543"/>
      <c r="U21" s="547"/>
      <c r="V21" s="551" t="s">
        <v>838</v>
      </c>
      <c r="W21" s="552"/>
      <c r="X21" s="552"/>
      <c r="Y21" s="552"/>
      <c r="Z21" s="552"/>
      <c r="AA21" s="552"/>
      <c r="AB21" s="552"/>
      <c r="AC21" s="552"/>
      <c r="AD21" s="529"/>
      <c r="AE21" s="529"/>
      <c r="AF21" s="529"/>
      <c r="AG21" s="529"/>
      <c r="AH21" s="529"/>
      <c r="AI21" s="529"/>
      <c r="AJ21" s="529"/>
      <c r="AK21" s="529"/>
      <c r="AL21" s="529"/>
      <c r="AM21" s="529"/>
      <c r="AN21" s="529"/>
      <c r="AO21" s="532"/>
      <c r="AP21" s="218"/>
      <c r="AU21" s="218"/>
      <c r="AV21" s="218"/>
      <c r="AW21" s="218"/>
      <c r="AX21" s="218"/>
      <c r="AY21" s="218"/>
      <c r="AZ21" s="218"/>
      <c r="BA21" s="218"/>
      <c r="BB21" s="218"/>
      <c r="BC21" s="218"/>
      <c r="BD21" s="218"/>
      <c r="BE21" s="218"/>
      <c r="BF21" s="218"/>
      <c r="BG21" s="218"/>
      <c r="BH21" s="218"/>
      <c r="BI21" s="218"/>
      <c r="BJ21" s="218"/>
      <c r="BK21" s="218"/>
      <c r="BL21" s="218"/>
      <c r="BM21" s="218"/>
      <c r="BN21" s="218"/>
      <c r="BO21" s="218"/>
      <c r="BP21" s="218"/>
      <c r="BQ21" s="218"/>
      <c r="BR21" s="218"/>
      <c r="BS21" s="218"/>
      <c r="BT21" s="218"/>
      <c r="BU21" s="218"/>
      <c r="BV21" s="218"/>
      <c r="BW21" s="218"/>
      <c r="BX21" s="218"/>
      <c r="BY21" s="218"/>
      <c r="BZ21" s="218"/>
      <c r="CA21" s="218"/>
      <c r="CB21" s="218"/>
      <c r="CC21" s="218"/>
      <c r="CD21" s="218"/>
      <c r="CE21" s="218"/>
    </row>
    <row r="22" spans="1:83" ht="14.1" customHeight="1" x14ac:dyDescent="0.3">
      <c r="A22" s="218"/>
      <c r="B22" s="557" t="s">
        <v>8</v>
      </c>
      <c r="C22" s="558"/>
      <c r="D22" s="558"/>
      <c r="E22" s="558"/>
      <c r="F22" s="558"/>
      <c r="G22" s="558"/>
      <c r="H22" s="558"/>
      <c r="I22" s="558"/>
      <c r="J22" s="543"/>
      <c r="K22" s="543"/>
      <c r="L22" s="543"/>
      <c r="M22" s="543"/>
      <c r="N22" s="543"/>
      <c r="O22" s="543"/>
      <c r="P22" s="543"/>
      <c r="Q22" s="543"/>
      <c r="R22" s="543"/>
      <c r="S22" s="543"/>
      <c r="T22" s="543"/>
      <c r="U22" s="547"/>
      <c r="V22" s="551" t="s">
        <v>13</v>
      </c>
      <c r="W22" s="552"/>
      <c r="X22" s="552"/>
      <c r="Y22" s="552"/>
      <c r="Z22" s="552"/>
      <c r="AA22" s="552"/>
      <c r="AB22" s="552"/>
      <c r="AC22" s="552"/>
      <c r="AD22" s="529"/>
      <c r="AE22" s="529"/>
      <c r="AF22" s="529"/>
      <c r="AG22" s="529"/>
      <c r="AH22" s="529"/>
      <c r="AI22" s="529"/>
      <c r="AJ22" s="529"/>
      <c r="AK22" s="529"/>
      <c r="AL22" s="529"/>
      <c r="AM22" s="529"/>
      <c r="AN22" s="529"/>
      <c r="AO22" s="532"/>
      <c r="AP22" s="218"/>
      <c r="AU22" s="218"/>
      <c r="AV22" s="218"/>
      <c r="AW22" s="218"/>
      <c r="AX22" s="218"/>
      <c r="AY22" s="218"/>
      <c r="AZ22" s="218"/>
      <c r="BA22" s="218"/>
      <c r="BB22" s="218"/>
      <c r="BC22" s="218"/>
      <c r="BD22" s="218"/>
      <c r="BE22" s="218"/>
      <c r="BF22" s="218"/>
      <c r="BG22" s="218"/>
      <c r="BH22" s="218"/>
      <c r="BI22" s="218"/>
      <c r="BJ22" s="218"/>
      <c r="BK22" s="218"/>
      <c r="BL22" s="218"/>
      <c r="BM22" s="218"/>
      <c r="BN22" s="218"/>
      <c r="BO22" s="218"/>
      <c r="BP22" s="218"/>
      <c r="BQ22" s="218"/>
      <c r="BR22" s="218"/>
      <c r="BS22" s="218"/>
      <c r="BT22" s="218"/>
      <c r="BU22" s="218"/>
      <c r="BV22" s="218"/>
      <c r="BW22" s="218"/>
      <c r="BX22" s="218"/>
      <c r="BY22" s="218"/>
      <c r="BZ22" s="218"/>
      <c r="CA22" s="218"/>
      <c r="CB22" s="218"/>
      <c r="CC22" s="218"/>
      <c r="CD22" s="218"/>
      <c r="CE22" s="218"/>
    </row>
    <row r="23" spans="1:83" ht="14.1" customHeight="1" x14ac:dyDescent="0.3">
      <c r="A23" s="218"/>
      <c r="B23" s="557" t="s">
        <v>9</v>
      </c>
      <c r="C23" s="558"/>
      <c r="D23" s="558"/>
      <c r="E23" s="558"/>
      <c r="F23" s="558"/>
      <c r="G23" s="558"/>
      <c r="H23" s="558"/>
      <c r="I23" s="558"/>
      <c r="J23" s="543"/>
      <c r="K23" s="543"/>
      <c r="L23" s="543"/>
      <c r="M23" s="543"/>
      <c r="N23" s="543"/>
      <c r="O23" s="543"/>
      <c r="P23" s="543"/>
      <c r="Q23" s="543"/>
      <c r="R23" s="543"/>
      <c r="S23" s="543"/>
      <c r="T23" s="543"/>
      <c r="U23" s="547"/>
      <c r="V23" s="551" t="s">
        <v>839</v>
      </c>
      <c r="W23" s="552"/>
      <c r="X23" s="552"/>
      <c r="Y23" s="552"/>
      <c r="Z23" s="552"/>
      <c r="AA23" s="552"/>
      <c r="AB23" s="552"/>
      <c r="AC23" s="552"/>
      <c r="AD23" s="529"/>
      <c r="AE23" s="529"/>
      <c r="AF23" s="529"/>
      <c r="AG23" s="529"/>
      <c r="AH23" s="529"/>
      <c r="AI23" s="529"/>
      <c r="AJ23" s="529"/>
      <c r="AK23" s="529"/>
      <c r="AL23" s="529"/>
      <c r="AM23" s="529"/>
      <c r="AN23" s="529"/>
      <c r="AO23" s="532"/>
      <c r="AP23" s="218"/>
      <c r="AU23" s="218"/>
      <c r="AV23" s="218"/>
      <c r="AW23" s="218"/>
      <c r="AX23" s="218"/>
      <c r="AY23" s="218"/>
      <c r="AZ23" s="218"/>
      <c r="BA23" s="218"/>
      <c r="BB23" s="218"/>
      <c r="BC23" s="218"/>
      <c r="BD23" s="218"/>
      <c r="BE23" s="218"/>
      <c r="BF23" s="218"/>
      <c r="BG23" s="218"/>
      <c r="BH23" s="218"/>
      <c r="BI23" s="218"/>
      <c r="BJ23" s="218"/>
      <c r="BK23" s="218"/>
      <c r="BL23" s="218"/>
      <c r="BM23" s="218"/>
      <c r="BN23" s="218"/>
      <c r="BO23" s="218"/>
      <c r="BP23" s="218"/>
      <c r="BQ23" s="218"/>
      <c r="BR23" s="218"/>
      <c r="BS23" s="218"/>
      <c r="BT23" s="218"/>
      <c r="BU23" s="218"/>
      <c r="BV23" s="218"/>
      <c r="BW23" s="218"/>
      <c r="BX23" s="218"/>
      <c r="BY23" s="218"/>
      <c r="BZ23" s="218"/>
      <c r="CA23" s="218"/>
      <c r="CB23" s="218"/>
      <c r="CC23" s="218"/>
      <c r="CD23" s="218"/>
      <c r="CE23" s="218"/>
    </row>
    <row r="24" spans="1:83" ht="14.1" customHeight="1" x14ac:dyDescent="0.3">
      <c r="A24" s="218"/>
      <c r="B24" s="559" t="s">
        <v>836</v>
      </c>
      <c r="C24" s="422"/>
      <c r="D24" s="422"/>
      <c r="E24" s="422"/>
      <c r="F24" s="422"/>
      <c r="G24" s="422"/>
      <c r="H24" s="422"/>
      <c r="I24" s="422"/>
      <c r="J24" s="544"/>
      <c r="K24" s="544"/>
      <c r="L24" s="544"/>
      <c r="M24" s="544"/>
      <c r="N24" s="544"/>
      <c r="O24" s="544"/>
      <c r="P24" s="544"/>
      <c r="Q24" s="544"/>
      <c r="R24" s="544"/>
      <c r="S24" s="544"/>
      <c r="T24" s="544"/>
      <c r="U24" s="548"/>
      <c r="V24" s="553" t="s">
        <v>840</v>
      </c>
      <c r="W24" s="554"/>
      <c r="X24" s="554"/>
      <c r="Y24" s="554"/>
      <c r="Z24" s="554"/>
      <c r="AA24" s="554"/>
      <c r="AB24" s="554"/>
      <c r="AC24" s="554"/>
      <c r="AD24" s="531"/>
      <c r="AE24" s="531"/>
      <c r="AF24" s="531"/>
      <c r="AG24" s="531"/>
      <c r="AH24" s="531"/>
      <c r="AI24" s="531"/>
      <c r="AJ24" s="531"/>
      <c r="AK24" s="531"/>
      <c r="AL24" s="531"/>
      <c r="AM24" s="531"/>
      <c r="AN24" s="531"/>
      <c r="AO24" s="533"/>
      <c r="AP24" s="218"/>
      <c r="AU24" s="218"/>
      <c r="AV24" s="218"/>
      <c r="AW24" s="218"/>
      <c r="AX24" s="218"/>
      <c r="AY24" s="218"/>
      <c r="AZ24" s="218"/>
      <c r="BA24" s="218"/>
      <c r="BB24" s="218"/>
      <c r="BC24" s="218"/>
      <c r="BD24" s="218"/>
      <c r="BE24" s="218"/>
      <c r="BF24" s="218"/>
      <c r="BG24" s="218"/>
      <c r="BH24" s="218"/>
      <c r="BI24" s="218"/>
      <c r="BJ24" s="218"/>
      <c r="BK24" s="218"/>
      <c r="BL24" s="218"/>
      <c r="BM24" s="218"/>
      <c r="BN24" s="218"/>
      <c r="BO24" s="218"/>
      <c r="BP24" s="218"/>
      <c r="BQ24" s="218"/>
      <c r="BR24" s="218"/>
      <c r="BS24" s="218"/>
      <c r="BT24" s="218"/>
      <c r="BU24" s="218"/>
      <c r="BV24" s="218"/>
      <c r="BW24" s="218"/>
      <c r="BX24" s="218"/>
      <c r="BY24" s="218"/>
      <c r="BZ24" s="218"/>
      <c r="CA24" s="218"/>
      <c r="CB24" s="218"/>
      <c r="CC24" s="218"/>
      <c r="CD24" s="218"/>
      <c r="CE24" s="218"/>
    </row>
    <row r="25" spans="1:83" ht="14.1" customHeight="1" x14ac:dyDescent="0.3">
      <c r="B25" s="218"/>
      <c r="C25" s="218"/>
      <c r="D25" s="218"/>
      <c r="E25" s="218"/>
      <c r="F25" s="218"/>
      <c r="G25" s="218"/>
      <c r="H25" s="218"/>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U25" s="218"/>
      <c r="AV25" s="218"/>
      <c r="AW25" s="218"/>
      <c r="AX25" s="218"/>
      <c r="AY25" s="218"/>
      <c r="AZ25" s="218"/>
      <c r="BA25" s="218"/>
      <c r="BB25" s="218"/>
      <c r="BC25" s="218"/>
      <c r="BD25" s="218"/>
      <c r="BE25" s="218"/>
      <c r="BF25" s="218"/>
      <c r="BG25" s="218"/>
      <c r="BH25" s="218"/>
      <c r="BI25" s="218"/>
      <c r="BJ25" s="218"/>
      <c r="BK25" s="218"/>
      <c r="BL25" s="218"/>
      <c r="BM25" s="218"/>
      <c r="BN25" s="218"/>
      <c r="BO25" s="218"/>
      <c r="BP25" s="218"/>
      <c r="BQ25" s="218"/>
      <c r="BR25" s="218"/>
      <c r="BS25" s="218"/>
      <c r="BT25" s="218"/>
      <c r="BU25" s="218"/>
      <c r="BV25" s="218"/>
      <c r="BW25" s="218"/>
      <c r="BX25" s="218"/>
      <c r="BY25" s="218"/>
      <c r="BZ25" s="218"/>
      <c r="CA25" s="218"/>
      <c r="CB25" s="218"/>
      <c r="CC25" s="218"/>
      <c r="CD25" s="218"/>
      <c r="CE25" s="218"/>
    </row>
    <row r="26" spans="1:83" ht="14.1" customHeight="1" x14ac:dyDescent="0.3">
      <c r="B26" s="525" t="s">
        <v>864</v>
      </c>
      <c r="C26" s="526"/>
      <c r="D26" s="526"/>
      <c r="E26" s="526"/>
      <c r="F26" s="526"/>
      <c r="G26" s="526"/>
      <c r="H26" s="526"/>
      <c r="I26" s="526"/>
      <c r="J26" s="526"/>
      <c r="K26" s="526"/>
      <c r="L26" s="526"/>
      <c r="M26" s="526"/>
      <c r="N26" s="526"/>
      <c r="O26" s="526"/>
      <c r="P26" s="526"/>
      <c r="Q26" s="526"/>
      <c r="R26" s="526"/>
      <c r="S26" s="526"/>
      <c r="T26" s="526"/>
      <c r="U26" s="527"/>
      <c r="V26" s="525" t="s">
        <v>865</v>
      </c>
      <c r="W26" s="526"/>
      <c r="X26" s="526"/>
      <c r="Y26" s="526"/>
      <c r="Z26" s="526"/>
      <c r="AA26" s="526"/>
      <c r="AB26" s="526"/>
      <c r="AC26" s="526"/>
      <c r="AD26" s="526"/>
      <c r="AE26" s="526"/>
      <c r="AF26" s="526"/>
      <c r="AG26" s="526"/>
      <c r="AH26" s="526"/>
      <c r="AI26" s="526"/>
      <c r="AJ26" s="526"/>
      <c r="AK26" s="526"/>
      <c r="AL26" s="526"/>
      <c r="AM26" s="526"/>
      <c r="AN26" s="526"/>
      <c r="AO26" s="527"/>
      <c r="AU26" s="218"/>
      <c r="AV26" s="218"/>
      <c r="AW26" s="218"/>
      <c r="AX26" s="218"/>
      <c r="AY26" s="218"/>
      <c r="AZ26" s="218"/>
      <c r="BA26" s="218"/>
      <c r="BB26" s="218"/>
      <c r="BC26" s="218"/>
      <c r="BD26" s="218"/>
      <c r="BE26" s="218"/>
      <c r="BF26" s="218"/>
      <c r="BG26" s="218"/>
      <c r="BH26" s="218"/>
      <c r="BI26" s="218"/>
      <c r="BJ26" s="218"/>
      <c r="BK26" s="218"/>
      <c r="BL26" s="218"/>
      <c r="BM26" s="218"/>
      <c r="BN26" s="218"/>
      <c r="BO26" s="218"/>
      <c r="BP26" s="218"/>
      <c r="BQ26" s="218"/>
      <c r="BR26" s="218"/>
      <c r="BS26" s="218"/>
      <c r="BT26" s="218"/>
      <c r="BU26" s="218"/>
      <c r="BV26" s="218"/>
      <c r="BW26" s="218"/>
      <c r="BX26" s="218"/>
      <c r="BY26" s="218"/>
      <c r="BZ26" s="218"/>
      <c r="CA26" s="218"/>
      <c r="CB26" s="218"/>
      <c r="CC26" s="218"/>
      <c r="CD26" s="218"/>
      <c r="CE26" s="218"/>
    </row>
    <row r="27" spans="1:83" ht="14.1" customHeight="1" x14ac:dyDescent="0.3">
      <c r="B27" s="528"/>
      <c r="C27" s="529"/>
      <c r="D27" s="529"/>
      <c r="E27" s="529"/>
      <c r="F27" s="529"/>
      <c r="G27" s="529"/>
      <c r="H27" s="529"/>
      <c r="I27" s="529"/>
      <c r="J27" s="529"/>
      <c r="K27" s="529"/>
      <c r="L27" s="529"/>
      <c r="M27" s="529"/>
      <c r="N27" s="529"/>
      <c r="O27" s="529"/>
      <c r="P27" s="529"/>
      <c r="Q27" s="529"/>
      <c r="R27" s="529"/>
      <c r="S27" s="529"/>
      <c r="T27" s="529"/>
      <c r="U27" s="532"/>
      <c r="V27" s="528"/>
      <c r="W27" s="529"/>
      <c r="X27" s="529"/>
      <c r="Y27" s="529"/>
      <c r="Z27" s="529"/>
      <c r="AA27" s="529"/>
      <c r="AB27" s="529"/>
      <c r="AC27" s="529"/>
      <c r="AD27" s="529"/>
      <c r="AE27" s="529"/>
      <c r="AF27" s="529"/>
      <c r="AG27" s="529"/>
      <c r="AH27" s="529"/>
      <c r="AI27" s="529"/>
      <c r="AJ27" s="529"/>
      <c r="AK27" s="529"/>
      <c r="AL27" s="529"/>
      <c r="AM27" s="529"/>
      <c r="AN27" s="529"/>
      <c r="AO27" s="532"/>
      <c r="AU27" s="218"/>
      <c r="AV27" s="218"/>
      <c r="AW27" s="218"/>
      <c r="AX27" s="218"/>
      <c r="AY27" s="218"/>
      <c r="AZ27" s="218"/>
      <c r="BA27" s="218"/>
      <c r="BB27" s="218"/>
      <c r="BC27" s="218"/>
      <c r="BD27" s="218"/>
      <c r="BE27" s="218"/>
      <c r="BF27" s="218"/>
      <c r="BG27" s="218"/>
      <c r="BH27" s="218"/>
      <c r="BI27" s="218"/>
      <c r="BJ27" s="218"/>
      <c r="BK27" s="218"/>
      <c r="BL27" s="218"/>
      <c r="BM27" s="218"/>
      <c r="BN27" s="218"/>
      <c r="BO27" s="218"/>
      <c r="BP27" s="218"/>
      <c r="BQ27" s="218"/>
      <c r="BR27" s="218"/>
      <c r="BS27" s="218"/>
      <c r="BT27" s="218"/>
      <c r="BU27" s="218"/>
      <c r="BV27" s="218"/>
      <c r="BW27" s="218"/>
      <c r="BX27" s="218"/>
      <c r="BY27" s="218"/>
      <c r="BZ27" s="218"/>
      <c r="CA27" s="218"/>
      <c r="CB27" s="218"/>
      <c r="CC27" s="218"/>
      <c r="CD27" s="218"/>
      <c r="CE27" s="218"/>
    </row>
    <row r="28" spans="1:83" ht="14.1" customHeight="1" x14ac:dyDescent="0.3">
      <c r="B28" s="528"/>
      <c r="C28" s="529"/>
      <c r="D28" s="529"/>
      <c r="E28" s="529"/>
      <c r="F28" s="529"/>
      <c r="G28" s="529"/>
      <c r="H28" s="529"/>
      <c r="I28" s="529"/>
      <c r="J28" s="529"/>
      <c r="K28" s="529"/>
      <c r="L28" s="529"/>
      <c r="M28" s="529"/>
      <c r="N28" s="529"/>
      <c r="O28" s="529"/>
      <c r="P28" s="529"/>
      <c r="Q28" s="529"/>
      <c r="R28" s="529"/>
      <c r="S28" s="529"/>
      <c r="T28" s="529"/>
      <c r="U28" s="532"/>
      <c r="V28" s="528"/>
      <c r="W28" s="529"/>
      <c r="X28" s="529"/>
      <c r="Y28" s="529"/>
      <c r="Z28" s="529"/>
      <c r="AA28" s="529"/>
      <c r="AB28" s="529"/>
      <c r="AC28" s="529"/>
      <c r="AD28" s="529"/>
      <c r="AE28" s="529"/>
      <c r="AF28" s="529"/>
      <c r="AG28" s="529"/>
      <c r="AH28" s="529"/>
      <c r="AI28" s="529"/>
      <c r="AJ28" s="529"/>
      <c r="AK28" s="529"/>
      <c r="AL28" s="529"/>
      <c r="AM28" s="529"/>
      <c r="AN28" s="529"/>
      <c r="AO28" s="532"/>
      <c r="AU28" s="218"/>
      <c r="AV28" s="218"/>
      <c r="AW28" s="218"/>
      <c r="AX28" s="218"/>
      <c r="AY28" s="218"/>
      <c r="AZ28" s="218"/>
      <c r="BA28" s="218"/>
      <c r="BB28" s="218"/>
      <c r="BC28" s="218"/>
      <c r="BD28" s="218"/>
      <c r="BE28" s="218"/>
      <c r="BF28" s="218"/>
      <c r="BG28" s="218"/>
      <c r="BH28" s="218"/>
      <c r="BI28" s="218"/>
      <c r="BJ28" s="218"/>
      <c r="BK28" s="218"/>
      <c r="BL28" s="218"/>
      <c r="BM28" s="218"/>
      <c r="BN28" s="218"/>
      <c r="BO28" s="218"/>
      <c r="BP28" s="218"/>
      <c r="BQ28" s="218"/>
      <c r="BR28" s="218"/>
      <c r="BS28" s="218"/>
      <c r="BT28" s="218"/>
      <c r="BU28" s="218"/>
      <c r="BV28" s="218"/>
      <c r="BW28" s="218"/>
      <c r="BX28" s="218"/>
      <c r="BY28" s="218"/>
      <c r="BZ28" s="218"/>
      <c r="CA28" s="218"/>
      <c r="CB28" s="218"/>
      <c r="CC28" s="218"/>
      <c r="CD28" s="218"/>
      <c r="CE28" s="218"/>
    </row>
    <row r="29" spans="1:83" ht="14.1" customHeight="1" x14ac:dyDescent="0.3">
      <c r="B29" s="528"/>
      <c r="C29" s="529"/>
      <c r="D29" s="529"/>
      <c r="E29" s="529"/>
      <c r="F29" s="529"/>
      <c r="G29" s="529"/>
      <c r="H29" s="529"/>
      <c r="I29" s="529"/>
      <c r="J29" s="529"/>
      <c r="K29" s="529"/>
      <c r="L29" s="529"/>
      <c r="M29" s="529"/>
      <c r="N29" s="529"/>
      <c r="O29" s="529"/>
      <c r="P29" s="529"/>
      <c r="Q29" s="529"/>
      <c r="R29" s="529"/>
      <c r="S29" s="529"/>
      <c r="T29" s="529"/>
      <c r="U29" s="532"/>
      <c r="V29" s="528"/>
      <c r="W29" s="529"/>
      <c r="X29" s="529"/>
      <c r="Y29" s="529"/>
      <c r="Z29" s="529"/>
      <c r="AA29" s="529"/>
      <c r="AB29" s="529"/>
      <c r="AC29" s="529"/>
      <c r="AD29" s="529"/>
      <c r="AE29" s="529"/>
      <c r="AF29" s="529"/>
      <c r="AG29" s="529"/>
      <c r="AH29" s="529"/>
      <c r="AI29" s="529"/>
      <c r="AJ29" s="529"/>
      <c r="AK29" s="529"/>
      <c r="AL29" s="529"/>
      <c r="AM29" s="529"/>
      <c r="AN29" s="529"/>
      <c r="AO29" s="532"/>
      <c r="AU29" s="218"/>
      <c r="AV29" s="218"/>
      <c r="AW29" s="218"/>
      <c r="AX29" s="218"/>
      <c r="AY29" s="218"/>
      <c r="AZ29" s="218"/>
      <c r="BA29" s="218"/>
      <c r="BB29" s="218"/>
      <c r="BC29" s="218"/>
      <c r="BD29" s="218"/>
      <c r="BE29" s="218"/>
      <c r="BF29" s="218"/>
      <c r="BG29" s="218"/>
      <c r="BH29" s="218"/>
      <c r="BI29" s="218"/>
      <c r="BJ29" s="218"/>
      <c r="BK29" s="218"/>
      <c r="BL29" s="218"/>
      <c r="BM29" s="218"/>
      <c r="BN29" s="218"/>
      <c r="BO29" s="218"/>
      <c r="BP29" s="218"/>
      <c r="BQ29" s="218"/>
      <c r="BR29" s="218"/>
      <c r="BS29" s="218"/>
      <c r="BT29" s="218"/>
      <c r="BU29" s="218"/>
      <c r="BV29" s="218"/>
      <c r="BW29" s="218"/>
      <c r="BX29" s="218"/>
      <c r="BY29" s="218"/>
      <c r="BZ29" s="218"/>
      <c r="CA29" s="218"/>
      <c r="CB29" s="218"/>
      <c r="CC29" s="218"/>
      <c r="CD29" s="218"/>
      <c r="CE29" s="218"/>
    </row>
    <row r="30" spans="1:83" ht="14.1" customHeight="1" x14ac:dyDescent="0.3">
      <c r="B30" s="528"/>
      <c r="C30" s="529"/>
      <c r="D30" s="529"/>
      <c r="E30" s="529"/>
      <c r="F30" s="529"/>
      <c r="G30" s="529"/>
      <c r="H30" s="529"/>
      <c r="I30" s="529"/>
      <c r="J30" s="529"/>
      <c r="K30" s="529"/>
      <c r="L30" s="529"/>
      <c r="M30" s="529"/>
      <c r="N30" s="529"/>
      <c r="O30" s="529"/>
      <c r="P30" s="529"/>
      <c r="Q30" s="529"/>
      <c r="R30" s="529"/>
      <c r="S30" s="529"/>
      <c r="T30" s="529"/>
      <c r="U30" s="532"/>
      <c r="V30" s="528"/>
      <c r="W30" s="529"/>
      <c r="X30" s="529"/>
      <c r="Y30" s="529"/>
      <c r="Z30" s="529"/>
      <c r="AA30" s="529"/>
      <c r="AB30" s="529"/>
      <c r="AC30" s="529"/>
      <c r="AD30" s="529"/>
      <c r="AE30" s="529"/>
      <c r="AF30" s="529"/>
      <c r="AG30" s="529"/>
      <c r="AH30" s="529"/>
      <c r="AI30" s="529"/>
      <c r="AJ30" s="529"/>
      <c r="AK30" s="529"/>
      <c r="AL30" s="529"/>
      <c r="AM30" s="529"/>
      <c r="AN30" s="529"/>
      <c r="AO30" s="532"/>
      <c r="AU30" s="218"/>
      <c r="AV30" s="218"/>
      <c r="AW30" s="218"/>
      <c r="AX30" s="218"/>
      <c r="AY30" s="218"/>
      <c r="AZ30" s="218"/>
      <c r="BA30" s="218"/>
      <c r="BB30" s="218"/>
      <c r="BC30" s="218"/>
      <c r="BD30" s="218"/>
      <c r="BE30" s="218"/>
      <c r="BF30" s="218"/>
      <c r="BG30" s="218"/>
      <c r="BH30" s="218"/>
      <c r="BI30" s="218"/>
      <c r="BJ30" s="218"/>
      <c r="BK30" s="218"/>
      <c r="BL30" s="218"/>
      <c r="BM30" s="218"/>
      <c r="BN30" s="218"/>
      <c r="BO30" s="218"/>
      <c r="BP30" s="218"/>
      <c r="BQ30" s="218"/>
      <c r="BR30" s="218"/>
      <c r="BS30" s="218"/>
      <c r="BT30" s="218"/>
      <c r="BU30" s="218"/>
      <c r="BV30" s="218"/>
      <c r="BW30" s="218"/>
      <c r="BX30" s="218"/>
      <c r="BY30" s="218"/>
      <c r="BZ30" s="218"/>
      <c r="CA30" s="218"/>
      <c r="CB30" s="218"/>
      <c r="CC30" s="218"/>
      <c r="CD30" s="218"/>
      <c r="CE30" s="218"/>
    </row>
    <row r="31" spans="1:83" ht="14.1" customHeight="1" x14ac:dyDescent="0.3">
      <c r="B31" s="528"/>
      <c r="C31" s="529"/>
      <c r="D31" s="529"/>
      <c r="E31" s="529"/>
      <c r="F31" s="529"/>
      <c r="G31" s="529"/>
      <c r="H31" s="529"/>
      <c r="I31" s="529"/>
      <c r="J31" s="529"/>
      <c r="K31" s="529"/>
      <c r="L31" s="529"/>
      <c r="M31" s="529"/>
      <c r="N31" s="529"/>
      <c r="O31" s="529"/>
      <c r="P31" s="529"/>
      <c r="Q31" s="529"/>
      <c r="R31" s="529"/>
      <c r="S31" s="529"/>
      <c r="T31" s="529"/>
      <c r="U31" s="532"/>
      <c r="V31" s="528"/>
      <c r="W31" s="529"/>
      <c r="X31" s="529"/>
      <c r="Y31" s="529"/>
      <c r="Z31" s="529"/>
      <c r="AA31" s="529"/>
      <c r="AB31" s="529"/>
      <c r="AC31" s="529"/>
      <c r="AD31" s="529"/>
      <c r="AE31" s="529"/>
      <c r="AF31" s="529"/>
      <c r="AG31" s="529"/>
      <c r="AH31" s="529"/>
      <c r="AI31" s="529"/>
      <c r="AJ31" s="529"/>
      <c r="AK31" s="529"/>
      <c r="AL31" s="529"/>
      <c r="AM31" s="529"/>
      <c r="AN31" s="529"/>
      <c r="AO31" s="532"/>
    </row>
    <row r="32" spans="1:83" ht="14.1" customHeight="1" x14ac:dyDescent="0.3">
      <c r="B32" s="528"/>
      <c r="C32" s="529"/>
      <c r="D32" s="529"/>
      <c r="E32" s="529"/>
      <c r="F32" s="529"/>
      <c r="G32" s="529"/>
      <c r="H32" s="529"/>
      <c r="I32" s="529"/>
      <c r="J32" s="529"/>
      <c r="K32" s="529"/>
      <c r="L32" s="529"/>
      <c r="M32" s="529"/>
      <c r="N32" s="529"/>
      <c r="O32" s="529"/>
      <c r="P32" s="529"/>
      <c r="Q32" s="529"/>
      <c r="R32" s="529"/>
      <c r="S32" s="529"/>
      <c r="T32" s="529"/>
      <c r="U32" s="532"/>
      <c r="V32" s="528"/>
      <c r="W32" s="529"/>
      <c r="X32" s="529"/>
      <c r="Y32" s="529"/>
      <c r="Z32" s="529"/>
      <c r="AA32" s="529"/>
      <c r="AB32" s="529"/>
      <c r="AC32" s="529"/>
      <c r="AD32" s="529"/>
      <c r="AE32" s="529"/>
      <c r="AF32" s="529"/>
      <c r="AG32" s="529"/>
      <c r="AH32" s="529"/>
      <c r="AI32" s="529"/>
      <c r="AJ32" s="529"/>
      <c r="AK32" s="529"/>
      <c r="AL32" s="529"/>
      <c r="AM32" s="529"/>
      <c r="AN32" s="529"/>
      <c r="AO32" s="532"/>
    </row>
    <row r="33" spans="2:62" ht="14.1" customHeight="1" x14ac:dyDescent="0.3">
      <c r="B33" s="530"/>
      <c r="C33" s="531"/>
      <c r="D33" s="531"/>
      <c r="E33" s="531"/>
      <c r="F33" s="531"/>
      <c r="G33" s="531"/>
      <c r="H33" s="531"/>
      <c r="I33" s="531"/>
      <c r="J33" s="531"/>
      <c r="K33" s="531"/>
      <c r="L33" s="531"/>
      <c r="M33" s="531"/>
      <c r="N33" s="531"/>
      <c r="O33" s="531"/>
      <c r="P33" s="531"/>
      <c r="Q33" s="531"/>
      <c r="R33" s="531"/>
      <c r="S33" s="531"/>
      <c r="T33" s="531"/>
      <c r="U33" s="533"/>
      <c r="V33" s="530"/>
      <c r="W33" s="531"/>
      <c r="X33" s="531"/>
      <c r="Y33" s="531"/>
      <c r="Z33" s="531"/>
      <c r="AA33" s="531"/>
      <c r="AB33" s="531"/>
      <c r="AC33" s="531"/>
      <c r="AD33" s="531"/>
      <c r="AE33" s="531"/>
      <c r="AF33" s="531"/>
      <c r="AG33" s="531"/>
      <c r="AH33" s="531"/>
      <c r="AI33" s="531"/>
      <c r="AJ33" s="531"/>
      <c r="AK33" s="531"/>
      <c r="AL33" s="531"/>
      <c r="AM33" s="531"/>
      <c r="AN33" s="531"/>
      <c r="AO33" s="533"/>
    </row>
    <row r="35" spans="2:62" ht="14.1" customHeight="1" x14ac:dyDescent="0.3">
      <c r="B35" s="524" t="s">
        <v>108</v>
      </c>
      <c r="C35" s="524"/>
      <c r="D35" s="524"/>
      <c r="E35" s="524"/>
      <c r="F35" s="524"/>
      <c r="G35" s="524"/>
      <c r="H35" s="524"/>
      <c r="I35" s="524"/>
      <c r="J35" s="524"/>
      <c r="K35" s="524"/>
      <c r="L35" s="524"/>
      <c r="M35" s="535" t="s">
        <v>847</v>
      </c>
      <c r="N35" s="535"/>
      <c r="O35" s="535"/>
      <c r="P35" s="535"/>
      <c r="Q35" s="535"/>
      <c r="R35" s="535"/>
      <c r="S35" s="535"/>
      <c r="T35" s="535"/>
      <c r="U35" s="535"/>
      <c r="V35" s="535"/>
      <c r="W35" s="535"/>
      <c r="X35" s="502" t="s">
        <v>860</v>
      </c>
      <c r="Y35" s="502"/>
      <c r="Z35" s="502"/>
      <c r="AA35" s="502"/>
      <c r="AB35" s="502"/>
      <c r="AC35" s="502"/>
      <c r="AD35" s="502"/>
      <c r="AE35" s="502"/>
      <c r="AF35" s="502"/>
      <c r="AG35" s="502" t="s">
        <v>861</v>
      </c>
      <c r="AH35" s="502"/>
      <c r="AI35" s="502"/>
      <c r="AJ35" s="502"/>
      <c r="AK35" s="502"/>
      <c r="AL35" s="502"/>
      <c r="AM35" s="502"/>
      <c r="AN35" s="502"/>
      <c r="AO35" s="502"/>
    </row>
    <row r="36" spans="2:62" ht="14.1" customHeight="1" x14ac:dyDescent="0.3">
      <c r="B36" s="524" t="s">
        <v>701</v>
      </c>
      <c r="C36" s="524"/>
      <c r="D36" s="524"/>
      <c r="E36" s="524"/>
      <c r="F36" s="524"/>
      <c r="G36" s="524"/>
      <c r="H36" s="524"/>
      <c r="I36" s="524"/>
      <c r="J36" s="524"/>
      <c r="K36" s="524"/>
      <c r="L36" s="524"/>
      <c r="M36" s="423" t="s">
        <v>73</v>
      </c>
      <c r="N36" s="423"/>
      <c r="O36" s="423"/>
      <c r="P36" s="423"/>
      <c r="Q36" s="423"/>
      <c r="R36" s="423"/>
      <c r="S36" s="423"/>
      <c r="T36" s="423"/>
      <c r="U36" s="524"/>
      <c r="V36" s="524"/>
      <c r="W36" s="524"/>
      <c r="X36" s="444" t="s">
        <v>71</v>
      </c>
      <c r="Y36" s="444"/>
      <c r="Z36" s="444"/>
      <c r="AA36" s="444"/>
      <c r="AB36" s="444"/>
      <c r="AC36" s="444"/>
      <c r="AD36" s="524"/>
      <c r="AE36" s="524"/>
      <c r="AF36" s="524"/>
      <c r="AG36" s="444" t="s">
        <v>102</v>
      </c>
      <c r="AH36" s="444"/>
      <c r="AI36" s="444"/>
      <c r="AJ36" s="444"/>
      <c r="AK36" s="444"/>
      <c r="AL36" s="444"/>
      <c r="AM36" s="524"/>
      <c r="AN36" s="524"/>
      <c r="AO36" s="524"/>
    </row>
    <row r="37" spans="2:62" ht="14.1" customHeight="1" x14ac:dyDescent="0.3">
      <c r="B37" s="524" t="s">
        <v>718</v>
      </c>
      <c r="C37" s="524"/>
      <c r="D37" s="524"/>
      <c r="E37" s="524"/>
      <c r="F37" s="524"/>
      <c r="G37" s="524"/>
      <c r="H37" s="524"/>
      <c r="I37" s="524"/>
      <c r="J37" s="524"/>
      <c r="K37" s="524"/>
      <c r="L37" s="524"/>
      <c r="M37" s="423" t="s">
        <v>618</v>
      </c>
      <c r="N37" s="423"/>
      <c r="O37" s="423"/>
      <c r="P37" s="423"/>
      <c r="Q37" s="423"/>
      <c r="R37" s="423"/>
      <c r="S37" s="423"/>
      <c r="T37" s="423"/>
      <c r="U37" s="524"/>
      <c r="V37" s="524"/>
      <c r="W37" s="524"/>
      <c r="X37" s="536" t="s">
        <v>661</v>
      </c>
      <c r="Y37" s="536"/>
      <c r="Z37" s="536"/>
      <c r="AA37" s="536"/>
      <c r="AB37" s="536"/>
      <c r="AC37" s="536"/>
      <c r="AD37" s="524"/>
      <c r="AE37" s="524"/>
      <c r="AF37" s="524"/>
      <c r="AG37" s="536" t="s">
        <v>680</v>
      </c>
      <c r="AH37" s="536"/>
      <c r="AI37" s="536"/>
      <c r="AJ37" s="536"/>
      <c r="AK37" s="536"/>
      <c r="AL37" s="536"/>
      <c r="AM37" s="524"/>
      <c r="AN37" s="524"/>
      <c r="AO37" s="524"/>
    </row>
    <row r="38" spans="2:62" ht="14.1" customHeight="1" x14ac:dyDescent="0.3">
      <c r="B38" s="524" t="s">
        <v>719</v>
      </c>
      <c r="C38" s="524"/>
      <c r="D38" s="524"/>
      <c r="E38" s="524"/>
      <c r="F38" s="524"/>
      <c r="G38" s="524"/>
      <c r="H38" s="524"/>
      <c r="I38" s="524"/>
      <c r="J38" s="524"/>
      <c r="K38" s="524"/>
      <c r="L38" s="524"/>
      <c r="M38" s="423" t="s">
        <v>619</v>
      </c>
      <c r="N38" s="423"/>
      <c r="O38" s="423"/>
      <c r="P38" s="423"/>
      <c r="Q38" s="423"/>
      <c r="R38" s="423"/>
      <c r="S38" s="423"/>
      <c r="T38" s="423"/>
      <c r="U38" s="524"/>
      <c r="V38" s="524"/>
      <c r="W38" s="524"/>
      <c r="X38" s="536" t="s">
        <v>662</v>
      </c>
      <c r="Y38" s="536"/>
      <c r="Z38" s="536"/>
      <c r="AA38" s="536"/>
      <c r="AB38" s="536"/>
      <c r="AC38" s="536"/>
      <c r="AD38" s="524"/>
      <c r="AE38" s="524"/>
      <c r="AF38" s="524"/>
      <c r="AG38" s="444" t="s">
        <v>681</v>
      </c>
      <c r="AH38" s="444"/>
      <c r="AI38" s="444"/>
      <c r="AJ38" s="444"/>
      <c r="AK38" s="444"/>
      <c r="AL38" s="444"/>
      <c r="AM38" s="524"/>
      <c r="AN38" s="524"/>
      <c r="AO38" s="524"/>
    </row>
    <row r="39" spans="2:62" ht="14.1" customHeight="1" x14ac:dyDescent="0.3">
      <c r="B39" s="524" t="s">
        <v>721</v>
      </c>
      <c r="C39" s="524"/>
      <c r="D39" s="524"/>
      <c r="E39" s="524"/>
      <c r="F39" s="524"/>
      <c r="G39" s="524"/>
      <c r="H39" s="524"/>
      <c r="I39" s="524"/>
      <c r="J39" s="524"/>
      <c r="K39" s="524"/>
      <c r="L39" s="524"/>
      <c r="M39" s="423" t="s">
        <v>598</v>
      </c>
      <c r="N39" s="423"/>
      <c r="O39" s="423"/>
      <c r="P39" s="423"/>
      <c r="Q39" s="423"/>
      <c r="R39" s="423"/>
      <c r="S39" s="423"/>
      <c r="T39" s="423"/>
      <c r="U39" s="524"/>
      <c r="V39" s="524"/>
      <c r="W39" s="524"/>
      <c r="X39" s="536" t="s">
        <v>663</v>
      </c>
      <c r="Y39" s="536"/>
      <c r="Z39" s="536"/>
      <c r="AA39" s="536"/>
      <c r="AB39" s="536"/>
      <c r="AC39" s="536"/>
      <c r="AD39" s="524"/>
      <c r="AE39" s="524"/>
      <c r="AF39" s="524"/>
      <c r="AG39" s="536" t="s">
        <v>682</v>
      </c>
      <c r="AH39" s="536"/>
      <c r="AI39" s="536"/>
      <c r="AJ39" s="536"/>
      <c r="AK39" s="536"/>
      <c r="AL39" s="536"/>
      <c r="AM39" s="524"/>
      <c r="AN39" s="524"/>
      <c r="AO39" s="524"/>
    </row>
    <row r="40" spans="2:62" ht="14.1" customHeight="1" x14ac:dyDescent="0.3">
      <c r="B40" s="502" t="s">
        <v>848</v>
      </c>
      <c r="C40" s="502"/>
      <c r="D40" s="502"/>
      <c r="E40" s="502"/>
      <c r="F40" s="502"/>
      <c r="G40" s="502"/>
      <c r="H40" s="502"/>
      <c r="I40" s="502"/>
      <c r="J40" s="502"/>
      <c r="K40" s="502"/>
      <c r="L40" s="502"/>
      <c r="M40" s="423" t="s">
        <v>599</v>
      </c>
      <c r="N40" s="423"/>
      <c r="O40" s="423"/>
      <c r="P40" s="423"/>
      <c r="Q40" s="423"/>
      <c r="R40" s="423"/>
      <c r="S40" s="423"/>
      <c r="T40" s="423"/>
      <c r="U40" s="524"/>
      <c r="V40" s="524"/>
      <c r="W40" s="524"/>
      <c r="X40" s="536" t="s">
        <v>664</v>
      </c>
      <c r="Y40" s="536"/>
      <c r="Z40" s="536"/>
      <c r="AA40" s="536"/>
      <c r="AB40" s="536"/>
      <c r="AC40" s="536"/>
      <c r="AD40" s="524"/>
      <c r="AE40" s="524"/>
      <c r="AF40" s="524"/>
      <c r="AG40" s="536" t="s">
        <v>683</v>
      </c>
      <c r="AH40" s="536"/>
      <c r="AI40" s="536"/>
      <c r="AJ40" s="536"/>
      <c r="AK40" s="536"/>
      <c r="AL40" s="536"/>
      <c r="AM40" s="524"/>
      <c r="AN40" s="524"/>
      <c r="AO40" s="524"/>
    </row>
    <row r="41" spans="2:62" ht="14.1" customHeight="1" x14ac:dyDescent="0.3">
      <c r="B41" s="423" t="s">
        <v>621</v>
      </c>
      <c r="C41" s="423"/>
      <c r="D41" s="423"/>
      <c r="E41" s="423"/>
      <c r="F41" s="423"/>
      <c r="G41" s="423"/>
      <c r="H41" s="423"/>
      <c r="I41" s="423"/>
      <c r="J41" s="524"/>
      <c r="K41" s="524"/>
      <c r="L41" s="524"/>
      <c r="M41" s="423" t="s">
        <v>600</v>
      </c>
      <c r="N41" s="423"/>
      <c r="O41" s="423"/>
      <c r="P41" s="423"/>
      <c r="Q41" s="423"/>
      <c r="R41" s="423"/>
      <c r="S41" s="423"/>
      <c r="T41" s="423"/>
      <c r="U41" s="524"/>
      <c r="V41" s="524"/>
      <c r="W41" s="524"/>
      <c r="X41" s="536" t="s">
        <v>665</v>
      </c>
      <c r="Y41" s="536"/>
      <c r="Z41" s="536"/>
      <c r="AA41" s="536"/>
      <c r="AB41" s="536"/>
      <c r="AC41" s="536"/>
      <c r="AD41" s="524"/>
      <c r="AE41" s="524"/>
      <c r="AF41" s="524"/>
      <c r="AG41" s="536" t="s">
        <v>684</v>
      </c>
      <c r="AH41" s="536"/>
      <c r="AI41" s="536"/>
      <c r="AJ41" s="536"/>
      <c r="AK41" s="536"/>
      <c r="AL41" s="536"/>
      <c r="AM41" s="524"/>
      <c r="AN41" s="524"/>
      <c r="AO41" s="524"/>
    </row>
    <row r="42" spans="2:62" ht="14.1" customHeight="1" x14ac:dyDescent="0.3">
      <c r="B42" s="539" t="s">
        <v>622</v>
      </c>
      <c r="C42" s="539"/>
      <c r="D42" s="539"/>
      <c r="E42" s="539"/>
      <c r="F42" s="539"/>
      <c r="G42" s="539"/>
      <c r="H42" s="539"/>
      <c r="I42" s="539"/>
      <c r="J42" s="524"/>
      <c r="K42" s="524"/>
      <c r="L42" s="524"/>
      <c r="M42" s="423" t="s">
        <v>601</v>
      </c>
      <c r="N42" s="423"/>
      <c r="O42" s="423"/>
      <c r="P42" s="423"/>
      <c r="Q42" s="423"/>
      <c r="R42" s="423"/>
      <c r="S42" s="423"/>
      <c r="T42" s="423"/>
      <c r="U42" s="524"/>
      <c r="V42" s="524"/>
      <c r="W42" s="524"/>
      <c r="X42" s="444" t="s">
        <v>103</v>
      </c>
      <c r="Y42" s="444"/>
      <c r="Z42" s="444"/>
      <c r="AA42" s="444"/>
      <c r="AB42" s="444"/>
      <c r="AC42" s="444"/>
      <c r="AD42" s="524"/>
      <c r="AE42" s="524"/>
      <c r="AF42" s="524"/>
      <c r="AG42" s="502" t="s">
        <v>862</v>
      </c>
      <c r="AH42" s="502"/>
      <c r="AI42" s="502"/>
      <c r="AJ42" s="502"/>
      <c r="AK42" s="502"/>
      <c r="AL42" s="502"/>
      <c r="AM42" s="502"/>
      <c r="AN42" s="502"/>
      <c r="AO42" s="502"/>
    </row>
    <row r="43" spans="2:62" ht="14.1" customHeight="1" x14ac:dyDescent="0.3">
      <c r="B43" s="538" t="s">
        <v>623</v>
      </c>
      <c r="C43" s="538"/>
      <c r="D43" s="538"/>
      <c r="E43" s="538"/>
      <c r="F43" s="538"/>
      <c r="G43" s="538"/>
      <c r="H43" s="538"/>
      <c r="I43" s="538"/>
      <c r="J43" s="524"/>
      <c r="K43" s="524"/>
      <c r="L43" s="524"/>
      <c r="M43" s="423" t="s">
        <v>602</v>
      </c>
      <c r="N43" s="423"/>
      <c r="O43" s="423"/>
      <c r="P43" s="423"/>
      <c r="Q43" s="423"/>
      <c r="R43" s="423"/>
      <c r="S43" s="423"/>
      <c r="T43" s="423"/>
      <c r="U43" s="524"/>
      <c r="V43" s="524"/>
      <c r="W43" s="524"/>
      <c r="X43" s="536" t="s">
        <v>666</v>
      </c>
      <c r="Y43" s="536"/>
      <c r="Z43" s="536"/>
      <c r="AA43" s="536"/>
      <c r="AB43" s="536"/>
      <c r="AC43" s="536"/>
      <c r="AD43" s="524"/>
      <c r="AE43" s="524"/>
      <c r="AF43" s="524"/>
      <c r="AG43" s="524" t="s">
        <v>851</v>
      </c>
      <c r="AH43" s="524"/>
      <c r="AI43" s="524"/>
      <c r="AJ43" s="524"/>
      <c r="AK43" s="524"/>
      <c r="AL43" s="524"/>
      <c r="AM43" s="524"/>
      <c r="AN43" s="524"/>
      <c r="AO43" s="524"/>
    </row>
    <row r="44" spans="2:62" ht="14.1" customHeight="1" x14ac:dyDescent="0.3">
      <c r="B44" s="538" t="s">
        <v>624</v>
      </c>
      <c r="C44" s="538"/>
      <c r="D44" s="538"/>
      <c r="E44" s="538"/>
      <c r="F44" s="538"/>
      <c r="G44" s="538"/>
      <c r="H44" s="538"/>
      <c r="I44" s="538"/>
      <c r="J44" s="524"/>
      <c r="K44" s="524"/>
      <c r="L44" s="524"/>
      <c r="M44" s="423" t="s">
        <v>603</v>
      </c>
      <c r="N44" s="423"/>
      <c r="O44" s="423"/>
      <c r="P44" s="423"/>
      <c r="Q44" s="423"/>
      <c r="R44" s="423"/>
      <c r="S44" s="423"/>
      <c r="T44" s="423"/>
      <c r="U44" s="524"/>
      <c r="V44" s="524"/>
      <c r="W44" s="524"/>
      <c r="X44" s="536" t="s">
        <v>667</v>
      </c>
      <c r="Y44" s="536"/>
      <c r="Z44" s="536"/>
      <c r="AA44" s="536"/>
      <c r="AB44" s="536"/>
      <c r="AC44" s="536"/>
      <c r="AD44" s="524"/>
      <c r="AE44" s="524"/>
      <c r="AF44" s="524"/>
      <c r="AG44" s="524" t="s">
        <v>852</v>
      </c>
      <c r="AH44" s="524"/>
      <c r="AI44" s="524"/>
      <c r="AJ44" s="524"/>
      <c r="AK44" s="524"/>
      <c r="AL44" s="524"/>
      <c r="AM44" s="524"/>
      <c r="AN44" s="524"/>
      <c r="AO44" s="524"/>
    </row>
    <row r="45" spans="2:62" ht="14.1" customHeight="1" x14ac:dyDescent="0.3">
      <c r="B45" s="538" t="s">
        <v>107</v>
      </c>
      <c r="C45" s="538"/>
      <c r="D45" s="538"/>
      <c r="E45" s="538"/>
      <c r="F45" s="538"/>
      <c r="G45" s="538"/>
      <c r="H45" s="538"/>
      <c r="I45" s="538"/>
      <c r="J45" s="524"/>
      <c r="K45" s="524"/>
      <c r="L45" s="524"/>
      <c r="M45" s="423" t="s">
        <v>604</v>
      </c>
      <c r="N45" s="423"/>
      <c r="O45" s="423"/>
      <c r="P45" s="423"/>
      <c r="Q45" s="423"/>
      <c r="R45" s="423"/>
      <c r="S45" s="423"/>
      <c r="T45" s="423"/>
      <c r="U45" s="524"/>
      <c r="V45" s="524"/>
      <c r="W45" s="524"/>
      <c r="X45" s="444" t="s">
        <v>104</v>
      </c>
      <c r="Y45" s="444"/>
      <c r="Z45" s="444"/>
      <c r="AA45" s="444"/>
      <c r="AB45" s="444"/>
      <c r="AC45" s="444"/>
      <c r="AD45" s="524"/>
      <c r="AE45" s="524"/>
      <c r="AF45" s="524"/>
      <c r="AG45" s="524" t="s">
        <v>853</v>
      </c>
      <c r="AH45" s="524"/>
      <c r="AI45" s="524"/>
      <c r="AJ45" s="524"/>
      <c r="AK45" s="524"/>
      <c r="AL45" s="524"/>
      <c r="AM45" s="524"/>
      <c r="AN45" s="524"/>
      <c r="AO45" s="524"/>
    </row>
    <row r="46" spans="2:62" ht="14.1" customHeight="1" x14ac:dyDescent="0.3">
      <c r="B46" s="540" t="s">
        <v>701</v>
      </c>
      <c r="C46" s="540"/>
      <c r="D46" s="540"/>
      <c r="E46" s="540"/>
      <c r="F46" s="540"/>
      <c r="G46" s="540"/>
      <c r="H46" s="540"/>
      <c r="I46" s="540"/>
      <c r="J46" s="524"/>
      <c r="K46" s="524"/>
      <c r="L46" s="524"/>
      <c r="M46" s="423" t="s">
        <v>605</v>
      </c>
      <c r="N46" s="423"/>
      <c r="O46" s="423"/>
      <c r="P46" s="423"/>
      <c r="Q46" s="423"/>
      <c r="R46" s="423"/>
      <c r="S46" s="423"/>
      <c r="T46" s="423"/>
      <c r="U46" s="524"/>
      <c r="V46" s="524"/>
      <c r="W46" s="524"/>
      <c r="X46" s="536" t="s">
        <v>668</v>
      </c>
      <c r="Y46" s="536"/>
      <c r="Z46" s="536"/>
      <c r="AA46" s="536"/>
      <c r="AB46" s="536"/>
      <c r="AC46" s="536"/>
      <c r="AD46" s="524"/>
      <c r="AE46" s="524"/>
      <c r="AF46" s="524"/>
      <c r="AG46" s="524" t="s">
        <v>854</v>
      </c>
      <c r="AH46" s="524"/>
      <c r="AI46" s="524"/>
      <c r="AJ46" s="524"/>
      <c r="AK46" s="524"/>
      <c r="AL46" s="524"/>
      <c r="AM46" s="524"/>
      <c r="AN46" s="524"/>
      <c r="AO46" s="524"/>
    </row>
    <row r="47" spans="2:62" ht="14.1" customHeight="1" x14ac:dyDescent="0.3">
      <c r="B47" s="539" t="s">
        <v>625</v>
      </c>
      <c r="C47" s="539"/>
      <c r="D47" s="539"/>
      <c r="E47" s="539"/>
      <c r="F47" s="539"/>
      <c r="G47" s="539"/>
      <c r="H47" s="539"/>
      <c r="I47" s="539"/>
      <c r="J47" s="524"/>
      <c r="K47" s="524"/>
      <c r="L47" s="524"/>
      <c r="M47" s="423" t="s">
        <v>606</v>
      </c>
      <c r="N47" s="423"/>
      <c r="O47" s="423"/>
      <c r="P47" s="423"/>
      <c r="Q47" s="423"/>
      <c r="R47" s="423"/>
      <c r="S47" s="423"/>
      <c r="T47" s="423"/>
      <c r="U47" s="524"/>
      <c r="V47" s="524"/>
      <c r="W47" s="524"/>
      <c r="X47" s="536" t="s">
        <v>669</v>
      </c>
      <c r="Y47" s="536"/>
      <c r="Z47" s="536"/>
      <c r="AA47" s="536"/>
      <c r="AB47" s="536"/>
      <c r="AC47" s="536"/>
      <c r="AD47" s="524"/>
      <c r="AE47" s="524"/>
      <c r="AF47" s="524"/>
      <c r="AG47" s="524" t="s">
        <v>855</v>
      </c>
      <c r="AH47" s="524"/>
      <c r="AI47" s="524"/>
      <c r="AJ47" s="524"/>
      <c r="AK47" s="524"/>
      <c r="AL47" s="524"/>
      <c r="AM47" s="524"/>
      <c r="AN47" s="524"/>
      <c r="AO47" s="524"/>
    </row>
    <row r="48" spans="2:62" ht="14.1" customHeight="1" x14ac:dyDescent="0.3">
      <c r="B48" s="538" t="s">
        <v>626</v>
      </c>
      <c r="C48" s="538"/>
      <c r="D48" s="538"/>
      <c r="E48" s="538"/>
      <c r="F48" s="538"/>
      <c r="G48" s="538"/>
      <c r="H48" s="538"/>
      <c r="I48" s="538"/>
      <c r="J48" s="524"/>
      <c r="K48" s="524"/>
      <c r="L48" s="524"/>
      <c r="M48" s="423" t="s">
        <v>607</v>
      </c>
      <c r="N48" s="423"/>
      <c r="O48" s="423"/>
      <c r="P48" s="423"/>
      <c r="Q48" s="423"/>
      <c r="R48" s="423"/>
      <c r="S48" s="423"/>
      <c r="T48" s="423"/>
      <c r="U48" s="524"/>
      <c r="V48" s="524"/>
      <c r="W48" s="524"/>
      <c r="X48" s="536" t="s">
        <v>670</v>
      </c>
      <c r="Y48" s="536"/>
      <c r="Z48" s="536"/>
      <c r="AA48" s="536"/>
      <c r="AB48" s="536"/>
      <c r="AC48" s="536"/>
      <c r="AD48" s="524"/>
      <c r="AE48" s="524"/>
      <c r="AF48" s="524"/>
      <c r="AG48" s="524" t="s">
        <v>856</v>
      </c>
      <c r="AH48" s="524"/>
      <c r="AI48" s="524"/>
      <c r="AJ48" s="524"/>
      <c r="AK48" s="524"/>
      <c r="AL48" s="524"/>
      <c r="AM48" s="524"/>
      <c r="AN48" s="524"/>
      <c r="AO48" s="524"/>
      <c r="BC48" s="220"/>
      <c r="BD48" s="220"/>
      <c r="BE48" s="220"/>
      <c r="BF48" s="220"/>
      <c r="BG48" s="220"/>
      <c r="BH48" s="220"/>
      <c r="BI48" s="220"/>
      <c r="BJ48" s="220"/>
    </row>
    <row r="49" spans="2:62" ht="14.1" customHeight="1" x14ac:dyDescent="0.3">
      <c r="B49" s="538" t="s">
        <v>627</v>
      </c>
      <c r="C49" s="538"/>
      <c r="D49" s="538"/>
      <c r="E49" s="538"/>
      <c r="F49" s="538"/>
      <c r="G49" s="538"/>
      <c r="H49" s="538"/>
      <c r="I49" s="538"/>
      <c r="J49" s="524"/>
      <c r="K49" s="524"/>
      <c r="L49" s="524"/>
      <c r="M49" s="493" t="s">
        <v>608</v>
      </c>
      <c r="N49" s="493"/>
      <c r="O49" s="493"/>
      <c r="P49" s="493"/>
      <c r="Q49" s="493"/>
      <c r="R49" s="493"/>
      <c r="S49" s="493"/>
      <c r="T49" s="493"/>
      <c r="U49" s="524"/>
      <c r="V49" s="524"/>
      <c r="W49" s="524"/>
      <c r="X49" s="444" t="s">
        <v>105</v>
      </c>
      <c r="Y49" s="444"/>
      <c r="Z49" s="444"/>
      <c r="AA49" s="444"/>
      <c r="AB49" s="444"/>
      <c r="AC49" s="444"/>
      <c r="AD49" s="524"/>
      <c r="AE49" s="524"/>
      <c r="AF49" s="524"/>
      <c r="AG49" s="524" t="s">
        <v>857</v>
      </c>
      <c r="AH49" s="524"/>
      <c r="AI49" s="524"/>
      <c r="AJ49" s="524"/>
      <c r="AK49" s="524"/>
      <c r="AL49" s="524"/>
      <c r="AM49" s="524"/>
      <c r="AN49" s="524"/>
      <c r="AO49" s="524"/>
      <c r="BC49" s="220"/>
      <c r="BD49" s="220"/>
      <c r="BE49" s="220"/>
      <c r="BF49" s="220"/>
      <c r="BG49" s="220"/>
      <c r="BH49" s="220"/>
      <c r="BI49" s="220"/>
      <c r="BJ49" s="220"/>
    </row>
    <row r="50" spans="2:62" ht="14.1" customHeight="1" x14ac:dyDescent="0.3">
      <c r="B50" s="538" t="s">
        <v>628</v>
      </c>
      <c r="C50" s="538"/>
      <c r="D50" s="538"/>
      <c r="E50" s="538"/>
      <c r="F50" s="538"/>
      <c r="G50" s="538"/>
      <c r="H50" s="538"/>
      <c r="I50" s="538"/>
      <c r="J50" s="524"/>
      <c r="K50" s="524"/>
      <c r="L50" s="524"/>
      <c r="M50" s="423" t="s">
        <v>609</v>
      </c>
      <c r="N50" s="423"/>
      <c r="O50" s="423"/>
      <c r="P50" s="423"/>
      <c r="Q50" s="423"/>
      <c r="R50" s="423"/>
      <c r="S50" s="423"/>
      <c r="T50" s="423"/>
      <c r="U50" s="524"/>
      <c r="V50" s="524"/>
      <c r="W50" s="524"/>
      <c r="X50" s="536" t="s">
        <v>671</v>
      </c>
      <c r="Y50" s="536"/>
      <c r="Z50" s="536"/>
      <c r="AA50" s="536"/>
      <c r="AB50" s="536"/>
      <c r="AC50" s="536"/>
      <c r="AD50" s="524"/>
      <c r="AE50" s="524"/>
      <c r="AF50" s="524"/>
      <c r="AG50" s="524"/>
      <c r="AH50" s="524"/>
      <c r="AI50" s="524"/>
      <c r="AJ50" s="524"/>
      <c r="AK50" s="524"/>
      <c r="AL50" s="524"/>
      <c r="AM50" s="524"/>
      <c r="AN50" s="524"/>
      <c r="AO50" s="524"/>
      <c r="BC50" s="220"/>
      <c r="BD50" s="220"/>
      <c r="BE50" s="220"/>
      <c r="BF50" s="220"/>
      <c r="BG50" s="220"/>
      <c r="BH50" s="220"/>
      <c r="BI50" s="220"/>
      <c r="BJ50" s="220"/>
    </row>
    <row r="51" spans="2:62" ht="14.1" customHeight="1" x14ac:dyDescent="0.3">
      <c r="B51" s="539" t="s">
        <v>629</v>
      </c>
      <c r="C51" s="539"/>
      <c r="D51" s="539"/>
      <c r="E51" s="539"/>
      <c r="F51" s="539"/>
      <c r="G51" s="539"/>
      <c r="H51" s="539"/>
      <c r="I51" s="539"/>
      <c r="J51" s="524"/>
      <c r="K51" s="524"/>
      <c r="L51" s="524"/>
      <c r="M51" s="423" t="s">
        <v>610</v>
      </c>
      <c r="N51" s="423"/>
      <c r="O51" s="423"/>
      <c r="P51" s="423"/>
      <c r="Q51" s="423"/>
      <c r="R51" s="423"/>
      <c r="S51" s="423"/>
      <c r="T51" s="423"/>
      <c r="U51" s="524"/>
      <c r="V51" s="524"/>
      <c r="W51" s="524"/>
      <c r="X51" s="536" t="s">
        <v>858</v>
      </c>
      <c r="Y51" s="536"/>
      <c r="Z51" s="536"/>
      <c r="AA51" s="536"/>
      <c r="AB51" s="536"/>
      <c r="AC51" s="536"/>
      <c r="AD51" s="524"/>
      <c r="AE51" s="524"/>
      <c r="AF51" s="524"/>
      <c r="AG51" s="524"/>
      <c r="AH51" s="524"/>
      <c r="AI51" s="524"/>
      <c r="AJ51" s="524"/>
      <c r="AK51" s="524"/>
      <c r="AL51" s="524"/>
      <c r="AM51" s="524"/>
      <c r="AN51" s="524"/>
      <c r="AO51" s="524"/>
      <c r="BC51" s="220"/>
      <c r="BD51" s="220"/>
      <c r="BE51" s="220"/>
      <c r="BF51" s="220"/>
      <c r="BG51" s="220"/>
      <c r="BH51" s="220"/>
      <c r="BI51" s="220"/>
      <c r="BJ51" s="220"/>
    </row>
    <row r="52" spans="2:62" ht="14.1" customHeight="1" x14ac:dyDescent="0.3">
      <c r="B52" s="538" t="s">
        <v>630</v>
      </c>
      <c r="C52" s="538"/>
      <c r="D52" s="538"/>
      <c r="E52" s="538"/>
      <c r="F52" s="538"/>
      <c r="G52" s="538"/>
      <c r="H52" s="538"/>
      <c r="I52" s="538"/>
      <c r="J52" s="524"/>
      <c r="K52" s="524"/>
      <c r="L52" s="524"/>
      <c r="M52" s="423" t="s">
        <v>611</v>
      </c>
      <c r="N52" s="423"/>
      <c r="O52" s="423"/>
      <c r="P52" s="423"/>
      <c r="Q52" s="423"/>
      <c r="R52" s="423"/>
      <c r="S52" s="423"/>
      <c r="T52" s="423"/>
      <c r="U52" s="524"/>
      <c r="V52" s="524"/>
      <c r="W52" s="524"/>
      <c r="X52" s="536" t="s">
        <v>673</v>
      </c>
      <c r="Y52" s="536"/>
      <c r="Z52" s="536"/>
      <c r="AA52" s="536"/>
      <c r="AB52" s="536"/>
      <c r="AC52" s="536"/>
      <c r="AD52" s="524"/>
      <c r="AE52" s="524"/>
      <c r="AF52" s="524"/>
      <c r="AG52" s="524"/>
      <c r="AH52" s="524"/>
      <c r="AI52" s="524"/>
      <c r="AJ52" s="524"/>
      <c r="AK52" s="524"/>
      <c r="AL52" s="524"/>
      <c r="AM52" s="524"/>
      <c r="AN52" s="524"/>
      <c r="AO52" s="524"/>
      <c r="BC52" s="220"/>
      <c r="BD52" s="220"/>
      <c r="BE52" s="220"/>
      <c r="BF52" s="220"/>
      <c r="BG52" s="220"/>
      <c r="BH52" s="220"/>
      <c r="BI52" s="220"/>
      <c r="BJ52" s="220"/>
    </row>
    <row r="53" spans="2:62" ht="14.1" customHeight="1" x14ac:dyDescent="0.3">
      <c r="B53" s="538" t="s">
        <v>631</v>
      </c>
      <c r="C53" s="538"/>
      <c r="D53" s="538"/>
      <c r="E53" s="538"/>
      <c r="F53" s="538"/>
      <c r="G53" s="538"/>
      <c r="H53" s="538"/>
      <c r="I53" s="538"/>
      <c r="J53" s="524"/>
      <c r="K53" s="524"/>
      <c r="L53" s="524"/>
      <c r="M53" s="423" t="s">
        <v>612</v>
      </c>
      <c r="N53" s="423"/>
      <c r="O53" s="423"/>
      <c r="P53" s="423"/>
      <c r="Q53" s="423"/>
      <c r="R53" s="423"/>
      <c r="S53" s="423"/>
      <c r="T53" s="423"/>
      <c r="U53" s="524"/>
      <c r="V53" s="524"/>
      <c r="W53" s="524"/>
      <c r="X53" s="536" t="s">
        <v>859</v>
      </c>
      <c r="Y53" s="536"/>
      <c r="Z53" s="536"/>
      <c r="AA53" s="536"/>
      <c r="AB53" s="536"/>
      <c r="AC53" s="536"/>
      <c r="AD53" s="524"/>
      <c r="AE53" s="524"/>
      <c r="AF53" s="524"/>
      <c r="AG53" s="524"/>
      <c r="AH53" s="524"/>
      <c r="AI53" s="524"/>
      <c r="AJ53" s="524"/>
      <c r="AK53" s="524"/>
      <c r="AL53" s="524"/>
      <c r="AM53" s="524"/>
      <c r="AN53" s="524"/>
      <c r="AO53" s="524"/>
      <c r="BC53" s="220"/>
      <c r="BD53" s="220"/>
      <c r="BE53" s="220"/>
      <c r="BF53" s="220"/>
      <c r="BG53" s="220"/>
      <c r="BH53" s="220"/>
      <c r="BI53" s="220"/>
      <c r="BJ53" s="220"/>
    </row>
    <row r="54" spans="2:62" ht="14.1" customHeight="1" x14ac:dyDescent="0.3">
      <c r="B54" s="538" t="s">
        <v>632</v>
      </c>
      <c r="C54" s="538"/>
      <c r="D54" s="538"/>
      <c r="E54" s="538"/>
      <c r="F54" s="538"/>
      <c r="G54" s="538"/>
      <c r="H54" s="538"/>
      <c r="I54" s="538"/>
      <c r="J54" s="524"/>
      <c r="K54" s="524"/>
      <c r="L54" s="524"/>
      <c r="M54" s="423" t="s">
        <v>613</v>
      </c>
      <c r="N54" s="423"/>
      <c r="O54" s="423"/>
      <c r="P54" s="423"/>
      <c r="Q54" s="423"/>
      <c r="R54" s="423"/>
      <c r="S54" s="423"/>
      <c r="T54" s="423"/>
      <c r="U54" s="524"/>
      <c r="V54" s="524"/>
      <c r="W54" s="524"/>
      <c r="X54" s="444" t="s">
        <v>101</v>
      </c>
      <c r="Y54" s="444"/>
      <c r="Z54" s="444"/>
      <c r="AA54" s="444"/>
      <c r="AB54" s="444"/>
      <c r="AC54" s="444"/>
      <c r="AD54" s="537"/>
      <c r="AE54" s="537"/>
      <c r="AF54" s="537"/>
      <c r="AG54" s="535" t="s">
        <v>863</v>
      </c>
      <c r="AH54" s="535"/>
      <c r="AI54" s="535"/>
      <c r="AJ54" s="535"/>
      <c r="AK54" s="535"/>
      <c r="AL54" s="535"/>
      <c r="AM54" s="535"/>
      <c r="AN54" s="535"/>
      <c r="AO54" s="535"/>
      <c r="AP54" s="218"/>
      <c r="AQ54" s="218"/>
      <c r="AR54" s="218"/>
      <c r="AS54" s="218"/>
      <c r="AT54" s="218"/>
      <c r="BC54" s="220"/>
      <c r="BD54" s="220"/>
      <c r="BE54" s="220"/>
      <c r="BF54" s="220"/>
      <c r="BG54" s="220"/>
      <c r="BH54" s="220"/>
      <c r="BI54" s="220"/>
      <c r="BJ54" s="220"/>
    </row>
    <row r="55" spans="2:62" ht="14.1" customHeight="1" x14ac:dyDescent="0.3">
      <c r="B55" s="538" t="s">
        <v>633</v>
      </c>
      <c r="C55" s="538"/>
      <c r="D55" s="538"/>
      <c r="E55" s="538"/>
      <c r="F55" s="538"/>
      <c r="G55" s="538"/>
      <c r="H55" s="538"/>
      <c r="I55" s="538"/>
      <c r="J55" s="524"/>
      <c r="K55" s="524"/>
      <c r="L55" s="524"/>
      <c r="M55" s="493" t="s">
        <v>850</v>
      </c>
      <c r="N55" s="493"/>
      <c r="O55" s="493"/>
      <c r="P55" s="493"/>
      <c r="Q55" s="493"/>
      <c r="R55" s="493"/>
      <c r="S55" s="493"/>
      <c r="T55" s="493"/>
      <c r="U55" s="524"/>
      <c r="V55" s="524"/>
      <c r="W55" s="524"/>
      <c r="X55" s="536" t="s">
        <v>675</v>
      </c>
      <c r="Y55" s="536"/>
      <c r="Z55" s="536"/>
      <c r="AA55" s="536"/>
      <c r="AB55" s="536"/>
      <c r="AC55" s="536"/>
      <c r="AD55" s="537"/>
      <c r="AE55" s="537"/>
      <c r="AF55" s="537"/>
      <c r="AG55" s="524" t="s">
        <v>851</v>
      </c>
      <c r="AH55" s="524"/>
      <c r="AI55" s="524"/>
      <c r="AJ55" s="524"/>
      <c r="AK55" s="524"/>
      <c r="AL55" s="524"/>
      <c r="AM55" s="524"/>
      <c r="AN55" s="524"/>
      <c r="AO55" s="524"/>
      <c r="BC55" s="220"/>
      <c r="BD55" s="220"/>
      <c r="BE55" s="220"/>
      <c r="BF55" s="220"/>
      <c r="BG55" s="220"/>
      <c r="BH55" s="220"/>
      <c r="BI55" s="220"/>
      <c r="BJ55" s="220"/>
    </row>
    <row r="56" spans="2:62" ht="14.1" customHeight="1" x14ac:dyDescent="0.3">
      <c r="B56" s="538" t="s">
        <v>634</v>
      </c>
      <c r="C56" s="538"/>
      <c r="D56" s="538"/>
      <c r="E56" s="538"/>
      <c r="F56" s="538"/>
      <c r="G56" s="538"/>
      <c r="H56" s="538"/>
      <c r="I56" s="538"/>
      <c r="J56" s="524"/>
      <c r="K56" s="524"/>
      <c r="L56" s="524"/>
      <c r="M56" s="493" t="s">
        <v>615</v>
      </c>
      <c r="N56" s="493"/>
      <c r="O56" s="493"/>
      <c r="P56" s="493"/>
      <c r="Q56" s="493"/>
      <c r="R56" s="493"/>
      <c r="S56" s="493"/>
      <c r="T56" s="493"/>
      <c r="U56" s="524"/>
      <c r="V56" s="524"/>
      <c r="W56" s="524"/>
      <c r="X56" s="536" t="s">
        <v>676</v>
      </c>
      <c r="Y56" s="536"/>
      <c r="Z56" s="536"/>
      <c r="AA56" s="536"/>
      <c r="AB56" s="536"/>
      <c r="AC56" s="536"/>
      <c r="AD56" s="524"/>
      <c r="AE56" s="524"/>
      <c r="AF56" s="524"/>
      <c r="AG56" s="524" t="s">
        <v>852</v>
      </c>
      <c r="AH56" s="524"/>
      <c r="AI56" s="524"/>
      <c r="AJ56" s="524"/>
      <c r="AK56" s="524"/>
      <c r="AL56" s="524"/>
      <c r="AM56" s="524"/>
      <c r="AN56" s="524"/>
      <c r="AO56" s="524"/>
    </row>
    <row r="57" spans="2:62" ht="14.1" customHeight="1" x14ac:dyDescent="0.3">
      <c r="B57" s="538" t="s">
        <v>635</v>
      </c>
      <c r="C57" s="538"/>
      <c r="D57" s="538"/>
      <c r="E57" s="538"/>
      <c r="F57" s="538"/>
      <c r="G57" s="538"/>
      <c r="H57" s="538"/>
      <c r="I57" s="538"/>
      <c r="J57" s="524"/>
      <c r="K57" s="524"/>
      <c r="L57" s="524"/>
      <c r="M57" s="423" t="s">
        <v>616</v>
      </c>
      <c r="N57" s="423"/>
      <c r="O57" s="423"/>
      <c r="P57" s="423"/>
      <c r="Q57" s="423"/>
      <c r="R57" s="423"/>
      <c r="S57" s="423"/>
      <c r="T57" s="423"/>
      <c r="U57" s="524"/>
      <c r="V57" s="524"/>
      <c r="W57" s="524"/>
      <c r="X57" s="536" t="s">
        <v>677</v>
      </c>
      <c r="Y57" s="536"/>
      <c r="Z57" s="536"/>
      <c r="AA57" s="536"/>
      <c r="AB57" s="536"/>
      <c r="AC57" s="536"/>
      <c r="AD57" s="524"/>
      <c r="AE57" s="524"/>
      <c r="AF57" s="524"/>
      <c r="AG57" s="524"/>
      <c r="AH57" s="524"/>
      <c r="AI57" s="524"/>
      <c r="AJ57" s="524"/>
      <c r="AK57" s="524"/>
      <c r="AL57" s="524"/>
      <c r="AM57" s="524"/>
      <c r="AN57" s="524"/>
      <c r="AO57" s="524"/>
    </row>
    <row r="58" spans="2:62" ht="14.1" customHeight="1" x14ac:dyDescent="0.3">
      <c r="B58" s="538" t="s">
        <v>636</v>
      </c>
      <c r="C58" s="538"/>
      <c r="D58" s="538"/>
      <c r="E58" s="538"/>
      <c r="F58" s="538"/>
      <c r="G58" s="538"/>
      <c r="H58" s="538"/>
      <c r="I58" s="538"/>
      <c r="J58" s="524"/>
      <c r="K58" s="524"/>
      <c r="L58" s="524"/>
      <c r="M58" s="423" t="s">
        <v>617</v>
      </c>
      <c r="N58" s="423"/>
      <c r="O58" s="423"/>
      <c r="P58" s="423"/>
      <c r="Q58" s="423"/>
      <c r="R58" s="423"/>
      <c r="S58" s="423"/>
      <c r="T58" s="423"/>
      <c r="U58" s="524"/>
      <c r="V58" s="524"/>
      <c r="W58" s="524"/>
      <c r="X58" s="536" t="s">
        <v>678</v>
      </c>
      <c r="Y58" s="536"/>
      <c r="Z58" s="536"/>
      <c r="AA58" s="536"/>
      <c r="AB58" s="536"/>
      <c r="AC58" s="536"/>
      <c r="AD58" s="524"/>
      <c r="AE58" s="524"/>
      <c r="AF58" s="524"/>
      <c r="AG58" s="524"/>
      <c r="AH58" s="524"/>
      <c r="AI58" s="524"/>
      <c r="AJ58" s="524"/>
      <c r="AK58" s="524"/>
      <c r="AL58" s="524"/>
      <c r="AM58" s="524"/>
      <c r="AN58" s="524"/>
      <c r="AO58" s="524"/>
    </row>
    <row r="65" spans="19:19" ht="14.1" customHeight="1" x14ac:dyDescent="0.3">
      <c r="S65" s="217"/>
    </row>
    <row r="66" spans="19:19" ht="14.1" customHeight="1" x14ac:dyDescent="0.3">
      <c r="S66" s="217"/>
    </row>
    <row r="67" spans="19:19" ht="14.1" customHeight="1" x14ac:dyDescent="0.3">
      <c r="S67" s="217"/>
    </row>
    <row r="68" spans="19:19" ht="14.1" customHeight="1" x14ac:dyDescent="0.3">
      <c r="S68" s="217"/>
    </row>
    <row r="69" spans="19:19" ht="14.1" customHeight="1" x14ac:dyDescent="0.3">
      <c r="S69" s="217"/>
    </row>
    <row r="70" spans="19:19" ht="14.1" customHeight="1" x14ac:dyDescent="0.3">
      <c r="S70" s="217"/>
    </row>
    <row r="71" spans="19:19" ht="14.1" customHeight="1" x14ac:dyDescent="0.3">
      <c r="S71" s="217"/>
    </row>
    <row r="72" spans="19:19" ht="14.1" customHeight="1" x14ac:dyDescent="0.3">
      <c r="S72" s="217"/>
    </row>
    <row r="73" spans="19:19" ht="14.1" customHeight="1" x14ac:dyDescent="0.3">
      <c r="S73" s="217"/>
    </row>
    <row r="74" spans="19:19" ht="14.1" customHeight="1" x14ac:dyDescent="0.3">
      <c r="S74" s="217"/>
    </row>
    <row r="75" spans="19:19" ht="14.1" customHeight="1" x14ac:dyDescent="0.3">
      <c r="S75" s="217"/>
    </row>
    <row r="76" spans="19:19" ht="14.1" customHeight="1" x14ac:dyDescent="0.3">
      <c r="S76" s="217"/>
    </row>
    <row r="77" spans="19:19" ht="14.1" customHeight="1" x14ac:dyDescent="0.3">
      <c r="S77" s="217"/>
    </row>
    <row r="78" spans="19:19" ht="14.1" customHeight="1" x14ac:dyDescent="0.3">
      <c r="S78" s="217"/>
    </row>
    <row r="79" spans="19:19" ht="14.1" customHeight="1" x14ac:dyDescent="0.3">
      <c r="S79" s="217"/>
    </row>
    <row r="80" spans="19:19" ht="14.1" customHeight="1" x14ac:dyDescent="0.3">
      <c r="S80" s="217"/>
    </row>
    <row r="81" spans="19:19" ht="14.1" customHeight="1" x14ac:dyDescent="0.3">
      <c r="S81" s="217"/>
    </row>
    <row r="82" spans="19:19" ht="14.1" customHeight="1" x14ac:dyDescent="0.3">
      <c r="S82" s="217"/>
    </row>
    <row r="83" spans="19:19" ht="14.1" customHeight="1" x14ac:dyDescent="0.3">
      <c r="S83" s="217"/>
    </row>
    <row r="84" spans="19:19" ht="14.1" customHeight="1" x14ac:dyDescent="0.3">
      <c r="S84" s="217"/>
    </row>
    <row r="85" spans="19:19" ht="14.1" customHeight="1" x14ac:dyDescent="0.3">
      <c r="S85" s="217"/>
    </row>
    <row r="86" spans="19:19" ht="14.1" customHeight="1" x14ac:dyDescent="0.3">
      <c r="S86" s="217"/>
    </row>
    <row r="87" spans="19:19" ht="14.1" customHeight="1" x14ac:dyDescent="0.3">
      <c r="S87" s="217"/>
    </row>
    <row r="88" spans="19:19" ht="14.1" customHeight="1" x14ac:dyDescent="0.3">
      <c r="S88" s="217"/>
    </row>
    <row r="89" spans="19:19" ht="14.1" customHeight="1" x14ac:dyDescent="0.3">
      <c r="S89" s="217"/>
    </row>
    <row r="90" spans="19:19" ht="14.1" customHeight="1" x14ac:dyDescent="0.3">
      <c r="S90" s="217"/>
    </row>
    <row r="91" spans="19:19" ht="14.1" customHeight="1" x14ac:dyDescent="0.3">
      <c r="S91" s="217"/>
    </row>
    <row r="92" spans="19:19" ht="14.1" customHeight="1" x14ac:dyDescent="0.3">
      <c r="S92" s="217"/>
    </row>
    <row r="93" spans="19:19" ht="14.1" customHeight="1" x14ac:dyDescent="0.3">
      <c r="S93" s="217"/>
    </row>
    <row r="94" spans="19:19" ht="14.1" customHeight="1" x14ac:dyDescent="0.3">
      <c r="S94" s="217"/>
    </row>
    <row r="95" spans="19:19" ht="14.1" customHeight="1" x14ac:dyDescent="0.3">
      <c r="S95" s="217"/>
    </row>
    <row r="96" spans="19:19" ht="14.1" customHeight="1" x14ac:dyDescent="0.3">
      <c r="S96" s="217"/>
    </row>
    <row r="97" spans="19:19" ht="14.1" customHeight="1" x14ac:dyDescent="0.3">
      <c r="S97" s="217"/>
    </row>
    <row r="98" spans="19:19" ht="14.1" customHeight="1" x14ac:dyDescent="0.3">
      <c r="S98" s="217"/>
    </row>
    <row r="99" spans="19:19" ht="14.1" customHeight="1" x14ac:dyDescent="0.3">
      <c r="S99" s="217"/>
    </row>
    <row r="100" spans="19:19" ht="14.1" customHeight="1" x14ac:dyDescent="0.3">
      <c r="S100" s="217"/>
    </row>
    <row r="101" spans="19:19" ht="14.1" customHeight="1" x14ac:dyDescent="0.3">
      <c r="S101" s="217"/>
    </row>
    <row r="102" spans="19:19" ht="14.1" customHeight="1" x14ac:dyDescent="0.3">
      <c r="S102" s="217"/>
    </row>
    <row r="103" spans="19:19" ht="14.1" customHeight="1" x14ac:dyDescent="0.3">
      <c r="S103" s="217"/>
    </row>
    <row r="104" spans="19:19" ht="14.1" customHeight="1" x14ac:dyDescent="0.3">
      <c r="S104" s="217"/>
    </row>
    <row r="105" spans="19:19" ht="14.1" customHeight="1" x14ac:dyDescent="0.3">
      <c r="S105" s="217"/>
    </row>
    <row r="106" spans="19:19" ht="14.1" customHeight="1" x14ac:dyDescent="0.3">
      <c r="S106" s="217"/>
    </row>
    <row r="107" spans="19:19" ht="14.1" customHeight="1" x14ac:dyDescent="0.3">
      <c r="S107" s="217"/>
    </row>
    <row r="108" spans="19:19" ht="14.1" customHeight="1" x14ac:dyDescent="0.3">
      <c r="S108" s="217"/>
    </row>
    <row r="109" spans="19:19" ht="14.1" customHeight="1" x14ac:dyDescent="0.3">
      <c r="S109" s="217"/>
    </row>
    <row r="110" spans="19:19" ht="14.1" customHeight="1" x14ac:dyDescent="0.3">
      <c r="S110" s="217"/>
    </row>
  </sheetData>
  <mergeCells count="320">
    <mergeCell ref="P3:AA5"/>
    <mergeCell ref="I17:K17"/>
    <mergeCell ref="B11:H11"/>
    <mergeCell ref="B12:H12"/>
    <mergeCell ref="B13:H13"/>
    <mergeCell ref="B14:H14"/>
    <mergeCell ref="B15:H15"/>
    <mergeCell ref="B16:H16"/>
    <mergeCell ref="B17:H17"/>
    <mergeCell ref="I11:K11"/>
    <mergeCell ref="I12:K12"/>
    <mergeCell ref="I13:K13"/>
    <mergeCell ref="I14:K14"/>
    <mergeCell ref="I15:K15"/>
    <mergeCell ref="I16:K16"/>
    <mergeCell ref="L11:R11"/>
    <mergeCell ref="L17:O17"/>
    <mergeCell ref="P12:R12"/>
    <mergeCell ref="P13:R13"/>
    <mergeCell ref="P14:R14"/>
    <mergeCell ref="P15:R15"/>
    <mergeCell ref="P16:R16"/>
    <mergeCell ref="P17:R17"/>
    <mergeCell ref="L12:O12"/>
    <mergeCell ref="L13:O13"/>
    <mergeCell ref="L14:O14"/>
    <mergeCell ref="L15:O15"/>
    <mergeCell ref="L16:O16"/>
    <mergeCell ref="S16:W16"/>
    <mergeCell ref="S17:W17"/>
    <mergeCell ref="X11:AD11"/>
    <mergeCell ref="X12:AD12"/>
    <mergeCell ref="X13:AD13"/>
    <mergeCell ref="X14:AD14"/>
    <mergeCell ref="X15:AD15"/>
    <mergeCell ref="X16:AD16"/>
    <mergeCell ref="X17:AD17"/>
    <mergeCell ref="S11:W11"/>
    <mergeCell ref="S12:W12"/>
    <mergeCell ref="S13:W13"/>
    <mergeCell ref="S14:W14"/>
    <mergeCell ref="S15:W15"/>
    <mergeCell ref="AE16:AI16"/>
    <mergeCell ref="AE17:AI17"/>
    <mergeCell ref="AJ11:AO11"/>
    <mergeCell ref="AJ12:AO12"/>
    <mergeCell ref="AJ13:AO13"/>
    <mergeCell ref="AJ14:AO14"/>
    <mergeCell ref="AJ15:AO15"/>
    <mergeCell ref="AJ16:AO16"/>
    <mergeCell ref="AJ17:AO17"/>
    <mergeCell ref="AE11:AI11"/>
    <mergeCell ref="AE12:AI12"/>
    <mergeCell ref="AE13:AI13"/>
    <mergeCell ref="AE14:AI14"/>
    <mergeCell ref="AE15:AI15"/>
    <mergeCell ref="B20:I20"/>
    <mergeCell ref="B21:I21"/>
    <mergeCell ref="B22:I22"/>
    <mergeCell ref="B23:I23"/>
    <mergeCell ref="B24:I24"/>
    <mergeCell ref="J20:M20"/>
    <mergeCell ref="J21:M21"/>
    <mergeCell ref="J22:M22"/>
    <mergeCell ref="J23:M23"/>
    <mergeCell ref="J24:M24"/>
    <mergeCell ref="AD20:AG20"/>
    <mergeCell ref="AD21:AG21"/>
    <mergeCell ref="AD22:AG22"/>
    <mergeCell ref="AD23:AG23"/>
    <mergeCell ref="AD24:AG24"/>
    <mergeCell ref="N21:Q21"/>
    <mergeCell ref="N22:Q22"/>
    <mergeCell ref="N23:Q23"/>
    <mergeCell ref="N24:Q24"/>
    <mergeCell ref="R20:U20"/>
    <mergeCell ref="R21:U21"/>
    <mergeCell ref="R22:U22"/>
    <mergeCell ref="R23:U23"/>
    <mergeCell ref="R24:U24"/>
    <mergeCell ref="N20:Q20"/>
    <mergeCell ref="V20:AC20"/>
    <mergeCell ref="V21:AC21"/>
    <mergeCell ref="V22:AC22"/>
    <mergeCell ref="V23:AC23"/>
    <mergeCell ref="V24:AC24"/>
    <mergeCell ref="AL20:AO20"/>
    <mergeCell ref="AL21:AO21"/>
    <mergeCell ref="AL22:AO22"/>
    <mergeCell ref="AL23:AO23"/>
    <mergeCell ref="AL24:AO24"/>
    <mergeCell ref="AH20:AK20"/>
    <mergeCell ref="AH21:AK21"/>
    <mergeCell ref="AH22:AK22"/>
    <mergeCell ref="AH23:AK23"/>
    <mergeCell ref="AH24:AK24"/>
    <mergeCell ref="M35:W35"/>
    <mergeCell ref="X35:AF35"/>
    <mergeCell ref="AG35:AO35"/>
    <mergeCell ref="M36:T36"/>
    <mergeCell ref="M37:T37"/>
    <mergeCell ref="AD36:AF36"/>
    <mergeCell ref="AD37:AF37"/>
    <mergeCell ref="J35:L35"/>
    <mergeCell ref="J36:L36"/>
    <mergeCell ref="J37:L37"/>
    <mergeCell ref="AG36:AL36"/>
    <mergeCell ref="AG37:AL37"/>
    <mergeCell ref="B44:I44"/>
    <mergeCell ref="B45:I45"/>
    <mergeCell ref="B46:I46"/>
    <mergeCell ref="B47:I47"/>
    <mergeCell ref="B38:I38"/>
    <mergeCell ref="B39:I39"/>
    <mergeCell ref="B41:I41"/>
    <mergeCell ref="B42:I42"/>
    <mergeCell ref="B35:I35"/>
    <mergeCell ref="B36:I36"/>
    <mergeCell ref="B37:I37"/>
    <mergeCell ref="J38:L38"/>
    <mergeCell ref="J39:L39"/>
    <mergeCell ref="J41:L41"/>
    <mergeCell ref="J42:L42"/>
    <mergeCell ref="J43:L43"/>
    <mergeCell ref="J44:L44"/>
    <mergeCell ref="J55:L55"/>
    <mergeCell ref="J56:L56"/>
    <mergeCell ref="J57:L57"/>
    <mergeCell ref="J58:L58"/>
    <mergeCell ref="B40:L40"/>
    <mergeCell ref="J50:L50"/>
    <mergeCell ref="J51:L51"/>
    <mergeCell ref="J52:L52"/>
    <mergeCell ref="J53:L53"/>
    <mergeCell ref="J54:L54"/>
    <mergeCell ref="B58:I58"/>
    <mergeCell ref="J45:L45"/>
    <mergeCell ref="J46:L46"/>
    <mergeCell ref="J47:L47"/>
    <mergeCell ref="J48:L48"/>
    <mergeCell ref="J49:L49"/>
    <mergeCell ref="B53:I53"/>
    <mergeCell ref="B54:I54"/>
    <mergeCell ref="B55:I55"/>
    <mergeCell ref="B56:I56"/>
    <mergeCell ref="B57:I57"/>
    <mergeCell ref="B48:I48"/>
    <mergeCell ref="B49:I49"/>
    <mergeCell ref="B50:I50"/>
    <mergeCell ref="B51:I51"/>
    <mergeCell ref="B52:I52"/>
    <mergeCell ref="B43:I43"/>
    <mergeCell ref="M51:T51"/>
    <mergeCell ref="M52:T52"/>
    <mergeCell ref="M43:T43"/>
    <mergeCell ref="M44:T44"/>
    <mergeCell ref="M45:T45"/>
    <mergeCell ref="M46:T46"/>
    <mergeCell ref="M47:T47"/>
    <mergeCell ref="M38:T38"/>
    <mergeCell ref="M39:T39"/>
    <mergeCell ref="M40:T40"/>
    <mergeCell ref="M41:T41"/>
    <mergeCell ref="M42:T42"/>
    <mergeCell ref="M58:T58"/>
    <mergeCell ref="U36:W36"/>
    <mergeCell ref="U37:W37"/>
    <mergeCell ref="U38:W38"/>
    <mergeCell ref="U39:W39"/>
    <mergeCell ref="U40:W40"/>
    <mergeCell ref="U41:W41"/>
    <mergeCell ref="U42:W42"/>
    <mergeCell ref="U43:W43"/>
    <mergeCell ref="U44:W44"/>
    <mergeCell ref="U45:W45"/>
    <mergeCell ref="U46:W46"/>
    <mergeCell ref="U47:W47"/>
    <mergeCell ref="U48:W48"/>
    <mergeCell ref="U49:W49"/>
    <mergeCell ref="U50:W50"/>
    <mergeCell ref="M53:T53"/>
    <mergeCell ref="M54:T54"/>
    <mergeCell ref="M55:T55"/>
    <mergeCell ref="M56:T56"/>
    <mergeCell ref="M57:T57"/>
    <mergeCell ref="M48:T48"/>
    <mergeCell ref="M49:T49"/>
    <mergeCell ref="M50:T50"/>
    <mergeCell ref="U56:W56"/>
    <mergeCell ref="U57:W57"/>
    <mergeCell ref="U58:W58"/>
    <mergeCell ref="X36:AC36"/>
    <mergeCell ref="X37:AC37"/>
    <mergeCell ref="X38:AC38"/>
    <mergeCell ref="X39:AC39"/>
    <mergeCell ref="X40:AC40"/>
    <mergeCell ref="X41:AC41"/>
    <mergeCell ref="X42:AC42"/>
    <mergeCell ref="X43:AC43"/>
    <mergeCell ref="X44:AC44"/>
    <mergeCell ref="X45:AC45"/>
    <mergeCell ref="X46:AC46"/>
    <mergeCell ref="X47:AC47"/>
    <mergeCell ref="X48:AC48"/>
    <mergeCell ref="U51:W51"/>
    <mergeCell ref="U52:W52"/>
    <mergeCell ref="U53:W53"/>
    <mergeCell ref="U54:W54"/>
    <mergeCell ref="U55:W55"/>
    <mergeCell ref="X54:AC54"/>
    <mergeCell ref="X55:AC55"/>
    <mergeCell ref="AD40:AF40"/>
    <mergeCell ref="AD41:AF41"/>
    <mergeCell ref="AD42:AF42"/>
    <mergeCell ref="AD46:AF46"/>
    <mergeCell ref="AD47:AF47"/>
    <mergeCell ref="X56:AC56"/>
    <mergeCell ref="X57:AC57"/>
    <mergeCell ref="X58:AC58"/>
    <mergeCell ref="X49:AC49"/>
    <mergeCell ref="X50:AC50"/>
    <mergeCell ref="X51:AC51"/>
    <mergeCell ref="X52:AC52"/>
    <mergeCell ref="X53:AC53"/>
    <mergeCell ref="AD57:AF57"/>
    <mergeCell ref="AD58:AF58"/>
    <mergeCell ref="AD53:AF53"/>
    <mergeCell ref="AD54:AF54"/>
    <mergeCell ref="AD55:AF55"/>
    <mergeCell ref="AD56:AF56"/>
    <mergeCell ref="AD48:AF48"/>
    <mergeCell ref="AD49:AF49"/>
    <mergeCell ref="AD50:AF50"/>
    <mergeCell ref="AD51:AF51"/>
    <mergeCell ref="AG57:AL57"/>
    <mergeCell ref="AG38:AL38"/>
    <mergeCell ref="AG39:AL39"/>
    <mergeCell ref="AG40:AL40"/>
    <mergeCell ref="AG41:AL41"/>
    <mergeCell ref="AG43:AL43"/>
    <mergeCell ref="AG44:AL44"/>
    <mergeCell ref="AG45:AL45"/>
    <mergeCell ref="AG46:AL46"/>
    <mergeCell ref="AG47:AL47"/>
    <mergeCell ref="AG48:AL48"/>
    <mergeCell ref="AG49:AL49"/>
    <mergeCell ref="AG50:AL50"/>
    <mergeCell ref="AG56:AL56"/>
    <mergeCell ref="AG58:AL58"/>
    <mergeCell ref="AM36:AO36"/>
    <mergeCell ref="AM37:AO37"/>
    <mergeCell ref="AM38:AO38"/>
    <mergeCell ref="AM39:AO39"/>
    <mergeCell ref="AM40:AO40"/>
    <mergeCell ref="AM41:AO41"/>
    <mergeCell ref="AM43:AO43"/>
    <mergeCell ref="AM44:AO44"/>
    <mergeCell ref="AM45:AO45"/>
    <mergeCell ref="AM46:AO46"/>
    <mergeCell ref="AM47:AO47"/>
    <mergeCell ref="AM48:AO48"/>
    <mergeCell ref="AG51:AL51"/>
    <mergeCell ref="AG52:AL52"/>
    <mergeCell ref="AG53:AL53"/>
    <mergeCell ref="AG55:AL55"/>
    <mergeCell ref="AM55:AO55"/>
    <mergeCell ref="AM56:AO56"/>
    <mergeCell ref="AM57:AO57"/>
    <mergeCell ref="AM58:AO58"/>
    <mergeCell ref="AM49:AO49"/>
    <mergeCell ref="AM50:AO50"/>
    <mergeCell ref="AM51:AO51"/>
    <mergeCell ref="N19:Q19"/>
    <mergeCell ref="R19:U19"/>
    <mergeCell ref="AM52:AO52"/>
    <mergeCell ref="AM53:AO53"/>
    <mergeCell ref="AG42:AO42"/>
    <mergeCell ref="AG54:AO54"/>
    <mergeCell ref="B27:K27"/>
    <mergeCell ref="B28:K28"/>
    <mergeCell ref="B29:K29"/>
    <mergeCell ref="B30:K30"/>
    <mergeCell ref="B31:K31"/>
    <mergeCell ref="B32:K32"/>
    <mergeCell ref="B33:K33"/>
    <mergeCell ref="L27:U27"/>
    <mergeCell ref="L28:U28"/>
    <mergeCell ref="L29:U29"/>
    <mergeCell ref="L30:U30"/>
    <mergeCell ref="L31:U31"/>
    <mergeCell ref="L32:U32"/>
    <mergeCell ref="L33:U33"/>
    <mergeCell ref="AD52:AF52"/>
    <mergeCell ref="AD43:AF43"/>
    <mergeCell ref="AD44:AF44"/>
    <mergeCell ref="AD45:AF45"/>
    <mergeCell ref="V19:AC19"/>
    <mergeCell ref="AD19:AG19"/>
    <mergeCell ref="AD38:AF38"/>
    <mergeCell ref="AD39:AF39"/>
    <mergeCell ref="V26:AO26"/>
    <mergeCell ref="B26:U26"/>
    <mergeCell ref="B19:I19"/>
    <mergeCell ref="V31:AE31"/>
    <mergeCell ref="V32:AE32"/>
    <mergeCell ref="V33:AE33"/>
    <mergeCell ref="AF27:AO27"/>
    <mergeCell ref="AF28:AO28"/>
    <mergeCell ref="AF29:AO29"/>
    <mergeCell ref="AF30:AO30"/>
    <mergeCell ref="AF31:AO31"/>
    <mergeCell ref="AF32:AO32"/>
    <mergeCell ref="AF33:AO33"/>
    <mergeCell ref="AH19:AK19"/>
    <mergeCell ref="AL19:AO19"/>
    <mergeCell ref="V27:AE27"/>
    <mergeCell ref="V28:AE28"/>
    <mergeCell ref="V29:AE29"/>
    <mergeCell ref="V30:AE30"/>
    <mergeCell ref="J19:M19"/>
  </mergeCells>
  <printOptions horizontalCentered="1" verticalCentered="1"/>
  <pageMargins left="0" right="0" top="0" bottom="0" header="0" footer="0"/>
  <pageSetup paperSize="9" orientation="portrait" horizontalDpi="1200" verticalDpi="1200" r:id="rId1"/>
  <headerFooter scaleWithDoc="0"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1"/>
  <sheetViews>
    <sheetView view="pageLayout" zoomScaleNormal="100" workbookViewId="0">
      <selection activeCell="A2" sqref="A2:XFD2"/>
    </sheetView>
  </sheetViews>
  <sheetFormatPr baseColWidth="10" defaultColWidth="2.42578125" defaultRowHeight="13.5" customHeight="1" x14ac:dyDescent="0.3"/>
  <cols>
    <col min="1" max="16384" width="2.42578125" style="6"/>
  </cols>
  <sheetData>
    <row r="1" spans="1:17" ht="13.5" customHeight="1" x14ac:dyDescent="0.3">
      <c r="A1" s="6" t="s">
        <v>1074</v>
      </c>
    </row>
    <row r="3" spans="1:17" ht="13.5" customHeight="1" x14ac:dyDescent="0.3">
      <c r="A3" s="524" t="s">
        <v>1083</v>
      </c>
      <c r="B3" s="524"/>
      <c r="C3" s="524"/>
      <c r="D3" s="502" t="s">
        <v>1084</v>
      </c>
      <c r="E3" s="502"/>
      <c r="F3" s="502" t="s">
        <v>130</v>
      </c>
      <c r="G3" s="502"/>
      <c r="H3" s="502"/>
      <c r="I3" s="502"/>
      <c r="J3" s="502"/>
      <c r="K3" s="502"/>
      <c r="L3" s="502"/>
      <c r="M3" s="502"/>
      <c r="N3" s="502"/>
      <c r="O3" s="502"/>
      <c r="P3" s="502"/>
      <c r="Q3" s="502"/>
    </row>
    <row r="4" spans="1:17" ht="13.5" customHeight="1" x14ac:dyDescent="0.3">
      <c r="A4" s="524" t="s">
        <v>1075</v>
      </c>
      <c r="B4" s="524"/>
      <c r="C4" s="524"/>
      <c r="D4" s="502"/>
      <c r="E4" s="502"/>
      <c r="F4" s="502">
        <f>'NPC-Rechner'!E21</f>
        <v>28</v>
      </c>
      <c r="G4" s="502"/>
      <c r="H4" s="502"/>
      <c r="I4" s="502"/>
      <c r="J4" s="502"/>
      <c r="K4" s="502"/>
      <c r="L4" s="502"/>
      <c r="M4" s="502"/>
      <c r="N4" s="502"/>
      <c r="O4" s="502"/>
      <c r="P4" s="502"/>
      <c r="Q4" s="502"/>
    </row>
    <row r="5" spans="1:17" ht="13.5" customHeight="1" x14ac:dyDescent="0.3">
      <c r="A5" s="524" t="s">
        <v>1076</v>
      </c>
      <c r="B5" s="524"/>
      <c r="C5" s="524"/>
      <c r="D5" s="502"/>
      <c r="E5" s="502"/>
      <c r="F5" s="502">
        <f>'NPC-Rechner'!E22</f>
        <v>41</v>
      </c>
      <c r="G5" s="502"/>
      <c r="H5" s="502"/>
      <c r="I5" s="502"/>
      <c r="J5" s="502"/>
      <c r="K5" s="502"/>
      <c r="L5" s="502"/>
      <c r="M5" s="502"/>
      <c r="N5" s="502"/>
      <c r="O5" s="502"/>
      <c r="P5" s="502"/>
      <c r="Q5" s="502"/>
    </row>
    <row r="6" spans="1:17" ht="13.5" customHeight="1" x14ac:dyDescent="0.3">
      <c r="A6" s="524" t="s">
        <v>1079</v>
      </c>
      <c r="B6" s="524"/>
      <c r="C6" s="524"/>
      <c r="D6" s="502"/>
      <c r="E6" s="502"/>
      <c r="F6" s="502">
        <f>'NPC-Rechner'!E23</f>
        <v>34</v>
      </c>
      <c r="G6" s="502"/>
      <c r="H6" s="502"/>
      <c r="I6" s="502"/>
      <c r="J6" s="502"/>
      <c r="K6" s="502"/>
      <c r="L6" s="502"/>
      <c r="M6" s="502"/>
      <c r="N6" s="502"/>
      <c r="O6" s="502"/>
      <c r="P6" s="502"/>
      <c r="Q6" s="502"/>
    </row>
    <row r="7" spans="1:17" ht="13.5" customHeight="1" x14ac:dyDescent="0.3">
      <c r="A7" s="524" t="s">
        <v>1078</v>
      </c>
      <c r="B7" s="524"/>
      <c r="C7" s="524"/>
      <c r="D7" s="502"/>
      <c r="E7" s="502"/>
      <c r="F7" s="502">
        <f>'NPC-Rechner'!E24</f>
        <v>27</v>
      </c>
      <c r="G7" s="502"/>
      <c r="H7" s="502"/>
      <c r="I7" s="502"/>
      <c r="J7" s="502"/>
      <c r="K7" s="502"/>
      <c r="L7" s="502"/>
      <c r="M7" s="502"/>
      <c r="N7" s="502"/>
      <c r="O7" s="502"/>
      <c r="P7" s="502"/>
      <c r="Q7" s="502"/>
    </row>
    <row r="8" spans="1:17" ht="13.5" customHeight="1" x14ac:dyDescent="0.3">
      <c r="A8" s="524" t="s">
        <v>1077</v>
      </c>
      <c r="B8" s="524"/>
      <c r="C8" s="524"/>
      <c r="D8" s="502"/>
      <c r="E8" s="502"/>
      <c r="F8" s="502">
        <f>'NPC-Rechner'!E25</f>
        <v>27</v>
      </c>
      <c r="G8" s="502"/>
      <c r="H8" s="502"/>
      <c r="I8" s="502"/>
      <c r="J8" s="502"/>
      <c r="K8" s="502"/>
      <c r="L8" s="502"/>
      <c r="M8" s="502"/>
      <c r="N8" s="502"/>
      <c r="O8" s="502"/>
      <c r="P8" s="502"/>
      <c r="Q8" s="502"/>
    </row>
    <row r="9" spans="1:17" ht="13.5" customHeight="1" x14ac:dyDescent="0.3">
      <c r="A9" s="524" t="s">
        <v>1080</v>
      </c>
      <c r="B9" s="524"/>
      <c r="C9" s="524"/>
      <c r="D9" s="502"/>
      <c r="E9" s="502"/>
      <c r="F9" s="502">
        <f>'NPC-Rechner'!E26</f>
        <v>46</v>
      </c>
      <c r="G9" s="502"/>
      <c r="H9" s="502"/>
      <c r="I9" s="502"/>
      <c r="J9" s="502"/>
      <c r="K9" s="502"/>
      <c r="L9" s="502"/>
      <c r="M9" s="502"/>
      <c r="N9" s="502"/>
      <c r="O9" s="502"/>
      <c r="P9" s="502"/>
      <c r="Q9" s="502"/>
    </row>
    <row r="10" spans="1:17" ht="13.5" customHeight="1" x14ac:dyDescent="0.3">
      <c r="A10" s="524" t="s">
        <v>1081</v>
      </c>
      <c r="B10" s="524"/>
      <c r="C10" s="524"/>
      <c r="D10" s="502"/>
      <c r="E10" s="502"/>
      <c r="F10" s="502">
        <f>'NPC-Rechner'!E27</f>
        <v>46</v>
      </c>
      <c r="G10" s="502"/>
      <c r="H10" s="502"/>
      <c r="I10" s="502"/>
      <c r="J10" s="502"/>
      <c r="K10" s="502"/>
      <c r="L10" s="502"/>
      <c r="M10" s="502"/>
      <c r="N10" s="502"/>
      <c r="O10" s="502"/>
      <c r="P10" s="502"/>
      <c r="Q10" s="502"/>
    </row>
    <row r="11" spans="1:17" ht="13.5" customHeight="1" x14ac:dyDescent="0.3">
      <c r="A11" s="524" t="s">
        <v>1082</v>
      </c>
      <c r="B11" s="524"/>
      <c r="C11" s="524"/>
      <c r="D11" s="502"/>
      <c r="E11" s="502"/>
      <c r="F11" s="502">
        <f>'NPC-Rechner'!E20</f>
        <v>46</v>
      </c>
      <c r="G11" s="502"/>
      <c r="H11" s="502"/>
      <c r="I11" s="502"/>
      <c r="J11" s="502"/>
      <c r="K11" s="502"/>
      <c r="L11" s="502"/>
      <c r="M11" s="502"/>
      <c r="N11" s="502"/>
      <c r="O11" s="502"/>
      <c r="P11" s="502"/>
      <c r="Q11" s="502"/>
    </row>
  </sheetData>
  <mergeCells count="72">
    <mergeCell ref="A9:C9"/>
    <mergeCell ref="A10:C10"/>
    <mergeCell ref="A11:C11"/>
    <mergeCell ref="D3:E3"/>
    <mergeCell ref="D4:E4"/>
    <mergeCell ref="D5:E5"/>
    <mergeCell ref="D6:E6"/>
    <mergeCell ref="D7:E7"/>
    <mergeCell ref="D8:E8"/>
    <mergeCell ref="D9:E9"/>
    <mergeCell ref="A3:C3"/>
    <mergeCell ref="A4:C4"/>
    <mergeCell ref="A5:C5"/>
    <mergeCell ref="A6:C6"/>
    <mergeCell ref="A7:C7"/>
    <mergeCell ref="A8:C8"/>
    <mergeCell ref="D10:E10"/>
    <mergeCell ref="D11:E11"/>
    <mergeCell ref="F3:G3"/>
    <mergeCell ref="F4:G4"/>
    <mergeCell ref="F5:G5"/>
    <mergeCell ref="F6:G6"/>
    <mergeCell ref="F7:G7"/>
    <mergeCell ref="F8:G8"/>
    <mergeCell ref="F9:G9"/>
    <mergeCell ref="F10:G10"/>
    <mergeCell ref="F11:G11"/>
    <mergeCell ref="H3:I3"/>
    <mergeCell ref="H4:I4"/>
    <mergeCell ref="H5:I5"/>
    <mergeCell ref="H6:I6"/>
    <mergeCell ref="H7:I7"/>
    <mergeCell ref="H8:I8"/>
    <mergeCell ref="H9:I9"/>
    <mergeCell ref="H10:I10"/>
    <mergeCell ref="L7:M7"/>
    <mergeCell ref="L8:M8"/>
    <mergeCell ref="L9:M9"/>
    <mergeCell ref="L10:M10"/>
    <mergeCell ref="J8:K8"/>
    <mergeCell ref="J3:K3"/>
    <mergeCell ref="J4:K4"/>
    <mergeCell ref="J5:K5"/>
    <mergeCell ref="J6:K6"/>
    <mergeCell ref="J7:K7"/>
    <mergeCell ref="L11:M11"/>
    <mergeCell ref="H11:I11"/>
    <mergeCell ref="J11:K11"/>
    <mergeCell ref="N3:O3"/>
    <mergeCell ref="N4:O4"/>
    <mergeCell ref="N5:O5"/>
    <mergeCell ref="N6:O6"/>
    <mergeCell ref="N7:O7"/>
    <mergeCell ref="N8:O8"/>
    <mergeCell ref="N9:O9"/>
    <mergeCell ref="J9:K9"/>
    <mergeCell ref="J10:K10"/>
    <mergeCell ref="L3:M3"/>
    <mergeCell ref="L4:M4"/>
    <mergeCell ref="L5:M5"/>
    <mergeCell ref="L6:M6"/>
    <mergeCell ref="P11:Q11"/>
    <mergeCell ref="N10:O10"/>
    <mergeCell ref="N11:O11"/>
    <mergeCell ref="P3:Q3"/>
    <mergeCell ref="P4:Q4"/>
    <mergeCell ref="P5:Q5"/>
    <mergeCell ref="P6:Q6"/>
    <mergeCell ref="P7:Q7"/>
    <mergeCell ref="P8:Q8"/>
    <mergeCell ref="P9:Q9"/>
    <mergeCell ref="P10:Q10"/>
  </mergeCells>
  <printOptions horizontalCentered="1" verticalCentered="1"/>
  <pageMargins left="0" right="0" top="0" bottom="0" header="0" footer="0"/>
  <pageSetup paperSize="9" orientation="landscape" r:id="rId1"/>
  <headerFooter scaleWithDoc="0"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P45"/>
  <sheetViews>
    <sheetView view="pageLayout" zoomScaleNormal="100" workbookViewId="0">
      <selection activeCell="E11" sqref="E11"/>
    </sheetView>
  </sheetViews>
  <sheetFormatPr baseColWidth="10" defaultColWidth="9.140625" defaultRowHeight="12.75" x14ac:dyDescent="0.2"/>
  <cols>
    <col min="1" max="1" width="9.140625" style="270"/>
    <col min="2" max="4" width="6" style="270" customWidth="1"/>
    <col min="5" max="5" width="8.7109375" style="270" customWidth="1"/>
    <col min="6" max="29" width="6" style="270" customWidth="1"/>
    <col min="30" max="30" width="36.42578125" style="270" customWidth="1"/>
    <col min="31" max="32" width="6" style="270" customWidth="1"/>
    <col min="33" max="33" width="9.140625" style="270" customWidth="1"/>
    <col min="34" max="16384" width="9.140625" style="270"/>
  </cols>
  <sheetData>
    <row r="1" spans="1:42" ht="15" x14ac:dyDescent="0.2">
      <c r="A1" s="268" t="s">
        <v>2</v>
      </c>
      <c r="B1" s="269">
        <f>kr</f>
        <v>7</v>
      </c>
      <c r="E1" s="271" t="s">
        <v>1085</v>
      </c>
      <c r="F1" s="272"/>
      <c r="G1" s="272"/>
      <c r="H1" s="272"/>
      <c r="I1" s="272"/>
      <c r="J1" s="272"/>
      <c r="K1" s="272"/>
      <c r="L1" s="273" t="s">
        <v>1086</v>
      </c>
      <c r="M1" s="272"/>
      <c r="N1" s="274"/>
      <c r="O1" s="567"/>
      <c r="P1" s="567"/>
      <c r="Q1" s="567"/>
      <c r="R1" s="567"/>
      <c r="S1" s="567"/>
      <c r="T1" s="567"/>
      <c r="U1" s="567"/>
      <c r="V1" s="568"/>
      <c r="W1" s="275"/>
      <c r="X1" s="275"/>
      <c r="Y1" s="275"/>
      <c r="Z1" s="275"/>
      <c r="AA1" s="275"/>
      <c r="AB1" s="275"/>
      <c r="AC1" s="275"/>
      <c r="AD1" s="275"/>
      <c r="AE1" s="275"/>
      <c r="AF1" s="275"/>
      <c r="AG1" s="276"/>
      <c r="AH1" s="275"/>
      <c r="AI1" s="276"/>
      <c r="AJ1" s="275"/>
      <c r="AK1" s="275"/>
      <c r="AL1" s="275"/>
      <c r="AM1" s="277"/>
      <c r="AN1" s="275"/>
      <c r="AO1" s="275"/>
      <c r="AP1" s="275"/>
    </row>
    <row r="2" spans="1:42" ht="15" customHeight="1" x14ac:dyDescent="0.2">
      <c r="A2" s="278" t="s">
        <v>3</v>
      </c>
      <c r="B2" s="279">
        <f>st</f>
        <v>58</v>
      </c>
      <c r="E2" s="280" t="s">
        <v>1087</v>
      </c>
      <c r="F2" s="281"/>
      <c r="G2" s="281"/>
      <c r="H2" s="281"/>
      <c r="I2" s="281"/>
      <c r="J2" s="281"/>
      <c r="K2" s="281"/>
      <c r="L2" s="282" t="s">
        <v>1088</v>
      </c>
      <c r="M2" s="281"/>
      <c r="N2" s="283"/>
      <c r="O2" s="569"/>
      <c r="P2" s="569"/>
      <c r="Q2" s="569"/>
      <c r="R2" s="569"/>
      <c r="S2" s="569"/>
      <c r="T2" s="569"/>
      <c r="U2" s="569"/>
      <c r="V2" s="570"/>
    </row>
    <row r="3" spans="1:42" ht="15.75" customHeight="1" thickBot="1" x14ac:dyDescent="0.25">
      <c r="A3" s="284" t="s">
        <v>4</v>
      </c>
      <c r="B3" s="285">
        <f>ma</f>
        <v>27</v>
      </c>
      <c r="E3" s="286"/>
      <c r="F3" s="281"/>
      <c r="G3" s="281"/>
      <c r="H3" s="281"/>
      <c r="I3" s="281"/>
      <c r="J3" s="281"/>
      <c r="K3" s="281"/>
      <c r="L3" s="282"/>
      <c r="M3" s="281"/>
      <c r="N3" s="283"/>
      <c r="O3" s="569"/>
      <c r="P3" s="569"/>
      <c r="Q3" s="569"/>
      <c r="R3" s="569"/>
      <c r="S3" s="569"/>
      <c r="T3" s="569"/>
      <c r="U3" s="569"/>
      <c r="V3" s="570"/>
    </row>
    <row r="4" spans="1:42" ht="15" customHeight="1" x14ac:dyDescent="0.2">
      <c r="A4" s="268" t="s">
        <v>149</v>
      </c>
      <c r="B4" s="269">
        <f>glü</f>
        <v>3</v>
      </c>
      <c r="E4" s="280" t="s">
        <v>1089</v>
      </c>
      <c r="F4" s="281"/>
      <c r="G4" s="283"/>
      <c r="H4" s="283"/>
      <c r="I4" s="283"/>
      <c r="J4" s="283"/>
      <c r="K4" s="283"/>
      <c r="L4" s="283"/>
      <c r="M4" s="283"/>
      <c r="N4" s="283"/>
      <c r="O4" s="569"/>
      <c r="P4" s="569"/>
      <c r="Q4" s="569"/>
      <c r="R4" s="569"/>
      <c r="S4" s="569"/>
      <c r="T4" s="569"/>
      <c r="U4" s="569"/>
      <c r="V4" s="570"/>
    </row>
    <row r="5" spans="1:42" ht="15" customHeight="1" x14ac:dyDescent="0.2">
      <c r="A5" s="278" t="s">
        <v>150</v>
      </c>
      <c r="B5" s="279">
        <f>vit</f>
        <v>14</v>
      </c>
      <c r="E5" s="280" t="s">
        <v>1090</v>
      </c>
      <c r="F5" s="281"/>
      <c r="G5" s="283"/>
      <c r="H5" s="283"/>
      <c r="I5" s="283"/>
      <c r="J5" s="283"/>
      <c r="K5" s="283"/>
      <c r="L5" s="283"/>
      <c r="M5" s="283"/>
      <c r="N5" s="283"/>
      <c r="O5" s="569"/>
      <c r="P5" s="569"/>
      <c r="Q5" s="569"/>
      <c r="R5" s="569"/>
      <c r="S5" s="569"/>
      <c r="T5" s="569"/>
      <c r="U5" s="569"/>
      <c r="V5" s="570"/>
    </row>
    <row r="6" spans="1:42" ht="15.75" customHeight="1" thickBot="1" x14ac:dyDescent="0.25">
      <c r="A6" s="278" t="s">
        <v>151</v>
      </c>
      <c r="B6" s="279">
        <f>Aur</f>
        <v>5</v>
      </c>
      <c r="E6" s="287"/>
      <c r="F6" s="288"/>
      <c r="G6" s="289"/>
      <c r="H6" s="289"/>
      <c r="I6" s="289"/>
      <c r="J6" s="289"/>
      <c r="K6" s="289"/>
      <c r="L6" s="289"/>
      <c r="M6" s="289"/>
      <c r="N6" s="289"/>
      <c r="O6" s="571"/>
      <c r="P6" s="571"/>
      <c r="Q6" s="571"/>
      <c r="R6" s="571"/>
      <c r="S6" s="571"/>
      <c r="T6" s="571"/>
      <c r="U6" s="571"/>
      <c r="V6" s="572"/>
    </row>
    <row r="7" spans="1:42" ht="13.5" thickBot="1" x14ac:dyDescent="0.25">
      <c r="A7" s="278" t="s">
        <v>152</v>
      </c>
      <c r="B7" s="279">
        <f>mag</f>
        <v>5</v>
      </c>
    </row>
    <row r="8" spans="1:42" ht="13.5" thickBot="1" x14ac:dyDescent="0.25">
      <c r="A8" s="278" t="s">
        <v>1091</v>
      </c>
      <c r="B8" s="279">
        <f>kr+1</f>
        <v>8</v>
      </c>
      <c r="C8" s="290"/>
      <c r="D8" s="290"/>
      <c r="E8" s="291" t="s">
        <v>64</v>
      </c>
      <c r="F8" s="292">
        <f>ini</f>
        <v>34</v>
      </c>
      <c r="H8" s="291" t="s">
        <v>1092</v>
      </c>
      <c r="I8" s="292">
        <f>sbwert</f>
        <v>47</v>
      </c>
      <c r="K8" s="293" t="s">
        <v>1093</v>
      </c>
      <c r="L8" s="294">
        <f>'[1]NPC-Rechner'!AJ36</f>
        <v>0</v>
      </c>
      <c r="M8" s="295"/>
      <c r="O8" s="296" t="s">
        <v>1184</v>
      </c>
      <c r="P8" s="297">
        <f>defaw</f>
        <v>18</v>
      </c>
      <c r="Q8" s="270" t="s">
        <v>1185</v>
      </c>
      <c r="R8" s="270">
        <f>offaw</f>
        <v>14</v>
      </c>
      <c r="S8" s="297" t="s">
        <v>62</v>
      </c>
      <c r="T8" s="297">
        <f>gawwert</f>
        <v>5</v>
      </c>
      <c r="U8" s="298" t="s">
        <v>63</v>
      </c>
      <c r="V8" s="299">
        <f>mawwert</f>
        <v>25</v>
      </c>
    </row>
    <row r="9" spans="1:42" ht="13.5" thickBot="1" x14ac:dyDescent="0.25">
      <c r="A9" s="278" t="s">
        <v>872</v>
      </c>
      <c r="B9" s="279">
        <f>kar</f>
        <v>0</v>
      </c>
      <c r="C9" s="290"/>
      <c r="D9" s="290"/>
      <c r="E9" s="290"/>
      <c r="F9" s="290"/>
      <c r="G9" s="290"/>
      <c r="H9" s="290"/>
      <c r="I9" s="290"/>
      <c r="J9" s="290"/>
      <c r="K9" s="290"/>
      <c r="L9" s="290"/>
      <c r="M9" s="290"/>
      <c r="N9" s="290"/>
      <c r="O9" s="290"/>
      <c r="P9" s="290"/>
      <c r="Q9" s="290"/>
      <c r="R9" s="290"/>
      <c r="S9" s="290"/>
      <c r="T9" s="290"/>
    </row>
    <row r="10" spans="1:42" x14ac:dyDescent="0.2">
      <c r="A10" s="268" t="s">
        <v>140</v>
      </c>
      <c r="B10" s="300">
        <f>Aus</f>
        <v>21</v>
      </c>
      <c r="C10" s="269">
        <f>ausb</f>
        <v>6</v>
      </c>
      <c r="E10" s="301" t="s">
        <v>21</v>
      </c>
      <c r="F10" s="302"/>
      <c r="G10" s="303" t="s">
        <v>64</v>
      </c>
      <c r="H10" s="302" t="s">
        <v>24</v>
      </c>
      <c r="I10" s="304" t="s">
        <v>1182</v>
      </c>
      <c r="J10" s="302" t="s">
        <v>1183</v>
      </c>
      <c r="K10" s="303" t="s">
        <v>1094</v>
      </c>
      <c r="L10" s="302" t="s">
        <v>1097</v>
      </c>
      <c r="M10" s="305" t="s">
        <v>1095</v>
      </c>
      <c r="N10" s="305"/>
      <c r="O10" s="305" t="s">
        <v>25</v>
      </c>
      <c r="P10" s="305" t="s">
        <v>26</v>
      </c>
      <c r="Q10" s="305" t="s">
        <v>27</v>
      </c>
      <c r="R10" s="305" t="s">
        <v>28</v>
      </c>
      <c r="S10" s="305" t="s">
        <v>29</v>
      </c>
      <c r="T10" s="305" t="s">
        <v>30</v>
      </c>
      <c r="U10" s="332" t="s">
        <v>1175</v>
      </c>
      <c r="V10" s="306" t="s">
        <v>1176</v>
      </c>
    </row>
    <row r="11" spans="1:42" x14ac:dyDescent="0.2">
      <c r="A11" s="278" t="s">
        <v>141</v>
      </c>
      <c r="B11" s="307">
        <f>Int</f>
        <v>27</v>
      </c>
      <c r="C11" s="279">
        <f>intb</f>
        <v>9</v>
      </c>
      <c r="D11" s="290"/>
      <c r="E11" s="308"/>
      <c r="F11" s="309"/>
      <c r="G11" s="310"/>
      <c r="H11" s="309"/>
      <c r="I11" s="311"/>
      <c r="J11" s="312"/>
      <c r="K11" s="311"/>
      <c r="L11" s="312"/>
      <c r="M11" s="313"/>
      <c r="N11" s="313"/>
      <c r="O11" s="313"/>
      <c r="P11" s="313"/>
      <c r="Q11" s="313"/>
      <c r="R11" s="313"/>
      <c r="S11" s="313"/>
      <c r="T11" s="313"/>
      <c r="U11" s="337"/>
      <c r="V11" s="314"/>
    </row>
    <row r="12" spans="1:42" x14ac:dyDescent="0.2">
      <c r="A12" s="278" t="s">
        <v>8</v>
      </c>
      <c r="B12" s="307">
        <f>Mut</f>
        <v>21</v>
      </c>
      <c r="C12" s="279">
        <f>mutb</f>
        <v>6</v>
      </c>
      <c r="E12" s="308"/>
      <c r="F12" s="309"/>
      <c r="G12" s="310"/>
      <c r="H12" s="309"/>
      <c r="I12" s="311"/>
      <c r="J12" s="312"/>
      <c r="K12" s="311"/>
      <c r="L12" s="312"/>
      <c r="M12" s="313"/>
      <c r="N12" s="313"/>
      <c r="O12" s="313"/>
      <c r="P12" s="313"/>
      <c r="Q12" s="313"/>
      <c r="R12" s="313"/>
      <c r="S12" s="313"/>
      <c r="T12" s="313"/>
      <c r="U12" s="337"/>
      <c r="V12" s="314"/>
    </row>
    <row r="13" spans="1:42" x14ac:dyDescent="0.2">
      <c r="A13" s="278" t="s">
        <v>142</v>
      </c>
      <c r="B13" s="307">
        <f>Sin</f>
        <v>21</v>
      </c>
      <c r="C13" s="279">
        <f>sinb</f>
        <v>6</v>
      </c>
      <c r="E13" s="315"/>
      <c r="F13" s="309"/>
      <c r="G13" s="310"/>
      <c r="H13" s="309"/>
      <c r="I13" s="311"/>
      <c r="J13" s="312"/>
      <c r="K13" s="311"/>
      <c r="L13" s="312"/>
      <c r="M13" s="313"/>
      <c r="N13" s="313"/>
      <c r="O13" s="313"/>
      <c r="P13" s="313"/>
      <c r="Q13" s="313"/>
      <c r="R13" s="313"/>
      <c r="S13" s="313"/>
      <c r="T13" s="313"/>
      <c r="U13" s="337"/>
      <c r="V13" s="314"/>
    </row>
    <row r="14" spans="1:42" ht="13.5" thickBot="1" x14ac:dyDescent="0.25">
      <c r="A14" s="278" t="s">
        <v>143</v>
      </c>
      <c r="B14" s="307">
        <f>Wil</f>
        <v>29</v>
      </c>
      <c r="C14" s="279">
        <f>wilb</f>
        <v>10</v>
      </c>
      <c r="E14" s="316"/>
      <c r="F14" s="317"/>
      <c r="G14" s="318"/>
      <c r="H14" s="317"/>
      <c r="I14" s="319"/>
      <c r="J14" s="320"/>
      <c r="K14" s="319"/>
      <c r="L14" s="320"/>
      <c r="M14" s="321"/>
      <c r="N14" s="321"/>
      <c r="O14" s="321"/>
      <c r="P14" s="321"/>
      <c r="Q14" s="321"/>
      <c r="R14" s="321"/>
      <c r="S14" s="321"/>
      <c r="T14" s="321"/>
      <c r="U14" s="343"/>
      <c r="V14" s="322"/>
    </row>
    <row r="15" spans="1:42" x14ac:dyDescent="0.2">
      <c r="A15" s="278" t="s">
        <v>144</v>
      </c>
      <c r="B15" s="307">
        <f>Ath</f>
        <v>23</v>
      </c>
      <c r="C15" s="279">
        <f>athb</f>
        <v>7</v>
      </c>
      <c r="E15" s="323"/>
      <c r="F15" s="323"/>
      <c r="G15" s="323"/>
      <c r="H15" s="323"/>
      <c r="I15" s="290"/>
      <c r="J15" s="290"/>
      <c r="K15" s="290"/>
      <c r="L15" s="290"/>
      <c r="M15" s="290"/>
      <c r="N15" s="290"/>
      <c r="O15" s="290"/>
      <c r="P15" s="290"/>
      <c r="Q15" s="290"/>
      <c r="R15" s="290"/>
      <c r="S15" s="290"/>
      <c r="T15" s="290"/>
    </row>
    <row r="16" spans="1:42" x14ac:dyDescent="0.2">
      <c r="A16" s="278" t="s">
        <v>145</v>
      </c>
      <c r="B16" s="307">
        <f>Ges</f>
        <v>23</v>
      </c>
      <c r="C16" s="279">
        <f>gesb</f>
        <v>7</v>
      </c>
      <c r="E16" s="565" t="s">
        <v>1096</v>
      </c>
      <c r="F16" s="566"/>
      <c r="G16" s="390" t="s">
        <v>23</v>
      </c>
      <c r="H16" s="380"/>
      <c r="I16" s="391" t="s">
        <v>1097</v>
      </c>
      <c r="J16" s="336" t="s">
        <v>1177</v>
      </c>
      <c r="K16" s="336" t="s">
        <v>1178</v>
      </c>
      <c r="L16" s="336" t="s">
        <v>1179</v>
      </c>
      <c r="M16" s="336" t="s">
        <v>1180</v>
      </c>
      <c r="N16" s="336" t="s">
        <v>1181</v>
      </c>
      <c r="O16" s="282"/>
      <c r="P16" s="282"/>
      <c r="Q16" s="282"/>
      <c r="R16" s="282"/>
      <c r="S16" s="282"/>
      <c r="T16" s="282"/>
      <c r="U16" s="282"/>
      <c r="V16" s="282"/>
    </row>
    <row r="17" spans="1:28" x14ac:dyDescent="0.2">
      <c r="A17" s="278" t="s">
        <v>146</v>
      </c>
      <c r="B17" s="307">
        <f>Kon</f>
        <v>38</v>
      </c>
      <c r="C17" s="279">
        <f>konb</f>
        <v>14</v>
      </c>
      <c r="D17" s="324"/>
      <c r="E17" s="573"/>
      <c r="F17" s="574"/>
      <c r="G17" s="336"/>
      <c r="H17" s="336"/>
      <c r="I17" s="336"/>
      <c r="J17" s="336"/>
      <c r="K17" s="336"/>
      <c r="L17" s="336"/>
      <c r="M17" s="336"/>
      <c r="N17" s="336"/>
      <c r="O17" s="325"/>
      <c r="P17" s="325"/>
      <c r="Q17" s="325"/>
      <c r="R17" s="325"/>
      <c r="S17" s="282"/>
      <c r="T17" s="282"/>
      <c r="U17" s="282"/>
      <c r="V17" s="282"/>
    </row>
    <row r="18" spans="1:28" x14ac:dyDescent="0.2">
      <c r="A18" s="278" t="s">
        <v>147</v>
      </c>
      <c r="B18" s="307">
        <f>Sch</f>
        <v>21</v>
      </c>
      <c r="C18" s="279">
        <f>schb</f>
        <v>6</v>
      </c>
      <c r="E18" s="573"/>
      <c r="F18" s="574"/>
      <c r="G18" s="336"/>
      <c r="H18" s="336"/>
      <c r="I18" s="336"/>
      <c r="J18" s="336"/>
      <c r="K18" s="336"/>
      <c r="L18" s="336"/>
      <c r="M18" s="336"/>
      <c r="N18" s="336"/>
      <c r="O18" s="325"/>
      <c r="P18" s="325"/>
      <c r="Q18" s="325"/>
      <c r="R18" s="325"/>
      <c r="S18" s="325"/>
      <c r="T18" s="325"/>
      <c r="U18" s="282"/>
      <c r="V18" s="282"/>
    </row>
    <row r="19" spans="1:28" ht="13.5" thickBot="1" x14ac:dyDescent="0.25">
      <c r="A19" s="284" t="s">
        <v>148</v>
      </c>
      <c r="B19" s="326">
        <f>Stä</f>
        <v>25</v>
      </c>
      <c r="C19" s="285">
        <f>stäb</f>
        <v>8</v>
      </c>
      <c r="E19" s="573"/>
      <c r="F19" s="574"/>
      <c r="G19" s="336"/>
      <c r="H19" s="336"/>
      <c r="I19" s="336"/>
      <c r="J19" s="336"/>
      <c r="K19" s="336"/>
      <c r="L19" s="336"/>
      <c r="M19" s="336"/>
      <c r="N19" s="336"/>
      <c r="O19" s="325"/>
      <c r="P19" s="325"/>
      <c r="Q19" s="325"/>
      <c r="R19" s="325"/>
      <c r="S19" s="282"/>
      <c r="T19" s="282"/>
      <c r="U19" s="282"/>
      <c r="V19" s="282"/>
    </row>
    <row r="20" spans="1:28" x14ac:dyDescent="0.2">
      <c r="A20" s="327" t="s">
        <v>702</v>
      </c>
      <c r="B20" s="300">
        <f>sprintE</f>
        <v>11.29</v>
      </c>
      <c r="C20" s="269" t="s">
        <v>1098</v>
      </c>
      <c r="E20" s="575"/>
      <c r="F20" s="576"/>
      <c r="G20" s="336"/>
      <c r="H20" s="336"/>
      <c r="I20" s="336"/>
      <c r="J20" s="336"/>
      <c r="K20" s="336"/>
      <c r="L20" s="336"/>
      <c r="M20" s="336"/>
      <c r="N20" s="336"/>
      <c r="O20" s="282"/>
      <c r="P20" s="282"/>
      <c r="Q20" s="282"/>
      <c r="R20" s="282"/>
      <c r="S20" s="282"/>
      <c r="T20" s="282"/>
      <c r="U20" s="282"/>
      <c r="V20" s="282"/>
    </row>
    <row r="21" spans="1:28" x14ac:dyDescent="0.2">
      <c r="A21" s="328" t="s">
        <v>1099</v>
      </c>
      <c r="B21" s="307">
        <f>dauerE</f>
        <v>8.4499999999999993</v>
      </c>
      <c r="C21" s="279" t="s">
        <v>1098</v>
      </c>
      <c r="E21" s="565"/>
      <c r="F21" s="566"/>
      <c r="G21" s="392"/>
      <c r="H21" s="336"/>
      <c r="I21" s="336"/>
      <c r="J21" s="336"/>
      <c r="K21" s="336"/>
      <c r="L21" s="336"/>
      <c r="M21" s="336"/>
      <c r="N21" s="336"/>
      <c r="O21" s="282"/>
      <c r="P21" s="282"/>
      <c r="Q21" s="282"/>
      <c r="R21" s="282"/>
      <c r="S21" s="282"/>
      <c r="T21" s="282"/>
      <c r="U21" s="282"/>
      <c r="V21" s="282"/>
    </row>
    <row r="22" spans="1:28" ht="13.5" thickBot="1" x14ac:dyDescent="0.25">
      <c r="A22" s="328" t="s">
        <v>1100</v>
      </c>
      <c r="B22" s="307">
        <f>hochsp</f>
        <v>1.28</v>
      </c>
      <c r="C22" s="279" t="s">
        <v>109</v>
      </c>
      <c r="E22" s="290"/>
      <c r="F22" s="290"/>
      <c r="G22" s="290"/>
      <c r="H22" s="290"/>
      <c r="I22" s="290"/>
      <c r="J22" s="290"/>
      <c r="K22" s="290"/>
      <c r="L22" s="290"/>
      <c r="M22" s="290"/>
      <c r="N22" s="290"/>
      <c r="O22" s="290"/>
      <c r="P22" s="290"/>
      <c r="Q22" s="290"/>
      <c r="R22" s="290"/>
      <c r="S22" s="290"/>
      <c r="T22" s="290"/>
    </row>
    <row r="23" spans="1:28" ht="13.5" thickBot="1" x14ac:dyDescent="0.25">
      <c r="A23" s="329" t="s">
        <v>1101</v>
      </c>
      <c r="B23" s="326">
        <f>weitsp</f>
        <v>9.5</v>
      </c>
      <c r="C23" s="285" t="s">
        <v>109</v>
      </c>
      <c r="E23" s="330" t="s">
        <v>108</v>
      </c>
      <c r="F23" s="331">
        <f>ausdauerw</f>
        <v>212</v>
      </c>
      <c r="G23" s="332"/>
      <c r="H23" s="332"/>
      <c r="I23" s="332"/>
      <c r="J23" s="332"/>
      <c r="K23" s="332"/>
      <c r="L23" s="332"/>
      <c r="M23" s="332"/>
      <c r="N23" s="332"/>
      <c r="O23" s="332"/>
      <c r="P23" s="332"/>
      <c r="Q23" s="332"/>
      <c r="R23" s="332"/>
      <c r="S23" s="332"/>
      <c r="T23" s="332"/>
      <c r="U23" s="332"/>
      <c r="V23" s="306"/>
    </row>
    <row r="24" spans="1:28" x14ac:dyDescent="0.2">
      <c r="A24" s="333" t="s">
        <v>1102</v>
      </c>
      <c r="B24" s="334"/>
      <c r="C24" s="335">
        <f>gefins+Sin</f>
        <v>31</v>
      </c>
      <c r="D24" s="290"/>
      <c r="E24" s="286" t="s">
        <v>0</v>
      </c>
      <c r="F24" s="336">
        <f>mn-SUM(G24:V24)</f>
        <v>165</v>
      </c>
      <c r="G24" s="337"/>
      <c r="H24" s="337"/>
      <c r="I24" s="337"/>
      <c r="J24" s="337"/>
      <c r="K24" s="337"/>
      <c r="L24" s="337"/>
      <c r="M24" s="337"/>
      <c r="N24" s="337"/>
      <c r="O24" s="337"/>
      <c r="P24" s="337"/>
      <c r="Q24" s="337"/>
      <c r="R24" s="337"/>
      <c r="S24" s="337"/>
      <c r="T24" s="337"/>
      <c r="U24" s="337"/>
      <c r="V24" s="314"/>
    </row>
    <row r="25" spans="1:28" x14ac:dyDescent="0.2">
      <c r="A25" s="338" t="s">
        <v>1103</v>
      </c>
      <c r="C25" s="339">
        <f>gefins</f>
        <v>10</v>
      </c>
      <c r="D25" s="290"/>
      <c r="E25" s="340" t="s">
        <v>176</v>
      </c>
      <c r="F25" s="336">
        <f>mk</f>
        <v>92</v>
      </c>
      <c r="G25" s="337"/>
      <c r="H25" s="337"/>
      <c r="I25" s="337"/>
      <c r="J25" s="337"/>
      <c r="K25" s="337"/>
      <c r="L25" s="337"/>
      <c r="M25" s="337"/>
      <c r="N25" s="337"/>
      <c r="O25" s="337"/>
      <c r="P25" s="337"/>
      <c r="Q25" s="337"/>
      <c r="R25" s="337"/>
      <c r="S25" s="337"/>
      <c r="T25" s="337"/>
      <c r="U25" s="337"/>
      <c r="V25" s="314"/>
    </row>
    <row r="26" spans="1:28" ht="13.5" thickBot="1" x14ac:dyDescent="0.25">
      <c r="A26" s="338" t="s">
        <v>73</v>
      </c>
      <c r="C26" s="339">
        <f>AW</f>
        <v>12</v>
      </c>
      <c r="D26" s="290"/>
      <c r="E26" s="341" t="s">
        <v>1093</v>
      </c>
      <c r="F26" s="342">
        <f>ROUNDUP(((bekopf+betorso+bearme+bebeine)-ROUNDUP((ROUNDUP(Kon/5,0)+Stä)/2,0)-RS)/6,0)</f>
        <v>-3</v>
      </c>
      <c r="G26" s="343"/>
      <c r="H26" s="343"/>
      <c r="I26" s="343"/>
      <c r="J26" s="343"/>
      <c r="K26" s="343"/>
      <c r="L26" s="343"/>
      <c r="M26" s="343"/>
      <c r="N26" s="343"/>
      <c r="O26" s="343"/>
      <c r="P26" s="343"/>
      <c r="Q26" s="343"/>
      <c r="R26" s="343"/>
      <c r="S26" s="343"/>
      <c r="T26" s="343"/>
      <c r="U26" s="343"/>
      <c r="V26" s="322"/>
    </row>
    <row r="27" spans="1:28" ht="13.5" thickBot="1" x14ac:dyDescent="0.25">
      <c r="A27" s="338" t="s">
        <v>604</v>
      </c>
      <c r="C27" s="339">
        <f>Konzentration</f>
        <v>12</v>
      </c>
      <c r="D27" s="290"/>
      <c r="AB27" s="344"/>
    </row>
    <row r="28" spans="1:28" ht="13.5" thickBot="1" x14ac:dyDescent="0.25">
      <c r="A28" s="338" t="s">
        <v>603</v>
      </c>
      <c r="C28" s="339">
        <f>'[1]NPC-Rechner'!S89</f>
        <v>0</v>
      </c>
      <c r="D28" s="290"/>
      <c r="I28" s="291" t="s">
        <v>1083</v>
      </c>
      <c r="J28" s="292">
        <f>vit+5</f>
        <v>19</v>
      </c>
      <c r="L28" s="399" t="s">
        <v>1188</v>
      </c>
      <c r="M28" s="400" t="s">
        <v>1084</v>
      </c>
      <c r="N28" s="400"/>
      <c r="O28" s="400" t="s">
        <v>130</v>
      </c>
      <c r="P28" s="295"/>
    </row>
    <row r="29" spans="1:28" ht="13.5" thickBot="1" x14ac:dyDescent="0.25">
      <c r="A29" s="345" t="s">
        <v>605</v>
      </c>
      <c r="B29" s="346"/>
      <c r="C29" s="347">
        <f>'[1]NPC-Rechner'!S90</f>
        <v>0</v>
      </c>
      <c r="D29" s="290"/>
      <c r="F29" s="290" t="s">
        <v>1084</v>
      </c>
      <c r="H29" s="379"/>
    </row>
    <row r="30" spans="1:28" ht="13.5" thickBot="1" x14ac:dyDescent="0.25">
      <c r="A30" s="393" t="s">
        <v>1104</v>
      </c>
      <c r="B30" s="394"/>
      <c r="C30" s="394"/>
      <c r="E30" s="386" t="s">
        <v>74</v>
      </c>
      <c r="F30" s="383">
        <f>rskopf</f>
        <v>12</v>
      </c>
      <c r="G30" s="376">
        <f>LEkopf-IF(H30&gt;0,H30-$F30,0)-IF(I30&gt;0,I30-$F30,0)-IF(J30&gt;0,J30-$F30,0)-IF(K30&gt;0,K30-$F30,0)-IF(L30&gt;0,L30-$F30,0)-IF(M30&gt;0,M30-$F30,0)-IF(N30&gt;0,N30-$F30,0)-IF(M30&gt;0,M30-$F30,0)-IF(O30&gt;0,O30-$F30,0)-IF(P30&gt;0,P30-$F30,0)-IF(Q30&gt;0,Q30-$F30,0)-IF(R30&gt;0,R30-$F30,0)-IF(S30&gt;0,S30-$F30,0)-IF(T30&gt;0,T30-$F30,0)-IF(U30&gt;0,U30-$F30,0)-IF(V30&gt;0,V30-$F30,0)</f>
        <v>28</v>
      </c>
      <c r="H30" s="330"/>
      <c r="I30" s="332"/>
      <c r="J30" s="332"/>
      <c r="K30" s="332"/>
      <c r="L30" s="332"/>
      <c r="M30" s="332"/>
      <c r="N30" s="332"/>
      <c r="O30" s="332"/>
      <c r="P30" s="332"/>
      <c r="Q30" s="332"/>
      <c r="R30" s="332"/>
      <c r="S30" s="332"/>
      <c r="T30" s="332"/>
      <c r="U30" s="332"/>
      <c r="V30" s="332"/>
    </row>
    <row r="31" spans="1:28" x14ac:dyDescent="0.2">
      <c r="A31" s="393" t="s">
        <v>1105</v>
      </c>
      <c r="B31" s="394"/>
      <c r="C31" s="394"/>
      <c r="E31" s="387" t="s">
        <v>75</v>
      </c>
      <c r="F31" s="384">
        <f>rstorso</f>
        <v>12</v>
      </c>
      <c r="G31" s="376">
        <f>LEbrust-IF(H31&gt;0,H31-$F31,0)-IF(I31&gt;0,I31-$F31,0)-IF(J31&gt;0,J31-$F31,0)-IF(K31&gt;0,K31-$F31,0)-IF(L31&gt;0,L31-$F31,0)-IF(M31&gt;0,M31-$F31,0)-IF(N31&gt;0,N31-$F31,0)-IF(M31&gt;0,M31-$F31,0)-IF(O31&gt;0,O31-$F31,0)-IF(P31&gt;0,P31-$F31,0)-IF(Q31&gt;0,Q31-$F31,0)-IF(R31&gt;0,R31-$F31,0)-IF(S31&gt;0,S31-$F31,0)-IF(T31&gt;0,T31-$F31,0)-IF(U31&gt;0,U31-$F31,0)-IF(V31&gt;0,V31-$F31,0)</f>
        <v>41</v>
      </c>
      <c r="H31" s="286"/>
      <c r="I31" s="337"/>
      <c r="J31" s="337"/>
      <c r="K31" s="337"/>
      <c r="L31" s="337"/>
      <c r="M31" s="337"/>
      <c r="N31" s="337"/>
      <c r="O31" s="337"/>
      <c r="P31" s="337"/>
      <c r="Q31" s="337"/>
      <c r="R31" s="337"/>
      <c r="S31" s="337"/>
      <c r="T31" s="337"/>
      <c r="U31" s="337"/>
      <c r="V31" s="337"/>
    </row>
    <row r="32" spans="1:28" x14ac:dyDescent="0.2">
      <c r="A32" s="393" t="s">
        <v>1106</v>
      </c>
      <c r="B32" s="394"/>
      <c r="C32" s="394"/>
      <c r="E32" s="387" t="s">
        <v>76</v>
      </c>
      <c r="F32" s="384">
        <f>rstorso</f>
        <v>12</v>
      </c>
      <c r="G32" s="381">
        <f>LEunter</f>
        <v>34</v>
      </c>
      <c r="H32" s="286"/>
      <c r="I32" s="337"/>
      <c r="J32" s="337"/>
      <c r="K32" s="337"/>
      <c r="L32" s="337"/>
      <c r="M32" s="337"/>
      <c r="N32" s="337"/>
      <c r="O32" s="337"/>
      <c r="P32" s="337"/>
      <c r="Q32" s="337"/>
      <c r="R32" s="337"/>
      <c r="S32" s="337"/>
      <c r="T32" s="337"/>
      <c r="U32" s="337"/>
      <c r="V32" s="337"/>
    </row>
    <row r="33" spans="1:22" x14ac:dyDescent="0.2">
      <c r="A33" s="393" t="s">
        <v>1107</v>
      </c>
      <c r="B33" s="394"/>
      <c r="C33" s="394"/>
      <c r="E33" s="387" t="s">
        <v>1108</v>
      </c>
      <c r="F33" s="384">
        <f>rsarme</f>
        <v>12</v>
      </c>
      <c r="G33" s="377">
        <f>LElarm</f>
        <v>27</v>
      </c>
      <c r="H33" s="286"/>
      <c r="I33" s="337"/>
      <c r="J33" s="337"/>
      <c r="K33" s="337"/>
      <c r="L33" s="337"/>
      <c r="M33" s="337"/>
      <c r="N33" s="337"/>
      <c r="O33" s="337"/>
      <c r="P33" s="337"/>
      <c r="Q33" s="337"/>
      <c r="R33" s="337"/>
      <c r="S33" s="337"/>
      <c r="T33" s="337"/>
      <c r="U33" s="337"/>
      <c r="V33" s="337"/>
    </row>
    <row r="34" spans="1:22" x14ac:dyDescent="0.2">
      <c r="A34" s="393" t="s">
        <v>1109</v>
      </c>
      <c r="B34" s="394"/>
      <c r="C34" s="394"/>
      <c r="E34" s="387" t="s">
        <v>1110</v>
      </c>
      <c r="F34" s="384">
        <f>rsarme</f>
        <v>12</v>
      </c>
      <c r="G34" s="377">
        <f>LErarm</f>
        <v>27</v>
      </c>
      <c r="H34" s="286"/>
      <c r="I34" s="337"/>
      <c r="J34" s="337"/>
      <c r="K34" s="337"/>
      <c r="L34" s="337"/>
      <c r="M34" s="337"/>
      <c r="N34" s="337"/>
      <c r="O34" s="337"/>
      <c r="P34" s="337"/>
      <c r="Q34" s="337"/>
      <c r="R34" s="337"/>
      <c r="S34" s="337"/>
      <c r="T34" s="337"/>
      <c r="U34" s="337"/>
      <c r="V34" s="337"/>
    </row>
    <row r="35" spans="1:22" x14ac:dyDescent="0.2">
      <c r="A35" s="393" t="s">
        <v>1111</v>
      </c>
      <c r="B35" s="394"/>
      <c r="C35" s="394"/>
      <c r="E35" s="387" t="s">
        <v>1112</v>
      </c>
      <c r="F35" s="384">
        <f>rsbeine</f>
        <v>12</v>
      </c>
      <c r="G35" s="377">
        <f>lelbein</f>
        <v>46</v>
      </c>
      <c r="H35" s="286"/>
      <c r="I35" s="337"/>
      <c r="J35" s="337"/>
      <c r="K35" s="337"/>
      <c r="L35" s="337"/>
      <c r="M35" s="337"/>
      <c r="N35" s="337"/>
      <c r="O35" s="337"/>
      <c r="P35" s="337"/>
      <c r="Q35" s="337"/>
      <c r="R35" s="337"/>
      <c r="S35" s="337"/>
      <c r="T35" s="337"/>
      <c r="U35" s="337"/>
      <c r="V35" s="337"/>
    </row>
    <row r="36" spans="1:22" ht="13.5" thickBot="1" x14ac:dyDescent="0.25">
      <c r="E36" s="388" t="s">
        <v>1113</v>
      </c>
      <c r="F36" s="385">
        <f>rsbeine</f>
        <v>12</v>
      </c>
      <c r="G36" s="378">
        <f>lerbein</f>
        <v>46</v>
      </c>
      <c r="H36" s="286"/>
      <c r="I36" s="337"/>
      <c r="J36" s="337"/>
      <c r="K36" s="337"/>
      <c r="L36" s="337"/>
      <c r="M36" s="337"/>
      <c r="N36" s="337"/>
      <c r="O36" s="337"/>
      <c r="P36" s="337"/>
      <c r="Q36" s="337"/>
      <c r="R36" s="337"/>
      <c r="S36" s="337"/>
      <c r="T36" s="337"/>
      <c r="U36" s="337"/>
      <c r="V36" s="337"/>
    </row>
    <row r="37" spans="1:22" ht="13.5" thickBot="1" x14ac:dyDescent="0.25">
      <c r="E37" s="389" t="s">
        <v>145</v>
      </c>
      <c r="F37" s="379"/>
      <c r="G37" s="382">
        <f>gesundheit</f>
        <v>46</v>
      </c>
      <c r="H37" s="287"/>
      <c r="I37" s="343"/>
      <c r="J37" s="343"/>
      <c r="K37" s="343"/>
      <c r="L37" s="343"/>
      <c r="M37" s="343"/>
      <c r="N37" s="343"/>
      <c r="O37" s="343"/>
      <c r="P37" s="343"/>
      <c r="Q37" s="343"/>
      <c r="R37" s="343"/>
      <c r="S37" s="343"/>
      <c r="T37" s="343"/>
      <c r="U37" s="343"/>
      <c r="V37" s="343"/>
    </row>
    <row r="45" spans="1:22" ht="15" x14ac:dyDescent="0.2">
      <c r="A45" s="348"/>
      <c r="B45" s="349"/>
      <c r="C45" s="349"/>
      <c r="D45" s="349"/>
      <c r="E45" s="349"/>
      <c r="F45" s="349"/>
      <c r="G45" s="349"/>
      <c r="H45" s="350"/>
      <c r="I45" s="349"/>
      <c r="J45" s="349"/>
      <c r="K45" s="351"/>
      <c r="L45" s="349"/>
      <c r="M45" s="351"/>
      <c r="N45" s="349"/>
      <c r="O45" s="349"/>
      <c r="P45" s="349"/>
      <c r="Q45" s="352"/>
      <c r="R45" s="349"/>
      <c r="S45" s="349"/>
      <c r="T45" s="349"/>
    </row>
  </sheetData>
  <mergeCells count="7">
    <mergeCell ref="E21:F21"/>
    <mergeCell ref="O1:V6"/>
    <mergeCell ref="E16:F16"/>
    <mergeCell ref="E17:F17"/>
    <mergeCell ref="E18:F18"/>
    <mergeCell ref="E19:F19"/>
    <mergeCell ref="E20:F20"/>
  </mergeCells>
  <pageMargins left="0.23622047244094488" right="0.25" top="0.23622047244094488" bottom="0.23622047244094488" header="0" footer="0"/>
  <pageSetup paperSize="9" orientation="landscape" horizont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97"/>
  <sheetViews>
    <sheetView topLeftCell="A24" workbookViewId="0">
      <selection activeCell="B5" sqref="B5"/>
    </sheetView>
  </sheetViews>
  <sheetFormatPr baseColWidth="10" defaultColWidth="9.140625" defaultRowHeight="15" x14ac:dyDescent="0.25"/>
  <cols>
    <col min="1" max="1" width="16.140625" customWidth="1"/>
    <col min="2" max="2" width="24.140625" bestFit="1" customWidth="1"/>
    <col min="3" max="3" width="17.7109375" bestFit="1" customWidth="1"/>
    <col min="4" max="4" width="17" bestFit="1" customWidth="1"/>
    <col min="5" max="5" width="7.7109375" customWidth="1"/>
    <col min="6" max="7" width="10.140625" customWidth="1"/>
    <col min="8" max="8" width="4.28515625" customWidth="1"/>
    <col min="9" max="9" width="4.140625" customWidth="1"/>
  </cols>
  <sheetData>
    <row r="1" spans="1:14" x14ac:dyDescent="0.25">
      <c r="A1" s="353"/>
      <c r="B1" s="354" t="s">
        <v>1075</v>
      </c>
      <c r="C1" s="354" t="s">
        <v>1114</v>
      </c>
      <c r="D1" s="354" t="s">
        <v>1115</v>
      </c>
      <c r="E1" s="354" t="s">
        <v>1084</v>
      </c>
      <c r="F1" s="354" t="s">
        <v>1093</v>
      </c>
      <c r="G1" s="354" t="s">
        <v>1116</v>
      </c>
      <c r="H1" s="354" t="s">
        <v>1117</v>
      </c>
      <c r="I1" s="355" t="s">
        <v>61</v>
      </c>
    </row>
    <row r="2" spans="1:14" x14ac:dyDescent="0.25">
      <c r="A2" s="356" t="s">
        <v>1118</v>
      </c>
      <c r="B2" s="357" t="s">
        <v>1119</v>
      </c>
      <c r="C2" s="357" t="s">
        <v>1137</v>
      </c>
      <c r="D2" s="357" t="s">
        <v>1133</v>
      </c>
      <c r="E2" s="357">
        <f>IF(B2="Keine Rüstung",0,(VLOOKUP(B2,$A$43:$H$67,3,FALSE)+VLOOKUP(C2,$K$51:$Q$54,3,FALSE)))</f>
        <v>5</v>
      </c>
      <c r="F2" s="357">
        <f>IF(B2="Keine Rüstung",0,IF(SUM(VLOOKUP(B2,$A$43:$H$67,4,FALSE)+VLOOKUP(D2,$K$57:$Q$60,4,FALSE)+VLOOKUP(C2,$K$51:$Q$54,4,FALSE))&lt;=VLOOKUP(B2,$A$43:$H$67,2,FALSE),VLOOKUP(B2,$A$43:$H$67,2,FALSE),SUM(VLOOKUP(B2,$A$43:$H$67,4,FALSE)+VLOOKUP(D2,$K$57:$Q$60,4,FALSE)+VLOOKUP(C2,$K$51:$Q$54,4,FALSE))))</f>
        <v>1</v>
      </c>
      <c r="G2" s="358">
        <f>VLOOKUP(B2,$A$44:$I$67,8,FALSE)+VLOOKUP(C2,$K$51:$R$54,8,FALSE)*(VLOOKUP(B2,$A$44:$I$67,9,FALSE)+VLOOKUP(D2,$K$56:$R$60,8,FALSE))</f>
        <v>758</v>
      </c>
      <c r="H2" s="357">
        <f>MAX(VLOOKUP(B2,$A$44:$G$67,6,FALSE),VLOOKUP(C2,$K$51:$Q$54,6,FALSE),VLOOKUP(D2,$K$57:$Q$60,6,FALSE))</f>
        <v>7</v>
      </c>
      <c r="I2" s="359">
        <f>MAX(VLOOKUP(B2,$A$44:$G$67,7,FALSE),VLOOKUP(C2,$K$51:$Q$54,7,FALSE),VLOOKUP(D2,$K$57:$Q$60,7,FALSE))</f>
        <v>7</v>
      </c>
    </row>
    <row r="3" spans="1:14" x14ac:dyDescent="0.25">
      <c r="A3" s="356" t="s">
        <v>1122</v>
      </c>
      <c r="B3" s="357" t="s">
        <v>1161</v>
      </c>
      <c r="C3" s="357" t="s">
        <v>1137</v>
      </c>
      <c r="D3" s="357" t="s">
        <v>1133</v>
      </c>
      <c r="E3" s="357">
        <f t="shared" ref="E3:E5" si="0">IF(B3="Keine Rüstung",0,(VLOOKUP(B3,$A$43:$H$67,3,FALSE)+VLOOKUP(C3,$K$51:$Q$54,3,FALSE)))</f>
        <v>7</v>
      </c>
      <c r="F3" s="357">
        <f t="shared" ref="F3:F5" si="1">IF(B3="Keine Rüstung",0,IF(SUM(VLOOKUP(B3,$A$43:$H$67,4,FALSE)+VLOOKUP(D3,$K$57:$Q$60,4,FALSE)+VLOOKUP(C3,$K$51:$Q$54,4,FALSE))&lt;=VLOOKUP(B3,$A$43:$H$67,2,FALSE),VLOOKUP(B3,$A$43:$H$67,2,FALSE),SUM(VLOOKUP(B3,$A$43:$H$67,4,FALSE)+VLOOKUP(D3,$K$57:$Q$60,4,FALSE)+VLOOKUP(C3,$K$51:$Q$54,4,FALSE))))</f>
        <v>2</v>
      </c>
      <c r="G3" s="358">
        <f t="shared" ref="G3:G5" si="2">VLOOKUP(B3,$A$44:$I$67,8,FALSE)+VLOOKUP(C3,$K$51:$R$54,8,FALSE)*(VLOOKUP(B3,$A$44:$I$67,9,FALSE)+VLOOKUP(D3,$K$56:$R$60,8,FALSE))</f>
        <v>900</v>
      </c>
      <c r="H3" s="357">
        <f>MAX(VLOOKUP(B3,$A$44:$G$67,6,FALSE),VLOOKUP(C3,$K$51:$Q$54,6,FALSE),VLOOKUP(D3,$K$57:$Q$60,6,FALSE))</f>
        <v>7</v>
      </c>
      <c r="I3" s="359">
        <f>MAX(VLOOKUP(B3,$A$44:$G$67,7,FALSE),VLOOKUP(C3,$K$51:$Q$54,7,FALSE),VLOOKUP(D3,$K$57:$Q$60,7,FALSE))</f>
        <v>7</v>
      </c>
    </row>
    <row r="4" spans="1:14" x14ac:dyDescent="0.25">
      <c r="A4" s="356" t="s">
        <v>1124</v>
      </c>
      <c r="B4" s="357" t="s">
        <v>1129</v>
      </c>
      <c r="C4" s="357" t="s">
        <v>1134</v>
      </c>
      <c r="D4" s="357" t="s">
        <v>1168</v>
      </c>
      <c r="E4" s="357">
        <f t="shared" si="0"/>
        <v>0</v>
      </c>
      <c r="F4" s="357">
        <f t="shared" si="1"/>
        <v>0</v>
      </c>
      <c r="G4" s="358">
        <f t="shared" si="2"/>
        <v>0</v>
      </c>
      <c r="H4" s="357">
        <f>MAX(VLOOKUP(B4,$A$44:$G$67,6,FALSE),VLOOKUP(C4,$K$51:$Q$54,6,FALSE),VLOOKUP(D4,$K$57:$Q$60,6,FALSE))</f>
        <v>1</v>
      </c>
      <c r="I4" s="359">
        <f>MAX(VLOOKUP(B4,$A$44:$G$67,7,FALSE),VLOOKUP(C4,$K$51:$Q$54,7,FALSE),VLOOKUP(D4,$K$57:$Q$60,7,FALSE))</f>
        <v>1</v>
      </c>
    </row>
    <row r="5" spans="1:14" x14ac:dyDescent="0.25">
      <c r="A5" s="356" t="s">
        <v>1126</v>
      </c>
      <c r="B5" s="357" t="s">
        <v>1129</v>
      </c>
      <c r="C5" s="357" t="s">
        <v>1134</v>
      </c>
      <c r="D5" s="357" t="s">
        <v>1168</v>
      </c>
      <c r="E5" s="357">
        <f t="shared" si="0"/>
        <v>0</v>
      </c>
      <c r="F5" s="357">
        <f t="shared" si="1"/>
        <v>0</v>
      </c>
      <c r="G5" s="358">
        <f t="shared" si="2"/>
        <v>0</v>
      </c>
      <c r="H5" s="357">
        <f>MAX(VLOOKUP(B5,$A$44:$G$67,6,FALSE),VLOOKUP(C5,$K$51:$Q$54,6,FALSE),VLOOKUP(D5,$K$57:$Q$60,6,FALSE))</f>
        <v>1</v>
      </c>
      <c r="I5" s="359">
        <f>MAX(VLOOKUP(B5,$A$44:$G$67,7,FALSE),VLOOKUP(C5,$K$51:$Q$54,7,FALSE),VLOOKUP(D5,$K$57:$Q$60,7,FALSE))</f>
        <v>1</v>
      </c>
    </row>
    <row r="6" spans="1:14" x14ac:dyDescent="0.25">
      <c r="A6" s="356" t="s">
        <v>1128</v>
      </c>
      <c r="B6" s="357" t="s">
        <v>1129</v>
      </c>
      <c r="C6" s="357"/>
      <c r="D6" s="357"/>
      <c r="E6" s="357">
        <f>VLOOKUP(B6,$K$44:$Q$48,3,FALSE)</f>
        <v>0</v>
      </c>
      <c r="F6" s="357">
        <f>VLOOKUP(B6,$K$44:$Q$48,3,FALSE)</f>
        <v>0</v>
      </c>
      <c r="G6" s="358">
        <f>VLOOKUP(B6,$K$44:$Q$48,5,FALSE)</f>
        <v>0</v>
      </c>
      <c r="H6" s="357">
        <f>VLOOKUP(B6,$K$44:$Q$48,6,FALSE)</f>
        <v>0</v>
      </c>
      <c r="I6" s="359">
        <f>VLOOKUP(B6,$K$44:$Q$48,6,FALSE)</f>
        <v>0</v>
      </c>
    </row>
    <row r="7" spans="1:14" ht="15.75" thickBot="1" x14ac:dyDescent="0.3">
      <c r="A7" s="360"/>
      <c r="B7" s="361"/>
      <c r="C7" s="361" t="str">
        <f>B1</f>
        <v>Kopf</v>
      </c>
      <c r="D7" s="361" t="s">
        <v>1130</v>
      </c>
      <c r="E7" s="361">
        <f>SUM(E2:E6)</f>
        <v>12</v>
      </c>
      <c r="F7" s="361">
        <f>SUM(F2:F6)</f>
        <v>3</v>
      </c>
      <c r="G7" s="362">
        <f>SUM(G2:G6)</f>
        <v>1658</v>
      </c>
      <c r="H7" s="361"/>
      <c r="I7" s="363"/>
    </row>
    <row r="8" spans="1:14" ht="15.75" thickBot="1" x14ac:dyDescent="0.3">
      <c r="G8" s="364"/>
    </row>
    <row r="9" spans="1:14" x14ac:dyDescent="0.25">
      <c r="A9" s="353"/>
      <c r="B9" s="354" t="s">
        <v>1079</v>
      </c>
      <c r="C9" s="354" t="s">
        <v>1114</v>
      </c>
      <c r="D9" s="354" t="s">
        <v>1115</v>
      </c>
      <c r="E9" s="354" t="s">
        <v>1084</v>
      </c>
      <c r="F9" s="354" t="s">
        <v>1093</v>
      </c>
      <c r="G9" s="365" t="s">
        <v>1116</v>
      </c>
      <c r="H9" s="354" t="s">
        <v>1117</v>
      </c>
      <c r="I9" s="355" t="s">
        <v>61</v>
      </c>
    </row>
    <row r="10" spans="1:14" ht="15.75" thickBot="1" x14ac:dyDescent="0.3">
      <c r="A10" s="356" t="s">
        <v>1118</v>
      </c>
      <c r="B10" s="357" t="s">
        <v>1119</v>
      </c>
      <c r="C10" s="357" t="s">
        <v>1137</v>
      </c>
      <c r="D10" s="357" t="s">
        <v>1133</v>
      </c>
      <c r="E10" s="357">
        <f>IF(B10="Keine Rüstung",0,(VLOOKUP(B10,$A$43:$H$67,3,FALSE)+VLOOKUP(C10,$K$51:$Q$54,3,FALSE)))</f>
        <v>5</v>
      </c>
      <c r="F10" s="357">
        <f>IF(B10="Keine Rüstung",0,IF(SUM(VLOOKUP(B10,$A$43:$H$67,4,FALSE)+VLOOKUP(D10,$K$57:$Q$60,4,FALSE)+VLOOKUP(C10,$K$51:$Q$54,4,FALSE))&lt;=VLOOKUP(B10,$A$43:$H$67,2,FALSE),VLOOKUP(B10,$A$43:$H$67,2,FALSE),SUM(VLOOKUP(B10,$A$43:$H$67,4,FALSE)+VLOOKUP(D10,$K$57:$Q$60,4,FALSE)+VLOOKUP(C10,$K$51:$Q$54,4,FALSE))))</f>
        <v>1</v>
      </c>
      <c r="G10" s="358">
        <f>VLOOKUP(B10,$A$44:$I$67,8,FALSE)+VLOOKUP(C10,$K$51:$R$54,8,FALSE)*(VLOOKUP(B10,$A$44:$I$67,9,FALSE)+VLOOKUP(D10,$K$56:$R$60,8,FALSE))</f>
        <v>758</v>
      </c>
      <c r="H10" s="357">
        <f>MAX(VLOOKUP(B10,$A$44:$G$67,6,FALSE),VLOOKUP(C10,$K$51:$Q$54,6,FALSE),VLOOKUP(D10,$K$57:$Q$60,6,FALSE))</f>
        <v>7</v>
      </c>
      <c r="I10" s="359">
        <f>MAX(VLOOKUP(B10,$A$44:$G$67,7,FALSE),VLOOKUP(C10,$K$51:$Q$54,7,FALSE),VLOOKUP(D10,$K$57:$Q$60,7,FALSE))</f>
        <v>7</v>
      </c>
    </row>
    <row r="11" spans="1:14" x14ac:dyDescent="0.25">
      <c r="A11" s="356" t="s">
        <v>1122</v>
      </c>
      <c r="B11" s="357" t="s">
        <v>1161</v>
      </c>
      <c r="C11" s="357" t="s">
        <v>1137</v>
      </c>
      <c r="D11" s="357" t="s">
        <v>1133</v>
      </c>
      <c r="E11" s="357">
        <f t="shared" ref="E11:E13" si="3">IF(B11="Keine Rüstung",0,(VLOOKUP(B11,$A$43:$H$67,3,FALSE)+VLOOKUP(C11,$K$51:$Q$54,3,FALSE)))</f>
        <v>7</v>
      </c>
      <c r="F11" s="357">
        <f t="shared" ref="F11:F13" si="4">IF(B11="Keine Rüstung",0,IF(SUM(VLOOKUP(B11,$A$43:$H$67,4,FALSE)+VLOOKUP(D11,$K$57:$Q$60,4,FALSE)+VLOOKUP(C11,$K$51:$Q$54,4,FALSE))&lt;=VLOOKUP(B11,$A$43:$H$67,2,FALSE),VLOOKUP(B11,$A$43:$H$67,2,FALSE),SUM(VLOOKUP(B11,$A$43:$H$67,4,FALSE)+VLOOKUP(D11,$K$57:$Q$60,4,FALSE)+VLOOKUP(C11,$K$51:$Q$54,4,FALSE))))</f>
        <v>2</v>
      </c>
      <c r="G11" s="358">
        <f t="shared" ref="G11:G13" si="5">VLOOKUP(B11,$A$44:$I$67,8,FALSE)+VLOOKUP(C11,$K$51:$R$54,8,FALSE)*(VLOOKUP(B11,$A$44:$I$67,9,FALSE)+VLOOKUP(D11,$K$56:$R$60,8,FALSE))</f>
        <v>900</v>
      </c>
      <c r="H11" s="357">
        <f>MAX(VLOOKUP(B11,$A$44:$G$67,6,FALSE),VLOOKUP(C11,$K$51:$Q$54,6,FALSE),VLOOKUP(D11,$K$57:$Q$60,6,FALSE))</f>
        <v>7</v>
      </c>
      <c r="I11" s="359">
        <f>MAX(VLOOKUP(B11,$A$44:$G$67,7,FALSE),VLOOKUP(C11,$K$51:$Q$54,7,FALSE),VLOOKUP(D11,$K$57:$Q$60,7,FALSE))</f>
        <v>7</v>
      </c>
      <c r="M11" s="366" t="s">
        <v>146</v>
      </c>
      <c r="N11" s="367">
        <f>Kon</f>
        <v>38</v>
      </c>
    </row>
    <row r="12" spans="1:14" x14ac:dyDescent="0.25">
      <c r="A12" s="356" t="s">
        <v>1124</v>
      </c>
      <c r="B12" s="357" t="s">
        <v>1129</v>
      </c>
      <c r="C12" s="357" t="s">
        <v>1134</v>
      </c>
      <c r="D12" s="357" t="s">
        <v>1168</v>
      </c>
      <c r="E12" s="357">
        <f t="shared" si="3"/>
        <v>0</v>
      </c>
      <c r="F12" s="357">
        <f t="shared" si="4"/>
        <v>0</v>
      </c>
      <c r="G12" s="358">
        <f t="shared" si="5"/>
        <v>0</v>
      </c>
      <c r="H12" s="357">
        <f>MAX(VLOOKUP(B12,$A$44:$G$67,6,FALSE),VLOOKUP(C12,$K$51:$Q$54,6,FALSE),VLOOKUP(D12,$K$57:$Q$60,6,FALSE))</f>
        <v>1</v>
      </c>
      <c r="I12" s="359">
        <f>MAX(VLOOKUP(B12,$A$44:$G$67,7,FALSE),VLOOKUP(C12,$K$51:$Q$54,7,FALSE),VLOOKUP(D12,$K$57:$Q$60,7,FALSE))</f>
        <v>1</v>
      </c>
      <c r="M12" s="368" t="s">
        <v>148</v>
      </c>
      <c r="N12" s="369">
        <f>Stä</f>
        <v>25</v>
      </c>
    </row>
    <row r="13" spans="1:14" x14ac:dyDescent="0.25">
      <c r="A13" s="356" t="s">
        <v>1126</v>
      </c>
      <c r="B13" s="357" t="s">
        <v>1129</v>
      </c>
      <c r="C13" s="357" t="s">
        <v>1134</v>
      </c>
      <c r="D13" s="357" t="s">
        <v>1168</v>
      </c>
      <c r="E13" s="357">
        <f t="shared" si="3"/>
        <v>0</v>
      </c>
      <c r="F13" s="357">
        <f t="shared" si="4"/>
        <v>0</v>
      </c>
      <c r="G13" s="358">
        <f t="shared" si="5"/>
        <v>0</v>
      </c>
      <c r="H13" s="357">
        <f>MAX(VLOOKUP(B13,$A$44:$G$67,6,FALSE),VLOOKUP(C13,$K$51:$Q$54,6,FALSE),VLOOKUP(D13,$K$57:$Q$60,6,FALSE))</f>
        <v>1</v>
      </c>
      <c r="I13" s="359">
        <f>MAX(VLOOKUP(B13,$A$44:$G$67,7,FALSE),VLOOKUP(C13,$K$51:$Q$54,7,FALSE),VLOOKUP(D13,$K$57:$Q$60,7,FALSE))</f>
        <v>1</v>
      </c>
      <c r="M13" s="368" t="s">
        <v>1</v>
      </c>
      <c r="N13" s="369">
        <f>RS</f>
        <v>12</v>
      </c>
    </row>
    <row r="14" spans="1:14" x14ac:dyDescent="0.25">
      <c r="A14" s="356" t="s">
        <v>1128</v>
      </c>
      <c r="B14" s="357" t="s">
        <v>1129</v>
      </c>
      <c r="C14" s="357"/>
      <c r="D14" s="357"/>
      <c r="E14" s="357">
        <f>VLOOKUP(B14,$K$44:$Q$48,3,FALSE)</f>
        <v>0</v>
      </c>
      <c r="F14" s="357">
        <f>VLOOKUP(B14,$K$44:$Q$48,3,FALSE)</f>
        <v>0</v>
      </c>
      <c r="G14" s="358">
        <f>VLOOKUP(B14,$K$44:$Q$48,5,FALSE)</f>
        <v>0</v>
      </c>
      <c r="H14" s="357">
        <f>VLOOKUP(B14,$K$44:$Q$48,6,FALSE)</f>
        <v>0</v>
      </c>
      <c r="I14" s="359">
        <f>VLOOKUP(B14,$K$44:$Q$48,6,FALSE)</f>
        <v>0</v>
      </c>
      <c r="M14" s="370"/>
      <c r="N14" s="371">
        <f>ROUNDUP((ROUNDUP(Kon/5,0)+Stä)/2,0)+RS</f>
        <v>29</v>
      </c>
    </row>
    <row r="15" spans="1:14" ht="15.75" thickBot="1" x14ac:dyDescent="0.3">
      <c r="A15" s="360"/>
      <c r="B15" s="361"/>
      <c r="C15" s="361" t="str">
        <f>B9</f>
        <v>Torso</v>
      </c>
      <c r="D15" s="361" t="s">
        <v>1130</v>
      </c>
      <c r="E15" s="361">
        <f>SUM(E10:E14)</f>
        <v>12</v>
      </c>
      <c r="F15" s="361">
        <f>SUM(F10:F14)</f>
        <v>3</v>
      </c>
      <c r="G15" s="362">
        <f>SUM(G10:G14)</f>
        <v>1658</v>
      </c>
      <c r="H15" s="361"/>
      <c r="I15" s="363"/>
      <c r="M15" s="368" t="s">
        <v>1138</v>
      </c>
      <c r="N15" s="369">
        <f>F34-N14</f>
        <v>-17</v>
      </c>
    </row>
    <row r="16" spans="1:14" ht="15.75" thickBot="1" x14ac:dyDescent="0.3">
      <c r="G16" s="364"/>
      <c r="M16" s="372" t="s">
        <v>1093</v>
      </c>
      <c r="N16" s="373">
        <f>ROUNDUP(N15/6,0)</f>
        <v>-3</v>
      </c>
    </row>
    <row r="17" spans="1:9" x14ac:dyDescent="0.25">
      <c r="A17" s="353"/>
      <c r="B17" s="354" t="s">
        <v>1139</v>
      </c>
      <c r="C17" s="354" t="s">
        <v>1114</v>
      </c>
      <c r="D17" s="354" t="s">
        <v>1115</v>
      </c>
      <c r="E17" s="354" t="s">
        <v>1084</v>
      </c>
      <c r="F17" s="354" t="s">
        <v>1093</v>
      </c>
      <c r="G17" s="365" t="s">
        <v>1116</v>
      </c>
      <c r="H17" s="354" t="s">
        <v>1117</v>
      </c>
      <c r="I17" s="355" t="s">
        <v>61</v>
      </c>
    </row>
    <row r="18" spans="1:9" x14ac:dyDescent="0.25">
      <c r="A18" s="356" t="s">
        <v>1118</v>
      </c>
      <c r="B18" s="357" t="s">
        <v>1119</v>
      </c>
      <c r="C18" s="357" t="s">
        <v>1137</v>
      </c>
      <c r="D18" s="357" t="s">
        <v>1133</v>
      </c>
      <c r="E18" s="357">
        <f>IF(B18="Keine Rüstung",0,(VLOOKUP(B18,$A$43:$H$67,3,FALSE)+VLOOKUP(C18,$K$51:$Q$54,3,FALSE)))</f>
        <v>5</v>
      </c>
      <c r="F18" s="357">
        <f>IF(B18="Keine Rüstung",0,IF(SUM(VLOOKUP(B18,$A$43:$H$67,4,FALSE)+VLOOKUP(D18,$K$57:$Q$60,4,FALSE)+VLOOKUP(C18,$K$51:$Q$54,4,FALSE))&lt;=VLOOKUP(B18,$A$43:$H$67,2,FALSE),VLOOKUP(B18,$A$43:$H$67,2,FALSE),SUM(VLOOKUP(B18,$A$43:$H$67,4,FALSE)+VLOOKUP(D18,$K$57:$Q$60,4,FALSE)+VLOOKUP(C18,$K$51:$Q$54,4,FALSE))))</f>
        <v>1</v>
      </c>
      <c r="G18" s="358">
        <f t="shared" ref="G18:G21" si="6">VLOOKUP(B18,$A$44:$I$67,8,FALSE)+VLOOKUP(C18,$K$51:$R$54,8,FALSE)*(VLOOKUP(B18,$A$44:$I$67,9,FALSE)+VLOOKUP(D18,$K$56:$R$60,8,FALSE))</f>
        <v>758</v>
      </c>
      <c r="H18" s="357">
        <f>MAX(VLOOKUP(B18,$A$44:$G$67,6,FALSE),VLOOKUP(C18,$K$51:$Q$54,6,FALSE),VLOOKUP(D18,$K$57:$Q$60,6,FALSE))</f>
        <v>7</v>
      </c>
      <c r="I18" s="359">
        <f>MAX(VLOOKUP(B18,$A$44:$G$67,7,FALSE),VLOOKUP(C18,$K$51:$Q$54,7,FALSE),VLOOKUP(D18,$K$57:$Q$60,7,FALSE))</f>
        <v>7</v>
      </c>
    </row>
    <row r="19" spans="1:9" x14ac:dyDescent="0.25">
      <c r="A19" s="356" t="s">
        <v>1122</v>
      </c>
      <c r="B19" s="357" t="s">
        <v>1161</v>
      </c>
      <c r="C19" s="357" t="s">
        <v>1137</v>
      </c>
      <c r="D19" s="357" t="s">
        <v>1133</v>
      </c>
      <c r="E19" s="357">
        <f t="shared" ref="E19:E21" si="7">IF(B19="Keine Rüstung",0,(VLOOKUP(B19,$A$43:$H$67,3,FALSE)+VLOOKUP(C19,$K$51:$Q$54,3,FALSE)))</f>
        <v>7</v>
      </c>
      <c r="F19" s="357">
        <f t="shared" ref="F19:F21" si="8">IF(B19="Keine Rüstung",0,IF(SUM(VLOOKUP(B19,$A$43:$H$67,4,FALSE)+VLOOKUP(D19,$K$57:$Q$60,4,FALSE)+VLOOKUP(C19,$K$51:$Q$54,4,FALSE))&lt;=VLOOKUP(B19,$A$43:$H$67,2,FALSE),VLOOKUP(B19,$A$43:$H$67,2,FALSE),SUM(VLOOKUP(B19,$A$43:$H$67,4,FALSE)+VLOOKUP(D19,$K$57:$Q$60,4,FALSE)+VLOOKUP(C19,$K$51:$Q$54,4,FALSE))))</f>
        <v>2</v>
      </c>
      <c r="G19" s="358">
        <f t="shared" si="6"/>
        <v>900</v>
      </c>
      <c r="H19" s="357">
        <f>MAX(VLOOKUP(B19,$A$44:$G$67,6,FALSE),VLOOKUP(C19,$K$51:$Q$54,6,FALSE),VLOOKUP(D19,$K$57:$Q$60,6,FALSE))</f>
        <v>7</v>
      </c>
      <c r="I19" s="359">
        <f>MAX(VLOOKUP(B19,$A$44:$G$67,7,FALSE),VLOOKUP(C19,$K$51:$Q$54,7,FALSE),VLOOKUP(D19,$K$57:$Q$60,7,FALSE))</f>
        <v>7</v>
      </c>
    </row>
    <row r="20" spans="1:9" x14ac:dyDescent="0.25">
      <c r="A20" s="356" t="s">
        <v>1124</v>
      </c>
      <c r="B20" s="357" t="s">
        <v>1129</v>
      </c>
      <c r="C20" s="357" t="s">
        <v>1134</v>
      </c>
      <c r="D20" s="357" t="s">
        <v>1168</v>
      </c>
      <c r="E20" s="357">
        <f t="shared" si="7"/>
        <v>0</v>
      </c>
      <c r="F20" s="357">
        <f t="shared" si="8"/>
        <v>0</v>
      </c>
      <c r="G20" s="358">
        <f t="shared" si="6"/>
        <v>0</v>
      </c>
      <c r="H20" s="357">
        <f>MAX(VLOOKUP(B20,$A$44:$G$67,6,FALSE),VLOOKUP(C20,$K$51:$Q$54,6,FALSE),VLOOKUP(D20,$K$57:$Q$60,6,FALSE))</f>
        <v>1</v>
      </c>
      <c r="I20" s="359">
        <f>MAX(VLOOKUP(B20,$A$44:$G$67,7,FALSE),VLOOKUP(C20,$K$51:$Q$54,7,FALSE),VLOOKUP(D20,$K$57:$Q$60,7,FALSE))</f>
        <v>1</v>
      </c>
    </row>
    <row r="21" spans="1:9" x14ac:dyDescent="0.25">
      <c r="A21" s="356" t="s">
        <v>1126</v>
      </c>
      <c r="B21" s="357" t="s">
        <v>1129</v>
      </c>
      <c r="C21" s="357" t="s">
        <v>1134</v>
      </c>
      <c r="D21" s="357" t="s">
        <v>1168</v>
      </c>
      <c r="E21" s="357">
        <f t="shared" si="7"/>
        <v>0</v>
      </c>
      <c r="F21" s="357">
        <f t="shared" si="8"/>
        <v>0</v>
      </c>
      <c r="G21" s="358">
        <f t="shared" si="6"/>
        <v>0</v>
      </c>
      <c r="H21" s="357">
        <f>MAX(VLOOKUP(B21,$A$44:$G$67,6,FALSE),VLOOKUP(C21,$K$51:$Q$54,6,FALSE),VLOOKUP(D21,$K$57:$Q$60,6,FALSE))</f>
        <v>1</v>
      </c>
      <c r="I21" s="359">
        <f>MAX(VLOOKUP(B21,$A$44:$G$67,7,FALSE),VLOOKUP(C21,$K$51:$Q$54,7,FALSE),VLOOKUP(D21,$K$57:$Q$60,7,FALSE))</f>
        <v>1</v>
      </c>
    </row>
    <row r="22" spans="1:9" x14ac:dyDescent="0.25">
      <c r="A22" s="356" t="s">
        <v>1128</v>
      </c>
      <c r="B22" s="357" t="s">
        <v>1129</v>
      </c>
      <c r="C22" s="357"/>
      <c r="D22" s="357"/>
      <c r="E22" s="357">
        <f>VLOOKUP(B22,$K$44:$Q$48,3,FALSE)</f>
        <v>0</v>
      </c>
      <c r="F22" s="357">
        <f>VLOOKUP(B22,$K$44:$Q$48,3,FALSE)</f>
        <v>0</v>
      </c>
      <c r="G22" s="358">
        <f>VLOOKUP(B22,$K$44:$Q$48,5,FALSE)</f>
        <v>0</v>
      </c>
      <c r="H22" s="357">
        <f>VLOOKUP(B22,$K$44:$Q$48,6,FALSE)</f>
        <v>0</v>
      </c>
      <c r="I22" s="359">
        <f>VLOOKUP(B22,$K$44:$Q$48,6,FALSE)</f>
        <v>0</v>
      </c>
    </row>
    <row r="23" spans="1:9" ht="15.75" thickBot="1" x14ac:dyDescent="0.3">
      <c r="A23" s="360"/>
      <c r="B23" s="361"/>
      <c r="C23" s="361" t="str">
        <f>B17</f>
        <v>Arme</v>
      </c>
      <c r="D23" s="361" t="s">
        <v>1130</v>
      </c>
      <c r="E23" s="361">
        <f>SUM(E18:E22)</f>
        <v>12</v>
      </c>
      <c r="F23" s="361">
        <f>SUM(F18:F22)</f>
        <v>3</v>
      </c>
      <c r="G23" s="362">
        <f>SUM(G18:G22)</f>
        <v>1658</v>
      </c>
      <c r="H23" s="361"/>
      <c r="I23" s="363"/>
    </row>
    <row r="24" spans="1:9" ht="15.75" thickBot="1" x14ac:dyDescent="0.3">
      <c r="G24" s="364"/>
    </row>
    <row r="25" spans="1:9" x14ac:dyDescent="0.25">
      <c r="A25" s="353"/>
      <c r="B25" s="354" t="s">
        <v>1140</v>
      </c>
      <c r="C25" s="354" t="s">
        <v>1114</v>
      </c>
      <c r="D25" s="354" t="s">
        <v>1115</v>
      </c>
      <c r="E25" s="354" t="s">
        <v>1084</v>
      </c>
      <c r="F25" s="354" t="s">
        <v>1093</v>
      </c>
      <c r="G25" s="365" t="s">
        <v>1116</v>
      </c>
      <c r="H25" s="354" t="s">
        <v>1117</v>
      </c>
      <c r="I25" s="355" t="s">
        <v>61</v>
      </c>
    </row>
    <row r="26" spans="1:9" x14ac:dyDescent="0.25">
      <c r="A26" s="356" t="s">
        <v>1118</v>
      </c>
      <c r="B26" s="357" t="s">
        <v>1119</v>
      </c>
      <c r="C26" s="357" t="s">
        <v>1137</v>
      </c>
      <c r="D26" s="357" t="s">
        <v>1133</v>
      </c>
      <c r="E26" s="357">
        <f>IF(B26="Keine Rüstung",0,(VLOOKUP(B26,$A$43:$H$67,3,FALSE)+VLOOKUP(C26,$K$51:$Q$54,3,FALSE)))</f>
        <v>5</v>
      </c>
      <c r="F26" s="357">
        <f>IF(B26="Keine Rüstung",0,IF(SUM(VLOOKUP(B26,$A$43:$H$67,4,FALSE)+VLOOKUP(D26,$K$57:$Q$60,4,FALSE)+VLOOKUP(C26,$K$51:$Q$54,4,FALSE))&lt;=VLOOKUP(B26,$A$43:$H$67,2,FALSE),VLOOKUP(B26,$A$43:$H$67,2,FALSE),SUM(VLOOKUP(B26,$A$43:$H$67,4,FALSE)+VLOOKUP(D26,$K$57:$Q$60,4,FALSE)+VLOOKUP(C26,$K$51:$Q$54,4,FALSE))))</f>
        <v>1</v>
      </c>
      <c r="G26" s="358">
        <f t="shared" ref="G26:G29" si="9">VLOOKUP(B26,$A$44:$I$67,8,FALSE)+VLOOKUP(C26,$K$51:$R$54,8,FALSE)*(VLOOKUP(B26,$A$44:$I$67,9,FALSE)+VLOOKUP(D26,$K$56:$R$60,8,FALSE))</f>
        <v>758</v>
      </c>
      <c r="H26" s="357">
        <f>MAX(VLOOKUP(B26,$A$44:$G$67,6,FALSE),VLOOKUP(C26,$K$51:$Q$54,6,FALSE),VLOOKUP(D26,$K$57:$Q$60,6,FALSE))</f>
        <v>7</v>
      </c>
      <c r="I26" s="359">
        <f>MAX(VLOOKUP(B26,$A$44:$G$67,7,FALSE),VLOOKUP(C26,$K$51:$Q$54,7,FALSE),VLOOKUP(D26,$K$57:$Q$60,7,FALSE))</f>
        <v>7</v>
      </c>
    </row>
    <row r="27" spans="1:9" x14ac:dyDescent="0.25">
      <c r="A27" s="356" t="s">
        <v>1122</v>
      </c>
      <c r="B27" s="357" t="s">
        <v>1161</v>
      </c>
      <c r="C27" s="357" t="s">
        <v>1137</v>
      </c>
      <c r="D27" s="357" t="s">
        <v>1133</v>
      </c>
      <c r="E27" s="357">
        <f t="shared" ref="E27:E29" si="10">IF(B27="Keine Rüstung",0,(VLOOKUP(B27,$A$43:$H$67,3,FALSE)+VLOOKUP(C27,$K$51:$Q$54,3,FALSE)))</f>
        <v>7</v>
      </c>
      <c r="F27" s="357">
        <f t="shared" ref="F27:F29" si="11">IF(B27="Keine Rüstung",0,IF(SUM(VLOOKUP(B27,$A$43:$H$67,4,FALSE)+VLOOKUP(D27,$K$57:$Q$60,4,FALSE)+VLOOKUP(C27,$K$51:$Q$54,4,FALSE))&lt;=VLOOKUP(B27,$A$43:$H$67,2,FALSE),VLOOKUP(B27,$A$43:$H$67,2,FALSE),SUM(VLOOKUP(B27,$A$43:$H$67,4,FALSE)+VLOOKUP(D27,$K$57:$Q$60,4,FALSE)+VLOOKUP(C27,$K$51:$Q$54,4,FALSE))))</f>
        <v>2</v>
      </c>
      <c r="G27" s="358">
        <f>VLOOKUP(B27,$A$44:$I$67,8,FALSE)+VLOOKUP(C27,$K$51:$R$54,8,FALSE)*(VLOOKUP(B27,$A$44:$I$67,9,FALSE)+VLOOKUP(D27,$K$56:$R$60,8,FALSE))</f>
        <v>900</v>
      </c>
      <c r="H27" s="357">
        <f>MAX(VLOOKUP(B27,$A$44:$G$67,6,FALSE),VLOOKUP(C27,$K$51:$Q$54,6,FALSE),VLOOKUP(D27,$K$57:$Q$60,6,FALSE))</f>
        <v>7</v>
      </c>
      <c r="I27" s="359">
        <f>MAX(VLOOKUP(B27,$A$44:$G$67,7,FALSE),VLOOKUP(C27,$K$51:$Q$54,7,FALSE),VLOOKUP(D27,$K$57:$Q$60,7,FALSE))</f>
        <v>7</v>
      </c>
    </row>
    <row r="28" spans="1:9" x14ac:dyDescent="0.25">
      <c r="A28" s="356" t="s">
        <v>1124</v>
      </c>
      <c r="B28" s="357" t="s">
        <v>1129</v>
      </c>
      <c r="C28" s="357" t="s">
        <v>1134</v>
      </c>
      <c r="D28" s="357" t="s">
        <v>1168</v>
      </c>
      <c r="E28" s="357">
        <f t="shared" si="10"/>
        <v>0</v>
      </c>
      <c r="F28" s="357">
        <f t="shared" si="11"/>
        <v>0</v>
      </c>
      <c r="G28" s="358">
        <f t="shared" si="9"/>
        <v>0</v>
      </c>
      <c r="H28" s="357">
        <f>MAX(VLOOKUP(B28,$A$44:$G$67,6,FALSE),VLOOKUP(C28,$K$51:$Q$54,6,FALSE),VLOOKUP(D28,$K$57:$Q$60,6,FALSE))</f>
        <v>1</v>
      </c>
      <c r="I28" s="359">
        <f>MAX(VLOOKUP(B28,$A$44:$G$67,7,FALSE),VLOOKUP(C28,$K$51:$Q$54,7,FALSE),VLOOKUP(D28,$K$57:$Q$60,7,FALSE))</f>
        <v>1</v>
      </c>
    </row>
    <row r="29" spans="1:9" x14ac:dyDescent="0.25">
      <c r="A29" s="356" t="s">
        <v>1126</v>
      </c>
      <c r="B29" s="357" t="s">
        <v>1129</v>
      </c>
      <c r="C29" s="357" t="s">
        <v>1134</v>
      </c>
      <c r="D29" s="357" t="s">
        <v>1168</v>
      </c>
      <c r="E29" s="357">
        <f t="shared" si="10"/>
        <v>0</v>
      </c>
      <c r="F29" s="357">
        <f t="shared" si="11"/>
        <v>0</v>
      </c>
      <c r="G29" s="358">
        <f t="shared" si="9"/>
        <v>0</v>
      </c>
      <c r="H29" s="357">
        <f>MAX(VLOOKUP(B29,$A$44:$G$67,6,FALSE),VLOOKUP(C29,$K$51:$Q$54,6,FALSE),VLOOKUP(D29,$K$57:$Q$60,6,FALSE))</f>
        <v>1</v>
      </c>
      <c r="I29" s="359">
        <f>MAX(VLOOKUP(B29,$A$44:$G$67,7,FALSE),VLOOKUP(C29,$K$51:$Q$54,7,FALSE),VLOOKUP(D29,$K$57:$Q$60,7,FALSE))</f>
        <v>1</v>
      </c>
    </row>
    <row r="30" spans="1:9" x14ac:dyDescent="0.25">
      <c r="A30" s="356" t="s">
        <v>1128</v>
      </c>
      <c r="B30" s="357" t="s">
        <v>1129</v>
      </c>
      <c r="C30" s="357"/>
      <c r="D30" s="357"/>
      <c r="E30" s="357">
        <f>VLOOKUP(B30,$K$44:$Q$48,3,FALSE)</f>
        <v>0</v>
      </c>
      <c r="F30" s="357">
        <f>VLOOKUP(B30,$K$44:$Q$48,3,FALSE)</f>
        <v>0</v>
      </c>
      <c r="G30" s="358">
        <f>VLOOKUP(B30,$K$44:$Q$48,5,FALSE)</f>
        <v>0</v>
      </c>
      <c r="H30" s="357">
        <f>VLOOKUP(B30,$K$44:$Q$48,6,FALSE)</f>
        <v>0</v>
      </c>
      <c r="I30" s="359">
        <f>VLOOKUP(B30,$K$44:$Q$48,6,FALSE)</f>
        <v>0</v>
      </c>
    </row>
    <row r="31" spans="1:9" ht="15.75" thickBot="1" x14ac:dyDescent="0.3">
      <c r="A31" s="360"/>
      <c r="B31" s="361"/>
      <c r="C31" s="361" t="str">
        <f>B25</f>
        <v>Beine</v>
      </c>
      <c r="D31" s="361" t="s">
        <v>1130</v>
      </c>
      <c r="E31" s="361">
        <f>SUM(E26:E30)</f>
        <v>12</v>
      </c>
      <c r="F31" s="361">
        <f>SUM(F26:F30)</f>
        <v>3</v>
      </c>
      <c r="G31" s="362">
        <f>SUM(G26:G30)</f>
        <v>1658</v>
      </c>
      <c r="H31" s="361"/>
      <c r="I31" s="363"/>
    </row>
    <row r="32" spans="1:9" x14ac:dyDescent="0.25">
      <c r="G32" s="364"/>
    </row>
    <row r="33" spans="1:19" x14ac:dyDescent="0.25">
      <c r="F33" t="s">
        <v>1093</v>
      </c>
      <c r="G33" s="364" t="s">
        <v>1116</v>
      </c>
    </row>
    <row r="34" spans="1:19" x14ac:dyDescent="0.25">
      <c r="C34" t="s">
        <v>1141</v>
      </c>
      <c r="D34" t="s">
        <v>1130</v>
      </c>
      <c r="F34">
        <f>SUM(F7,F15,F23,F31)</f>
        <v>12</v>
      </c>
      <c r="G34" s="364">
        <f>SUM(G7,G15,G23,G31)</f>
        <v>6632</v>
      </c>
    </row>
    <row r="36" spans="1:19" x14ac:dyDescent="0.25">
      <c r="A36" s="577" t="s">
        <v>1142</v>
      </c>
      <c r="B36" s="578"/>
      <c r="C36" s="578"/>
      <c r="D36" s="578"/>
      <c r="E36" s="578"/>
      <c r="F36" s="578"/>
      <c r="G36" s="578"/>
      <c r="H36" s="578"/>
      <c r="I36" s="578"/>
      <c r="J36" s="578"/>
      <c r="K36" s="578"/>
      <c r="L36" s="578"/>
      <c r="M36" s="578"/>
      <c r="N36" s="578"/>
      <c r="O36" s="578"/>
      <c r="P36" s="578"/>
      <c r="Q36" s="578"/>
      <c r="R36" s="578"/>
      <c r="S36" s="578"/>
    </row>
    <row r="37" spans="1:19" x14ac:dyDescent="0.25">
      <c r="A37" s="579" t="s">
        <v>1143</v>
      </c>
      <c r="B37" s="580"/>
      <c r="C37" s="580"/>
      <c r="D37" s="580"/>
      <c r="E37" s="580"/>
      <c r="F37" s="580"/>
      <c r="G37" s="580"/>
      <c r="H37" s="580"/>
      <c r="I37" s="580"/>
      <c r="J37" s="580"/>
      <c r="K37" s="580"/>
      <c r="L37" s="580"/>
      <c r="M37" s="580"/>
      <c r="N37" s="580"/>
      <c r="O37" s="580"/>
      <c r="P37" s="580"/>
      <c r="Q37" s="580"/>
      <c r="R37" s="580"/>
      <c r="S37" s="580"/>
    </row>
    <row r="38" spans="1:19" ht="15" customHeight="1" x14ac:dyDescent="0.25">
      <c r="A38" s="577" t="s">
        <v>1144</v>
      </c>
      <c r="B38" s="578"/>
      <c r="C38" s="578"/>
      <c r="D38" s="578"/>
      <c r="E38" s="578"/>
      <c r="F38" s="578"/>
      <c r="G38" s="578"/>
      <c r="H38" s="578"/>
      <c r="I38" s="578"/>
      <c r="J38" s="578"/>
      <c r="K38" s="578"/>
      <c r="L38" s="578"/>
      <c r="M38" s="578"/>
      <c r="N38" s="578"/>
      <c r="O38" s="578"/>
      <c r="P38" s="578"/>
      <c r="Q38" s="578"/>
      <c r="R38" s="578"/>
      <c r="S38" s="578"/>
    </row>
    <row r="39" spans="1:19" ht="15" customHeight="1" x14ac:dyDescent="0.25">
      <c r="A39" s="577" t="s">
        <v>1145</v>
      </c>
      <c r="B39" s="578"/>
      <c r="C39" s="578"/>
      <c r="D39" s="578"/>
      <c r="E39" s="578"/>
      <c r="F39" s="578"/>
      <c r="G39" s="578"/>
      <c r="H39" s="578"/>
      <c r="I39" s="578"/>
      <c r="J39" s="578"/>
      <c r="K39" s="578"/>
      <c r="L39" s="578"/>
      <c r="M39" s="578"/>
      <c r="N39" s="578"/>
      <c r="O39" s="578"/>
      <c r="P39" s="578"/>
      <c r="Q39" s="578"/>
      <c r="R39" s="578"/>
      <c r="S39" s="578"/>
    </row>
    <row r="40" spans="1:19" ht="15.75" customHeight="1" x14ac:dyDescent="0.25">
      <c r="A40" s="577" t="s">
        <v>1146</v>
      </c>
      <c r="B40" s="578"/>
      <c r="C40" s="578"/>
      <c r="D40" s="578"/>
      <c r="E40" s="578"/>
      <c r="F40" s="578"/>
      <c r="G40" s="578"/>
      <c r="H40" s="578"/>
      <c r="I40" s="578"/>
      <c r="J40" s="578"/>
      <c r="K40" s="578"/>
      <c r="L40" s="578"/>
      <c r="M40" s="578"/>
      <c r="N40" s="578"/>
      <c r="O40" s="578"/>
      <c r="P40" s="578"/>
      <c r="Q40" s="578"/>
      <c r="R40" s="578"/>
      <c r="S40" s="578"/>
    </row>
    <row r="41" spans="1:19" x14ac:dyDescent="0.25">
      <c r="A41" s="374"/>
      <c r="B41" s="374"/>
      <c r="C41" s="374"/>
      <c r="D41" s="374"/>
      <c r="E41" s="374"/>
      <c r="F41" s="374"/>
      <c r="G41" s="374"/>
      <c r="H41" s="374"/>
      <c r="I41" s="374"/>
      <c r="J41" s="374"/>
      <c r="K41" s="374"/>
      <c r="L41" s="374"/>
      <c r="M41" s="374"/>
      <c r="N41" s="374"/>
      <c r="O41" s="374"/>
      <c r="P41" s="374"/>
      <c r="Q41" s="374"/>
      <c r="R41" s="374"/>
      <c r="S41" s="374"/>
    </row>
    <row r="42" spans="1:19" ht="15.75" thickBot="1" x14ac:dyDescent="0.3">
      <c r="A42" s="374"/>
      <c r="B42" s="374"/>
      <c r="C42" s="374"/>
      <c r="D42" s="374"/>
      <c r="E42" s="374"/>
      <c r="F42" s="374"/>
      <c r="G42" s="374"/>
      <c r="H42" s="374"/>
      <c r="I42" s="374"/>
      <c r="J42" s="374"/>
      <c r="K42" s="374"/>
      <c r="L42" s="374"/>
      <c r="M42" s="374"/>
      <c r="N42" s="374"/>
      <c r="O42" s="374"/>
      <c r="P42" s="374"/>
      <c r="Q42" s="374"/>
      <c r="R42" s="374"/>
      <c r="S42" s="374"/>
    </row>
    <row r="43" spans="1:19" x14ac:dyDescent="0.25">
      <c r="A43" s="353" t="s">
        <v>1141</v>
      </c>
      <c r="B43" s="354" t="s">
        <v>1147</v>
      </c>
      <c r="C43" s="354" t="s">
        <v>1084</v>
      </c>
      <c r="D43" s="354" t="s">
        <v>1093</v>
      </c>
      <c r="E43" s="354"/>
      <c r="F43" s="354" t="s">
        <v>1148</v>
      </c>
      <c r="G43" s="355" t="s">
        <v>1149</v>
      </c>
      <c r="H43" s="375" t="s">
        <v>1150</v>
      </c>
      <c r="I43" s="375" t="s">
        <v>1151</v>
      </c>
      <c r="K43" s="353" t="s">
        <v>1152</v>
      </c>
      <c r="L43" s="354" t="s">
        <v>1147</v>
      </c>
      <c r="M43" s="354" t="s">
        <v>1084</v>
      </c>
      <c r="N43" s="354" t="s">
        <v>1093</v>
      </c>
      <c r="O43" s="354"/>
      <c r="P43" s="354" t="s">
        <v>1153</v>
      </c>
      <c r="Q43" s="355" t="s">
        <v>1153</v>
      </c>
    </row>
    <row r="44" spans="1:19" x14ac:dyDescent="0.25">
      <c r="A44" s="356" t="s">
        <v>1129</v>
      </c>
      <c r="B44" s="357"/>
      <c r="C44" s="357"/>
      <c r="D44" s="357"/>
      <c r="E44" s="357"/>
      <c r="F44" s="357"/>
      <c r="G44" s="359"/>
      <c r="K44" s="356" t="s">
        <v>1129</v>
      </c>
      <c r="L44" s="357"/>
      <c r="M44" s="357"/>
      <c r="N44" s="357"/>
      <c r="O44" s="357"/>
      <c r="P44" s="357"/>
      <c r="Q44" s="359"/>
    </row>
    <row r="45" spans="1:19" x14ac:dyDescent="0.25">
      <c r="A45" s="356" t="s">
        <v>1154</v>
      </c>
      <c r="B45" s="357">
        <v>1</v>
      </c>
      <c r="C45" s="357">
        <v>1</v>
      </c>
      <c r="D45" s="357">
        <v>1</v>
      </c>
      <c r="E45" s="357"/>
      <c r="F45" s="357">
        <v>1</v>
      </c>
      <c r="G45" s="359">
        <v>1</v>
      </c>
      <c r="H45">
        <v>16</v>
      </c>
      <c r="I45">
        <v>1</v>
      </c>
      <c r="K45" s="356" t="s">
        <v>1155</v>
      </c>
      <c r="L45" s="357"/>
      <c r="M45" s="357">
        <v>3</v>
      </c>
      <c r="N45" s="357">
        <v>2</v>
      </c>
      <c r="O45" s="357"/>
      <c r="P45" s="357">
        <v>6</v>
      </c>
      <c r="Q45" s="359">
        <v>6</v>
      </c>
    </row>
    <row r="46" spans="1:19" x14ac:dyDescent="0.25">
      <c r="A46" s="356" t="s">
        <v>1131</v>
      </c>
      <c r="B46" s="357">
        <v>1</v>
      </c>
      <c r="C46" s="357">
        <v>2</v>
      </c>
      <c r="D46" s="357">
        <v>2</v>
      </c>
      <c r="E46" s="357"/>
      <c r="F46" s="357">
        <v>1</v>
      </c>
      <c r="G46" s="359">
        <v>1</v>
      </c>
      <c r="H46">
        <v>32</v>
      </c>
      <c r="I46">
        <v>1</v>
      </c>
      <c r="K46" s="356" t="s">
        <v>1156</v>
      </c>
      <c r="L46" s="357"/>
      <c r="M46" s="357">
        <v>5</v>
      </c>
      <c r="N46" s="357">
        <v>4</v>
      </c>
      <c r="O46" s="357"/>
      <c r="P46" s="357">
        <v>6</v>
      </c>
      <c r="Q46" s="359">
        <v>6</v>
      </c>
    </row>
    <row r="47" spans="1:19" x14ac:dyDescent="0.25">
      <c r="A47" s="356" t="s">
        <v>1119</v>
      </c>
      <c r="B47" s="357">
        <v>1</v>
      </c>
      <c r="C47" s="357">
        <v>3</v>
      </c>
      <c r="D47" s="357">
        <v>3</v>
      </c>
      <c r="E47" s="357"/>
      <c r="F47" s="357">
        <v>1</v>
      </c>
      <c r="G47" s="359">
        <v>1</v>
      </c>
      <c r="H47">
        <v>48</v>
      </c>
      <c r="I47">
        <v>1</v>
      </c>
      <c r="K47" s="356" t="s">
        <v>1157</v>
      </c>
      <c r="L47" s="357"/>
      <c r="M47" s="357">
        <v>7</v>
      </c>
      <c r="N47" s="357">
        <v>6</v>
      </c>
      <c r="O47" s="357"/>
      <c r="P47" s="357">
        <v>6</v>
      </c>
      <c r="Q47" s="359">
        <v>6</v>
      </c>
    </row>
    <row r="48" spans="1:19" ht="15.75" thickBot="1" x14ac:dyDescent="0.3">
      <c r="A48" s="356" t="s">
        <v>1129</v>
      </c>
      <c r="B48" s="357"/>
      <c r="C48" s="357"/>
      <c r="D48" s="357"/>
      <c r="E48" s="357"/>
      <c r="F48" s="357"/>
      <c r="G48" s="359"/>
      <c r="K48" s="360" t="s">
        <v>1158</v>
      </c>
      <c r="L48" s="361"/>
      <c r="M48" s="361">
        <v>0</v>
      </c>
      <c r="N48" s="361">
        <v>0</v>
      </c>
      <c r="O48" s="361"/>
      <c r="P48" s="361">
        <v>7</v>
      </c>
      <c r="Q48" s="363">
        <v>7</v>
      </c>
    </row>
    <row r="49" spans="1:18" ht="15.75" thickBot="1" x14ac:dyDescent="0.3">
      <c r="A49" s="356" t="s">
        <v>1123</v>
      </c>
      <c r="B49" s="357">
        <v>2</v>
      </c>
      <c r="C49" s="357">
        <v>3</v>
      </c>
      <c r="D49" s="357">
        <v>3</v>
      </c>
      <c r="E49" s="357"/>
      <c r="F49" s="357">
        <v>1</v>
      </c>
      <c r="G49" s="359">
        <v>1</v>
      </c>
      <c r="H49">
        <v>14</v>
      </c>
      <c r="I49">
        <v>2</v>
      </c>
    </row>
    <row r="50" spans="1:18" x14ac:dyDescent="0.25">
      <c r="A50" s="356" t="s">
        <v>1159</v>
      </c>
      <c r="B50" s="357">
        <v>2</v>
      </c>
      <c r="C50" s="357">
        <v>4</v>
      </c>
      <c r="D50" s="357">
        <v>4</v>
      </c>
      <c r="E50" s="357"/>
      <c r="F50" s="357">
        <v>1</v>
      </c>
      <c r="G50" s="359">
        <v>1</v>
      </c>
      <c r="H50">
        <v>28</v>
      </c>
      <c r="I50">
        <v>2</v>
      </c>
      <c r="K50" s="353" t="s">
        <v>1114</v>
      </c>
      <c r="L50" s="354" t="s">
        <v>1147</v>
      </c>
      <c r="M50" s="354" t="s">
        <v>1084</v>
      </c>
      <c r="N50" s="354" t="s">
        <v>1093</v>
      </c>
      <c r="O50" s="354"/>
      <c r="P50" s="354" t="s">
        <v>1153</v>
      </c>
      <c r="Q50" s="355" t="s">
        <v>1153</v>
      </c>
      <c r="R50" s="375" t="s">
        <v>1160</v>
      </c>
    </row>
    <row r="51" spans="1:18" x14ac:dyDescent="0.25">
      <c r="A51" s="356" t="s">
        <v>1161</v>
      </c>
      <c r="B51" s="357">
        <v>2</v>
      </c>
      <c r="C51" s="357">
        <v>5</v>
      </c>
      <c r="D51" s="357">
        <v>5</v>
      </c>
      <c r="E51" s="357"/>
      <c r="F51" s="357">
        <v>1</v>
      </c>
      <c r="G51" s="359">
        <v>1</v>
      </c>
      <c r="H51">
        <v>48</v>
      </c>
      <c r="I51">
        <v>2</v>
      </c>
      <c r="K51" s="356" t="s">
        <v>1134</v>
      </c>
      <c r="L51" s="357"/>
      <c r="M51" s="357"/>
      <c r="N51" s="357"/>
      <c r="O51" s="357"/>
      <c r="P51" s="357">
        <v>1</v>
      </c>
      <c r="Q51" s="359">
        <v>1</v>
      </c>
      <c r="R51" s="375">
        <v>6</v>
      </c>
    </row>
    <row r="52" spans="1:18" x14ac:dyDescent="0.25">
      <c r="A52" s="356" t="s">
        <v>1129</v>
      </c>
      <c r="B52" s="357"/>
      <c r="C52" s="357"/>
      <c r="D52" s="357"/>
      <c r="E52" s="357"/>
      <c r="F52" s="357"/>
      <c r="G52" s="359"/>
      <c r="K52" s="356" t="s">
        <v>1120</v>
      </c>
      <c r="L52" s="357"/>
      <c r="M52" s="357">
        <v>1</v>
      </c>
      <c r="N52" s="357"/>
      <c r="O52" s="357"/>
      <c r="P52" s="357">
        <v>3</v>
      </c>
      <c r="Q52" s="359">
        <v>2</v>
      </c>
      <c r="R52" s="375">
        <v>65</v>
      </c>
    </row>
    <row r="53" spans="1:18" x14ac:dyDescent="0.25">
      <c r="A53" s="356" t="s">
        <v>1135</v>
      </c>
      <c r="B53" s="357">
        <v>3</v>
      </c>
      <c r="C53" s="357">
        <v>4</v>
      </c>
      <c r="D53" s="357">
        <v>4</v>
      </c>
      <c r="E53" s="357"/>
      <c r="F53" s="357">
        <v>1</v>
      </c>
      <c r="G53" s="359">
        <v>1</v>
      </c>
      <c r="H53">
        <v>300</v>
      </c>
      <c r="I53">
        <v>10</v>
      </c>
      <c r="K53" s="356" t="s">
        <v>1132</v>
      </c>
      <c r="L53" s="357"/>
      <c r="M53" s="357">
        <v>2</v>
      </c>
      <c r="N53" s="357"/>
      <c r="O53" s="357"/>
      <c r="P53" s="357">
        <v>5</v>
      </c>
      <c r="Q53" s="359">
        <v>3</v>
      </c>
      <c r="R53" s="375">
        <v>71</v>
      </c>
    </row>
    <row r="54" spans="1:18" ht="15.75" thickBot="1" x14ac:dyDescent="0.3">
      <c r="A54" s="356" t="s">
        <v>1125</v>
      </c>
      <c r="B54" s="357">
        <v>3</v>
      </c>
      <c r="C54" s="357">
        <v>5</v>
      </c>
      <c r="D54" s="357">
        <v>4</v>
      </c>
      <c r="E54" s="357"/>
      <c r="F54" s="357">
        <v>2</v>
      </c>
      <c r="G54" s="359">
        <v>1</v>
      </c>
      <c r="H54">
        <v>1050</v>
      </c>
      <c r="I54">
        <v>10</v>
      </c>
      <c r="K54" s="360" t="s">
        <v>1137</v>
      </c>
      <c r="L54" s="361"/>
      <c r="M54" s="361">
        <v>2</v>
      </c>
      <c r="N54" s="361">
        <v>-1</v>
      </c>
      <c r="O54" s="361"/>
      <c r="P54" s="361">
        <v>7</v>
      </c>
      <c r="Q54" s="363">
        <v>7</v>
      </c>
      <c r="R54" s="375">
        <v>142</v>
      </c>
    </row>
    <row r="55" spans="1:18" ht="15.75" thickBot="1" x14ac:dyDescent="0.3">
      <c r="A55" s="356" t="s">
        <v>1162</v>
      </c>
      <c r="B55" s="357">
        <v>3</v>
      </c>
      <c r="C55" s="357">
        <v>6</v>
      </c>
      <c r="D55" s="357">
        <v>5</v>
      </c>
      <c r="E55" s="357"/>
      <c r="F55" s="357">
        <v>1</v>
      </c>
      <c r="G55" s="359">
        <v>1</v>
      </c>
      <c r="H55">
        <v>480</v>
      </c>
      <c r="I55">
        <v>15</v>
      </c>
    </row>
    <row r="56" spans="1:18" x14ac:dyDescent="0.25">
      <c r="A56" s="356" t="s">
        <v>1163</v>
      </c>
      <c r="B56" s="357">
        <v>3</v>
      </c>
      <c r="C56" s="357">
        <v>7</v>
      </c>
      <c r="D56" s="357">
        <v>5</v>
      </c>
      <c r="E56" s="357"/>
      <c r="F56" s="357">
        <v>5</v>
      </c>
      <c r="G56" s="359">
        <v>3</v>
      </c>
      <c r="H56">
        <v>1500</v>
      </c>
      <c r="I56">
        <v>10</v>
      </c>
      <c r="K56" s="353" t="s">
        <v>1115</v>
      </c>
      <c r="L56" s="354" t="s">
        <v>1147</v>
      </c>
      <c r="M56" s="354" t="s">
        <v>1084</v>
      </c>
      <c r="N56" s="354" t="s">
        <v>1093</v>
      </c>
      <c r="O56" s="354"/>
      <c r="P56" s="354" t="s">
        <v>1153</v>
      </c>
      <c r="Q56" s="355" t="s">
        <v>1153</v>
      </c>
      <c r="R56" s="375" t="s">
        <v>1164</v>
      </c>
    </row>
    <row r="57" spans="1:18" x14ac:dyDescent="0.25">
      <c r="A57" s="356" t="s">
        <v>1165</v>
      </c>
      <c r="B57" s="357">
        <v>3</v>
      </c>
      <c r="C57" s="357">
        <v>8</v>
      </c>
      <c r="D57" s="357">
        <v>6</v>
      </c>
      <c r="E57" s="357"/>
      <c r="F57" s="357">
        <v>2</v>
      </c>
      <c r="G57" s="359">
        <v>1</v>
      </c>
      <c r="H57">
        <v>1680</v>
      </c>
      <c r="I57">
        <v>15</v>
      </c>
      <c r="K57" s="356" t="s">
        <v>1166</v>
      </c>
      <c r="L57" s="357"/>
      <c r="M57" s="357"/>
      <c r="N57" s="357">
        <v>2</v>
      </c>
      <c r="O57" s="357"/>
      <c r="P57" s="357">
        <v>1</v>
      </c>
      <c r="Q57" s="359">
        <v>1</v>
      </c>
      <c r="R57" s="375">
        <v>0</v>
      </c>
    </row>
    <row r="58" spans="1:18" x14ac:dyDescent="0.25">
      <c r="A58" s="356" t="s">
        <v>1167</v>
      </c>
      <c r="B58" s="357">
        <v>3</v>
      </c>
      <c r="C58" s="357">
        <v>9</v>
      </c>
      <c r="D58" s="357">
        <v>6</v>
      </c>
      <c r="E58" s="357"/>
      <c r="F58" s="357">
        <v>6</v>
      </c>
      <c r="G58" s="359">
        <v>4</v>
      </c>
      <c r="H58">
        <v>2400</v>
      </c>
      <c r="I58">
        <v>15</v>
      </c>
      <c r="K58" s="356" t="s">
        <v>1168</v>
      </c>
      <c r="L58" s="357"/>
      <c r="M58" s="357"/>
      <c r="N58" s="357">
        <v>0</v>
      </c>
      <c r="O58" s="357"/>
      <c r="P58" s="357">
        <v>1</v>
      </c>
      <c r="Q58" s="359">
        <v>1</v>
      </c>
      <c r="R58" s="375">
        <v>0</v>
      </c>
    </row>
    <row r="59" spans="1:18" x14ac:dyDescent="0.25">
      <c r="A59" s="356" t="s">
        <v>1129</v>
      </c>
      <c r="B59" s="357"/>
      <c r="C59" s="357"/>
      <c r="D59" s="357"/>
      <c r="E59" s="357"/>
      <c r="F59" s="357"/>
      <c r="G59" s="359"/>
      <c r="K59" s="356" t="s">
        <v>1121</v>
      </c>
      <c r="L59" s="357"/>
      <c r="M59" s="357"/>
      <c r="N59" s="357">
        <v>-1</v>
      </c>
      <c r="O59" s="357"/>
      <c r="P59" s="357">
        <v>3</v>
      </c>
      <c r="Q59" s="359">
        <v>2</v>
      </c>
      <c r="R59" s="375">
        <v>2</v>
      </c>
    </row>
    <row r="60" spans="1:18" ht="15.75" thickBot="1" x14ac:dyDescent="0.3">
      <c r="A60" s="356" t="s">
        <v>1169</v>
      </c>
      <c r="B60" s="357">
        <v>4</v>
      </c>
      <c r="C60" s="357">
        <v>4</v>
      </c>
      <c r="D60" s="357">
        <v>4</v>
      </c>
      <c r="E60" s="357"/>
      <c r="F60" s="357">
        <v>2</v>
      </c>
      <c r="G60" s="359">
        <v>2</v>
      </c>
      <c r="H60">
        <v>130</v>
      </c>
      <c r="I60">
        <v>3</v>
      </c>
      <c r="K60" s="360" t="s">
        <v>1133</v>
      </c>
      <c r="L60" s="361"/>
      <c r="M60" s="361"/>
      <c r="N60" s="361">
        <v>-2</v>
      </c>
      <c r="O60" s="361"/>
      <c r="P60" s="361">
        <v>5</v>
      </c>
      <c r="Q60" s="363">
        <v>3</v>
      </c>
      <c r="R60" s="375">
        <v>4</v>
      </c>
    </row>
    <row r="61" spans="1:18" x14ac:dyDescent="0.25">
      <c r="A61" s="356" t="s">
        <v>1127</v>
      </c>
      <c r="B61" s="357">
        <v>4</v>
      </c>
      <c r="C61" s="357">
        <v>5</v>
      </c>
      <c r="D61" s="357">
        <v>5</v>
      </c>
      <c r="E61" s="357"/>
      <c r="F61" s="357">
        <v>2</v>
      </c>
      <c r="G61" s="359">
        <v>2</v>
      </c>
      <c r="H61">
        <v>172</v>
      </c>
      <c r="I61">
        <v>4</v>
      </c>
    </row>
    <row r="62" spans="1:18" x14ac:dyDescent="0.25">
      <c r="A62" s="356" t="s">
        <v>1170</v>
      </c>
      <c r="B62" s="357">
        <v>4</v>
      </c>
      <c r="C62" s="357">
        <v>6</v>
      </c>
      <c r="D62" s="357">
        <v>6</v>
      </c>
      <c r="E62" s="357"/>
      <c r="F62" s="357">
        <v>1</v>
      </c>
      <c r="G62" s="359">
        <v>1</v>
      </c>
      <c r="H62">
        <v>607</v>
      </c>
      <c r="I62">
        <v>7</v>
      </c>
    </row>
    <row r="63" spans="1:18" x14ac:dyDescent="0.25">
      <c r="A63" s="356" t="s">
        <v>1171</v>
      </c>
      <c r="B63" s="357">
        <v>4</v>
      </c>
      <c r="C63" s="357">
        <v>7</v>
      </c>
      <c r="D63" s="357">
        <v>7</v>
      </c>
      <c r="E63" s="357"/>
      <c r="F63" s="357">
        <v>2</v>
      </c>
      <c r="G63" s="359">
        <v>1</v>
      </c>
      <c r="H63">
        <v>2107</v>
      </c>
      <c r="I63">
        <v>7</v>
      </c>
    </row>
    <row r="64" spans="1:18" x14ac:dyDescent="0.25">
      <c r="A64" s="356" t="s">
        <v>1172</v>
      </c>
      <c r="B64" s="357">
        <v>4</v>
      </c>
      <c r="C64" s="357">
        <v>8</v>
      </c>
      <c r="D64" s="357">
        <v>8</v>
      </c>
      <c r="E64" s="357"/>
      <c r="F64" s="357">
        <v>1</v>
      </c>
      <c r="G64" s="359">
        <v>1</v>
      </c>
      <c r="H64">
        <v>907</v>
      </c>
      <c r="I64">
        <v>10</v>
      </c>
    </row>
    <row r="65" spans="1:9" x14ac:dyDescent="0.25">
      <c r="A65" s="356" t="s">
        <v>1173</v>
      </c>
      <c r="B65" s="357">
        <v>4</v>
      </c>
      <c r="C65" s="357">
        <v>9</v>
      </c>
      <c r="D65" s="357">
        <v>8</v>
      </c>
      <c r="E65" s="357"/>
      <c r="F65" s="357">
        <v>2</v>
      </c>
      <c r="G65" s="359">
        <v>1</v>
      </c>
      <c r="H65">
        <v>3157</v>
      </c>
      <c r="I65">
        <v>10</v>
      </c>
    </row>
    <row r="66" spans="1:9" x14ac:dyDescent="0.25">
      <c r="A66" s="356" t="s">
        <v>1174</v>
      </c>
      <c r="B66" s="357">
        <v>4</v>
      </c>
      <c r="C66" s="357">
        <v>10</v>
      </c>
      <c r="D66" s="357">
        <v>8</v>
      </c>
      <c r="E66" s="357"/>
      <c r="F66" s="357">
        <v>5</v>
      </c>
      <c r="G66" s="359">
        <v>3</v>
      </c>
      <c r="H66">
        <v>3007</v>
      </c>
      <c r="I66">
        <v>7</v>
      </c>
    </row>
    <row r="67" spans="1:9" ht="15.75" thickBot="1" x14ac:dyDescent="0.3">
      <c r="A67" s="360" t="s">
        <v>1136</v>
      </c>
      <c r="B67" s="361">
        <v>4</v>
      </c>
      <c r="C67" s="361">
        <v>12</v>
      </c>
      <c r="D67" s="361">
        <v>10</v>
      </c>
      <c r="E67" s="361"/>
      <c r="F67" s="361">
        <v>6</v>
      </c>
      <c r="G67" s="363">
        <v>4</v>
      </c>
      <c r="H67">
        <v>4507</v>
      </c>
      <c r="I67">
        <v>10</v>
      </c>
    </row>
    <row r="72" spans="1:9" ht="15.75" thickBot="1" x14ac:dyDescent="0.3"/>
    <row r="73" spans="1:9" x14ac:dyDescent="0.25">
      <c r="A73" s="353"/>
      <c r="B73" s="354"/>
      <c r="C73" s="354"/>
      <c r="D73" s="354"/>
      <c r="E73" s="375"/>
      <c r="F73" s="375"/>
      <c r="G73" s="375"/>
      <c r="H73" s="375"/>
      <c r="I73" s="375"/>
    </row>
    <row r="74" spans="1:9" x14ac:dyDescent="0.25">
      <c r="A74" s="356"/>
      <c r="B74" s="357"/>
      <c r="C74" s="357"/>
      <c r="D74" s="357"/>
    </row>
    <row r="75" spans="1:9" x14ac:dyDescent="0.25">
      <c r="A75" s="356"/>
      <c r="B75" s="357"/>
      <c r="C75" s="357"/>
      <c r="D75" s="357"/>
    </row>
    <row r="76" spans="1:9" x14ac:dyDescent="0.25">
      <c r="A76" s="356"/>
      <c r="B76" s="357"/>
      <c r="C76" s="357"/>
      <c r="D76" s="357"/>
    </row>
    <row r="77" spans="1:9" x14ac:dyDescent="0.25">
      <c r="A77" s="356"/>
      <c r="B77" s="357"/>
      <c r="C77" s="357"/>
      <c r="D77" s="357"/>
    </row>
    <row r="78" spans="1:9" x14ac:dyDescent="0.25">
      <c r="A78" s="356"/>
      <c r="B78" s="357"/>
      <c r="C78" s="357"/>
      <c r="D78" s="357"/>
    </row>
    <row r="79" spans="1:9" x14ac:dyDescent="0.25">
      <c r="A79" s="356"/>
      <c r="B79" s="357"/>
      <c r="C79" s="357"/>
      <c r="D79" s="357"/>
    </row>
    <row r="80" spans="1:9" x14ac:dyDescent="0.25">
      <c r="A80" s="356"/>
      <c r="B80" s="357"/>
      <c r="C80" s="357"/>
      <c r="D80" s="357"/>
    </row>
    <row r="81" spans="1:4" x14ac:dyDescent="0.25">
      <c r="A81" s="356"/>
      <c r="B81" s="357"/>
      <c r="C81" s="357"/>
      <c r="D81" s="357"/>
    </row>
    <row r="82" spans="1:4" x14ac:dyDescent="0.25">
      <c r="A82" s="356"/>
      <c r="B82" s="357"/>
      <c r="C82" s="357"/>
      <c r="D82" s="357"/>
    </row>
    <row r="83" spans="1:4" x14ac:dyDescent="0.25">
      <c r="A83" s="356"/>
      <c r="B83" s="357"/>
      <c r="C83" s="357"/>
      <c r="D83" s="357"/>
    </row>
    <row r="84" spans="1:4" x14ac:dyDescent="0.25">
      <c r="A84" s="356"/>
      <c r="B84" s="357"/>
      <c r="C84" s="357"/>
      <c r="D84" s="357"/>
    </row>
    <row r="85" spans="1:4" x14ac:dyDescent="0.25">
      <c r="A85" s="356"/>
      <c r="B85" s="357"/>
      <c r="C85" s="357"/>
      <c r="D85" s="357"/>
    </row>
    <row r="86" spans="1:4" x14ac:dyDescent="0.25">
      <c r="A86" s="356"/>
      <c r="B86" s="357"/>
      <c r="C86" s="357"/>
      <c r="D86" s="357"/>
    </row>
    <row r="87" spans="1:4" x14ac:dyDescent="0.25">
      <c r="A87" s="356"/>
      <c r="B87" s="357"/>
      <c r="C87" s="357"/>
      <c r="D87" s="357"/>
    </row>
    <row r="88" spans="1:4" x14ac:dyDescent="0.25">
      <c r="A88" s="356"/>
      <c r="B88" s="357"/>
      <c r="C88" s="357"/>
      <c r="D88" s="357"/>
    </row>
    <row r="89" spans="1:4" x14ac:dyDescent="0.25">
      <c r="A89" s="356"/>
      <c r="B89" s="357"/>
      <c r="C89" s="357"/>
      <c r="D89" s="357"/>
    </row>
    <row r="90" spans="1:4" x14ac:dyDescent="0.25">
      <c r="A90" s="356"/>
      <c r="B90" s="357"/>
      <c r="C90" s="357"/>
      <c r="D90" s="357"/>
    </row>
    <row r="91" spans="1:4" x14ac:dyDescent="0.25">
      <c r="A91" s="356"/>
      <c r="B91" s="357"/>
      <c r="C91" s="357"/>
      <c r="D91" s="357"/>
    </row>
    <row r="92" spans="1:4" x14ac:dyDescent="0.25">
      <c r="A92" s="356"/>
      <c r="B92" s="357"/>
      <c r="C92" s="357"/>
      <c r="D92" s="357"/>
    </row>
    <row r="93" spans="1:4" x14ac:dyDescent="0.25">
      <c r="A93" s="356"/>
      <c r="B93" s="357"/>
      <c r="C93" s="357"/>
      <c r="D93" s="357"/>
    </row>
    <row r="94" spans="1:4" x14ac:dyDescent="0.25">
      <c r="A94" s="356"/>
      <c r="B94" s="357"/>
      <c r="C94" s="357"/>
      <c r="D94" s="357"/>
    </row>
    <row r="95" spans="1:4" x14ac:dyDescent="0.25">
      <c r="A95" s="356"/>
      <c r="B95" s="357"/>
      <c r="C95" s="357"/>
      <c r="D95" s="357"/>
    </row>
    <row r="96" spans="1:4" x14ac:dyDescent="0.25">
      <c r="A96" s="356"/>
      <c r="B96" s="357"/>
      <c r="C96" s="357"/>
      <c r="D96" s="357"/>
    </row>
    <row r="97" spans="1:4" ht="15.75" thickBot="1" x14ac:dyDescent="0.3">
      <c r="A97" s="360"/>
      <c r="B97" s="361"/>
      <c r="C97" s="361"/>
      <c r="D97" s="361"/>
    </row>
  </sheetData>
  <protectedRanges>
    <protectedRange sqref="C30:D30" name="Beine"/>
    <protectedRange sqref="C22:D22" name="Arme"/>
    <protectedRange sqref="B14 B22 B30 B6:D6" name="Kopf"/>
    <protectedRange sqref="B2:B5 B10:B13 B18:B21 B26:B29" name="Kopf_1"/>
  </protectedRanges>
  <mergeCells count="5">
    <mergeCell ref="A36:S36"/>
    <mergeCell ref="A37:S37"/>
    <mergeCell ref="A38:S38"/>
    <mergeCell ref="A39:S39"/>
    <mergeCell ref="A40:S40"/>
  </mergeCells>
  <dataValidations count="7">
    <dataValidation type="list" allowBlank="1" showInputMessage="1" showErrorMessage="1" sqref="B13 B5 B21 B29" xr:uid="{00000000-0002-0000-0700-000000000000}">
      <formula1>$A$59:$A$67</formula1>
    </dataValidation>
    <dataValidation type="list" allowBlank="1" showInputMessage="1" showErrorMessage="1" sqref="B12 B4 B20 B28" xr:uid="{00000000-0002-0000-0700-000001000000}">
      <formula1>$A$52:$A$58</formula1>
    </dataValidation>
    <dataValidation type="list" allowBlank="1" showInputMessage="1" showErrorMessage="1" sqref="B19 B3 B11 B27" xr:uid="{00000000-0002-0000-0700-000002000000}">
      <formula1>$A$48:$A$51</formula1>
    </dataValidation>
    <dataValidation type="list" allowBlank="1" showInputMessage="1" showErrorMessage="1" sqref="B6 B22 B14 B30" xr:uid="{00000000-0002-0000-0700-000003000000}">
      <formula1>$K$44:$K$48</formula1>
    </dataValidation>
    <dataValidation type="list" allowBlank="1" showInputMessage="1" showErrorMessage="1" sqref="D2:D6 D10:D14 D18:D22 D26:D30" xr:uid="{00000000-0002-0000-0700-000004000000}">
      <formula1>$K$57:$K$60</formula1>
    </dataValidation>
    <dataValidation type="list" allowBlank="1" showInputMessage="1" showErrorMessage="1" sqref="C18:C22 C10:C14 C2:C6 C26:C30" xr:uid="{00000000-0002-0000-0700-000005000000}">
      <formula1>$K$51:$K$54</formula1>
    </dataValidation>
    <dataValidation type="list" allowBlank="1" showInputMessage="1" showErrorMessage="1" sqref="B18 B10 B2 B26" xr:uid="{00000000-0002-0000-0700-000006000000}">
      <formula1>$A$44:$A$47</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98</vt:i4>
      </vt:variant>
    </vt:vector>
  </HeadingPairs>
  <TitlesOfParts>
    <vt:vector size="106" baseType="lpstr">
      <vt:lpstr>NPC-Rechner</vt:lpstr>
      <vt:lpstr>Talente</vt:lpstr>
      <vt:lpstr>Elementar-Rechner</vt:lpstr>
      <vt:lpstr>Ressourcen</vt:lpstr>
      <vt:lpstr>S.1</vt:lpstr>
      <vt:lpstr>Sheet2</vt:lpstr>
      <vt:lpstr>NPC-Ausgabe</vt:lpstr>
      <vt:lpstr>RS-Sheet</vt:lpstr>
      <vt:lpstr>Ath</vt:lpstr>
      <vt:lpstr>athb</vt:lpstr>
      <vt:lpstr>Aur</vt:lpstr>
      <vt:lpstr>Aus</vt:lpstr>
      <vt:lpstr>ausb</vt:lpstr>
      <vt:lpstr>ausdauer</vt:lpstr>
      <vt:lpstr>ausdauerw</vt:lpstr>
      <vt:lpstr>AW</vt:lpstr>
      <vt:lpstr>bearme</vt:lpstr>
      <vt:lpstr>bebeine</vt:lpstr>
      <vt:lpstr>bekopf</vt:lpstr>
      <vt:lpstr>betorso</vt:lpstr>
      <vt:lpstr>dauerE</vt:lpstr>
      <vt:lpstr>dauerl</vt:lpstr>
      <vt:lpstr>defaw</vt:lpstr>
      <vt:lpstr>ep</vt:lpstr>
      <vt:lpstr>epfrei</vt:lpstr>
      <vt:lpstr>Flieg</vt:lpstr>
      <vt:lpstr>Fliege</vt:lpstr>
      <vt:lpstr>Fliegen</vt:lpstr>
      <vt:lpstr>gAW</vt:lpstr>
      <vt:lpstr>gawwert</vt:lpstr>
      <vt:lpstr>GBE</vt:lpstr>
      <vt:lpstr>gefins</vt:lpstr>
      <vt:lpstr>Ges</vt:lpstr>
      <vt:lpstr>GesamteTAP</vt:lpstr>
      <vt:lpstr>gesb</vt:lpstr>
      <vt:lpstr>gesundheit</vt:lpstr>
      <vt:lpstr>glü</vt:lpstr>
      <vt:lpstr>Hauszauber</vt:lpstr>
      <vt:lpstr>hochsp</vt:lpstr>
      <vt:lpstr>ini</vt:lpstr>
      <vt:lpstr>Int</vt:lpstr>
      <vt:lpstr>intb</vt:lpstr>
      <vt:lpstr>kar</vt:lpstr>
      <vt:lpstr>Klett</vt:lpstr>
      <vt:lpstr>Klettern</vt:lpstr>
      <vt:lpstr>Koerp</vt:lpstr>
      <vt:lpstr>Koerperb</vt:lpstr>
      <vt:lpstr>Kon</vt:lpstr>
      <vt:lpstr>konb</vt:lpstr>
      <vt:lpstr>Konzentration</vt:lpstr>
      <vt:lpstr>kr</vt:lpstr>
      <vt:lpstr>LEbrust</vt:lpstr>
      <vt:lpstr>LEkopf</vt:lpstr>
      <vt:lpstr>LElarm</vt:lpstr>
      <vt:lpstr>lelbein</vt:lpstr>
      <vt:lpstr>LErarm</vt:lpstr>
      <vt:lpstr>lerbein</vt:lpstr>
      <vt:lpstr>LEunter</vt:lpstr>
      <vt:lpstr>lufta</vt:lpstr>
      <vt:lpstr>ma</vt:lpstr>
      <vt:lpstr>mag</vt:lpstr>
      <vt:lpstr>MagierTAP</vt:lpstr>
      <vt:lpstr>Manataw</vt:lpstr>
      <vt:lpstr>mAW</vt:lpstr>
      <vt:lpstr>mawwert</vt:lpstr>
      <vt:lpstr>mk</vt:lpstr>
      <vt:lpstr>MKTaW</vt:lpstr>
      <vt:lpstr>mn</vt:lpstr>
      <vt:lpstr>Mut</vt:lpstr>
      <vt:lpstr>mutb</vt:lpstr>
      <vt:lpstr>offaw</vt:lpstr>
      <vt:lpstr>reite</vt:lpstr>
      <vt:lpstr>RS</vt:lpstr>
      <vt:lpstr>rsarme</vt:lpstr>
      <vt:lpstr>rsbeine</vt:lpstr>
      <vt:lpstr>rskopf</vt:lpstr>
      <vt:lpstr>rstorso</vt:lpstr>
      <vt:lpstr>SB</vt:lpstr>
      <vt:lpstr>sbwert</vt:lpstr>
      <vt:lpstr>Sch</vt:lpstr>
      <vt:lpstr>schb</vt:lpstr>
      <vt:lpstr>schwi</vt:lpstr>
      <vt:lpstr>Sin</vt:lpstr>
      <vt:lpstr>sinb</vt:lpstr>
      <vt:lpstr>sprin</vt:lpstr>
      <vt:lpstr>spring</vt:lpstr>
      <vt:lpstr>springe</vt:lpstr>
      <vt:lpstr>Sprint</vt:lpstr>
      <vt:lpstr>sprintE</vt:lpstr>
      <vt:lpstr>st</vt:lpstr>
      <vt:lpstr>Stä</vt:lpstr>
      <vt:lpstr>stäb</vt:lpstr>
      <vt:lpstr>TaP</vt:lpstr>
      <vt:lpstr>tapkigute1</vt:lpstr>
      <vt:lpstr>tapkigute2</vt:lpstr>
      <vt:lpstr>tapzähbur1</vt:lpstr>
      <vt:lpstr>tapzähbur2</vt:lpstr>
      <vt:lpstr>tapzähbur3</vt:lpstr>
      <vt:lpstr>tragen</vt:lpstr>
      <vt:lpstr>vit</vt:lpstr>
      <vt:lpstr>wei</vt:lpstr>
      <vt:lpstr>weisheit</vt:lpstr>
      <vt:lpstr>weitsp</vt:lpstr>
      <vt:lpstr>werfen</vt:lpstr>
      <vt:lpstr>Wil</vt:lpstr>
      <vt:lpstr>wilb</vt:lpstr>
    </vt:vector>
  </TitlesOfParts>
  <Company>BLACK EDITION - tum0r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Jöran</dc:creator>
  <cp:lastModifiedBy>Le Jö</cp:lastModifiedBy>
  <cp:lastPrinted>2018-02-10T11:09:16Z</cp:lastPrinted>
  <dcterms:created xsi:type="dcterms:W3CDTF">2010-04-28T14:16:07Z</dcterms:created>
  <dcterms:modified xsi:type="dcterms:W3CDTF">2026-07-10T21:17:42Z</dcterms:modified>
</cp:coreProperties>
</file>